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mc:AlternateContent xmlns:mc="http://schemas.openxmlformats.org/markup-compatibility/2006">
    <mc:Choice Requires="x15">
      <x15ac:absPath xmlns:x15ac="http://schemas.microsoft.com/office/spreadsheetml/2010/11/ac" url="/Users/louis-maeljean/Dropbox (MIT)/Smart Pooling and Pruning/Data/"/>
    </mc:Choice>
  </mc:AlternateContent>
  <xr:revisionPtr revIDLastSave="0" documentId="13_ncr:1_{9269D94D-C296-794A-A6FA-2FF75E67A4F7}" xr6:coauthVersionLast="40" xr6:coauthVersionMax="40" xr10:uidLastSave="{00000000-0000-0000-0000-000000000000}"/>
  <bookViews>
    <workbookView xWindow="260" yWindow="500" windowWidth="35840" windowHeight="20520" firstSheet="2" activeTab="3" xr2:uid="{00000000-000D-0000-FFFF-FFFF00000000}"/>
  </bookViews>
  <sheets>
    <sheet name="Overview of Programs" sheetId="8" r:id="rId1"/>
    <sheet name="Comparisons" sheetId="1" r:id="rId2"/>
    <sheet name="0 - Total Costs" sheetId="12" r:id="rId3"/>
    <sheet name="policy template -perunit" sheetId="15" r:id="rId4"/>
    <sheet name="Inflation Rates" sheetId="9" r:id="rId5"/>
    <sheet name="Standard Exchange Rates" sheetId="10" r:id="rId6"/>
    <sheet name="PPP Exchange Rates" sheetId="11"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xlnm._FilterDatabase" localSheetId="0" hidden="1">'Overview of Programs'!$P$1:$P$1</definedName>
    <definedName name="_LEX1955" localSheetId="2">'[1]summary-targets'!#REF!</definedName>
    <definedName name="_LEX1955">'[1]summary-targets'!#REF!</definedName>
    <definedName name="_LEX1975" localSheetId="2">'[1]summary-targets'!#REF!</definedName>
    <definedName name="_LEX1975">'[1]summary-targets'!#REF!</definedName>
    <definedName name="_LEX2025" localSheetId="2">'[1]summary-targets'!#REF!</definedName>
    <definedName name="_LEX2025">'[1]summary-targets'!#REF!</definedName>
    <definedName name="_reg98" localSheetId="2">[2]whoreg!#REF!</definedName>
    <definedName name="_reg98">[2]whoreg!#REF!</definedName>
    <definedName name="_resul">'[3]slop-inter'!$A$45:$AG$48</definedName>
    <definedName name="_yellowF" localSheetId="2">#REF!</definedName>
    <definedName name="_yellowF">#REF!</definedName>
    <definedName name="_yellowM" localSheetId="2">#REF!</definedName>
    <definedName name="_yellowM">#REF!</definedName>
    <definedName name="_xlnm.Database" localSheetId="2">#REF!</definedName>
    <definedName name="_xlnm.Database">#REF!</definedName>
    <definedName name="data" localSheetId="2">#REF!</definedName>
    <definedName name="data">#REF!</definedName>
    <definedName name="Dist_Vars_byName">'[4]District Level Variables'!$B$1:$BD$201</definedName>
    <definedName name="eagd" localSheetId="2">#REF!</definedName>
    <definedName name="eagd">#REF!</definedName>
    <definedName name="Exchange_PPP">'PPP Exchange Rates'!$1:$1048576</definedName>
    <definedName name="Exchange_Standard">'Standard Exchange Rates'!$1:$1048576</definedName>
    <definedName name="fda" localSheetId="2">#REF!</definedName>
    <definedName name="fda">#REF!</definedName>
    <definedName name="fdae" localSheetId="2">[2]whoregeco!#REF!</definedName>
    <definedName name="fdae">[2]whoregeco!#REF!</definedName>
    <definedName name="fdageas" localSheetId="2">#REF!</definedName>
    <definedName name="fdageas">#REF!</definedName>
    <definedName name="fdas" localSheetId="2">#REF!</definedName>
    <definedName name="fdas">#REF!</definedName>
    <definedName name="GBDageD95">[5]Deaths!$A$1:$T$643</definedName>
    <definedName name="geasd" localSheetId="2">#REF!</definedName>
    <definedName name="geasd">#REF!</definedName>
    <definedName name="home">'[3]slop-inter'!$D$1:$F$1</definedName>
    <definedName name="inflation" localSheetId="6">'[6]Inflation Rates'!$C$1:$XFD$219</definedName>
    <definedName name="inflation" localSheetId="5">'[6]Inflation Rates'!$C$1:$XFD$219</definedName>
    <definedName name="inflation">'Inflation Rates'!$C$1:$XFD$219</definedName>
    <definedName name="label">[3]lx!$D$1788:$E$1825</definedName>
    <definedName name="PA" localSheetId="2">#REF!</definedName>
    <definedName name="PA">#REF!</definedName>
    <definedName name="pop" localSheetId="2">#REF!</definedName>
    <definedName name="pop">#REF!</definedName>
    <definedName name="ppp" localSheetId="2">[7]Setup!#REF!</definedName>
    <definedName name="ppp">[7]Setup!#REF!</definedName>
    <definedName name="PrintAr2" localSheetId="2">#REF!</definedName>
    <definedName name="PrintAr2">#REF!</definedName>
    <definedName name="regeco98" localSheetId="2">[2]whoregeco!#REF!</definedName>
    <definedName name="regeco98">[2]whoregeco!#REF!</definedName>
    <definedName name="SlopeF" localSheetId="2">#REF!</definedName>
    <definedName name="SlopeF">#REF!</definedName>
    <definedName name="slopeintercept">'[8]intercept+slope projections'!$A$3:$H$29</definedName>
    <definedName name="slopeM" localSheetId="2">#REF!</definedName>
    <definedName name="slopeM">#REF!</definedName>
    <definedName name="sort1">'[8]intercept+slope projections'!$A$3:$B$29</definedName>
    <definedName name="sort2">'[8]intercept+slope projections'!$D$3:$F$29</definedName>
    <definedName name="sort3">'[8]intercept+slope projections'!$E$3:$F$29</definedName>
    <definedName name="sort4">'[8]intercept+slope projections'!$G$3:$H$29</definedName>
    <definedName name="SPSS" localSheetId="2">#REF!</definedName>
    <definedName name="SPSS">#REF!</definedName>
    <definedName name="year">'[8]intercept+slope projections'!$A$3:$A$29</definedName>
    <definedName name="yll" localSheetId="2">[7]Setup!#REF!</definedName>
    <definedName name="yll">[7]Setup!#REF!</definedName>
    <definedName name="yll00" localSheetId="2">[9]Setup!#REF!</definedName>
    <definedName name="yll00">[9]Setup!#REF!</definedName>
    <definedName name="yll13" localSheetId="2">[9]Setup!#REF!</definedName>
    <definedName name="yll13">[9]Setup!#REF!</definedName>
    <definedName name="_xlnm.Print_Area" localSheetId="2">#REF!</definedName>
    <definedName name="_xlnm.Print_Area">#REF!</definedName>
  </definedNames>
  <calcPr calcId="191029"/>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M48" i="15" l="1"/>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47" i="15"/>
  <c r="M36" i="15" l="1"/>
  <c r="D60" i="15" l="1"/>
  <c r="M42" i="15"/>
  <c r="M41" i="15"/>
  <c r="M40" i="15"/>
  <c r="G40" i="15"/>
  <c r="M39" i="15"/>
  <c r="G39" i="15"/>
  <c r="G38" i="15"/>
  <c r="M37" i="15"/>
  <c r="Q34" i="15"/>
  <c r="M32" i="15"/>
  <c r="G31" i="15"/>
  <c r="B31" i="15"/>
  <c r="G30" i="15"/>
  <c r="G29" i="15"/>
  <c r="M26" i="15"/>
  <c r="B59" i="15" s="1"/>
  <c r="M23" i="15"/>
  <c r="B57" i="15" s="1"/>
  <c r="U22" i="15"/>
  <c r="B21" i="15"/>
  <c r="B23" i="15" s="1"/>
  <c r="G19" i="15"/>
  <c r="U18" i="15"/>
  <c r="G18" i="15"/>
  <c r="U17" i="15"/>
  <c r="B17" i="15"/>
  <c r="B20" i="15" s="1"/>
  <c r="U16" i="15"/>
  <c r="U15" i="15"/>
  <c r="U14" i="15"/>
  <c r="Q14" i="15"/>
  <c r="U13" i="15"/>
  <c r="Q13" i="15"/>
  <c r="B13" i="15"/>
  <c r="U12" i="15"/>
  <c r="U11" i="15"/>
  <c r="U10" i="15"/>
  <c r="B10" i="15"/>
  <c r="M24" i="15" l="1"/>
  <c r="M14" i="15"/>
  <c r="M15" i="15"/>
  <c r="M18" i="15"/>
  <c r="M16" i="15"/>
  <c r="M17" i="15"/>
  <c r="B60" i="15"/>
  <c r="F60" i="15" s="1"/>
  <c r="G60" i="15" s="1"/>
  <c r="B70" i="15"/>
  <c r="B66" i="15"/>
  <c r="G10" i="15"/>
  <c r="G15" i="15"/>
  <c r="G37" i="15"/>
  <c r="G16" i="15"/>
  <c r="G33" i="15"/>
  <c r="M19" i="15"/>
  <c r="M11" i="15"/>
  <c r="M13" i="15"/>
  <c r="M10" i="15"/>
  <c r="M12" i="15"/>
  <c r="Q35" i="15"/>
  <c r="B38" i="15"/>
  <c r="G34" i="15"/>
  <c r="M28" i="15"/>
  <c r="B58" i="15" s="1"/>
  <c r="F58" i="15" s="1"/>
  <c r="G58" i="15" s="1"/>
  <c r="G27" i="15"/>
  <c r="B24" i="15"/>
  <c r="M35" i="15" s="1"/>
  <c r="Q16" i="15"/>
  <c r="B39" i="15"/>
  <c r="G35" i="15"/>
  <c r="Q33" i="15"/>
  <c r="G32" i="15"/>
  <c r="G28" i="15"/>
  <c r="Q25" i="15"/>
  <c r="Q24" i="15"/>
  <c r="Q12" i="15"/>
  <c r="Q11" i="15"/>
  <c r="M38" i="15"/>
  <c r="B37" i="15"/>
  <c r="G26" i="15"/>
  <c r="G24" i="15"/>
  <c r="G21" i="15"/>
  <c r="G11" i="15"/>
  <c r="B40" i="15"/>
  <c r="B32" i="15"/>
  <c r="M25" i="15"/>
  <c r="D57" i="15" s="1"/>
  <c r="F57" i="15" s="1"/>
  <c r="G57" i="15" s="1"/>
  <c r="Q23" i="15"/>
  <c r="Q22" i="15"/>
  <c r="G13" i="15"/>
  <c r="G12" i="15"/>
  <c r="B36" i="15"/>
  <c r="M27" i="15"/>
  <c r="D59" i="15" s="1"/>
  <c r="F59" i="15" s="1"/>
  <c r="G59" i="15" s="1"/>
  <c r="G25" i="15"/>
  <c r="H59" i="15" l="1"/>
  <c r="I59" i="15" s="1"/>
  <c r="H57" i="15"/>
  <c r="I57" i="15" s="1"/>
  <c r="H58" i="15"/>
  <c r="I58" i="15" s="1"/>
  <c r="D56" i="15"/>
  <c r="B55" i="15"/>
  <c r="H60" i="15"/>
  <c r="I60" i="15" s="1"/>
  <c r="B47" i="15"/>
  <c r="F47" i="15" s="1"/>
  <c r="U21" i="15"/>
  <c r="U20" i="15"/>
  <c r="U19" i="15"/>
  <c r="F55" i="15"/>
  <c r="G55" i="15" s="1"/>
  <c r="B51" i="15"/>
  <c r="F51" i="15" s="1"/>
  <c r="G51" i="15" s="1"/>
  <c r="H51" i="15" l="1"/>
  <c r="I51" i="15" s="1"/>
  <c r="G47" i="15"/>
  <c r="H47" i="15" s="1"/>
  <c r="I47" i="15" s="1"/>
  <c r="H55" i="15"/>
  <c r="I55" i="15" s="1"/>
  <c r="U23" i="15"/>
  <c r="U24" i="15"/>
  <c r="M34" i="15"/>
  <c r="M33" i="15"/>
  <c r="U25" i="15"/>
  <c r="U26" i="15"/>
  <c r="U27" i="15" l="1"/>
  <c r="B23" i="12"/>
  <c r="J57" i="15" l="1"/>
  <c r="N57" i="15" s="1"/>
  <c r="J58" i="15"/>
  <c r="N58" i="15" s="1"/>
  <c r="J59" i="15"/>
  <c r="N59" i="15" s="1"/>
  <c r="J60" i="15"/>
  <c r="N60" i="15" s="1"/>
  <c r="J55" i="15"/>
  <c r="N55" i="15" s="1"/>
  <c r="J51" i="15"/>
  <c r="N51" i="15" s="1"/>
  <c r="J47" i="15"/>
  <c r="N47" i="15" l="1"/>
  <c r="D94" i="12"/>
  <c r="B101" i="12"/>
  <c r="B102" i="12"/>
  <c r="B103" i="12"/>
  <c r="B98" i="12"/>
  <c r="B99" i="12"/>
  <c r="B100" i="12"/>
  <c r="B96" i="12"/>
  <c r="B97" i="12"/>
  <c r="B95" i="12"/>
  <c r="B72" i="12"/>
  <c r="B71" i="12"/>
  <c r="D69" i="12"/>
  <c r="D103" i="12"/>
  <c r="D102" i="12"/>
  <c r="D101" i="12"/>
  <c r="D100" i="12"/>
  <c r="D99" i="12"/>
  <c r="D98" i="12"/>
  <c r="F98" i="12" s="1"/>
  <c r="G98" i="12" s="1"/>
  <c r="D97" i="12"/>
  <c r="D96" i="12"/>
  <c r="D95" i="12"/>
  <c r="B88" i="12"/>
  <c r="F88" i="12" s="1"/>
  <c r="G88" i="12" s="1"/>
  <c r="B87" i="12"/>
  <c r="B86" i="12"/>
  <c r="F86" i="12" s="1"/>
  <c r="G86" i="12" s="1"/>
  <c r="B85" i="12"/>
  <c r="F85" i="12" s="1"/>
  <c r="G85" i="12" s="1"/>
  <c r="F96" i="12" l="1"/>
  <c r="G96" i="12" s="1"/>
  <c r="F97" i="12"/>
  <c r="G97" i="12" s="1"/>
  <c r="F100" i="12"/>
  <c r="G100" i="12" s="1"/>
  <c r="F102" i="12"/>
  <c r="G102" i="12" s="1"/>
  <c r="F87" i="12"/>
  <c r="G87" i="12" s="1"/>
  <c r="F99" i="12"/>
  <c r="G99" i="12" s="1"/>
  <c r="F101" i="12"/>
  <c r="G101" i="12" s="1"/>
  <c r="F95" i="12"/>
  <c r="G95" i="12" s="1"/>
  <c r="F103" i="12"/>
  <c r="G103" i="12" s="1"/>
  <c r="B13" i="12"/>
  <c r="B12" i="12"/>
  <c r="B65" i="15" l="1"/>
  <c r="F65" i="15" s="1"/>
  <c r="G65" i="15" s="1"/>
  <c r="B63" i="15"/>
  <c r="F63" i="15" s="1"/>
  <c r="G63" i="15" s="1"/>
  <c r="B64" i="15"/>
  <c r="F64" i="15" s="1"/>
  <c r="G64" i="15" s="1"/>
  <c r="H64" i="15" s="1"/>
  <c r="I64" i="15" s="1"/>
  <c r="J64" i="15" s="1"/>
  <c r="N64" i="15" s="1"/>
  <c r="B61" i="15"/>
  <c r="F61" i="15" s="1"/>
  <c r="G61" i="15" s="1"/>
  <c r="D66" i="15"/>
  <c r="F66" i="15" s="1"/>
  <c r="G66" i="15" s="1"/>
  <c r="H66" i="15" s="1"/>
  <c r="I66" i="15" s="1"/>
  <c r="J66" i="15" s="1"/>
  <c r="N66" i="15" s="1"/>
  <c r="B14" i="12"/>
  <c r="B89" i="12"/>
  <c r="F89" i="12" s="1"/>
  <c r="G89" i="12" s="1"/>
  <c r="B69" i="12"/>
  <c r="B94" i="12"/>
  <c r="F94" i="12" s="1"/>
  <c r="G94" i="12" s="1"/>
  <c r="B62" i="12"/>
  <c r="B68" i="12"/>
  <c r="B92" i="12"/>
  <c r="F92" i="12" s="1"/>
  <c r="G92" i="12" s="1"/>
  <c r="B91" i="12"/>
  <c r="F91" i="12" s="1"/>
  <c r="G91" i="12" s="1"/>
  <c r="B93" i="12"/>
  <c r="F93" i="12" s="1"/>
  <c r="G93" i="12" s="1"/>
  <c r="D70" i="15"/>
  <c r="F70" i="15" s="1"/>
  <c r="G70" i="15" s="1"/>
  <c r="H70" i="15" s="1"/>
  <c r="I70" i="15" s="1"/>
  <c r="J70" i="15" s="1"/>
  <c r="N70" i="15" s="1"/>
  <c r="D69" i="15"/>
  <c r="B65" i="12"/>
  <c r="B66" i="12"/>
  <c r="B49" i="12"/>
  <c r="B53" i="12"/>
  <c r="B76" i="15" l="1"/>
  <c r="F76" i="15" s="1"/>
  <c r="B75" i="15"/>
  <c r="F75" i="15" s="1"/>
  <c r="B74" i="15"/>
  <c r="F74" i="15" s="1"/>
  <c r="G74" i="15" s="1"/>
  <c r="H74" i="15" s="1"/>
  <c r="I74" i="15" s="1"/>
  <c r="J74" i="15" s="1"/>
  <c r="N74" i="15" s="1"/>
  <c r="B71" i="15"/>
  <c r="F71" i="15" s="1"/>
  <c r="B73" i="15"/>
  <c r="F73" i="15" s="1"/>
  <c r="H65" i="15"/>
  <c r="I65" i="15" s="1"/>
  <c r="J65" i="15" s="1"/>
  <c r="N65" i="15" s="1"/>
  <c r="H61" i="15"/>
  <c r="I61" i="15" s="1"/>
  <c r="J61" i="15" s="1"/>
  <c r="N61" i="15" s="1"/>
  <c r="I63" i="15"/>
  <c r="J63" i="15" s="1"/>
  <c r="N63" i="15" s="1"/>
  <c r="H63" i="15"/>
  <c r="U20" i="12"/>
  <c r="B74" i="12"/>
  <c r="B75" i="12"/>
  <c r="B76" i="12"/>
  <c r="B77" i="12"/>
  <c r="B78" i="12"/>
  <c r="F78" i="12" s="1"/>
  <c r="G78" i="12" s="1"/>
  <c r="B73" i="12"/>
  <c r="U27" i="12"/>
  <c r="U26" i="12"/>
  <c r="F71" i="12" s="1"/>
  <c r="G71" i="12" s="1"/>
  <c r="U25" i="12"/>
  <c r="B70" i="12"/>
  <c r="M22" i="12"/>
  <c r="F68" i="12"/>
  <c r="G68" i="12" s="1"/>
  <c r="F66" i="12"/>
  <c r="G66" i="12" s="1"/>
  <c r="F65" i="12"/>
  <c r="G65" i="12" s="1"/>
  <c r="B64" i="12"/>
  <c r="F62" i="12"/>
  <c r="G62" i="12" s="1"/>
  <c r="B61" i="12"/>
  <c r="B60" i="12"/>
  <c r="B59" i="12"/>
  <c r="B58" i="12"/>
  <c r="F58" i="12" s="1"/>
  <c r="G58" i="12" s="1"/>
  <c r="B57" i="12"/>
  <c r="D57" i="12"/>
  <c r="D55" i="12"/>
  <c r="B55" i="12"/>
  <c r="D54" i="12"/>
  <c r="B56" i="12"/>
  <c r="F56" i="12" s="1"/>
  <c r="G56" i="12" s="1"/>
  <c r="F53" i="12"/>
  <c r="G53" i="12" s="1"/>
  <c r="G36" i="12"/>
  <c r="G36" i="15" s="1"/>
  <c r="B54" i="15" s="1"/>
  <c r="F54" i="15" s="1"/>
  <c r="G54" i="15" s="1"/>
  <c r="G22" i="12"/>
  <c r="G22" i="15" s="1"/>
  <c r="G17" i="12"/>
  <c r="G17" i="15" s="1"/>
  <c r="G14" i="12"/>
  <c r="G14" i="15" s="1"/>
  <c r="B52" i="15" s="1"/>
  <c r="F52" i="15" s="1"/>
  <c r="G52" i="15" s="1"/>
  <c r="F49" i="12"/>
  <c r="Q15" i="12"/>
  <c r="Q15" i="15" s="1"/>
  <c r="B62" i="15" s="1"/>
  <c r="F62" i="15" s="1"/>
  <c r="G62" i="15" s="1"/>
  <c r="Q17" i="12"/>
  <c r="Q17" i="15" s="1"/>
  <c r="Q10" i="12"/>
  <c r="Q10" i="15" s="1"/>
  <c r="M37" i="12"/>
  <c r="M36" i="12"/>
  <c r="M35" i="12"/>
  <c r="Q34" i="12"/>
  <c r="Q30" i="15" s="1"/>
  <c r="Q33" i="12"/>
  <c r="Q29" i="15" s="1"/>
  <c r="Q32" i="12"/>
  <c r="Q28" i="15" s="1"/>
  <c r="B26" i="12"/>
  <c r="B30" i="15" s="1"/>
  <c r="B50" i="15" s="1"/>
  <c r="F50" i="15" s="1"/>
  <c r="G50" i="15" s="1"/>
  <c r="B25" i="12"/>
  <c r="B29" i="15" s="1"/>
  <c r="G23" i="12"/>
  <c r="G23" i="15" s="1"/>
  <c r="G20" i="12"/>
  <c r="G20" i="15" s="1"/>
  <c r="B53" i="15" s="1"/>
  <c r="F53" i="15" s="1"/>
  <c r="G53" i="15" s="1"/>
  <c r="B15" i="12"/>
  <c r="H52" i="15" l="1"/>
  <c r="I52" i="15" s="1"/>
  <c r="J52" i="15" s="1"/>
  <c r="N52" i="15" s="1"/>
  <c r="B49" i="15"/>
  <c r="F49" i="15" s="1"/>
  <c r="G49" i="15" s="1"/>
  <c r="B67" i="15"/>
  <c r="F67" i="15" s="1"/>
  <c r="G67" i="15" s="1"/>
  <c r="H67" i="15" s="1"/>
  <c r="I67" i="15" s="1"/>
  <c r="J67" i="15" s="1"/>
  <c r="N67" i="15" s="1"/>
  <c r="H53" i="15"/>
  <c r="I53" i="15" s="1"/>
  <c r="J53" i="15" s="1"/>
  <c r="N53" i="15" s="1"/>
  <c r="H62" i="15"/>
  <c r="I62" i="15" s="1"/>
  <c r="J62" i="15" s="1"/>
  <c r="N62" i="15" s="1"/>
  <c r="H50" i="15"/>
  <c r="I50" i="15" s="1"/>
  <c r="J50" i="15" s="1"/>
  <c r="N50" i="15" s="1"/>
  <c r="I73" i="15"/>
  <c r="J73" i="15" s="1"/>
  <c r="N73" i="15" s="1"/>
  <c r="G73" i="15"/>
  <c r="H73" i="15" s="1"/>
  <c r="B68" i="15"/>
  <c r="F68" i="15" s="1"/>
  <c r="H54" i="15"/>
  <c r="I54" i="15" s="1"/>
  <c r="J54" i="15" s="1"/>
  <c r="N54" i="15" s="1"/>
  <c r="G71" i="15"/>
  <c r="H71" i="15" s="1"/>
  <c r="I71" i="15" s="1"/>
  <c r="J71" i="15" s="1"/>
  <c r="N71" i="15" s="1"/>
  <c r="G76" i="15"/>
  <c r="H76" i="15" s="1"/>
  <c r="I76" i="15" s="1"/>
  <c r="J76" i="15" s="1"/>
  <c r="N76" i="15" s="1"/>
  <c r="B48" i="15"/>
  <c r="F48" i="15" s="1"/>
  <c r="G75" i="15"/>
  <c r="H75" i="15" s="1"/>
  <c r="I75" i="15" s="1"/>
  <c r="J75" i="15" s="1"/>
  <c r="N75" i="15" s="1"/>
  <c r="F54" i="12"/>
  <c r="G54" i="12" s="1"/>
  <c r="B54" i="12"/>
  <c r="M22" i="15"/>
  <c r="B72" i="15"/>
  <c r="F72" i="15" s="1"/>
  <c r="B90" i="12"/>
  <c r="F90" i="12" s="1"/>
  <c r="G90" i="12" s="1"/>
  <c r="B63" i="12"/>
  <c r="F63" i="12" s="1"/>
  <c r="G63" i="12" s="1"/>
  <c r="F77" i="12"/>
  <c r="G77" i="12" s="1"/>
  <c r="F64" i="12"/>
  <c r="G64" i="12" s="1"/>
  <c r="B48" i="12"/>
  <c r="F48" i="12" s="1"/>
  <c r="G48" i="12" s="1"/>
  <c r="B80" i="12"/>
  <c r="F80" i="12" s="1"/>
  <c r="G80" i="12" s="1"/>
  <c r="F69" i="12"/>
  <c r="G69" i="12" s="1"/>
  <c r="F75" i="12"/>
  <c r="G75" i="12" s="1"/>
  <c r="F74" i="12"/>
  <c r="G74" i="12" s="1"/>
  <c r="B67" i="12"/>
  <c r="F67" i="12" s="1"/>
  <c r="G67" i="12" s="1"/>
  <c r="B50" i="12"/>
  <c r="F50" i="12" s="1"/>
  <c r="G50" i="12" s="1"/>
  <c r="B52" i="12"/>
  <c r="F52" i="12" s="1"/>
  <c r="G52" i="12" s="1"/>
  <c r="B79" i="12"/>
  <c r="B47" i="12"/>
  <c r="F47" i="12" s="1"/>
  <c r="G47" i="12" s="1"/>
  <c r="F70" i="12"/>
  <c r="G70" i="12" s="1"/>
  <c r="F61" i="12"/>
  <c r="G61" i="12" s="1"/>
  <c r="F57" i="12"/>
  <c r="G57" i="12" s="1"/>
  <c r="F59" i="12"/>
  <c r="G59" i="12" s="1"/>
  <c r="F72" i="12"/>
  <c r="G72" i="12" s="1"/>
  <c r="F76" i="12"/>
  <c r="G76" i="12" s="1"/>
  <c r="B51" i="12"/>
  <c r="F51" i="12" s="1"/>
  <c r="G51" i="12" s="1"/>
  <c r="F60" i="12"/>
  <c r="G60" i="12" s="1"/>
  <c r="F73" i="12"/>
  <c r="G73" i="12" s="1"/>
  <c r="G49" i="12"/>
  <c r="F55" i="12"/>
  <c r="G55" i="12" s="1"/>
  <c r="H49" i="15" l="1"/>
  <c r="I49" i="15" s="1"/>
  <c r="J49" i="15" s="1"/>
  <c r="N49" i="15" s="1"/>
  <c r="G48" i="15"/>
  <c r="H48" i="15" s="1"/>
  <c r="I48" i="15" s="1"/>
  <c r="J48" i="15" s="1"/>
  <c r="B56" i="15"/>
  <c r="B69" i="15"/>
  <c r="F69" i="15" s="1"/>
  <c r="G68" i="15"/>
  <c r="H68" i="15" s="1"/>
  <c r="I68" i="15" s="1"/>
  <c r="J68" i="15" s="1"/>
  <c r="N68" i="15" s="1"/>
  <c r="G72" i="15"/>
  <c r="H72" i="15" s="1"/>
  <c r="I72" i="15" s="1"/>
  <c r="J72" i="15" s="1"/>
  <c r="N72" i="15" s="1"/>
  <c r="B83" i="12"/>
  <c r="F83" i="12" s="1"/>
  <c r="G83" i="12" s="1"/>
  <c r="B82" i="12"/>
  <c r="F82" i="12" s="1"/>
  <c r="G82" i="12" s="1"/>
  <c r="B81" i="12"/>
  <c r="F81" i="12" s="1"/>
  <c r="G81" i="12" s="1"/>
  <c r="B84" i="12"/>
  <c r="F84" i="12" s="1"/>
  <c r="G84" i="12" s="1"/>
  <c r="F79" i="12"/>
  <c r="G79" i="12" s="1"/>
  <c r="N48" i="15" l="1"/>
  <c r="G69" i="15"/>
  <c r="H69" i="15" s="1"/>
  <c r="I69" i="15" s="1"/>
  <c r="J69" i="15" s="1"/>
  <c r="N69" i="15" s="1"/>
  <c r="F56" i="15"/>
  <c r="G56" i="15" s="1"/>
  <c r="H56" i="15" s="1"/>
  <c r="I56" i="15" s="1"/>
  <c r="J56" i="15" s="1"/>
  <c r="N56" i="15" s="1"/>
  <c r="P47" i="15"/>
  <c r="Q47" i="15" s="1"/>
  <c r="R47" i="15" s="1"/>
  <c r="XFD1" i="11"/>
  <c r="XFC1" i="11"/>
  <c r="XFB1" i="11"/>
  <c r="XFA1" i="11"/>
  <c r="XEZ1" i="11"/>
  <c r="XEY1" i="11"/>
  <c r="XEX1" i="11"/>
  <c r="XEW1" i="11"/>
  <c r="XEV1" i="11"/>
  <c r="XEU1" i="11"/>
  <c r="XET1" i="11"/>
  <c r="XES1" i="11"/>
  <c r="XER1" i="11"/>
  <c r="XEQ1" i="11"/>
  <c r="XEP1" i="11"/>
  <c r="XEO1" i="11"/>
  <c r="XEN1" i="11"/>
  <c r="XEM1" i="11"/>
  <c r="XEL1" i="11"/>
  <c r="XEK1" i="11"/>
  <c r="XEJ1" i="11"/>
  <c r="XEI1" i="11"/>
  <c r="XEH1" i="11"/>
  <c r="XEG1" i="11"/>
  <c r="XEF1" i="11"/>
  <c r="XEE1" i="11"/>
  <c r="XED1" i="11"/>
  <c r="XEC1" i="11"/>
  <c r="XEB1" i="11"/>
  <c r="XEA1" i="11"/>
  <c r="XDZ1" i="11"/>
  <c r="XDY1" i="11"/>
  <c r="XDX1" i="11"/>
  <c r="XDW1" i="11"/>
  <c r="XDV1" i="11"/>
  <c r="XDU1" i="11"/>
  <c r="XDT1" i="11"/>
  <c r="XDS1" i="11"/>
  <c r="XDR1" i="11"/>
  <c r="XDQ1" i="11"/>
  <c r="XDP1" i="11"/>
  <c r="XDO1" i="11"/>
  <c r="XDN1" i="11"/>
  <c r="XDM1" i="11"/>
  <c r="XDL1" i="11"/>
  <c r="XDK1" i="11"/>
  <c r="XDJ1" i="11"/>
  <c r="XDI1" i="11"/>
  <c r="XDH1" i="11"/>
  <c r="XDG1" i="11"/>
  <c r="XDF1" i="11"/>
  <c r="XDE1" i="11"/>
  <c r="XDD1" i="11"/>
  <c r="XDC1" i="11"/>
  <c r="XDB1" i="11"/>
  <c r="XDA1" i="11"/>
  <c r="XCZ1" i="11"/>
  <c r="XCY1" i="11"/>
  <c r="XCX1" i="11"/>
  <c r="XCW1" i="11"/>
  <c r="XCV1" i="11"/>
  <c r="XCU1" i="11"/>
  <c r="XCT1" i="11"/>
  <c r="XCS1" i="11"/>
  <c r="XCR1" i="11"/>
  <c r="XCQ1" i="11"/>
  <c r="XCP1" i="11"/>
  <c r="XCO1" i="11"/>
  <c r="XCN1" i="11"/>
  <c r="XCM1" i="11"/>
  <c r="XCL1" i="11"/>
  <c r="XCK1" i="11"/>
  <c r="XCJ1" i="11"/>
  <c r="XCI1" i="11"/>
  <c r="XCH1" i="11"/>
  <c r="XCG1" i="11"/>
  <c r="XCF1" i="11"/>
  <c r="XCE1" i="11"/>
  <c r="XCD1" i="11"/>
  <c r="XCC1" i="11"/>
  <c r="XCB1" i="11"/>
  <c r="XCA1" i="11"/>
  <c r="XBZ1" i="11"/>
  <c r="XBY1" i="11"/>
  <c r="XBX1" i="11"/>
  <c r="XBW1" i="11"/>
  <c r="XBV1" i="11"/>
  <c r="XBU1" i="11"/>
  <c r="XBT1" i="11"/>
  <c r="XBS1" i="11"/>
  <c r="XBR1" i="11"/>
  <c r="XBQ1" i="11"/>
  <c r="XBP1" i="11"/>
  <c r="XBO1" i="11"/>
  <c r="XBN1" i="11"/>
  <c r="XBM1" i="11"/>
  <c r="XBL1" i="11"/>
  <c r="XBK1" i="11"/>
  <c r="XBJ1" i="11"/>
  <c r="XBI1" i="11"/>
  <c r="XBH1" i="11"/>
  <c r="XBG1" i="11"/>
  <c r="XBF1" i="11"/>
  <c r="XBE1" i="11"/>
  <c r="XBD1" i="11"/>
  <c r="XBC1" i="11"/>
  <c r="XBB1" i="11"/>
  <c r="XBA1" i="11"/>
  <c r="XAZ1" i="11"/>
  <c r="XAY1" i="11"/>
  <c r="XAX1" i="11"/>
  <c r="XAW1" i="11"/>
  <c r="XAV1" i="11"/>
  <c r="XAU1" i="11"/>
  <c r="XAT1" i="11"/>
  <c r="XAS1" i="11"/>
  <c r="XAR1" i="11"/>
  <c r="XAQ1" i="11"/>
  <c r="XAP1" i="11"/>
  <c r="XAO1" i="11"/>
  <c r="XAN1" i="11"/>
  <c r="XAM1" i="11"/>
  <c r="XAL1" i="11"/>
  <c r="XAK1" i="11"/>
  <c r="XAJ1" i="11"/>
  <c r="XAI1" i="11"/>
  <c r="XAH1" i="11"/>
  <c r="XAG1" i="11"/>
  <c r="XAF1" i="11"/>
  <c r="XAE1" i="11"/>
  <c r="XAD1" i="11"/>
  <c r="XAC1" i="11"/>
  <c r="XAB1" i="11"/>
  <c r="XAA1" i="11"/>
  <c r="WZZ1" i="11"/>
  <c r="WZY1" i="11"/>
  <c r="WZX1" i="11"/>
  <c r="WZW1" i="11"/>
  <c r="WZV1" i="11"/>
  <c r="WZU1" i="11"/>
  <c r="WZT1" i="11"/>
  <c r="WZS1" i="11"/>
  <c r="WZR1" i="11"/>
  <c r="WZQ1" i="11"/>
  <c r="WZP1" i="11"/>
  <c r="WZO1" i="11"/>
  <c r="WZN1" i="11"/>
  <c r="WZM1" i="11"/>
  <c r="WZL1" i="11"/>
  <c r="WZK1" i="11"/>
  <c r="WZJ1" i="11"/>
  <c r="WZI1" i="11"/>
  <c r="WZH1" i="11"/>
  <c r="WZG1" i="11"/>
  <c r="WZF1" i="11"/>
  <c r="WZE1" i="11"/>
  <c r="WZD1" i="11"/>
  <c r="WZC1" i="11"/>
  <c r="WZB1" i="11"/>
  <c r="WZA1" i="11"/>
  <c r="WYZ1" i="11"/>
  <c r="WYY1" i="11"/>
  <c r="WYX1" i="11"/>
  <c r="WYW1" i="11"/>
  <c r="WYV1" i="11"/>
  <c r="WYU1" i="11"/>
  <c r="WYT1" i="11"/>
  <c r="WYS1" i="11"/>
  <c r="WYR1" i="11"/>
  <c r="WYQ1" i="11"/>
  <c r="WYP1" i="11"/>
  <c r="WYO1" i="11"/>
  <c r="WYN1" i="11"/>
  <c r="WYM1" i="11"/>
  <c r="WYL1" i="11"/>
  <c r="WYK1" i="11"/>
  <c r="WYJ1" i="11"/>
  <c r="WYI1" i="11"/>
  <c r="WYH1" i="11"/>
  <c r="WYG1" i="11"/>
  <c r="WYF1" i="11"/>
  <c r="WYE1" i="11"/>
  <c r="WYD1" i="11"/>
  <c r="WYC1" i="11"/>
  <c r="WYB1" i="11"/>
  <c r="WYA1" i="11"/>
  <c r="WXZ1" i="11"/>
  <c r="WXY1" i="11"/>
  <c r="WXX1" i="11"/>
  <c r="WXW1" i="11"/>
  <c r="WXV1" i="11"/>
  <c r="WXU1" i="11"/>
  <c r="WXT1" i="11"/>
  <c r="WXS1" i="11"/>
  <c r="WXR1" i="11"/>
  <c r="WXQ1" i="11"/>
  <c r="WXP1" i="11"/>
  <c r="WXO1" i="11"/>
  <c r="WXN1" i="11"/>
  <c r="WXM1" i="11"/>
  <c r="WXL1" i="11"/>
  <c r="WXK1" i="11"/>
  <c r="WXJ1" i="11"/>
  <c r="WXI1" i="11"/>
  <c r="WXH1" i="11"/>
  <c r="WXG1" i="11"/>
  <c r="WXF1" i="11"/>
  <c r="WXE1" i="11"/>
  <c r="WXD1" i="11"/>
  <c r="WXC1" i="11"/>
  <c r="WXB1" i="11"/>
  <c r="WXA1" i="11"/>
  <c r="WWZ1" i="11"/>
  <c r="WWY1" i="11"/>
  <c r="WWX1" i="11"/>
  <c r="WWW1" i="11"/>
  <c r="WWV1" i="11"/>
  <c r="WWU1" i="11"/>
  <c r="WWT1" i="11"/>
  <c r="WWS1" i="11"/>
  <c r="WWR1" i="11"/>
  <c r="WWQ1" i="11"/>
  <c r="WWP1" i="11"/>
  <c r="WWO1" i="11"/>
  <c r="WWN1" i="11"/>
  <c r="WWM1" i="11"/>
  <c r="WWL1" i="11"/>
  <c r="WWK1" i="11"/>
  <c r="WWJ1" i="11"/>
  <c r="WWI1" i="11"/>
  <c r="WWH1" i="11"/>
  <c r="WWG1" i="11"/>
  <c r="WWF1" i="11"/>
  <c r="WWE1" i="11"/>
  <c r="WWD1" i="11"/>
  <c r="WWC1" i="11"/>
  <c r="WWB1" i="11"/>
  <c r="WWA1" i="11"/>
  <c r="WVZ1" i="11"/>
  <c r="WVY1" i="11"/>
  <c r="WVX1" i="11"/>
  <c r="WVW1" i="11"/>
  <c r="WVV1" i="11"/>
  <c r="WVU1" i="11"/>
  <c r="WVT1" i="11"/>
  <c r="WVS1" i="11"/>
  <c r="WVR1" i="11"/>
  <c r="WVQ1" i="11"/>
  <c r="WVP1" i="11"/>
  <c r="WVO1" i="11"/>
  <c r="WVN1" i="11"/>
  <c r="WVM1" i="11"/>
  <c r="WVL1" i="11"/>
  <c r="WVK1" i="11"/>
  <c r="WVJ1" i="11"/>
  <c r="WVI1" i="11"/>
  <c r="WVH1" i="11"/>
  <c r="WVG1" i="11"/>
  <c r="WVF1" i="11"/>
  <c r="WVE1" i="11"/>
  <c r="WVD1" i="11"/>
  <c r="WVC1" i="11"/>
  <c r="WVB1" i="11"/>
  <c r="WVA1" i="11"/>
  <c r="WUZ1" i="11"/>
  <c r="WUY1" i="11"/>
  <c r="WUX1" i="11"/>
  <c r="WUW1" i="11"/>
  <c r="WUV1" i="11"/>
  <c r="WUU1" i="11"/>
  <c r="WUT1" i="11"/>
  <c r="WUS1" i="11"/>
  <c r="WUR1" i="11"/>
  <c r="WUQ1" i="11"/>
  <c r="WUP1" i="11"/>
  <c r="WUO1" i="11"/>
  <c r="WUN1" i="11"/>
  <c r="WUM1" i="11"/>
  <c r="WUL1" i="11"/>
  <c r="WUK1" i="11"/>
  <c r="WUJ1" i="11"/>
  <c r="WUI1" i="11"/>
  <c r="WUH1" i="11"/>
  <c r="WUG1" i="11"/>
  <c r="WUF1" i="11"/>
  <c r="WUE1" i="11"/>
  <c r="WUD1" i="11"/>
  <c r="WUC1" i="11"/>
  <c r="WUB1" i="11"/>
  <c r="WUA1" i="11"/>
  <c r="WTZ1" i="11"/>
  <c r="WTY1" i="11"/>
  <c r="WTX1" i="11"/>
  <c r="WTW1" i="11"/>
  <c r="WTV1" i="11"/>
  <c r="WTU1" i="11"/>
  <c r="WTT1" i="11"/>
  <c r="WTS1" i="11"/>
  <c r="WTR1" i="11"/>
  <c r="WTQ1" i="11"/>
  <c r="WTP1" i="11"/>
  <c r="WTO1" i="11"/>
  <c r="WTN1" i="11"/>
  <c r="WTM1" i="11"/>
  <c r="WTL1" i="11"/>
  <c r="WTK1" i="11"/>
  <c r="WTJ1" i="11"/>
  <c r="WTI1" i="11"/>
  <c r="WTH1" i="11"/>
  <c r="WTG1" i="11"/>
  <c r="WTF1" i="11"/>
  <c r="WTE1" i="11"/>
  <c r="WTD1" i="11"/>
  <c r="WTC1" i="11"/>
  <c r="WTB1" i="11"/>
  <c r="WTA1" i="11"/>
  <c r="WSZ1" i="11"/>
  <c r="WSY1" i="11"/>
  <c r="WSX1" i="11"/>
  <c r="WSW1" i="11"/>
  <c r="WSV1" i="11"/>
  <c r="WSU1" i="11"/>
  <c r="WST1" i="11"/>
  <c r="WSS1" i="11"/>
  <c r="WSR1" i="11"/>
  <c r="WSQ1" i="11"/>
  <c r="WSP1" i="11"/>
  <c r="WSO1" i="11"/>
  <c r="WSN1" i="11"/>
  <c r="WSM1" i="11"/>
  <c r="WSL1" i="11"/>
  <c r="WSK1" i="11"/>
  <c r="WSJ1" i="11"/>
  <c r="WSI1" i="11"/>
  <c r="WSH1" i="11"/>
  <c r="WSG1" i="11"/>
  <c r="WSF1" i="11"/>
  <c r="WSE1" i="11"/>
  <c r="WSD1" i="11"/>
  <c r="WSC1" i="11"/>
  <c r="WSB1" i="11"/>
  <c r="WSA1" i="11"/>
  <c r="WRZ1" i="11"/>
  <c r="WRY1" i="11"/>
  <c r="WRX1" i="11"/>
  <c r="WRW1" i="11"/>
  <c r="WRV1" i="11"/>
  <c r="WRU1" i="11"/>
  <c r="WRT1" i="11"/>
  <c r="WRS1" i="11"/>
  <c r="WRR1" i="11"/>
  <c r="WRQ1" i="11"/>
  <c r="WRP1" i="11"/>
  <c r="WRO1" i="11"/>
  <c r="WRN1" i="11"/>
  <c r="WRM1" i="11"/>
  <c r="WRL1" i="11"/>
  <c r="WRK1" i="11"/>
  <c r="WRJ1" i="11"/>
  <c r="WRI1" i="11"/>
  <c r="WRH1" i="11"/>
  <c r="WRG1" i="11"/>
  <c r="WRF1" i="11"/>
  <c r="WRE1" i="11"/>
  <c r="WRD1" i="11"/>
  <c r="WRC1" i="11"/>
  <c r="WRB1" i="11"/>
  <c r="WRA1" i="11"/>
  <c r="WQZ1" i="11"/>
  <c r="WQY1" i="11"/>
  <c r="WQX1" i="11"/>
  <c r="WQW1" i="11"/>
  <c r="WQV1" i="11"/>
  <c r="WQU1" i="11"/>
  <c r="WQT1" i="11"/>
  <c r="WQS1" i="11"/>
  <c r="WQR1" i="11"/>
  <c r="WQQ1" i="11"/>
  <c r="WQP1" i="11"/>
  <c r="WQO1" i="11"/>
  <c r="WQN1" i="11"/>
  <c r="WQM1" i="11"/>
  <c r="WQL1" i="11"/>
  <c r="WQK1" i="11"/>
  <c r="WQJ1" i="11"/>
  <c r="WQI1" i="11"/>
  <c r="WQH1" i="11"/>
  <c r="WQG1" i="11"/>
  <c r="WQF1" i="11"/>
  <c r="WQE1" i="11"/>
  <c r="WQD1" i="11"/>
  <c r="WQC1" i="11"/>
  <c r="WQB1" i="11"/>
  <c r="WQA1" i="11"/>
  <c r="WPZ1" i="11"/>
  <c r="WPY1" i="11"/>
  <c r="WPX1" i="11"/>
  <c r="WPW1" i="11"/>
  <c r="WPV1" i="11"/>
  <c r="WPU1" i="11"/>
  <c r="WPT1" i="11"/>
  <c r="WPS1" i="11"/>
  <c r="WPR1" i="11"/>
  <c r="WPQ1" i="11"/>
  <c r="WPP1" i="11"/>
  <c r="WPO1" i="11"/>
  <c r="WPN1" i="11"/>
  <c r="WPM1" i="11"/>
  <c r="WPL1" i="11"/>
  <c r="WPK1" i="11"/>
  <c r="WPJ1" i="11"/>
  <c r="WPI1" i="11"/>
  <c r="WPH1" i="11"/>
  <c r="WPG1" i="11"/>
  <c r="WPF1" i="11"/>
  <c r="WPE1" i="11"/>
  <c r="WPD1" i="11"/>
  <c r="WPC1" i="11"/>
  <c r="WPB1" i="11"/>
  <c r="WPA1" i="11"/>
  <c r="WOZ1" i="11"/>
  <c r="WOY1" i="11"/>
  <c r="WOX1" i="11"/>
  <c r="WOW1" i="11"/>
  <c r="WOV1" i="11"/>
  <c r="WOU1" i="11"/>
  <c r="WOT1" i="11"/>
  <c r="WOS1" i="11"/>
  <c r="WOR1" i="11"/>
  <c r="WOQ1" i="11"/>
  <c r="WOP1" i="11"/>
  <c r="WOO1" i="11"/>
  <c r="WON1" i="11"/>
  <c r="WOM1" i="11"/>
  <c r="WOL1" i="11"/>
  <c r="WOK1" i="11"/>
  <c r="WOJ1" i="11"/>
  <c r="WOI1" i="11"/>
  <c r="WOH1" i="11"/>
  <c r="WOG1" i="11"/>
  <c r="WOF1" i="11"/>
  <c r="WOE1" i="11"/>
  <c r="WOD1" i="11"/>
  <c r="WOC1" i="11"/>
  <c r="WOB1" i="11"/>
  <c r="WOA1" i="11"/>
  <c r="WNZ1" i="11"/>
  <c r="WNY1" i="11"/>
  <c r="WNX1" i="11"/>
  <c r="WNW1" i="11"/>
  <c r="WNV1" i="11"/>
  <c r="WNU1" i="11"/>
  <c r="WNT1" i="11"/>
  <c r="WNS1" i="11"/>
  <c r="WNR1" i="11"/>
  <c r="WNQ1" i="11"/>
  <c r="WNP1" i="11"/>
  <c r="WNO1" i="11"/>
  <c r="WNN1" i="11"/>
  <c r="WNM1" i="11"/>
  <c r="WNL1" i="11"/>
  <c r="WNK1" i="11"/>
  <c r="WNJ1" i="11"/>
  <c r="WNI1" i="11"/>
  <c r="WNH1" i="11"/>
  <c r="WNG1" i="11"/>
  <c r="WNF1" i="11"/>
  <c r="WNE1" i="11"/>
  <c r="WND1" i="11"/>
  <c r="WNC1" i="11"/>
  <c r="WNB1" i="11"/>
  <c r="WNA1" i="11"/>
  <c r="WMZ1" i="11"/>
  <c r="WMY1" i="11"/>
  <c r="WMX1" i="11"/>
  <c r="WMW1" i="11"/>
  <c r="WMV1" i="11"/>
  <c r="WMU1" i="11"/>
  <c r="WMT1" i="11"/>
  <c r="WMS1" i="11"/>
  <c r="WMR1" i="11"/>
  <c r="WMQ1" i="11"/>
  <c r="WMP1" i="11"/>
  <c r="WMO1" i="11"/>
  <c r="WMN1" i="11"/>
  <c r="WMM1" i="11"/>
  <c r="WML1" i="11"/>
  <c r="WMK1" i="11"/>
  <c r="WMJ1" i="11"/>
  <c r="WMI1" i="11"/>
  <c r="WMH1" i="11"/>
  <c r="WMG1" i="11"/>
  <c r="WMF1" i="11"/>
  <c r="WME1" i="11"/>
  <c r="WMD1" i="11"/>
  <c r="WMC1" i="11"/>
  <c r="WMB1" i="11"/>
  <c r="WMA1" i="11"/>
  <c r="WLZ1" i="11"/>
  <c r="WLY1" i="11"/>
  <c r="WLX1" i="11"/>
  <c r="WLW1" i="11"/>
  <c r="WLV1" i="11"/>
  <c r="WLU1" i="11"/>
  <c r="WLT1" i="11"/>
  <c r="WLS1" i="11"/>
  <c r="WLR1" i="11"/>
  <c r="WLQ1" i="11"/>
  <c r="WLP1" i="11"/>
  <c r="WLO1" i="11"/>
  <c r="WLN1" i="11"/>
  <c r="WLM1" i="11"/>
  <c r="WLL1" i="11"/>
  <c r="WLK1" i="11"/>
  <c r="WLJ1" i="11"/>
  <c r="WLI1" i="11"/>
  <c r="WLH1" i="11"/>
  <c r="WLG1" i="11"/>
  <c r="WLF1" i="11"/>
  <c r="WLE1" i="11"/>
  <c r="WLD1" i="11"/>
  <c r="WLC1" i="11"/>
  <c r="WLB1" i="11"/>
  <c r="WLA1" i="11"/>
  <c r="WKZ1" i="11"/>
  <c r="WKY1" i="11"/>
  <c r="WKX1" i="11"/>
  <c r="WKW1" i="11"/>
  <c r="WKV1" i="11"/>
  <c r="WKU1" i="11"/>
  <c r="WKT1" i="11"/>
  <c r="WKS1" i="11"/>
  <c r="WKR1" i="11"/>
  <c r="WKQ1" i="11"/>
  <c r="WKP1" i="11"/>
  <c r="WKO1" i="11"/>
  <c r="WKN1" i="11"/>
  <c r="WKM1" i="11"/>
  <c r="WKL1" i="11"/>
  <c r="WKK1" i="11"/>
  <c r="WKJ1" i="11"/>
  <c r="WKI1" i="11"/>
  <c r="WKH1" i="11"/>
  <c r="WKG1" i="11"/>
  <c r="WKF1" i="11"/>
  <c r="WKE1" i="11"/>
  <c r="WKD1" i="11"/>
  <c r="WKC1" i="11"/>
  <c r="WKB1" i="11"/>
  <c r="WKA1" i="11"/>
  <c r="WJZ1" i="11"/>
  <c r="WJY1" i="11"/>
  <c r="WJX1" i="11"/>
  <c r="WJW1" i="11"/>
  <c r="WJV1" i="11"/>
  <c r="WJU1" i="11"/>
  <c r="WJT1" i="11"/>
  <c r="WJS1" i="11"/>
  <c r="WJR1" i="11"/>
  <c r="WJQ1" i="11"/>
  <c r="WJP1" i="11"/>
  <c r="WJO1" i="11"/>
  <c r="WJN1" i="11"/>
  <c r="WJM1" i="11"/>
  <c r="WJL1" i="11"/>
  <c r="WJK1" i="11"/>
  <c r="WJJ1" i="11"/>
  <c r="WJI1" i="11"/>
  <c r="WJH1" i="11"/>
  <c r="WJG1" i="11"/>
  <c r="WJF1" i="11"/>
  <c r="WJE1" i="11"/>
  <c r="WJD1" i="11"/>
  <c r="WJC1" i="11"/>
  <c r="WJB1" i="11"/>
  <c r="WJA1" i="11"/>
  <c r="WIZ1" i="11"/>
  <c r="WIY1" i="11"/>
  <c r="WIX1" i="11"/>
  <c r="WIW1" i="11"/>
  <c r="WIV1" i="11"/>
  <c r="WIU1" i="11"/>
  <c r="WIT1" i="11"/>
  <c r="WIS1" i="11"/>
  <c r="WIR1" i="11"/>
  <c r="WIQ1" i="11"/>
  <c r="WIP1" i="11"/>
  <c r="WIO1" i="11"/>
  <c r="WIN1" i="11"/>
  <c r="WIM1" i="11"/>
  <c r="WIL1" i="11"/>
  <c r="WIK1" i="11"/>
  <c r="WIJ1" i="11"/>
  <c r="WII1" i="11"/>
  <c r="WIH1" i="11"/>
  <c r="WIG1" i="11"/>
  <c r="WIF1" i="11"/>
  <c r="WIE1" i="11"/>
  <c r="WID1" i="11"/>
  <c r="WIC1" i="11"/>
  <c r="WIB1" i="11"/>
  <c r="WIA1" i="11"/>
  <c r="WHZ1" i="11"/>
  <c r="WHY1" i="11"/>
  <c r="WHX1" i="11"/>
  <c r="WHW1" i="11"/>
  <c r="WHV1" i="11"/>
  <c r="WHU1" i="11"/>
  <c r="WHT1" i="11"/>
  <c r="WHS1" i="11"/>
  <c r="WHR1" i="11"/>
  <c r="WHQ1" i="11"/>
  <c r="WHP1" i="11"/>
  <c r="WHO1" i="11"/>
  <c r="WHN1" i="11"/>
  <c r="WHM1" i="11"/>
  <c r="WHL1" i="11"/>
  <c r="WHK1" i="11"/>
  <c r="WHJ1" i="11"/>
  <c r="WHI1" i="11"/>
  <c r="WHH1" i="11"/>
  <c r="WHG1" i="11"/>
  <c r="WHF1" i="11"/>
  <c r="WHE1" i="11"/>
  <c r="WHD1" i="11"/>
  <c r="WHC1" i="11"/>
  <c r="WHB1" i="11"/>
  <c r="WHA1" i="11"/>
  <c r="WGZ1" i="11"/>
  <c r="WGY1" i="11"/>
  <c r="WGX1" i="11"/>
  <c r="WGW1" i="11"/>
  <c r="WGV1" i="11"/>
  <c r="WGU1" i="11"/>
  <c r="WGT1" i="11"/>
  <c r="WGS1" i="11"/>
  <c r="WGR1" i="11"/>
  <c r="WGQ1" i="11"/>
  <c r="WGP1" i="11"/>
  <c r="WGO1" i="11"/>
  <c r="WGN1" i="11"/>
  <c r="WGM1" i="11"/>
  <c r="WGL1" i="11"/>
  <c r="WGK1" i="11"/>
  <c r="WGJ1" i="11"/>
  <c r="WGI1" i="11"/>
  <c r="WGH1" i="11"/>
  <c r="WGG1" i="11"/>
  <c r="WGF1" i="11"/>
  <c r="WGE1" i="11"/>
  <c r="WGD1" i="11"/>
  <c r="WGC1" i="11"/>
  <c r="WGB1" i="11"/>
  <c r="WGA1" i="11"/>
  <c r="WFZ1" i="11"/>
  <c r="WFY1" i="11"/>
  <c r="WFX1" i="11"/>
  <c r="WFW1" i="11"/>
  <c r="WFV1" i="11"/>
  <c r="WFU1" i="11"/>
  <c r="WFT1" i="11"/>
  <c r="WFS1" i="11"/>
  <c r="WFR1" i="11"/>
  <c r="WFQ1" i="11"/>
  <c r="WFP1" i="11"/>
  <c r="WFO1" i="11"/>
  <c r="WFN1" i="11"/>
  <c r="WFM1" i="11"/>
  <c r="WFL1" i="11"/>
  <c r="WFK1" i="11"/>
  <c r="WFJ1" i="11"/>
  <c r="WFI1" i="11"/>
  <c r="WFH1" i="11"/>
  <c r="WFG1" i="11"/>
  <c r="WFF1" i="11"/>
  <c r="WFE1" i="11"/>
  <c r="WFD1" i="11"/>
  <c r="WFC1" i="11"/>
  <c r="WFB1" i="11"/>
  <c r="WFA1" i="11"/>
  <c r="WEZ1" i="11"/>
  <c r="WEY1" i="11"/>
  <c r="WEX1" i="11"/>
  <c r="WEW1" i="11"/>
  <c r="WEV1" i="11"/>
  <c r="WEU1" i="11"/>
  <c r="WET1" i="11"/>
  <c r="WES1" i="11"/>
  <c r="WER1" i="11"/>
  <c r="WEQ1" i="11"/>
  <c r="WEP1" i="11"/>
  <c r="WEO1" i="11"/>
  <c r="WEN1" i="11"/>
  <c r="WEM1" i="11"/>
  <c r="WEL1" i="11"/>
  <c r="WEK1" i="11"/>
  <c r="WEJ1" i="11"/>
  <c r="WEI1" i="11"/>
  <c r="WEH1" i="11"/>
  <c r="WEG1" i="11"/>
  <c r="WEF1" i="11"/>
  <c r="WEE1" i="11"/>
  <c r="WED1" i="11"/>
  <c r="WEC1" i="11"/>
  <c r="WEB1" i="11"/>
  <c r="WEA1" i="11"/>
  <c r="WDZ1" i="11"/>
  <c r="WDY1" i="11"/>
  <c r="WDX1" i="11"/>
  <c r="WDW1" i="11"/>
  <c r="WDV1" i="11"/>
  <c r="WDU1" i="11"/>
  <c r="WDT1" i="11"/>
  <c r="WDS1" i="11"/>
  <c r="WDR1" i="11"/>
  <c r="WDQ1" i="11"/>
  <c r="WDP1" i="11"/>
  <c r="WDO1" i="11"/>
  <c r="WDN1" i="11"/>
  <c r="WDM1" i="11"/>
  <c r="WDL1" i="11"/>
  <c r="WDK1" i="11"/>
  <c r="WDJ1" i="11"/>
  <c r="WDI1" i="11"/>
  <c r="WDH1" i="11"/>
  <c r="WDG1" i="11"/>
  <c r="WDF1" i="11"/>
  <c r="WDE1" i="11"/>
  <c r="WDD1" i="11"/>
  <c r="WDC1" i="11"/>
  <c r="WDB1" i="11"/>
  <c r="WDA1" i="11"/>
  <c r="WCZ1" i="11"/>
  <c r="WCY1" i="11"/>
  <c r="WCX1" i="11"/>
  <c r="WCW1" i="11"/>
  <c r="WCV1" i="11"/>
  <c r="WCU1" i="11"/>
  <c r="WCT1" i="11"/>
  <c r="WCS1" i="11"/>
  <c r="WCR1" i="11"/>
  <c r="WCQ1" i="11"/>
  <c r="WCP1" i="11"/>
  <c r="WCO1" i="11"/>
  <c r="WCN1" i="11"/>
  <c r="WCM1" i="11"/>
  <c r="WCL1" i="11"/>
  <c r="WCK1" i="11"/>
  <c r="WCJ1" i="11"/>
  <c r="WCI1" i="11"/>
  <c r="WCH1" i="11"/>
  <c r="WCG1" i="11"/>
  <c r="WCF1" i="11"/>
  <c r="WCE1" i="11"/>
  <c r="WCD1" i="11"/>
  <c r="WCC1" i="11"/>
  <c r="WCB1" i="11"/>
  <c r="WCA1" i="11"/>
  <c r="WBZ1" i="11"/>
  <c r="WBY1" i="11"/>
  <c r="WBX1" i="11"/>
  <c r="WBW1" i="11"/>
  <c r="WBV1" i="11"/>
  <c r="WBU1" i="11"/>
  <c r="WBT1" i="11"/>
  <c r="WBS1" i="11"/>
  <c r="WBR1" i="11"/>
  <c r="WBQ1" i="11"/>
  <c r="WBP1" i="11"/>
  <c r="WBO1" i="11"/>
  <c r="WBN1" i="11"/>
  <c r="WBM1" i="11"/>
  <c r="WBL1" i="11"/>
  <c r="WBK1" i="11"/>
  <c r="WBJ1" i="11"/>
  <c r="WBI1" i="11"/>
  <c r="WBH1" i="11"/>
  <c r="WBG1" i="11"/>
  <c r="WBF1" i="11"/>
  <c r="WBE1" i="11"/>
  <c r="WBD1" i="11"/>
  <c r="WBC1" i="11"/>
  <c r="WBB1" i="11"/>
  <c r="WBA1" i="11"/>
  <c r="WAZ1" i="11"/>
  <c r="WAY1" i="11"/>
  <c r="WAX1" i="11"/>
  <c r="WAW1" i="11"/>
  <c r="WAV1" i="11"/>
  <c r="WAU1" i="11"/>
  <c r="WAT1" i="11"/>
  <c r="WAS1" i="11"/>
  <c r="WAR1" i="11"/>
  <c r="WAQ1" i="11"/>
  <c r="WAP1" i="11"/>
  <c r="WAO1" i="11"/>
  <c r="WAN1" i="11"/>
  <c r="WAM1" i="11"/>
  <c r="WAL1" i="11"/>
  <c r="WAK1" i="11"/>
  <c r="WAJ1" i="11"/>
  <c r="WAI1" i="11"/>
  <c r="WAH1" i="11"/>
  <c r="WAG1" i="11"/>
  <c r="WAF1" i="11"/>
  <c r="WAE1" i="11"/>
  <c r="WAD1" i="11"/>
  <c r="WAC1" i="11"/>
  <c r="WAB1" i="11"/>
  <c r="WAA1" i="11"/>
  <c r="VZZ1" i="11"/>
  <c r="VZY1" i="11"/>
  <c r="VZX1" i="11"/>
  <c r="VZW1" i="11"/>
  <c r="VZV1" i="11"/>
  <c r="VZU1" i="11"/>
  <c r="VZT1" i="11"/>
  <c r="VZS1" i="11"/>
  <c r="VZR1" i="11"/>
  <c r="VZQ1" i="11"/>
  <c r="VZP1" i="11"/>
  <c r="VZO1" i="11"/>
  <c r="VZN1" i="11"/>
  <c r="VZM1" i="11"/>
  <c r="VZL1" i="11"/>
  <c r="VZK1" i="11"/>
  <c r="VZJ1" i="11"/>
  <c r="VZI1" i="11"/>
  <c r="VZH1" i="11"/>
  <c r="VZG1" i="11"/>
  <c r="VZF1" i="11"/>
  <c r="VZE1" i="11"/>
  <c r="VZD1" i="11"/>
  <c r="VZC1" i="11"/>
  <c r="VZB1" i="11"/>
  <c r="VZA1" i="11"/>
  <c r="VYZ1" i="11"/>
  <c r="VYY1" i="11"/>
  <c r="VYX1" i="11"/>
  <c r="VYW1" i="11"/>
  <c r="VYV1" i="11"/>
  <c r="VYU1" i="11"/>
  <c r="VYT1" i="11"/>
  <c r="VYS1" i="11"/>
  <c r="VYR1" i="11"/>
  <c r="VYQ1" i="11"/>
  <c r="VYP1" i="11"/>
  <c r="VYO1" i="11"/>
  <c r="VYN1" i="11"/>
  <c r="VYM1" i="11"/>
  <c r="VYL1" i="11"/>
  <c r="VYK1" i="11"/>
  <c r="VYJ1" i="11"/>
  <c r="VYI1" i="11"/>
  <c r="VYH1" i="11"/>
  <c r="VYG1" i="11"/>
  <c r="VYF1" i="11"/>
  <c r="VYE1" i="11"/>
  <c r="VYD1" i="11"/>
  <c r="VYC1" i="11"/>
  <c r="VYB1" i="11"/>
  <c r="VYA1" i="11"/>
  <c r="VXZ1" i="11"/>
  <c r="VXY1" i="11"/>
  <c r="VXX1" i="11"/>
  <c r="VXW1" i="11"/>
  <c r="VXV1" i="11"/>
  <c r="VXU1" i="11"/>
  <c r="VXT1" i="11"/>
  <c r="VXS1" i="11"/>
  <c r="VXR1" i="11"/>
  <c r="VXQ1" i="11"/>
  <c r="VXP1" i="11"/>
  <c r="VXO1" i="11"/>
  <c r="VXN1" i="11"/>
  <c r="VXM1" i="11"/>
  <c r="VXL1" i="11"/>
  <c r="VXK1" i="11"/>
  <c r="VXJ1" i="11"/>
  <c r="VXI1" i="11"/>
  <c r="VXH1" i="11"/>
  <c r="VXG1" i="11"/>
  <c r="VXF1" i="11"/>
  <c r="VXE1" i="11"/>
  <c r="VXD1" i="11"/>
  <c r="VXC1" i="11"/>
  <c r="VXB1" i="11"/>
  <c r="VXA1" i="11"/>
  <c r="VWZ1" i="11"/>
  <c r="VWY1" i="11"/>
  <c r="VWX1" i="11"/>
  <c r="VWW1" i="11"/>
  <c r="VWV1" i="11"/>
  <c r="VWU1" i="11"/>
  <c r="VWT1" i="11"/>
  <c r="VWS1" i="11"/>
  <c r="VWR1" i="11"/>
  <c r="VWQ1" i="11"/>
  <c r="VWP1" i="11"/>
  <c r="VWO1" i="11"/>
  <c r="VWN1" i="11"/>
  <c r="VWM1" i="11"/>
  <c r="VWL1" i="11"/>
  <c r="VWK1" i="11"/>
  <c r="VWJ1" i="11"/>
  <c r="VWI1" i="11"/>
  <c r="VWH1" i="11"/>
  <c r="VWG1" i="11"/>
  <c r="VWF1" i="11"/>
  <c r="VWE1" i="11"/>
  <c r="VWD1" i="11"/>
  <c r="VWC1" i="11"/>
  <c r="VWB1" i="11"/>
  <c r="VWA1" i="11"/>
  <c r="VVZ1" i="11"/>
  <c r="VVY1" i="11"/>
  <c r="VVX1" i="11"/>
  <c r="VVW1" i="11"/>
  <c r="VVV1" i="11"/>
  <c r="VVU1" i="11"/>
  <c r="VVT1" i="11"/>
  <c r="VVS1" i="11"/>
  <c r="VVR1" i="11"/>
  <c r="VVQ1" i="11"/>
  <c r="VVP1" i="11"/>
  <c r="VVO1" i="11"/>
  <c r="VVN1" i="11"/>
  <c r="VVM1" i="11"/>
  <c r="VVL1" i="11"/>
  <c r="VVK1" i="11"/>
  <c r="VVJ1" i="11"/>
  <c r="VVI1" i="11"/>
  <c r="VVH1" i="11"/>
  <c r="VVG1" i="11"/>
  <c r="VVF1" i="11"/>
  <c r="VVE1" i="11"/>
  <c r="VVD1" i="11"/>
  <c r="VVC1" i="11"/>
  <c r="VVB1" i="11"/>
  <c r="VVA1" i="11"/>
  <c r="VUZ1" i="11"/>
  <c r="VUY1" i="11"/>
  <c r="VUX1" i="11"/>
  <c r="VUW1" i="11"/>
  <c r="VUV1" i="11"/>
  <c r="VUU1" i="11"/>
  <c r="VUT1" i="11"/>
  <c r="VUS1" i="11"/>
  <c r="VUR1" i="11"/>
  <c r="VUQ1" i="11"/>
  <c r="VUP1" i="11"/>
  <c r="VUO1" i="11"/>
  <c r="VUN1" i="11"/>
  <c r="VUM1" i="11"/>
  <c r="VUL1" i="11"/>
  <c r="VUK1" i="11"/>
  <c r="VUJ1" i="11"/>
  <c r="VUI1" i="11"/>
  <c r="VUH1" i="11"/>
  <c r="VUG1" i="11"/>
  <c r="VUF1" i="11"/>
  <c r="VUE1" i="11"/>
  <c r="VUD1" i="11"/>
  <c r="VUC1" i="11"/>
  <c r="VUB1" i="11"/>
  <c r="VUA1" i="11"/>
  <c r="VTZ1" i="11"/>
  <c r="VTY1" i="11"/>
  <c r="VTX1" i="11"/>
  <c r="VTW1" i="11"/>
  <c r="VTV1" i="11"/>
  <c r="VTU1" i="11"/>
  <c r="VTT1" i="11"/>
  <c r="VTS1" i="11"/>
  <c r="VTR1" i="11"/>
  <c r="VTQ1" i="11"/>
  <c r="VTP1" i="11"/>
  <c r="VTO1" i="11"/>
  <c r="VTN1" i="11"/>
  <c r="VTM1" i="11"/>
  <c r="VTL1" i="11"/>
  <c r="VTK1" i="11"/>
  <c r="VTJ1" i="11"/>
  <c r="VTI1" i="11"/>
  <c r="VTH1" i="11"/>
  <c r="VTG1" i="11"/>
  <c r="VTF1" i="11"/>
  <c r="VTE1" i="11"/>
  <c r="VTD1" i="11"/>
  <c r="VTC1" i="11"/>
  <c r="VTB1" i="11"/>
  <c r="VTA1" i="11"/>
  <c r="VSZ1" i="11"/>
  <c r="VSY1" i="11"/>
  <c r="VSX1" i="11"/>
  <c r="VSW1" i="11"/>
  <c r="VSV1" i="11"/>
  <c r="VSU1" i="11"/>
  <c r="VST1" i="11"/>
  <c r="VSS1" i="11"/>
  <c r="VSR1" i="11"/>
  <c r="VSQ1" i="11"/>
  <c r="VSP1" i="11"/>
  <c r="VSO1" i="11"/>
  <c r="VSN1" i="11"/>
  <c r="VSM1" i="11"/>
  <c r="VSL1" i="11"/>
  <c r="VSK1" i="11"/>
  <c r="VSJ1" i="11"/>
  <c r="VSI1" i="11"/>
  <c r="VSH1" i="11"/>
  <c r="VSG1" i="11"/>
  <c r="VSF1" i="11"/>
  <c r="VSE1" i="11"/>
  <c r="VSD1" i="11"/>
  <c r="VSC1" i="11"/>
  <c r="VSB1" i="11"/>
  <c r="VSA1" i="11"/>
  <c r="VRZ1" i="11"/>
  <c r="VRY1" i="11"/>
  <c r="VRX1" i="11"/>
  <c r="VRW1" i="11"/>
  <c r="VRV1" i="11"/>
  <c r="VRU1" i="11"/>
  <c r="VRT1" i="11"/>
  <c r="VRS1" i="11"/>
  <c r="VRR1" i="11"/>
  <c r="VRQ1" i="11"/>
  <c r="VRP1" i="11"/>
  <c r="VRO1" i="11"/>
  <c r="VRN1" i="11"/>
  <c r="VRM1" i="11"/>
  <c r="VRL1" i="11"/>
  <c r="VRK1" i="11"/>
  <c r="VRJ1" i="11"/>
  <c r="VRI1" i="11"/>
  <c r="VRH1" i="11"/>
  <c r="VRG1" i="11"/>
  <c r="VRF1" i="11"/>
  <c r="VRE1" i="11"/>
  <c r="VRD1" i="11"/>
  <c r="VRC1" i="11"/>
  <c r="VRB1" i="11"/>
  <c r="VRA1" i="11"/>
  <c r="VQZ1" i="11"/>
  <c r="VQY1" i="11"/>
  <c r="VQX1" i="11"/>
  <c r="VQW1" i="11"/>
  <c r="VQV1" i="11"/>
  <c r="VQU1" i="11"/>
  <c r="VQT1" i="11"/>
  <c r="VQS1" i="11"/>
  <c r="VQR1" i="11"/>
  <c r="VQQ1" i="11"/>
  <c r="VQP1" i="11"/>
  <c r="VQO1" i="11"/>
  <c r="VQN1" i="11"/>
  <c r="VQM1" i="11"/>
  <c r="VQL1" i="11"/>
  <c r="VQK1" i="11"/>
  <c r="VQJ1" i="11"/>
  <c r="VQI1" i="11"/>
  <c r="VQH1" i="11"/>
  <c r="VQG1" i="11"/>
  <c r="VQF1" i="11"/>
  <c r="VQE1" i="11"/>
  <c r="VQD1" i="11"/>
  <c r="VQC1" i="11"/>
  <c r="VQB1" i="11"/>
  <c r="VQA1" i="11"/>
  <c r="VPZ1" i="11"/>
  <c r="VPY1" i="11"/>
  <c r="VPX1" i="11"/>
  <c r="VPW1" i="11"/>
  <c r="VPV1" i="11"/>
  <c r="VPU1" i="11"/>
  <c r="VPT1" i="11"/>
  <c r="VPS1" i="11"/>
  <c r="VPR1" i="11"/>
  <c r="VPQ1" i="11"/>
  <c r="VPP1" i="11"/>
  <c r="VPO1" i="11"/>
  <c r="VPN1" i="11"/>
  <c r="VPM1" i="11"/>
  <c r="VPL1" i="11"/>
  <c r="VPK1" i="11"/>
  <c r="VPJ1" i="11"/>
  <c r="VPI1" i="11"/>
  <c r="VPH1" i="11"/>
  <c r="VPG1" i="11"/>
  <c r="VPF1" i="11"/>
  <c r="VPE1" i="11"/>
  <c r="VPD1" i="11"/>
  <c r="VPC1" i="11"/>
  <c r="VPB1" i="11"/>
  <c r="VPA1" i="11"/>
  <c r="VOZ1" i="11"/>
  <c r="VOY1" i="11"/>
  <c r="VOX1" i="11"/>
  <c r="VOW1" i="11"/>
  <c r="VOV1" i="11"/>
  <c r="VOU1" i="11"/>
  <c r="VOT1" i="11"/>
  <c r="VOS1" i="11"/>
  <c r="VOR1" i="11"/>
  <c r="VOQ1" i="11"/>
  <c r="VOP1" i="11"/>
  <c r="VOO1" i="11"/>
  <c r="VON1" i="11"/>
  <c r="VOM1" i="11"/>
  <c r="VOL1" i="11"/>
  <c r="VOK1" i="11"/>
  <c r="VOJ1" i="11"/>
  <c r="VOI1" i="11"/>
  <c r="VOH1" i="11"/>
  <c r="VOG1" i="11"/>
  <c r="VOF1" i="11"/>
  <c r="VOE1" i="11"/>
  <c r="VOD1" i="11"/>
  <c r="VOC1" i="11"/>
  <c r="VOB1" i="11"/>
  <c r="VOA1" i="11"/>
  <c r="VNZ1" i="11"/>
  <c r="VNY1" i="11"/>
  <c r="VNX1" i="11"/>
  <c r="VNW1" i="11"/>
  <c r="VNV1" i="11"/>
  <c r="VNU1" i="11"/>
  <c r="VNT1" i="11"/>
  <c r="VNS1" i="11"/>
  <c r="VNR1" i="11"/>
  <c r="VNQ1" i="11"/>
  <c r="VNP1" i="11"/>
  <c r="VNO1" i="11"/>
  <c r="VNN1" i="11"/>
  <c r="VNM1" i="11"/>
  <c r="VNL1" i="11"/>
  <c r="VNK1" i="11"/>
  <c r="VNJ1" i="11"/>
  <c r="VNI1" i="11"/>
  <c r="VNH1" i="11"/>
  <c r="VNG1" i="11"/>
  <c r="VNF1" i="11"/>
  <c r="VNE1" i="11"/>
  <c r="VND1" i="11"/>
  <c r="VNC1" i="11"/>
  <c r="VNB1" i="11"/>
  <c r="VNA1" i="11"/>
  <c r="VMZ1" i="11"/>
  <c r="VMY1" i="11"/>
  <c r="VMX1" i="11"/>
  <c r="VMW1" i="11"/>
  <c r="VMV1" i="11"/>
  <c r="VMU1" i="11"/>
  <c r="VMT1" i="11"/>
  <c r="VMS1" i="11"/>
  <c r="VMR1" i="11"/>
  <c r="VMQ1" i="11"/>
  <c r="VMP1" i="11"/>
  <c r="VMO1" i="11"/>
  <c r="VMN1" i="11"/>
  <c r="VMM1" i="11"/>
  <c r="VML1" i="11"/>
  <c r="VMK1" i="11"/>
  <c r="VMJ1" i="11"/>
  <c r="VMI1" i="11"/>
  <c r="VMH1" i="11"/>
  <c r="VMG1" i="11"/>
  <c r="VMF1" i="11"/>
  <c r="VME1" i="11"/>
  <c r="VMD1" i="11"/>
  <c r="VMC1" i="11"/>
  <c r="VMB1" i="11"/>
  <c r="VMA1" i="11"/>
  <c r="VLZ1" i="11"/>
  <c r="VLY1" i="11"/>
  <c r="VLX1" i="11"/>
  <c r="VLW1" i="11"/>
  <c r="VLV1" i="11"/>
  <c r="VLU1" i="11"/>
  <c r="VLT1" i="11"/>
  <c r="VLS1" i="11"/>
  <c r="VLR1" i="11"/>
  <c r="VLQ1" i="11"/>
  <c r="VLP1" i="11"/>
  <c r="VLO1" i="11"/>
  <c r="VLN1" i="11"/>
  <c r="VLM1" i="11"/>
  <c r="VLL1" i="11"/>
  <c r="VLK1" i="11"/>
  <c r="VLJ1" i="11"/>
  <c r="VLI1" i="11"/>
  <c r="VLH1" i="11"/>
  <c r="VLG1" i="11"/>
  <c r="VLF1" i="11"/>
  <c r="VLE1" i="11"/>
  <c r="VLD1" i="11"/>
  <c r="VLC1" i="11"/>
  <c r="VLB1" i="11"/>
  <c r="VLA1" i="11"/>
  <c r="VKZ1" i="11"/>
  <c r="VKY1" i="11"/>
  <c r="VKX1" i="11"/>
  <c r="VKW1" i="11"/>
  <c r="VKV1" i="11"/>
  <c r="VKU1" i="11"/>
  <c r="VKT1" i="11"/>
  <c r="VKS1" i="11"/>
  <c r="VKR1" i="11"/>
  <c r="VKQ1" i="11"/>
  <c r="VKP1" i="11"/>
  <c r="VKO1" i="11"/>
  <c r="VKN1" i="11"/>
  <c r="VKM1" i="11"/>
  <c r="VKL1" i="11"/>
  <c r="VKK1" i="11"/>
  <c r="VKJ1" i="11"/>
  <c r="VKI1" i="11"/>
  <c r="VKH1" i="11"/>
  <c r="VKG1" i="11"/>
  <c r="VKF1" i="11"/>
  <c r="VKE1" i="11"/>
  <c r="VKD1" i="11"/>
  <c r="VKC1" i="11"/>
  <c r="VKB1" i="11"/>
  <c r="VKA1" i="11"/>
  <c r="VJZ1" i="11"/>
  <c r="VJY1" i="11"/>
  <c r="VJX1" i="11"/>
  <c r="VJW1" i="11"/>
  <c r="VJV1" i="11"/>
  <c r="VJU1" i="11"/>
  <c r="VJT1" i="11"/>
  <c r="VJS1" i="11"/>
  <c r="VJR1" i="11"/>
  <c r="VJQ1" i="11"/>
  <c r="VJP1" i="11"/>
  <c r="VJO1" i="11"/>
  <c r="VJN1" i="11"/>
  <c r="VJM1" i="11"/>
  <c r="VJL1" i="11"/>
  <c r="VJK1" i="11"/>
  <c r="VJJ1" i="11"/>
  <c r="VJI1" i="11"/>
  <c r="VJH1" i="11"/>
  <c r="VJG1" i="11"/>
  <c r="VJF1" i="11"/>
  <c r="VJE1" i="11"/>
  <c r="VJD1" i="11"/>
  <c r="VJC1" i="11"/>
  <c r="VJB1" i="11"/>
  <c r="VJA1" i="11"/>
  <c r="VIZ1" i="11"/>
  <c r="VIY1" i="11"/>
  <c r="VIX1" i="11"/>
  <c r="VIW1" i="11"/>
  <c r="VIV1" i="11"/>
  <c r="VIU1" i="11"/>
  <c r="VIT1" i="11"/>
  <c r="VIS1" i="11"/>
  <c r="VIR1" i="11"/>
  <c r="VIQ1" i="11"/>
  <c r="VIP1" i="11"/>
  <c r="VIO1" i="11"/>
  <c r="VIN1" i="11"/>
  <c r="VIM1" i="11"/>
  <c r="VIL1" i="11"/>
  <c r="VIK1" i="11"/>
  <c r="VIJ1" i="11"/>
  <c r="VII1" i="11"/>
  <c r="VIH1" i="11"/>
  <c r="VIG1" i="11"/>
  <c r="VIF1" i="11"/>
  <c r="VIE1" i="11"/>
  <c r="VID1" i="11"/>
  <c r="VIC1" i="11"/>
  <c r="VIB1" i="11"/>
  <c r="VIA1" i="11"/>
  <c r="VHZ1" i="11"/>
  <c r="VHY1" i="11"/>
  <c r="VHX1" i="11"/>
  <c r="VHW1" i="11"/>
  <c r="VHV1" i="11"/>
  <c r="VHU1" i="11"/>
  <c r="VHT1" i="11"/>
  <c r="VHS1" i="11"/>
  <c r="VHR1" i="11"/>
  <c r="VHQ1" i="11"/>
  <c r="VHP1" i="11"/>
  <c r="VHO1" i="11"/>
  <c r="VHN1" i="11"/>
  <c r="VHM1" i="11"/>
  <c r="VHL1" i="11"/>
  <c r="VHK1" i="11"/>
  <c r="VHJ1" i="11"/>
  <c r="VHI1" i="11"/>
  <c r="VHH1" i="11"/>
  <c r="VHG1" i="11"/>
  <c r="VHF1" i="11"/>
  <c r="VHE1" i="11"/>
  <c r="VHD1" i="11"/>
  <c r="VHC1" i="11"/>
  <c r="VHB1" i="11"/>
  <c r="VHA1" i="11"/>
  <c r="VGZ1" i="11"/>
  <c r="VGY1" i="11"/>
  <c r="VGX1" i="11"/>
  <c r="VGW1" i="11"/>
  <c r="VGV1" i="11"/>
  <c r="VGU1" i="11"/>
  <c r="VGT1" i="11"/>
  <c r="VGS1" i="11"/>
  <c r="VGR1" i="11"/>
  <c r="VGQ1" i="11"/>
  <c r="VGP1" i="11"/>
  <c r="VGO1" i="11"/>
  <c r="VGN1" i="11"/>
  <c r="VGM1" i="11"/>
  <c r="VGL1" i="11"/>
  <c r="VGK1" i="11"/>
  <c r="VGJ1" i="11"/>
  <c r="VGI1" i="11"/>
  <c r="VGH1" i="11"/>
  <c r="VGG1" i="11"/>
  <c r="VGF1" i="11"/>
  <c r="VGE1" i="11"/>
  <c r="VGD1" i="11"/>
  <c r="VGC1" i="11"/>
  <c r="VGB1" i="11"/>
  <c r="VGA1" i="11"/>
  <c r="VFZ1" i="11"/>
  <c r="VFY1" i="11"/>
  <c r="VFX1" i="11"/>
  <c r="VFW1" i="11"/>
  <c r="VFV1" i="11"/>
  <c r="VFU1" i="11"/>
  <c r="VFT1" i="11"/>
  <c r="VFS1" i="11"/>
  <c r="VFR1" i="11"/>
  <c r="VFQ1" i="11"/>
  <c r="VFP1" i="11"/>
  <c r="VFO1" i="11"/>
  <c r="VFN1" i="11"/>
  <c r="VFM1" i="11"/>
  <c r="VFL1" i="11"/>
  <c r="VFK1" i="11"/>
  <c r="VFJ1" i="11"/>
  <c r="VFI1" i="11"/>
  <c r="VFH1" i="11"/>
  <c r="VFG1" i="11"/>
  <c r="VFF1" i="11"/>
  <c r="VFE1" i="11"/>
  <c r="VFD1" i="11"/>
  <c r="VFC1" i="11"/>
  <c r="VFB1" i="11"/>
  <c r="VFA1" i="11"/>
  <c r="VEZ1" i="11"/>
  <c r="VEY1" i="11"/>
  <c r="VEX1" i="11"/>
  <c r="VEW1" i="11"/>
  <c r="VEV1" i="11"/>
  <c r="VEU1" i="11"/>
  <c r="VET1" i="11"/>
  <c r="VES1" i="11"/>
  <c r="VER1" i="11"/>
  <c r="VEQ1" i="11"/>
  <c r="VEP1" i="11"/>
  <c r="VEO1" i="11"/>
  <c r="VEN1" i="11"/>
  <c r="VEM1" i="11"/>
  <c r="VEL1" i="11"/>
  <c r="VEK1" i="11"/>
  <c r="VEJ1" i="11"/>
  <c r="VEI1" i="11"/>
  <c r="VEH1" i="11"/>
  <c r="VEG1" i="11"/>
  <c r="VEF1" i="11"/>
  <c r="VEE1" i="11"/>
  <c r="VED1" i="11"/>
  <c r="VEC1" i="11"/>
  <c r="VEB1" i="11"/>
  <c r="VEA1" i="11"/>
  <c r="VDZ1" i="11"/>
  <c r="VDY1" i="11"/>
  <c r="VDX1" i="11"/>
  <c r="VDW1" i="11"/>
  <c r="VDV1" i="11"/>
  <c r="VDU1" i="11"/>
  <c r="VDT1" i="11"/>
  <c r="VDS1" i="11"/>
  <c r="VDR1" i="11"/>
  <c r="VDQ1" i="11"/>
  <c r="VDP1" i="11"/>
  <c r="VDO1" i="11"/>
  <c r="VDN1" i="11"/>
  <c r="VDM1" i="11"/>
  <c r="VDL1" i="11"/>
  <c r="VDK1" i="11"/>
  <c r="VDJ1" i="11"/>
  <c r="VDI1" i="11"/>
  <c r="VDH1" i="11"/>
  <c r="VDG1" i="11"/>
  <c r="VDF1" i="11"/>
  <c r="VDE1" i="11"/>
  <c r="VDD1" i="11"/>
  <c r="VDC1" i="11"/>
  <c r="VDB1" i="11"/>
  <c r="VDA1" i="11"/>
  <c r="VCZ1" i="11"/>
  <c r="VCY1" i="11"/>
  <c r="VCX1" i="11"/>
  <c r="VCW1" i="11"/>
  <c r="VCV1" i="11"/>
  <c r="VCU1" i="11"/>
  <c r="VCT1" i="11"/>
  <c r="VCS1" i="11"/>
  <c r="VCR1" i="11"/>
  <c r="VCQ1" i="11"/>
  <c r="VCP1" i="11"/>
  <c r="VCO1" i="11"/>
  <c r="VCN1" i="11"/>
  <c r="VCM1" i="11"/>
  <c r="VCL1" i="11"/>
  <c r="VCK1" i="11"/>
  <c r="VCJ1" i="11"/>
  <c r="VCI1" i="11"/>
  <c r="VCH1" i="11"/>
  <c r="VCG1" i="11"/>
  <c r="VCF1" i="11"/>
  <c r="VCE1" i="11"/>
  <c r="VCD1" i="11"/>
  <c r="VCC1" i="11"/>
  <c r="VCB1" i="11"/>
  <c r="VCA1" i="11"/>
  <c r="VBZ1" i="11"/>
  <c r="VBY1" i="11"/>
  <c r="VBX1" i="11"/>
  <c r="VBW1" i="11"/>
  <c r="VBV1" i="11"/>
  <c r="VBU1" i="11"/>
  <c r="VBT1" i="11"/>
  <c r="VBS1" i="11"/>
  <c r="VBR1" i="11"/>
  <c r="VBQ1" i="11"/>
  <c r="VBP1" i="11"/>
  <c r="VBO1" i="11"/>
  <c r="VBN1" i="11"/>
  <c r="VBM1" i="11"/>
  <c r="VBL1" i="11"/>
  <c r="VBK1" i="11"/>
  <c r="VBJ1" i="11"/>
  <c r="VBI1" i="11"/>
  <c r="VBH1" i="11"/>
  <c r="VBG1" i="11"/>
  <c r="VBF1" i="11"/>
  <c r="VBE1" i="11"/>
  <c r="VBD1" i="11"/>
  <c r="VBC1" i="11"/>
  <c r="VBB1" i="11"/>
  <c r="VBA1" i="11"/>
  <c r="VAZ1" i="11"/>
  <c r="VAY1" i="11"/>
  <c r="VAX1" i="11"/>
  <c r="VAW1" i="11"/>
  <c r="VAV1" i="11"/>
  <c r="VAU1" i="11"/>
  <c r="VAT1" i="11"/>
  <c r="VAS1" i="11"/>
  <c r="VAR1" i="11"/>
  <c r="VAQ1" i="11"/>
  <c r="VAP1" i="11"/>
  <c r="VAO1" i="11"/>
  <c r="VAN1" i="11"/>
  <c r="VAM1" i="11"/>
  <c r="VAL1" i="11"/>
  <c r="VAK1" i="11"/>
  <c r="VAJ1" i="11"/>
  <c r="VAI1" i="11"/>
  <c r="VAH1" i="11"/>
  <c r="VAG1" i="11"/>
  <c r="VAF1" i="11"/>
  <c r="VAE1" i="11"/>
  <c r="VAD1" i="11"/>
  <c r="VAC1" i="11"/>
  <c r="VAB1" i="11"/>
  <c r="VAA1" i="11"/>
  <c r="UZZ1" i="11"/>
  <c r="UZY1" i="11"/>
  <c r="UZX1" i="11"/>
  <c r="UZW1" i="11"/>
  <c r="UZV1" i="11"/>
  <c r="UZU1" i="11"/>
  <c r="UZT1" i="11"/>
  <c r="UZS1" i="11"/>
  <c r="UZR1" i="11"/>
  <c r="UZQ1" i="11"/>
  <c r="UZP1" i="11"/>
  <c r="UZO1" i="11"/>
  <c r="UZN1" i="11"/>
  <c r="UZM1" i="11"/>
  <c r="UZL1" i="11"/>
  <c r="UZK1" i="11"/>
  <c r="UZJ1" i="11"/>
  <c r="UZI1" i="11"/>
  <c r="UZH1" i="11"/>
  <c r="UZG1" i="11"/>
  <c r="UZF1" i="11"/>
  <c r="UZE1" i="11"/>
  <c r="UZD1" i="11"/>
  <c r="UZC1" i="11"/>
  <c r="UZB1" i="11"/>
  <c r="UZA1" i="11"/>
  <c r="UYZ1" i="11"/>
  <c r="UYY1" i="11"/>
  <c r="UYX1" i="11"/>
  <c r="UYW1" i="11"/>
  <c r="UYV1" i="11"/>
  <c r="UYU1" i="11"/>
  <c r="UYT1" i="11"/>
  <c r="UYS1" i="11"/>
  <c r="UYR1" i="11"/>
  <c r="UYQ1" i="11"/>
  <c r="UYP1" i="11"/>
  <c r="UYO1" i="11"/>
  <c r="UYN1" i="11"/>
  <c r="UYM1" i="11"/>
  <c r="UYL1" i="11"/>
  <c r="UYK1" i="11"/>
  <c r="UYJ1" i="11"/>
  <c r="UYI1" i="11"/>
  <c r="UYH1" i="11"/>
  <c r="UYG1" i="11"/>
  <c r="UYF1" i="11"/>
  <c r="UYE1" i="11"/>
  <c r="UYD1" i="11"/>
  <c r="UYC1" i="11"/>
  <c r="UYB1" i="11"/>
  <c r="UYA1" i="11"/>
  <c r="UXZ1" i="11"/>
  <c r="UXY1" i="11"/>
  <c r="UXX1" i="11"/>
  <c r="UXW1" i="11"/>
  <c r="UXV1" i="11"/>
  <c r="UXU1" i="11"/>
  <c r="UXT1" i="11"/>
  <c r="UXS1" i="11"/>
  <c r="UXR1" i="11"/>
  <c r="UXQ1" i="11"/>
  <c r="UXP1" i="11"/>
  <c r="UXO1" i="11"/>
  <c r="UXN1" i="11"/>
  <c r="UXM1" i="11"/>
  <c r="UXL1" i="11"/>
  <c r="UXK1" i="11"/>
  <c r="UXJ1" i="11"/>
  <c r="UXI1" i="11"/>
  <c r="UXH1" i="11"/>
  <c r="UXG1" i="11"/>
  <c r="UXF1" i="11"/>
  <c r="UXE1" i="11"/>
  <c r="UXD1" i="11"/>
  <c r="UXC1" i="11"/>
  <c r="UXB1" i="11"/>
  <c r="UXA1" i="11"/>
  <c r="UWZ1" i="11"/>
  <c r="UWY1" i="11"/>
  <c r="UWX1" i="11"/>
  <c r="UWW1" i="11"/>
  <c r="UWV1" i="11"/>
  <c r="UWU1" i="11"/>
  <c r="UWT1" i="11"/>
  <c r="UWS1" i="11"/>
  <c r="UWR1" i="11"/>
  <c r="UWQ1" i="11"/>
  <c r="UWP1" i="11"/>
  <c r="UWO1" i="11"/>
  <c r="UWN1" i="11"/>
  <c r="UWM1" i="11"/>
  <c r="UWL1" i="11"/>
  <c r="UWK1" i="11"/>
  <c r="UWJ1" i="11"/>
  <c r="UWI1" i="11"/>
  <c r="UWH1" i="11"/>
  <c r="UWG1" i="11"/>
  <c r="UWF1" i="11"/>
  <c r="UWE1" i="11"/>
  <c r="UWD1" i="11"/>
  <c r="UWC1" i="11"/>
  <c r="UWB1" i="11"/>
  <c r="UWA1" i="11"/>
  <c r="UVZ1" i="11"/>
  <c r="UVY1" i="11"/>
  <c r="UVX1" i="11"/>
  <c r="UVW1" i="11"/>
  <c r="UVV1" i="11"/>
  <c r="UVU1" i="11"/>
  <c r="UVT1" i="11"/>
  <c r="UVS1" i="11"/>
  <c r="UVR1" i="11"/>
  <c r="UVQ1" i="11"/>
  <c r="UVP1" i="11"/>
  <c r="UVO1" i="11"/>
  <c r="UVN1" i="11"/>
  <c r="UVM1" i="11"/>
  <c r="UVL1" i="11"/>
  <c r="UVK1" i="11"/>
  <c r="UVJ1" i="11"/>
  <c r="UVI1" i="11"/>
  <c r="UVH1" i="11"/>
  <c r="UVG1" i="11"/>
  <c r="UVF1" i="11"/>
  <c r="UVE1" i="11"/>
  <c r="UVD1" i="11"/>
  <c r="UVC1" i="11"/>
  <c r="UVB1" i="11"/>
  <c r="UVA1" i="11"/>
  <c r="UUZ1" i="11"/>
  <c r="UUY1" i="11"/>
  <c r="UUX1" i="11"/>
  <c r="UUW1" i="11"/>
  <c r="UUV1" i="11"/>
  <c r="UUU1" i="11"/>
  <c r="UUT1" i="11"/>
  <c r="UUS1" i="11"/>
  <c r="UUR1" i="11"/>
  <c r="UUQ1" i="11"/>
  <c r="UUP1" i="11"/>
  <c r="UUO1" i="11"/>
  <c r="UUN1" i="11"/>
  <c r="UUM1" i="11"/>
  <c r="UUL1" i="11"/>
  <c r="UUK1" i="11"/>
  <c r="UUJ1" i="11"/>
  <c r="UUI1" i="11"/>
  <c r="UUH1" i="11"/>
  <c r="UUG1" i="11"/>
  <c r="UUF1" i="11"/>
  <c r="UUE1" i="11"/>
  <c r="UUD1" i="11"/>
  <c r="UUC1" i="11"/>
  <c r="UUB1" i="11"/>
  <c r="UUA1" i="11"/>
  <c r="UTZ1" i="11"/>
  <c r="UTY1" i="11"/>
  <c r="UTX1" i="11"/>
  <c r="UTW1" i="11"/>
  <c r="UTV1" i="11"/>
  <c r="UTU1" i="11"/>
  <c r="UTT1" i="11"/>
  <c r="UTS1" i="11"/>
  <c r="UTR1" i="11"/>
  <c r="UTQ1" i="11"/>
  <c r="UTP1" i="11"/>
  <c r="UTO1" i="11"/>
  <c r="UTN1" i="11"/>
  <c r="UTM1" i="11"/>
  <c r="UTL1" i="11"/>
  <c r="UTK1" i="11"/>
  <c r="UTJ1" i="11"/>
  <c r="UTI1" i="11"/>
  <c r="UTH1" i="11"/>
  <c r="UTG1" i="11"/>
  <c r="UTF1" i="11"/>
  <c r="UTE1" i="11"/>
  <c r="UTD1" i="11"/>
  <c r="UTC1" i="11"/>
  <c r="UTB1" i="11"/>
  <c r="UTA1" i="11"/>
  <c r="USZ1" i="11"/>
  <c r="USY1" i="11"/>
  <c r="USX1" i="11"/>
  <c r="USW1" i="11"/>
  <c r="USV1" i="11"/>
  <c r="USU1" i="11"/>
  <c r="UST1" i="11"/>
  <c r="USS1" i="11"/>
  <c r="USR1" i="11"/>
  <c r="USQ1" i="11"/>
  <c r="USP1" i="11"/>
  <c r="USO1" i="11"/>
  <c r="USN1" i="11"/>
  <c r="USM1" i="11"/>
  <c r="USL1" i="11"/>
  <c r="USK1" i="11"/>
  <c r="USJ1" i="11"/>
  <c r="USI1" i="11"/>
  <c r="USH1" i="11"/>
  <c r="USG1" i="11"/>
  <c r="USF1" i="11"/>
  <c r="USE1" i="11"/>
  <c r="USD1" i="11"/>
  <c r="USC1" i="11"/>
  <c r="USB1" i="11"/>
  <c r="USA1" i="11"/>
  <c r="URZ1" i="11"/>
  <c r="URY1" i="11"/>
  <c r="URX1" i="11"/>
  <c r="URW1" i="11"/>
  <c r="URV1" i="11"/>
  <c r="URU1" i="11"/>
  <c r="URT1" i="11"/>
  <c r="URS1" i="11"/>
  <c r="URR1" i="11"/>
  <c r="URQ1" i="11"/>
  <c r="URP1" i="11"/>
  <c r="URO1" i="11"/>
  <c r="URN1" i="11"/>
  <c r="URM1" i="11"/>
  <c r="URL1" i="11"/>
  <c r="URK1" i="11"/>
  <c r="URJ1" i="11"/>
  <c r="URI1" i="11"/>
  <c r="URH1" i="11"/>
  <c r="URG1" i="11"/>
  <c r="URF1" i="11"/>
  <c r="URE1" i="11"/>
  <c r="URD1" i="11"/>
  <c r="URC1" i="11"/>
  <c r="URB1" i="11"/>
  <c r="URA1" i="11"/>
  <c r="UQZ1" i="11"/>
  <c r="UQY1" i="11"/>
  <c r="UQX1" i="11"/>
  <c r="UQW1" i="11"/>
  <c r="UQV1" i="11"/>
  <c r="UQU1" i="11"/>
  <c r="UQT1" i="11"/>
  <c r="UQS1" i="11"/>
  <c r="UQR1" i="11"/>
  <c r="UQQ1" i="11"/>
  <c r="UQP1" i="11"/>
  <c r="UQO1" i="11"/>
  <c r="UQN1" i="11"/>
  <c r="UQM1" i="11"/>
  <c r="UQL1" i="11"/>
  <c r="UQK1" i="11"/>
  <c r="UQJ1" i="11"/>
  <c r="UQI1" i="11"/>
  <c r="UQH1" i="11"/>
  <c r="UQG1" i="11"/>
  <c r="UQF1" i="11"/>
  <c r="UQE1" i="11"/>
  <c r="UQD1" i="11"/>
  <c r="UQC1" i="11"/>
  <c r="UQB1" i="11"/>
  <c r="UQA1" i="11"/>
  <c r="UPZ1" i="11"/>
  <c r="UPY1" i="11"/>
  <c r="UPX1" i="11"/>
  <c r="UPW1" i="11"/>
  <c r="UPV1" i="11"/>
  <c r="UPU1" i="11"/>
  <c r="UPT1" i="11"/>
  <c r="UPS1" i="11"/>
  <c r="UPR1" i="11"/>
  <c r="UPQ1" i="11"/>
  <c r="UPP1" i="11"/>
  <c r="UPO1" i="11"/>
  <c r="UPN1" i="11"/>
  <c r="UPM1" i="11"/>
  <c r="UPL1" i="11"/>
  <c r="UPK1" i="11"/>
  <c r="UPJ1" i="11"/>
  <c r="UPI1" i="11"/>
  <c r="UPH1" i="11"/>
  <c r="UPG1" i="11"/>
  <c r="UPF1" i="11"/>
  <c r="UPE1" i="11"/>
  <c r="UPD1" i="11"/>
  <c r="UPC1" i="11"/>
  <c r="UPB1" i="11"/>
  <c r="UPA1" i="11"/>
  <c r="UOZ1" i="11"/>
  <c r="UOY1" i="11"/>
  <c r="UOX1" i="11"/>
  <c r="UOW1" i="11"/>
  <c r="UOV1" i="11"/>
  <c r="UOU1" i="11"/>
  <c r="UOT1" i="11"/>
  <c r="UOS1" i="11"/>
  <c r="UOR1" i="11"/>
  <c r="UOQ1" i="11"/>
  <c r="UOP1" i="11"/>
  <c r="UOO1" i="11"/>
  <c r="UON1" i="11"/>
  <c r="UOM1" i="11"/>
  <c r="UOL1" i="11"/>
  <c r="UOK1" i="11"/>
  <c r="UOJ1" i="11"/>
  <c r="UOI1" i="11"/>
  <c r="UOH1" i="11"/>
  <c r="UOG1" i="11"/>
  <c r="UOF1" i="11"/>
  <c r="UOE1" i="11"/>
  <c r="UOD1" i="11"/>
  <c r="UOC1" i="11"/>
  <c r="UOB1" i="11"/>
  <c r="UOA1" i="11"/>
  <c r="UNZ1" i="11"/>
  <c r="UNY1" i="11"/>
  <c r="UNX1" i="11"/>
  <c r="UNW1" i="11"/>
  <c r="UNV1" i="11"/>
  <c r="UNU1" i="11"/>
  <c r="UNT1" i="11"/>
  <c r="UNS1" i="11"/>
  <c r="UNR1" i="11"/>
  <c r="UNQ1" i="11"/>
  <c r="UNP1" i="11"/>
  <c r="UNO1" i="11"/>
  <c r="UNN1" i="11"/>
  <c r="UNM1" i="11"/>
  <c r="UNL1" i="11"/>
  <c r="UNK1" i="11"/>
  <c r="UNJ1" i="11"/>
  <c r="UNI1" i="11"/>
  <c r="UNH1" i="11"/>
  <c r="UNG1" i="11"/>
  <c r="UNF1" i="11"/>
  <c r="UNE1" i="11"/>
  <c r="UND1" i="11"/>
  <c r="UNC1" i="11"/>
  <c r="UNB1" i="11"/>
  <c r="UNA1" i="11"/>
  <c r="UMZ1" i="11"/>
  <c r="UMY1" i="11"/>
  <c r="UMX1" i="11"/>
  <c r="UMW1" i="11"/>
  <c r="UMV1" i="11"/>
  <c r="UMU1" i="11"/>
  <c r="UMT1" i="11"/>
  <c r="UMS1" i="11"/>
  <c r="UMR1" i="11"/>
  <c r="UMQ1" i="11"/>
  <c r="UMP1" i="11"/>
  <c r="UMO1" i="11"/>
  <c r="UMN1" i="11"/>
  <c r="UMM1" i="11"/>
  <c r="UML1" i="11"/>
  <c r="UMK1" i="11"/>
  <c r="UMJ1" i="11"/>
  <c r="UMI1" i="11"/>
  <c r="UMH1" i="11"/>
  <c r="UMG1" i="11"/>
  <c r="UMF1" i="11"/>
  <c r="UME1" i="11"/>
  <c r="UMD1" i="11"/>
  <c r="UMC1" i="11"/>
  <c r="UMB1" i="11"/>
  <c r="UMA1" i="11"/>
  <c r="ULZ1" i="11"/>
  <c r="ULY1" i="11"/>
  <c r="ULX1" i="11"/>
  <c r="ULW1" i="11"/>
  <c r="ULV1" i="11"/>
  <c r="ULU1" i="11"/>
  <c r="ULT1" i="11"/>
  <c r="ULS1" i="11"/>
  <c r="ULR1" i="11"/>
  <c r="ULQ1" i="11"/>
  <c r="ULP1" i="11"/>
  <c r="ULO1" i="11"/>
  <c r="ULN1" i="11"/>
  <c r="ULM1" i="11"/>
  <c r="ULL1" i="11"/>
  <c r="ULK1" i="11"/>
  <c r="ULJ1" i="11"/>
  <c r="ULI1" i="11"/>
  <c r="ULH1" i="11"/>
  <c r="ULG1" i="11"/>
  <c r="ULF1" i="11"/>
  <c r="ULE1" i="11"/>
  <c r="ULD1" i="11"/>
  <c r="ULC1" i="11"/>
  <c r="ULB1" i="11"/>
  <c r="ULA1" i="11"/>
  <c r="UKZ1" i="11"/>
  <c r="UKY1" i="11"/>
  <c r="UKX1" i="11"/>
  <c r="UKW1" i="11"/>
  <c r="UKV1" i="11"/>
  <c r="UKU1" i="11"/>
  <c r="UKT1" i="11"/>
  <c r="UKS1" i="11"/>
  <c r="UKR1" i="11"/>
  <c r="UKQ1" i="11"/>
  <c r="UKP1" i="11"/>
  <c r="UKO1" i="11"/>
  <c r="UKN1" i="11"/>
  <c r="UKM1" i="11"/>
  <c r="UKL1" i="11"/>
  <c r="UKK1" i="11"/>
  <c r="UKJ1" i="11"/>
  <c r="UKI1" i="11"/>
  <c r="UKH1" i="11"/>
  <c r="UKG1" i="11"/>
  <c r="UKF1" i="11"/>
  <c r="UKE1" i="11"/>
  <c r="UKD1" i="11"/>
  <c r="UKC1" i="11"/>
  <c r="UKB1" i="11"/>
  <c r="UKA1" i="11"/>
  <c r="UJZ1" i="11"/>
  <c r="UJY1" i="11"/>
  <c r="UJX1" i="11"/>
  <c r="UJW1" i="11"/>
  <c r="UJV1" i="11"/>
  <c r="UJU1" i="11"/>
  <c r="UJT1" i="11"/>
  <c r="UJS1" i="11"/>
  <c r="UJR1" i="11"/>
  <c r="UJQ1" i="11"/>
  <c r="UJP1" i="11"/>
  <c r="UJO1" i="11"/>
  <c r="UJN1" i="11"/>
  <c r="UJM1" i="11"/>
  <c r="UJL1" i="11"/>
  <c r="UJK1" i="11"/>
  <c r="UJJ1" i="11"/>
  <c r="UJI1" i="11"/>
  <c r="UJH1" i="11"/>
  <c r="UJG1" i="11"/>
  <c r="UJF1" i="11"/>
  <c r="UJE1" i="11"/>
  <c r="UJD1" i="11"/>
  <c r="UJC1" i="11"/>
  <c r="UJB1" i="11"/>
  <c r="UJA1" i="11"/>
  <c r="UIZ1" i="11"/>
  <c r="UIY1" i="11"/>
  <c r="UIX1" i="11"/>
  <c r="UIW1" i="11"/>
  <c r="UIV1" i="11"/>
  <c r="UIU1" i="11"/>
  <c r="UIT1" i="11"/>
  <c r="UIS1" i="11"/>
  <c r="UIR1" i="11"/>
  <c r="UIQ1" i="11"/>
  <c r="UIP1" i="11"/>
  <c r="UIO1" i="11"/>
  <c r="UIN1" i="11"/>
  <c r="UIM1" i="11"/>
  <c r="UIL1" i="11"/>
  <c r="UIK1" i="11"/>
  <c r="UIJ1" i="11"/>
  <c r="UII1" i="11"/>
  <c r="UIH1" i="11"/>
  <c r="UIG1" i="11"/>
  <c r="UIF1" i="11"/>
  <c r="UIE1" i="11"/>
  <c r="UID1" i="11"/>
  <c r="UIC1" i="11"/>
  <c r="UIB1" i="11"/>
  <c r="UIA1" i="11"/>
  <c r="UHZ1" i="11"/>
  <c r="UHY1" i="11"/>
  <c r="UHX1" i="11"/>
  <c r="UHW1" i="11"/>
  <c r="UHV1" i="11"/>
  <c r="UHU1" i="11"/>
  <c r="UHT1" i="11"/>
  <c r="UHS1" i="11"/>
  <c r="UHR1" i="11"/>
  <c r="UHQ1" i="11"/>
  <c r="UHP1" i="11"/>
  <c r="UHO1" i="11"/>
  <c r="UHN1" i="11"/>
  <c r="UHM1" i="11"/>
  <c r="UHL1" i="11"/>
  <c r="UHK1" i="11"/>
  <c r="UHJ1" i="11"/>
  <c r="UHI1" i="11"/>
  <c r="UHH1" i="11"/>
  <c r="UHG1" i="11"/>
  <c r="UHF1" i="11"/>
  <c r="UHE1" i="11"/>
  <c r="UHD1" i="11"/>
  <c r="UHC1" i="11"/>
  <c r="UHB1" i="11"/>
  <c r="UHA1" i="11"/>
  <c r="UGZ1" i="11"/>
  <c r="UGY1" i="11"/>
  <c r="UGX1" i="11"/>
  <c r="UGW1" i="11"/>
  <c r="UGV1" i="11"/>
  <c r="UGU1" i="11"/>
  <c r="UGT1" i="11"/>
  <c r="UGS1" i="11"/>
  <c r="UGR1" i="11"/>
  <c r="UGQ1" i="11"/>
  <c r="UGP1" i="11"/>
  <c r="UGO1" i="11"/>
  <c r="UGN1" i="11"/>
  <c r="UGM1" i="11"/>
  <c r="UGL1" i="11"/>
  <c r="UGK1" i="11"/>
  <c r="UGJ1" i="11"/>
  <c r="UGI1" i="11"/>
  <c r="UGH1" i="11"/>
  <c r="UGG1" i="11"/>
  <c r="UGF1" i="11"/>
  <c r="UGE1" i="11"/>
  <c r="UGD1" i="11"/>
  <c r="UGC1" i="11"/>
  <c r="UGB1" i="11"/>
  <c r="UGA1" i="11"/>
  <c r="UFZ1" i="11"/>
  <c r="UFY1" i="11"/>
  <c r="UFX1" i="11"/>
  <c r="UFW1" i="11"/>
  <c r="UFV1" i="11"/>
  <c r="UFU1" i="11"/>
  <c r="UFT1" i="11"/>
  <c r="UFS1" i="11"/>
  <c r="UFR1" i="11"/>
  <c r="UFQ1" i="11"/>
  <c r="UFP1" i="11"/>
  <c r="UFO1" i="11"/>
  <c r="UFN1" i="11"/>
  <c r="UFM1" i="11"/>
  <c r="UFL1" i="11"/>
  <c r="UFK1" i="11"/>
  <c r="UFJ1" i="11"/>
  <c r="UFI1" i="11"/>
  <c r="UFH1" i="11"/>
  <c r="UFG1" i="11"/>
  <c r="UFF1" i="11"/>
  <c r="UFE1" i="11"/>
  <c r="UFD1" i="11"/>
  <c r="UFC1" i="11"/>
  <c r="UFB1" i="11"/>
  <c r="UFA1" i="11"/>
  <c r="UEZ1" i="11"/>
  <c r="UEY1" i="11"/>
  <c r="UEX1" i="11"/>
  <c r="UEW1" i="11"/>
  <c r="UEV1" i="11"/>
  <c r="UEU1" i="11"/>
  <c r="UET1" i="11"/>
  <c r="UES1" i="11"/>
  <c r="UER1" i="11"/>
  <c r="UEQ1" i="11"/>
  <c r="UEP1" i="11"/>
  <c r="UEO1" i="11"/>
  <c r="UEN1" i="11"/>
  <c r="UEM1" i="11"/>
  <c r="UEL1" i="11"/>
  <c r="UEK1" i="11"/>
  <c r="UEJ1" i="11"/>
  <c r="UEI1" i="11"/>
  <c r="UEH1" i="11"/>
  <c r="UEG1" i="11"/>
  <c r="UEF1" i="11"/>
  <c r="UEE1" i="11"/>
  <c r="UED1" i="11"/>
  <c r="UEC1" i="11"/>
  <c r="UEB1" i="11"/>
  <c r="UEA1" i="11"/>
  <c r="UDZ1" i="11"/>
  <c r="UDY1" i="11"/>
  <c r="UDX1" i="11"/>
  <c r="UDW1" i="11"/>
  <c r="UDV1" i="11"/>
  <c r="UDU1" i="11"/>
  <c r="UDT1" i="11"/>
  <c r="UDS1" i="11"/>
  <c r="UDR1" i="11"/>
  <c r="UDQ1" i="11"/>
  <c r="UDP1" i="11"/>
  <c r="UDO1" i="11"/>
  <c r="UDN1" i="11"/>
  <c r="UDM1" i="11"/>
  <c r="UDL1" i="11"/>
  <c r="UDK1" i="11"/>
  <c r="UDJ1" i="11"/>
  <c r="UDI1" i="11"/>
  <c r="UDH1" i="11"/>
  <c r="UDG1" i="11"/>
  <c r="UDF1" i="11"/>
  <c r="UDE1" i="11"/>
  <c r="UDD1" i="11"/>
  <c r="UDC1" i="11"/>
  <c r="UDB1" i="11"/>
  <c r="UDA1" i="11"/>
  <c r="UCZ1" i="11"/>
  <c r="UCY1" i="11"/>
  <c r="UCX1" i="11"/>
  <c r="UCW1" i="11"/>
  <c r="UCV1" i="11"/>
  <c r="UCU1" i="11"/>
  <c r="UCT1" i="11"/>
  <c r="UCS1" i="11"/>
  <c r="UCR1" i="11"/>
  <c r="UCQ1" i="11"/>
  <c r="UCP1" i="11"/>
  <c r="UCO1" i="11"/>
  <c r="UCN1" i="11"/>
  <c r="UCM1" i="11"/>
  <c r="UCL1" i="11"/>
  <c r="UCK1" i="11"/>
  <c r="UCJ1" i="11"/>
  <c r="UCI1" i="11"/>
  <c r="UCH1" i="11"/>
  <c r="UCG1" i="11"/>
  <c r="UCF1" i="11"/>
  <c r="UCE1" i="11"/>
  <c r="UCD1" i="11"/>
  <c r="UCC1" i="11"/>
  <c r="UCB1" i="11"/>
  <c r="UCA1" i="11"/>
  <c r="UBZ1" i="11"/>
  <c r="UBY1" i="11"/>
  <c r="UBX1" i="11"/>
  <c r="UBW1" i="11"/>
  <c r="UBV1" i="11"/>
  <c r="UBU1" i="11"/>
  <c r="UBT1" i="11"/>
  <c r="UBS1" i="11"/>
  <c r="UBR1" i="11"/>
  <c r="UBQ1" i="11"/>
  <c r="UBP1" i="11"/>
  <c r="UBO1" i="11"/>
  <c r="UBN1" i="11"/>
  <c r="UBM1" i="11"/>
  <c r="UBL1" i="11"/>
  <c r="UBK1" i="11"/>
  <c r="UBJ1" i="11"/>
  <c r="UBI1" i="11"/>
  <c r="UBH1" i="11"/>
  <c r="UBG1" i="11"/>
  <c r="UBF1" i="11"/>
  <c r="UBE1" i="11"/>
  <c r="UBD1" i="11"/>
  <c r="UBC1" i="11"/>
  <c r="UBB1" i="11"/>
  <c r="UBA1" i="11"/>
  <c r="UAZ1" i="11"/>
  <c r="UAY1" i="11"/>
  <c r="UAX1" i="11"/>
  <c r="UAW1" i="11"/>
  <c r="UAV1" i="11"/>
  <c r="UAU1" i="11"/>
  <c r="UAT1" i="11"/>
  <c r="UAS1" i="11"/>
  <c r="UAR1" i="11"/>
  <c r="UAQ1" i="11"/>
  <c r="UAP1" i="11"/>
  <c r="UAO1" i="11"/>
  <c r="UAN1" i="11"/>
  <c r="UAM1" i="11"/>
  <c r="UAL1" i="11"/>
  <c r="UAK1" i="11"/>
  <c r="UAJ1" i="11"/>
  <c r="UAI1" i="11"/>
  <c r="UAH1" i="11"/>
  <c r="UAG1" i="11"/>
  <c r="UAF1" i="11"/>
  <c r="UAE1" i="11"/>
  <c r="UAD1" i="11"/>
  <c r="UAC1" i="11"/>
  <c r="UAB1" i="11"/>
  <c r="UAA1" i="11"/>
  <c r="TZZ1" i="11"/>
  <c r="TZY1" i="11"/>
  <c r="TZX1" i="11"/>
  <c r="TZW1" i="11"/>
  <c r="TZV1" i="11"/>
  <c r="TZU1" i="11"/>
  <c r="TZT1" i="11"/>
  <c r="TZS1" i="11"/>
  <c r="TZR1" i="11"/>
  <c r="TZQ1" i="11"/>
  <c r="TZP1" i="11"/>
  <c r="TZO1" i="11"/>
  <c r="TZN1" i="11"/>
  <c r="TZM1" i="11"/>
  <c r="TZL1" i="11"/>
  <c r="TZK1" i="11"/>
  <c r="TZJ1" i="11"/>
  <c r="TZI1" i="11"/>
  <c r="TZH1" i="11"/>
  <c r="TZG1" i="11"/>
  <c r="TZF1" i="11"/>
  <c r="TZE1" i="11"/>
  <c r="TZD1" i="11"/>
  <c r="TZC1" i="11"/>
  <c r="TZB1" i="11"/>
  <c r="TZA1" i="11"/>
  <c r="TYZ1" i="11"/>
  <c r="TYY1" i="11"/>
  <c r="TYX1" i="11"/>
  <c r="TYW1" i="11"/>
  <c r="TYV1" i="11"/>
  <c r="TYU1" i="11"/>
  <c r="TYT1" i="11"/>
  <c r="TYS1" i="11"/>
  <c r="TYR1" i="11"/>
  <c r="TYQ1" i="11"/>
  <c r="TYP1" i="11"/>
  <c r="TYO1" i="11"/>
  <c r="TYN1" i="11"/>
  <c r="TYM1" i="11"/>
  <c r="TYL1" i="11"/>
  <c r="TYK1" i="11"/>
  <c r="TYJ1" i="11"/>
  <c r="TYI1" i="11"/>
  <c r="TYH1" i="11"/>
  <c r="TYG1" i="11"/>
  <c r="TYF1" i="11"/>
  <c r="TYE1" i="11"/>
  <c r="TYD1" i="11"/>
  <c r="TYC1" i="11"/>
  <c r="TYB1" i="11"/>
  <c r="TYA1" i="11"/>
  <c r="TXZ1" i="11"/>
  <c r="TXY1" i="11"/>
  <c r="TXX1" i="11"/>
  <c r="TXW1" i="11"/>
  <c r="TXV1" i="11"/>
  <c r="TXU1" i="11"/>
  <c r="TXT1" i="11"/>
  <c r="TXS1" i="11"/>
  <c r="TXR1" i="11"/>
  <c r="TXQ1" i="11"/>
  <c r="TXP1" i="11"/>
  <c r="TXO1" i="11"/>
  <c r="TXN1" i="11"/>
  <c r="TXM1" i="11"/>
  <c r="TXL1" i="11"/>
  <c r="TXK1" i="11"/>
  <c r="TXJ1" i="11"/>
  <c r="TXI1" i="11"/>
  <c r="TXH1" i="11"/>
  <c r="TXG1" i="11"/>
  <c r="TXF1" i="11"/>
  <c r="TXE1" i="11"/>
  <c r="TXD1" i="11"/>
  <c r="TXC1" i="11"/>
  <c r="TXB1" i="11"/>
  <c r="TXA1" i="11"/>
  <c r="TWZ1" i="11"/>
  <c r="TWY1" i="11"/>
  <c r="TWX1" i="11"/>
  <c r="TWW1" i="11"/>
  <c r="TWV1" i="11"/>
  <c r="TWU1" i="11"/>
  <c r="TWT1" i="11"/>
  <c r="TWS1" i="11"/>
  <c r="TWR1" i="11"/>
  <c r="TWQ1" i="11"/>
  <c r="TWP1" i="11"/>
  <c r="TWO1" i="11"/>
  <c r="TWN1" i="11"/>
  <c r="TWM1" i="11"/>
  <c r="TWL1" i="11"/>
  <c r="TWK1" i="11"/>
  <c r="TWJ1" i="11"/>
  <c r="TWI1" i="11"/>
  <c r="TWH1" i="11"/>
  <c r="TWG1" i="11"/>
  <c r="TWF1" i="11"/>
  <c r="TWE1" i="11"/>
  <c r="TWD1" i="11"/>
  <c r="TWC1" i="11"/>
  <c r="TWB1" i="11"/>
  <c r="TWA1" i="11"/>
  <c r="TVZ1" i="11"/>
  <c r="TVY1" i="11"/>
  <c r="TVX1" i="11"/>
  <c r="TVW1" i="11"/>
  <c r="TVV1" i="11"/>
  <c r="TVU1" i="11"/>
  <c r="TVT1" i="11"/>
  <c r="TVS1" i="11"/>
  <c r="TVR1" i="11"/>
  <c r="TVQ1" i="11"/>
  <c r="TVP1" i="11"/>
  <c r="TVO1" i="11"/>
  <c r="TVN1" i="11"/>
  <c r="TVM1" i="11"/>
  <c r="TVL1" i="11"/>
  <c r="TVK1" i="11"/>
  <c r="TVJ1" i="11"/>
  <c r="TVI1" i="11"/>
  <c r="TVH1" i="11"/>
  <c r="TVG1" i="11"/>
  <c r="TVF1" i="11"/>
  <c r="TVE1" i="11"/>
  <c r="TVD1" i="11"/>
  <c r="TVC1" i="11"/>
  <c r="TVB1" i="11"/>
  <c r="TVA1" i="11"/>
  <c r="TUZ1" i="11"/>
  <c r="TUY1" i="11"/>
  <c r="TUX1" i="11"/>
  <c r="TUW1" i="11"/>
  <c r="TUV1" i="11"/>
  <c r="TUU1" i="11"/>
  <c r="TUT1" i="11"/>
  <c r="TUS1" i="11"/>
  <c r="TUR1" i="11"/>
  <c r="TUQ1" i="11"/>
  <c r="TUP1" i="11"/>
  <c r="TUO1" i="11"/>
  <c r="TUN1" i="11"/>
  <c r="TUM1" i="11"/>
  <c r="TUL1" i="11"/>
  <c r="TUK1" i="11"/>
  <c r="TUJ1" i="11"/>
  <c r="TUI1" i="11"/>
  <c r="TUH1" i="11"/>
  <c r="TUG1" i="11"/>
  <c r="TUF1" i="11"/>
  <c r="TUE1" i="11"/>
  <c r="TUD1" i="11"/>
  <c r="TUC1" i="11"/>
  <c r="TUB1" i="11"/>
  <c r="TUA1" i="11"/>
  <c r="TTZ1" i="11"/>
  <c r="TTY1" i="11"/>
  <c r="TTX1" i="11"/>
  <c r="TTW1" i="11"/>
  <c r="TTV1" i="11"/>
  <c r="TTU1" i="11"/>
  <c r="TTT1" i="11"/>
  <c r="TTS1" i="11"/>
  <c r="TTR1" i="11"/>
  <c r="TTQ1" i="11"/>
  <c r="TTP1" i="11"/>
  <c r="TTO1" i="11"/>
  <c r="TTN1" i="11"/>
  <c r="TTM1" i="11"/>
  <c r="TTL1" i="11"/>
  <c r="TTK1" i="11"/>
  <c r="TTJ1" i="11"/>
  <c r="TTI1" i="11"/>
  <c r="TTH1" i="11"/>
  <c r="TTG1" i="11"/>
  <c r="TTF1" i="11"/>
  <c r="TTE1" i="11"/>
  <c r="TTD1" i="11"/>
  <c r="TTC1" i="11"/>
  <c r="TTB1" i="11"/>
  <c r="TTA1" i="11"/>
  <c r="TSZ1" i="11"/>
  <c r="TSY1" i="11"/>
  <c r="TSX1" i="11"/>
  <c r="TSW1" i="11"/>
  <c r="TSV1" i="11"/>
  <c r="TSU1" i="11"/>
  <c r="TST1" i="11"/>
  <c r="TSS1" i="11"/>
  <c r="TSR1" i="11"/>
  <c r="TSQ1" i="11"/>
  <c r="TSP1" i="11"/>
  <c r="TSO1" i="11"/>
  <c r="TSN1" i="11"/>
  <c r="TSM1" i="11"/>
  <c r="TSL1" i="11"/>
  <c r="TSK1" i="11"/>
  <c r="TSJ1" i="11"/>
  <c r="TSI1" i="11"/>
  <c r="TSH1" i="11"/>
  <c r="TSG1" i="11"/>
  <c r="TSF1" i="11"/>
  <c r="TSE1" i="11"/>
  <c r="TSD1" i="11"/>
  <c r="TSC1" i="11"/>
  <c r="TSB1" i="11"/>
  <c r="TSA1" i="11"/>
  <c r="TRZ1" i="11"/>
  <c r="TRY1" i="11"/>
  <c r="TRX1" i="11"/>
  <c r="TRW1" i="11"/>
  <c r="TRV1" i="11"/>
  <c r="TRU1" i="11"/>
  <c r="TRT1" i="11"/>
  <c r="TRS1" i="11"/>
  <c r="TRR1" i="11"/>
  <c r="TRQ1" i="11"/>
  <c r="TRP1" i="11"/>
  <c r="TRO1" i="11"/>
  <c r="TRN1" i="11"/>
  <c r="TRM1" i="11"/>
  <c r="TRL1" i="11"/>
  <c r="TRK1" i="11"/>
  <c r="TRJ1" i="11"/>
  <c r="TRI1" i="11"/>
  <c r="TRH1" i="11"/>
  <c r="TRG1" i="11"/>
  <c r="TRF1" i="11"/>
  <c r="TRE1" i="11"/>
  <c r="TRD1" i="11"/>
  <c r="TRC1" i="11"/>
  <c r="TRB1" i="11"/>
  <c r="TRA1" i="11"/>
  <c r="TQZ1" i="11"/>
  <c r="TQY1" i="11"/>
  <c r="TQX1" i="11"/>
  <c r="TQW1" i="11"/>
  <c r="TQV1" i="11"/>
  <c r="TQU1" i="11"/>
  <c r="TQT1" i="11"/>
  <c r="TQS1" i="11"/>
  <c r="TQR1" i="11"/>
  <c r="TQQ1" i="11"/>
  <c r="TQP1" i="11"/>
  <c r="TQO1" i="11"/>
  <c r="TQN1" i="11"/>
  <c r="TQM1" i="11"/>
  <c r="TQL1" i="11"/>
  <c r="TQK1" i="11"/>
  <c r="TQJ1" i="11"/>
  <c r="TQI1" i="11"/>
  <c r="TQH1" i="11"/>
  <c r="TQG1" i="11"/>
  <c r="TQF1" i="11"/>
  <c r="TQE1" i="11"/>
  <c r="TQD1" i="11"/>
  <c r="TQC1" i="11"/>
  <c r="TQB1" i="11"/>
  <c r="TQA1" i="11"/>
  <c r="TPZ1" i="11"/>
  <c r="TPY1" i="11"/>
  <c r="TPX1" i="11"/>
  <c r="TPW1" i="11"/>
  <c r="TPV1" i="11"/>
  <c r="TPU1" i="11"/>
  <c r="TPT1" i="11"/>
  <c r="TPS1" i="11"/>
  <c r="TPR1" i="11"/>
  <c r="TPQ1" i="11"/>
  <c r="TPP1" i="11"/>
  <c r="TPO1" i="11"/>
  <c r="TPN1" i="11"/>
  <c r="TPM1" i="11"/>
  <c r="TPL1" i="11"/>
  <c r="TPK1" i="11"/>
  <c r="TPJ1" i="11"/>
  <c r="TPI1" i="11"/>
  <c r="TPH1" i="11"/>
  <c r="TPG1" i="11"/>
  <c r="TPF1" i="11"/>
  <c r="TPE1" i="11"/>
  <c r="TPD1" i="11"/>
  <c r="TPC1" i="11"/>
  <c r="TPB1" i="11"/>
  <c r="TPA1" i="11"/>
  <c r="TOZ1" i="11"/>
  <c r="TOY1" i="11"/>
  <c r="TOX1" i="11"/>
  <c r="TOW1" i="11"/>
  <c r="TOV1" i="11"/>
  <c r="TOU1" i="11"/>
  <c r="TOT1" i="11"/>
  <c r="TOS1" i="11"/>
  <c r="TOR1" i="11"/>
  <c r="TOQ1" i="11"/>
  <c r="TOP1" i="11"/>
  <c r="TOO1" i="11"/>
  <c r="TON1" i="11"/>
  <c r="TOM1" i="11"/>
  <c r="TOL1" i="11"/>
  <c r="TOK1" i="11"/>
  <c r="TOJ1" i="11"/>
  <c r="TOI1" i="11"/>
  <c r="TOH1" i="11"/>
  <c r="TOG1" i="11"/>
  <c r="TOF1" i="11"/>
  <c r="TOE1" i="11"/>
  <c r="TOD1" i="11"/>
  <c r="TOC1" i="11"/>
  <c r="TOB1" i="11"/>
  <c r="TOA1" i="11"/>
  <c r="TNZ1" i="11"/>
  <c r="TNY1" i="11"/>
  <c r="TNX1" i="11"/>
  <c r="TNW1" i="11"/>
  <c r="TNV1" i="11"/>
  <c r="TNU1" i="11"/>
  <c r="TNT1" i="11"/>
  <c r="TNS1" i="11"/>
  <c r="TNR1" i="11"/>
  <c r="TNQ1" i="11"/>
  <c r="TNP1" i="11"/>
  <c r="TNO1" i="11"/>
  <c r="TNN1" i="11"/>
  <c r="TNM1" i="11"/>
  <c r="TNL1" i="11"/>
  <c r="TNK1" i="11"/>
  <c r="TNJ1" i="11"/>
  <c r="TNI1" i="11"/>
  <c r="TNH1" i="11"/>
  <c r="TNG1" i="11"/>
  <c r="TNF1" i="11"/>
  <c r="TNE1" i="11"/>
  <c r="TND1" i="11"/>
  <c r="TNC1" i="11"/>
  <c r="TNB1" i="11"/>
  <c r="TNA1" i="11"/>
  <c r="TMZ1" i="11"/>
  <c r="TMY1" i="11"/>
  <c r="TMX1" i="11"/>
  <c r="TMW1" i="11"/>
  <c r="TMV1" i="11"/>
  <c r="TMU1" i="11"/>
  <c r="TMT1" i="11"/>
  <c r="TMS1" i="11"/>
  <c r="TMR1" i="11"/>
  <c r="TMQ1" i="11"/>
  <c r="TMP1" i="11"/>
  <c r="TMO1" i="11"/>
  <c r="TMN1" i="11"/>
  <c r="TMM1" i="11"/>
  <c r="TML1" i="11"/>
  <c r="TMK1" i="11"/>
  <c r="TMJ1" i="11"/>
  <c r="TMI1" i="11"/>
  <c r="TMH1" i="11"/>
  <c r="TMG1" i="11"/>
  <c r="TMF1" i="11"/>
  <c r="TME1" i="11"/>
  <c r="TMD1" i="11"/>
  <c r="TMC1" i="11"/>
  <c r="TMB1" i="11"/>
  <c r="TMA1" i="11"/>
  <c r="TLZ1" i="11"/>
  <c r="TLY1" i="11"/>
  <c r="TLX1" i="11"/>
  <c r="TLW1" i="11"/>
  <c r="TLV1" i="11"/>
  <c r="TLU1" i="11"/>
  <c r="TLT1" i="11"/>
  <c r="TLS1" i="11"/>
  <c r="TLR1" i="11"/>
  <c r="TLQ1" i="11"/>
  <c r="TLP1" i="11"/>
  <c r="TLO1" i="11"/>
  <c r="TLN1" i="11"/>
  <c r="TLM1" i="11"/>
  <c r="TLL1" i="11"/>
  <c r="TLK1" i="11"/>
  <c r="TLJ1" i="11"/>
  <c r="TLI1" i="11"/>
  <c r="TLH1" i="11"/>
  <c r="TLG1" i="11"/>
  <c r="TLF1" i="11"/>
  <c r="TLE1" i="11"/>
  <c r="TLD1" i="11"/>
  <c r="TLC1" i="11"/>
  <c r="TLB1" i="11"/>
  <c r="TLA1" i="11"/>
  <c r="TKZ1" i="11"/>
  <c r="TKY1" i="11"/>
  <c r="TKX1" i="11"/>
  <c r="TKW1" i="11"/>
  <c r="TKV1" i="11"/>
  <c r="TKU1" i="11"/>
  <c r="TKT1" i="11"/>
  <c r="TKS1" i="11"/>
  <c r="TKR1" i="11"/>
  <c r="TKQ1" i="11"/>
  <c r="TKP1" i="11"/>
  <c r="TKO1" i="11"/>
  <c r="TKN1" i="11"/>
  <c r="TKM1" i="11"/>
  <c r="TKL1" i="11"/>
  <c r="TKK1" i="11"/>
  <c r="TKJ1" i="11"/>
  <c r="TKI1" i="11"/>
  <c r="TKH1" i="11"/>
  <c r="TKG1" i="11"/>
  <c r="TKF1" i="11"/>
  <c r="TKE1" i="11"/>
  <c r="TKD1" i="11"/>
  <c r="TKC1" i="11"/>
  <c r="TKB1" i="11"/>
  <c r="TKA1" i="11"/>
  <c r="TJZ1" i="11"/>
  <c r="TJY1" i="11"/>
  <c r="TJX1" i="11"/>
  <c r="TJW1" i="11"/>
  <c r="TJV1" i="11"/>
  <c r="TJU1" i="11"/>
  <c r="TJT1" i="11"/>
  <c r="TJS1" i="11"/>
  <c r="TJR1" i="11"/>
  <c r="TJQ1" i="11"/>
  <c r="TJP1" i="11"/>
  <c r="TJO1" i="11"/>
  <c r="TJN1" i="11"/>
  <c r="TJM1" i="11"/>
  <c r="TJL1" i="11"/>
  <c r="TJK1" i="11"/>
  <c r="TJJ1" i="11"/>
  <c r="TJI1" i="11"/>
  <c r="TJH1" i="11"/>
  <c r="TJG1" i="11"/>
  <c r="TJF1" i="11"/>
  <c r="TJE1" i="11"/>
  <c r="TJD1" i="11"/>
  <c r="TJC1" i="11"/>
  <c r="TJB1" i="11"/>
  <c r="TJA1" i="11"/>
  <c r="TIZ1" i="11"/>
  <c r="TIY1" i="11"/>
  <c r="TIX1" i="11"/>
  <c r="TIW1" i="11"/>
  <c r="TIV1" i="11"/>
  <c r="TIU1" i="11"/>
  <c r="TIT1" i="11"/>
  <c r="TIS1" i="11"/>
  <c r="TIR1" i="11"/>
  <c r="TIQ1" i="11"/>
  <c r="TIP1" i="11"/>
  <c r="TIO1" i="11"/>
  <c r="TIN1" i="11"/>
  <c r="TIM1" i="11"/>
  <c r="TIL1" i="11"/>
  <c r="TIK1" i="11"/>
  <c r="TIJ1" i="11"/>
  <c r="TII1" i="11"/>
  <c r="TIH1" i="11"/>
  <c r="TIG1" i="11"/>
  <c r="TIF1" i="11"/>
  <c r="TIE1" i="11"/>
  <c r="TID1" i="11"/>
  <c r="TIC1" i="11"/>
  <c r="TIB1" i="11"/>
  <c r="TIA1" i="11"/>
  <c r="THZ1" i="11"/>
  <c r="THY1" i="11"/>
  <c r="THX1" i="11"/>
  <c r="THW1" i="11"/>
  <c r="THV1" i="11"/>
  <c r="THU1" i="11"/>
  <c r="THT1" i="11"/>
  <c r="THS1" i="11"/>
  <c r="THR1" i="11"/>
  <c r="THQ1" i="11"/>
  <c r="THP1" i="11"/>
  <c r="THO1" i="11"/>
  <c r="THN1" i="11"/>
  <c r="THM1" i="11"/>
  <c r="THL1" i="11"/>
  <c r="THK1" i="11"/>
  <c r="THJ1" i="11"/>
  <c r="THI1" i="11"/>
  <c r="THH1" i="11"/>
  <c r="THG1" i="11"/>
  <c r="THF1" i="11"/>
  <c r="THE1" i="11"/>
  <c r="THD1" i="11"/>
  <c r="THC1" i="11"/>
  <c r="THB1" i="11"/>
  <c r="THA1" i="11"/>
  <c r="TGZ1" i="11"/>
  <c r="TGY1" i="11"/>
  <c r="TGX1" i="11"/>
  <c r="TGW1" i="11"/>
  <c r="TGV1" i="11"/>
  <c r="TGU1" i="11"/>
  <c r="TGT1" i="11"/>
  <c r="TGS1" i="11"/>
  <c r="TGR1" i="11"/>
  <c r="TGQ1" i="11"/>
  <c r="TGP1" i="11"/>
  <c r="TGO1" i="11"/>
  <c r="TGN1" i="11"/>
  <c r="TGM1" i="11"/>
  <c r="TGL1" i="11"/>
  <c r="TGK1" i="11"/>
  <c r="TGJ1" i="11"/>
  <c r="TGI1" i="11"/>
  <c r="TGH1" i="11"/>
  <c r="TGG1" i="11"/>
  <c r="TGF1" i="11"/>
  <c r="TGE1" i="11"/>
  <c r="TGD1" i="11"/>
  <c r="TGC1" i="11"/>
  <c r="TGB1" i="11"/>
  <c r="TGA1" i="11"/>
  <c r="TFZ1" i="11"/>
  <c r="TFY1" i="11"/>
  <c r="TFX1" i="11"/>
  <c r="TFW1" i="11"/>
  <c r="TFV1" i="11"/>
  <c r="TFU1" i="11"/>
  <c r="TFT1" i="11"/>
  <c r="TFS1" i="11"/>
  <c r="TFR1" i="11"/>
  <c r="TFQ1" i="11"/>
  <c r="TFP1" i="11"/>
  <c r="TFO1" i="11"/>
  <c r="TFN1" i="11"/>
  <c r="TFM1" i="11"/>
  <c r="TFL1" i="11"/>
  <c r="TFK1" i="11"/>
  <c r="TFJ1" i="11"/>
  <c r="TFI1" i="11"/>
  <c r="TFH1" i="11"/>
  <c r="TFG1" i="11"/>
  <c r="TFF1" i="11"/>
  <c r="TFE1" i="11"/>
  <c r="TFD1" i="11"/>
  <c r="TFC1" i="11"/>
  <c r="TFB1" i="11"/>
  <c r="TFA1" i="11"/>
  <c r="TEZ1" i="11"/>
  <c r="TEY1" i="11"/>
  <c r="TEX1" i="11"/>
  <c r="TEW1" i="11"/>
  <c r="TEV1" i="11"/>
  <c r="TEU1" i="11"/>
  <c r="TET1" i="11"/>
  <c r="TES1" i="11"/>
  <c r="TER1" i="11"/>
  <c r="TEQ1" i="11"/>
  <c r="TEP1" i="11"/>
  <c r="TEO1" i="11"/>
  <c r="TEN1" i="11"/>
  <c r="TEM1" i="11"/>
  <c r="TEL1" i="11"/>
  <c r="TEK1" i="11"/>
  <c r="TEJ1" i="11"/>
  <c r="TEI1" i="11"/>
  <c r="TEH1" i="11"/>
  <c r="TEG1" i="11"/>
  <c r="TEF1" i="11"/>
  <c r="TEE1" i="11"/>
  <c r="TED1" i="11"/>
  <c r="TEC1" i="11"/>
  <c r="TEB1" i="11"/>
  <c r="TEA1" i="11"/>
  <c r="TDZ1" i="11"/>
  <c r="TDY1" i="11"/>
  <c r="TDX1" i="11"/>
  <c r="TDW1" i="11"/>
  <c r="TDV1" i="11"/>
  <c r="TDU1" i="11"/>
  <c r="TDT1" i="11"/>
  <c r="TDS1" i="11"/>
  <c r="TDR1" i="11"/>
  <c r="TDQ1" i="11"/>
  <c r="TDP1" i="11"/>
  <c r="TDO1" i="11"/>
  <c r="TDN1" i="11"/>
  <c r="TDM1" i="11"/>
  <c r="TDL1" i="11"/>
  <c r="TDK1" i="11"/>
  <c r="TDJ1" i="11"/>
  <c r="TDI1" i="11"/>
  <c r="TDH1" i="11"/>
  <c r="TDG1" i="11"/>
  <c r="TDF1" i="11"/>
  <c r="TDE1" i="11"/>
  <c r="TDD1" i="11"/>
  <c r="TDC1" i="11"/>
  <c r="TDB1" i="11"/>
  <c r="TDA1" i="11"/>
  <c r="TCZ1" i="11"/>
  <c r="TCY1" i="11"/>
  <c r="TCX1" i="11"/>
  <c r="TCW1" i="11"/>
  <c r="TCV1" i="11"/>
  <c r="TCU1" i="11"/>
  <c r="TCT1" i="11"/>
  <c r="TCS1" i="11"/>
  <c r="TCR1" i="11"/>
  <c r="TCQ1" i="11"/>
  <c r="TCP1" i="11"/>
  <c r="TCO1" i="11"/>
  <c r="TCN1" i="11"/>
  <c r="TCM1" i="11"/>
  <c r="TCL1" i="11"/>
  <c r="TCK1" i="11"/>
  <c r="TCJ1" i="11"/>
  <c r="TCI1" i="11"/>
  <c r="TCH1" i="11"/>
  <c r="TCG1" i="11"/>
  <c r="TCF1" i="11"/>
  <c r="TCE1" i="11"/>
  <c r="TCD1" i="11"/>
  <c r="TCC1" i="11"/>
  <c r="TCB1" i="11"/>
  <c r="TCA1" i="11"/>
  <c r="TBZ1" i="11"/>
  <c r="TBY1" i="11"/>
  <c r="TBX1" i="11"/>
  <c r="TBW1" i="11"/>
  <c r="TBV1" i="11"/>
  <c r="TBU1" i="11"/>
  <c r="TBT1" i="11"/>
  <c r="TBS1" i="11"/>
  <c r="TBR1" i="11"/>
  <c r="TBQ1" i="11"/>
  <c r="TBP1" i="11"/>
  <c r="TBO1" i="11"/>
  <c r="TBN1" i="11"/>
  <c r="TBM1" i="11"/>
  <c r="TBL1" i="11"/>
  <c r="TBK1" i="11"/>
  <c r="TBJ1" i="11"/>
  <c r="TBI1" i="11"/>
  <c r="TBH1" i="11"/>
  <c r="TBG1" i="11"/>
  <c r="TBF1" i="11"/>
  <c r="TBE1" i="11"/>
  <c r="TBD1" i="11"/>
  <c r="TBC1" i="11"/>
  <c r="TBB1" i="11"/>
  <c r="TBA1" i="11"/>
  <c r="TAZ1" i="11"/>
  <c r="TAY1" i="11"/>
  <c r="TAX1" i="11"/>
  <c r="TAW1" i="11"/>
  <c r="TAV1" i="11"/>
  <c r="TAU1" i="11"/>
  <c r="TAT1" i="11"/>
  <c r="TAS1" i="11"/>
  <c r="TAR1" i="11"/>
  <c r="TAQ1" i="11"/>
  <c r="TAP1" i="11"/>
  <c r="TAO1" i="11"/>
  <c r="TAN1" i="11"/>
  <c r="TAM1" i="11"/>
  <c r="TAL1" i="11"/>
  <c r="TAK1" i="11"/>
  <c r="TAJ1" i="11"/>
  <c r="TAI1" i="11"/>
  <c r="TAH1" i="11"/>
  <c r="TAG1" i="11"/>
  <c r="TAF1" i="11"/>
  <c r="TAE1" i="11"/>
  <c r="TAD1" i="11"/>
  <c r="TAC1" i="11"/>
  <c r="TAB1" i="11"/>
  <c r="TAA1" i="11"/>
  <c r="SZZ1" i="11"/>
  <c r="SZY1" i="11"/>
  <c r="SZX1" i="11"/>
  <c r="SZW1" i="11"/>
  <c r="SZV1" i="11"/>
  <c r="SZU1" i="11"/>
  <c r="SZT1" i="11"/>
  <c r="SZS1" i="11"/>
  <c r="SZR1" i="11"/>
  <c r="SZQ1" i="11"/>
  <c r="SZP1" i="11"/>
  <c r="SZO1" i="11"/>
  <c r="SZN1" i="11"/>
  <c r="SZM1" i="11"/>
  <c r="SZL1" i="11"/>
  <c r="SZK1" i="11"/>
  <c r="SZJ1" i="11"/>
  <c r="SZI1" i="11"/>
  <c r="SZH1" i="11"/>
  <c r="SZG1" i="11"/>
  <c r="SZF1" i="11"/>
  <c r="SZE1" i="11"/>
  <c r="SZD1" i="11"/>
  <c r="SZC1" i="11"/>
  <c r="SZB1" i="11"/>
  <c r="SZA1" i="11"/>
  <c r="SYZ1" i="11"/>
  <c r="SYY1" i="11"/>
  <c r="SYX1" i="11"/>
  <c r="SYW1" i="11"/>
  <c r="SYV1" i="11"/>
  <c r="SYU1" i="11"/>
  <c r="SYT1" i="11"/>
  <c r="SYS1" i="11"/>
  <c r="SYR1" i="11"/>
  <c r="SYQ1" i="11"/>
  <c r="SYP1" i="11"/>
  <c r="SYO1" i="11"/>
  <c r="SYN1" i="11"/>
  <c r="SYM1" i="11"/>
  <c r="SYL1" i="11"/>
  <c r="SYK1" i="11"/>
  <c r="SYJ1" i="11"/>
  <c r="SYI1" i="11"/>
  <c r="SYH1" i="11"/>
  <c r="SYG1" i="11"/>
  <c r="SYF1" i="11"/>
  <c r="SYE1" i="11"/>
  <c r="SYD1" i="11"/>
  <c r="SYC1" i="11"/>
  <c r="SYB1" i="11"/>
  <c r="SYA1" i="11"/>
  <c r="SXZ1" i="11"/>
  <c r="SXY1" i="11"/>
  <c r="SXX1" i="11"/>
  <c r="SXW1" i="11"/>
  <c r="SXV1" i="11"/>
  <c r="SXU1" i="11"/>
  <c r="SXT1" i="11"/>
  <c r="SXS1" i="11"/>
  <c r="SXR1" i="11"/>
  <c r="SXQ1" i="11"/>
  <c r="SXP1" i="11"/>
  <c r="SXO1" i="11"/>
  <c r="SXN1" i="11"/>
  <c r="SXM1" i="11"/>
  <c r="SXL1" i="11"/>
  <c r="SXK1" i="11"/>
  <c r="SXJ1" i="11"/>
  <c r="SXI1" i="11"/>
  <c r="SXH1" i="11"/>
  <c r="SXG1" i="11"/>
  <c r="SXF1" i="11"/>
  <c r="SXE1" i="11"/>
  <c r="SXD1" i="11"/>
  <c r="SXC1" i="11"/>
  <c r="SXB1" i="11"/>
  <c r="SXA1" i="11"/>
  <c r="SWZ1" i="11"/>
  <c r="SWY1" i="11"/>
  <c r="SWX1" i="11"/>
  <c r="SWW1" i="11"/>
  <c r="SWV1" i="11"/>
  <c r="SWU1" i="11"/>
  <c r="SWT1" i="11"/>
  <c r="SWS1" i="11"/>
  <c r="SWR1" i="11"/>
  <c r="SWQ1" i="11"/>
  <c r="SWP1" i="11"/>
  <c r="SWO1" i="11"/>
  <c r="SWN1" i="11"/>
  <c r="SWM1" i="11"/>
  <c r="SWL1" i="11"/>
  <c r="SWK1" i="11"/>
  <c r="SWJ1" i="11"/>
  <c r="SWI1" i="11"/>
  <c r="SWH1" i="11"/>
  <c r="SWG1" i="11"/>
  <c r="SWF1" i="11"/>
  <c r="SWE1" i="11"/>
  <c r="SWD1" i="11"/>
  <c r="SWC1" i="11"/>
  <c r="SWB1" i="11"/>
  <c r="SWA1" i="11"/>
  <c r="SVZ1" i="11"/>
  <c r="SVY1" i="11"/>
  <c r="SVX1" i="11"/>
  <c r="SVW1" i="11"/>
  <c r="SVV1" i="11"/>
  <c r="SVU1" i="11"/>
  <c r="SVT1" i="11"/>
  <c r="SVS1" i="11"/>
  <c r="SVR1" i="11"/>
  <c r="SVQ1" i="11"/>
  <c r="SVP1" i="11"/>
  <c r="SVO1" i="11"/>
  <c r="SVN1" i="11"/>
  <c r="SVM1" i="11"/>
  <c r="SVL1" i="11"/>
  <c r="SVK1" i="11"/>
  <c r="SVJ1" i="11"/>
  <c r="SVI1" i="11"/>
  <c r="SVH1" i="11"/>
  <c r="SVG1" i="11"/>
  <c r="SVF1" i="11"/>
  <c r="SVE1" i="11"/>
  <c r="SVD1" i="11"/>
  <c r="SVC1" i="11"/>
  <c r="SVB1" i="11"/>
  <c r="SVA1" i="11"/>
  <c r="SUZ1" i="11"/>
  <c r="SUY1" i="11"/>
  <c r="SUX1" i="11"/>
  <c r="SUW1" i="11"/>
  <c r="SUV1" i="11"/>
  <c r="SUU1" i="11"/>
  <c r="SUT1" i="11"/>
  <c r="SUS1" i="11"/>
  <c r="SUR1" i="11"/>
  <c r="SUQ1" i="11"/>
  <c r="SUP1" i="11"/>
  <c r="SUO1" i="11"/>
  <c r="SUN1" i="11"/>
  <c r="SUM1" i="11"/>
  <c r="SUL1" i="11"/>
  <c r="SUK1" i="11"/>
  <c r="SUJ1" i="11"/>
  <c r="SUI1" i="11"/>
  <c r="SUH1" i="11"/>
  <c r="SUG1" i="11"/>
  <c r="SUF1" i="11"/>
  <c r="SUE1" i="11"/>
  <c r="SUD1" i="11"/>
  <c r="SUC1" i="11"/>
  <c r="SUB1" i="11"/>
  <c r="SUA1" i="11"/>
  <c r="STZ1" i="11"/>
  <c r="STY1" i="11"/>
  <c r="STX1" i="11"/>
  <c r="STW1" i="11"/>
  <c r="STV1" i="11"/>
  <c r="STU1" i="11"/>
  <c r="STT1" i="11"/>
  <c r="STS1" i="11"/>
  <c r="STR1" i="11"/>
  <c r="STQ1" i="11"/>
  <c r="STP1" i="11"/>
  <c r="STO1" i="11"/>
  <c r="STN1" i="11"/>
  <c r="STM1" i="11"/>
  <c r="STL1" i="11"/>
  <c r="STK1" i="11"/>
  <c r="STJ1" i="11"/>
  <c r="STI1" i="11"/>
  <c r="STH1" i="11"/>
  <c r="STG1" i="11"/>
  <c r="STF1" i="11"/>
  <c r="STE1" i="11"/>
  <c r="STD1" i="11"/>
  <c r="STC1" i="11"/>
  <c r="STB1" i="11"/>
  <c r="STA1" i="11"/>
  <c r="SSZ1" i="11"/>
  <c r="SSY1" i="11"/>
  <c r="SSX1" i="11"/>
  <c r="SSW1" i="11"/>
  <c r="SSV1" i="11"/>
  <c r="SSU1" i="11"/>
  <c r="SST1" i="11"/>
  <c r="SSS1" i="11"/>
  <c r="SSR1" i="11"/>
  <c r="SSQ1" i="11"/>
  <c r="SSP1" i="11"/>
  <c r="SSO1" i="11"/>
  <c r="SSN1" i="11"/>
  <c r="SSM1" i="11"/>
  <c r="SSL1" i="11"/>
  <c r="SSK1" i="11"/>
  <c r="SSJ1" i="11"/>
  <c r="SSI1" i="11"/>
  <c r="SSH1" i="11"/>
  <c r="SSG1" i="11"/>
  <c r="SSF1" i="11"/>
  <c r="SSE1" i="11"/>
  <c r="SSD1" i="11"/>
  <c r="SSC1" i="11"/>
  <c r="SSB1" i="11"/>
  <c r="SSA1" i="11"/>
  <c r="SRZ1" i="11"/>
  <c r="SRY1" i="11"/>
  <c r="SRX1" i="11"/>
  <c r="SRW1" i="11"/>
  <c r="SRV1" i="11"/>
  <c r="SRU1" i="11"/>
  <c r="SRT1" i="11"/>
  <c r="SRS1" i="11"/>
  <c r="SRR1" i="11"/>
  <c r="SRQ1" i="11"/>
  <c r="SRP1" i="11"/>
  <c r="SRO1" i="11"/>
  <c r="SRN1" i="11"/>
  <c r="SRM1" i="11"/>
  <c r="SRL1" i="11"/>
  <c r="SRK1" i="11"/>
  <c r="SRJ1" i="11"/>
  <c r="SRI1" i="11"/>
  <c r="SRH1" i="11"/>
  <c r="SRG1" i="11"/>
  <c r="SRF1" i="11"/>
  <c r="SRE1" i="11"/>
  <c r="SRD1" i="11"/>
  <c r="SRC1" i="11"/>
  <c r="SRB1" i="11"/>
  <c r="SRA1" i="11"/>
  <c r="SQZ1" i="11"/>
  <c r="SQY1" i="11"/>
  <c r="SQX1" i="11"/>
  <c r="SQW1" i="11"/>
  <c r="SQV1" i="11"/>
  <c r="SQU1" i="11"/>
  <c r="SQT1" i="11"/>
  <c r="SQS1" i="11"/>
  <c r="SQR1" i="11"/>
  <c r="SQQ1" i="11"/>
  <c r="SQP1" i="11"/>
  <c r="SQO1" i="11"/>
  <c r="SQN1" i="11"/>
  <c r="SQM1" i="11"/>
  <c r="SQL1" i="11"/>
  <c r="SQK1" i="11"/>
  <c r="SQJ1" i="11"/>
  <c r="SQI1" i="11"/>
  <c r="SQH1" i="11"/>
  <c r="SQG1" i="11"/>
  <c r="SQF1" i="11"/>
  <c r="SQE1" i="11"/>
  <c r="SQD1" i="11"/>
  <c r="SQC1" i="11"/>
  <c r="SQB1" i="11"/>
  <c r="SQA1" i="11"/>
  <c r="SPZ1" i="11"/>
  <c r="SPY1" i="11"/>
  <c r="SPX1" i="11"/>
  <c r="SPW1" i="11"/>
  <c r="SPV1" i="11"/>
  <c r="SPU1" i="11"/>
  <c r="SPT1" i="11"/>
  <c r="SPS1" i="11"/>
  <c r="SPR1" i="11"/>
  <c r="SPQ1" i="11"/>
  <c r="SPP1" i="11"/>
  <c r="SPO1" i="11"/>
  <c r="SPN1" i="11"/>
  <c r="SPM1" i="11"/>
  <c r="SPL1" i="11"/>
  <c r="SPK1" i="11"/>
  <c r="SPJ1" i="11"/>
  <c r="SPI1" i="11"/>
  <c r="SPH1" i="11"/>
  <c r="SPG1" i="11"/>
  <c r="SPF1" i="11"/>
  <c r="SPE1" i="11"/>
  <c r="SPD1" i="11"/>
  <c r="SPC1" i="11"/>
  <c r="SPB1" i="11"/>
  <c r="SPA1" i="11"/>
  <c r="SOZ1" i="11"/>
  <c r="SOY1" i="11"/>
  <c r="SOX1" i="11"/>
  <c r="SOW1" i="11"/>
  <c r="SOV1" i="11"/>
  <c r="SOU1" i="11"/>
  <c r="SOT1" i="11"/>
  <c r="SOS1" i="11"/>
  <c r="SOR1" i="11"/>
  <c r="SOQ1" i="11"/>
  <c r="SOP1" i="11"/>
  <c r="SOO1" i="11"/>
  <c r="SON1" i="11"/>
  <c r="SOM1" i="11"/>
  <c r="SOL1" i="11"/>
  <c r="SOK1" i="11"/>
  <c r="SOJ1" i="11"/>
  <c r="SOI1" i="11"/>
  <c r="SOH1" i="11"/>
  <c r="SOG1" i="11"/>
  <c r="SOF1" i="11"/>
  <c r="SOE1" i="11"/>
  <c r="SOD1" i="11"/>
  <c r="SOC1" i="11"/>
  <c r="SOB1" i="11"/>
  <c r="SOA1" i="11"/>
  <c r="SNZ1" i="11"/>
  <c r="SNY1" i="11"/>
  <c r="SNX1" i="11"/>
  <c r="SNW1" i="11"/>
  <c r="SNV1" i="11"/>
  <c r="SNU1" i="11"/>
  <c r="SNT1" i="11"/>
  <c r="SNS1" i="11"/>
  <c r="SNR1" i="11"/>
  <c r="SNQ1" i="11"/>
  <c r="SNP1" i="11"/>
  <c r="SNO1" i="11"/>
  <c r="SNN1" i="11"/>
  <c r="SNM1" i="11"/>
  <c r="SNL1" i="11"/>
  <c r="SNK1" i="11"/>
  <c r="SNJ1" i="11"/>
  <c r="SNI1" i="11"/>
  <c r="SNH1" i="11"/>
  <c r="SNG1" i="11"/>
  <c r="SNF1" i="11"/>
  <c r="SNE1" i="11"/>
  <c r="SND1" i="11"/>
  <c r="SNC1" i="11"/>
  <c r="SNB1" i="11"/>
  <c r="SNA1" i="11"/>
  <c r="SMZ1" i="11"/>
  <c r="SMY1" i="11"/>
  <c r="SMX1" i="11"/>
  <c r="SMW1" i="11"/>
  <c r="SMV1" i="11"/>
  <c r="SMU1" i="11"/>
  <c r="SMT1" i="11"/>
  <c r="SMS1" i="11"/>
  <c r="SMR1" i="11"/>
  <c r="SMQ1" i="11"/>
  <c r="SMP1" i="11"/>
  <c r="SMO1" i="11"/>
  <c r="SMN1" i="11"/>
  <c r="SMM1" i="11"/>
  <c r="SML1" i="11"/>
  <c r="SMK1" i="11"/>
  <c r="SMJ1" i="11"/>
  <c r="SMI1" i="11"/>
  <c r="SMH1" i="11"/>
  <c r="SMG1" i="11"/>
  <c r="SMF1" i="11"/>
  <c r="SME1" i="11"/>
  <c r="SMD1" i="11"/>
  <c r="SMC1" i="11"/>
  <c r="SMB1" i="11"/>
  <c r="SMA1" i="11"/>
  <c r="SLZ1" i="11"/>
  <c r="SLY1" i="11"/>
  <c r="SLX1" i="11"/>
  <c r="SLW1" i="11"/>
  <c r="SLV1" i="11"/>
  <c r="SLU1" i="11"/>
  <c r="SLT1" i="11"/>
  <c r="SLS1" i="11"/>
  <c r="SLR1" i="11"/>
  <c r="SLQ1" i="11"/>
  <c r="SLP1" i="11"/>
  <c r="SLO1" i="11"/>
  <c r="SLN1" i="11"/>
  <c r="SLM1" i="11"/>
  <c r="SLL1" i="11"/>
  <c r="SLK1" i="11"/>
  <c r="SLJ1" i="11"/>
  <c r="SLI1" i="11"/>
  <c r="SLH1" i="11"/>
  <c r="SLG1" i="11"/>
  <c r="SLF1" i="11"/>
  <c r="SLE1" i="11"/>
  <c r="SLD1" i="11"/>
  <c r="SLC1" i="11"/>
  <c r="SLB1" i="11"/>
  <c r="SLA1" i="11"/>
  <c r="SKZ1" i="11"/>
  <c r="SKY1" i="11"/>
  <c r="SKX1" i="11"/>
  <c r="SKW1" i="11"/>
  <c r="SKV1" i="11"/>
  <c r="SKU1" i="11"/>
  <c r="SKT1" i="11"/>
  <c r="SKS1" i="11"/>
  <c r="SKR1" i="11"/>
  <c r="SKQ1" i="11"/>
  <c r="SKP1" i="11"/>
  <c r="SKO1" i="11"/>
  <c r="SKN1" i="11"/>
  <c r="SKM1" i="11"/>
  <c r="SKL1" i="11"/>
  <c r="SKK1" i="11"/>
  <c r="SKJ1" i="11"/>
  <c r="SKI1" i="11"/>
  <c r="SKH1" i="11"/>
  <c r="SKG1" i="11"/>
  <c r="SKF1" i="11"/>
  <c r="SKE1" i="11"/>
  <c r="SKD1" i="11"/>
  <c r="SKC1" i="11"/>
  <c r="SKB1" i="11"/>
  <c r="SKA1" i="11"/>
  <c r="SJZ1" i="11"/>
  <c r="SJY1" i="11"/>
  <c r="SJX1" i="11"/>
  <c r="SJW1" i="11"/>
  <c r="SJV1" i="11"/>
  <c r="SJU1" i="11"/>
  <c r="SJT1" i="11"/>
  <c r="SJS1" i="11"/>
  <c r="SJR1" i="11"/>
  <c r="SJQ1" i="11"/>
  <c r="SJP1" i="11"/>
  <c r="SJO1" i="11"/>
  <c r="SJN1" i="11"/>
  <c r="SJM1" i="11"/>
  <c r="SJL1" i="11"/>
  <c r="SJK1" i="11"/>
  <c r="SJJ1" i="11"/>
  <c r="SJI1" i="11"/>
  <c r="SJH1" i="11"/>
  <c r="SJG1" i="11"/>
  <c r="SJF1" i="11"/>
  <c r="SJE1" i="11"/>
  <c r="SJD1" i="11"/>
  <c r="SJC1" i="11"/>
  <c r="SJB1" i="11"/>
  <c r="SJA1" i="11"/>
  <c r="SIZ1" i="11"/>
  <c r="SIY1" i="11"/>
  <c r="SIX1" i="11"/>
  <c r="SIW1" i="11"/>
  <c r="SIV1" i="11"/>
  <c r="SIU1" i="11"/>
  <c r="SIT1" i="11"/>
  <c r="SIS1" i="11"/>
  <c r="SIR1" i="11"/>
  <c r="SIQ1" i="11"/>
  <c r="SIP1" i="11"/>
  <c r="SIO1" i="11"/>
  <c r="SIN1" i="11"/>
  <c r="SIM1" i="11"/>
  <c r="SIL1" i="11"/>
  <c r="SIK1" i="11"/>
  <c r="SIJ1" i="11"/>
  <c r="SII1" i="11"/>
  <c r="SIH1" i="11"/>
  <c r="SIG1" i="11"/>
  <c r="SIF1" i="11"/>
  <c r="SIE1" i="11"/>
  <c r="SID1" i="11"/>
  <c r="SIC1" i="11"/>
  <c r="SIB1" i="11"/>
  <c r="SIA1" i="11"/>
  <c r="SHZ1" i="11"/>
  <c r="SHY1" i="11"/>
  <c r="SHX1" i="11"/>
  <c r="SHW1" i="11"/>
  <c r="SHV1" i="11"/>
  <c r="SHU1" i="11"/>
  <c r="SHT1" i="11"/>
  <c r="SHS1" i="11"/>
  <c r="SHR1" i="11"/>
  <c r="SHQ1" i="11"/>
  <c r="SHP1" i="11"/>
  <c r="SHO1" i="11"/>
  <c r="SHN1" i="11"/>
  <c r="SHM1" i="11"/>
  <c r="SHL1" i="11"/>
  <c r="SHK1" i="11"/>
  <c r="SHJ1" i="11"/>
  <c r="SHI1" i="11"/>
  <c r="SHH1" i="11"/>
  <c r="SHG1" i="11"/>
  <c r="SHF1" i="11"/>
  <c r="SHE1" i="11"/>
  <c r="SHD1" i="11"/>
  <c r="SHC1" i="11"/>
  <c r="SHB1" i="11"/>
  <c r="SHA1" i="11"/>
  <c r="SGZ1" i="11"/>
  <c r="SGY1" i="11"/>
  <c r="SGX1" i="11"/>
  <c r="SGW1" i="11"/>
  <c r="SGV1" i="11"/>
  <c r="SGU1" i="11"/>
  <c r="SGT1" i="11"/>
  <c r="SGS1" i="11"/>
  <c r="SGR1" i="11"/>
  <c r="SGQ1" i="11"/>
  <c r="SGP1" i="11"/>
  <c r="SGO1" i="11"/>
  <c r="SGN1" i="11"/>
  <c r="SGM1" i="11"/>
  <c r="SGL1" i="11"/>
  <c r="SGK1" i="11"/>
  <c r="SGJ1" i="11"/>
  <c r="SGI1" i="11"/>
  <c r="SGH1" i="11"/>
  <c r="SGG1" i="11"/>
  <c r="SGF1" i="11"/>
  <c r="SGE1" i="11"/>
  <c r="SGD1" i="11"/>
  <c r="SGC1" i="11"/>
  <c r="SGB1" i="11"/>
  <c r="SGA1" i="11"/>
  <c r="SFZ1" i="11"/>
  <c r="SFY1" i="11"/>
  <c r="SFX1" i="11"/>
  <c r="SFW1" i="11"/>
  <c r="SFV1" i="11"/>
  <c r="SFU1" i="11"/>
  <c r="SFT1" i="11"/>
  <c r="SFS1" i="11"/>
  <c r="SFR1" i="11"/>
  <c r="SFQ1" i="11"/>
  <c r="SFP1" i="11"/>
  <c r="SFO1" i="11"/>
  <c r="SFN1" i="11"/>
  <c r="SFM1" i="11"/>
  <c r="SFL1" i="11"/>
  <c r="SFK1" i="11"/>
  <c r="SFJ1" i="11"/>
  <c r="SFI1" i="11"/>
  <c r="SFH1" i="11"/>
  <c r="SFG1" i="11"/>
  <c r="SFF1" i="11"/>
  <c r="SFE1" i="11"/>
  <c r="SFD1" i="11"/>
  <c r="SFC1" i="11"/>
  <c r="SFB1" i="11"/>
  <c r="SFA1" i="11"/>
  <c r="SEZ1" i="11"/>
  <c r="SEY1" i="11"/>
  <c r="SEX1" i="11"/>
  <c r="SEW1" i="11"/>
  <c r="SEV1" i="11"/>
  <c r="SEU1" i="11"/>
  <c r="SET1" i="11"/>
  <c r="SES1" i="11"/>
  <c r="SER1" i="11"/>
  <c r="SEQ1" i="11"/>
  <c r="SEP1" i="11"/>
  <c r="SEO1" i="11"/>
  <c r="SEN1" i="11"/>
  <c r="SEM1" i="11"/>
  <c r="SEL1" i="11"/>
  <c r="SEK1" i="11"/>
  <c r="SEJ1" i="11"/>
  <c r="SEI1" i="11"/>
  <c r="SEH1" i="11"/>
  <c r="SEG1" i="11"/>
  <c r="SEF1" i="11"/>
  <c r="SEE1" i="11"/>
  <c r="SED1" i="11"/>
  <c r="SEC1" i="11"/>
  <c r="SEB1" i="11"/>
  <c r="SEA1" i="11"/>
  <c r="SDZ1" i="11"/>
  <c r="SDY1" i="11"/>
  <c r="SDX1" i="11"/>
  <c r="SDW1" i="11"/>
  <c r="SDV1" i="11"/>
  <c r="SDU1" i="11"/>
  <c r="SDT1" i="11"/>
  <c r="SDS1" i="11"/>
  <c r="SDR1" i="11"/>
  <c r="SDQ1" i="11"/>
  <c r="SDP1" i="11"/>
  <c r="SDO1" i="11"/>
  <c r="SDN1" i="11"/>
  <c r="SDM1" i="11"/>
  <c r="SDL1" i="11"/>
  <c r="SDK1" i="11"/>
  <c r="SDJ1" i="11"/>
  <c r="SDI1" i="11"/>
  <c r="SDH1" i="11"/>
  <c r="SDG1" i="11"/>
  <c r="SDF1" i="11"/>
  <c r="SDE1" i="11"/>
  <c r="SDD1" i="11"/>
  <c r="SDC1" i="11"/>
  <c r="SDB1" i="11"/>
  <c r="SDA1" i="11"/>
  <c r="SCZ1" i="11"/>
  <c r="SCY1" i="11"/>
  <c r="SCX1" i="11"/>
  <c r="SCW1" i="11"/>
  <c r="SCV1" i="11"/>
  <c r="SCU1" i="11"/>
  <c r="SCT1" i="11"/>
  <c r="SCS1" i="11"/>
  <c r="SCR1" i="11"/>
  <c r="SCQ1" i="11"/>
  <c r="SCP1" i="11"/>
  <c r="SCO1" i="11"/>
  <c r="SCN1" i="11"/>
  <c r="SCM1" i="11"/>
  <c r="SCL1" i="11"/>
  <c r="SCK1" i="11"/>
  <c r="SCJ1" i="11"/>
  <c r="SCI1" i="11"/>
  <c r="SCH1" i="11"/>
  <c r="SCG1" i="11"/>
  <c r="SCF1" i="11"/>
  <c r="SCE1" i="11"/>
  <c r="SCD1" i="11"/>
  <c r="SCC1" i="11"/>
  <c r="SCB1" i="11"/>
  <c r="SCA1" i="11"/>
  <c r="SBZ1" i="11"/>
  <c r="SBY1" i="11"/>
  <c r="SBX1" i="11"/>
  <c r="SBW1" i="11"/>
  <c r="SBV1" i="11"/>
  <c r="SBU1" i="11"/>
  <c r="SBT1" i="11"/>
  <c r="SBS1" i="11"/>
  <c r="SBR1" i="11"/>
  <c r="SBQ1" i="11"/>
  <c r="SBP1" i="11"/>
  <c r="SBO1" i="11"/>
  <c r="SBN1" i="11"/>
  <c r="SBM1" i="11"/>
  <c r="SBL1" i="11"/>
  <c r="SBK1" i="11"/>
  <c r="SBJ1" i="11"/>
  <c r="SBI1" i="11"/>
  <c r="SBH1" i="11"/>
  <c r="SBG1" i="11"/>
  <c r="SBF1" i="11"/>
  <c r="SBE1" i="11"/>
  <c r="SBD1" i="11"/>
  <c r="SBC1" i="11"/>
  <c r="SBB1" i="11"/>
  <c r="SBA1" i="11"/>
  <c r="SAZ1" i="11"/>
  <c r="SAY1" i="11"/>
  <c r="SAX1" i="11"/>
  <c r="SAW1" i="11"/>
  <c r="SAV1" i="11"/>
  <c r="SAU1" i="11"/>
  <c r="SAT1" i="11"/>
  <c r="SAS1" i="11"/>
  <c r="SAR1" i="11"/>
  <c r="SAQ1" i="11"/>
  <c r="SAP1" i="11"/>
  <c r="SAO1" i="11"/>
  <c r="SAN1" i="11"/>
  <c r="SAM1" i="11"/>
  <c r="SAL1" i="11"/>
  <c r="SAK1" i="11"/>
  <c r="SAJ1" i="11"/>
  <c r="SAI1" i="11"/>
  <c r="SAH1" i="11"/>
  <c r="SAG1" i="11"/>
  <c r="SAF1" i="11"/>
  <c r="SAE1" i="11"/>
  <c r="SAD1" i="11"/>
  <c r="SAC1" i="11"/>
  <c r="SAB1" i="11"/>
  <c r="SAA1" i="11"/>
  <c r="RZZ1" i="11"/>
  <c r="RZY1" i="11"/>
  <c r="RZX1" i="11"/>
  <c r="RZW1" i="11"/>
  <c r="RZV1" i="11"/>
  <c r="RZU1" i="11"/>
  <c r="RZT1" i="11"/>
  <c r="RZS1" i="11"/>
  <c r="RZR1" i="11"/>
  <c r="RZQ1" i="11"/>
  <c r="RZP1" i="11"/>
  <c r="RZO1" i="11"/>
  <c r="RZN1" i="11"/>
  <c r="RZM1" i="11"/>
  <c r="RZL1" i="11"/>
  <c r="RZK1" i="11"/>
  <c r="RZJ1" i="11"/>
  <c r="RZI1" i="11"/>
  <c r="RZH1" i="11"/>
  <c r="RZG1" i="11"/>
  <c r="RZF1" i="11"/>
  <c r="RZE1" i="11"/>
  <c r="RZD1" i="11"/>
  <c r="RZC1" i="11"/>
  <c r="RZB1" i="11"/>
  <c r="RZA1" i="11"/>
  <c r="RYZ1" i="11"/>
  <c r="RYY1" i="11"/>
  <c r="RYX1" i="11"/>
  <c r="RYW1" i="11"/>
  <c r="RYV1" i="11"/>
  <c r="RYU1" i="11"/>
  <c r="RYT1" i="11"/>
  <c r="RYS1" i="11"/>
  <c r="RYR1" i="11"/>
  <c r="RYQ1" i="11"/>
  <c r="RYP1" i="11"/>
  <c r="RYO1" i="11"/>
  <c r="RYN1" i="11"/>
  <c r="RYM1" i="11"/>
  <c r="RYL1" i="11"/>
  <c r="RYK1" i="11"/>
  <c r="RYJ1" i="11"/>
  <c r="RYI1" i="11"/>
  <c r="RYH1" i="11"/>
  <c r="RYG1" i="11"/>
  <c r="RYF1" i="11"/>
  <c r="RYE1" i="11"/>
  <c r="RYD1" i="11"/>
  <c r="RYC1" i="11"/>
  <c r="RYB1" i="11"/>
  <c r="RYA1" i="11"/>
  <c r="RXZ1" i="11"/>
  <c r="RXY1" i="11"/>
  <c r="RXX1" i="11"/>
  <c r="RXW1" i="11"/>
  <c r="RXV1" i="11"/>
  <c r="RXU1" i="11"/>
  <c r="RXT1" i="11"/>
  <c r="RXS1" i="11"/>
  <c r="RXR1" i="11"/>
  <c r="RXQ1" i="11"/>
  <c r="RXP1" i="11"/>
  <c r="RXO1" i="11"/>
  <c r="RXN1" i="11"/>
  <c r="RXM1" i="11"/>
  <c r="RXL1" i="11"/>
  <c r="RXK1" i="11"/>
  <c r="RXJ1" i="11"/>
  <c r="RXI1" i="11"/>
  <c r="RXH1" i="11"/>
  <c r="RXG1" i="11"/>
  <c r="RXF1" i="11"/>
  <c r="RXE1" i="11"/>
  <c r="RXD1" i="11"/>
  <c r="RXC1" i="11"/>
  <c r="RXB1" i="11"/>
  <c r="RXA1" i="11"/>
  <c r="RWZ1" i="11"/>
  <c r="RWY1" i="11"/>
  <c r="RWX1" i="11"/>
  <c r="RWW1" i="11"/>
  <c r="RWV1" i="11"/>
  <c r="RWU1" i="11"/>
  <c r="RWT1" i="11"/>
  <c r="RWS1" i="11"/>
  <c r="RWR1" i="11"/>
  <c r="RWQ1" i="11"/>
  <c r="RWP1" i="11"/>
  <c r="RWO1" i="11"/>
  <c r="RWN1" i="11"/>
  <c r="RWM1" i="11"/>
  <c r="RWL1" i="11"/>
  <c r="RWK1" i="11"/>
  <c r="RWJ1" i="11"/>
  <c r="RWI1" i="11"/>
  <c r="RWH1" i="11"/>
  <c r="RWG1" i="11"/>
  <c r="RWF1" i="11"/>
  <c r="RWE1" i="11"/>
  <c r="RWD1" i="11"/>
  <c r="RWC1" i="11"/>
  <c r="RWB1" i="11"/>
  <c r="RWA1" i="11"/>
  <c r="RVZ1" i="11"/>
  <c r="RVY1" i="11"/>
  <c r="RVX1" i="11"/>
  <c r="RVW1" i="11"/>
  <c r="RVV1" i="11"/>
  <c r="RVU1" i="11"/>
  <c r="RVT1" i="11"/>
  <c r="RVS1" i="11"/>
  <c r="RVR1" i="11"/>
  <c r="RVQ1" i="11"/>
  <c r="RVP1" i="11"/>
  <c r="RVO1" i="11"/>
  <c r="RVN1" i="11"/>
  <c r="RVM1" i="11"/>
  <c r="RVL1" i="11"/>
  <c r="RVK1" i="11"/>
  <c r="RVJ1" i="11"/>
  <c r="RVI1" i="11"/>
  <c r="RVH1" i="11"/>
  <c r="RVG1" i="11"/>
  <c r="RVF1" i="11"/>
  <c r="RVE1" i="11"/>
  <c r="RVD1" i="11"/>
  <c r="RVC1" i="11"/>
  <c r="RVB1" i="11"/>
  <c r="RVA1" i="11"/>
  <c r="RUZ1" i="11"/>
  <c r="RUY1" i="11"/>
  <c r="RUX1" i="11"/>
  <c r="RUW1" i="11"/>
  <c r="RUV1" i="11"/>
  <c r="RUU1" i="11"/>
  <c r="RUT1" i="11"/>
  <c r="RUS1" i="11"/>
  <c r="RUR1" i="11"/>
  <c r="RUQ1" i="11"/>
  <c r="RUP1" i="11"/>
  <c r="RUO1" i="11"/>
  <c r="RUN1" i="11"/>
  <c r="RUM1" i="11"/>
  <c r="RUL1" i="11"/>
  <c r="RUK1" i="11"/>
  <c r="RUJ1" i="11"/>
  <c r="RUI1" i="11"/>
  <c r="RUH1" i="11"/>
  <c r="RUG1" i="11"/>
  <c r="RUF1" i="11"/>
  <c r="RUE1" i="11"/>
  <c r="RUD1" i="11"/>
  <c r="RUC1" i="11"/>
  <c r="RUB1" i="11"/>
  <c r="RUA1" i="11"/>
  <c r="RTZ1" i="11"/>
  <c r="RTY1" i="11"/>
  <c r="RTX1" i="11"/>
  <c r="RTW1" i="11"/>
  <c r="RTV1" i="11"/>
  <c r="RTU1" i="11"/>
  <c r="RTT1" i="11"/>
  <c r="RTS1" i="11"/>
  <c r="RTR1" i="11"/>
  <c r="RTQ1" i="11"/>
  <c r="RTP1" i="11"/>
  <c r="RTO1" i="11"/>
  <c r="RTN1" i="11"/>
  <c r="RTM1" i="11"/>
  <c r="RTL1" i="11"/>
  <c r="RTK1" i="11"/>
  <c r="RTJ1" i="11"/>
  <c r="RTI1" i="11"/>
  <c r="RTH1" i="11"/>
  <c r="RTG1" i="11"/>
  <c r="RTF1" i="11"/>
  <c r="RTE1" i="11"/>
  <c r="RTD1" i="11"/>
  <c r="RTC1" i="11"/>
  <c r="RTB1" i="11"/>
  <c r="RTA1" i="11"/>
  <c r="RSZ1" i="11"/>
  <c r="RSY1" i="11"/>
  <c r="RSX1" i="11"/>
  <c r="RSW1" i="11"/>
  <c r="RSV1" i="11"/>
  <c r="RSU1" i="11"/>
  <c r="RST1" i="11"/>
  <c r="RSS1" i="11"/>
  <c r="RSR1" i="11"/>
  <c r="RSQ1" i="11"/>
  <c r="RSP1" i="11"/>
  <c r="RSO1" i="11"/>
  <c r="RSN1" i="11"/>
  <c r="RSM1" i="11"/>
  <c r="RSL1" i="11"/>
  <c r="RSK1" i="11"/>
  <c r="RSJ1" i="11"/>
  <c r="RSI1" i="11"/>
  <c r="RSH1" i="11"/>
  <c r="RSG1" i="11"/>
  <c r="RSF1" i="11"/>
  <c r="RSE1" i="11"/>
  <c r="RSD1" i="11"/>
  <c r="RSC1" i="11"/>
  <c r="RSB1" i="11"/>
  <c r="RSA1" i="11"/>
  <c r="RRZ1" i="11"/>
  <c r="RRY1" i="11"/>
  <c r="RRX1" i="11"/>
  <c r="RRW1" i="11"/>
  <c r="RRV1" i="11"/>
  <c r="RRU1" i="11"/>
  <c r="RRT1" i="11"/>
  <c r="RRS1" i="11"/>
  <c r="RRR1" i="11"/>
  <c r="RRQ1" i="11"/>
  <c r="RRP1" i="11"/>
  <c r="RRO1" i="11"/>
  <c r="RRN1" i="11"/>
  <c r="RRM1" i="11"/>
  <c r="RRL1" i="11"/>
  <c r="RRK1" i="11"/>
  <c r="RRJ1" i="11"/>
  <c r="RRI1" i="11"/>
  <c r="RRH1" i="11"/>
  <c r="RRG1" i="11"/>
  <c r="RRF1" i="11"/>
  <c r="RRE1" i="11"/>
  <c r="RRD1" i="11"/>
  <c r="RRC1" i="11"/>
  <c r="RRB1" i="11"/>
  <c r="RRA1" i="11"/>
  <c r="RQZ1" i="11"/>
  <c r="RQY1" i="11"/>
  <c r="RQX1" i="11"/>
  <c r="RQW1" i="11"/>
  <c r="RQV1" i="11"/>
  <c r="RQU1" i="11"/>
  <c r="RQT1" i="11"/>
  <c r="RQS1" i="11"/>
  <c r="RQR1" i="11"/>
  <c r="RQQ1" i="11"/>
  <c r="RQP1" i="11"/>
  <c r="RQO1" i="11"/>
  <c r="RQN1" i="11"/>
  <c r="RQM1" i="11"/>
  <c r="RQL1" i="11"/>
  <c r="RQK1" i="11"/>
  <c r="RQJ1" i="11"/>
  <c r="RQI1" i="11"/>
  <c r="RQH1" i="11"/>
  <c r="RQG1" i="11"/>
  <c r="RQF1" i="11"/>
  <c r="RQE1" i="11"/>
  <c r="RQD1" i="11"/>
  <c r="RQC1" i="11"/>
  <c r="RQB1" i="11"/>
  <c r="RQA1" i="11"/>
  <c r="RPZ1" i="11"/>
  <c r="RPY1" i="11"/>
  <c r="RPX1" i="11"/>
  <c r="RPW1" i="11"/>
  <c r="RPV1" i="11"/>
  <c r="RPU1" i="11"/>
  <c r="RPT1" i="11"/>
  <c r="RPS1" i="11"/>
  <c r="RPR1" i="11"/>
  <c r="RPQ1" i="11"/>
  <c r="RPP1" i="11"/>
  <c r="RPO1" i="11"/>
  <c r="RPN1" i="11"/>
  <c r="RPM1" i="11"/>
  <c r="RPL1" i="11"/>
  <c r="RPK1" i="11"/>
  <c r="RPJ1" i="11"/>
  <c r="RPI1" i="11"/>
  <c r="RPH1" i="11"/>
  <c r="RPG1" i="11"/>
  <c r="RPF1" i="11"/>
  <c r="RPE1" i="11"/>
  <c r="RPD1" i="11"/>
  <c r="RPC1" i="11"/>
  <c r="RPB1" i="11"/>
  <c r="RPA1" i="11"/>
  <c r="ROZ1" i="11"/>
  <c r="ROY1" i="11"/>
  <c r="ROX1" i="11"/>
  <c r="ROW1" i="11"/>
  <c r="ROV1" i="11"/>
  <c r="ROU1" i="11"/>
  <c r="ROT1" i="11"/>
  <c r="ROS1" i="11"/>
  <c r="ROR1" i="11"/>
  <c r="ROQ1" i="11"/>
  <c r="ROP1" i="11"/>
  <c r="ROO1" i="11"/>
  <c r="RON1" i="11"/>
  <c r="ROM1" i="11"/>
  <c r="ROL1" i="11"/>
  <c r="ROK1" i="11"/>
  <c r="ROJ1" i="11"/>
  <c r="ROI1" i="11"/>
  <c r="ROH1" i="11"/>
  <c r="ROG1" i="11"/>
  <c r="ROF1" i="11"/>
  <c r="ROE1" i="11"/>
  <c r="ROD1" i="11"/>
  <c r="ROC1" i="11"/>
  <c r="ROB1" i="11"/>
  <c r="ROA1" i="11"/>
  <c r="RNZ1" i="11"/>
  <c r="RNY1" i="11"/>
  <c r="RNX1" i="11"/>
  <c r="RNW1" i="11"/>
  <c r="RNV1" i="11"/>
  <c r="RNU1" i="11"/>
  <c r="RNT1" i="11"/>
  <c r="RNS1" i="11"/>
  <c r="RNR1" i="11"/>
  <c r="RNQ1" i="11"/>
  <c r="RNP1" i="11"/>
  <c r="RNO1" i="11"/>
  <c r="RNN1" i="11"/>
  <c r="RNM1" i="11"/>
  <c r="RNL1" i="11"/>
  <c r="RNK1" i="11"/>
  <c r="RNJ1" i="11"/>
  <c r="RNI1" i="11"/>
  <c r="RNH1" i="11"/>
  <c r="RNG1" i="11"/>
  <c r="RNF1" i="11"/>
  <c r="RNE1" i="11"/>
  <c r="RND1" i="11"/>
  <c r="RNC1" i="11"/>
  <c r="RNB1" i="11"/>
  <c r="RNA1" i="11"/>
  <c r="RMZ1" i="11"/>
  <c r="RMY1" i="11"/>
  <c r="RMX1" i="11"/>
  <c r="RMW1" i="11"/>
  <c r="RMV1" i="11"/>
  <c r="RMU1" i="11"/>
  <c r="RMT1" i="11"/>
  <c r="RMS1" i="11"/>
  <c r="RMR1" i="11"/>
  <c r="RMQ1" i="11"/>
  <c r="RMP1" i="11"/>
  <c r="RMO1" i="11"/>
  <c r="RMN1" i="11"/>
  <c r="RMM1" i="11"/>
  <c r="RML1" i="11"/>
  <c r="RMK1" i="11"/>
  <c r="RMJ1" i="11"/>
  <c r="RMI1" i="11"/>
  <c r="RMH1" i="11"/>
  <c r="RMG1" i="11"/>
  <c r="RMF1" i="11"/>
  <c r="RME1" i="11"/>
  <c r="RMD1" i="11"/>
  <c r="RMC1" i="11"/>
  <c r="RMB1" i="11"/>
  <c r="RMA1" i="11"/>
  <c r="RLZ1" i="11"/>
  <c r="RLY1" i="11"/>
  <c r="RLX1" i="11"/>
  <c r="RLW1" i="11"/>
  <c r="RLV1" i="11"/>
  <c r="RLU1" i="11"/>
  <c r="RLT1" i="11"/>
  <c r="RLS1" i="11"/>
  <c r="RLR1" i="11"/>
  <c r="RLQ1" i="11"/>
  <c r="RLP1" i="11"/>
  <c r="RLO1" i="11"/>
  <c r="RLN1" i="11"/>
  <c r="RLM1" i="11"/>
  <c r="RLL1" i="11"/>
  <c r="RLK1" i="11"/>
  <c r="RLJ1" i="11"/>
  <c r="RLI1" i="11"/>
  <c r="RLH1" i="11"/>
  <c r="RLG1" i="11"/>
  <c r="RLF1" i="11"/>
  <c r="RLE1" i="11"/>
  <c r="RLD1" i="11"/>
  <c r="RLC1" i="11"/>
  <c r="RLB1" i="11"/>
  <c r="RLA1" i="11"/>
  <c r="RKZ1" i="11"/>
  <c r="RKY1" i="11"/>
  <c r="RKX1" i="11"/>
  <c r="RKW1" i="11"/>
  <c r="RKV1" i="11"/>
  <c r="RKU1" i="11"/>
  <c r="RKT1" i="11"/>
  <c r="RKS1" i="11"/>
  <c r="RKR1" i="11"/>
  <c r="RKQ1" i="11"/>
  <c r="RKP1" i="11"/>
  <c r="RKO1" i="11"/>
  <c r="RKN1" i="11"/>
  <c r="RKM1" i="11"/>
  <c r="RKL1" i="11"/>
  <c r="RKK1" i="11"/>
  <c r="RKJ1" i="11"/>
  <c r="RKI1" i="11"/>
  <c r="RKH1" i="11"/>
  <c r="RKG1" i="11"/>
  <c r="RKF1" i="11"/>
  <c r="RKE1" i="11"/>
  <c r="RKD1" i="11"/>
  <c r="RKC1" i="11"/>
  <c r="RKB1" i="11"/>
  <c r="RKA1" i="11"/>
  <c r="RJZ1" i="11"/>
  <c r="RJY1" i="11"/>
  <c r="RJX1" i="11"/>
  <c r="RJW1" i="11"/>
  <c r="RJV1" i="11"/>
  <c r="RJU1" i="11"/>
  <c r="RJT1" i="11"/>
  <c r="RJS1" i="11"/>
  <c r="RJR1" i="11"/>
  <c r="RJQ1" i="11"/>
  <c r="RJP1" i="11"/>
  <c r="RJO1" i="11"/>
  <c r="RJN1" i="11"/>
  <c r="RJM1" i="11"/>
  <c r="RJL1" i="11"/>
  <c r="RJK1" i="11"/>
  <c r="RJJ1" i="11"/>
  <c r="RJI1" i="11"/>
  <c r="RJH1" i="11"/>
  <c r="RJG1" i="11"/>
  <c r="RJF1" i="11"/>
  <c r="RJE1" i="11"/>
  <c r="RJD1" i="11"/>
  <c r="RJC1" i="11"/>
  <c r="RJB1" i="11"/>
  <c r="RJA1" i="11"/>
  <c r="RIZ1" i="11"/>
  <c r="RIY1" i="11"/>
  <c r="RIX1" i="11"/>
  <c r="RIW1" i="11"/>
  <c r="RIV1" i="11"/>
  <c r="RIU1" i="11"/>
  <c r="RIT1" i="11"/>
  <c r="RIS1" i="11"/>
  <c r="RIR1" i="11"/>
  <c r="RIQ1" i="11"/>
  <c r="RIP1" i="11"/>
  <c r="RIO1" i="11"/>
  <c r="RIN1" i="11"/>
  <c r="RIM1" i="11"/>
  <c r="RIL1" i="11"/>
  <c r="RIK1" i="11"/>
  <c r="RIJ1" i="11"/>
  <c r="RII1" i="11"/>
  <c r="RIH1" i="11"/>
  <c r="RIG1" i="11"/>
  <c r="RIF1" i="11"/>
  <c r="RIE1" i="11"/>
  <c r="RID1" i="11"/>
  <c r="RIC1" i="11"/>
  <c r="RIB1" i="11"/>
  <c r="RIA1" i="11"/>
  <c r="RHZ1" i="11"/>
  <c r="RHY1" i="11"/>
  <c r="RHX1" i="11"/>
  <c r="RHW1" i="11"/>
  <c r="RHV1" i="11"/>
  <c r="RHU1" i="11"/>
  <c r="RHT1" i="11"/>
  <c r="RHS1" i="11"/>
  <c r="RHR1" i="11"/>
  <c r="RHQ1" i="11"/>
  <c r="RHP1" i="11"/>
  <c r="RHO1" i="11"/>
  <c r="RHN1" i="11"/>
  <c r="RHM1" i="11"/>
  <c r="RHL1" i="11"/>
  <c r="RHK1" i="11"/>
  <c r="RHJ1" i="11"/>
  <c r="RHI1" i="11"/>
  <c r="RHH1" i="11"/>
  <c r="RHG1" i="11"/>
  <c r="RHF1" i="11"/>
  <c r="RHE1" i="11"/>
  <c r="RHD1" i="11"/>
  <c r="RHC1" i="11"/>
  <c r="RHB1" i="11"/>
  <c r="RHA1" i="11"/>
  <c r="RGZ1" i="11"/>
  <c r="RGY1" i="11"/>
  <c r="RGX1" i="11"/>
  <c r="RGW1" i="11"/>
  <c r="RGV1" i="11"/>
  <c r="RGU1" i="11"/>
  <c r="RGT1" i="11"/>
  <c r="RGS1" i="11"/>
  <c r="RGR1" i="11"/>
  <c r="RGQ1" i="11"/>
  <c r="RGP1" i="11"/>
  <c r="RGO1" i="11"/>
  <c r="RGN1" i="11"/>
  <c r="RGM1" i="11"/>
  <c r="RGL1" i="11"/>
  <c r="RGK1" i="11"/>
  <c r="RGJ1" i="11"/>
  <c r="RGI1" i="11"/>
  <c r="RGH1" i="11"/>
  <c r="RGG1" i="11"/>
  <c r="RGF1" i="11"/>
  <c r="RGE1" i="11"/>
  <c r="RGD1" i="11"/>
  <c r="RGC1" i="11"/>
  <c r="RGB1" i="11"/>
  <c r="RGA1" i="11"/>
  <c r="RFZ1" i="11"/>
  <c r="RFY1" i="11"/>
  <c r="RFX1" i="11"/>
  <c r="RFW1" i="11"/>
  <c r="RFV1" i="11"/>
  <c r="RFU1" i="11"/>
  <c r="RFT1" i="11"/>
  <c r="RFS1" i="11"/>
  <c r="RFR1" i="11"/>
  <c r="RFQ1" i="11"/>
  <c r="RFP1" i="11"/>
  <c r="RFO1" i="11"/>
  <c r="RFN1" i="11"/>
  <c r="RFM1" i="11"/>
  <c r="RFL1" i="11"/>
  <c r="RFK1" i="11"/>
  <c r="RFJ1" i="11"/>
  <c r="RFI1" i="11"/>
  <c r="RFH1" i="11"/>
  <c r="RFG1" i="11"/>
  <c r="RFF1" i="11"/>
  <c r="RFE1" i="11"/>
  <c r="RFD1" i="11"/>
  <c r="RFC1" i="11"/>
  <c r="RFB1" i="11"/>
  <c r="RFA1" i="11"/>
  <c r="REZ1" i="11"/>
  <c r="REY1" i="11"/>
  <c r="REX1" i="11"/>
  <c r="REW1" i="11"/>
  <c r="REV1" i="11"/>
  <c r="REU1" i="11"/>
  <c r="RET1" i="11"/>
  <c r="RES1" i="11"/>
  <c r="RER1" i="11"/>
  <c r="REQ1" i="11"/>
  <c r="REP1" i="11"/>
  <c r="REO1" i="11"/>
  <c r="REN1" i="11"/>
  <c r="REM1" i="11"/>
  <c r="REL1" i="11"/>
  <c r="REK1" i="11"/>
  <c r="REJ1" i="11"/>
  <c r="REI1" i="11"/>
  <c r="REH1" i="11"/>
  <c r="REG1" i="11"/>
  <c r="REF1" i="11"/>
  <c r="REE1" i="11"/>
  <c r="RED1" i="11"/>
  <c r="REC1" i="11"/>
  <c r="REB1" i="11"/>
  <c r="REA1" i="11"/>
  <c r="RDZ1" i="11"/>
  <c r="RDY1" i="11"/>
  <c r="RDX1" i="11"/>
  <c r="RDW1" i="11"/>
  <c r="RDV1" i="11"/>
  <c r="RDU1" i="11"/>
  <c r="RDT1" i="11"/>
  <c r="RDS1" i="11"/>
  <c r="RDR1" i="11"/>
  <c r="RDQ1" i="11"/>
  <c r="RDP1" i="11"/>
  <c r="RDO1" i="11"/>
  <c r="RDN1" i="11"/>
  <c r="RDM1" i="11"/>
  <c r="RDL1" i="11"/>
  <c r="RDK1" i="11"/>
  <c r="RDJ1" i="11"/>
  <c r="RDI1" i="11"/>
  <c r="RDH1" i="11"/>
  <c r="RDG1" i="11"/>
  <c r="RDF1" i="11"/>
  <c r="RDE1" i="11"/>
  <c r="RDD1" i="11"/>
  <c r="RDC1" i="11"/>
  <c r="RDB1" i="11"/>
  <c r="RDA1" i="11"/>
  <c r="RCZ1" i="11"/>
  <c r="RCY1" i="11"/>
  <c r="RCX1" i="11"/>
  <c r="RCW1" i="11"/>
  <c r="RCV1" i="11"/>
  <c r="RCU1" i="11"/>
  <c r="RCT1" i="11"/>
  <c r="RCS1" i="11"/>
  <c r="RCR1" i="11"/>
  <c r="RCQ1" i="11"/>
  <c r="RCP1" i="11"/>
  <c r="RCO1" i="11"/>
  <c r="RCN1" i="11"/>
  <c r="RCM1" i="11"/>
  <c r="RCL1" i="11"/>
  <c r="RCK1" i="11"/>
  <c r="RCJ1" i="11"/>
  <c r="RCI1" i="11"/>
  <c r="RCH1" i="11"/>
  <c r="RCG1" i="11"/>
  <c r="RCF1" i="11"/>
  <c r="RCE1" i="11"/>
  <c r="RCD1" i="11"/>
  <c r="RCC1" i="11"/>
  <c r="RCB1" i="11"/>
  <c r="RCA1" i="11"/>
  <c r="RBZ1" i="11"/>
  <c r="RBY1" i="11"/>
  <c r="RBX1" i="11"/>
  <c r="RBW1" i="11"/>
  <c r="RBV1" i="11"/>
  <c r="RBU1" i="11"/>
  <c r="RBT1" i="11"/>
  <c r="RBS1" i="11"/>
  <c r="RBR1" i="11"/>
  <c r="RBQ1" i="11"/>
  <c r="RBP1" i="11"/>
  <c r="RBO1" i="11"/>
  <c r="RBN1" i="11"/>
  <c r="RBM1" i="11"/>
  <c r="RBL1" i="11"/>
  <c r="RBK1" i="11"/>
  <c r="RBJ1" i="11"/>
  <c r="RBI1" i="11"/>
  <c r="RBH1" i="11"/>
  <c r="RBG1" i="11"/>
  <c r="RBF1" i="11"/>
  <c r="RBE1" i="11"/>
  <c r="RBD1" i="11"/>
  <c r="RBC1" i="11"/>
  <c r="RBB1" i="11"/>
  <c r="RBA1" i="11"/>
  <c r="RAZ1" i="11"/>
  <c r="RAY1" i="11"/>
  <c r="RAX1" i="11"/>
  <c r="RAW1" i="11"/>
  <c r="RAV1" i="11"/>
  <c r="RAU1" i="11"/>
  <c r="RAT1" i="11"/>
  <c r="RAS1" i="11"/>
  <c r="RAR1" i="11"/>
  <c r="RAQ1" i="11"/>
  <c r="RAP1" i="11"/>
  <c r="RAO1" i="11"/>
  <c r="RAN1" i="11"/>
  <c r="RAM1" i="11"/>
  <c r="RAL1" i="11"/>
  <c r="RAK1" i="11"/>
  <c r="RAJ1" i="11"/>
  <c r="RAI1" i="11"/>
  <c r="RAH1" i="11"/>
  <c r="RAG1" i="11"/>
  <c r="RAF1" i="11"/>
  <c r="RAE1" i="11"/>
  <c r="RAD1" i="11"/>
  <c r="RAC1" i="11"/>
  <c r="RAB1" i="11"/>
  <c r="RAA1" i="11"/>
  <c r="QZZ1" i="11"/>
  <c r="QZY1" i="11"/>
  <c r="QZX1" i="11"/>
  <c r="QZW1" i="11"/>
  <c r="QZV1" i="11"/>
  <c r="QZU1" i="11"/>
  <c r="QZT1" i="11"/>
  <c r="QZS1" i="11"/>
  <c r="QZR1" i="11"/>
  <c r="QZQ1" i="11"/>
  <c r="QZP1" i="11"/>
  <c r="QZO1" i="11"/>
  <c r="QZN1" i="11"/>
  <c r="QZM1" i="11"/>
  <c r="QZL1" i="11"/>
  <c r="QZK1" i="11"/>
  <c r="QZJ1" i="11"/>
  <c r="QZI1" i="11"/>
  <c r="QZH1" i="11"/>
  <c r="QZG1" i="11"/>
  <c r="QZF1" i="11"/>
  <c r="QZE1" i="11"/>
  <c r="QZD1" i="11"/>
  <c r="QZC1" i="11"/>
  <c r="QZB1" i="11"/>
  <c r="QZA1" i="11"/>
  <c r="QYZ1" i="11"/>
  <c r="QYY1" i="11"/>
  <c r="QYX1" i="11"/>
  <c r="QYW1" i="11"/>
  <c r="QYV1" i="11"/>
  <c r="QYU1" i="11"/>
  <c r="QYT1" i="11"/>
  <c r="QYS1" i="11"/>
  <c r="QYR1" i="11"/>
  <c r="QYQ1" i="11"/>
  <c r="QYP1" i="11"/>
  <c r="QYO1" i="11"/>
  <c r="QYN1" i="11"/>
  <c r="QYM1" i="11"/>
  <c r="QYL1" i="11"/>
  <c r="QYK1" i="11"/>
  <c r="QYJ1" i="11"/>
  <c r="QYI1" i="11"/>
  <c r="QYH1" i="11"/>
  <c r="QYG1" i="11"/>
  <c r="QYF1" i="11"/>
  <c r="QYE1" i="11"/>
  <c r="QYD1" i="11"/>
  <c r="QYC1" i="11"/>
  <c r="QYB1" i="11"/>
  <c r="QYA1" i="11"/>
  <c r="QXZ1" i="11"/>
  <c r="QXY1" i="11"/>
  <c r="QXX1" i="11"/>
  <c r="QXW1" i="11"/>
  <c r="QXV1" i="11"/>
  <c r="QXU1" i="11"/>
  <c r="QXT1" i="11"/>
  <c r="QXS1" i="11"/>
  <c r="QXR1" i="11"/>
  <c r="QXQ1" i="11"/>
  <c r="QXP1" i="11"/>
  <c r="QXO1" i="11"/>
  <c r="QXN1" i="11"/>
  <c r="QXM1" i="11"/>
  <c r="QXL1" i="11"/>
  <c r="QXK1" i="11"/>
  <c r="QXJ1" i="11"/>
  <c r="QXI1" i="11"/>
  <c r="QXH1" i="11"/>
  <c r="QXG1" i="11"/>
  <c r="QXF1" i="11"/>
  <c r="QXE1" i="11"/>
  <c r="QXD1" i="11"/>
  <c r="QXC1" i="11"/>
  <c r="QXB1" i="11"/>
  <c r="QXA1" i="11"/>
  <c r="QWZ1" i="11"/>
  <c r="QWY1" i="11"/>
  <c r="QWX1" i="11"/>
  <c r="QWW1" i="11"/>
  <c r="QWV1" i="11"/>
  <c r="QWU1" i="11"/>
  <c r="QWT1" i="11"/>
  <c r="QWS1" i="11"/>
  <c r="QWR1" i="11"/>
  <c r="QWQ1" i="11"/>
  <c r="QWP1" i="11"/>
  <c r="QWO1" i="11"/>
  <c r="QWN1" i="11"/>
  <c r="QWM1" i="11"/>
  <c r="QWL1" i="11"/>
  <c r="QWK1" i="11"/>
  <c r="QWJ1" i="11"/>
  <c r="QWI1" i="11"/>
  <c r="QWH1" i="11"/>
  <c r="QWG1" i="11"/>
  <c r="QWF1" i="11"/>
  <c r="QWE1" i="11"/>
  <c r="QWD1" i="11"/>
  <c r="QWC1" i="11"/>
  <c r="QWB1" i="11"/>
  <c r="QWA1" i="11"/>
  <c r="QVZ1" i="11"/>
  <c r="QVY1" i="11"/>
  <c r="QVX1" i="11"/>
  <c r="QVW1" i="11"/>
  <c r="QVV1" i="11"/>
  <c r="QVU1" i="11"/>
  <c r="QVT1" i="11"/>
  <c r="QVS1" i="11"/>
  <c r="QVR1" i="11"/>
  <c r="QVQ1" i="11"/>
  <c r="QVP1" i="11"/>
  <c r="QVO1" i="11"/>
  <c r="QVN1" i="11"/>
  <c r="QVM1" i="11"/>
  <c r="QVL1" i="11"/>
  <c r="QVK1" i="11"/>
  <c r="QVJ1" i="11"/>
  <c r="QVI1" i="11"/>
  <c r="QVH1" i="11"/>
  <c r="QVG1" i="11"/>
  <c r="QVF1" i="11"/>
  <c r="QVE1" i="11"/>
  <c r="QVD1" i="11"/>
  <c r="QVC1" i="11"/>
  <c r="QVB1" i="11"/>
  <c r="QVA1" i="11"/>
  <c r="QUZ1" i="11"/>
  <c r="QUY1" i="11"/>
  <c r="QUX1" i="11"/>
  <c r="QUW1" i="11"/>
  <c r="QUV1" i="11"/>
  <c r="QUU1" i="11"/>
  <c r="QUT1" i="11"/>
  <c r="QUS1" i="11"/>
  <c r="QUR1" i="11"/>
  <c r="QUQ1" i="11"/>
  <c r="QUP1" i="11"/>
  <c r="QUO1" i="11"/>
  <c r="QUN1" i="11"/>
  <c r="QUM1" i="11"/>
  <c r="QUL1" i="11"/>
  <c r="QUK1" i="11"/>
  <c r="QUJ1" i="11"/>
  <c r="QUI1" i="11"/>
  <c r="QUH1" i="11"/>
  <c r="QUG1" i="11"/>
  <c r="QUF1" i="11"/>
  <c r="QUE1" i="11"/>
  <c r="QUD1" i="11"/>
  <c r="QUC1" i="11"/>
  <c r="QUB1" i="11"/>
  <c r="QUA1" i="11"/>
  <c r="QTZ1" i="11"/>
  <c r="QTY1" i="11"/>
  <c r="QTX1" i="11"/>
  <c r="QTW1" i="11"/>
  <c r="QTV1" i="11"/>
  <c r="QTU1" i="11"/>
  <c r="QTT1" i="11"/>
  <c r="QTS1" i="11"/>
  <c r="QTR1" i="11"/>
  <c r="QTQ1" i="11"/>
  <c r="QTP1" i="11"/>
  <c r="QTO1" i="11"/>
  <c r="QTN1" i="11"/>
  <c r="QTM1" i="11"/>
  <c r="QTL1" i="11"/>
  <c r="QTK1" i="11"/>
  <c r="QTJ1" i="11"/>
  <c r="QTI1" i="11"/>
  <c r="QTH1" i="11"/>
  <c r="QTG1" i="11"/>
  <c r="QTF1" i="11"/>
  <c r="QTE1" i="11"/>
  <c r="QTD1" i="11"/>
  <c r="QTC1" i="11"/>
  <c r="QTB1" i="11"/>
  <c r="QTA1" i="11"/>
  <c r="QSZ1" i="11"/>
  <c r="QSY1" i="11"/>
  <c r="QSX1" i="11"/>
  <c r="QSW1" i="11"/>
  <c r="QSV1" i="11"/>
  <c r="QSU1" i="11"/>
  <c r="QST1" i="11"/>
  <c r="QSS1" i="11"/>
  <c r="QSR1" i="11"/>
  <c r="QSQ1" i="11"/>
  <c r="QSP1" i="11"/>
  <c r="QSO1" i="11"/>
  <c r="QSN1" i="11"/>
  <c r="QSM1" i="11"/>
  <c r="QSL1" i="11"/>
  <c r="QSK1" i="11"/>
  <c r="QSJ1" i="11"/>
  <c r="QSI1" i="11"/>
  <c r="QSH1" i="11"/>
  <c r="QSG1" i="11"/>
  <c r="QSF1" i="11"/>
  <c r="QSE1" i="11"/>
  <c r="QSD1" i="11"/>
  <c r="QSC1" i="11"/>
  <c r="QSB1" i="11"/>
  <c r="QSA1" i="11"/>
  <c r="QRZ1" i="11"/>
  <c r="QRY1" i="11"/>
  <c r="QRX1" i="11"/>
  <c r="QRW1" i="11"/>
  <c r="QRV1" i="11"/>
  <c r="QRU1" i="11"/>
  <c r="QRT1" i="11"/>
  <c r="QRS1" i="11"/>
  <c r="QRR1" i="11"/>
  <c r="QRQ1" i="11"/>
  <c r="QRP1" i="11"/>
  <c r="QRO1" i="11"/>
  <c r="QRN1" i="11"/>
  <c r="QRM1" i="11"/>
  <c r="QRL1" i="11"/>
  <c r="QRK1" i="11"/>
  <c r="QRJ1" i="11"/>
  <c r="QRI1" i="11"/>
  <c r="QRH1" i="11"/>
  <c r="QRG1" i="11"/>
  <c r="QRF1" i="11"/>
  <c r="QRE1" i="11"/>
  <c r="QRD1" i="11"/>
  <c r="QRC1" i="11"/>
  <c r="QRB1" i="11"/>
  <c r="QRA1" i="11"/>
  <c r="QQZ1" i="11"/>
  <c r="QQY1" i="11"/>
  <c r="QQX1" i="11"/>
  <c r="QQW1" i="11"/>
  <c r="QQV1" i="11"/>
  <c r="QQU1" i="11"/>
  <c r="QQT1" i="11"/>
  <c r="QQS1" i="11"/>
  <c r="QQR1" i="11"/>
  <c r="QQQ1" i="11"/>
  <c r="QQP1" i="11"/>
  <c r="QQO1" i="11"/>
  <c r="QQN1" i="11"/>
  <c r="QQM1" i="11"/>
  <c r="QQL1" i="11"/>
  <c r="QQK1" i="11"/>
  <c r="QQJ1" i="11"/>
  <c r="QQI1" i="11"/>
  <c r="QQH1" i="11"/>
  <c r="QQG1" i="11"/>
  <c r="QQF1" i="11"/>
  <c r="QQE1" i="11"/>
  <c r="QQD1" i="11"/>
  <c r="QQC1" i="11"/>
  <c r="QQB1" i="11"/>
  <c r="QQA1" i="11"/>
  <c r="QPZ1" i="11"/>
  <c r="QPY1" i="11"/>
  <c r="QPX1" i="11"/>
  <c r="QPW1" i="11"/>
  <c r="QPV1" i="11"/>
  <c r="QPU1" i="11"/>
  <c r="QPT1" i="11"/>
  <c r="QPS1" i="11"/>
  <c r="QPR1" i="11"/>
  <c r="QPQ1" i="11"/>
  <c r="QPP1" i="11"/>
  <c r="QPO1" i="11"/>
  <c r="QPN1" i="11"/>
  <c r="QPM1" i="11"/>
  <c r="QPL1" i="11"/>
  <c r="QPK1" i="11"/>
  <c r="QPJ1" i="11"/>
  <c r="QPI1" i="11"/>
  <c r="QPH1" i="11"/>
  <c r="QPG1" i="11"/>
  <c r="QPF1" i="11"/>
  <c r="QPE1" i="11"/>
  <c r="QPD1" i="11"/>
  <c r="QPC1" i="11"/>
  <c r="QPB1" i="11"/>
  <c r="QPA1" i="11"/>
  <c r="QOZ1" i="11"/>
  <c r="QOY1" i="11"/>
  <c r="QOX1" i="11"/>
  <c r="QOW1" i="11"/>
  <c r="QOV1" i="11"/>
  <c r="QOU1" i="11"/>
  <c r="QOT1" i="11"/>
  <c r="QOS1" i="11"/>
  <c r="QOR1" i="11"/>
  <c r="QOQ1" i="11"/>
  <c r="QOP1" i="11"/>
  <c r="QOO1" i="11"/>
  <c r="QON1" i="11"/>
  <c r="QOM1" i="11"/>
  <c r="QOL1" i="11"/>
  <c r="QOK1" i="11"/>
  <c r="QOJ1" i="11"/>
  <c r="QOI1" i="11"/>
  <c r="QOH1" i="11"/>
  <c r="QOG1" i="11"/>
  <c r="QOF1" i="11"/>
  <c r="QOE1" i="11"/>
  <c r="QOD1" i="11"/>
  <c r="QOC1" i="11"/>
  <c r="QOB1" i="11"/>
  <c r="QOA1" i="11"/>
  <c r="QNZ1" i="11"/>
  <c r="QNY1" i="11"/>
  <c r="QNX1" i="11"/>
  <c r="QNW1" i="11"/>
  <c r="QNV1" i="11"/>
  <c r="QNU1" i="11"/>
  <c r="QNT1" i="11"/>
  <c r="QNS1" i="11"/>
  <c r="QNR1" i="11"/>
  <c r="QNQ1" i="11"/>
  <c r="QNP1" i="11"/>
  <c r="QNO1" i="11"/>
  <c r="QNN1" i="11"/>
  <c r="QNM1" i="11"/>
  <c r="QNL1" i="11"/>
  <c r="QNK1" i="11"/>
  <c r="QNJ1" i="11"/>
  <c r="QNI1" i="11"/>
  <c r="QNH1" i="11"/>
  <c r="QNG1" i="11"/>
  <c r="QNF1" i="11"/>
  <c r="QNE1" i="11"/>
  <c r="QND1" i="11"/>
  <c r="QNC1" i="11"/>
  <c r="QNB1" i="11"/>
  <c r="QNA1" i="11"/>
  <c r="QMZ1" i="11"/>
  <c r="QMY1" i="11"/>
  <c r="QMX1" i="11"/>
  <c r="QMW1" i="11"/>
  <c r="QMV1" i="11"/>
  <c r="QMU1" i="11"/>
  <c r="QMT1" i="11"/>
  <c r="QMS1" i="11"/>
  <c r="QMR1" i="11"/>
  <c r="QMQ1" i="11"/>
  <c r="QMP1" i="11"/>
  <c r="QMO1" i="11"/>
  <c r="QMN1" i="11"/>
  <c r="QMM1" i="11"/>
  <c r="QML1" i="11"/>
  <c r="QMK1" i="11"/>
  <c r="QMJ1" i="11"/>
  <c r="QMI1" i="11"/>
  <c r="QMH1" i="11"/>
  <c r="QMG1" i="11"/>
  <c r="QMF1" i="11"/>
  <c r="QME1" i="11"/>
  <c r="QMD1" i="11"/>
  <c r="QMC1" i="11"/>
  <c r="QMB1" i="11"/>
  <c r="QMA1" i="11"/>
  <c r="QLZ1" i="11"/>
  <c r="QLY1" i="11"/>
  <c r="QLX1" i="11"/>
  <c r="QLW1" i="11"/>
  <c r="QLV1" i="11"/>
  <c r="QLU1" i="11"/>
  <c r="QLT1" i="11"/>
  <c r="QLS1" i="11"/>
  <c r="QLR1" i="11"/>
  <c r="QLQ1" i="11"/>
  <c r="QLP1" i="11"/>
  <c r="QLO1" i="11"/>
  <c r="QLN1" i="11"/>
  <c r="QLM1" i="11"/>
  <c r="QLL1" i="11"/>
  <c r="QLK1" i="11"/>
  <c r="QLJ1" i="11"/>
  <c r="QLI1" i="11"/>
  <c r="QLH1" i="11"/>
  <c r="QLG1" i="11"/>
  <c r="QLF1" i="11"/>
  <c r="QLE1" i="11"/>
  <c r="QLD1" i="11"/>
  <c r="QLC1" i="11"/>
  <c r="QLB1" i="11"/>
  <c r="QLA1" i="11"/>
  <c r="QKZ1" i="11"/>
  <c r="QKY1" i="11"/>
  <c r="QKX1" i="11"/>
  <c r="QKW1" i="11"/>
  <c r="QKV1" i="11"/>
  <c r="QKU1" i="11"/>
  <c r="QKT1" i="11"/>
  <c r="QKS1" i="11"/>
  <c r="QKR1" i="11"/>
  <c r="QKQ1" i="11"/>
  <c r="QKP1" i="11"/>
  <c r="QKO1" i="11"/>
  <c r="QKN1" i="11"/>
  <c r="QKM1" i="11"/>
  <c r="QKL1" i="11"/>
  <c r="QKK1" i="11"/>
  <c r="QKJ1" i="11"/>
  <c r="QKI1" i="11"/>
  <c r="QKH1" i="11"/>
  <c r="QKG1" i="11"/>
  <c r="QKF1" i="11"/>
  <c r="QKE1" i="11"/>
  <c r="QKD1" i="11"/>
  <c r="QKC1" i="11"/>
  <c r="QKB1" i="11"/>
  <c r="QKA1" i="11"/>
  <c r="QJZ1" i="11"/>
  <c r="QJY1" i="11"/>
  <c r="QJX1" i="11"/>
  <c r="QJW1" i="11"/>
  <c r="QJV1" i="11"/>
  <c r="QJU1" i="11"/>
  <c r="QJT1" i="11"/>
  <c r="QJS1" i="11"/>
  <c r="QJR1" i="11"/>
  <c r="QJQ1" i="11"/>
  <c r="QJP1" i="11"/>
  <c r="QJO1" i="11"/>
  <c r="QJN1" i="11"/>
  <c r="QJM1" i="11"/>
  <c r="QJL1" i="11"/>
  <c r="QJK1" i="11"/>
  <c r="QJJ1" i="11"/>
  <c r="QJI1" i="11"/>
  <c r="QJH1" i="11"/>
  <c r="QJG1" i="11"/>
  <c r="QJF1" i="11"/>
  <c r="QJE1" i="11"/>
  <c r="QJD1" i="11"/>
  <c r="QJC1" i="11"/>
  <c r="QJB1" i="11"/>
  <c r="QJA1" i="11"/>
  <c r="QIZ1" i="11"/>
  <c r="QIY1" i="11"/>
  <c r="QIX1" i="11"/>
  <c r="QIW1" i="11"/>
  <c r="QIV1" i="11"/>
  <c r="QIU1" i="11"/>
  <c r="QIT1" i="11"/>
  <c r="QIS1" i="11"/>
  <c r="QIR1" i="11"/>
  <c r="QIQ1" i="11"/>
  <c r="QIP1" i="11"/>
  <c r="QIO1" i="11"/>
  <c r="QIN1" i="11"/>
  <c r="QIM1" i="11"/>
  <c r="QIL1" i="11"/>
  <c r="QIK1" i="11"/>
  <c r="QIJ1" i="11"/>
  <c r="QII1" i="11"/>
  <c r="QIH1" i="11"/>
  <c r="QIG1" i="11"/>
  <c r="QIF1" i="11"/>
  <c r="QIE1" i="11"/>
  <c r="QID1" i="11"/>
  <c r="QIC1" i="11"/>
  <c r="QIB1" i="11"/>
  <c r="QIA1" i="11"/>
  <c r="QHZ1" i="11"/>
  <c r="QHY1" i="11"/>
  <c r="QHX1" i="11"/>
  <c r="QHW1" i="11"/>
  <c r="QHV1" i="11"/>
  <c r="QHU1" i="11"/>
  <c r="QHT1" i="11"/>
  <c r="QHS1" i="11"/>
  <c r="QHR1" i="11"/>
  <c r="QHQ1" i="11"/>
  <c r="QHP1" i="11"/>
  <c r="QHO1" i="11"/>
  <c r="QHN1" i="11"/>
  <c r="QHM1" i="11"/>
  <c r="QHL1" i="11"/>
  <c r="QHK1" i="11"/>
  <c r="QHJ1" i="11"/>
  <c r="QHI1" i="11"/>
  <c r="QHH1" i="11"/>
  <c r="QHG1" i="11"/>
  <c r="QHF1" i="11"/>
  <c r="QHE1" i="11"/>
  <c r="QHD1" i="11"/>
  <c r="QHC1" i="11"/>
  <c r="QHB1" i="11"/>
  <c r="QHA1" i="11"/>
  <c r="QGZ1" i="11"/>
  <c r="QGY1" i="11"/>
  <c r="QGX1" i="11"/>
  <c r="QGW1" i="11"/>
  <c r="QGV1" i="11"/>
  <c r="QGU1" i="11"/>
  <c r="QGT1" i="11"/>
  <c r="QGS1" i="11"/>
  <c r="QGR1" i="11"/>
  <c r="QGQ1" i="11"/>
  <c r="QGP1" i="11"/>
  <c r="QGO1" i="11"/>
  <c r="QGN1" i="11"/>
  <c r="QGM1" i="11"/>
  <c r="QGL1" i="11"/>
  <c r="QGK1" i="11"/>
  <c r="QGJ1" i="11"/>
  <c r="QGI1" i="11"/>
  <c r="QGH1" i="11"/>
  <c r="QGG1" i="11"/>
  <c r="QGF1" i="11"/>
  <c r="QGE1" i="11"/>
  <c r="QGD1" i="11"/>
  <c r="QGC1" i="11"/>
  <c r="QGB1" i="11"/>
  <c r="QGA1" i="11"/>
  <c r="QFZ1" i="11"/>
  <c r="QFY1" i="11"/>
  <c r="QFX1" i="11"/>
  <c r="QFW1" i="11"/>
  <c r="QFV1" i="11"/>
  <c r="QFU1" i="11"/>
  <c r="QFT1" i="11"/>
  <c r="QFS1" i="11"/>
  <c r="QFR1" i="11"/>
  <c r="QFQ1" i="11"/>
  <c r="QFP1" i="11"/>
  <c r="QFO1" i="11"/>
  <c r="QFN1" i="11"/>
  <c r="QFM1" i="11"/>
  <c r="QFL1" i="11"/>
  <c r="QFK1" i="11"/>
  <c r="QFJ1" i="11"/>
  <c r="QFI1" i="11"/>
  <c r="QFH1" i="11"/>
  <c r="QFG1" i="11"/>
  <c r="QFF1" i="11"/>
  <c r="QFE1" i="11"/>
  <c r="QFD1" i="11"/>
  <c r="QFC1" i="11"/>
  <c r="QFB1" i="11"/>
  <c r="QFA1" i="11"/>
  <c r="QEZ1" i="11"/>
  <c r="QEY1" i="11"/>
  <c r="QEX1" i="11"/>
  <c r="QEW1" i="11"/>
  <c r="QEV1" i="11"/>
  <c r="QEU1" i="11"/>
  <c r="QET1" i="11"/>
  <c r="QES1" i="11"/>
  <c r="QER1" i="11"/>
  <c r="QEQ1" i="11"/>
  <c r="QEP1" i="11"/>
  <c r="QEO1" i="11"/>
  <c r="QEN1" i="11"/>
  <c r="QEM1" i="11"/>
  <c r="QEL1" i="11"/>
  <c r="QEK1" i="11"/>
  <c r="QEJ1" i="11"/>
  <c r="QEI1" i="11"/>
  <c r="QEH1" i="11"/>
  <c r="QEG1" i="11"/>
  <c r="QEF1" i="11"/>
  <c r="QEE1" i="11"/>
  <c r="QED1" i="11"/>
  <c r="QEC1" i="11"/>
  <c r="QEB1" i="11"/>
  <c r="QEA1" i="11"/>
  <c r="QDZ1" i="11"/>
  <c r="QDY1" i="11"/>
  <c r="QDX1" i="11"/>
  <c r="QDW1" i="11"/>
  <c r="QDV1" i="11"/>
  <c r="QDU1" i="11"/>
  <c r="QDT1" i="11"/>
  <c r="QDS1" i="11"/>
  <c r="QDR1" i="11"/>
  <c r="QDQ1" i="11"/>
  <c r="QDP1" i="11"/>
  <c r="QDO1" i="11"/>
  <c r="QDN1" i="11"/>
  <c r="QDM1" i="11"/>
  <c r="QDL1" i="11"/>
  <c r="QDK1" i="11"/>
  <c r="QDJ1" i="11"/>
  <c r="QDI1" i="11"/>
  <c r="QDH1" i="11"/>
  <c r="QDG1" i="11"/>
  <c r="QDF1" i="11"/>
  <c r="QDE1" i="11"/>
  <c r="QDD1" i="11"/>
  <c r="QDC1" i="11"/>
  <c r="QDB1" i="11"/>
  <c r="QDA1" i="11"/>
  <c r="QCZ1" i="11"/>
  <c r="QCY1" i="11"/>
  <c r="QCX1" i="11"/>
  <c r="QCW1" i="11"/>
  <c r="QCV1" i="11"/>
  <c r="QCU1" i="11"/>
  <c r="QCT1" i="11"/>
  <c r="QCS1" i="11"/>
  <c r="QCR1" i="11"/>
  <c r="QCQ1" i="11"/>
  <c r="QCP1" i="11"/>
  <c r="QCO1" i="11"/>
  <c r="QCN1" i="11"/>
  <c r="QCM1" i="11"/>
  <c r="QCL1" i="11"/>
  <c r="QCK1" i="11"/>
  <c r="QCJ1" i="11"/>
  <c r="QCI1" i="11"/>
  <c r="QCH1" i="11"/>
  <c r="QCG1" i="11"/>
  <c r="QCF1" i="11"/>
  <c r="QCE1" i="11"/>
  <c r="QCD1" i="11"/>
  <c r="QCC1" i="11"/>
  <c r="QCB1" i="11"/>
  <c r="QCA1" i="11"/>
  <c r="QBZ1" i="11"/>
  <c r="QBY1" i="11"/>
  <c r="QBX1" i="11"/>
  <c r="QBW1" i="11"/>
  <c r="QBV1" i="11"/>
  <c r="QBU1" i="11"/>
  <c r="QBT1" i="11"/>
  <c r="QBS1" i="11"/>
  <c r="QBR1" i="11"/>
  <c r="QBQ1" i="11"/>
  <c r="QBP1" i="11"/>
  <c r="QBO1" i="11"/>
  <c r="QBN1" i="11"/>
  <c r="QBM1" i="11"/>
  <c r="QBL1" i="11"/>
  <c r="QBK1" i="11"/>
  <c r="QBJ1" i="11"/>
  <c r="QBI1" i="11"/>
  <c r="QBH1" i="11"/>
  <c r="QBG1" i="11"/>
  <c r="QBF1" i="11"/>
  <c r="QBE1" i="11"/>
  <c r="QBD1" i="11"/>
  <c r="QBC1" i="11"/>
  <c r="QBB1" i="11"/>
  <c r="QBA1" i="11"/>
  <c r="QAZ1" i="11"/>
  <c r="QAY1" i="11"/>
  <c r="QAX1" i="11"/>
  <c r="QAW1" i="11"/>
  <c r="QAV1" i="11"/>
  <c r="QAU1" i="11"/>
  <c r="QAT1" i="11"/>
  <c r="QAS1" i="11"/>
  <c r="QAR1" i="11"/>
  <c r="QAQ1" i="11"/>
  <c r="QAP1" i="11"/>
  <c r="QAO1" i="11"/>
  <c r="QAN1" i="11"/>
  <c r="QAM1" i="11"/>
  <c r="QAL1" i="11"/>
  <c r="QAK1" i="11"/>
  <c r="QAJ1" i="11"/>
  <c r="QAI1" i="11"/>
  <c r="QAH1" i="11"/>
  <c r="QAG1" i="11"/>
  <c r="QAF1" i="11"/>
  <c r="QAE1" i="11"/>
  <c r="QAD1" i="11"/>
  <c r="QAC1" i="11"/>
  <c r="QAB1" i="11"/>
  <c r="QAA1" i="11"/>
  <c r="PZZ1" i="11"/>
  <c r="PZY1" i="11"/>
  <c r="PZX1" i="11"/>
  <c r="PZW1" i="11"/>
  <c r="PZV1" i="11"/>
  <c r="PZU1" i="11"/>
  <c r="PZT1" i="11"/>
  <c r="PZS1" i="11"/>
  <c r="PZR1" i="11"/>
  <c r="PZQ1" i="11"/>
  <c r="PZP1" i="11"/>
  <c r="PZO1" i="11"/>
  <c r="PZN1" i="11"/>
  <c r="PZM1" i="11"/>
  <c r="PZL1" i="11"/>
  <c r="PZK1" i="11"/>
  <c r="PZJ1" i="11"/>
  <c r="PZI1" i="11"/>
  <c r="PZH1" i="11"/>
  <c r="PZG1" i="11"/>
  <c r="PZF1" i="11"/>
  <c r="PZE1" i="11"/>
  <c r="PZD1" i="11"/>
  <c r="PZC1" i="11"/>
  <c r="PZB1" i="11"/>
  <c r="PZA1" i="11"/>
  <c r="PYZ1" i="11"/>
  <c r="PYY1" i="11"/>
  <c r="PYX1" i="11"/>
  <c r="PYW1" i="11"/>
  <c r="PYV1" i="11"/>
  <c r="PYU1" i="11"/>
  <c r="PYT1" i="11"/>
  <c r="PYS1" i="11"/>
  <c r="PYR1" i="11"/>
  <c r="PYQ1" i="11"/>
  <c r="PYP1" i="11"/>
  <c r="PYO1" i="11"/>
  <c r="PYN1" i="11"/>
  <c r="PYM1" i="11"/>
  <c r="PYL1" i="11"/>
  <c r="PYK1" i="11"/>
  <c r="PYJ1" i="11"/>
  <c r="PYI1" i="11"/>
  <c r="PYH1" i="11"/>
  <c r="PYG1" i="11"/>
  <c r="PYF1" i="11"/>
  <c r="PYE1" i="11"/>
  <c r="PYD1" i="11"/>
  <c r="PYC1" i="11"/>
  <c r="PYB1" i="11"/>
  <c r="PYA1" i="11"/>
  <c r="PXZ1" i="11"/>
  <c r="PXY1" i="11"/>
  <c r="PXX1" i="11"/>
  <c r="PXW1" i="11"/>
  <c r="PXV1" i="11"/>
  <c r="PXU1" i="11"/>
  <c r="PXT1" i="11"/>
  <c r="PXS1" i="11"/>
  <c r="PXR1" i="11"/>
  <c r="PXQ1" i="11"/>
  <c r="PXP1" i="11"/>
  <c r="PXO1" i="11"/>
  <c r="PXN1" i="11"/>
  <c r="PXM1" i="11"/>
  <c r="PXL1" i="11"/>
  <c r="PXK1" i="11"/>
  <c r="PXJ1" i="11"/>
  <c r="PXI1" i="11"/>
  <c r="PXH1" i="11"/>
  <c r="PXG1" i="11"/>
  <c r="PXF1" i="11"/>
  <c r="PXE1" i="11"/>
  <c r="PXD1" i="11"/>
  <c r="PXC1" i="11"/>
  <c r="PXB1" i="11"/>
  <c r="PXA1" i="11"/>
  <c r="PWZ1" i="11"/>
  <c r="PWY1" i="11"/>
  <c r="PWX1" i="11"/>
  <c r="PWW1" i="11"/>
  <c r="PWV1" i="11"/>
  <c r="PWU1" i="11"/>
  <c r="PWT1" i="11"/>
  <c r="PWS1" i="11"/>
  <c r="PWR1" i="11"/>
  <c r="PWQ1" i="11"/>
  <c r="PWP1" i="11"/>
  <c r="PWO1" i="11"/>
  <c r="PWN1" i="11"/>
  <c r="PWM1" i="11"/>
  <c r="PWL1" i="11"/>
  <c r="PWK1" i="11"/>
  <c r="PWJ1" i="11"/>
  <c r="PWI1" i="11"/>
  <c r="PWH1" i="11"/>
  <c r="PWG1" i="11"/>
  <c r="PWF1" i="11"/>
  <c r="PWE1" i="11"/>
  <c r="PWD1" i="11"/>
  <c r="PWC1" i="11"/>
  <c r="PWB1" i="11"/>
  <c r="PWA1" i="11"/>
  <c r="PVZ1" i="11"/>
  <c r="PVY1" i="11"/>
  <c r="PVX1" i="11"/>
  <c r="PVW1" i="11"/>
  <c r="PVV1" i="11"/>
  <c r="PVU1" i="11"/>
  <c r="PVT1" i="11"/>
  <c r="PVS1" i="11"/>
  <c r="PVR1" i="11"/>
  <c r="PVQ1" i="11"/>
  <c r="PVP1" i="11"/>
  <c r="PVO1" i="11"/>
  <c r="PVN1" i="11"/>
  <c r="PVM1" i="11"/>
  <c r="PVL1" i="11"/>
  <c r="PVK1" i="11"/>
  <c r="PVJ1" i="11"/>
  <c r="PVI1" i="11"/>
  <c r="PVH1" i="11"/>
  <c r="PVG1" i="11"/>
  <c r="PVF1" i="11"/>
  <c r="PVE1" i="11"/>
  <c r="PVD1" i="11"/>
  <c r="PVC1" i="11"/>
  <c r="PVB1" i="11"/>
  <c r="PVA1" i="11"/>
  <c r="PUZ1" i="11"/>
  <c r="PUY1" i="11"/>
  <c r="PUX1" i="11"/>
  <c r="PUW1" i="11"/>
  <c r="PUV1" i="11"/>
  <c r="PUU1" i="11"/>
  <c r="PUT1" i="11"/>
  <c r="PUS1" i="11"/>
  <c r="PUR1" i="11"/>
  <c r="PUQ1" i="11"/>
  <c r="PUP1" i="11"/>
  <c r="PUO1" i="11"/>
  <c r="PUN1" i="11"/>
  <c r="PUM1" i="11"/>
  <c r="PUL1" i="11"/>
  <c r="PUK1" i="11"/>
  <c r="PUJ1" i="11"/>
  <c r="PUI1" i="11"/>
  <c r="PUH1" i="11"/>
  <c r="PUG1" i="11"/>
  <c r="PUF1" i="11"/>
  <c r="PUE1" i="11"/>
  <c r="PUD1" i="11"/>
  <c r="PUC1" i="11"/>
  <c r="PUB1" i="11"/>
  <c r="PUA1" i="11"/>
  <c r="PTZ1" i="11"/>
  <c r="PTY1" i="11"/>
  <c r="PTX1" i="11"/>
  <c r="PTW1" i="11"/>
  <c r="PTV1" i="11"/>
  <c r="PTU1" i="11"/>
  <c r="PTT1" i="11"/>
  <c r="PTS1" i="11"/>
  <c r="PTR1" i="11"/>
  <c r="PTQ1" i="11"/>
  <c r="PTP1" i="11"/>
  <c r="PTO1" i="11"/>
  <c r="PTN1" i="11"/>
  <c r="PTM1" i="11"/>
  <c r="PTL1" i="11"/>
  <c r="PTK1" i="11"/>
  <c r="PTJ1" i="11"/>
  <c r="PTI1" i="11"/>
  <c r="PTH1" i="11"/>
  <c r="PTG1" i="11"/>
  <c r="PTF1" i="11"/>
  <c r="PTE1" i="11"/>
  <c r="PTD1" i="11"/>
  <c r="PTC1" i="11"/>
  <c r="PTB1" i="11"/>
  <c r="PTA1" i="11"/>
  <c r="PSZ1" i="11"/>
  <c r="PSY1" i="11"/>
  <c r="PSX1" i="11"/>
  <c r="PSW1" i="11"/>
  <c r="PSV1" i="11"/>
  <c r="PSU1" i="11"/>
  <c r="PST1" i="11"/>
  <c r="PSS1" i="11"/>
  <c r="PSR1" i="11"/>
  <c r="PSQ1" i="11"/>
  <c r="PSP1" i="11"/>
  <c r="PSO1" i="11"/>
  <c r="PSN1" i="11"/>
  <c r="PSM1" i="11"/>
  <c r="PSL1" i="11"/>
  <c r="PSK1" i="11"/>
  <c r="PSJ1" i="11"/>
  <c r="PSI1" i="11"/>
  <c r="PSH1" i="11"/>
  <c r="PSG1" i="11"/>
  <c r="PSF1" i="11"/>
  <c r="PSE1" i="11"/>
  <c r="PSD1" i="11"/>
  <c r="PSC1" i="11"/>
  <c r="PSB1" i="11"/>
  <c r="PSA1" i="11"/>
  <c r="PRZ1" i="11"/>
  <c r="PRY1" i="11"/>
  <c r="PRX1" i="11"/>
  <c r="PRW1" i="11"/>
  <c r="PRV1" i="11"/>
  <c r="PRU1" i="11"/>
  <c r="PRT1" i="11"/>
  <c r="PRS1" i="11"/>
  <c r="PRR1" i="11"/>
  <c r="PRQ1" i="11"/>
  <c r="PRP1" i="11"/>
  <c r="PRO1" i="11"/>
  <c r="PRN1" i="11"/>
  <c r="PRM1" i="11"/>
  <c r="PRL1" i="11"/>
  <c r="PRK1" i="11"/>
  <c r="PRJ1" i="11"/>
  <c r="PRI1" i="11"/>
  <c r="PRH1" i="11"/>
  <c r="PRG1" i="11"/>
  <c r="PRF1" i="11"/>
  <c r="PRE1" i="11"/>
  <c r="PRD1" i="11"/>
  <c r="PRC1" i="11"/>
  <c r="PRB1" i="11"/>
  <c r="PRA1" i="11"/>
  <c r="PQZ1" i="11"/>
  <c r="PQY1" i="11"/>
  <c r="PQX1" i="11"/>
  <c r="PQW1" i="11"/>
  <c r="PQV1" i="11"/>
  <c r="PQU1" i="11"/>
  <c r="PQT1" i="11"/>
  <c r="PQS1" i="11"/>
  <c r="PQR1" i="11"/>
  <c r="PQQ1" i="11"/>
  <c r="PQP1" i="11"/>
  <c r="PQO1" i="11"/>
  <c r="PQN1" i="11"/>
  <c r="PQM1" i="11"/>
  <c r="PQL1" i="11"/>
  <c r="PQK1" i="11"/>
  <c r="PQJ1" i="11"/>
  <c r="PQI1" i="11"/>
  <c r="PQH1" i="11"/>
  <c r="PQG1" i="11"/>
  <c r="PQF1" i="11"/>
  <c r="PQE1" i="11"/>
  <c r="PQD1" i="11"/>
  <c r="PQC1" i="11"/>
  <c r="PQB1" i="11"/>
  <c r="PQA1" i="11"/>
  <c r="PPZ1" i="11"/>
  <c r="PPY1" i="11"/>
  <c r="PPX1" i="11"/>
  <c r="PPW1" i="11"/>
  <c r="PPV1" i="11"/>
  <c r="PPU1" i="11"/>
  <c r="PPT1" i="11"/>
  <c r="PPS1" i="11"/>
  <c r="PPR1" i="11"/>
  <c r="PPQ1" i="11"/>
  <c r="PPP1" i="11"/>
  <c r="PPO1" i="11"/>
  <c r="PPN1" i="11"/>
  <c r="PPM1" i="11"/>
  <c r="PPL1" i="11"/>
  <c r="PPK1" i="11"/>
  <c r="PPJ1" i="11"/>
  <c r="PPI1" i="11"/>
  <c r="PPH1" i="11"/>
  <c r="PPG1" i="11"/>
  <c r="PPF1" i="11"/>
  <c r="PPE1" i="11"/>
  <c r="PPD1" i="11"/>
  <c r="PPC1" i="11"/>
  <c r="PPB1" i="11"/>
  <c r="PPA1" i="11"/>
  <c r="POZ1" i="11"/>
  <c r="POY1" i="11"/>
  <c r="POX1" i="11"/>
  <c r="POW1" i="11"/>
  <c r="POV1" i="11"/>
  <c r="POU1" i="11"/>
  <c r="POT1" i="11"/>
  <c r="POS1" i="11"/>
  <c r="POR1" i="11"/>
  <c r="POQ1" i="11"/>
  <c r="POP1" i="11"/>
  <c r="POO1" i="11"/>
  <c r="PON1" i="11"/>
  <c r="POM1" i="11"/>
  <c r="POL1" i="11"/>
  <c r="POK1" i="11"/>
  <c r="POJ1" i="11"/>
  <c r="POI1" i="11"/>
  <c r="POH1" i="11"/>
  <c r="POG1" i="11"/>
  <c r="POF1" i="11"/>
  <c r="POE1" i="11"/>
  <c r="POD1" i="11"/>
  <c r="POC1" i="11"/>
  <c r="POB1" i="11"/>
  <c r="POA1" i="11"/>
  <c r="PNZ1" i="11"/>
  <c r="PNY1" i="11"/>
  <c r="PNX1" i="11"/>
  <c r="PNW1" i="11"/>
  <c r="PNV1" i="11"/>
  <c r="PNU1" i="11"/>
  <c r="PNT1" i="11"/>
  <c r="PNS1" i="11"/>
  <c r="PNR1" i="11"/>
  <c r="PNQ1" i="11"/>
  <c r="PNP1" i="11"/>
  <c r="PNO1" i="11"/>
  <c r="PNN1" i="11"/>
  <c r="PNM1" i="11"/>
  <c r="PNL1" i="11"/>
  <c r="PNK1" i="11"/>
  <c r="PNJ1" i="11"/>
  <c r="PNI1" i="11"/>
  <c r="PNH1" i="11"/>
  <c r="PNG1" i="11"/>
  <c r="PNF1" i="11"/>
  <c r="PNE1" i="11"/>
  <c r="PND1" i="11"/>
  <c r="PNC1" i="11"/>
  <c r="PNB1" i="11"/>
  <c r="PNA1" i="11"/>
  <c r="PMZ1" i="11"/>
  <c r="PMY1" i="11"/>
  <c r="PMX1" i="11"/>
  <c r="PMW1" i="11"/>
  <c r="PMV1" i="11"/>
  <c r="PMU1" i="11"/>
  <c r="PMT1" i="11"/>
  <c r="PMS1" i="11"/>
  <c r="PMR1" i="11"/>
  <c r="PMQ1" i="11"/>
  <c r="PMP1" i="11"/>
  <c r="PMO1" i="11"/>
  <c r="PMN1" i="11"/>
  <c r="PMM1" i="11"/>
  <c r="PML1" i="11"/>
  <c r="PMK1" i="11"/>
  <c r="PMJ1" i="11"/>
  <c r="PMI1" i="11"/>
  <c r="PMH1" i="11"/>
  <c r="PMG1" i="11"/>
  <c r="PMF1" i="11"/>
  <c r="PME1" i="11"/>
  <c r="PMD1" i="11"/>
  <c r="PMC1" i="11"/>
  <c r="PMB1" i="11"/>
  <c r="PMA1" i="11"/>
  <c r="PLZ1" i="11"/>
  <c r="PLY1" i="11"/>
  <c r="PLX1" i="11"/>
  <c r="PLW1" i="11"/>
  <c r="PLV1" i="11"/>
  <c r="PLU1" i="11"/>
  <c r="PLT1" i="11"/>
  <c r="PLS1" i="11"/>
  <c r="PLR1" i="11"/>
  <c r="PLQ1" i="11"/>
  <c r="PLP1" i="11"/>
  <c r="PLO1" i="11"/>
  <c r="PLN1" i="11"/>
  <c r="PLM1" i="11"/>
  <c r="PLL1" i="11"/>
  <c r="PLK1" i="11"/>
  <c r="PLJ1" i="11"/>
  <c r="PLI1" i="11"/>
  <c r="PLH1" i="11"/>
  <c r="PLG1" i="11"/>
  <c r="PLF1" i="11"/>
  <c r="PLE1" i="11"/>
  <c r="PLD1" i="11"/>
  <c r="PLC1" i="11"/>
  <c r="PLB1" i="11"/>
  <c r="PLA1" i="11"/>
  <c r="PKZ1" i="11"/>
  <c r="PKY1" i="11"/>
  <c r="PKX1" i="11"/>
  <c r="PKW1" i="11"/>
  <c r="PKV1" i="11"/>
  <c r="PKU1" i="11"/>
  <c r="PKT1" i="11"/>
  <c r="PKS1" i="11"/>
  <c r="PKR1" i="11"/>
  <c r="PKQ1" i="11"/>
  <c r="PKP1" i="11"/>
  <c r="PKO1" i="11"/>
  <c r="PKN1" i="11"/>
  <c r="PKM1" i="11"/>
  <c r="PKL1" i="11"/>
  <c r="PKK1" i="11"/>
  <c r="PKJ1" i="11"/>
  <c r="PKI1" i="11"/>
  <c r="PKH1" i="11"/>
  <c r="PKG1" i="11"/>
  <c r="PKF1" i="11"/>
  <c r="PKE1" i="11"/>
  <c r="PKD1" i="11"/>
  <c r="PKC1" i="11"/>
  <c r="PKB1" i="11"/>
  <c r="PKA1" i="11"/>
  <c r="PJZ1" i="11"/>
  <c r="PJY1" i="11"/>
  <c r="PJX1" i="11"/>
  <c r="PJW1" i="11"/>
  <c r="PJV1" i="11"/>
  <c r="PJU1" i="11"/>
  <c r="PJT1" i="11"/>
  <c r="PJS1" i="11"/>
  <c r="PJR1" i="11"/>
  <c r="PJQ1" i="11"/>
  <c r="PJP1" i="11"/>
  <c r="PJO1" i="11"/>
  <c r="PJN1" i="11"/>
  <c r="PJM1" i="11"/>
  <c r="PJL1" i="11"/>
  <c r="PJK1" i="11"/>
  <c r="PJJ1" i="11"/>
  <c r="PJI1" i="11"/>
  <c r="PJH1" i="11"/>
  <c r="PJG1" i="11"/>
  <c r="PJF1" i="11"/>
  <c r="PJE1" i="11"/>
  <c r="PJD1" i="11"/>
  <c r="PJC1" i="11"/>
  <c r="PJB1" i="11"/>
  <c r="PJA1" i="11"/>
  <c r="PIZ1" i="11"/>
  <c r="PIY1" i="11"/>
  <c r="PIX1" i="11"/>
  <c r="PIW1" i="11"/>
  <c r="PIV1" i="11"/>
  <c r="PIU1" i="11"/>
  <c r="PIT1" i="11"/>
  <c r="PIS1" i="11"/>
  <c r="PIR1" i="11"/>
  <c r="PIQ1" i="11"/>
  <c r="PIP1" i="11"/>
  <c r="PIO1" i="11"/>
  <c r="PIN1" i="11"/>
  <c r="PIM1" i="11"/>
  <c r="PIL1" i="11"/>
  <c r="PIK1" i="11"/>
  <c r="PIJ1" i="11"/>
  <c r="PII1" i="11"/>
  <c r="PIH1" i="11"/>
  <c r="PIG1" i="11"/>
  <c r="PIF1" i="11"/>
  <c r="PIE1" i="11"/>
  <c r="PID1" i="11"/>
  <c r="PIC1" i="11"/>
  <c r="PIB1" i="11"/>
  <c r="PIA1" i="11"/>
  <c r="PHZ1" i="11"/>
  <c r="PHY1" i="11"/>
  <c r="PHX1" i="11"/>
  <c r="PHW1" i="11"/>
  <c r="PHV1" i="11"/>
  <c r="PHU1" i="11"/>
  <c r="PHT1" i="11"/>
  <c r="PHS1" i="11"/>
  <c r="PHR1" i="11"/>
  <c r="PHQ1" i="11"/>
  <c r="PHP1" i="11"/>
  <c r="PHO1" i="11"/>
  <c r="PHN1" i="11"/>
  <c r="PHM1" i="11"/>
  <c r="PHL1" i="11"/>
  <c r="PHK1" i="11"/>
  <c r="PHJ1" i="11"/>
  <c r="PHI1" i="11"/>
  <c r="PHH1" i="11"/>
  <c r="PHG1" i="11"/>
  <c r="PHF1" i="11"/>
  <c r="PHE1" i="11"/>
  <c r="PHD1" i="11"/>
  <c r="PHC1" i="11"/>
  <c r="PHB1" i="11"/>
  <c r="PHA1" i="11"/>
  <c r="PGZ1" i="11"/>
  <c r="PGY1" i="11"/>
  <c r="PGX1" i="11"/>
  <c r="PGW1" i="11"/>
  <c r="PGV1" i="11"/>
  <c r="PGU1" i="11"/>
  <c r="PGT1" i="11"/>
  <c r="PGS1" i="11"/>
  <c r="PGR1" i="11"/>
  <c r="PGQ1" i="11"/>
  <c r="PGP1" i="11"/>
  <c r="PGO1" i="11"/>
  <c r="PGN1" i="11"/>
  <c r="PGM1" i="11"/>
  <c r="PGL1" i="11"/>
  <c r="PGK1" i="11"/>
  <c r="PGJ1" i="11"/>
  <c r="PGI1" i="11"/>
  <c r="PGH1" i="11"/>
  <c r="PGG1" i="11"/>
  <c r="PGF1" i="11"/>
  <c r="PGE1" i="11"/>
  <c r="PGD1" i="11"/>
  <c r="PGC1" i="11"/>
  <c r="PGB1" i="11"/>
  <c r="PGA1" i="11"/>
  <c r="PFZ1" i="11"/>
  <c r="PFY1" i="11"/>
  <c r="PFX1" i="11"/>
  <c r="PFW1" i="11"/>
  <c r="PFV1" i="11"/>
  <c r="PFU1" i="11"/>
  <c r="PFT1" i="11"/>
  <c r="PFS1" i="11"/>
  <c r="PFR1" i="11"/>
  <c r="PFQ1" i="11"/>
  <c r="PFP1" i="11"/>
  <c r="PFO1" i="11"/>
  <c r="PFN1" i="11"/>
  <c r="PFM1" i="11"/>
  <c r="PFL1" i="11"/>
  <c r="PFK1" i="11"/>
  <c r="PFJ1" i="11"/>
  <c r="PFI1" i="11"/>
  <c r="PFH1" i="11"/>
  <c r="PFG1" i="11"/>
  <c r="PFF1" i="11"/>
  <c r="PFE1" i="11"/>
  <c r="PFD1" i="11"/>
  <c r="PFC1" i="11"/>
  <c r="PFB1" i="11"/>
  <c r="PFA1" i="11"/>
  <c r="PEZ1" i="11"/>
  <c r="PEY1" i="11"/>
  <c r="PEX1" i="11"/>
  <c r="PEW1" i="11"/>
  <c r="PEV1" i="11"/>
  <c r="PEU1" i="11"/>
  <c r="PET1" i="11"/>
  <c r="PES1" i="11"/>
  <c r="PER1" i="11"/>
  <c r="PEQ1" i="11"/>
  <c r="PEP1" i="11"/>
  <c r="PEO1" i="11"/>
  <c r="PEN1" i="11"/>
  <c r="PEM1" i="11"/>
  <c r="PEL1" i="11"/>
  <c r="PEK1" i="11"/>
  <c r="PEJ1" i="11"/>
  <c r="PEI1" i="11"/>
  <c r="PEH1" i="11"/>
  <c r="PEG1" i="11"/>
  <c r="PEF1" i="11"/>
  <c r="PEE1" i="11"/>
  <c r="PED1" i="11"/>
  <c r="PEC1" i="11"/>
  <c r="PEB1" i="11"/>
  <c r="PEA1" i="11"/>
  <c r="PDZ1" i="11"/>
  <c r="PDY1" i="11"/>
  <c r="PDX1" i="11"/>
  <c r="PDW1" i="11"/>
  <c r="PDV1" i="11"/>
  <c r="PDU1" i="11"/>
  <c r="PDT1" i="11"/>
  <c r="PDS1" i="11"/>
  <c r="PDR1" i="11"/>
  <c r="PDQ1" i="11"/>
  <c r="PDP1" i="11"/>
  <c r="PDO1" i="11"/>
  <c r="PDN1" i="11"/>
  <c r="PDM1" i="11"/>
  <c r="PDL1" i="11"/>
  <c r="PDK1" i="11"/>
  <c r="PDJ1" i="11"/>
  <c r="PDI1" i="11"/>
  <c r="PDH1" i="11"/>
  <c r="PDG1" i="11"/>
  <c r="PDF1" i="11"/>
  <c r="PDE1" i="11"/>
  <c r="PDD1" i="11"/>
  <c r="PDC1" i="11"/>
  <c r="PDB1" i="11"/>
  <c r="PDA1" i="11"/>
  <c r="PCZ1" i="11"/>
  <c r="PCY1" i="11"/>
  <c r="PCX1" i="11"/>
  <c r="PCW1" i="11"/>
  <c r="PCV1" i="11"/>
  <c r="PCU1" i="11"/>
  <c r="PCT1" i="11"/>
  <c r="PCS1" i="11"/>
  <c r="PCR1" i="11"/>
  <c r="PCQ1" i="11"/>
  <c r="PCP1" i="11"/>
  <c r="PCO1" i="11"/>
  <c r="PCN1" i="11"/>
  <c r="PCM1" i="11"/>
  <c r="PCL1" i="11"/>
  <c r="PCK1" i="11"/>
  <c r="PCJ1" i="11"/>
  <c r="PCI1" i="11"/>
  <c r="PCH1" i="11"/>
  <c r="PCG1" i="11"/>
  <c r="PCF1" i="11"/>
  <c r="PCE1" i="11"/>
  <c r="PCD1" i="11"/>
  <c r="PCC1" i="11"/>
  <c r="PCB1" i="11"/>
  <c r="PCA1" i="11"/>
  <c r="PBZ1" i="11"/>
  <c r="PBY1" i="11"/>
  <c r="PBX1" i="11"/>
  <c r="PBW1" i="11"/>
  <c r="PBV1" i="11"/>
  <c r="PBU1" i="11"/>
  <c r="PBT1" i="11"/>
  <c r="PBS1" i="11"/>
  <c r="PBR1" i="11"/>
  <c r="PBQ1" i="11"/>
  <c r="PBP1" i="11"/>
  <c r="PBO1" i="11"/>
  <c r="PBN1" i="11"/>
  <c r="PBM1" i="11"/>
  <c r="PBL1" i="11"/>
  <c r="PBK1" i="11"/>
  <c r="PBJ1" i="11"/>
  <c r="PBI1" i="11"/>
  <c r="PBH1" i="11"/>
  <c r="PBG1" i="11"/>
  <c r="PBF1" i="11"/>
  <c r="PBE1" i="11"/>
  <c r="PBD1" i="11"/>
  <c r="PBC1" i="11"/>
  <c r="PBB1" i="11"/>
  <c r="PBA1" i="11"/>
  <c r="PAZ1" i="11"/>
  <c r="PAY1" i="11"/>
  <c r="PAX1" i="11"/>
  <c r="PAW1" i="11"/>
  <c r="PAV1" i="11"/>
  <c r="PAU1" i="11"/>
  <c r="PAT1" i="11"/>
  <c r="PAS1" i="11"/>
  <c r="PAR1" i="11"/>
  <c r="PAQ1" i="11"/>
  <c r="PAP1" i="11"/>
  <c r="PAO1" i="11"/>
  <c r="PAN1" i="11"/>
  <c r="PAM1" i="11"/>
  <c r="PAL1" i="11"/>
  <c r="PAK1" i="11"/>
  <c r="PAJ1" i="11"/>
  <c r="PAI1" i="11"/>
  <c r="PAH1" i="11"/>
  <c r="PAG1" i="11"/>
  <c r="PAF1" i="11"/>
  <c r="PAE1" i="11"/>
  <c r="PAD1" i="11"/>
  <c r="PAC1" i="11"/>
  <c r="PAB1" i="11"/>
  <c r="PAA1" i="11"/>
  <c r="OZZ1" i="11"/>
  <c r="OZY1" i="11"/>
  <c r="OZX1" i="11"/>
  <c r="OZW1" i="11"/>
  <c r="OZV1" i="11"/>
  <c r="OZU1" i="11"/>
  <c r="OZT1" i="11"/>
  <c r="OZS1" i="11"/>
  <c r="OZR1" i="11"/>
  <c r="OZQ1" i="11"/>
  <c r="OZP1" i="11"/>
  <c r="OZO1" i="11"/>
  <c r="OZN1" i="11"/>
  <c r="OZM1" i="11"/>
  <c r="OZL1" i="11"/>
  <c r="OZK1" i="11"/>
  <c r="OZJ1" i="11"/>
  <c r="OZI1" i="11"/>
  <c r="OZH1" i="11"/>
  <c r="OZG1" i="11"/>
  <c r="OZF1" i="11"/>
  <c r="OZE1" i="11"/>
  <c r="OZD1" i="11"/>
  <c r="OZC1" i="11"/>
  <c r="OZB1" i="11"/>
  <c r="OZA1" i="11"/>
  <c r="OYZ1" i="11"/>
  <c r="OYY1" i="11"/>
  <c r="OYX1" i="11"/>
  <c r="OYW1" i="11"/>
  <c r="OYV1" i="11"/>
  <c r="OYU1" i="11"/>
  <c r="OYT1" i="11"/>
  <c r="OYS1" i="11"/>
  <c r="OYR1" i="11"/>
  <c r="OYQ1" i="11"/>
  <c r="OYP1" i="11"/>
  <c r="OYO1" i="11"/>
  <c r="OYN1" i="11"/>
  <c r="OYM1" i="11"/>
  <c r="OYL1" i="11"/>
  <c r="OYK1" i="11"/>
  <c r="OYJ1" i="11"/>
  <c r="OYI1" i="11"/>
  <c r="OYH1" i="11"/>
  <c r="OYG1" i="11"/>
  <c r="OYF1" i="11"/>
  <c r="OYE1" i="11"/>
  <c r="OYD1" i="11"/>
  <c r="OYC1" i="11"/>
  <c r="OYB1" i="11"/>
  <c r="OYA1" i="11"/>
  <c r="OXZ1" i="11"/>
  <c r="OXY1" i="11"/>
  <c r="OXX1" i="11"/>
  <c r="OXW1" i="11"/>
  <c r="OXV1" i="11"/>
  <c r="OXU1" i="11"/>
  <c r="OXT1" i="11"/>
  <c r="OXS1" i="11"/>
  <c r="OXR1" i="11"/>
  <c r="OXQ1" i="11"/>
  <c r="OXP1" i="11"/>
  <c r="OXO1" i="11"/>
  <c r="OXN1" i="11"/>
  <c r="OXM1" i="11"/>
  <c r="OXL1" i="11"/>
  <c r="OXK1" i="11"/>
  <c r="OXJ1" i="11"/>
  <c r="OXI1" i="11"/>
  <c r="OXH1" i="11"/>
  <c r="OXG1" i="11"/>
  <c r="OXF1" i="11"/>
  <c r="OXE1" i="11"/>
  <c r="OXD1" i="11"/>
  <c r="OXC1" i="11"/>
  <c r="OXB1" i="11"/>
  <c r="OXA1" i="11"/>
  <c r="OWZ1" i="11"/>
  <c r="OWY1" i="11"/>
  <c r="OWX1" i="11"/>
  <c r="OWW1" i="11"/>
  <c r="OWV1" i="11"/>
  <c r="OWU1" i="11"/>
  <c r="OWT1" i="11"/>
  <c r="OWS1" i="11"/>
  <c r="OWR1" i="11"/>
  <c r="OWQ1" i="11"/>
  <c r="OWP1" i="11"/>
  <c r="OWO1" i="11"/>
  <c r="OWN1" i="11"/>
  <c r="OWM1" i="11"/>
  <c r="OWL1" i="11"/>
  <c r="OWK1" i="11"/>
  <c r="OWJ1" i="11"/>
  <c r="OWI1" i="11"/>
  <c r="OWH1" i="11"/>
  <c r="OWG1" i="11"/>
  <c r="OWF1" i="11"/>
  <c r="OWE1" i="11"/>
  <c r="OWD1" i="11"/>
  <c r="OWC1" i="11"/>
  <c r="OWB1" i="11"/>
  <c r="OWA1" i="11"/>
  <c r="OVZ1" i="11"/>
  <c r="OVY1" i="11"/>
  <c r="OVX1" i="11"/>
  <c r="OVW1" i="11"/>
  <c r="OVV1" i="11"/>
  <c r="OVU1" i="11"/>
  <c r="OVT1" i="11"/>
  <c r="OVS1" i="11"/>
  <c r="OVR1" i="11"/>
  <c r="OVQ1" i="11"/>
  <c r="OVP1" i="11"/>
  <c r="OVO1" i="11"/>
  <c r="OVN1" i="11"/>
  <c r="OVM1" i="11"/>
  <c r="OVL1" i="11"/>
  <c r="OVK1" i="11"/>
  <c r="OVJ1" i="11"/>
  <c r="OVI1" i="11"/>
  <c r="OVH1" i="11"/>
  <c r="OVG1" i="11"/>
  <c r="OVF1" i="11"/>
  <c r="OVE1" i="11"/>
  <c r="OVD1" i="11"/>
  <c r="OVC1" i="11"/>
  <c r="OVB1" i="11"/>
  <c r="OVA1" i="11"/>
  <c r="OUZ1" i="11"/>
  <c r="OUY1" i="11"/>
  <c r="OUX1" i="11"/>
  <c r="OUW1" i="11"/>
  <c r="OUV1" i="11"/>
  <c r="OUU1" i="11"/>
  <c r="OUT1" i="11"/>
  <c r="OUS1" i="11"/>
  <c r="OUR1" i="11"/>
  <c r="OUQ1" i="11"/>
  <c r="OUP1" i="11"/>
  <c r="OUO1" i="11"/>
  <c r="OUN1" i="11"/>
  <c r="OUM1" i="11"/>
  <c r="OUL1" i="11"/>
  <c r="OUK1" i="11"/>
  <c r="OUJ1" i="11"/>
  <c r="OUI1" i="11"/>
  <c r="OUH1" i="11"/>
  <c r="OUG1" i="11"/>
  <c r="OUF1" i="11"/>
  <c r="OUE1" i="11"/>
  <c r="OUD1" i="11"/>
  <c r="OUC1" i="11"/>
  <c r="OUB1" i="11"/>
  <c r="OUA1" i="11"/>
  <c r="OTZ1" i="11"/>
  <c r="OTY1" i="11"/>
  <c r="OTX1" i="11"/>
  <c r="OTW1" i="11"/>
  <c r="OTV1" i="11"/>
  <c r="OTU1" i="11"/>
  <c r="OTT1" i="11"/>
  <c r="OTS1" i="11"/>
  <c r="OTR1" i="11"/>
  <c r="OTQ1" i="11"/>
  <c r="OTP1" i="11"/>
  <c r="OTO1" i="11"/>
  <c r="OTN1" i="11"/>
  <c r="OTM1" i="11"/>
  <c r="OTL1" i="11"/>
  <c r="OTK1" i="11"/>
  <c r="OTJ1" i="11"/>
  <c r="OTI1" i="11"/>
  <c r="OTH1" i="11"/>
  <c r="OTG1" i="11"/>
  <c r="OTF1" i="11"/>
  <c r="OTE1" i="11"/>
  <c r="OTD1" i="11"/>
  <c r="OTC1" i="11"/>
  <c r="OTB1" i="11"/>
  <c r="OTA1" i="11"/>
  <c r="OSZ1" i="11"/>
  <c r="OSY1" i="11"/>
  <c r="OSX1" i="11"/>
  <c r="OSW1" i="11"/>
  <c r="OSV1" i="11"/>
  <c r="OSU1" i="11"/>
  <c r="OST1" i="11"/>
  <c r="OSS1" i="11"/>
  <c r="OSR1" i="11"/>
  <c r="OSQ1" i="11"/>
  <c r="OSP1" i="11"/>
  <c r="OSO1" i="11"/>
  <c r="OSN1" i="11"/>
  <c r="OSM1" i="11"/>
  <c r="OSL1" i="11"/>
  <c r="OSK1" i="11"/>
  <c r="OSJ1" i="11"/>
  <c r="OSI1" i="11"/>
  <c r="OSH1" i="11"/>
  <c r="OSG1" i="11"/>
  <c r="OSF1" i="11"/>
  <c r="OSE1" i="11"/>
  <c r="OSD1" i="11"/>
  <c r="OSC1" i="11"/>
  <c r="OSB1" i="11"/>
  <c r="OSA1" i="11"/>
  <c r="ORZ1" i="11"/>
  <c r="ORY1" i="11"/>
  <c r="ORX1" i="11"/>
  <c r="ORW1" i="11"/>
  <c r="ORV1" i="11"/>
  <c r="ORU1" i="11"/>
  <c r="ORT1" i="11"/>
  <c r="ORS1" i="11"/>
  <c r="ORR1" i="11"/>
  <c r="ORQ1" i="11"/>
  <c r="ORP1" i="11"/>
  <c r="ORO1" i="11"/>
  <c r="ORN1" i="11"/>
  <c r="ORM1" i="11"/>
  <c r="ORL1" i="11"/>
  <c r="ORK1" i="11"/>
  <c r="ORJ1" i="11"/>
  <c r="ORI1" i="11"/>
  <c r="ORH1" i="11"/>
  <c r="ORG1" i="11"/>
  <c r="ORF1" i="11"/>
  <c r="ORE1" i="11"/>
  <c r="ORD1" i="11"/>
  <c r="ORC1" i="11"/>
  <c r="ORB1" i="11"/>
  <c r="ORA1" i="11"/>
  <c r="OQZ1" i="11"/>
  <c r="OQY1" i="11"/>
  <c r="OQX1" i="11"/>
  <c r="OQW1" i="11"/>
  <c r="OQV1" i="11"/>
  <c r="OQU1" i="11"/>
  <c r="OQT1" i="11"/>
  <c r="OQS1" i="11"/>
  <c r="OQR1" i="11"/>
  <c r="OQQ1" i="11"/>
  <c r="OQP1" i="11"/>
  <c r="OQO1" i="11"/>
  <c r="OQN1" i="11"/>
  <c r="OQM1" i="11"/>
  <c r="OQL1" i="11"/>
  <c r="OQK1" i="11"/>
  <c r="OQJ1" i="11"/>
  <c r="OQI1" i="11"/>
  <c r="OQH1" i="11"/>
  <c r="OQG1" i="11"/>
  <c r="OQF1" i="11"/>
  <c r="OQE1" i="11"/>
  <c r="OQD1" i="11"/>
  <c r="OQC1" i="11"/>
  <c r="OQB1" i="11"/>
  <c r="OQA1" i="11"/>
  <c r="OPZ1" i="11"/>
  <c r="OPY1" i="11"/>
  <c r="OPX1" i="11"/>
  <c r="OPW1" i="11"/>
  <c r="OPV1" i="11"/>
  <c r="OPU1" i="11"/>
  <c r="OPT1" i="11"/>
  <c r="OPS1" i="11"/>
  <c r="OPR1" i="11"/>
  <c r="OPQ1" i="11"/>
  <c r="OPP1" i="11"/>
  <c r="OPO1" i="11"/>
  <c r="OPN1" i="11"/>
  <c r="OPM1" i="11"/>
  <c r="OPL1" i="11"/>
  <c r="OPK1" i="11"/>
  <c r="OPJ1" i="11"/>
  <c r="OPI1" i="11"/>
  <c r="OPH1" i="11"/>
  <c r="OPG1" i="11"/>
  <c r="OPF1" i="11"/>
  <c r="OPE1" i="11"/>
  <c r="OPD1" i="11"/>
  <c r="OPC1" i="11"/>
  <c r="OPB1" i="11"/>
  <c r="OPA1" i="11"/>
  <c r="OOZ1" i="11"/>
  <c r="OOY1" i="11"/>
  <c r="OOX1" i="11"/>
  <c r="OOW1" i="11"/>
  <c r="OOV1" i="11"/>
  <c r="OOU1" i="11"/>
  <c r="OOT1" i="11"/>
  <c r="OOS1" i="11"/>
  <c r="OOR1" i="11"/>
  <c r="OOQ1" i="11"/>
  <c r="OOP1" i="11"/>
  <c r="OOO1" i="11"/>
  <c r="OON1" i="11"/>
  <c r="OOM1" i="11"/>
  <c r="OOL1" i="11"/>
  <c r="OOK1" i="11"/>
  <c r="OOJ1" i="11"/>
  <c r="OOI1" i="11"/>
  <c r="OOH1" i="11"/>
  <c r="OOG1" i="11"/>
  <c r="OOF1" i="11"/>
  <c r="OOE1" i="11"/>
  <c r="OOD1" i="11"/>
  <c r="OOC1" i="11"/>
  <c r="OOB1" i="11"/>
  <c r="OOA1" i="11"/>
  <c r="ONZ1" i="11"/>
  <c r="ONY1" i="11"/>
  <c r="ONX1" i="11"/>
  <c r="ONW1" i="11"/>
  <c r="ONV1" i="11"/>
  <c r="ONU1" i="11"/>
  <c r="ONT1" i="11"/>
  <c r="ONS1" i="11"/>
  <c r="ONR1" i="11"/>
  <c r="ONQ1" i="11"/>
  <c r="ONP1" i="11"/>
  <c r="ONO1" i="11"/>
  <c r="ONN1" i="11"/>
  <c r="ONM1" i="11"/>
  <c r="ONL1" i="11"/>
  <c r="ONK1" i="11"/>
  <c r="ONJ1" i="11"/>
  <c r="ONI1" i="11"/>
  <c r="ONH1" i="11"/>
  <c r="ONG1" i="11"/>
  <c r="ONF1" i="11"/>
  <c r="ONE1" i="11"/>
  <c r="OND1" i="11"/>
  <c r="ONC1" i="11"/>
  <c r="ONB1" i="11"/>
  <c r="ONA1" i="11"/>
  <c r="OMZ1" i="11"/>
  <c r="OMY1" i="11"/>
  <c r="OMX1" i="11"/>
  <c r="OMW1" i="11"/>
  <c r="OMV1" i="11"/>
  <c r="OMU1" i="11"/>
  <c r="OMT1" i="11"/>
  <c r="OMS1" i="11"/>
  <c r="OMR1" i="11"/>
  <c r="OMQ1" i="11"/>
  <c r="OMP1" i="11"/>
  <c r="OMO1" i="11"/>
  <c r="OMN1" i="11"/>
  <c r="OMM1" i="11"/>
  <c r="OML1" i="11"/>
  <c r="OMK1" i="11"/>
  <c r="OMJ1" i="11"/>
  <c r="OMI1" i="11"/>
  <c r="OMH1" i="11"/>
  <c r="OMG1" i="11"/>
  <c r="OMF1" i="11"/>
  <c r="OME1" i="11"/>
  <c r="OMD1" i="11"/>
  <c r="OMC1" i="11"/>
  <c r="OMB1" i="11"/>
  <c r="OMA1" i="11"/>
  <c r="OLZ1" i="11"/>
  <c r="OLY1" i="11"/>
  <c r="OLX1" i="11"/>
  <c r="OLW1" i="11"/>
  <c r="OLV1" i="11"/>
  <c r="OLU1" i="11"/>
  <c r="OLT1" i="11"/>
  <c r="OLS1" i="11"/>
  <c r="OLR1" i="11"/>
  <c r="OLQ1" i="11"/>
  <c r="OLP1" i="11"/>
  <c r="OLO1" i="11"/>
  <c r="OLN1" i="11"/>
  <c r="OLM1" i="11"/>
  <c r="OLL1" i="11"/>
  <c r="OLK1" i="11"/>
  <c r="OLJ1" i="11"/>
  <c r="OLI1" i="11"/>
  <c r="OLH1" i="11"/>
  <c r="OLG1" i="11"/>
  <c r="OLF1" i="11"/>
  <c r="OLE1" i="11"/>
  <c r="OLD1" i="11"/>
  <c r="OLC1" i="11"/>
  <c r="OLB1" i="11"/>
  <c r="OLA1" i="11"/>
  <c r="OKZ1" i="11"/>
  <c r="OKY1" i="11"/>
  <c r="OKX1" i="11"/>
  <c r="OKW1" i="11"/>
  <c r="OKV1" i="11"/>
  <c r="OKU1" i="11"/>
  <c r="OKT1" i="11"/>
  <c r="OKS1" i="11"/>
  <c r="OKR1" i="11"/>
  <c r="OKQ1" i="11"/>
  <c r="OKP1" i="11"/>
  <c r="OKO1" i="11"/>
  <c r="OKN1" i="11"/>
  <c r="OKM1" i="11"/>
  <c r="OKL1" i="11"/>
  <c r="OKK1" i="11"/>
  <c r="OKJ1" i="11"/>
  <c r="OKI1" i="11"/>
  <c r="OKH1" i="11"/>
  <c r="OKG1" i="11"/>
  <c r="OKF1" i="11"/>
  <c r="OKE1" i="11"/>
  <c r="OKD1" i="11"/>
  <c r="OKC1" i="11"/>
  <c r="OKB1" i="11"/>
  <c r="OKA1" i="11"/>
  <c r="OJZ1" i="11"/>
  <c r="OJY1" i="11"/>
  <c r="OJX1" i="11"/>
  <c r="OJW1" i="11"/>
  <c r="OJV1" i="11"/>
  <c r="OJU1" i="11"/>
  <c r="OJT1" i="11"/>
  <c r="OJS1" i="11"/>
  <c r="OJR1" i="11"/>
  <c r="OJQ1" i="11"/>
  <c r="OJP1" i="11"/>
  <c r="OJO1" i="11"/>
  <c r="OJN1" i="11"/>
  <c r="OJM1" i="11"/>
  <c r="OJL1" i="11"/>
  <c r="OJK1" i="11"/>
  <c r="OJJ1" i="11"/>
  <c r="OJI1" i="11"/>
  <c r="OJH1" i="11"/>
  <c r="OJG1" i="11"/>
  <c r="OJF1" i="11"/>
  <c r="OJE1" i="11"/>
  <c r="OJD1" i="11"/>
  <c r="OJC1" i="11"/>
  <c r="OJB1" i="11"/>
  <c r="OJA1" i="11"/>
  <c r="OIZ1" i="11"/>
  <c r="OIY1" i="11"/>
  <c r="OIX1" i="11"/>
  <c r="OIW1" i="11"/>
  <c r="OIV1" i="11"/>
  <c r="OIU1" i="11"/>
  <c r="OIT1" i="11"/>
  <c r="OIS1" i="11"/>
  <c r="OIR1" i="11"/>
  <c r="OIQ1" i="11"/>
  <c r="OIP1" i="11"/>
  <c r="OIO1" i="11"/>
  <c r="OIN1" i="11"/>
  <c r="OIM1" i="11"/>
  <c r="OIL1" i="11"/>
  <c r="OIK1" i="11"/>
  <c r="OIJ1" i="11"/>
  <c r="OII1" i="11"/>
  <c r="OIH1" i="11"/>
  <c r="OIG1" i="11"/>
  <c r="OIF1" i="11"/>
  <c r="OIE1" i="11"/>
  <c r="OID1" i="11"/>
  <c r="OIC1" i="11"/>
  <c r="OIB1" i="11"/>
  <c r="OIA1" i="11"/>
  <c r="OHZ1" i="11"/>
  <c r="OHY1" i="11"/>
  <c r="OHX1" i="11"/>
  <c r="OHW1" i="11"/>
  <c r="OHV1" i="11"/>
  <c r="OHU1" i="11"/>
  <c r="OHT1" i="11"/>
  <c r="OHS1" i="11"/>
  <c r="OHR1" i="11"/>
  <c r="OHQ1" i="11"/>
  <c r="OHP1" i="11"/>
  <c r="OHO1" i="11"/>
  <c r="OHN1" i="11"/>
  <c r="OHM1" i="11"/>
  <c r="OHL1" i="11"/>
  <c r="OHK1" i="11"/>
  <c r="OHJ1" i="11"/>
  <c r="OHI1" i="11"/>
  <c r="OHH1" i="11"/>
  <c r="OHG1" i="11"/>
  <c r="OHF1" i="11"/>
  <c r="OHE1" i="11"/>
  <c r="OHD1" i="11"/>
  <c r="OHC1" i="11"/>
  <c r="OHB1" i="11"/>
  <c r="OHA1" i="11"/>
  <c r="OGZ1" i="11"/>
  <c r="OGY1" i="11"/>
  <c r="OGX1" i="11"/>
  <c r="OGW1" i="11"/>
  <c r="OGV1" i="11"/>
  <c r="OGU1" i="11"/>
  <c r="OGT1" i="11"/>
  <c r="OGS1" i="11"/>
  <c r="OGR1" i="11"/>
  <c r="OGQ1" i="11"/>
  <c r="OGP1" i="11"/>
  <c r="OGO1" i="11"/>
  <c r="OGN1" i="11"/>
  <c r="OGM1" i="11"/>
  <c r="OGL1" i="11"/>
  <c r="OGK1" i="11"/>
  <c r="OGJ1" i="11"/>
  <c r="OGI1" i="11"/>
  <c r="OGH1" i="11"/>
  <c r="OGG1" i="11"/>
  <c r="OGF1" i="11"/>
  <c r="OGE1" i="11"/>
  <c r="OGD1" i="11"/>
  <c r="OGC1" i="11"/>
  <c r="OGB1" i="11"/>
  <c r="OGA1" i="11"/>
  <c r="OFZ1" i="11"/>
  <c r="OFY1" i="11"/>
  <c r="OFX1" i="11"/>
  <c r="OFW1" i="11"/>
  <c r="OFV1" i="11"/>
  <c r="OFU1" i="11"/>
  <c r="OFT1" i="11"/>
  <c r="OFS1" i="11"/>
  <c r="OFR1" i="11"/>
  <c r="OFQ1" i="11"/>
  <c r="OFP1" i="11"/>
  <c r="OFO1" i="11"/>
  <c r="OFN1" i="11"/>
  <c r="OFM1" i="11"/>
  <c r="OFL1" i="11"/>
  <c r="OFK1" i="11"/>
  <c r="OFJ1" i="11"/>
  <c r="OFI1" i="11"/>
  <c r="OFH1" i="11"/>
  <c r="OFG1" i="11"/>
  <c r="OFF1" i="11"/>
  <c r="OFE1" i="11"/>
  <c r="OFD1" i="11"/>
  <c r="OFC1" i="11"/>
  <c r="OFB1" i="11"/>
  <c r="OFA1" i="11"/>
  <c r="OEZ1" i="11"/>
  <c r="OEY1" i="11"/>
  <c r="OEX1" i="11"/>
  <c r="OEW1" i="11"/>
  <c r="OEV1" i="11"/>
  <c r="OEU1" i="11"/>
  <c r="OET1" i="11"/>
  <c r="OES1" i="11"/>
  <c r="OER1" i="11"/>
  <c r="OEQ1" i="11"/>
  <c r="OEP1" i="11"/>
  <c r="OEO1" i="11"/>
  <c r="OEN1" i="11"/>
  <c r="OEM1" i="11"/>
  <c r="OEL1" i="11"/>
  <c r="OEK1" i="11"/>
  <c r="OEJ1" i="11"/>
  <c r="OEI1" i="11"/>
  <c r="OEH1" i="11"/>
  <c r="OEG1" i="11"/>
  <c r="OEF1" i="11"/>
  <c r="OEE1" i="11"/>
  <c r="OED1" i="11"/>
  <c r="OEC1" i="11"/>
  <c r="OEB1" i="11"/>
  <c r="OEA1" i="11"/>
  <c r="ODZ1" i="11"/>
  <c r="ODY1" i="11"/>
  <c r="ODX1" i="11"/>
  <c r="ODW1" i="11"/>
  <c r="ODV1" i="11"/>
  <c r="ODU1" i="11"/>
  <c r="ODT1" i="11"/>
  <c r="ODS1" i="11"/>
  <c r="ODR1" i="11"/>
  <c r="ODQ1" i="11"/>
  <c r="ODP1" i="11"/>
  <c r="ODO1" i="11"/>
  <c r="ODN1" i="11"/>
  <c r="ODM1" i="11"/>
  <c r="ODL1" i="11"/>
  <c r="ODK1" i="11"/>
  <c r="ODJ1" i="11"/>
  <c r="ODI1" i="11"/>
  <c r="ODH1" i="11"/>
  <c r="ODG1" i="11"/>
  <c r="ODF1" i="11"/>
  <c r="ODE1" i="11"/>
  <c r="ODD1" i="11"/>
  <c r="ODC1" i="11"/>
  <c r="ODB1" i="11"/>
  <c r="ODA1" i="11"/>
  <c r="OCZ1" i="11"/>
  <c r="OCY1" i="11"/>
  <c r="OCX1" i="11"/>
  <c r="OCW1" i="11"/>
  <c r="OCV1" i="11"/>
  <c r="OCU1" i="11"/>
  <c r="OCT1" i="11"/>
  <c r="OCS1" i="11"/>
  <c r="OCR1" i="11"/>
  <c r="OCQ1" i="11"/>
  <c r="OCP1" i="11"/>
  <c r="OCO1" i="11"/>
  <c r="OCN1" i="11"/>
  <c r="OCM1" i="11"/>
  <c r="OCL1" i="11"/>
  <c r="OCK1" i="11"/>
  <c r="OCJ1" i="11"/>
  <c r="OCI1" i="11"/>
  <c r="OCH1" i="11"/>
  <c r="OCG1" i="11"/>
  <c r="OCF1" i="11"/>
  <c r="OCE1" i="11"/>
  <c r="OCD1" i="11"/>
  <c r="OCC1" i="11"/>
  <c r="OCB1" i="11"/>
  <c r="OCA1" i="11"/>
  <c r="OBZ1" i="11"/>
  <c r="OBY1" i="11"/>
  <c r="OBX1" i="11"/>
  <c r="OBW1" i="11"/>
  <c r="OBV1" i="11"/>
  <c r="OBU1" i="11"/>
  <c r="OBT1" i="11"/>
  <c r="OBS1" i="11"/>
  <c r="OBR1" i="11"/>
  <c r="OBQ1" i="11"/>
  <c r="OBP1" i="11"/>
  <c r="OBO1" i="11"/>
  <c r="OBN1" i="11"/>
  <c r="OBM1" i="11"/>
  <c r="OBL1" i="11"/>
  <c r="OBK1" i="11"/>
  <c r="OBJ1" i="11"/>
  <c r="OBI1" i="11"/>
  <c r="OBH1" i="11"/>
  <c r="OBG1" i="11"/>
  <c r="OBF1" i="11"/>
  <c r="OBE1" i="11"/>
  <c r="OBD1" i="11"/>
  <c r="OBC1" i="11"/>
  <c r="OBB1" i="11"/>
  <c r="OBA1" i="11"/>
  <c r="OAZ1" i="11"/>
  <c r="OAY1" i="11"/>
  <c r="OAX1" i="11"/>
  <c r="OAW1" i="11"/>
  <c r="OAV1" i="11"/>
  <c r="OAU1" i="11"/>
  <c r="OAT1" i="11"/>
  <c r="OAS1" i="11"/>
  <c r="OAR1" i="11"/>
  <c r="OAQ1" i="11"/>
  <c r="OAP1" i="11"/>
  <c r="OAO1" i="11"/>
  <c r="OAN1" i="11"/>
  <c r="OAM1" i="11"/>
  <c r="OAL1" i="11"/>
  <c r="OAK1" i="11"/>
  <c r="OAJ1" i="11"/>
  <c r="OAI1" i="11"/>
  <c r="OAH1" i="11"/>
  <c r="OAG1" i="11"/>
  <c r="OAF1" i="11"/>
  <c r="OAE1" i="11"/>
  <c r="OAD1" i="11"/>
  <c r="OAC1" i="11"/>
  <c r="OAB1" i="11"/>
  <c r="OAA1" i="11"/>
  <c r="NZZ1" i="11"/>
  <c r="NZY1" i="11"/>
  <c r="NZX1" i="11"/>
  <c r="NZW1" i="11"/>
  <c r="NZV1" i="11"/>
  <c r="NZU1" i="11"/>
  <c r="NZT1" i="11"/>
  <c r="NZS1" i="11"/>
  <c r="NZR1" i="11"/>
  <c r="NZQ1" i="11"/>
  <c r="NZP1" i="11"/>
  <c r="NZO1" i="11"/>
  <c r="NZN1" i="11"/>
  <c r="NZM1" i="11"/>
  <c r="NZL1" i="11"/>
  <c r="NZK1" i="11"/>
  <c r="NZJ1" i="11"/>
  <c r="NZI1" i="11"/>
  <c r="NZH1" i="11"/>
  <c r="NZG1" i="11"/>
  <c r="NZF1" i="11"/>
  <c r="NZE1" i="11"/>
  <c r="NZD1" i="11"/>
  <c r="NZC1" i="11"/>
  <c r="NZB1" i="11"/>
  <c r="NZA1" i="11"/>
  <c r="NYZ1" i="11"/>
  <c r="NYY1" i="11"/>
  <c r="NYX1" i="11"/>
  <c r="NYW1" i="11"/>
  <c r="NYV1" i="11"/>
  <c r="NYU1" i="11"/>
  <c r="NYT1" i="11"/>
  <c r="NYS1" i="11"/>
  <c r="NYR1" i="11"/>
  <c r="NYQ1" i="11"/>
  <c r="NYP1" i="11"/>
  <c r="NYO1" i="11"/>
  <c r="NYN1" i="11"/>
  <c r="NYM1" i="11"/>
  <c r="NYL1" i="11"/>
  <c r="NYK1" i="11"/>
  <c r="NYJ1" i="11"/>
  <c r="NYI1" i="11"/>
  <c r="NYH1" i="11"/>
  <c r="NYG1" i="11"/>
  <c r="NYF1" i="11"/>
  <c r="NYE1" i="11"/>
  <c r="NYD1" i="11"/>
  <c r="NYC1" i="11"/>
  <c r="NYB1" i="11"/>
  <c r="NYA1" i="11"/>
  <c r="NXZ1" i="11"/>
  <c r="NXY1" i="11"/>
  <c r="NXX1" i="11"/>
  <c r="NXW1" i="11"/>
  <c r="NXV1" i="11"/>
  <c r="NXU1" i="11"/>
  <c r="NXT1" i="11"/>
  <c r="NXS1" i="11"/>
  <c r="NXR1" i="11"/>
  <c r="NXQ1" i="11"/>
  <c r="NXP1" i="11"/>
  <c r="NXO1" i="11"/>
  <c r="NXN1" i="11"/>
  <c r="NXM1" i="11"/>
  <c r="NXL1" i="11"/>
  <c r="NXK1" i="11"/>
  <c r="NXJ1" i="11"/>
  <c r="NXI1" i="11"/>
  <c r="NXH1" i="11"/>
  <c r="NXG1" i="11"/>
  <c r="NXF1" i="11"/>
  <c r="NXE1" i="11"/>
  <c r="NXD1" i="11"/>
  <c r="NXC1" i="11"/>
  <c r="NXB1" i="11"/>
  <c r="NXA1" i="11"/>
  <c r="NWZ1" i="11"/>
  <c r="NWY1" i="11"/>
  <c r="NWX1" i="11"/>
  <c r="NWW1" i="11"/>
  <c r="NWV1" i="11"/>
  <c r="NWU1" i="11"/>
  <c r="NWT1" i="11"/>
  <c r="NWS1" i="11"/>
  <c r="NWR1" i="11"/>
  <c r="NWQ1" i="11"/>
  <c r="NWP1" i="11"/>
  <c r="NWO1" i="11"/>
  <c r="NWN1" i="11"/>
  <c r="NWM1" i="11"/>
  <c r="NWL1" i="11"/>
  <c r="NWK1" i="11"/>
  <c r="NWJ1" i="11"/>
  <c r="NWI1" i="11"/>
  <c r="NWH1" i="11"/>
  <c r="NWG1" i="11"/>
  <c r="NWF1" i="11"/>
  <c r="NWE1" i="11"/>
  <c r="NWD1" i="11"/>
  <c r="NWC1" i="11"/>
  <c r="NWB1" i="11"/>
  <c r="NWA1" i="11"/>
  <c r="NVZ1" i="11"/>
  <c r="NVY1" i="11"/>
  <c r="NVX1" i="11"/>
  <c r="NVW1" i="11"/>
  <c r="NVV1" i="11"/>
  <c r="NVU1" i="11"/>
  <c r="NVT1" i="11"/>
  <c r="NVS1" i="11"/>
  <c r="NVR1" i="11"/>
  <c r="NVQ1" i="11"/>
  <c r="NVP1" i="11"/>
  <c r="NVO1" i="11"/>
  <c r="NVN1" i="11"/>
  <c r="NVM1" i="11"/>
  <c r="NVL1" i="11"/>
  <c r="NVK1" i="11"/>
  <c r="NVJ1" i="11"/>
  <c r="NVI1" i="11"/>
  <c r="NVH1" i="11"/>
  <c r="NVG1" i="11"/>
  <c r="NVF1" i="11"/>
  <c r="NVE1" i="11"/>
  <c r="NVD1" i="11"/>
  <c r="NVC1" i="11"/>
  <c r="NVB1" i="11"/>
  <c r="NVA1" i="11"/>
  <c r="NUZ1" i="11"/>
  <c r="NUY1" i="11"/>
  <c r="NUX1" i="11"/>
  <c r="NUW1" i="11"/>
  <c r="NUV1" i="11"/>
  <c r="NUU1" i="11"/>
  <c r="NUT1" i="11"/>
  <c r="NUS1" i="11"/>
  <c r="NUR1" i="11"/>
  <c r="NUQ1" i="11"/>
  <c r="NUP1" i="11"/>
  <c r="NUO1" i="11"/>
  <c r="NUN1" i="11"/>
  <c r="NUM1" i="11"/>
  <c r="NUL1" i="11"/>
  <c r="NUK1" i="11"/>
  <c r="NUJ1" i="11"/>
  <c r="NUI1" i="11"/>
  <c r="NUH1" i="11"/>
  <c r="NUG1" i="11"/>
  <c r="NUF1" i="11"/>
  <c r="NUE1" i="11"/>
  <c r="NUD1" i="11"/>
  <c r="NUC1" i="11"/>
  <c r="NUB1" i="11"/>
  <c r="NUA1" i="11"/>
  <c r="NTZ1" i="11"/>
  <c r="NTY1" i="11"/>
  <c r="NTX1" i="11"/>
  <c r="NTW1" i="11"/>
  <c r="NTV1" i="11"/>
  <c r="NTU1" i="11"/>
  <c r="NTT1" i="11"/>
  <c r="NTS1" i="11"/>
  <c r="NTR1" i="11"/>
  <c r="NTQ1" i="11"/>
  <c r="NTP1" i="11"/>
  <c r="NTO1" i="11"/>
  <c r="NTN1" i="11"/>
  <c r="NTM1" i="11"/>
  <c r="NTL1" i="11"/>
  <c r="NTK1" i="11"/>
  <c r="NTJ1" i="11"/>
  <c r="NTI1" i="11"/>
  <c r="NTH1" i="11"/>
  <c r="NTG1" i="11"/>
  <c r="NTF1" i="11"/>
  <c r="NTE1" i="11"/>
  <c r="NTD1" i="11"/>
  <c r="NTC1" i="11"/>
  <c r="NTB1" i="11"/>
  <c r="NTA1" i="11"/>
  <c r="NSZ1" i="11"/>
  <c r="NSY1" i="11"/>
  <c r="NSX1" i="11"/>
  <c r="NSW1" i="11"/>
  <c r="NSV1" i="11"/>
  <c r="NSU1" i="11"/>
  <c r="NST1" i="11"/>
  <c r="NSS1" i="11"/>
  <c r="NSR1" i="11"/>
  <c r="NSQ1" i="11"/>
  <c r="NSP1" i="11"/>
  <c r="NSO1" i="11"/>
  <c r="NSN1" i="11"/>
  <c r="NSM1" i="11"/>
  <c r="NSL1" i="11"/>
  <c r="NSK1" i="11"/>
  <c r="NSJ1" i="11"/>
  <c r="NSI1" i="11"/>
  <c r="NSH1" i="11"/>
  <c r="NSG1" i="11"/>
  <c r="NSF1" i="11"/>
  <c r="NSE1" i="11"/>
  <c r="NSD1" i="11"/>
  <c r="NSC1" i="11"/>
  <c r="NSB1" i="11"/>
  <c r="NSA1" i="11"/>
  <c r="NRZ1" i="11"/>
  <c r="NRY1" i="11"/>
  <c r="NRX1" i="11"/>
  <c r="NRW1" i="11"/>
  <c r="NRV1" i="11"/>
  <c r="NRU1" i="11"/>
  <c r="NRT1" i="11"/>
  <c r="NRS1" i="11"/>
  <c r="NRR1" i="11"/>
  <c r="NRQ1" i="11"/>
  <c r="NRP1" i="11"/>
  <c r="NRO1" i="11"/>
  <c r="NRN1" i="11"/>
  <c r="NRM1" i="11"/>
  <c r="NRL1" i="11"/>
  <c r="NRK1" i="11"/>
  <c r="NRJ1" i="11"/>
  <c r="NRI1" i="11"/>
  <c r="NRH1" i="11"/>
  <c r="NRG1" i="11"/>
  <c r="NRF1" i="11"/>
  <c r="NRE1" i="11"/>
  <c r="NRD1" i="11"/>
  <c r="NRC1" i="11"/>
  <c r="NRB1" i="11"/>
  <c r="NRA1" i="11"/>
  <c r="NQZ1" i="11"/>
  <c r="NQY1" i="11"/>
  <c r="NQX1" i="11"/>
  <c r="NQW1" i="11"/>
  <c r="NQV1" i="11"/>
  <c r="NQU1" i="11"/>
  <c r="NQT1" i="11"/>
  <c r="NQS1" i="11"/>
  <c r="NQR1" i="11"/>
  <c r="NQQ1" i="11"/>
  <c r="NQP1" i="11"/>
  <c r="NQO1" i="11"/>
  <c r="NQN1" i="11"/>
  <c r="NQM1" i="11"/>
  <c r="NQL1" i="11"/>
  <c r="NQK1" i="11"/>
  <c r="NQJ1" i="11"/>
  <c r="NQI1" i="11"/>
  <c r="NQH1" i="11"/>
  <c r="NQG1" i="11"/>
  <c r="NQF1" i="11"/>
  <c r="NQE1" i="11"/>
  <c r="NQD1" i="11"/>
  <c r="NQC1" i="11"/>
  <c r="NQB1" i="11"/>
  <c r="NQA1" i="11"/>
  <c r="NPZ1" i="11"/>
  <c r="NPY1" i="11"/>
  <c r="NPX1" i="11"/>
  <c r="NPW1" i="11"/>
  <c r="NPV1" i="11"/>
  <c r="NPU1" i="11"/>
  <c r="NPT1" i="11"/>
  <c r="NPS1" i="11"/>
  <c r="NPR1" i="11"/>
  <c r="NPQ1" i="11"/>
  <c r="NPP1" i="11"/>
  <c r="NPO1" i="11"/>
  <c r="NPN1" i="11"/>
  <c r="NPM1" i="11"/>
  <c r="NPL1" i="11"/>
  <c r="NPK1" i="11"/>
  <c r="NPJ1" i="11"/>
  <c r="NPI1" i="11"/>
  <c r="NPH1" i="11"/>
  <c r="NPG1" i="11"/>
  <c r="NPF1" i="11"/>
  <c r="NPE1" i="11"/>
  <c r="NPD1" i="11"/>
  <c r="NPC1" i="11"/>
  <c r="NPB1" i="11"/>
  <c r="NPA1" i="11"/>
  <c r="NOZ1" i="11"/>
  <c r="NOY1" i="11"/>
  <c r="NOX1" i="11"/>
  <c r="NOW1" i="11"/>
  <c r="NOV1" i="11"/>
  <c r="NOU1" i="11"/>
  <c r="NOT1" i="11"/>
  <c r="NOS1" i="11"/>
  <c r="NOR1" i="11"/>
  <c r="NOQ1" i="11"/>
  <c r="NOP1" i="11"/>
  <c r="NOO1" i="11"/>
  <c r="NON1" i="11"/>
  <c r="NOM1" i="11"/>
  <c r="NOL1" i="11"/>
  <c r="NOK1" i="11"/>
  <c r="NOJ1" i="11"/>
  <c r="NOI1" i="11"/>
  <c r="NOH1" i="11"/>
  <c r="NOG1" i="11"/>
  <c r="NOF1" i="11"/>
  <c r="NOE1" i="11"/>
  <c r="NOD1" i="11"/>
  <c r="NOC1" i="11"/>
  <c r="NOB1" i="11"/>
  <c r="NOA1" i="11"/>
  <c r="NNZ1" i="11"/>
  <c r="NNY1" i="11"/>
  <c r="NNX1" i="11"/>
  <c r="NNW1" i="11"/>
  <c r="NNV1" i="11"/>
  <c r="NNU1" i="11"/>
  <c r="NNT1" i="11"/>
  <c r="NNS1" i="11"/>
  <c r="NNR1" i="11"/>
  <c r="NNQ1" i="11"/>
  <c r="NNP1" i="11"/>
  <c r="NNO1" i="11"/>
  <c r="NNN1" i="11"/>
  <c r="NNM1" i="11"/>
  <c r="NNL1" i="11"/>
  <c r="NNK1" i="11"/>
  <c r="NNJ1" i="11"/>
  <c r="NNI1" i="11"/>
  <c r="NNH1" i="11"/>
  <c r="NNG1" i="11"/>
  <c r="NNF1" i="11"/>
  <c r="NNE1" i="11"/>
  <c r="NND1" i="11"/>
  <c r="NNC1" i="11"/>
  <c r="NNB1" i="11"/>
  <c r="NNA1" i="11"/>
  <c r="NMZ1" i="11"/>
  <c r="NMY1" i="11"/>
  <c r="NMX1" i="11"/>
  <c r="NMW1" i="11"/>
  <c r="NMV1" i="11"/>
  <c r="NMU1" i="11"/>
  <c r="NMT1" i="11"/>
  <c r="NMS1" i="11"/>
  <c r="NMR1" i="11"/>
  <c r="NMQ1" i="11"/>
  <c r="NMP1" i="11"/>
  <c r="NMO1" i="11"/>
  <c r="NMN1" i="11"/>
  <c r="NMM1" i="11"/>
  <c r="NML1" i="11"/>
  <c r="NMK1" i="11"/>
  <c r="NMJ1" i="11"/>
  <c r="NMI1" i="11"/>
  <c r="NMH1" i="11"/>
  <c r="NMG1" i="11"/>
  <c r="NMF1" i="11"/>
  <c r="NME1" i="11"/>
  <c r="NMD1" i="11"/>
  <c r="NMC1" i="11"/>
  <c r="NMB1" i="11"/>
  <c r="NMA1" i="11"/>
  <c r="NLZ1" i="11"/>
  <c r="NLY1" i="11"/>
  <c r="NLX1" i="11"/>
  <c r="NLW1" i="11"/>
  <c r="NLV1" i="11"/>
  <c r="NLU1" i="11"/>
  <c r="NLT1" i="11"/>
  <c r="NLS1" i="11"/>
  <c r="NLR1" i="11"/>
  <c r="NLQ1" i="11"/>
  <c r="NLP1" i="11"/>
  <c r="NLO1" i="11"/>
  <c r="NLN1" i="11"/>
  <c r="NLM1" i="11"/>
  <c r="NLL1" i="11"/>
  <c r="NLK1" i="11"/>
  <c r="NLJ1" i="11"/>
  <c r="NLI1" i="11"/>
  <c r="NLH1" i="11"/>
  <c r="NLG1" i="11"/>
  <c r="NLF1" i="11"/>
  <c r="NLE1" i="11"/>
  <c r="NLD1" i="11"/>
  <c r="NLC1" i="11"/>
  <c r="NLB1" i="11"/>
  <c r="NLA1" i="11"/>
  <c r="NKZ1" i="11"/>
  <c r="NKY1" i="11"/>
  <c r="NKX1" i="11"/>
  <c r="NKW1" i="11"/>
  <c r="NKV1" i="11"/>
  <c r="NKU1" i="11"/>
  <c r="NKT1" i="11"/>
  <c r="NKS1" i="11"/>
  <c r="NKR1" i="11"/>
  <c r="NKQ1" i="11"/>
  <c r="NKP1" i="11"/>
  <c r="NKO1" i="11"/>
  <c r="NKN1" i="11"/>
  <c r="NKM1" i="11"/>
  <c r="NKL1" i="11"/>
  <c r="NKK1" i="11"/>
  <c r="NKJ1" i="11"/>
  <c r="NKI1" i="11"/>
  <c r="NKH1" i="11"/>
  <c r="NKG1" i="11"/>
  <c r="NKF1" i="11"/>
  <c r="NKE1" i="11"/>
  <c r="NKD1" i="11"/>
  <c r="NKC1" i="11"/>
  <c r="NKB1" i="11"/>
  <c r="NKA1" i="11"/>
  <c r="NJZ1" i="11"/>
  <c r="NJY1" i="11"/>
  <c r="NJX1" i="11"/>
  <c r="NJW1" i="11"/>
  <c r="NJV1" i="11"/>
  <c r="NJU1" i="11"/>
  <c r="NJT1" i="11"/>
  <c r="NJS1" i="11"/>
  <c r="NJR1" i="11"/>
  <c r="NJQ1" i="11"/>
  <c r="NJP1" i="11"/>
  <c r="NJO1" i="11"/>
  <c r="NJN1" i="11"/>
  <c r="NJM1" i="11"/>
  <c r="NJL1" i="11"/>
  <c r="NJK1" i="11"/>
  <c r="NJJ1" i="11"/>
  <c r="NJI1" i="11"/>
  <c r="NJH1" i="11"/>
  <c r="NJG1" i="11"/>
  <c r="NJF1" i="11"/>
  <c r="NJE1" i="11"/>
  <c r="NJD1" i="11"/>
  <c r="NJC1" i="11"/>
  <c r="NJB1" i="11"/>
  <c r="NJA1" i="11"/>
  <c r="NIZ1" i="11"/>
  <c r="NIY1" i="11"/>
  <c r="NIX1" i="11"/>
  <c r="NIW1" i="11"/>
  <c r="NIV1" i="11"/>
  <c r="NIU1" i="11"/>
  <c r="NIT1" i="11"/>
  <c r="NIS1" i="11"/>
  <c r="NIR1" i="11"/>
  <c r="NIQ1" i="11"/>
  <c r="NIP1" i="11"/>
  <c r="NIO1" i="11"/>
  <c r="NIN1" i="11"/>
  <c r="NIM1" i="11"/>
  <c r="NIL1" i="11"/>
  <c r="NIK1" i="11"/>
  <c r="NIJ1" i="11"/>
  <c r="NII1" i="11"/>
  <c r="NIH1" i="11"/>
  <c r="NIG1" i="11"/>
  <c r="NIF1" i="11"/>
  <c r="NIE1" i="11"/>
  <c r="NID1" i="11"/>
  <c r="NIC1" i="11"/>
  <c r="NIB1" i="11"/>
  <c r="NIA1" i="11"/>
  <c r="NHZ1" i="11"/>
  <c r="NHY1" i="11"/>
  <c r="NHX1" i="11"/>
  <c r="NHW1" i="11"/>
  <c r="NHV1" i="11"/>
  <c r="NHU1" i="11"/>
  <c r="NHT1" i="11"/>
  <c r="NHS1" i="11"/>
  <c r="NHR1" i="11"/>
  <c r="NHQ1" i="11"/>
  <c r="NHP1" i="11"/>
  <c r="NHO1" i="11"/>
  <c r="NHN1" i="11"/>
  <c r="NHM1" i="11"/>
  <c r="NHL1" i="11"/>
  <c r="NHK1" i="11"/>
  <c r="NHJ1" i="11"/>
  <c r="NHI1" i="11"/>
  <c r="NHH1" i="11"/>
  <c r="NHG1" i="11"/>
  <c r="NHF1" i="11"/>
  <c r="NHE1" i="11"/>
  <c r="NHD1" i="11"/>
  <c r="NHC1" i="11"/>
  <c r="NHB1" i="11"/>
  <c r="NHA1" i="11"/>
  <c r="NGZ1" i="11"/>
  <c r="NGY1" i="11"/>
  <c r="NGX1" i="11"/>
  <c r="NGW1" i="11"/>
  <c r="NGV1" i="11"/>
  <c r="NGU1" i="11"/>
  <c r="NGT1" i="11"/>
  <c r="NGS1" i="11"/>
  <c r="NGR1" i="11"/>
  <c r="NGQ1" i="11"/>
  <c r="NGP1" i="11"/>
  <c r="NGO1" i="11"/>
  <c r="NGN1" i="11"/>
  <c r="NGM1" i="11"/>
  <c r="NGL1" i="11"/>
  <c r="NGK1" i="11"/>
  <c r="NGJ1" i="11"/>
  <c r="NGI1" i="11"/>
  <c r="NGH1" i="11"/>
  <c r="NGG1" i="11"/>
  <c r="NGF1" i="11"/>
  <c r="NGE1" i="11"/>
  <c r="NGD1" i="11"/>
  <c r="NGC1" i="11"/>
  <c r="NGB1" i="11"/>
  <c r="NGA1" i="11"/>
  <c r="NFZ1" i="11"/>
  <c r="NFY1" i="11"/>
  <c r="NFX1" i="11"/>
  <c r="NFW1" i="11"/>
  <c r="NFV1" i="11"/>
  <c r="NFU1" i="11"/>
  <c r="NFT1" i="11"/>
  <c r="NFS1" i="11"/>
  <c r="NFR1" i="11"/>
  <c r="NFQ1" i="11"/>
  <c r="NFP1" i="11"/>
  <c r="NFO1" i="11"/>
  <c r="NFN1" i="11"/>
  <c r="NFM1" i="11"/>
  <c r="NFL1" i="11"/>
  <c r="NFK1" i="11"/>
  <c r="NFJ1" i="11"/>
  <c r="NFI1" i="11"/>
  <c r="NFH1" i="11"/>
  <c r="NFG1" i="11"/>
  <c r="NFF1" i="11"/>
  <c r="NFE1" i="11"/>
  <c r="NFD1" i="11"/>
  <c r="NFC1" i="11"/>
  <c r="NFB1" i="11"/>
  <c r="NFA1" i="11"/>
  <c r="NEZ1" i="11"/>
  <c r="NEY1" i="11"/>
  <c r="NEX1" i="11"/>
  <c r="NEW1" i="11"/>
  <c r="NEV1" i="11"/>
  <c r="NEU1" i="11"/>
  <c r="NET1" i="11"/>
  <c r="NES1" i="11"/>
  <c r="NER1" i="11"/>
  <c r="NEQ1" i="11"/>
  <c r="NEP1" i="11"/>
  <c r="NEO1" i="11"/>
  <c r="NEN1" i="11"/>
  <c r="NEM1" i="11"/>
  <c r="NEL1" i="11"/>
  <c r="NEK1" i="11"/>
  <c r="NEJ1" i="11"/>
  <c r="NEI1" i="11"/>
  <c r="NEH1" i="11"/>
  <c r="NEG1" i="11"/>
  <c r="NEF1" i="11"/>
  <c r="NEE1" i="11"/>
  <c r="NED1" i="11"/>
  <c r="NEC1" i="11"/>
  <c r="NEB1" i="11"/>
  <c r="NEA1" i="11"/>
  <c r="NDZ1" i="11"/>
  <c r="NDY1" i="11"/>
  <c r="NDX1" i="11"/>
  <c r="NDW1" i="11"/>
  <c r="NDV1" i="11"/>
  <c r="NDU1" i="11"/>
  <c r="NDT1" i="11"/>
  <c r="NDS1" i="11"/>
  <c r="NDR1" i="11"/>
  <c r="NDQ1" i="11"/>
  <c r="NDP1" i="11"/>
  <c r="NDO1" i="11"/>
  <c r="NDN1" i="11"/>
  <c r="NDM1" i="11"/>
  <c r="NDL1" i="11"/>
  <c r="NDK1" i="11"/>
  <c r="NDJ1" i="11"/>
  <c r="NDI1" i="11"/>
  <c r="NDH1" i="11"/>
  <c r="NDG1" i="11"/>
  <c r="NDF1" i="11"/>
  <c r="NDE1" i="11"/>
  <c r="NDD1" i="11"/>
  <c r="NDC1" i="11"/>
  <c r="NDB1" i="11"/>
  <c r="NDA1" i="11"/>
  <c r="NCZ1" i="11"/>
  <c r="NCY1" i="11"/>
  <c r="NCX1" i="11"/>
  <c r="NCW1" i="11"/>
  <c r="NCV1" i="11"/>
  <c r="NCU1" i="11"/>
  <c r="NCT1" i="11"/>
  <c r="NCS1" i="11"/>
  <c r="NCR1" i="11"/>
  <c r="NCQ1" i="11"/>
  <c r="NCP1" i="11"/>
  <c r="NCO1" i="11"/>
  <c r="NCN1" i="11"/>
  <c r="NCM1" i="11"/>
  <c r="NCL1" i="11"/>
  <c r="NCK1" i="11"/>
  <c r="NCJ1" i="11"/>
  <c r="NCI1" i="11"/>
  <c r="NCH1" i="11"/>
  <c r="NCG1" i="11"/>
  <c r="NCF1" i="11"/>
  <c r="NCE1" i="11"/>
  <c r="NCD1" i="11"/>
  <c r="NCC1" i="11"/>
  <c r="NCB1" i="11"/>
  <c r="NCA1" i="11"/>
  <c r="NBZ1" i="11"/>
  <c r="NBY1" i="11"/>
  <c r="NBX1" i="11"/>
  <c r="NBW1" i="11"/>
  <c r="NBV1" i="11"/>
  <c r="NBU1" i="11"/>
  <c r="NBT1" i="11"/>
  <c r="NBS1" i="11"/>
  <c r="NBR1" i="11"/>
  <c r="NBQ1" i="11"/>
  <c r="NBP1" i="11"/>
  <c r="NBO1" i="11"/>
  <c r="NBN1" i="11"/>
  <c r="NBM1" i="11"/>
  <c r="NBL1" i="11"/>
  <c r="NBK1" i="11"/>
  <c r="NBJ1" i="11"/>
  <c r="NBI1" i="11"/>
  <c r="NBH1" i="11"/>
  <c r="NBG1" i="11"/>
  <c r="NBF1" i="11"/>
  <c r="NBE1" i="11"/>
  <c r="NBD1" i="11"/>
  <c r="NBC1" i="11"/>
  <c r="NBB1" i="11"/>
  <c r="NBA1" i="11"/>
  <c r="NAZ1" i="11"/>
  <c r="NAY1" i="11"/>
  <c r="NAX1" i="11"/>
  <c r="NAW1" i="11"/>
  <c r="NAV1" i="11"/>
  <c r="NAU1" i="11"/>
  <c r="NAT1" i="11"/>
  <c r="NAS1" i="11"/>
  <c r="NAR1" i="11"/>
  <c r="NAQ1" i="11"/>
  <c r="NAP1" i="11"/>
  <c r="NAO1" i="11"/>
  <c r="NAN1" i="11"/>
  <c r="NAM1" i="11"/>
  <c r="NAL1" i="11"/>
  <c r="NAK1" i="11"/>
  <c r="NAJ1" i="11"/>
  <c r="NAI1" i="11"/>
  <c r="NAH1" i="11"/>
  <c r="NAG1" i="11"/>
  <c r="NAF1" i="11"/>
  <c r="NAE1" i="11"/>
  <c r="NAD1" i="11"/>
  <c r="NAC1" i="11"/>
  <c r="NAB1" i="11"/>
  <c r="NAA1" i="11"/>
  <c r="MZZ1" i="11"/>
  <c r="MZY1" i="11"/>
  <c r="MZX1" i="11"/>
  <c r="MZW1" i="11"/>
  <c r="MZV1" i="11"/>
  <c r="MZU1" i="11"/>
  <c r="MZT1" i="11"/>
  <c r="MZS1" i="11"/>
  <c r="MZR1" i="11"/>
  <c r="MZQ1" i="11"/>
  <c r="MZP1" i="11"/>
  <c r="MZO1" i="11"/>
  <c r="MZN1" i="11"/>
  <c r="MZM1" i="11"/>
  <c r="MZL1" i="11"/>
  <c r="MZK1" i="11"/>
  <c r="MZJ1" i="11"/>
  <c r="MZI1" i="11"/>
  <c r="MZH1" i="11"/>
  <c r="MZG1" i="11"/>
  <c r="MZF1" i="11"/>
  <c r="MZE1" i="11"/>
  <c r="MZD1" i="11"/>
  <c r="MZC1" i="11"/>
  <c r="MZB1" i="11"/>
  <c r="MZA1" i="11"/>
  <c r="MYZ1" i="11"/>
  <c r="MYY1" i="11"/>
  <c r="MYX1" i="11"/>
  <c r="MYW1" i="11"/>
  <c r="MYV1" i="11"/>
  <c r="MYU1" i="11"/>
  <c r="MYT1" i="11"/>
  <c r="MYS1" i="11"/>
  <c r="MYR1" i="11"/>
  <c r="MYQ1" i="11"/>
  <c r="MYP1" i="11"/>
  <c r="MYO1" i="11"/>
  <c r="MYN1" i="11"/>
  <c r="MYM1" i="11"/>
  <c r="MYL1" i="11"/>
  <c r="MYK1" i="11"/>
  <c r="MYJ1" i="11"/>
  <c r="MYI1" i="11"/>
  <c r="MYH1" i="11"/>
  <c r="MYG1" i="11"/>
  <c r="MYF1" i="11"/>
  <c r="MYE1" i="11"/>
  <c r="MYD1" i="11"/>
  <c r="MYC1" i="11"/>
  <c r="MYB1" i="11"/>
  <c r="MYA1" i="11"/>
  <c r="MXZ1" i="11"/>
  <c r="MXY1" i="11"/>
  <c r="MXX1" i="11"/>
  <c r="MXW1" i="11"/>
  <c r="MXV1" i="11"/>
  <c r="MXU1" i="11"/>
  <c r="MXT1" i="11"/>
  <c r="MXS1" i="11"/>
  <c r="MXR1" i="11"/>
  <c r="MXQ1" i="11"/>
  <c r="MXP1" i="11"/>
  <c r="MXO1" i="11"/>
  <c r="MXN1" i="11"/>
  <c r="MXM1" i="11"/>
  <c r="MXL1" i="11"/>
  <c r="MXK1" i="11"/>
  <c r="MXJ1" i="11"/>
  <c r="MXI1" i="11"/>
  <c r="MXH1" i="11"/>
  <c r="MXG1" i="11"/>
  <c r="MXF1" i="11"/>
  <c r="MXE1" i="11"/>
  <c r="MXD1" i="11"/>
  <c r="MXC1" i="11"/>
  <c r="MXB1" i="11"/>
  <c r="MXA1" i="11"/>
  <c r="MWZ1" i="11"/>
  <c r="MWY1" i="11"/>
  <c r="MWX1" i="11"/>
  <c r="MWW1" i="11"/>
  <c r="MWV1" i="11"/>
  <c r="MWU1" i="11"/>
  <c r="MWT1" i="11"/>
  <c r="MWS1" i="11"/>
  <c r="MWR1" i="11"/>
  <c r="MWQ1" i="11"/>
  <c r="MWP1" i="11"/>
  <c r="MWO1" i="11"/>
  <c r="MWN1" i="11"/>
  <c r="MWM1" i="11"/>
  <c r="MWL1" i="11"/>
  <c r="MWK1" i="11"/>
  <c r="MWJ1" i="11"/>
  <c r="MWI1" i="11"/>
  <c r="MWH1" i="11"/>
  <c r="MWG1" i="11"/>
  <c r="MWF1" i="11"/>
  <c r="MWE1" i="11"/>
  <c r="MWD1" i="11"/>
  <c r="MWC1" i="11"/>
  <c r="MWB1" i="11"/>
  <c r="MWA1" i="11"/>
  <c r="MVZ1" i="11"/>
  <c r="MVY1" i="11"/>
  <c r="MVX1" i="11"/>
  <c r="MVW1" i="11"/>
  <c r="MVV1" i="11"/>
  <c r="MVU1" i="11"/>
  <c r="MVT1" i="11"/>
  <c r="MVS1" i="11"/>
  <c r="MVR1" i="11"/>
  <c r="MVQ1" i="11"/>
  <c r="MVP1" i="11"/>
  <c r="MVO1" i="11"/>
  <c r="MVN1" i="11"/>
  <c r="MVM1" i="11"/>
  <c r="MVL1" i="11"/>
  <c r="MVK1" i="11"/>
  <c r="MVJ1" i="11"/>
  <c r="MVI1" i="11"/>
  <c r="MVH1" i="11"/>
  <c r="MVG1" i="11"/>
  <c r="MVF1" i="11"/>
  <c r="MVE1" i="11"/>
  <c r="MVD1" i="11"/>
  <c r="MVC1" i="11"/>
  <c r="MVB1" i="11"/>
  <c r="MVA1" i="11"/>
  <c r="MUZ1" i="11"/>
  <c r="MUY1" i="11"/>
  <c r="MUX1" i="11"/>
  <c r="MUW1" i="11"/>
  <c r="MUV1" i="11"/>
  <c r="MUU1" i="11"/>
  <c r="MUT1" i="11"/>
  <c r="MUS1" i="11"/>
  <c r="MUR1" i="11"/>
  <c r="MUQ1" i="11"/>
  <c r="MUP1" i="11"/>
  <c r="MUO1" i="11"/>
  <c r="MUN1" i="11"/>
  <c r="MUM1" i="11"/>
  <c r="MUL1" i="11"/>
  <c r="MUK1" i="11"/>
  <c r="MUJ1" i="11"/>
  <c r="MUI1" i="11"/>
  <c r="MUH1" i="11"/>
  <c r="MUG1" i="11"/>
  <c r="MUF1" i="11"/>
  <c r="MUE1" i="11"/>
  <c r="MUD1" i="11"/>
  <c r="MUC1" i="11"/>
  <c r="MUB1" i="11"/>
  <c r="MUA1" i="11"/>
  <c r="MTZ1" i="11"/>
  <c r="MTY1" i="11"/>
  <c r="MTX1" i="11"/>
  <c r="MTW1" i="11"/>
  <c r="MTV1" i="11"/>
  <c r="MTU1" i="11"/>
  <c r="MTT1" i="11"/>
  <c r="MTS1" i="11"/>
  <c r="MTR1" i="11"/>
  <c r="MTQ1" i="11"/>
  <c r="MTP1" i="11"/>
  <c r="MTO1" i="11"/>
  <c r="MTN1" i="11"/>
  <c r="MTM1" i="11"/>
  <c r="MTL1" i="11"/>
  <c r="MTK1" i="11"/>
  <c r="MTJ1" i="11"/>
  <c r="MTI1" i="11"/>
  <c r="MTH1" i="11"/>
  <c r="MTG1" i="11"/>
  <c r="MTF1" i="11"/>
  <c r="MTE1" i="11"/>
  <c r="MTD1" i="11"/>
  <c r="MTC1" i="11"/>
  <c r="MTB1" i="11"/>
  <c r="MTA1" i="11"/>
  <c r="MSZ1" i="11"/>
  <c r="MSY1" i="11"/>
  <c r="MSX1" i="11"/>
  <c r="MSW1" i="11"/>
  <c r="MSV1" i="11"/>
  <c r="MSU1" i="11"/>
  <c r="MST1" i="11"/>
  <c r="MSS1" i="11"/>
  <c r="MSR1" i="11"/>
  <c r="MSQ1" i="11"/>
  <c r="MSP1" i="11"/>
  <c r="MSO1" i="11"/>
  <c r="MSN1" i="11"/>
  <c r="MSM1" i="11"/>
  <c r="MSL1" i="11"/>
  <c r="MSK1" i="11"/>
  <c r="MSJ1" i="11"/>
  <c r="MSI1" i="11"/>
  <c r="MSH1" i="11"/>
  <c r="MSG1" i="11"/>
  <c r="MSF1" i="11"/>
  <c r="MSE1" i="11"/>
  <c r="MSD1" i="11"/>
  <c r="MSC1" i="11"/>
  <c r="MSB1" i="11"/>
  <c r="MSA1" i="11"/>
  <c r="MRZ1" i="11"/>
  <c r="MRY1" i="11"/>
  <c r="MRX1" i="11"/>
  <c r="MRW1" i="11"/>
  <c r="MRV1" i="11"/>
  <c r="MRU1" i="11"/>
  <c r="MRT1" i="11"/>
  <c r="MRS1" i="11"/>
  <c r="MRR1" i="11"/>
  <c r="MRQ1" i="11"/>
  <c r="MRP1" i="11"/>
  <c r="MRO1" i="11"/>
  <c r="MRN1" i="11"/>
  <c r="MRM1" i="11"/>
  <c r="MRL1" i="11"/>
  <c r="MRK1" i="11"/>
  <c r="MRJ1" i="11"/>
  <c r="MRI1" i="11"/>
  <c r="MRH1" i="11"/>
  <c r="MRG1" i="11"/>
  <c r="MRF1" i="11"/>
  <c r="MRE1" i="11"/>
  <c r="MRD1" i="11"/>
  <c r="MRC1" i="11"/>
  <c r="MRB1" i="11"/>
  <c r="MRA1" i="11"/>
  <c r="MQZ1" i="11"/>
  <c r="MQY1" i="11"/>
  <c r="MQX1" i="11"/>
  <c r="MQW1" i="11"/>
  <c r="MQV1" i="11"/>
  <c r="MQU1" i="11"/>
  <c r="MQT1" i="11"/>
  <c r="MQS1" i="11"/>
  <c r="MQR1" i="11"/>
  <c r="MQQ1" i="11"/>
  <c r="MQP1" i="11"/>
  <c r="MQO1" i="11"/>
  <c r="MQN1" i="11"/>
  <c r="MQM1" i="11"/>
  <c r="MQL1" i="11"/>
  <c r="MQK1" i="11"/>
  <c r="MQJ1" i="11"/>
  <c r="MQI1" i="11"/>
  <c r="MQH1" i="11"/>
  <c r="MQG1" i="11"/>
  <c r="MQF1" i="11"/>
  <c r="MQE1" i="11"/>
  <c r="MQD1" i="11"/>
  <c r="MQC1" i="11"/>
  <c r="MQB1" i="11"/>
  <c r="MQA1" i="11"/>
  <c r="MPZ1" i="11"/>
  <c r="MPY1" i="11"/>
  <c r="MPX1" i="11"/>
  <c r="MPW1" i="11"/>
  <c r="MPV1" i="11"/>
  <c r="MPU1" i="11"/>
  <c r="MPT1" i="11"/>
  <c r="MPS1" i="11"/>
  <c r="MPR1" i="11"/>
  <c r="MPQ1" i="11"/>
  <c r="MPP1" i="11"/>
  <c r="MPO1" i="11"/>
  <c r="MPN1" i="11"/>
  <c r="MPM1" i="11"/>
  <c r="MPL1" i="11"/>
  <c r="MPK1" i="11"/>
  <c r="MPJ1" i="11"/>
  <c r="MPI1" i="11"/>
  <c r="MPH1" i="11"/>
  <c r="MPG1" i="11"/>
  <c r="MPF1" i="11"/>
  <c r="MPE1" i="11"/>
  <c r="MPD1" i="11"/>
  <c r="MPC1" i="11"/>
  <c r="MPB1" i="11"/>
  <c r="MPA1" i="11"/>
  <c r="MOZ1" i="11"/>
  <c r="MOY1" i="11"/>
  <c r="MOX1" i="11"/>
  <c r="MOW1" i="11"/>
  <c r="MOV1" i="11"/>
  <c r="MOU1" i="11"/>
  <c r="MOT1" i="11"/>
  <c r="MOS1" i="11"/>
  <c r="MOR1" i="11"/>
  <c r="MOQ1" i="11"/>
  <c r="MOP1" i="11"/>
  <c r="MOO1" i="11"/>
  <c r="MON1" i="11"/>
  <c r="MOM1" i="11"/>
  <c r="MOL1" i="11"/>
  <c r="MOK1" i="11"/>
  <c r="MOJ1" i="11"/>
  <c r="MOI1" i="11"/>
  <c r="MOH1" i="11"/>
  <c r="MOG1" i="11"/>
  <c r="MOF1" i="11"/>
  <c r="MOE1" i="11"/>
  <c r="MOD1" i="11"/>
  <c r="MOC1" i="11"/>
  <c r="MOB1" i="11"/>
  <c r="MOA1" i="11"/>
  <c r="MNZ1" i="11"/>
  <c r="MNY1" i="11"/>
  <c r="MNX1" i="11"/>
  <c r="MNW1" i="11"/>
  <c r="MNV1" i="11"/>
  <c r="MNU1" i="11"/>
  <c r="MNT1" i="11"/>
  <c r="MNS1" i="11"/>
  <c r="MNR1" i="11"/>
  <c r="MNQ1" i="11"/>
  <c r="MNP1" i="11"/>
  <c r="MNO1" i="11"/>
  <c r="MNN1" i="11"/>
  <c r="MNM1" i="11"/>
  <c r="MNL1" i="11"/>
  <c r="MNK1" i="11"/>
  <c r="MNJ1" i="11"/>
  <c r="MNI1" i="11"/>
  <c r="MNH1" i="11"/>
  <c r="MNG1" i="11"/>
  <c r="MNF1" i="11"/>
  <c r="MNE1" i="11"/>
  <c r="MND1" i="11"/>
  <c r="MNC1" i="11"/>
  <c r="MNB1" i="11"/>
  <c r="MNA1" i="11"/>
  <c r="MMZ1" i="11"/>
  <c r="MMY1" i="11"/>
  <c r="MMX1" i="11"/>
  <c r="MMW1" i="11"/>
  <c r="MMV1" i="11"/>
  <c r="MMU1" i="11"/>
  <c r="MMT1" i="11"/>
  <c r="MMS1" i="11"/>
  <c r="MMR1" i="11"/>
  <c r="MMQ1" i="11"/>
  <c r="MMP1" i="11"/>
  <c r="MMO1" i="11"/>
  <c r="MMN1" i="11"/>
  <c r="MMM1" i="11"/>
  <c r="MML1" i="11"/>
  <c r="MMK1" i="11"/>
  <c r="MMJ1" i="11"/>
  <c r="MMI1" i="11"/>
  <c r="MMH1" i="11"/>
  <c r="MMG1" i="11"/>
  <c r="MMF1" i="11"/>
  <c r="MME1" i="11"/>
  <c r="MMD1" i="11"/>
  <c r="MMC1" i="11"/>
  <c r="MMB1" i="11"/>
  <c r="MMA1" i="11"/>
  <c r="MLZ1" i="11"/>
  <c r="MLY1" i="11"/>
  <c r="MLX1" i="11"/>
  <c r="MLW1" i="11"/>
  <c r="MLV1" i="11"/>
  <c r="MLU1" i="11"/>
  <c r="MLT1" i="11"/>
  <c r="MLS1" i="11"/>
  <c r="MLR1" i="11"/>
  <c r="MLQ1" i="11"/>
  <c r="MLP1" i="11"/>
  <c r="MLO1" i="11"/>
  <c r="MLN1" i="11"/>
  <c r="MLM1" i="11"/>
  <c r="MLL1" i="11"/>
  <c r="MLK1" i="11"/>
  <c r="MLJ1" i="11"/>
  <c r="MLI1" i="11"/>
  <c r="MLH1" i="11"/>
  <c r="MLG1" i="11"/>
  <c r="MLF1" i="11"/>
  <c r="MLE1" i="11"/>
  <c r="MLD1" i="11"/>
  <c r="MLC1" i="11"/>
  <c r="MLB1" i="11"/>
  <c r="MLA1" i="11"/>
  <c r="MKZ1" i="11"/>
  <c r="MKY1" i="11"/>
  <c r="MKX1" i="11"/>
  <c r="MKW1" i="11"/>
  <c r="MKV1" i="11"/>
  <c r="MKU1" i="11"/>
  <c r="MKT1" i="11"/>
  <c r="MKS1" i="11"/>
  <c r="MKR1" i="11"/>
  <c r="MKQ1" i="11"/>
  <c r="MKP1" i="11"/>
  <c r="MKO1" i="11"/>
  <c r="MKN1" i="11"/>
  <c r="MKM1" i="11"/>
  <c r="MKL1" i="11"/>
  <c r="MKK1" i="11"/>
  <c r="MKJ1" i="11"/>
  <c r="MKI1" i="11"/>
  <c r="MKH1" i="11"/>
  <c r="MKG1" i="11"/>
  <c r="MKF1" i="11"/>
  <c r="MKE1" i="11"/>
  <c r="MKD1" i="11"/>
  <c r="MKC1" i="11"/>
  <c r="MKB1" i="11"/>
  <c r="MKA1" i="11"/>
  <c r="MJZ1" i="11"/>
  <c r="MJY1" i="11"/>
  <c r="MJX1" i="11"/>
  <c r="MJW1" i="11"/>
  <c r="MJV1" i="11"/>
  <c r="MJU1" i="11"/>
  <c r="MJT1" i="11"/>
  <c r="MJS1" i="11"/>
  <c r="MJR1" i="11"/>
  <c r="MJQ1" i="11"/>
  <c r="MJP1" i="11"/>
  <c r="MJO1" i="11"/>
  <c r="MJN1" i="11"/>
  <c r="MJM1" i="11"/>
  <c r="MJL1" i="11"/>
  <c r="MJK1" i="11"/>
  <c r="MJJ1" i="11"/>
  <c r="MJI1" i="11"/>
  <c r="MJH1" i="11"/>
  <c r="MJG1" i="11"/>
  <c r="MJF1" i="11"/>
  <c r="MJE1" i="11"/>
  <c r="MJD1" i="11"/>
  <c r="MJC1" i="11"/>
  <c r="MJB1" i="11"/>
  <c r="MJA1" i="11"/>
  <c r="MIZ1" i="11"/>
  <c r="MIY1" i="11"/>
  <c r="MIX1" i="11"/>
  <c r="MIW1" i="11"/>
  <c r="MIV1" i="11"/>
  <c r="MIU1" i="11"/>
  <c r="MIT1" i="11"/>
  <c r="MIS1" i="11"/>
  <c r="MIR1" i="11"/>
  <c r="MIQ1" i="11"/>
  <c r="MIP1" i="11"/>
  <c r="MIO1" i="11"/>
  <c r="MIN1" i="11"/>
  <c r="MIM1" i="11"/>
  <c r="MIL1" i="11"/>
  <c r="MIK1" i="11"/>
  <c r="MIJ1" i="11"/>
  <c r="MII1" i="11"/>
  <c r="MIH1" i="11"/>
  <c r="MIG1" i="11"/>
  <c r="MIF1" i="11"/>
  <c r="MIE1" i="11"/>
  <c r="MID1" i="11"/>
  <c r="MIC1" i="11"/>
  <c r="MIB1" i="11"/>
  <c r="MIA1" i="11"/>
  <c r="MHZ1" i="11"/>
  <c r="MHY1" i="11"/>
  <c r="MHX1" i="11"/>
  <c r="MHW1" i="11"/>
  <c r="MHV1" i="11"/>
  <c r="MHU1" i="11"/>
  <c r="MHT1" i="11"/>
  <c r="MHS1" i="11"/>
  <c r="MHR1" i="11"/>
  <c r="MHQ1" i="11"/>
  <c r="MHP1" i="11"/>
  <c r="MHO1" i="11"/>
  <c r="MHN1" i="11"/>
  <c r="MHM1" i="11"/>
  <c r="MHL1" i="11"/>
  <c r="MHK1" i="11"/>
  <c r="MHJ1" i="11"/>
  <c r="MHI1" i="11"/>
  <c r="MHH1" i="11"/>
  <c r="MHG1" i="11"/>
  <c r="MHF1" i="11"/>
  <c r="MHE1" i="11"/>
  <c r="MHD1" i="11"/>
  <c r="MHC1" i="11"/>
  <c r="MHB1" i="11"/>
  <c r="MHA1" i="11"/>
  <c r="MGZ1" i="11"/>
  <c r="MGY1" i="11"/>
  <c r="MGX1" i="11"/>
  <c r="MGW1" i="11"/>
  <c r="MGV1" i="11"/>
  <c r="MGU1" i="11"/>
  <c r="MGT1" i="11"/>
  <c r="MGS1" i="11"/>
  <c r="MGR1" i="11"/>
  <c r="MGQ1" i="11"/>
  <c r="MGP1" i="11"/>
  <c r="MGO1" i="11"/>
  <c r="MGN1" i="11"/>
  <c r="MGM1" i="11"/>
  <c r="MGL1" i="11"/>
  <c r="MGK1" i="11"/>
  <c r="MGJ1" i="11"/>
  <c r="MGI1" i="11"/>
  <c r="MGH1" i="11"/>
  <c r="MGG1" i="11"/>
  <c r="MGF1" i="11"/>
  <c r="MGE1" i="11"/>
  <c r="MGD1" i="11"/>
  <c r="MGC1" i="11"/>
  <c r="MGB1" i="11"/>
  <c r="MGA1" i="11"/>
  <c r="MFZ1" i="11"/>
  <c r="MFY1" i="11"/>
  <c r="MFX1" i="11"/>
  <c r="MFW1" i="11"/>
  <c r="MFV1" i="11"/>
  <c r="MFU1" i="11"/>
  <c r="MFT1" i="11"/>
  <c r="MFS1" i="11"/>
  <c r="MFR1" i="11"/>
  <c r="MFQ1" i="11"/>
  <c r="MFP1" i="11"/>
  <c r="MFO1" i="11"/>
  <c r="MFN1" i="11"/>
  <c r="MFM1" i="11"/>
  <c r="MFL1" i="11"/>
  <c r="MFK1" i="11"/>
  <c r="MFJ1" i="11"/>
  <c r="MFI1" i="11"/>
  <c r="MFH1" i="11"/>
  <c r="MFG1" i="11"/>
  <c r="MFF1" i="11"/>
  <c r="MFE1" i="11"/>
  <c r="MFD1" i="11"/>
  <c r="MFC1" i="11"/>
  <c r="MFB1" i="11"/>
  <c r="MFA1" i="11"/>
  <c r="MEZ1" i="11"/>
  <c r="MEY1" i="11"/>
  <c r="MEX1" i="11"/>
  <c r="MEW1" i="11"/>
  <c r="MEV1" i="11"/>
  <c r="MEU1" i="11"/>
  <c r="MET1" i="11"/>
  <c r="MES1" i="11"/>
  <c r="MER1" i="11"/>
  <c r="MEQ1" i="11"/>
  <c r="MEP1" i="11"/>
  <c r="MEO1" i="11"/>
  <c r="MEN1" i="11"/>
  <c r="MEM1" i="11"/>
  <c r="MEL1" i="11"/>
  <c r="MEK1" i="11"/>
  <c r="MEJ1" i="11"/>
  <c r="MEI1" i="11"/>
  <c r="MEH1" i="11"/>
  <c r="MEG1" i="11"/>
  <c r="MEF1" i="11"/>
  <c r="MEE1" i="11"/>
  <c r="MED1" i="11"/>
  <c r="MEC1" i="11"/>
  <c r="MEB1" i="11"/>
  <c r="MEA1" i="11"/>
  <c r="MDZ1" i="11"/>
  <c r="MDY1" i="11"/>
  <c r="MDX1" i="11"/>
  <c r="MDW1" i="11"/>
  <c r="MDV1" i="11"/>
  <c r="MDU1" i="11"/>
  <c r="MDT1" i="11"/>
  <c r="MDS1" i="11"/>
  <c r="MDR1" i="11"/>
  <c r="MDQ1" i="11"/>
  <c r="MDP1" i="11"/>
  <c r="MDO1" i="11"/>
  <c r="MDN1" i="11"/>
  <c r="MDM1" i="11"/>
  <c r="MDL1" i="11"/>
  <c r="MDK1" i="11"/>
  <c r="MDJ1" i="11"/>
  <c r="MDI1" i="11"/>
  <c r="MDH1" i="11"/>
  <c r="MDG1" i="11"/>
  <c r="MDF1" i="11"/>
  <c r="MDE1" i="11"/>
  <c r="MDD1" i="11"/>
  <c r="MDC1" i="11"/>
  <c r="MDB1" i="11"/>
  <c r="MDA1" i="11"/>
  <c r="MCZ1" i="11"/>
  <c r="MCY1" i="11"/>
  <c r="MCX1" i="11"/>
  <c r="MCW1" i="11"/>
  <c r="MCV1" i="11"/>
  <c r="MCU1" i="11"/>
  <c r="MCT1" i="11"/>
  <c r="MCS1" i="11"/>
  <c r="MCR1" i="11"/>
  <c r="MCQ1" i="11"/>
  <c r="MCP1" i="11"/>
  <c r="MCO1" i="11"/>
  <c r="MCN1" i="11"/>
  <c r="MCM1" i="11"/>
  <c r="MCL1" i="11"/>
  <c r="MCK1" i="11"/>
  <c r="MCJ1" i="11"/>
  <c r="MCI1" i="11"/>
  <c r="MCH1" i="11"/>
  <c r="MCG1" i="11"/>
  <c r="MCF1" i="11"/>
  <c r="MCE1" i="11"/>
  <c r="MCD1" i="11"/>
  <c r="MCC1" i="11"/>
  <c r="MCB1" i="11"/>
  <c r="MCA1" i="11"/>
  <c r="MBZ1" i="11"/>
  <c r="MBY1" i="11"/>
  <c r="MBX1" i="11"/>
  <c r="MBW1" i="11"/>
  <c r="MBV1" i="11"/>
  <c r="MBU1" i="11"/>
  <c r="MBT1" i="11"/>
  <c r="MBS1" i="11"/>
  <c r="MBR1" i="11"/>
  <c r="MBQ1" i="11"/>
  <c r="MBP1" i="11"/>
  <c r="MBO1" i="11"/>
  <c r="MBN1" i="11"/>
  <c r="MBM1" i="11"/>
  <c r="MBL1" i="11"/>
  <c r="MBK1" i="11"/>
  <c r="MBJ1" i="11"/>
  <c r="MBI1" i="11"/>
  <c r="MBH1" i="11"/>
  <c r="MBG1" i="11"/>
  <c r="MBF1" i="11"/>
  <c r="MBE1" i="11"/>
  <c r="MBD1" i="11"/>
  <c r="MBC1" i="11"/>
  <c r="MBB1" i="11"/>
  <c r="MBA1" i="11"/>
  <c r="MAZ1" i="11"/>
  <c r="MAY1" i="11"/>
  <c r="MAX1" i="11"/>
  <c r="MAW1" i="11"/>
  <c r="MAV1" i="11"/>
  <c r="MAU1" i="11"/>
  <c r="MAT1" i="11"/>
  <c r="MAS1" i="11"/>
  <c r="MAR1" i="11"/>
  <c r="MAQ1" i="11"/>
  <c r="MAP1" i="11"/>
  <c r="MAO1" i="11"/>
  <c r="MAN1" i="11"/>
  <c r="MAM1" i="11"/>
  <c r="MAL1" i="11"/>
  <c r="MAK1" i="11"/>
  <c r="MAJ1" i="11"/>
  <c r="MAI1" i="11"/>
  <c r="MAH1" i="11"/>
  <c r="MAG1" i="11"/>
  <c r="MAF1" i="11"/>
  <c r="MAE1" i="11"/>
  <c r="MAD1" i="11"/>
  <c r="MAC1" i="11"/>
  <c r="MAB1" i="11"/>
  <c r="MAA1" i="11"/>
  <c r="LZZ1" i="11"/>
  <c r="LZY1" i="11"/>
  <c r="LZX1" i="11"/>
  <c r="LZW1" i="11"/>
  <c r="LZV1" i="11"/>
  <c r="LZU1" i="11"/>
  <c r="LZT1" i="11"/>
  <c r="LZS1" i="11"/>
  <c r="LZR1" i="11"/>
  <c r="LZQ1" i="11"/>
  <c r="LZP1" i="11"/>
  <c r="LZO1" i="11"/>
  <c r="LZN1" i="11"/>
  <c r="LZM1" i="11"/>
  <c r="LZL1" i="11"/>
  <c r="LZK1" i="11"/>
  <c r="LZJ1" i="11"/>
  <c r="LZI1" i="11"/>
  <c r="LZH1" i="11"/>
  <c r="LZG1" i="11"/>
  <c r="LZF1" i="11"/>
  <c r="LZE1" i="11"/>
  <c r="LZD1" i="11"/>
  <c r="LZC1" i="11"/>
  <c r="LZB1" i="11"/>
  <c r="LZA1" i="11"/>
  <c r="LYZ1" i="11"/>
  <c r="LYY1" i="11"/>
  <c r="LYX1" i="11"/>
  <c r="LYW1" i="11"/>
  <c r="LYV1" i="11"/>
  <c r="LYU1" i="11"/>
  <c r="LYT1" i="11"/>
  <c r="LYS1" i="11"/>
  <c r="LYR1" i="11"/>
  <c r="LYQ1" i="11"/>
  <c r="LYP1" i="11"/>
  <c r="LYO1" i="11"/>
  <c r="LYN1" i="11"/>
  <c r="LYM1" i="11"/>
  <c r="LYL1" i="11"/>
  <c r="LYK1" i="11"/>
  <c r="LYJ1" i="11"/>
  <c r="LYI1" i="11"/>
  <c r="LYH1" i="11"/>
  <c r="LYG1" i="11"/>
  <c r="LYF1" i="11"/>
  <c r="LYE1" i="11"/>
  <c r="LYD1" i="11"/>
  <c r="LYC1" i="11"/>
  <c r="LYB1" i="11"/>
  <c r="LYA1" i="11"/>
  <c r="LXZ1" i="11"/>
  <c r="LXY1" i="11"/>
  <c r="LXX1" i="11"/>
  <c r="LXW1" i="11"/>
  <c r="LXV1" i="11"/>
  <c r="LXU1" i="11"/>
  <c r="LXT1" i="11"/>
  <c r="LXS1" i="11"/>
  <c r="LXR1" i="11"/>
  <c r="LXQ1" i="11"/>
  <c r="LXP1" i="11"/>
  <c r="LXO1" i="11"/>
  <c r="LXN1" i="11"/>
  <c r="LXM1" i="11"/>
  <c r="LXL1" i="11"/>
  <c r="LXK1" i="11"/>
  <c r="LXJ1" i="11"/>
  <c r="LXI1" i="11"/>
  <c r="LXH1" i="11"/>
  <c r="LXG1" i="11"/>
  <c r="LXF1" i="11"/>
  <c r="LXE1" i="11"/>
  <c r="LXD1" i="11"/>
  <c r="LXC1" i="11"/>
  <c r="LXB1" i="11"/>
  <c r="LXA1" i="11"/>
  <c r="LWZ1" i="11"/>
  <c r="LWY1" i="11"/>
  <c r="LWX1" i="11"/>
  <c r="LWW1" i="11"/>
  <c r="LWV1" i="11"/>
  <c r="LWU1" i="11"/>
  <c r="LWT1" i="11"/>
  <c r="LWS1" i="11"/>
  <c r="LWR1" i="11"/>
  <c r="LWQ1" i="11"/>
  <c r="LWP1" i="11"/>
  <c r="LWO1" i="11"/>
  <c r="LWN1" i="11"/>
  <c r="LWM1" i="11"/>
  <c r="LWL1" i="11"/>
  <c r="LWK1" i="11"/>
  <c r="LWJ1" i="11"/>
  <c r="LWI1" i="11"/>
  <c r="LWH1" i="11"/>
  <c r="LWG1" i="11"/>
  <c r="LWF1" i="11"/>
  <c r="LWE1" i="11"/>
  <c r="LWD1" i="11"/>
  <c r="LWC1" i="11"/>
  <c r="LWB1" i="11"/>
  <c r="LWA1" i="11"/>
  <c r="LVZ1" i="11"/>
  <c r="LVY1" i="11"/>
  <c r="LVX1" i="11"/>
  <c r="LVW1" i="11"/>
  <c r="LVV1" i="11"/>
  <c r="LVU1" i="11"/>
  <c r="LVT1" i="11"/>
  <c r="LVS1" i="11"/>
  <c r="LVR1" i="11"/>
  <c r="LVQ1" i="11"/>
  <c r="LVP1" i="11"/>
  <c r="LVO1" i="11"/>
  <c r="LVN1" i="11"/>
  <c r="LVM1" i="11"/>
  <c r="LVL1" i="11"/>
  <c r="LVK1" i="11"/>
  <c r="LVJ1" i="11"/>
  <c r="LVI1" i="11"/>
  <c r="LVH1" i="11"/>
  <c r="LVG1" i="11"/>
  <c r="LVF1" i="11"/>
  <c r="LVE1" i="11"/>
  <c r="LVD1" i="11"/>
  <c r="LVC1" i="11"/>
  <c r="LVB1" i="11"/>
  <c r="LVA1" i="11"/>
  <c r="LUZ1" i="11"/>
  <c r="LUY1" i="11"/>
  <c r="LUX1" i="11"/>
  <c r="LUW1" i="11"/>
  <c r="LUV1" i="11"/>
  <c r="LUU1" i="11"/>
  <c r="LUT1" i="11"/>
  <c r="LUS1" i="11"/>
  <c r="LUR1" i="11"/>
  <c r="LUQ1" i="11"/>
  <c r="LUP1" i="11"/>
  <c r="LUO1" i="11"/>
  <c r="LUN1" i="11"/>
  <c r="LUM1" i="11"/>
  <c r="LUL1" i="11"/>
  <c r="LUK1" i="11"/>
  <c r="LUJ1" i="11"/>
  <c r="LUI1" i="11"/>
  <c r="LUH1" i="11"/>
  <c r="LUG1" i="11"/>
  <c r="LUF1" i="11"/>
  <c r="LUE1" i="11"/>
  <c r="LUD1" i="11"/>
  <c r="LUC1" i="11"/>
  <c r="LUB1" i="11"/>
  <c r="LUA1" i="11"/>
  <c r="LTZ1" i="11"/>
  <c r="LTY1" i="11"/>
  <c r="LTX1" i="11"/>
  <c r="LTW1" i="11"/>
  <c r="LTV1" i="11"/>
  <c r="LTU1" i="11"/>
  <c r="LTT1" i="11"/>
  <c r="LTS1" i="11"/>
  <c r="LTR1" i="11"/>
  <c r="LTQ1" i="11"/>
  <c r="LTP1" i="11"/>
  <c r="LTO1" i="11"/>
  <c r="LTN1" i="11"/>
  <c r="LTM1" i="11"/>
  <c r="LTL1" i="11"/>
  <c r="LTK1" i="11"/>
  <c r="LTJ1" i="11"/>
  <c r="LTI1" i="11"/>
  <c r="LTH1" i="11"/>
  <c r="LTG1" i="11"/>
  <c r="LTF1" i="11"/>
  <c r="LTE1" i="11"/>
  <c r="LTD1" i="11"/>
  <c r="LTC1" i="11"/>
  <c r="LTB1" i="11"/>
  <c r="LTA1" i="11"/>
  <c r="LSZ1" i="11"/>
  <c r="LSY1" i="11"/>
  <c r="LSX1" i="11"/>
  <c r="LSW1" i="11"/>
  <c r="LSV1" i="11"/>
  <c r="LSU1" i="11"/>
  <c r="LST1" i="11"/>
  <c r="LSS1" i="11"/>
  <c r="LSR1" i="11"/>
  <c r="LSQ1" i="11"/>
  <c r="LSP1" i="11"/>
  <c r="LSO1" i="11"/>
  <c r="LSN1" i="11"/>
  <c r="LSM1" i="11"/>
  <c r="LSL1" i="11"/>
  <c r="LSK1" i="11"/>
  <c r="LSJ1" i="11"/>
  <c r="LSI1" i="11"/>
  <c r="LSH1" i="11"/>
  <c r="LSG1" i="11"/>
  <c r="LSF1" i="11"/>
  <c r="LSE1" i="11"/>
  <c r="LSD1" i="11"/>
  <c r="LSC1" i="11"/>
  <c r="LSB1" i="11"/>
  <c r="LSA1" i="11"/>
  <c r="LRZ1" i="11"/>
  <c r="LRY1" i="11"/>
  <c r="LRX1" i="11"/>
  <c r="LRW1" i="11"/>
  <c r="LRV1" i="11"/>
  <c r="LRU1" i="11"/>
  <c r="LRT1" i="11"/>
  <c r="LRS1" i="11"/>
  <c r="LRR1" i="11"/>
  <c r="LRQ1" i="11"/>
  <c r="LRP1" i="11"/>
  <c r="LRO1" i="11"/>
  <c r="LRN1" i="11"/>
  <c r="LRM1" i="11"/>
  <c r="LRL1" i="11"/>
  <c r="LRK1" i="11"/>
  <c r="LRJ1" i="11"/>
  <c r="LRI1" i="11"/>
  <c r="LRH1" i="11"/>
  <c r="LRG1" i="11"/>
  <c r="LRF1" i="11"/>
  <c r="LRE1" i="11"/>
  <c r="LRD1" i="11"/>
  <c r="LRC1" i="11"/>
  <c r="LRB1" i="11"/>
  <c r="LRA1" i="11"/>
  <c r="LQZ1" i="11"/>
  <c r="LQY1" i="11"/>
  <c r="LQX1" i="11"/>
  <c r="LQW1" i="11"/>
  <c r="LQV1" i="11"/>
  <c r="LQU1" i="11"/>
  <c r="LQT1" i="11"/>
  <c r="LQS1" i="11"/>
  <c r="LQR1" i="11"/>
  <c r="LQQ1" i="11"/>
  <c r="LQP1" i="11"/>
  <c r="LQO1" i="11"/>
  <c r="LQN1" i="11"/>
  <c r="LQM1" i="11"/>
  <c r="LQL1" i="11"/>
  <c r="LQK1" i="11"/>
  <c r="LQJ1" i="11"/>
  <c r="LQI1" i="11"/>
  <c r="LQH1" i="11"/>
  <c r="LQG1" i="11"/>
  <c r="LQF1" i="11"/>
  <c r="LQE1" i="11"/>
  <c r="LQD1" i="11"/>
  <c r="LQC1" i="11"/>
  <c r="LQB1" i="11"/>
  <c r="LQA1" i="11"/>
  <c r="LPZ1" i="11"/>
  <c r="LPY1" i="11"/>
  <c r="LPX1" i="11"/>
  <c r="LPW1" i="11"/>
  <c r="LPV1" i="11"/>
  <c r="LPU1" i="11"/>
  <c r="LPT1" i="11"/>
  <c r="LPS1" i="11"/>
  <c r="LPR1" i="11"/>
  <c r="LPQ1" i="11"/>
  <c r="LPP1" i="11"/>
  <c r="LPO1" i="11"/>
  <c r="LPN1" i="11"/>
  <c r="LPM1" i="11"/>
  <c r="LPL1" i="11"/>
  <c r="LPK1" i="11"/>
  <c r="LPJ1" i="11"/>
  <c r="LPI1" i="11"/>
  <c r="LPH1" i="11"/>
  <c r="LPG1" i="11"/>
  <c r="LPF1" i="11"/>
  <c r="LPE1" i="11"/>
  <c r="LPD1" i="11"/>
  <c r="LPC1" i="11"/>
  <c r="LPB1" i="11"/>
  <c r="LPA1" i="11"/>
  <c r="LOZ1" i="11"/>
  <c r="LOY1" i="11"/>
  <c r="LOX1" i="11"/>
  <c r="LOW1" i="11"/>
  <c r="LOV1" i="11"/>
  <c r="LOU1" i="11"/>
  <c r="LOT1" i="11"/>
  <c r="LOS1" i="11"/>
  <c r="LOR1" i="11"/>
  <c r="LOQ1" i="11"/>
  <c r="LOP1" i="11"/>
  <c r="LOO1" i="11"/>
  <c r="LON1" i="11"/>
  <c r="LOM1" i="11"/>
  <c r="LOL1" i="11"/>
  <c r="LOK1" i="11"/>
  <c r="LOJ1" i="11"/>
  <c r="LOI1" i="11"/>
  <c r="LOH1" i="11"/>
  <c r="LOG1" i="11"/>
  <c r="LOF1" i="11"/>
  <c r="LOE1" i="11"/>
  <c r="LOD1" i="11"/>
  <c r="LOC1" i="11"/>
  <c r="LOB1" i="11"/>
  <c r="LOA1" i="11"/>
  <c r="LNZ1" i="11"/>
  <c r="LNY1" i="11"/>
  <c r="LNX1" i="11"/>
  <c r="LNW1" i="11"/>
  <c r="LNV1" i="11"/>
  <c r="LNU1" i="11"/>
  <c r="LNT1" i="11"/>
  <c r="LNS1" i="11"/>
  <c r="LNR1" i="11"/>
  <c r="LNQ1" i="11"/>
  <c r="LNP1" i="11"/>
  <c r="LNO1" i="11"/>
  <c r="LNN1" i="11"/>
  <c r="LNM1" i="11"/>
  <c r="LNL1" i="11"/>
  <c r="LNK1" i="11"/>
  <c r="LNJ1" i="11"/>
  <c r="LNI1" i="11"/>
  <c r="LNH1" i="11"/>
  <c r="LNG1" i="11"/>
  <c r="LNF1" i="11"/>
  <c r="LNE1" i="11"/>
  <c r="LND1" i="11"/>
  <c r="LNC1" i="11"/>
  <c r="LNB1" i="11"/>
  <c r="LNA1" i="11"/>
  <c r="LMZ1" i="11"/>
  <c r="LMY1" i="11"/>
  <c r="LMX1" i="11"/>
  <c r="LMW1" i="11"/>
  <c r="LMV1" i="11"/>
  <c r="LMU1" i="11"/>
  <c r="LMT1" i="11"/>
  <c r="LMS1" i="11"/>
  <c r="LMR1" i="11"/>
  <c r="LMQ1" i="11"/>
  <c r="LMP1" i="11"/>
  <c r="LMO1" i="11"/>
  <c r="LMN1" i="11"/>
  <c r="LMM1" i="11"/>
  <c r="LML1" i="11"/>
  <c r="LMK1" i="11"/>
  <c r="LMJ1" i="11"/>
  <c r="LMI1" i="11"/>
  <c r="LMH1" i="11"/>
  <c r="LMG1" i="11"/>
  <c r="LMF1" i="11"/>
  <c r="LME1" i="11"/>
  <c r="LMD1" i="11"/>
  <c r="LMC1" i="11"/>
  <c r="LMB1" i="11"/>
  <c r="LMA1" i="11"/>
  <c r="LLZ1" i="11"/>
  <c r="LLY1" i="11"/>
  <c r="LLX1" i="11"/>
  <c r="LLW1" i="11"/>
  <c r="LLV1" i="11"/>
  <c r="LLU1" i="11"/>
  <c r="LLT1" i="11"/>
  <c r="LLS1" i="11"/>
  <c r="LLR1" i="11"/>
  <c r="LLQ1" i="11"/>
  <c r="LLP1" i="11"/>
  <c r="LLO1" i="11"/>
  <c r="LLN1" i="11"/>
  <c r="LLM1" i="11"/>
  <c r="LLL1" i="11"/>
  <c r="LLK1" i="11"/>
  <c r="LLJ1" i="11"/>
  <c r="LLI1" i="11"/>
  <c r="LLH1" i="11"/>
  <c r="LLG1" i="11"/>
  <c r="LLF1" i="11"/>
  <c r="LLE1" i="11"/>
  <c r="LLD1" i="11"/>
  <c r="LLC1" i="11"/>
  <c r="LLB1" i="11"/>
  <c r="LLA1" i="11"/>
  <c r="LKZ1" i="11"/>
  <c r="LKY1" i="11"/>
  <c r="LKX1" i="11"/>
  <c r="LKW1" i="11"/>
  <c r="LKV1" i="11"/>
  <c r="LKU1" i="11"/>
  <c r="LKT1" i="11"/>
  <c r="LKS1" i="11"/>
  <c r="LKR1" i="11"/>
  <c r="LKQ1" i="11"/>
  <c r="LKP1" i="11"/>
  <c r="LKO1" i="11"/>
  <c r="LKN1" i="11"/>
  <c r="LKM1" i="11"/>
  <c r="LKL1" i="11"/>
  <c r="LKK1" i="11"/>
  <c r="LKJ1" i="11"/>
  <c r="LKI1" i="11"/>
  <c r="LKH1" i="11"/>
  <c r="LKG1" i="11"/>
  <c r="LKF1" i="11"/>
  <c r="LKE1" i="11"/>
  <c r="LKD1" i="11"/>
  <c r="LKC1" i="11"/>
  <c r="LKB1" i="11"/>
  <c r="LKA1" i="11"/>
  <c r="LJZ1" i="11"/>
  <c r="LJY1" i="11"/>
  <c r="LJX1" i="11"/>
  <c r="LJW1" i="11"/>
  <c r="LJV1" i="11"/>
  <c r="LJU1" i="11"/>
  <c r="LJT1" i="11"/>
  <c r="LJS1" i="11"/>
  <c r="LJR1" i="11"/>
  <c r="LJQ1" i="11"/>
  <c r="LJP1" i="11"/>
  <c r="LJO1" i="11"/>
  <c r="LJN1" i="11"/>
  <c r="LJM1" i="11"/>
  <c r="LJL1" i="11"/>
  <c r="LJK1" i="11"/>
  <c r="LJJ1" i="11"/>
  <c r="LJI1" i="11"/>
  <c r="LJH1" i="11"/>
  <c r="LJG1" i="11"/>
  <c r="LJF1" i="11"/>
  <c r="LJE1" i="11"/>
  <c r="LJD1" i="11"/>
  <c r="LJC1" i="11"/>
  <c r="LJB1" i="11"/>
  <c r="LJA1" i="11"/>
  <c r="LIZ1" i="11"/>
  <c r="LIY1" i="11"/>
  <c r="LIX1" i="11"/>
  <c r="LIW1" i="11"/>
  <c r="LIV1" i="11"/>
  <c r="LIU1" i="11"/>
  <c r="LIT1" i="11"/>
  <c r="LIS1" i="11"/>
  <c r="LIR1" i="11"/>
  <c r="LIQ1" i="11"/>
  <c r="LIP1" i="11"/>
  <c r="LIO1" i="11"/>
  <c r="LIN1" i="11"/>
  <c r="LIM1" i="11"/>
  <c r="LIL1" i="11"/>
  <c r="LIK1" i="11"/>
  <c r="LIJ1" i="11"/>
  <c r="LII1" i="11"/>
  <c r="LIH1" i="11"/>
  <c r="LIG1" i="11"/>
  <c r="LIF1" i="11"/>
  <c r="LIE1" i="11"/>
  <c r="LID1" i="11"/>
  <c r="LIC1" i="11"/>
  <c r="LIB1" i="11"/>
  <c r="LIA1" i="11"/>
  <c r="LHZ1" i="11"/>
  <c r="LHY1" i="11"/>
  <c r="LHX1" i="11"/>
  <c r="LHW1" i="11"/>
  <c r="LHV1" i="11"/>
  <c r="LHU1" i="11"/>
  <c r="LHT1" i="11"/>
  <c r="LHS1" i="11"/>
  <c r="LHR1" i="11"/>
  <c r="LHQ1" i="11"/>
  <c r="LHP1" i="11"/>
  <c r="LHO1" i="11"/>
  <c r="LHN1" i="11"/>
  <c r="LHM1" i="11"/>
  <c r="LHL1" i="11"/>
  <c r="LHK1" i="11"/>
  <c r="LHJ1" i="11"/>
  <c r="LHI1" i="11"/>
  <c r="LHH1" i="11"/>
  <c r="LHG1" i="11"/>
  <c r="LHF1" i="11"/>
  <c r="LHE1" i="11"/>
  <c r="LHD1" i="11"/>
  <c r="LHC1" i="11"/>
  <c r="LHB1" i="11"/>
  <c r="LHA1" i="11"/>
  <c r="LGZ1" i="11"/>
  <c r="LGY1" i="11"/>
  <c r="LGX1" i="11"/>
  <c r="LGW1" i="11"/>
  <c r="LGV1" i="11"/>
  <c r="LGU1" i="11"/>
  <c r="LGT1" i="11"/>
  <c r="LGS1" i="11"/>
  <c r="LGR1" i="11"/>
  <c r="LGQ1" i="11"/>
  <c r="LGP1" i="11"/>
  <c r="LGO1" i="11"/>
  <c r="LGN1" i="11"/>
  <c r="LGM1" i="11"/>
  <c r="LGL1" i="11"/>
  <c r="LGK1" i="11"/>
  <c r="LGJ1" i="11"/>
  <c r="LGI1" i="11"/>
  <c r="LGH1" i="11"/>
  <c r="LGG1" i="11"/>
  <c r="LGF1" i="11"/>
  <c r="LGE1" i="11"/>
  <c r="LGD1" i="11"/>
  <c r="LGC1" i="11"/>
  <c r="LGB1" i="11"/>
  <c r="LGA1" i="11"/>
  <c r="LFZ1" i="11"/>
  <c r="LFY1" i="11"/>
  <c r="LFX1" i="11"/>
  <c r="LFW1" i="11"/>
  <c r="LFV1" i="11"/>
  <c r="LFU1" i="11"/>
  <c r="LFT1" i="11"/>
  <c r="LFS1" i="11"/>
  <c r="LFR1" i="11"/>
  <c r="LFQ1" i="11"/>
  <c r="LFP1" i="11"/>
  <c r="LFO1" i="11"/>
  <c r="LFN1" i="11"/>
  <c r="LFM1" i="11"/>
  <c r="LFL1" i="11"/>
  <c r="LFK1" i="11"/>
  <c r="LFJ1" i="11"/>
  <c r="LFI1" i="11"/>
  <c r="LFH1" i="11"/>
  <c r="LFG1" i="11"/>
  <c r="LFF1" i="11"/>
  <c r="LFE1" i="11"/>
  <c r="LFD1" i="11"/>
  <c r="LFC1" i="11"/>
  <c r="LFB1" i="11"/>
  <c r="LFA1" i="11"/>
  <c r="LEZ1" i="11"/>
  <c r="LEY1" i="11"/>
  <c r="LEX1" i="11"/>
  <c r="LEW1" i="11"/>
  <c r="LEV1" i="11"/>
  <c r="LEU1" i="11"/>
  <c r="LET1" i="11"/>
  <c r="LES1" i="11"/>
  <c r="LER1" i="11"/>
  <c r="LEQ1" i="11"/>
  <c r="LEP1" i="11"/>
  <c r="LEO1" i="11"/>
  <c r="LEN1" i="11"/>
  <c r="LEM1" i="11"/>
  <c r="LEL1" i="11"/>
  <c r="LEK1" i="11"/>
  <c r="LEJ1" i="11"/>
  <c r="LEI1" i="11"/>
  <c r="LEH1" i="11"/>
  <c r="LEG1" i="11"/>
  <c r="LEF1" i="11"/>
  <c r="LEE1" i="11"/>
  <c r="LED1" i="11"/>
  <c r="LEC1" i="11"/>
  <c r="LEB1" i="11"/>
  <c r="LEA1" i="11"/>
  <c r="LDZ1" i="11"/>
  <c r="LDY1" i="11"/>
  <c r="LDX1" i="11"/>
  <c r="LDW1" i="11"/>
  <c r="LDV1" i="11"/>
  <c r="LDU1" i="11"/>
  <c r="LDT1" i="11"/>
  <c r="LDS1" i="11"/>
  <c r="LDR1" i="11"/>
  <c r="LDQ1" i="11"/>
  <c r="LDP1" i="11"/>
  <c r="LDO1" i="11"/>
  <c r="LDN1" i="11"/>
  <c r="LDM1" i="11"/>
  <c r="LDL1" i="11"/>
  <c r="LDK1" i="11"/>
  <c r="LDJ1" i="11"/>
  <c r="LDI1" i="11"/>
  <c r="LDH1" i="11"/>
  <c r="LDG1" i="11"/>
  <c r="LDF1" i="11"/>
  <c r="LDE1" i="11"/>
  <c r="LDD1" i="11"/>
  <c r="LDC1" i="11"/>
  <c r="LDB1" i="11"/>
  <c r="LDA1" i="11"/>
  <c r="LCZ1" i="11"/>
  <c r="LCY1" i="11"/>
  <c r="LCX1" i="11"/>
  <c r="LCW1" i="11"/>
  <c r="LCV1" i="11"/>
  <c r="LCU1" i="11"/>
  <c r="LCT1" i="11"/>
  <c r="LCS1" i="11"/>
  <c r="LCR1" i="11"/>
  <c r="LCQ1" i="11"/>
  <c r="LCP1" i="11"/>
  <c r="LCO1" i="11"/>
  <c r="LCN1" i="11"/>
  <c r="LCM1" i="11"/>
  <c r="LCL1" i="11"/>
  <c r="LCK1" i="11"/>
  <c r="LCJ1" i="11"/>
  <c r="LCI1" i="11"/>
  <c r="LCH1" i="11"/>
  <c r="LCG1" i="11"/>
  <c r="LCF1" i="11"/>
  <c r="LCE1" i="11"/>
  <c r="LCD1" i="11"/>
  <c r="LCC1" i="11"/>
  <c r="LCB1" i="11"/>
  <c r="LCA1" i="11"/>
  <c r="LBZ1" i="11"/>
  <c r="LBY1" i="11"/>
  <c r="LBX1" i="11"/>
  <c r="LBW1" i="11"/>
  <c r="LBV1" i="11"/>
  <c r="LBU1" i="11"/>
  <c r="LBT1" i="11"/>
  <c r="LBS1" i="11"/>
  <c r="LBR1" i="11"/>
  <c r="LBQ1" i="11"/>
  <c r="LBP1" i="11"/>
  <c r="LBO1" i="11"/>
  <c r="LBN1" i="11"/>
  <c r="LBM1" i="11"/>
  <c r="LBL1" i="11"/>
  <c r="LBK1" i="11"/>
  <c r="LBJ1" i="11"/>
  <c r="LBI1" i="11"/>
  <c r="LBH1" i="11"/>
  <c r="LBG1" i="11"/>
  <c r="LBF1" i="11"/>
  <c r="LBE1" i="11"/>
  <c r="LBD1" i="11"/>
  <c r="LBC1" i="11"/>
  <c r="LBB1" i="11"/>
  <c r="LBA1" i="11"/>
  <c r="LAZ1" i="11"/>
  <c r="LAY1" i="11"/>
  <c r="LAX1" i="11"/>
  <c r="LAW1" i="11"/>
  <c r="LAV1" i="11"/>
  <c r="LAU1" i="11"/>
  <c r="LAT1" i="11"/>
  <c r="LAS1" i="11"/>
  <c r="LAR1" i="11"/>
  <c r="LAQ1" i="11"/>
  <c r="LAP1" i="11"/>
  <c r="LAO1" i="11"/>
  <c r="LAN1" i="11"/>
  <c r="LAM1" i="11"/>
  <c r="LAL1" i="11"/>
  <c r="LAK1" i="11"/>
  <c r="LAJ1" i="11"/>
  <c r="LAI1" i="11"/>
  <c r="LAH1" i="11"/>
  <c r="LAG1" i="11"/>
  <c r="LAF1" i="11"/>
  <c r="LAE1" i="11"/>
  <c r="LAD1" i="11"/>
  <c r="LAC1" i="11"/>
  <c r="LAB1" i="11"/>
  <c r="LAA1" i="11"/>
  <c r="KZZ1" i="11"/>
  <c r="KZY1" i="11"/>
  <c r="KZX1" i="11"/>
  <c r="KZW1" i="11"/>
  <c r="KZV1" i="11"/>
  <c r="KZU1" i="11"/>
  <c r="KZT1" i="11"/>
  <c r="KZS1" i="11"/>
  <c r="KZR1" i="11"/>
  <c r="KZQ1" i="11"/>
  <c r="KZP1" i="11"/>
  <c r="KZO1" i="11"/>
  <c r="KZN1" i="11"/>
  <c r="KZM1" i="11"/>
  <c r="KZL1" i="11"/>
  <c r="KZK1" i="11"/>
  <c r="KZJ1" i="11"/>
  <c r="KZI1" i="11"/>
  <c r="KZH1" i="11"/>
  <c r="KZG1" i="11"/>
  <c r="KZF1" i="11"/>
  <c r="KZE1" i="11"/>
  <c r="KZD1" i="11"/>
  <c r="KZC1" i="11"/>
  <c r="KZB1" i="11"/>
  <c r="KZA1" i="11"/>
  <c r="KYZ1" i="11"/>
  <c r="KYY1" i="11"/>
  <c r="KYX1" i="11"/>
  <c r="KYW1" i="11"/>
  <c r="KYV1" i="11"/>
  <c r="KYU1" i="11"/>
  <c r="KYT1" i="11"/>
  <c r="KYS1" i="11"/>
  <c r="KYR1" i="11"/>
  <c r="KYQ1" i="11"/>
  <c r="KYP1" i="11"/>
  <c r="KYO1" i="11"/>
  <c r="KYN1" i="11"/>
  <c r="KYM1" i="11"/>
  <c r="KYL1" i="11"/>
  <c r="KYK1" i="11"/>
  <c r="KYJ1" i="11"/>
  <c r="KYI1" i="11"/>
  <c r="KYH1" i="11"/>
  <c r="KYG1" i="11"/>
  <c r="KYF1" i="11"/>
  <c r="KYE1" i="11"/>
  <c r="KYD1" i="11"/>
  <c r="KYC1" i="11"/>
  <c r="KYB1" i="11"/>
  <c r="KYA1" i="11"/>
  <c r="KXZ1" i="11"/>
  <c r="KXY1" i="11"/>
  <c r="KXX1" i="11"/>
  <c r="KXW1" i="11"/>
  <c r="KXV1" i="11"/>
  <c r="KXU1" i="11"/>
  <c r="KXT1" i="11"/>
  <c r="KXS1" i="11"/>
  <c r="KXR1" i="11"/>
  <c r="KXQ1" i="11"/>
  <c r="KXP1" i="11"/>
  <c r="KXO1" i="11"/>
  <c r="KXN1" i="11"/>
  <c r="KXM1" i="11"/>
  <c r="KXL1" i="11"/>
  <c r="KXK1" i="11"/>
  <c r="KXJ1" i="11"/>
  <c r="KXI1" i="11"/>
  <c r="KXH1" i="11"/>
  <c r="KXG1" i="11"/>
  <c r="KXF1" i="11"/>
  <c r="KXE1" i="11"/>
  <c r="KXD1" i="11"/>
  <c r="KXC1" i="11"/>
  <c r="KXB1" i="11"/>
  <c r="KXA1" i="11"/>
  <c r="KWZ1" i="11"/>
  <c r="KWY1" i="11"/>
  <c r="KWX1" i="11"/>
  <c r="KWW1" i="11"/>
  <c r="KWV1" i="11"/>
  <c r="KWU1" i="11"/>
  <c r="KWT1" i="11"/>
  <c r="KWS1" i="11"/>
  <c r="KWR1" i="11"/>
  <c r="KWQ1" i="11"/>
  <c r="KWP1" i="11"/>
  <c r="KWO1" i="11"/>
  <c r="KWN1" i="11"/>
  <c r="KWM1" i="11"/>
  <c r="KWL1" i="11"/>
  <c r="KWK1" i="11"/>
  <c r="KWJ1" i="11"/>
  <c r="KWI1" i="11"/>
  <c r="KWH1" i="11"/>
  <c r="KWG1" i="11"/>
  <c r="KWF1" i="11"/>
  <c r="KWE1" i="11"/>
  <c r="KWD1" i="11"/>
  <c r="KWC1" i="11"/>
  <c r="KWB1" i="11"/>
  <c r="KWA1" i="11"/>
  <c r="KVZ1" i="11"/>
  <c r="KVY1" i="11"/>
  <c r="KVX1" i="11"/>
  <c r="KVW1" i="11"/>
  <c r="KVV1" i="11"/>
  <c r="KVU1" i="11"/>
  <c r="KVT1" i="11"/>
  <c r="KVS1" i="11"/>
  <c r="KVR1" i="11"/>
  <c r="KVQ1" i="11"/>
  <c r="KVP1" i="11"/>
  <c r="KVO1" i="11"/>
  <c r="KVN1" i="11"/>
  <c r="KVM1" i="11"/>
  <c r="KVL1" i="11"/>
  <c r="KVK1" i="11"/>
  <c r="KVJ1" i="11"/>
  <c r="KVI1" i="11"/>
  <c r="KVH1" i="11"/>
  <c r="KVG1" i="11"/>
  <c r="KVF1" i="11"/>
  <c r="KVE1" i="11"/>
  <c r="KVD1" i="11"/>
  <c r="KVC1" i="11"/>
  <c r="KVB1" i="11"/>
  <c r="KVA1" i="11"/>
  <c r="KUZ1" i="11"/>
  <c r="KUY1" i="11"/>
  <c r="KUX1" i="11"/>
  <c r="KUW1" i="11"/>
  <c r="KUV1" i="11"/>
  <c r="KUU1" i="11"/>
  <c r="KUT1" i="11"/>
  <c r="KUS1" i="11"/>
  <c r="KUR1" i="11"/>
  <c r="KUQ1" i="11"/>
  <c r="KUP1" i="11"/>
  <c r="KUO1" i="11"/>
  <c r="KUN1" i="11"/>
  <c r="KUM1" i="11"/>
  <c r="KUL1" i="11"/>
  <c r="KUK1" i="11"/>
  <c r="KUJ1" i="11"/>
  <c r="KUI1" i="11"/>
  <c r="KUH1" i="11"/>
  <c r="KUG1" i="11"/>
  <c r="KUF1" i="11"/>
  <c r="KUE1" i="11"/>
  <c r="KUD1" i="11"/>
  <c r="KUC1" i="11"/>
  <c r="KUB1" i="11"/>
  <c r="KUA1" i="11"/>
  <c r="KTZ1" i="11"/>
  <c r="KTY1" i="11"/>
  <c r="KTX1" i="11"/>
  <c r="KTW1" i="11"/>
  <c r="KTV1" i="11"/>
  <c r="KTU1" i="11"/>
  <c r="KTT1" i="11"/>
  <c r="KTS1" i="11"/>
  <c r="KTR1" i="11"/>
  <c r="KTQ1" i="11"/>
  <c r="KTP1" i="11"/>
  <c r="KTO1" i="11"/>
  <c r="KTN1" i="11"/>
  <c r="KTM1" i="11"/>
  <c r="KTL1" i="11"/>
  <c r="KTK1" i="11"/>
  <c r="KTJ1" i="11"/>
  <c r="KTI1" i="11"/>
  <c r="KTH1" i="11"/>
  <c r="KTG1" i="11"/>
  <c r="KTF1" i="11"/>
  <c r="KTE1" i="11"/>
  <c r="KTD1" i="11"/>
  <c r="KTC1" i="11"/>
  <c r="KTB1" i="11"/>
  <c r="KTA1" i="11"/>
  <c r="KSZ1" i="11"/>
  <c r="KSY1" i="11"/>
  <c r="KSX1" i="11"/>
  <c r="KSW1" i="11"/>
  <c r="KSV1" i="11"/>
  <c r="KSU1" i="11"/>
  <c r="KST1" i="11"/>
  <c r="KSS1" i="11"/>
  <c r="KSR1" i="11"/>
  <c r="KSQ1" i="11"/>
  <c r="KSP1" i="11"/>
  <c r="KSO1" i="11"/>
  <c r="KSN1" i="11"/>
  <c r="KSM1" i="11"/>
  <c r="KSL1" i="11"/>
  <c r="KSK1" i="11"/>
  <c r="KSJ1" i="11"/>
  <c r="KSI1" i="11"/>
  <c r="KSH1" i="11"/>
  <c r="KSG1" i="11"/>
  <c r="KSF1" i="11"/>
  <c r="KSE1" i="11"/>
  <c r="KSD1" i="11"/>
  <c r="KSC1" i="11"/>
  <c r="KSB1" i="11"/>
  <c r="KSA1" i="11"/>
  <c r="KRZ1" i="11"/>
  <c r="KRY1" i="11"/>
  <c r="KRX1" i="11"/>
  <c r="KRW1" i="11"/>
  <c r="KRV1" i="11"/>
  <c r="KRU1" i="11"/>
  <c r="KRT1" i="11"/>
  <c r="KRS1" i="11"/>
  <c r="KRR1" i="11"/>
  <c r="KRQ1" i="11"/>
  <c r="KRP1" i="11"/>
  <c r="KRO1" i="11"/>
  <c r="KRN1" i="11"/>
  <c r="KRM1" i="11"/>
  <c r="KRL1" i="11"/>
  <c r="KRK1" i="11"/>
  <c r="KRJ1" i="11"/>
  <c r="KRI1" i="11"/>
  <c r="KRH1" i="11"/>
  <c r="KRG1" i="11"/>
  <c r="KRF1" i="11"/>
  <c r="KRE1" i="11"/>
  <c r="KRD1" i="11"/>
  <c r="KRC1" i="11"/>
  <c r="KRB1" i="11"/>
  <c r="KRA1" i="11"/>
  <c r="KQZ1" i="11"/>
  <c r="KQY1" i="11"/>
  <c r="KQX1" i="11"/>
  <c r="KQW1" i="11"/>
  <c r="KQV1" i="11"/>
  <c r="KQU1" i="11"/>
  <c r="KQT1" i="11"/>
  <c r="KQS1" i="11"/>
  <c r="KQR1" i="11"/>
  <c r="KQQ1" i="11"/>
  <c r="KQP1" i="11"/>
  <c r="KQO1" i="11"/>
  <c r="KQN1" i="11"/>
  <c r="KQM1" i="11"/>
  <c r="KQL1" i="11"/>
  <c r="KQK1" i="11"/>
  <c r="KQJ1" i="11"/>
  <c r="KQI1" i="11"/>
  <c r="KQH1" i="11"/>
  <c r="KQG1" i="11"/>
  <c r="KQF1" i="11"/>
  <c r="KQE1" i="11"/>
  <c r="KQD1" i="11"/>
  <c r="KQC1" i="11"/>
  <c r="KQB1" i="11"/>
  <c r="KQA1" i="11"/>
  <c r="KPZ1" i="11"/>
  <c r="KPY1" i="11"/>
  <c r="KPX1" i="11"/>
  <c r="KPW1" i="11"/>
  <c r="KPV1" i="11"/>
  <c r="KPU1" i="11"/>
  <c r="KPT1" i="11"/>
  <c r="KPS1" i="11"/>
  <c r="KPR1" i="11"/>
  <c r="KPQ1" i="11"/>
  <c r="KPP1" i="11"/>
  <c r="KPO1" i="11"/>
  <c r="KPN1" i="11"/>
  <c r="KPM1" i="11"/>
  <c r="KPL1" i="11"/>
  <c r="KPK1" i="11"/>
  <c r="KPJ1" i="11"/>
  <c r="KPI1" i="11"/>
  <c r="KPH1" i="11"/>
  <c r="KPG1" i="11"/>
  <c r="KPF1" i="11"/>
  <c r="KPE1" i="11"/>
  <c r="KPD1" i="11"/>
  <c r="KPC1" i="11"/>
  <c r="KPB1" i="11"/>
  <c r="KPA1" i="11"/>
  <c r="KOZ1" i="11"/>
  <c r="KOY1" i="11"/>
  <c r="KOX1" i="11"/>
  <c r="KOW1" i="11"/>
  <c r="KOV1" i="11"/>
  <c r="KOU1" i="11"/>
  <c r="KOT1" i="11"/>
  <c r="KOS1" i="11"/>
  <c r="KOR1" i="11"/>
  <c r="KOQ1" i="11"/>
  <c r="KOP1" i="11"/>
  <c r="KOO1" i="11"/>
  <c r="KON1" i="11"/>
  <c r="KOM1" i="11"/>
  <c r="KOL1" i="11"/>
  <c r="KOK1" i="11"/>
  <c r="KOJ1" i="11"/>
  <c r="KOI1" i="11"/>
  <c r="KOH1" i="11"/>
  <c r="KOG1" i="11"/>
  <c r="KOF1" i="11"/>
  <c r="KOE1" i="11"/>
  <c r="KOD1" i="11"/>
  <c r="KOC1" i="11"/>
  <c r="KOB1" i="11"/>
  <c r="KOA1" i="11"/>
  <c r="KNZ1" i="11"/>
  <c r="KNY1" i="11"/>
  <c r="KNX1" i="11"/>
  <c r="KNW1" i="11"/>
  <c r="KNV1" i="11"/>
  <c r="KNU1" i="11"/>
  <c r="KNT1" i="11"/>
  <c r="KNS1" i="11"/>
  <c r="KNR1" i="11"/>
  <c r="KNQ1" i="11"/>
  <c r="KNP1" i="11"/>
  <c r="KNO1" i="11"/>
  <c r="KNN1" i="11"/>
  <c r="KNM1" i="11"/>
  <c r="KNL1" i="11"/>
  <c r="KNK1" i="11"/>
  <c r="KNJ1" i="11"/>
  <c r="KNI1" i="11"/>
  <c r="KNH1" i="11"/>
  <c r="KNG1" i="11"/>
  <c r="KNF1" i="11"/>
  <c r="KNE1" i="11"/>
  <c r="KND1" i="11"/>
  <c r="KNC1" i="11"/>
  <c r="KNB1" i="11"/>
  <c r="KNA1" i="11"/>
  <c r="KMZ1" i="11"/>
  <c r="KMY1" i="11"/>
  <c r="KMX1" i="11"/>
  <c r="KMW1" i="11"/>
  <c r="KMV1" i="11"/>
  <c r="KMU1" i="11"/>
  <c r="KMT1" i="11"/>
  <c r="KMS1" i="11"/>
  <c r="KMR1" i="11"/>
  <c r="KMQ1" i="11"/>
  <c r="KMP1" i="11"/>
  <c r="KMO1" i="11"/>
  <c r="KMN1" i="11"/>
  <c r="KMM1" i="11"/>
  <c r="KML1" i="11"/>
  <c r="KMK1" i="11"/>
  <c r="KMJ1" i="11"/>
  <c r="KMI1" i="11"/>
  <c r="KMH1" i="11"/>
  <c r="KMG1" i="11"/>
  <c r="KMF1" i="11"/>
  <c r="KME1" i="11"/>
  <c r="KMD1" i="11"/>
  <c r="KMC1" i="11"/>
  <c r="KMB1" i="11"/>
  <c r="KMA1" i="11"/>
  <c r="KLZ1" i="11"/>
  <c r="KLY1" i="11"/>
  <c r="KLX1" i="11"/>
  <c r="KLW1" i="11"/>
  <c r="KLV1" i="11"/>
  <c r="KLU1" i="11"/>
  <c r="KLT1" i="11"/>
  <c r="KLS1" i="11"/>
  <c r="KLR1" i="11"/>
  <c r="KLQ1" i="11"/>
  <c r="KLP1" i="11"/>
  <c r="KLO1" i="11"/>
  <c r="KLN1" i="11"/>
  <c r="KLM1" i="11"/>
  <c r="KLL1" i="11"/>
  <c r="KLK1" i="11"/>
  <c r="KLJ1" i="11"/>
  <c r="KLI1" i="11"/>
  <c r="KLH1" i="11"/>
  <c r="KLG1" i="11"/>
  <c r="KLF1" i="11"/>
  <c r="KLE1" i="11"/>
  <c r="KLD1" i="11"/>
  <c r="KLC1" i="11"/>
  <c r="KLB1" i="11"/>
  <c r="KLA1" i="11"/>
  <c r="KKZ1" i="11"/>
  <c r="KKY1" i="11"/>
  <c r="KKX1" i="11"/>
  <c r="KKW1" i="11"/>
  <c r="KKV1" i="11"/>
  <c r="KKU1" i="11"/>
  <c r="KKT1" i="11"/>
  <c r="KKS1" i="11"/>
  <c r="KKR1" i="11"/>
  <c r="KKQ1" i="11"/>
  <c r="KKP1" i="11"/>
  <c r="KKO1" i="11"/>
  <c r="KKN1" i="11"/>
  <c r="KKM1" i="11"/>
  <c r="KKL1" i="11"/>
  <c r="KKK1" i="11"/>
  <c r="KKJ1" i="11"/>
  <c r="KKI1" i="11"/>
  <c r="KKH1" i="11"/>
  <c r="KKG1" i="11"/>
  <c r="KKF1" i="11"/>
  <c r="KKE1" i="11"/>
  <c r="KKD1" i="11"/>
  <c r="KKC1" i="11"/>
  <c r="KKB1" i="11"/>
  <c r="KKA1" i="11"/>
  <c r="KJZ1" i="11"/>
  <c r="KJY1" i="11"/>
  <c r="KJX1" i="11"/>
  <c r="KJW1" i="11"/>
  <c r="KJV1" i="11"/>
  <c r="KJU1" i="11"/>
  <c r="KJT1" i="11"/>
  <c r="KJS1" i="11"/>
  <c r="KJR1" i="11"/>
  <c r="KJQ1" i="11"/>
  <c r="KJP1" i="11"/>
  <c r="KJO1" i="11"/>
  <c r="KJN1" i="11"/>
  <c r="KJM1" i="11"/>
  <c r="KJL1" i="11"/>
  <c r="KJK1" i="11"/>
  <c r="KJJ1" i="11"/>
  <c r="KJI1" i="11"/>
  <c r="KJH1" i="11"/>
  <c r="KJG1" i="11"/>
  <c r="KJF1" i="11"/>
  <c r="KJE1" i="11"/>
  <c r="KJD1" i="11"/>
  <c r="KJC1" i="11"/>
  <c r="KJB1" i="11"/>
  <c r="KJA1" i="11"/>
  <c r="KIZ1" i="11"/>
  <c r="KIY1" i="11"/>
  <c r="KIX1" i="11"/>
  <c r="KIW1" i="11"/>
  <c r="KIV1" i="11"/>
  <c r="KIU1" i="11"/>
  <c r="KIT1" i="11"/>
  <c r="KIS1" i="11"/>
  <c r="KIR1" i="11"/>
  <c r="KIQ1" i="11"/>
  <c r="KIP1" i="11"/>
  <c r="KIO1" i="11"/>
  <c r="KIN1" i="11"/>
  <c r="KIM1" i="11"/>
  <c r="KIL1" i="11"/>
  <c r="KIK1" i="11"/>
  <c r="KIJ1" i="11"/>
  <c r="KII1" i="11"/>
  <c r="KIH1" i="11"/>
  <c r="KIG1" i="11"/>
  <c r="KIF1" i="11"/>
  <c r="KIE1" i="11"/>
  <c r="KID1" i="11"/>
  <c r="KIC1" i="11"/>
  <c r="KIB1" i="11"/>
  <c r="KIA1" i="11"/>
  <c r="KHZ1" i="11"/>
  <c r="KHY1" i="11"/>
  <c r="KHX1" i="11"/>
  <c r="KHW1" i="11"/>
  <c r="KHV1" i="11"/>
  <c r="KHU1" i="11"/>
  <c r="KHT1" i="11"/>
  <c r="KHS1" i="11"/>
  <c r="KHR1" i="11"/>
  <c r="KHQ1" i="11"/>
  <c r="KHP1" i="11"/>
  <c r="KHO1" i="11"/>
  <c r="KHN1" i="11"/>
  <c r="KHM1" i="11"/>
  <c r="KHL1" i="11"/>
  <c r="KHK1" i="11"/>
  <c r="KHJ1" i="11"/>
  <c r="KHI1" i="11"/>
  <c r="KHH1" i="11"/>
  <c r="KHG1" i="11"/>
  <c r="KHF1" i="11"/>
  <c r="KHE1" i="11"/>
  <c r="KHD1" i="11"/>
  <c r="KHC1" i="11"/>
  <c r="KHB1" i="11"/>
  <c r="KHA1" i="11"/>
  <c r="KGZ1" i="11"/>
  <c r="KGY1" i="11"/>
  <c r="KGX1" i="11"/>
  <c r="KGW1" i="11"/>
  <c r="KGV1" i="11"/>
  <c r="KGU1" i="11"/>
  <c r="KGT1" i="11"/>
  <c r="KGS1" i="11"/>
  <c r="KGR1" i="11"/>
  <c r="KGQ1" i="11"/>
  <c r="KGP1" i="11"/>
  <c r="KGO1" i="11"/>
  <c r="KGN1" i="11"/>
  <c r="KGM1" i="11"/>
  <c r="KGL1" i="11"/>
  <c r="KGK1" i="11"/>
  <c r="KGJ1" i="11"/>
  <c r="KGI1" i="11"/>
  <c r="KGH1" i="11"/>
  <c r="KGG1" i="11"/>
  <c r="KGF1" i="11"/>
  <c r="KGE1" i="11"/>
  <c r="KGD1" i="11"/>
  <c r="KGC1" i="11"/>
  <c r="KGB1" i="11"/>
  <c r="KGA1" i="11"/>
  <c r="KFZ1" i="11"/>
  <c r="KFY1" i="11"/>
  <c r="KFX1" i="11"/>
  <c r="KFW1" i="11"/>
  <c r="KFV1" i="11"/>
  <c r="KFU1" i="11"/>
  <c r="KFT1" i="11"/>
  <c r="KFS1" i="11"/>
  <c r="KFR1" i="11"/>
  <c r="KFQ1" i="11"/>
  <c r="KFP1" i="11"/>
  <c r="KFO1" i="11"/>
  <c r="KFN1" i="11"/>
  <c r="KFM1" i="11"/>
  <c r="KFL1" i="11"/>
  <c r="KFK1" i="11"/>
  <c r="KFJ1" i="11"/>
  <c r="KFI1" i="11"/>
  <c r="KFH1" i="11"/>
  <c r="KFG1" i="11"/>
  <c r="KFF1" i="11"/>
  <c r="KFE1" i="11"/>
  <c r="KFD1" i="11"/>
  <c r="KFC1" i="11"/>
  <c r="KFB1" i="11"/>
  <c r="KFA1" i="11"/>
  <c r="KEZ1" i="11"/>
  <c r="KEY1" i="11"/>
  <c r="KEX1" i="11"/>
  <c r="KEW1" i="11"/>
  <c r="KEV1" i="11"/>
  <c r="KEU1" i="11"/>
  <c r="KET1" i="11"/>
  <c r="KES1" i="11"/>
  <c r="KER1" i="11"/>
  <c r="KEQ1" i="11"/>
  <c r="KEP1" i="11"/>
  <c r="KEO1" i="11"/>
  <c r="KEN1" i="11"/>
  <c r="KEM1" i="11"/>
  <c r="KEL1" i="11"/>
  <c r="KEK1" i="11"/>
  <c r="KEJ1" i="11"/>
  <c r="KEI1" i="11"/>
  <c r="KEH1" i="11"/>
  <c r="KEG1" i="11"/>
  <c r="KEF1" i="11"/>
  <c r="KEE1" i="11"/>
  <c r="KED1" i="11"/>
  <c r="KEC1" i="11"/>
  <c r="KEB1" i="11"/>
  <c r="KEA1" i="11"/>
  <c r="KDZ1" i="11"/>
  <c r="KDY1" i="11"/>
  <c r="KDX1" i="11"/>
  <c r="KDW1" i="11"/>
  <c r="KDV1" i="11"/>
  <c r="KDU1" i="11"/>
  <c r="KDT1" i="11"/>
  <c r="KDS1" i="11"/>
  <c r="KDR1" i="11"/>
  <c r="KDQ1" i="11"/>
  <c r="KDP1" i="11"/>
  <c r="KDO1" i="11"/>
  <c r="KDN1" i="11"/>
  <c r="KDM1" i="11"/>
  <c r="KDL1" i="11"/>
  <c r="KDK1" i="11"/>
  <c r="KDJ1" i="11"/>
  <c r="KDI1" i="11"/>
  <c r="KDH1" i="11"/>
  <c r="KDG1" i="11"/>
  <c r="KDF1" i="11"/>
  <c r="KDE1" i="11"/>
  <c r="KDD1" i="11"/>
  <c r="KDC1" i="11"/>
  <c r="KDB1" i="11"/>
  <c r="KDA1" i="11"/>
  <c r="KCZ1" i="11"/>
  <c r="KCY1" i="11"/>
  <c r="KCX1" i="11"/>
  <c r="KCW1" i="11"/>
  <c r="KCV1" i="11"/>
  <c r="KCU1" i="11"/>
  <c r="KCT1" i="11"/>
  <c r="KCS1" i="11"/>
  <c r="KCR1" i="11"/>
  <c r="KCQ1" i="11"/>
  <c r="KCP1" i="11"/>
  <c r="KCO1" i="11"/>
  <c r="KCN1" i="11"/>
  <c r="KCM1" i="11"/>
  <c r="KCL1" i="11"/>
  <c r="KCK1" i="11"/>
  <c r="KCJ1" i="11"/>
  <c r="KCI1" i="11"/>
  <c r="KCH1" i="11"/>
  <c r="KCG1" i="11"/>
  <c r="KCF1" i="11"/>
  <c r="KCE1" i="11"/>
  <c r="KCD1" i="11"/>
  <c r="KCC1" i="11"/>
  <c r="KCB1" i="11"/>
  <c r="KCA1" i="11"/>
  <c r="KBZ1" i="11"/>
  <c r="KBY1" i="11"/>
  <c r="KBX1" i="11"/>
  <c r="KBW1" i="11"/>
  <c r="KBV1" i="11"/>
  <c r="KBU1" i="11"/>
  <c r="KBT1" i="11"/>
  <c r="KBS1" i="11"/>
  <c r="KBR1" i="11"/>
  <c r="KBQ1" i="11"/>
  <c r="KBP1" i="11"/>
  <c r="KBO1" i="11"/>
  <c r="KBN1" i="11"/>
  <c r="KBM1" i="11"/>
  <c r="KBL1" i="11"/>
  <c r="KBK1" i="11"/>
  <c r="KBJ1" i="11"/>
  <c r="KBI1" i="11"/>
  <c r="KBH1" i="11"/>
  <c r="KBG1" i="11"/>
  <c r="KBF1" i="11"/>
  <c r="KBE1" i="11"/>
  <c r="KBD1" i="11"/>
  <c r="KBC1" i="11"/>
  <c r="KBB1" i="11"/>
  <c r="KBA1" i="11"/>
  <c r="KAZ1" i="11"/>
  <c r="KAY1" i="11"/>
  <c r="KAX1" i="11"/>
  <c r="KAW1" i="11"/>
  <c r="KAV1" i="11"/>
  <c r="KAU1" i="11"/>
  <c r="KAT1" i="11"/>
  <c r="KAS1" i="11"/>
  <c r="KAR1" i="11"/>
  <c r="KAQ1" i="11"/>
  <c r="KAP1" i="11"/>
  <c r="KAO1" i="11"/>
  <c r="KAN1" i="11"/>
  <c r="KAM1" i="11"/>
  <c r="KAL1" i="11"/>
  <c r="KAK1" i="11"/>
  <c r="KAJ1" i="11"/>
  <c r="KAI1" i="11"/>
  <c r="KAH1" i="11"/>
  <c r="KAG1" i="11"/>
  <c r="KAF1" i="11"/>
  <c r="KAE1" i="11"/>
  <c r="KAD1" i="11"/>
  <c r="KAC1" i="11"/>
  <c r="KAB1" i="11"/>
  <c r="KAA1" i="11"/>
  <c r="JZZ1" i="11"/>
  <c r="JZY1" i="11"/>
  <c r="JZX1" i="11"/>
  <c r="JZW1" i="11"/>
  <c r="JZV1" i="11"/>
  <c r="JZU1" i="11"/>
  <c r="JZT1" i="11"/>
  <c r="JZS1" i="11"/>
  <c r="JZR1" i="11"/>
  <c r="JZQ1" i="11"/>
  <c r="JZP1" i="11"/>
  <c r="JZO1" i="11"/>
  <c r="JZN1" i="11"/>
  <c r="JZM1" i="11"/>
  <c r="JZL1" i="11"/>
  <c r="JZK1" i="11"/>
  <c r="JZJ1" i="11"/>
  <c r="JZI1" i="11"/>
  <c r="JZH1" i="11"/>
  <c r="JZG1" i="11"/>
  <c r="JZF1" i="11"/>
  <c r="JZE1" i="11"/>
  <c r="JZD1" i="11"/>
  <c r="JZC1" i="11"/>
  <c r="JZB1" i="11"/>
  <c r="JZA1" i="11"/>
  <c r="JYZ1" i="11"/>
  <c r="JYY1" i="11"/>
  <c r="JYX1" i="11"/>
  <c r="JYW1" i="11"/>
  <c r="JYV1" i="11"/>
  <c r="JYU1" i="11"/>
  <c r="JYT1" i="11"/>
  <c r="JYS1" i="11"/>
  <c r="JYR1" i="11"/>
  <c r="JYQ1" i="11"/>
  <c r="JYP1" i="11"/>
  <c r="JYO1" i="11"/>
  <c r="JYN1" i="11"/>
  <c r="JYM1" i="11"/>
  <c r="JYL1" i="11"/>
  <c r="JYK1" i="11"/>
  <c r="JYJ1" i="11"/>
  <c r="JYI1" i="11"/>
  <c r="JYH1" i="11"/>
  <c r="JYG1" i="11"/>
  <c r="JYF1" i="11"/>
  <c r="JYE1" i="11"/>
  <c r="JYD1" i="11"/>
  <c r="JYC1" i="11"/>
  <c r="JYB1" i="11"/>
  <c r="JYA1" i="11"/>
  <c r="JXZ1" i="11"/>
  <c r="JXY1" i="11"/>
  <c r="JXX1" i="11"/>
  <c r="JXW1" i="11"/>
  <c r="JXV1" i="11"/>
  <c r="JXU1" i="11"/>
  <c r="JXT1" i="11"/>
  <c r="JXS1" i="11"/>
  <c r="JXR1" i="11"/>
  <c r="JXQ1" i="11"/>
  <c r="JXP1" i="11"/>
  <c r="JXO1" i="11"/>
  <c r="JXN1" i="11"/>
  <c r="JXM1" i="11"/>
  <c r="JXL1" i="11"/>
  <c r="JXK1" i="11"/>
  <c r="JXJ1" i="11"/>
  <c r="JXI1" i="11"/>
  <c r="JXH1" i="11"/>
  <c r="JXG1" i="11"/>
  <c r="JXF1" i="11"/>
  <c r="JXE1" i="11"/>
  <c r="JXD1" i="11"/>
  <c r="JXC1" i="11"/>
  <c r="JXB1" i="11"/>
  <c r="JXA1" i="11"/>
  <c r="JWZ1" i="11"/>
  <c r="JWY1" i="11"/>
  <c r="JWX1" i="11"/>
  <c r="JWW1" i="11"/>
  <c r="JWV1" i="11"/>
  <c r="JWU1" i="11"/>
  <c r="JWT1" i="11"/>
  <c r="JWS1" i="11"/>
  <c r="JWR1" i="11"/>
  <c r="JWQ1" i="11"/>
  <c r="JWP1" i="11"/>
  <c r="JWO1" i="11"/>
  <c r="JWN1" i="11"/>
  <c r="JWM1" i="11"/>
  <c r="JWL1" i="11"/>
  <c r="JWK1" i="11"/>
  <c r="JWJ1" i="11"/>
  <c r="JWI1" i="11"/>
  <c r="JWH1" i="11"/>
  <c r="JWG1" i="11"/>
  <c r="JWF1" i="11"/>
  <c r="JWE1" i="11"/>
  <c r="JWD1" i="11"/>
  <c r="JWC1" i="11"/>
  <c r="JWB1" i="11"/>
  <c r="JWA1" i="11"/>
  <c r="JVZ1" i="11"/>
  <c r="JVY1" i="11"/>
  <c r="JVX1" i="11"/>
  <c r="JVW1" i="11"/>
  <c r="JVV1" i="11"/>
  <c r="JVU1" i="11"/>
  <c r="JVT1" i="11"/>
  <c r="JVS1" i="11"/>
  <c r="JVR1" i="11"/>
  <c r="JVQ1" i="11"/>
  <c r="JVP1" i="11"/>
  <c r="JVO1" i="11"/>
  <c r="JVN1" i="11"/>
  <c r="JVM1" i="11"/>
  <c r="JVL1" i="11"/>
  <c r="JVK1" i="11"/>
  <c r="JVJ1" i="11"/>
  <c r="JVI1" i="11"/>
  <c r="JVH1" i="11"/>
  <c r="JVG1" i="11"/>
  <c r="JVF1" i="11"/>
  <c r="JVE1" i="11"/>
  <c r="JVD1" i="11"/>
  <c r="JVC1" i="11"/>
  <c r="JVB1" i="11"/>
  <c r="JVA1" i="11"/>
  <c r="JUZ1" i="11"/>
  <c r="JUY1" i="11"/>
  <c r="JUX1" i="11"/>
  <c r="JUW1" i="11"/>
  <c r="JUV1" i="11"/>
  <c r="JUU1" i="11"/>
  <c r="JUT1" i="11"/>
  <c r="JUS1" i="11"/>
  <c r="JUR1" i="11"/>
  <c r="JUQ1" i="11"/>
  <c r="JUP1" i="11"/>
  <c r="JUO1" i="11"/>
  <c r="JUN1" i="11"/>
  <c r="JUM1" i="11"/>
  <c r="JUL1" i="11"/>
  <c r="JUK1" i="11"/>
  <c r="JUJ1" i="11"/>
  <c r="JUI1" i="11"/>
  <c r="JUH1" i="11"/>
  <c r="JUG1" i="11"/>
  <c r="JUF1" i="11"/>
  <c r="JUE1" i="11"/>
  <c r="JUD1" i="11"/>
  <c r="JUC1" i="11"/>
  <c r="JUB1" i="11"/>
  <c r="JUA1" i="11"/>
  <c r="JTZ1" i="11"/>
  <c r="JTY1" i="11"/>
  <c r="JTX1" i="11"/>
  <c r="JTW1" i="11"/>
  <c r="JTV1" i="11"/>
  <c r="JTU1" i="11"/>
  <c r="JTT1" i="11"/>
  <c r="JTS1" i="11"/>
  <c r="JTR1" i="11"/>
  <c r="JTQ1" i="11"/>
  <c r="JTP1" i="11"/>
  <c r="JTO1" i="11"/>
  <c r="JTN1" i="11"/>
  <c r="JTM1" i="11"/>
  <c r="JTL1" i="11"/>
  <c r="JTK1" i="11"/>
  <c r="JTJ1" i="11"/>
  <c r="JTI1" i="11"/>
  <c r="JTH1" i="11"/>
  <c r="JTG1" i="11"/>
  <c r="JTF1" i="11"/>
  <c r="JTE1" i="11"/>
  <c r="JTD1" i="11"/>
  <c r="JTC1" i="11"/>
  <c r="JTB1" i="11"/>
  <c r="JTA1" i="11"/>
  <c r="JSZ1" i="11"/>
  <c r="JSY1" i="11"/>
  <c r="JSX1" i="11"/>
  <c r="JSW1" i="11"/>
  <c r="JSV1" i="11"/>
  <c r="JSU1" i="11"/>
  <c r="JST1" i="11"/>
  <c r="JSS1" i="11"/>
  <c r="JSR1" i="11"/>
  <c r="JSQ1" i="11"/>
  <c r="JSP1" i="11"/>
  <c r="JSO1" i="11"/>
  <c r="JSN1" i="11"/>
  <c r="JSM1" i="11"/>
  <c r="JSL1" i="11"/>
  <c r="JSK1" i="11"/>
  <c r="JSJ1" i="11"/>
  <c r="JSI1" i="11"/>
  <c r="JSH1" i="11"/>
  <c r="JSG1" i="11"/>
  <c r="JSF1" i="11"/>
  <c r="JSE1" i="11"/>
  <c r="JSD1" i="11"/>
  <c r="JSC1" i="11"/>
  <c r="JSB1" i="11"/>
  <c r="JSA1" i="11"/>
  <c r="JRZ1" i="11"/>
  <c r="JRY1" i="11"/>
  <c r="JRX1" i="11"/>
  <c r="JRW1" i="11"/>
  <c r="JRV1" i="11"/>
  <c r="JRU1" i="11"/>
  <c r="JRT1" i="11"/>
  <c r="JRS1" i="11"/>
  <c r="JRR1" i="11"/>
  <c r="JRQ1" i="11"/>
  <c r="JRP1" i="11"/>
  <c r="JRO1" i="11"/>
  <c r="JRN1" i="11"/>
  <c r="JRM1" i="11"/>
  <c r="JRL1" i="11"/>
  <c r="JRK1" i="11"/>
  <c r="JRJ1" i="11"/>
  <c r="JRI1" i="11"/>
  <c r="JRH1" i="11"/>
  <c r="JRG1" i="11"/>
  <c r="JRF1" i="11"/>
  <c r="JRE1" i="11"/>
  <c r="JRD1" i="11"/>
  <c r="JRC1" i="11"/>
  <c r="JRB1" i="11"/>
  <c r="JRA1" i="11"/>
  <c r="JQZ1" i="11"/>
  <c r="JQY1" i="11"/>
  <c r="JQX1" i="11"/>
  <c r="JQW1" i="11"/>
  <c r="JQV1" i="11"/>
  <c r="JQU1" i="11"/>
  <c r="JQT1" i="11"/>
  <c r="JQS1" i="11"/>
  <c r="JQR1" i="11"/>
  <c r="JQQ1" i="11"/>
  <c r="JQP1" i="11"/>
  <c r="JQO1" i="11"/>
  <c r="JQN1" i="11"/>
  <c r="JQM1" i="11"/>
  <c r="JQL1" i="11"/>
  <c r="JQK1" i="11"/>
  <c r="JQJ1" i="11"/>
  <c r="JQI1" i="11"/>
  <c r="JQH1" i="11"/>
  <c r="JQG1" i="11"/>
  <c r="JQF1" i="11"/>
  <c r="JQE1" i="11"/>
  <c r="JQD1" i="11"/>
  <c r="JQC1" i="11"/>
  <c r="JQB1" i="11"/>
  <c r="JQA1" i="11"/>
  <c r="JPZ1" i="11"/>
  <c r="JPY1" i="11"/>
  <c r="JPX1" i="11"/>
  <c r="JPW1" i="11"/>
  <c r="JPV1" i="11"/>
  <c r="JPU1" i="11"/>
  <c r="JPT1" i="11"/>
  <c r="JPS1" i="11"/>
  <c r="JPR1" i="11"/>
  <c r="JPQ1" i="11"/>
  <c r="JPP1" i="11"/>
  <c r="JPO1" i="11"/>
  <c r="JPN1" i="11"/>
  <c r="JPM1" i="11"/>
  <c r="JPL1" i="11"/>
  <c r="JPK1" i="11"/>
  <c r="JPJ1" i="11"/>
  <c r="JPI1" i="11"/>
  <c r="JPH1" i="11"/>
  <c r="JPG1" i="11"/>
  <c r="JPF1" i="11"/>
  <c r="JPE1" i="11"/>
  <c r="JPD1" i="11"/>
  <c r="JPC1" i="11"/>
  <c r="JPB1" i="11"/>
  <c r="JPA1" i="11"/>
  <c r="JOZ1" i="11"/>
  <c r="JOY1" i="11"/>
  <c r="JOX1" i="11"/>
  <c r="JOW1" i="11"/>
  <c r="JOV1" i="11"/>
  <c r="JOU1" i="11"/>
  <c r="JOT1" i="11"/>
  <c r="JOS1" i="11"/>
  <c r="JOR1" i="11"/>
  <c r="JOQ1" i="11"/>
  <c r="JOP1" i="11"/>
  <c r="JOO1" i="11"/>
  <c r="JON1" i="11"/>
  <c r="JOM1" i="11"/>
  <c r="JOL1" i="11"/>
  <c r="JOK1" i="11"/>
  <c r="JOJ1" i="11"/>
  <c r="JOI1" i="11"/>
  <c r="JOH1" i="11"/>
  <c r="JOG1" i="11"/>
  <c r="JOF1" i="11"/>
  <c r="JOE1" i="11"/>
  <c r="JOD1" i="11"/>
  <c r="JOC1" i="11"/>
  <c r="JOB1" i="11"/>
  <c r="JOA1" i="11"/>
  <c r="JNZ1" i="11"/>
  <c r="JNY1" i="11"/>
  <c r="JNX1" i="11"/>
  <c r="JNW1" i="11"/>
  <c r="JNV1" i="11"/>
  <c r="JNU1" i="11"/>
  <c r="JNT1" i="11"/>
  <c r="JNS1" i="11"/>
  <c r="JNR1" i="11"/>
  <c r="JNQ1" i="11"/>
  <c r="JNP1" i="11"/>
  <c r="JNO1" i="11"/>
  <c r="JNN1" i="11"/>
  <c r="JNM1" i="11"/>
  <c r="JNL1" i="11"/>
  <c r="JNK1" i="11"/>
  <c r="JNJ1" i="11"/>
  <c r="JNI1" i="11"/>
  <c r="JNH1" i="11"/>
  <c r="JNG1" i="11"/>
  <c r="JNF1" i="11"/>
  <c r="JNE1" i="11"/>
  <c r="JND1" i="11"/>
  <c r="JNC1" i="11"/>
  <c r="JNB1" i="11"/>
  <c r="JNA1" i="11"/>
  <c r="JMZ1" i="11"/>
  <c r="JMY1" i="11"/>
  <c r="JMX1" i="11"/>
  <c r="JMW1" i="11"/>
  <c r="JMV1" i="11"/>
  <c r="JMU1" i="11"/>
  <c r="JMT1" i="11"/>
  <c r="JMS1" i="11"/>
  <c r="JMR1" i="11"/>
  <c r="JMQ1" i="11"/>
  <c r="JMP1" i="11"/>
  <c r="JMO1" i="11"/>
  <c r="JMN1" i="11"/>
  <c r="JMM1" i="11"/>
  <c r="JML1" i="11"/>
  <c r="JMK1" i="11"/>
  <c r="JMJ1" i="11"/>
  <c r="JMI1" i="11"/>
  <c r="JMH1" i="11"/>
  <c r="JMG1" i="11"/>
  <c r="JMF1" i="11"/>
  <c r="JME1" i="11"/>
  <c r="JMD1" i="11"/>
  <c r="JMC1" i="11"/>
  <c r="JMB1" i="11"/>
  <c r="JMA1" i="11"/>
  <c r="JLZ1" i="11"/>
  <c r="JLY1" i="11"/>
  <c r="JLX1" i="11"/>
  <c r="JLW1" i="11"/>
  <c r="JLV1" i="11"/>
  <c r="JLU1" i="11"/>
  <c r="JLT1" i="11"/>
  <c r="JLS1" i="11"/>
  <c r="JLR1" i="11"/>
  <c r="JLQ1" i="11"/>
  <c r="JLP1" i="11"/>
  <c r="JLO1" i="11"/>
  <c r="JLN1" i="11"/>
  <c r="JLM1" i="11"/>
  <c r="JLL1" i="11"/>
  <c r="JLK1" i="11"/>
  <c r="JLJ1" i="11"/>
  <c r="JLI1" i="11"/>
  <c r="JLH1" i="11"/>
  <c r="JLG1" i="11"/>
  <c r="JLF1" i="11"/>
  <c r="JLE1" i="11"/>
  <c r="JLD1" i="11"/>
  <c r="JLC1" i="11"/>
  <c r="JLB1" i="11"/>
  <c r="JLA1" i="11"/>
  <c r="JKZ1" i="11"/>
  <c r="JKY1" i="11"/>
  <c r="JKX1" i="11"/>
  <c r="JKW1" i="11"/>
  <c r="JKV1" i="11"/>
  <c r="JKU1" i="11"/>
  <c r="JKT1" i="11"/>
  <c r="JKS1" i="11"/>
  <c r="JKR1" i="11"/>
  <c r="JKQ1" i="11"/>
  <c r="JKP1" i="11"/>
  <c r="JKO1" i="11"/>
  <c r="JKN1" i="11"/>
  <c r="JKM1" i="11"/>
  <c r="JKL1" i="11"/>
  <c r="JKK1" i="11"/>
  <c r="JKJ1" i="11"/>
  <c r="JKI1" i="11"/>
  <c r="JKH1" i="11"/>
  <c r="JKG1" i="11"/>
  <c r="JKF1" i="11"/>
  <c r="JKE1" i="11"/>
  <c r="JKD1" i="11"/>
  <c r="JKC1" i="11"/>
  <c r="JKB1" i="11"/>
  <c r="JKA1" i="11"/>
  <c r="JJZ1" i="11"/>
  <c r="JJY1" i="11"/>
  <c r="JJX1" i="11"/>
  <c r="JJW1" i="11"/>
  <c r="JJV1" i="11"/>
  <c r="JJU1" i="11"/>
  <c r="JJT1" i="11"/>
  <c r="JJS1" i="11"/>
  <c r="JJR1" i="11"/>
  <c r="JJQ1" i="11"/>
  <c r="JJP1" i="11"/>
  <c r="JJO1" i="11"/>
  <c r="JJN1" i="11"/>
  <c r="JJM1" i="11"/>
  <c r="JJL1" i="11"/>
  <c r="JJK1" i="11"/>
  <c r="JJJ1" i="11"/>
  <c r="JJI1" i="11"/>
  <c r="JJH1" i="11"/>
  <c r="JJG1" i="11"/>
  <c r="JJF1" i="11"/>
  <c r="JJE1" i="11"/>
  <c r="JJD1" i="11"/>
  <c r="JJC1" i="11"/>
  <c r="JJB1" i="11"/>
  <c r="JJA1" i="11"/>
  <c r="JIZ1" i="11"/>
  <c r="JIY1" i="11"/>
  <c r="JIX1" i="11"/>
  <c r="JIW1" i="11"/>
  <c r="JIV1" i="11"/>
  <c r="JIU1" i="11"/>
  <c r="JIT1" i="11"/>
  <c r="JIS1" i="11"/>
  <c r="JIR1" i="11"/>
  <c r="JIQ1" i="11"/>
  <c r="JIP1" i="11"/>
  <c r="JIO1" i="11"/>
  <c r="JIN1" i="11"/>
  <c r="JIM1" i="11"/>
  <c r="JIL1" i="11"/>
  <c r="JIK1" i="11"/>
  <c r="JIJ1" i="11"/>
  <c r="JII1" i="11"/>
  <c r="JIH1" i="11"/>
  <c r="JIG1" i="11"/>
  <c r="JIF1" i="11"/>
  <c r="JIE1" i="11"/>
  <c r="JID1" i="11"/>
  <c r="JIC1" i="11"/>
  <c r="JIB1" i="11"/>
  <c r="JIA1" i="11"/>
  <c r="JHZ1" i="11"/>
  <c r="JHY1" i="11"/>
  <c r="JHX1" i="11"/>
  <c r="JHW1" i="11"/>
  <c r="JHV1" i="11"/>
  <c r="JHU1" i="11"/>
  <c r="JHT1" i="11"/>
  <c r="JHS1" i="11"/>
  <c r="JHR1" i="11"/>
  <c r="JHQ1" i="11"/>
  <c r="JHP1" i="11"/>
  <c r="JHO1" i="11"/>
  <c r="JHN1" i="11"/>
  <c r="JHM1" i="11"/>
  <c r="JHL1" i="11"/>
  <c r="JHK1" i="11"/>
  <c r="JHJ1" i="11"/>
  <c r="JHI1" i="11"/>
  <c r="JHH1" i="11"/>
  <c r="JHG1" i="11"/>
  <c r="JHF1" i="11"/>
  <c r="JHE1" i="11"/>
  <c r="JHD1" i="11"/>
  <c r="JHC1" i="11"/>
  <c r="JHB1" i="11"/>
  <c r="JHA1" i="11"/>
  <c r="JGZ1" i="11"/>
  <c r="JGY1" i="11"/>
  <c r="JGX1" i="11"/>
  <c r="JGW1" i="11"/>
  <c r="JGV1" i="11"/>
  <c r="JGU1" i="11"/>
  <c r="JGT1" i="11"/>
  <c r="JGS1" i="11"/>
  <c r="JGR1" i="11"/>
  <c r="JGQ1" i="11"/>
  <c r="JGP1" i="11"/>
  <c r="JGO1" i="11"/>
  <c r="JGN1" i="11"/>
  <c r="JGM1" i="11"/>
  <c r="JGL1" i="11"/>
  <c r="JGK1" i="11"/>
  <c r="JGJ1" i="11"/>
  <c r="JGI1" i="11"/>
  <c r="JGH1" i="11"/>
  <c r="JGG1" i="11"/>
  <c r="JGF1" i="11"/>
  <c r="JGE1" i="11"/>
  <c r="JGD1" i="11"/>
  <c r="JGC1" i="11"/>
  <c r="JGB1" i="11"/>
  <c r="JGA1" i="11"/>
  <c r="JFZ1" i="11"/>
  <c r="JFY1" i="11"/>
  <c r="JFX1" i="11"/>
  <c r="JFW1" i="11"/>
  <c r="JFV1" i="11"/>
  <c r="JFU1" i="11"/>
  <c r="JFT1" i="11"/>
  <c r="JFS1" i="11"/>
  <c r="JFR1" i="11"/>
  <c r="JFQ1" i="11"/>
  <c r="JFP1" i="11"/>
  <c r="JFO1" i="11"/>
  <c r="JFN1" i="11"/>
  <c r="JFM1" i="11"/>
  <c r="JFL1" i="11"/>
  <c r="JFK1" i="11"/>
  <c r="JFJ1" i="11"/>
  <c r="JFI1" i="11"/>
  <c r="JFH1" i="11"/>
  <c r="JFG1" i="11"/>
  <c r="JFF1" i="11"/>
  <c r="JFE1" i="11"/>
  <c r="JFD1" i="11"/>
  <c r="JFC1" i="11"/>
  <c r="JFB1" i="11"/>
  <c r="JFA1" i="11"/>
  <c r="JEZ1" i="11"/>
  <c r="JEY1" i="11"/>
  <c r="JEX1" i="11"/>
  <c r="JEW1" i="11"/>
  <c r="JEV1" i="11"/>
  <c r="JEU1" i="11"/>
  <c r="JET1" i="11"/>
  <c r="JES1" i="11"/>
  <c r="JER1" i="11"/>
  <c r="JEQ1" i="11"/>
  <c r="JEP1" i="11"/>
  <c r="JEO1" i="11"/>
  <c r="JEN1" i="11"/>
  <c r="JEM1" i="11"/>
  <c r="JEL1" i="11"/>
  <c r="JEK1" i="11"/>
  <c r="JEJ1" i="11"/>
  <c r="JEI1" i="11"/>
  <c r="JEH1" i="11"/>
  <c r="JEG1" i="11"/>
  <c r="JEF1" i="11"/>
  <c r="JEE1" i="11"/>
  <c r="JED1" i="11"/>
  <c r="JEC1" i="11"/>
  <c r="JEB1" i="11"/>
  <c r="JEA1" i="11"/>
  <c r="JDZ1" i="11"/>
  <c r="JDY1" i="11"/>
  <c r="JDX1" i="11"/>
  <c r="JDW1" i="11"/>
  <c r="JDV1" i="11"/>
  <c r="JDU1" i="11"/>
  <c r="JDT1" i="11"/>
  <c r="JDS1" i="11"/>
  <c r="JDR1" i="11"/>
  <c r="JDQ1" i="11"/>
  <c r="JDP1" i="11"/>
  <c r="JDO1" i="11"/>
  <c r="JDN1" i="11"/>
  <c r="JDM1" i="11"/>
  <c r="JDL1" i="11"/>
  <c r="JDK1" i="11"/>
  <c r="JDJ1" i="11"/>
  <c r="JDI1" i="11"/>
  <c r="JDH1" i="11"/>
  <c r="JDG1" i="11"/>
  <c r="JDF1" i="11"/>
  <c r="JDE1" i="11"/>
  <c r="JDD1" i="11"/>
  <c r="JDC1" i="11"/>
  <c r="JDB1" i="11"/>
  <c r="JDA1" i="11"/>
  <c r="JCZ1" i="11"/>
  <c r="JCY1" i="11"/>
  <c r="JCX1" i="11"/>
  <c r="JCW1" i="11"/>
  <c r="JCV1" i="11"/>
  <c r="JCU1" i="11"/>
  <c r="JCT1" i="11"/>
  <c r="JCS1" i="11"/>
  <c r="JCR1" i="11"/>
  <c r="JCQ1" i="11"/>
  <c r="JCP1" i="11"/>
  <c r="JCO1" i="11"/>
  <c r="JCN1" i="11"/>
  <c r="JCM1" i="11"/>
  <c r="JCL1" i="11"/>
  <c r="JCK1" i="11"/>
  <c r="JCJ1" i="11"/>
  <c r="JCI1" i="11"/>
  <c r="JCH1" i="11"/>
  <c r="JCG1" i="11"/>
  <c r="JCF1" i="11"/>
  <c r="JCE1" i="11"/>
  <c r="JCD1" i="11"/>
  <c r="JCC1" i="11"/>
  <c r="JCB1" i="11"/>
  <c r="JCA1" i="11"/>
  <c r="JBZ1" i="11"/>
  <c r="JBY1" i="11"/>
  <c r="JBX1" i="11"/>
  <c r="JBW1" i="11"/>
  <c r="JBV1" i="11"/>
  <c r="JBU1" i="11"/>
  <c r="JBT1" i="11"/>
  <c r="JBS1" i="11"/>
  <c r="JBR1" i="11"/>
  <c r="JBQ1" i="11"/>
  <c r="JBP1" i="11"/>
  <c r="JBO1" i="11"/>
  <c r="JBN1" i="11"/>
  <c r="JBM1" i="11"/>
  <c r="JBL1" i="11"/>
  <c r="JBK1" i="11"/>
  <c r="JBJ1" i="11"/>
  <c r="JBI1" i="11"/>
  <c r="JBH1" i="11"/>
  <c r="JBG1" i="11"/>
  <c r="JBF1" i="11"/>
  <c r="JBE1" i="11"/>
  <c r="JBD1" i="11"/>
  <c r="JBC1" i="11"/>
  <c r="JBB1" i="11"/>
  <c r="JBA1" i="11"/>
  <c r="JAZ1" i="11"/>
  <c r="JAY1" i="11"/>
  <c r="JAX1" i="11"/>
  <c r="JAW1" i="11"/>
  <c r="JAV1" i="11"/>
  <c r="JAU1" i="11"/>
  <c r="JAT1" i="11"/>
  <c r="JAS1" i="11"/>
  <c r="JAR1" i="11"/>
  <c r="JAQ1" i="11"/>
  <c r="JAP1" i="11"/>
  <c r="JAO1" i="11"/>
  <c r="JAN1" i="11"/>
  <c r="JAM1" i="11"/>
  <c r="JAL1" i="11"/>
  <c r="JAK1" i="11"/>
  <c r="JAJ1" i="11"/>
  <c r="JAI1" i="11"/>
  <c r="JAH1" i="11"/>
  <c r="JAG1" i="11"/>
  <c r="JAF1" i="11"/>
  <c r="JAE1" i="11"/>
  <c r="JAD1" i="11"/>
  <c r="JAC1" i="11"/>
  <c r="JAB1" i="11"/>
  <c r="JAA1" i="11"/>
  <c r="IZZ1" i="11"/>
  <c r="IZY1" i="11"/>
  <c r="IZX1" i="11"/>
  <c r="IZW1" i="11"/>
  <c r="IZV1" i="11"/>
  <c r="IZU1" i="11"/>
  <c r="IZT1" i="11"/>
  <c r="IZS1" i="11"/>
  <c r="IZR1" i="11"/>
  <c r="IZQ1" i="11"/>
  <c r="IZP1" i="11"/>
  <c r="IZO1" i="11"/>
  <c r="IZN1" i="11"/>
  <c r="IZM1" i="11"/>
  <c r="IZL1" i="11"/>
  <c r="IZK1" i="11"/>
  <c r="IZJ1" i="11"/>
  <c r="IZI1" i="11"/>
  <c r="IZH1" i="11"/>
  <c r="IZG1" i="11"/>
  <c r="IZF1" i="11"/>
  <c r="IZE1" i="11"/>
  <c r="IZD1" i="11"/>
  <c r="IZC1" i="11"/>
  <c r="IZB1" i="11"/>
  <c r="IZA1" i="11"/>
  <c r="IYZ1" i="11"/>
  <c r="IYY1" i="11"/>
  <c r="IYX1" i="11"/>
  <c r="IYW1" i="11"/>
  <c r="IYV1" i="11"/>
  <c r="IYU1" i="11"/>
  <c r="IYT1" i="11"/>
  <c r="IYS1" i="11"/>
  <c r="IYR1" i="11"/>
  <c r="IYQ1" i="11"/>
  <c r="IYP1" i="11"/>
  <c r="IYO1" i="11"/>
  <c r="IYN1" i="11"/>
  <c r="IYM1" i="11"/>
  <c r="IYL1" i="11"/>
  <c r="IYK1" i="11"/>
  <c r="IYJ1" i="11"/>
  <c r="IYI1" i="11"/>
  <c r="IYH1" i="11"/>
  <c r="IYG1" i="11"/>
  <c r="IYF1" i="11"/>
  <c r="IYE1" i="11"/>
  <c r="IYD1" i="11"/>
  <c r="IYC1" i="11"/>
  <c r="IYB1" i="11"/>
  <c r="IYA1" i="11"/>
  <c r="IXZ1" i="11"/>
  <c r="IXY1" i="11"/>
  <c r="IXX1" i="11"/>
  <c r="IXW1" i="11"/>
  <c r="IXV1" i="11"/>
  <c r="IXU1" i="11"/>
  <c r="IXT1" i="11"/>
  <c r="IXS1" i="11"/>
  <c r="IXR1" i="11"/>
  <c r="IXQ1" i="11"/>
  <c r="IXP1" i="11"/>
  <c r="IXO1" i="11"/>
  <c r="IXN1" i="11"/>
  <c r="IXM1" i="11"/>
  <c r="IXL1" i="11"/>
  <c r="IXK1" i="11"/>
  <c r="IXJ1" i="11"/>
  <c r="IXI1" i="11"/>
  <c r="IXH1" i="11"/>
  <c r="IXG1" i="11"/>
  <c r="IXF1" i="11"/>
  <c r="IXE1" i="11"/>
  <c r="IXD1" i="11"/>
  <c r="IXC1" i="11"/>
  <c r="IXB1" i="11"/>
  <c r="IXA1" i="11"/>
  <c r="IWZ1" i="11"/>
  <c r="IWY1" i="11"/>
  <c r="IWX1" i="11"/>
  <c r="IWW1" i="11"/>
  <c r="IWV1" i="11"/>
  <c r="IWU1" i="11"/>
  <c r="IWT1" i="11"/>
  <c r="IWS1" i="11"/>
  <c r="IWR1" i="11"/>
  <c r="IWQ1" i="11"/>
  <c r="IWP1" i="11"/>
  <c r="IWO1" i="11"/>
  <c r="IWN1" i="11"/>
  <c r="IWM1" i="11"/>
  <c r="IWL1" i="11"/>
  <c r="IWK1" i="11"/>
  <c r="IWJ1" i="11"/>
  <c r="IWI1" i="11"/>
  <c r="IWH1" i="11"/>
  <c r="IWG1" i="11"/>
  <c r="IWF1" i="11"/>
  <c r="IWE1" i="11"/>
  <c r="IWD1" i="11"/>
  <c r="IWC1" i="11"/>
  <c r="IWB1" i="11"/>
  <c r="IWA1" i="11"/>
  <c r="IVZ1" i="11"/>
  <c r="IVY1" i="11"/>
  <c r="IVX1" i="11"/>
  <c r="IVW1" i="11"/>
  <c r="IVV1" i="11"/>
  <c r="IVU1" i="11"/>
  <c r="IVT1" i="11"/>
  <c r="IVS1" i="11"/>
  <c r="IVR1" i="11"/>
  <c r="IVQ1" i="11"/>
  <c r="IVP1" i="11"/>
  <c r="IVO1" i="11"/>
  <c r="IVN1" i="11"/>
  <c r="IVM1" i="11"/>
  <c r="IVL1" i="11"/>
  <c r="IVK1" i="11"/>
  <c r="IVJ1" i="11"/>
  <c r="IVI1" i="11"/>
  <c r="IVH1" i="11"/>
  <c r="IVG1" i="11"/>
  <c r="IVF1" i="11"/>
  <c r="IVE1" i="11"/>
  <c r="IVD1" i="11"/>
  <c r="IVC1" i="11"/>
  <c r="IVB1" i="11"/>
  <c r="IVA1" i="11"/>
  <c r="IUZ1" i="11"/>
  <c r="IUY1" i="11"/>
  <c r="IUX1" i="11"/>
  <c r="IUW1" i="11"/>
  <c r="IUV1" i="11"/>
  <c r="IUU1" i="11"/>
  <c r="IUT1" i="11"/>
  <c r="IUS1" i="11"/>
  <c r="IUR1" i="11"/>
  <c r="IUQ1" i="11"/>
  <c r="IUP1" i="11"/>
  <c r="IUO1" i="11"/>
  <c r="IUN1" i="11"/>
  <c r="IUM1" i="11"/>
  <c r="IUL1" i="11"/>
  <c r="IUK1" i="11"/>
  <c r="IUJ1" i="11"/>
  <c r="IUI1" i="11"/>
  <c r="IUH1" i="11"/>
  <c r="IUG1" i="11"/>
  <c r="IUF1" i="11"/>
  <c r="IUE1" i="11"/>
  <c r="IUD1" i="11"/>
  <c r="IUC1" i="11"/>
  <c r="IUB1" i="11"/>
  <c r="IUA1" i="11"/>
  <c r="ITZ1" i="11"/>
  <c r="ITY1" i="11"/>
  <c r="ITX1" i="11"/>
  <c r="ITW1" i="11"/>
  <c r="ITV1" i="11"/>
  <c r="ITU1" i="11"/>
  <c r="ITT1" i="11"/>
  <c r="ITS1" i="11"/>
  <c r="ITR1" i="11"/>
  <c r="ITQ1" i="11"/>
  <c r="ITP1" i="11"/>
  <c r="ITO1" i="11"/>
  <c r="ITN1" i="11"/>
  <c r="ITM1" i="11"/>
  <c r="ITL1" i="11"/>
  <c r="ITK1" i="11"/>
  <c r="ITJ1" i="11"/>
  <c r="ITI1" i="11"/>
  <c r="ITH1" i="11"/>
  <c r="ITG1" i="11"/>
  <c r="ITF1" i="11"/>
  <c r="ITE1" i="11"/>
  <c r="ITD1" i="11"/>
  <c r="ITC1" i="11"/>
  <c r="ITB1" i="11"/>
  <c r="ITA1" i="11"/>
  <c r="ISZ1" i="11"/>
  <c r="ISY1" i="11"/>
  <c r="ISX1" i="11"/>
  <c r="ISW1" i="11"/>
  <c r="ISV1" i="11"/>
  <c r="ISU1" i="11"/>
  <c r="IST1" i="11"/>
  <c r="ISS1" i="11"/>
  <c r="ISR1" i="11"/>
  <c r="ISQ1" i="11"/>
  <c r="ISP1" i="11"/>
  <c r="ISO1" i="11"/>
  <c r="ISN1" i="11"/>
  <c r="ISM1" i="11"/>
  <c r="ISL1" i="11"/>
  <c r="ISK1" i="11"/>
  <c r="ISJ1" i="11"/>
  <c r="ISI1" i="11"/>
  <c r="ISH1" i="11"/>
  <c r="ISG1" i="11"/>
  <c r="ISF1" i="11"/>
  <c r="ISE1" i="11"/>
  <c r="ISD1" i="11"/>
  <c r="ISC1" i="11"/>
  <c r="ISB1" i="11"/>
  <c r="ISA1" i="11"/>
  <c r="IRZ1" i="11"/>
  <c r="IRY1" i="11"/>
  <c r="IRX1" i="11"/>
  <c r="IRW1" i="11"/>
  <c r="IRV1" i="11"/>
  <c r="IRU1" i="11"/>
  <c r="IRT1" i="11"/>
  <c r="IRS1" i="11"/>
  <c r="IRR1" i="11"/>
  <c r="IRQ1" i="11"/>
  <c r="IRP1" i="11"/>
  <c r="IRO1" i="11"/>
  <c r="IRN1" i="11"/>
  <c r="IRM1" i="11"/>
  <c r="IRL1" i="11"/>
  <c r="IRK1" i="11"/>
  <c r="IRJ1" i="11"/>
  <c r="IRI1" i="11"/>
  <c r="IRH1" i="11"/>
  <c r="IRG1" i="11"/>
  <c r="IRF1" i="11"/>
  <c r="IRE1" i="11"/>
  <c r="IRD1" i="11"/>
  <c r="IRC1" i="11"/>
  <c r="IRB1" i="11"/>
  <c r="IRA1" i="11"/>
  <c r="IQZ1" i="11"/>
  <c r="IQY1" i="11"/>
  <c r="IQX1" i="11"/>
  <c r="IQW1" i="11"/>
  <c r="IQV1" i="11"/>
  <c r="IQU1" i="11"/>
  <c r="IQT1" i="11"/>
  <c r="IQS1" i="11"/>
  <c r="IQR1" i="11"/>
  <c r="IQQ1" i="11"/>
  <c r="IQP1" i="11"/>
  <c r="IQO1" i="11"/>
  <c r="IQN1" i="11"/>
  <c r="IQM1" i="11"/>
  <c r="IQL1" i="11"/>
  <c r="IQK1" i="11"/>
  <c r="IQJ1" i="11"/>
  <c r="IQI1" i="11"/>
  <c r="IQH1" i="11"/>
  <c r="IQG1" i="11"/>
  <c r="IQF1" i="11"/>
  <c r="IQE1" i="11"/>
  <c r="IQD1" i="11"/>
  <c r="IQC1" i="11"/>
  <c r="IQB1" i="11"/>
  <c r="IQA1" i="11"/>
  <c r="IPZ1" i="11"/>
  <c r="IPY1" i="11"/>
  <c r="IPX1" i="11"/>
  <c r="IPW1" i="11"/>
  <c r="IPV1" i="11"/>
  <c r="IPU1" i="11"/>
  <c r="IPT1" i="11"/>
  <c r="IPS1" i="11"/>
  <c r="IPR1" i="11"/>
  <c r="IPQ1" i="11"/>
  <c r="IPP1" i="11"/>
  <c r="IPO1" i="11"/>
  <c r="IPN1" i="11"/>
  <c r="IPM1" i="11"/>
  <c r="IPL1" i="11"/>
  <c r="IPK1" i="11"/>
  <c r="IPJ1" i="11"/>
  <c r="IPI1" i="11"/>
  <c r="IPH1" i="11"/>
  <c r="IPG1" i="11"/>
  <c r="IPF1" i="11"/>
  <c r="IPE1" i="11"/>
  <c r="IPD1" i="11"/>
  <c r="IPC1" i="11"/>
  <c r="IPB1" i="11"/>
  <c r="IPA1" i="11"/>
  <c r="IOZ1" i="11"/>
  <c r="IOY1" i="11"/>
  <c r="IOX1" i="11"/>
  <c r="IOW1" i="11"/>
  <c r="IOV1" i="11"/>
  <c r="IOU1" i="11"/>
  <c r="IOT1" i="11"/>
  <c r="IOS1" i="11"/>
  <c r="IOR1" i="11"/>
  <c r="IOQ1" i="11"/>
  <c r="IOP1" i="11"/>
  <c r="IOO1" i="11"/>
  <c r="ION1" i="11"/>
  <c r="IOM1" i="11"/>
  <c r="IOL1" i="11"/>
  <c r="IOK1" i="11"/>
  <c r="IOJ1" i="11"/>
  <c r="IOI1" i="11"/>
  <c r="IOH1" i="11"/>
  <c r="IOG1" i="11"/>
  <c r="IOF1" i="11"/>
  <c r="IOE1" i="11"/>
  <c r="IOD1" i="11"/>
  <c r="IOC1" i="11"/>
  <c r="IOB1" i="11"/>
  <c r="IOA1" i="11"/>
  <c r="INZ1" i="11"/>
  <c r="INY1" i="11"/>
  <c r="INX1" i="11"/>
  <c r="INW1" i="11"/>
  <c r="INV1" i="11"/>
  <c r="INU1" i="11"/>
  <c r="INT1" i="11"/>
  <c r="INS1" i="11"/>
  <c r="INR1" i="11"/>
  <c r="INQ1" i="11"/>
  <c r="INP1" i="11"/>
  <c r="INO1" i="11"/>
  <c r="INN1" i="11"/>
  <c r="INM1" i="11"/>
  <c r="INL1" i="11"/>
  <c r="INK1" i="11"/>
  <c r="INJ1" i="11"/>
  <c r="INI1" i="11"/>
  <c r="INH1" i="11"/>
  <c r="ING1" i="11"/>
  <c r="INF1" i="11"/>
  <c r="INE1" i="11"/>
  <c r="IND1" i="11"/>
  <c r="INC1" i="11"/>
  <c r="INB1" i="11"/>
  <c r="INA1" i="11"/>
  <c r="IMZ1" i="11"/>
  <c r="IMY1" i="11"/>
  <c r="IMX1" i="11"/>
  <c r="IMW1" i="11"/>
  <c r="IMV1" i="11"/>
  <c r="IMU1" i="11"/>
  <c r="IMT1" i="11"/>
  <c r="IMS1" i="11"/>
  <c r="IMR1" i="11"/>
  <c r="IMQ1" i="11"/>
  <c r="IMP1" i="11"/>
  <c r="IMO1" i="11"/>
  <c r="IMN1" i="11"/>
  <c r="IMM1" i="11"/>
  <c r="IML1" i="11"/>
  <c r="IMK1" i="11"/>
  <c r="IMJ1" i="11"/>
  <c r="IMI1" i="11"/>
  <c r="IMH1" i="11"/>
  <c r="IMG1" i="11"/>
  <c r="IMF1" i="11"/>
  <c r="IME1" i="11"/>
  <c r="IMD1" i="11"/>
  <c r="IMC1" i="11"/>
  <c r="IMB1" i="11"/>
  <c r="IMA1" i="11"/>
  <c r="ILZ1" i="11"/>
  <c r="ILY1" i="11"/>
  <c r="ILX1" i="11"/>
  <c r="ILW1" i="11"/>
  <c r="ILV1" i="11"/>
  <c r="ILU1" i="11"/>
  <c r="ILT1" i="11"/>
  <c r="ILS1" i="11"/>
  <c r="ILR1" i="11"/>
  <c r="ILQ1" i="11"/>
  <c r="ILP1" i="11"/>
  <c r="ILO1" i="11"/>
  <c r="ILN1" i="11"/>
  <c r="ILM1" i="11"/>
  <c r="ILL1" i="11"/>
  <c r="ILK1" i="11"/>
  <c r="ILJ1" i="11"/>
  <c r="ILI1" i="11"/>
  <c r="ILH1" i="11"/>
  <c r="ILG1" i="11"/>
  <c r="ILF1" i="11"/>
  <c r="ILE1" i="11"/>
  <c r="ILD1" i="11"/>
  <c r="ILC1" i="11"/>
  <c r="ILB1" i="11"/>
  <c r="ILA1" i="11"/>
  <c r="IKZ1" i="11"/>
  <c r="IKY1" i="11"/>
  <c r="IKX1" i="11"/>
  <c r="IKW1" i="11"/>
  <c r="IKV1" i="11"/>
  <c r="IKU1" i="11"/>
  <c r="IKT1" i="11"/>
  <c r="IKS1" i="11"/>
  <c r="IKR1" i="11"/>
  <c r="IKQ1" i="11"/>
  <c r="IKP1" i="11"/>
  <c r="IKO1" i="11"/>
  <c r="IKN1" i="11"/>
  <c r="IKM1" i="11"/>
  <c r="IKL1" i="11"/>
  <c r="IKK1" i="11"/>
  <c r="IKJ1" i="11"/>
  <c r="IKI1" i="11"/>
  <c r="IKH1" i="11"/>
  <c r="IKG1" i="11"/>
  <c r="IKF1" i="11"/>
  <c r="IKE1" i="11"/>
  <c r="IKD1" i="11"/>
  <c r="IKC1" i="11"/>
  <c r="IKB1" i="11"/>
  <c r="IKA1" i="11"/>
  <c r="IJZ1" i="11"/>
  <c r="IJY1" i="11"/>
  <c r="IJX1" i="11"/>
  <c r="IJW1" i="11"/>
  <c r="IJV1" i="11"/>
  <c r="IJU1" i="11"/>
  <c r="IJT1" i="11"/>
  <c r="IJS1" i="11"/>
  <c r="IJR1" i="11"/>
  <c r="IJQ1" i="11"/>
  <c r="IJP1" i="11"/>
  <c r="IJO1" i="11"/>
  <c r="IJN1" i="11"/>
  <c r="IJM1" i="11"/>
  <c r="IJL1" i="11"/>
  <c r="IJK1" i="11"/>
  <c r="IJJ1" i="11"/>
  <c r="IJI1" i="11"/>
  <c r="IJH1" i="11"/>
  <c r="IJG1" i="11"/>
  <c r="IJF1" i="11"/>
  <c r="IJE1" i="11"/>
  <c r="IJD1" i="11"/>
  <c r="IJC1" i="11"/>
  <c r="IJB1" i="11"/>
  <c r="IJA1" i="11"/>
  <c r="IIZ1" i="11"/>
  <c r="IIY1" i="11"/>
  <c r="IIX1" i="11"/>
  <c r="IIW1" i="11"/>
  <c r="IIV1" i="11"/>
  <c r="IIU1" i="11"/>
  <c r="IIT1" i="11"/>
  <c r="IIS1" i="11"/>
  <c r="IIR1" i="11"/>
  <c r="IIQ1" i="11"/>
  <c r="IIP1" i="11"/>
  <c r="IIO1" i="11"/>
  <c r="IIN1" i="11"/>
  <c r="IIM1" i="11"/>
  <c r="IIL1" i="11"/>
  <c r="IIK1" i="11"/>
  <c r="IIJ1" i="11"/>
  <c r="III1" i="11"/>
  <c r="IIH1" i="11"/>
  <c r="IIG1" i="11"/>
  <c r="IIF1" i="11"/>
  <c r="IIE1" i="11"/>
  <c r="IID1" i="11"/>
  <c r="IIC1" i="11"/>
  <c r="IIB1" i="11"/>
  <c r="IIA1" i="11"/>
  <c r="IHZ1" i="11"/>
  <c r="IHY1" i="11"/>
  <c r="IHX1" i="11"/>
  <c r="IHW1" i="11"/>
  <c r="IHV1" i="11"/>
  <c r="IHU1" i="11"/>
  <c r="IHT1" i="11"/>
  <c r="IHS1" i="11"/>
  <c r="IHR1" i="11"/>
  <c r="IHQ1" i="11"/>
  <c r="IHP1" i="11"/>
  <c r="IHO1" i="11"/>
  <c r="IHN1" i="11"/>
  <c r="IHM1" i="11"/>
  <c r="IHL1" i="11"/>
  <c r="IHK1" i="11"/>
  <c r="IHJ1" i="11"/>
  <c r="IHI1" i="11"/>
  <c r="IHH1" i="11"/>
  <c r="IHG1" i="11"/>
  <c r="IHF1" i="11"/>
  <c r="IHE1" i="11"/>
  <c r="IHD1" i="11"/>
  <c r="IHC1" i="11"/>
  <c r="IHB1" i="11"/>
  <c r="IHA1" i="11"/>
  <c r="IGZ1" i="11"/>
  <c r="IGY1" i="11"/>
  <c r="IGX1" i="11"/>
  <c r="IGW1" i="11"/>
  <c r="IGV1" i="11"/>
  <c r="IGU1" i="11"/>
  <c r="IGT1" i="11"/>
  <c r="IGS1" i="11"/>
  <c r="IGR1" i="11"/>
  <c r="IGQ1" i="11"/>
  <c r="IGP1" i="11"/>
  <c r="IGO1" i="11"/>
  <c r="IGN1" i="11"/>
  <c r="IGM1" i="11"/>
  <c r="IGL1" i="11"/>
  <c r="IGK1" i="11"/>
  <c r="IGJ1" i="11"/>
  <c r="IGI1" i="11"/>
  <c r="IGH1" i="11"/>
  <c r="IGG1" i="11"/>
  <c r="IGF1" i="11"/>
  <c r="IGE1" i="11"/>
  <c r="IGD1" i="11"/>
  <c r="IGC1" i="11"/>
  <c r="IGB1" i="11"/>
  <c r="IGA1" i="11"/>
  <c r="IFZ1" i="11"/>
  <c r="IFY1" i="11"/>
  <c r="IFX1" i="11"/>
  <c r="IFW1" i="11"/>
  <c r="IFV1" i="11"/>
  <c r="IFU1" i="11"/>
  <c r="IFT1" i="11"/>
  <c r="IFS1" i="11"/>
  <c r="IFR1" i="11"/>
  <c r="IFQ1" i="11"/>
  <c r="IFP1" i="11"/>
  <c r="IFO1" i="11"/>
  <c r="IFN1" i="11"/>
  <c r="IFM1" i="11"/>
  <c r="IFL1" i="11"/>
  <c r="IFK1" i="11"/>
  <c r="IFJ1" i="11"/>
  <c r="IFI1" i="11"/>
  <c r="IFH1" i="11"/>
  <c r="IFG1" i="11"/>
  <c r="IFF1" i="11"/>
  <c r="IFE1" i="11"/>
  <c r="IFD1" i="11"/>
  <c r="IFC1" i="11"/>
  <c r="IFB1" i="11"/>
  <c r="IFA1" i="11"/>
  <c r="IEZ1" i="11"/>
  <c r="IEY1" i="11"/>
  <c r="IEX1" i="11"/>
  <c r="IEW1" i="11"/>
  <c r="IEV1" i="11"/>
  <c r="IEU1" i="11"/>
  <c r="IET1" i="11"/>
  <c r="IES1" i="11"/>
  <c r="IER1" i="11"/>
  <c r="IEQ1" i="11"/>
  <c r="IEP1" i="11"/>
  <c r="IEO1" i="11"/>
  <c r="IEN1" i="11"/>
  <c r="IEM1" i="11"/>
  <c r="IEL1" i="11"/>
  <c r="IEK1" i="11"/>
  <c r="IEJ1" i="11"/>
  <c r="IEI1" i="11"/>
  <c r="IEH1" i="11"/>
  <c r="IEG1" i="11"/>
  <c r="IEF1" i="11"/>
  <c r="IEE1" i="11"/>
  <c r="IED1" i="11"/>
  <c r="IEC1" i="11"/>
  <c r="IEB1" i="11"/>
  <c r="IEA1" i="11"/>
  <c r="IDZ1" i="11"/>
  <c r="IDY1" i="11"/>
  <c r="IDX1" i="11"/>
  <c r="IDW1" i="11"/>
  <c r="IDV1" i="11"/>
  <c r="IDU1" i="11"/>
  <c r="IDT1" i="11"/>
  <c r="IDS1" i="11"/>
  <c r="IDR1" i="11"/>
  <c r="IDQ1" i="11"/>
  <c r="IDP1" i="11"/>
  <c r="IDO1" i="11"/>
  <c r="IDN1" i="11"/>
  <c r="IDM1" i="11"/>
  <c r="IDL1" i="11"/>
  <c r="IDK1" i="11"/>
  <c r="IDJ1" i="11"/>
  <c r="IDI1" i="11"/>
  <c r="IDH1" i="11"/>
  <c r="IDG1" i="11"/>
  <c r="IDF1" i="11"/>
  <c r="IDE1" i="11"/>
  <c r="IDD1" i="11"/>
  <c r="IDC1" i="11"/>
  <c r="IDB1" i="11"/>
  <c r="IDA1" i="11"/>
  <c r="ICZ1" i="11"/>
  <c r="ICY1" i="11"/>
  <c r="ICX1" i="11"/>
  <c r="ICW1" i="11"/>
  <c r="ICV1" i="11"/>
  <c r="ICU1" i="11"/>
  <c r="ICT1" i="11"/>
  <c r="ICS1" i="11"/>
  <c r="ICR1" i="11"/>
  <c r="ICQ1" i="11"/>
  <c r="ICP1" i="11"/>
  <c r="ICO1" i="11"/>
  <c r="ICN1" i="11"/>
  <c r="ICM1" i="11"/>
  <c r="ICL1" i="11"/>
  <c r="ICK1" i="11"/>
  <c r="ICJ1" i="11"/>
  <c r="ICI1" i="11"/>
  <c r="ICH1" i="11"/>
  <c r="ICG1" i="11"/>
  <c r="ICF1" i="11"/>
  <c r="ICE1" i="11"/>
  <c r="ICD1" i="11"/>
  <c r="ICC1" i="11"/>
  <c r="ICB1" i="11"/>
  <c r="ICA1" i="11"/>
  <c r="IBZ1" i="11"/>
  <c r="IBY1" i="11"/>
  <c r="IBX1" i="11"/>
  <c r="IBW1" i="11"/>
  <c r="IBV1" i="11"/>
  <c r="IBU1" i="11"/>
  <c r="IBT1" i="11"/>
  <c r="IBS1" i="11"/>
  <c r="IBR1" i="11"/>
  <c r="IBQ1" i="11"/>
  <c r="IBP1" i="11"/>
  <c r="IBO1" i="11"/>
  <c r="IBN1" i="11"/>
  <c r="IBM1" i="11"/>
  <c r="IBL1" i="11"/>
  <c r="IBK1" i="11"/>
  <c r="IBJ1" i="11"/>
  <c r="IBI1" i="11"/>
  <c r="IBH1" i="11"/>
  <c r="IBG1" i="11"/>
  <c r="IBF1" i="11"/>
  <c r="IBE1" i="11"/>
  <c r="IBD1" i="11"/>
  <c r="IBC1" i="11"/>
  <c r="IBB1" i="11"/>
  <c r="IBA1" i="11"/>
  <c r="IAZ1" i="11"/>
  <c r="IAY1" i="11"/>
  <c r="IAX1" i="11"/>
  <c r="IAW1" i="11"/>
  <c r="IAV1" i="11"/>
  <c r="IAU1" i="11"/>
  <c r="IAT1" i="11"/>
  <c r="IAS1" i="11"/>
  <c r="IAR1" i="11"/>
  <c r="IAQ1" i="11"/>
  <c r="IAP1" i="11"/>
  <c r="IAO1" i="11"/>
  <c r="IAN1" i="11"/>
  <c r="IAM1" i="11"/>
  <c r="IAL1" i="11"/>
  <c r="IAK1" i="11"/>
  <c r="IAJ1" i="11"/>
  <c r="IAI1" i="11"/>
  <c r="IAH1" i="11"/>
  <c r="IAG1" i="11"/>
  <c r="IAF1" i="11"/>
  <c r="IAE1" i="11"/>
  <c r="IAD1" i="11"/>
  <c r="IAC1" i="11"/>
  <c r="IAB1" i="11"/>
  <c r="IAA1" i="11"/>
  <c r="HZZ1" i="11"/>
  <c r="HZY1" i="11"/>
  <c r="HZX1" i="11"/>
  <c r="HZW1" i="11"/>
  <c r="HZV1" i="11"/>
  <c r="HZU1" i="11"/>
  <c r="HZT1" i="11"/>
  <c r="HZS1" i="11"/>
  <c r="HZR1" i="11"/>
  <c r="HZQ1" i="11"/>
  <c r="HZP1" i="11"/>
  <c r="HZO1" i="11"/>
  <c r="HZN1" i="11"/>
  <c r="HZM1" i="11"/>
  <c r="HZL1" i="11"/>
  <c r="HZK1" i="11"/>
  <c r="HZJ1" i="11"/>
  <c r="HZI1" i="11"/>
  <c r="HZH1" i="11"/>
  <c r="HZG1" i="11"/>
  <c r="HZF1" i="11"/>
  <c r="HZE1" i="11"/>
  <c r="HZD1" i="11"/>
  <c r="HZC1" i="11"/>
  <c r="HZB1" i="11"/>
  <c r="HZA1" i="11"/>
  <c r="HYZ1" i="11"/>
  <c r="HYY1" i="11"/>
  <c r="HYX1" i="11"/>
  <c r="HYW1" i="11"/>
  <c r="HYV1" i="11"/>
  <c r="HYU1" i="11"/>
  <c r="HYT1" i="11"/>
  <c r="HYS1" i="11"/>
  <c r="HYR1" i="11"/>
  <c r="HYQ1" i="11"/>
  <c r="HYP1" i="11"/>
  <c r="HYO1" i="11"/>
  <c r="HYN1" i="11"/>
  <c r="HYM1" i="11"/>
  <c r="HYL1" i="11"/>
  <c r="HYK1" i="11"/>
  <c r="HYJ1" i="11"/>
  <c r="HYI1" i="11"/>
  <c r="HYH1" i="11"/>
  <c r="HYG1" i="11"/>
  <c r="HYF1" i="11"/>
  <c r="HYE1" i="11"/>
  <c r="HYD1" i="11"/>
  <c r="HYC1" i="11"/>
  <c r="HYB1" i="11"/>
  <c r="HYA1" i="11"/>
  <c r="HXZ1" i="11"/>
  <c r="HXY1" i="11"/>
  <c r="HXX1" i="11"/>
  <c r="HXW1" i="11"/>
  <c r="HXV1" i="11"/>
  <c r="HXU1" i="11"/>
  <c r="HXT1" i="11"/>
  <c r="HXS1" i="11"/>
  <c r="HXR1" i="11"/>
  <c r="HXQ1" i="11"/>
  <c r="HXP1" i="11"/>
  <c r="HXO1" i="11"/>
  <c r="HXN1" i="11"/>
  <c r="HXM1" i="11"/>
  <c r="HXL1" i="11"/>
  <c r="HXK1" i="11"/>
  <c r="HXJ1" i="11"/>
  <c r="HXI1" i="11"/>
  <c r="HXH1" i="11"/>
  <c r="HXG1" i="11"/>
  <c r="HXF1" i="11"/>
  <c r="HXE1" i="11"/>
  <c r="HXD1" i="11"/>
  <c r="HXC1" i="11"/>
  <c r="HXB1" i="11"/>
  <c r="HXA1" i="11"/>
  <c r="HWZ1" i="11"/>
  <c r="HWY1" i="11"/>
  <c r="HWX1" i="11"/>
  <c r="HWW1" i="11"/>
  <c r="HWV1" i="11"/>
  <c r="HWU1" i="11"/>
  <c r="HWT1" i="11"/>
  <c r="HWS1" i="11"/>
  <c r="HWR1" i="11"/>
  <c r="HWQ1" i="11"/>
  <c r="HWP1" i="11"/>
  <c r="HWO1" i="11"/>
  <c r="HWN1" i="11"/>
  <c r="HWM1" i="11"/>
  <c r="HWL1" i="11"/>
  <c r="HWK1" i="11"/>
  <c r="HWJ1" i="11"/>
  <c r="HWI1" i="11"/>
  <c r="HWH1" i="11"/>
  <c r="HWG1" i="11"/>
  <c r="HWF1" i="11"/>
  <c r="HWE1" i="11"/>
  <c r="HWD1" i="11"/>
  <c r="HWC1" i="11"/>
  <c r="HWB1" i="11"/>
  <c r="HWA1" i="11"/>
  <c r="HVZ1" i="11"/>
  <c r="HVY1" i="11"/>
  <c r="HVX1" i="11"/>
  <c r="HVW1" i="11"/>
  <c r="HVV1" i="11"/>
  <c r="HVU1" i="11"/>
  <c r="HVT1" i="11"/>
  <c r="HVS1" i="11"/>
  <c r="HVR1" i="11"/>
  <c r="HVQ1" i="11"/>
  <c r="HVP1" i="11"/>
  <c r="HVO1" i="11"/>
  <c r="HVN1" i="11"/>
  <c r="HVM1" i="11"/>
  <c r="HVL1" i="11"/>
  <c r="HVK1" i="11"/>
  <c r="HVJ1" i="11"/>
  <c r="HVI1" i="11"/>
  <c r="HVH1" i="11"/>
  <c r="HVG1" i="11"/>
  <c r="HVF1" i="11"/>
  <c r="HVE1" i="11"/>
  <c r="HVD1" i="11"/>
  <c r="HVC1" i="11"/>
  <c r="HVB1" i="11"/>
  <c r="HVA1" i="11"/>
  <c r="HUZ1" i="11"/>
  <c r="HUY1" i="11"/>
  <c r="HUX1" i="11"/>
  <c r="HUW1" i="11"/>
  <c r="HUV1" i="11"/>
  <c r="HUU1" i="11"/>
  <c r="HUT1" i="11"/>
  <c r="HUS1" i="11"/>
  <c r="HUR1" i="11"/>
  <c r="HUQ1" i="11"/>
  <c r="HUP1" i="11"/>
  <c r="HUO1" i="11"/>
  <c r="HUN1" i="11"/>
  <c r="HUM1" i="11"/>
  <c r="HUL1" i="11"/>
  <c r="HUK1" i="11"/>
  <c r="HUJ1" i="11"/>
  <c r="HUI1" i="11"/>
  <c r="HUH1" i="11"/>
  <c r="HUG1" i="11"/>
  <c r="HUF1" i="11"/>
  <c r="HUE1" i="11"/>
  <c r="HUD1" i="11"/>
  <c r="HUC1" i="11"/>
  <c r="HUB1" i="11"/>
  <c r="HUA1" i="11"/>
  <c r="HTZ1" i="11"/>
  <c r="HTY1" i="11"/>
  <c r="HTX1" i="11"/>
  <c r="HTW1" i="11"/>
  <c r="HTV1" i="11"/>
  <c r="HTU1" i="11"/>
  <c r="HTT1" i="11"/>
  <c r="HTS1" i="11"/>
  <c r="HTR1" i="11"/>
  <c r="HTQ1" i="11"/>
  <c r="HTP1" i="11"/>
  <c r="HTO1" i="11"/>
  <c r="HTN1" i="11"/>
  <c r="HTM1" i="11"/>
  <c r="HTL1" i="11"/>
  <c r="HTK1" i="11"/>
  <c r="HTJ1" i="11"/>
  <c r="HTI1" i="11"/>
  <c r="HTH1" i="11"/>
  <c r="HTG1" i="11"/>
  <c r="HTF1" i="11"/>
  <c r="HTE1" i="11"/>
  <c r="HTD1" i="11"/>
  <c r="HTC1" i="11"/>
  <c r="HTB1" i="11"/>
  <c r="HTA1" i="11"/>
  <c r="HSZ1" i="11"/>
  <c r="HSY1" i="11"/>
  <c r="HSX1" i="11"/>
  <c r="HSW1" i="11"/>
  <c r="HSV1" i="11"/>
  <c r="HSU1" i="11"/>
  <c r="HST1" i="11"/>
  <c r="HSS1" i="11"/>
  <c r="HSR1" i="11"/>
  <c r="HSQ1" i="11"/>
  <c r="HSP1" i="11"/>
  <c r="HSO1" i="11"/>
  <c r="HSN1" i="11"/>
  <c r="HSM1" i="11"/>
  <c r="HSL1" i="11"/>
  <c r="HSK1" i="11"/>
  <c r="HSJ1" i="11"/>
  <c r="HSI1" i="11"/>
  <c r="HSH1" i="11"/>
  <c r="HSG1" i="11"/>
  <c r="HSF1" i="11"/>
  <c r="HSE1" i="11"/>
  <c r="HSD1" i="11"/>
  <c r="HSC1" i="11"/>
  <c r="HSB1" i="11"/>
  <c r="HSA1" i="11"/>
  <c r="HRZ1" i="11"/>
  <c r="HRY1" i="11"/>
  <c r="HRX1" i="11"/>
  <c r="HRW1" i="11"/>
  <c r="HRV1" i="11"/>
  <c r="HRU1" i="11"/>
  <c r="HRT1" i="11"/>
  <c r="HRS1" i="11"/>
  <c r="HRR1" i="11"/>
  <c r="HRQ1" i="11"/>
  <c r="HRP1" i="11"/>
  <c r="HRO1" i="11"/>
  <c r="HRN1" i="11"/>
  <c r="HRM1" i="11"/>
  <c r="HRL1" i="11"/>
  <c r="HRK1" i="11"/>
  <c r="HRJ1" i="11"/>
  <c r="HRI1" i="11"/>
  <c r="HRH1" i="11"/>
  <c r="HRG1" i="11"/>
  <c r="HRF1" i="11"/>
  <c r="HRE1" i="11"/>
  <c r="HRD1" i="11"/>
  <c r="HRC1" i="11"/>
  <c r="HRB1" i="11"/>
  <c r="HRA1" i="11"/>
  <c r="HQZ1" i="11"/>
  <c r="HQY1" i="11"/>
  <c r="HQX1" i="11"/>
  <c r="HQW1" i="11"/>
  <c r="HQV1" i="11"/>
  <c r="HQU1" i="11"/>
  <c r="HQT1" i="11"/>
  <c r="HQS1" i="11"/>
  <c r="HQR1" i="11"/>
  <c r="HQQ1" i="11"/>
  <c r="HQP1" i="11"/>
  <c r="HQO1" i="11"/>
  <c r="HQN1" i="11"/>
  <c r="HQM1" i="11"/>
  <c r="HQL1" i="11"/>
  <c r="HQK1" i="11"/>
  <c r="HQJ1" i="11"/>
  <c r="HQI1" i="11"/>
  <c r="HQH1" i="11"/>
  <c r="HQG1" i="11"/>
  <c r="HQF1" i="11"/>
  <c r="HQE1" i="11"/>
  <c r="HQD1" i="11"/>
  <c r="HQC1" i="11"/>
  <c r="HQB1" i="11"/>
  <c r="HQA1" i="11"/>
  <c r="HPZ1" i="11"/>
  <c r="HPY1" i="11"/>
  <c r="HPX1" i="11"/>
  <c r="HPW1" i="11"/>
  <c r="HPV1" i="11"/>
  <c r="HPU1" i="11"/>
  <c r="HPT1" i="11"/>
  <c r="HPS1" i="11"/>
  <c r="HPR1" i="11"/>
  <c r="HPQ1" i="11"/>
  <c r="HPP1" i="11"/>
  <c r="HPO1" i="11"/>
  <c r="HPN1" i="11"/>
  <c r="HPM1" i="11"/>
  <c r="HPL1" i="11"/>
  <c r="HPK1" i="11"/>
  <c r="HPJ1" i="11"/>
  <c r="HPI1" i="11"/>
  <c r="HPH1" i="11"/>
  <c r="HPG1" i="11"/>
  <c r="HPF1" i="11"/>
  <c r="HPE1" i="11"/>
  <c r="HPD1" i="11"/>
  <c r="HPC1" i="11"/>
  <c r="HPB1" i="11"/>
  <c r="HPA1" i="11"/>
  <c r="HOZ1" i="11"/>
  <c r="HOY1" i="11"/>
  <c r="HOX1" i="11"/>
  <c r="HOW1" i="11"/>
  <c r="HOV1" i="11"/>
  <c r="HOU1" i="11"/>
  <c r="HOT1" i="11"/>
  <c r="HOS1" i="11"/>
  <c r="HOR1" i="11"/>
  <c r="HOQ1" i="11"/>
  <c r="HOP1" i="11"/>
  <c r="HOO1" i="11"/>
  <c r="HON1" i="11"/>
  <c r="HOM1" i="11"/>
  <c r="HOL1" i="11"/>
  <c r="HOK1" i="11"/>
  <c r="HOJ1" i="11"/>
  <c r="HOI1" i="11"/>
  <c r="HOH1" i="11"/>
  <c r="HOG1" i="11"/>
  <c r="HOF1" i="11"/>
  <c r="HOE1" i="11"/>
  <c r="HOD1" i="11"/>
  <c r="HOC1" i="11"/>
  <c r="HOB1" i="11"/>
  <c r="HOA1" i="11"/>
  <c r="HNZ1" i="11"/>
  <c r="HNY1" i="11"/>
  <c r="HNX1" i="11"/>
  <c r="HNW1" i="11"/>
  <c r="HNV1" i="11"/>
  <c r="HNU1" i="11"/>
  <c r="HNT1" i="11"/>
  <c r="HNS1" i="11"/>
  <c r="HNR1" i="11"/>
  <c r="HNQ1" i="11"/>
  <c r="HNP1" i="11"/>
  <c r="HNO1" i="11"/>
  <c r="HNN1" i="11"/>
  <c r="HNM1" i="11"/>
  <c r="HNL1" i="11"/>
  <c r="HNK1" i="11"/>
  <c r="HNJ1" i="11"/>
  <c r="HNI1" i="11"/>
  <c r="HNH1" i="11"/>
  <c r="HNG1" i="11"/>
  <c r="HNF1" i="11"/>
  <c r="HNE1" i="11"/>
  <c r="HND1" i="11"/>
  <c r="HNC1" i="11"/>
  <c r="HNB1" i="11"/>
  <c r="HNA1" i="11"/>
  <c r="HMZ1" i="11"/>
  <c r="HMY1" i="11"/>
  <c r="HMX1" i="11"/>
  <c r="HMW1" i="11"/>
  <c r="HMV1" i="11"/>
  <c r="HMU1" i="11"/>
  <c r="HMT1" i="11"/>
  <c r="HMS1" i="11"/>
  <c r="HMR1" i="11"/>
  <c r="HMQ1" i="11"/>
  <c r="HMP1" i="11"/>
  <c r="HMO1" i="11"/>
  <c r="HMN1" i="11"/>
  <c r="HMM1" i="11"/>
  <c r="HML1" i="11"/>
  <c r="HMK1" i="11"/>
  <c r="HMJ1" i="11"/>
  <c r="HMI1" i="11"/>
  <c r="HMH1" i="11"/>
  <c r="HMG1" i="11"/>
  <c r="HMF1" i="11"/>
  <c r="HME1" i="11"/>
  <c r="HMD1" i="11"/>
  <c r="HMC1" i="11"/>
  <c r="HMB1" i="11"/>
  <c r="HMA1" i="11"/>
  <c r="HLZ1" i="11"/>
  <c r="HLY1" i="11"/>
  <c r="HLX1" i="11"/>
  <c r="HLW1" i="11"/>
  <c r="HLV1" i="11"/>
  <c r="HLU1" i="11"/>
  <c r="HLT1" i="11"/>
  <c r="HLS1" i="11"/>
  <c r="HLR1" i="11"/>
  <c r="HLQ1" i="11"/>
  <c r="HLP1" i="11"/>
  <c r="HLO1" i="11"/>
  <c r="HLN1" i="11"/>
  <c r="HLM1" i="11"/>
  <c r="HLL1" i="11"/>
  <c r="HLK1" i="11"/>
  <c r="HLJ1" i="11"/>
  <c r="HLI1" i="11"/>
  <c r="HLH1" i="11"/>
  <c r="HLG1" i="11"/>
  <c r="HLF1" i="11"/>
  <c r="HLE1" i="11"/>
  <c r="HLD1" i="11"/>
  <c r="HLC1" i="11"/>
  <c r="HLB1" i="11"/>
  <c r="HLA1" i="11"/>
  <c r="HKZ1" i="11"/>
  <c r="HKY1" i="11"/>
  <c r="HKX1" i="11"/>
  <c r="HKW1" i="11"/>
  <c r="HKV1" i="11"/>
  <c r="HKU1" i="11"/>
  <c r="HKT1" i="11"/>
  <c r="HKS1" i="11"/>
  <c r="HKR1" i="11"/>
  <c r="HKQ1" i="11"/>
  <c r="HKP1" i="11"/>
  <c r="HKO1" i="11"/>
  <c r="HKN1" i="11"/>
  <c r="HKM1" i="11"/>
  <c r="HKL1" i="11"/>
  <c r="HKK1" i="11"/>
  <c r="HKJ1" i="11"/>
  <c r="HKI1" i="11"/>
  <c r="HKH1" i="11"/>
  <c r="HKG1" i="11"/>
  <c r="HKF1" i="11"/>
  <c r="HKE1" i="11"/>
  <c r="HKD1" i="11"/>
  <c r="HKC1" i="11"/>
  <c r="HKB1" i="11"/>
  <c r="HKA1" i="11"/>
  <c r="HJZ1" i="11"/>
  <c r="HJY1" i="11"/>
  <c r="HJX1" i="11"/>
  <c r="HJW1" i="11"/>
  <c r="HJV1" i="11"/>
  <c r="HJU1" i="11"/>
  <c r="HJT1" i="11"/>
  <c r="HJS1" i="11"/>
  <c r="HJR1" i="11"/>
  <c r="HJQ1" i="11"/>
  <c r="HJP1" i="11"/>
  <c r="HJO1" i="11"/>
  <c r="HJN1" i="11"/>
  <c r="HJM1" i="11"/>
  <c r="HJL1" i="11"/>
  <c r="HJK1" i="11"/>
  <c r="HJJ1" i="11"/>
  <c r="HJI1" i="11"/>
  <c r="HJH1" i="11"/>
  <c r="HJG1" i="11"/>
  <c r="HJF1" i="11"/>
  <c r="HJE1" i="11"/>
  <c r="HJD1" i="11"/>
  <c r="HJC1" i="11"/>
  <c r="HJB1" i="11"/>
  <c r="HJA1" i="11"/>
  <c r="HIZ1" i="11"/>
  <c r="HIY1" i="11"/>
  <c r="HIX1" i="11"/>
  <c r="HIW1" i="11"/>
  <c r="HIV1" i="11"/>
  <c r="HIU1" i="11"/>
  <c r="HIT1" i="11"/>
  <c r="HIS1" i="11"/>
  <c r="HIR1" i="11"/>
  <c r="HIQ1" i="11"/>
  <c r="HIP1" i="11"/>
  <c r="HIO1" i="11"/>
  <c r="HIN1" i="11"/>
  <c r="HIM1" i="11"/>
  <c r="HIL1" i="11"/>
  <c r="HIK1" i="11"/>
  <c r="HIJ1" i="11"/>
  <c r="HII1" i="11"/>
  <c r="HIH1" i="11"/>
  <c r="HIG1" i="11"/>
  <c r="HIF1" i="11"/>
  <c r="HIE1" i="11"/>
  <c r="HID1" i="11"/>
  <c r="HIC1" i="11"/>
  <c r="HIB1" i="11"/>
  <c r="HIA1" i="11"/>
  <c r="HHZ1" i="11"/>
  <c r="HHY1" i="11"/>
  <c r="HHX1" i="11"/>
  <c r="HHW1" i="11"/>
  <c r="HHV1" i="11"/>
  <c r="HHU1" i="11"/>
  <c r="HHT1" i="11"/>
  <c r="HHS1" i="11"/>
  <c r="HHR1" i="11"/>
  <c r="HHQ1" i="11"/>
  <c r="HHP1" i="11"/>
  <c r="HHO1" i="11"/>
  <c r="HHN1" i="11"/>
  <c r="HHM1" i="11"/>
  <c r="HHL1" i="11"/>
  <c r="HHK1" i="11"/>
  <c r="HHJ1" i="11"/>
  <c r="HHI1" i="11"/>
  <c r="HHH1" i="11"/>
  <c r="HHG1" i="11"/>
  <c r="HHF1" i="11"/>
  <c r="HHE1" i="11"/>
  <c r="HHD1" i="11"/>
  <c r="HHC1" i="11"/>
  <c r="HHB1" i="11"/>
  <c r="HHA1" i="11"/>
  <c r="HGZ1" i="11"/>
  <c r="HGY1" i="11"/>
  <c r="HGX1" i="11"/>
  <c r="HGW1" i="11"/>
  <c r="HGV1" i="11"/>
  <c r="HGU1" i="11"/>
  <c r="HGT1" i="11"/>
  <c r="HGS1" i="11"/>
  <c r="HGR1" i="11"/>
  <c r="HGQ1" i="11"/>
  <c r="HGP1" i="11"/>
  <c r="HGO1" i="11"/>
  <c r="HGN1" i="11"/>
  <c r="HGM1" i="11"/>
  <c r="HGL1" i="11"/>
  <c r="HGK1" i="11"/>
  <c r="HGJ1" i="11"/>
  <c r="HGI1" i="11"/>
  <c r="HGH1" i="11"/>
  <c r="HGG1" i="11"/>
  <c r="HGF1" i="11"/>
  <c r="HGE1" i="11"/>
  <c r="HGD1" i="11"/>
  <c r="HGC1" i="11"/>
  <c r="HGB1" i="11"/>
  <c r="HGA1" i="11"/>
  <c r="HFZ1" i="11"/>
  <c r="HFY1" i="11"/>
  <c r="HFX1" i="11"/>
  <c r="HFW1" i="11"/>
  <c r="HFV1" i="11"/>
  <c r="HFU1" i="11"/>
  <c r="HFT1" i="11"/>
  <c r="HFS1" i="11"/>
  <c r="HFR1" i="11"/>
  <c r="HFQ1" i="11"/>
  <c r="HFP1" i="11"/>
  <c r="HFO1" i="11"/>
  <c r="HFN1" i="11"/>
  <c r="HFM1" i="11"/>
  <c r="HFL1" i="11"/>
  <c r="HFK1" i="11"/>
  <c r="HFJ1" i="11"/>
  <c r="HFI1" i="11"/>
  <c r="HFH1" i="11"/>
  <c r="HFG1" i="11"/>
  <c r="HFF1" i="11"/>
  <c r="HFE1" i="11"/>
  <c r="HFD1" i="11"/>
  <c r="HFC1" i="11"/>
  <c r="HFB1" i="11"/>
  <c r="HFA1" i="11"/>
  <c r="HEZ1" i="11"/>
  <c r="HEY1" i="11"/>
  <c r="HEX1" i="11"/>
  <c r="HEW1" i="11"/>
  <c r="HEV1" i="11"/>
  <c r="HEU1" i="11"/>
  <c r="HET1" i="11"/>
  <c r="HES1" i="11"/>
  <c r="HER1" i="11"/>
  <c r="HEQ1" i="11"/>
  <c r="HEP1" i="11"/>
  <c r="HEO1" i="11"/>
  <c r="HEN1" i="11"/>
  <c r="HEM1" i="11"/>
  <c r="HEL1" i="11"/>
  <c r="HEK1" i="11"/>
  <c r="HEJ1" i="11"/>
  <c r="HEI1" i="11"/>
  <c r="HEH1" i="11"/>
  <c r="HEG1" i="11"/>
  <c r="HEF1" i="11"/>
  <c r="HEE1" i="11"/>
  <c r="HED1" i="11"/>
  <c r="HEC1" i="11"/>
  <c r="HEB1" i="11"/>
  <c r="HEA1" i="11"/>
  <c r="HDZ1" i="11"/>
  <c r="HDY1" i="11"/>
  <c r="HDX1" i="11"/>
  <c r="HDW1" i="11"/>
  <c r="HDV1" i="11"/>
  <c r="HDU1" i="11"/>
  <c r="HDT1" i="11"/>
  <c r="HDS1" i="11"/>
  <c r="HDR1" i="11"/>
  <c r="HDQ1" i="11"/>
  <c r="HDP1" i="11"/>
  <c r="HDO1" i="11"/>
  <c r="HDN1" i="11"/>
  <c r="HDM1" i="11"/>
  <c r="HDL1" i="11"/>
  <c r="HDK1" i="11"/>
  <c r="HDJ1" i="11"/>
  <c r="HDI1" i="11"/>
  <c r="HDH1" i="11"/>
  <c r="HDG1" i="11"/>
  <c r="HDF1" i="11"/>
  <c r="HDE1" i="11"/>
  <c r="HDD1" i="11"/>
  <c r="HDC1" i="11"/>
  <c r="HDB1" i="11"/>
  <c r="HDA1" i="11"/>
  <c r="HCZ1" i="11"/>
  <c r="HCY1" i="11"/>
  <c r="HCX1" i="11"/>
  <c r="HCW1" i="11"/>
  <c r="HCV1" i="11"/>
  <c r="HCU1" i="11"/>
  <c r="HCT1" i="11"/>
  <c r="HCS1" i="11"/>
  <c r="HCR1" i="11"/>
  <c r="HCQ1" i="11"/>
  <c r="HCP1" i="11"/>
  <c r="HCO1" i="11"/>
  <c r="HCN1" i="11"/>
  <c r="HCM1" i="11"/>
  <c r="HCL1" i="11"/>
  <c r="HCK1" i="11"/>
  <c r="HCJ1" i="11"/>
  <c r="HCI1" i="11"/>
  <c r="HCH1" i="11"/>
  <c r="HCG1" i="11"/>
  <c r="HCF1" i="11"/>
  <c r="HCE1" i="11"/>
  <c r="HCD1" i="11"/>
  <c r="HCC1" i="11"/>
  <c r="HCB1" i="11"/>
  <c r="HCA1" i="11"/>
  <c r="HBZ1" i="11"/>
  <c r="HBY1" i="11"/>
  <c r="HBX1" i="11"/>
  <c r="HBW1" i="11"/>
  <c r="HBV1" i="11"/>
  <c r="HBU1" i="11"/>
  <c r="HBT1" i="11"/>
  <c r="HBS1" i="11"/>
  <c r="HBR1" i="11"/>
  <c r="HBQ1" i="11"/>
  <c r="HBP1" i="11"/>
  <c r="HBO1" i="11"/>
  <c r="HBN1" i="11"/>
  <c r="HBM1" i="11"/>
  <c r="HBL1" i="11"/>
  <c r="HBK1" i="11"/>
  <c r="HBJ1" i="11"/>
  <c r="HBI1" i="11"/>
  <c r="HBH1" i="11"/>
  <c r="HBG1" i="11"/>
  <c r="HBF1" i="11"/>
  <c r="HBE1" i="11"/>
  <c r="HBD1" i="11"/>
  <c r="HBC1" i="11"/>
  <c r="HBB1" i="11"/>
  <c r="HBA1" i="11"/>
  <c r="HAZ1" i="11"/>
  <c r="HAY1" i="11"/>
  <c r="HAX1" i="11"/>
  <c r="HAW1" i="11"/>
  <c r="HAV1" i="11"/>
  <c r="HAU1" i="11"/>
  <c r="HAT1" i="11"/>
  <c r="HAS1" i="11"/>
  <c r="HAR1" i="11"/>
  <c r="HAQ1" i="11"/>
  <c r="HAP1" i="11"/>
  <c r="HAO1" i="11"/>
  <c r="HAN1" i="11"/>
  <c r="HAM1" i="11"/>
  <c r="HAL1" i="11"/>
  <c r="HAK1" i="11"/>
  <c r="HAJ1" i="11"/>
  <c r="HAI1" i="11"/>
  <c r="HAH1" i="11"/>
  <c r="HAG1" i="11"/>
  <c r="HAF1" i="11"/>
  <c r="HAE1" i="11"/>
  <c r="HAD1" i="11"/>
  <c r="HAC1" i="11"/>
  <c r="HAB1" i="11"/>
  <c r="HAA1" i="11"/>
  <c r="GZZ1" i="11"/>
  <c r="GZY1" i="11"/>
  <c r="GZX1" i="11"/>
  <c r="GZW1" i="11"/>
  <c r="GZV1" i="11"/>
  <c r="GZU1" i="11"/>
  <c r="GZT1" i="11"/>
  <c r="GZS1" i="11"/>
  <c r="GZR1" i="11"/>
  <c r="GZQ1" i="11"/>
  <c r="GZP1" i="11"/>
  <c r="GZO1" i="11"/>
  <c r="GZN1" i="11"/>
  <c r="GZM1" i="11"/>
  <c r="GZL1" i="11"/>
  <c r="GZK1" i="11"/>
  <c r="GZJ1" i="11"/>
  <c r="GZI1" i="11"/>
  <c r="GZH1" i="11"/>
  <c r="GZG1" i="11"/>
  <c r="GZF1" i="11"/>
  <c r="GZE1" i="11"/>
  <c r="GZD1" i="11"/>
  <c r="GZC1" i="11"/>
  <c r="GZB1" i="11"/>
  <c r="GZA1" i="11"/>
  <c r="GYZ1" i="11"/>
  <c r="GYY1" i="11"/>
  <c r="GYX1" i="11"/>
  <c r="GYW1" i="11"/>
  <c r="GYV1" i="11"/>
  <c r="GYU1" i="11"/>
  <c r="GYT1" i="11"/>
  <c r="GYS1" i="11"/>
  <c r="GYR1" i="11"/>
  <c r="GYQ1" i="11"/>
  <c r="GYP1" i="11"/>
  <c r="GYO1" i="11"/>
  <c r="GYN1" i="11"/>
  <c r="GYM1" i="11"/>
  <c r="GYL1" i="11"/>
  <c r="GYK1" i="11"/>
  <c r="GYJ1" i="11"/>
  <c r="GYI1" i="11"/>
  <c r="GYH1" i="11"/>
  <c r="GYG1" i="11"/>
  <c r="GYF1" i="11"/>
  <c r="GYE1" i="11"/>
  <c r="GYD1" i="11"/>
  <c r="GYC1" i="11"/>
  <c r="GYB1" i="11"/>
  <c r="GYA1" i="11"/>
  <c r="GXZ1" i="11"/>
  <c r="GXY1" i="11"/>
  <c r="GXX1" i="11"/>
  <c r="GXW1" i="11"/>
  <c r="GXV1" i="11"/>
  <c r="GXU1" i="11"/>
  <c r="GXT1" i="11"/>
  <c r="GXS1" i="11"/>
  <c r="GXR1" i="11"/>
  <c r="GXQ1" i="11"/>
  <c r="GXP1" i="11"/>
  <c r="GXO1" i="11"/>
  <c r="GXN1" i="11"/>
  <c r="GXM1" i="11"/>
  <c r="GXL1" i="11"/>
  <c r="GXK1" i="11"/>
  <c r="GXJ1" i="11"/>
  <c r="GXI1" i="11"/>
  <c r="GXH1" i="11"/>
  <c r="GXG1" i="11"/>
  <c r="GXF1" i="11"/>
  <c r="GXE1" i="11"/>
  <c r="GXD1" i="11"/>
  <c r="GXC1" i="11"/>
  <c r="GXB1" i="11"/>
  <c r="GXA1" i="11"/>
  <c r="GWZ1" i="11"/>
  <c r="GWY1" i="11"/>
  <c r="GWX1" i="11"/>
  <c r="GWW1" i="11"/>
  <c r="GWV1" i="11"/>
  <c r="GWU1" i="11"/>
  <c r="GWT1" i="11"/>
  <c r="GWS1" i="11"/>
  <c r="GWR1" i="11"/>
  <c r="GWQ1" i="11"/>
  <c r="GWP1" i="11"/>
  <c r="GWO1" i="11"/>
  <c r="GWN1" i="11"/>
  <c r="GWM1" i="11"/>
  <c r="GWL1" i="11"/>
  <c r="GWK1" i="11"/>
  <c r="GWJ1" i="11"/>
  <c r="GWI1" i="11"/>
  <c r="GWH1" i="11"/>
  <c r="GWG1" i="11"/>
  <c r="GWF1" i="11"/>
  <c r="GWE1" i="11"/>
  <c r="GWD1" i="11"/>
  <c r="GWC1" i="11"/>
  <c r="GWB1" i="11"/>
  <c r="GWA1" i="11"/>
  <c r="GVZ1" i="11"/>
  <c r="GVY1" i="11"/>
  <c r="GVX1" i="11"/>
  <c r="GVW1" i="11"/>
  <c r="GVV1" i="11"/>
  <c r="GVU1" i="11"/>
  <c r="GVT1" i="11"/>
  <c r="GVS1" i="11"/>
  <c r="GVR1" i="11"/>
  <c r="GVQ1" i="11"/>
  <c r="GVP1" i="11"/>
  <c r="GVO1" i="11"/>
  <c r="GVN1" i="11"/>
  <c r="GVM1" i="11"/>
  <c r="GVL1" i="11"/>
  <c r="GVK1" i="11"/>
  <c r="GVJ1" i="11"/>
  <c r="GVI1" i="11"/>
  <c r="GVH1" i="11"/>
  <c r="GVG1" i="11"/>
  <c r="GVF1" i="11"/>
  <c r="GVE1" i="11"/>
  <c r="GVD1" i="11"/>
  <c r="GVC1" i="11"/>
  <c r="GVB1" i="11"/>
  <c r="GVA1" i="11"/>
  <c r="GUZ1" i="11"/>
  <c r="GUY1" i="11"/>
  <c r="GUX1" i="11"/>
  <c r="GUW1" i="11"/>
  <c r="GUV1" i="11"/>
  <c r="GUU1" i="11"/>
  <c r="GUT1" i="11"/>
  <c r="GUS1" i="11"/>
  <c r="GUR1" i="11"/>
  <c r="GUQ1" i="11"/>
  <c r="GUP1" i="11"/>
  <c r="GUO1" i="11"/>
  <c r="GUN1" i="11"/>
  <c r="GUM1" i="11"/>
  <c r="GUL1" i="11"/>
  <c r="GUK1" i="11"/>
  <c r="GUJ1" i="11"/>
  <c r="GUI1" i="11"/>
  <c r="GUH1" i="11"/>
  <c r="GUG1" i="11"/>
  <c r="GUF1" i="11"/>
  <c r="GUE1" i="11"/>
  <c r="GUD1" i="11"/>
  <c r="GUC1" i="11"/>
  <c r="GUB1" i="11"/>
  <c r="GUA1" i="11"/>
  <c r="GTZ1" i="11"/>
  <c r="GTY1" i="11"/>
  <c r="GTX1" i="11"/>
  <c r="GTW1" i="11"/>
  <c r="GTV1" i="11"/>
  <c r="GTU1" i="11"/>
  <c r="GTT1" i="11"/>
  <c r="GTS1" i="11"/>
  <c r="GTR1" i="11"/>
  <c r="GTQ1" i="11"/>
  <c r="GTP1" i="11"/>
  <c r="GTO1" i="11"/>
  <c r="GTN1" i="11"/>
  <c r="GTM1" i="11"/>
  <c r="GTL1" i="11"/>
  <c r="GTK1" i="11"/>
  <c r="GTJ1" i="11"/>
  <c r="GTI1" i="11"/>
  <c r="GTH1" i="11"/>
  <c r="GTG1" i="11"/>
  <c r="GTF1" i="11"/>
  <c r="GTE1" i="11"/>
  <c r="GTD1" i="11"/>
  <c r="GTC1" i="11"/>
  <c r="GTB1" i="11"/>
  <c r="GTA1" i="11"/>
  <c r="GSZ1" i="11"/>
  <c r="GSY1" i="11"/>
  <c r="GSX1" i="11"/>
  <c r="GSW1" i="11"/>
  <c r="GSV1" i="11"/>
  <c r="GSU1" i="11"/>
  <c r="GST1" i="11"/>
  <c r="GSS1" i="11"/>
  <c r="GSR1" i="11"/>
  <c r="GSQ1" i="11"/>
  <c r="GSP1" i="11"/>
  <c r="GSO1" i="11"/>
  <c r="GSN1" i="11"/>
  <c r="GSM1" i="11"/>
  <c r="GSL1" i="11"/>
  <c r="GSK1" i="11"/>
  <c r="GSJ1" i="11"/>
  <c r="GSI1" i="11"/>
  <c r="GSH1" i="11"/>
  <c r="GSG1" i="11"/>
  <c r="GSF1" i="11"/>
  <c r="GSE1" i="11"/>
  <c r="GSD1" i="11"/>
  <c r="GSC1" i="11"/>
  <c r="GSB1" i="11"/>
  <c r="GSA1" i="11"/>
  <c r="GRZ1" i="11"/>
  <c r="GRY1" i="11"/>
  <c r="GRX1" i="11"/>
  <c r="GRW1" i="11"/>
  <c r="GRV1" i="11"/>
  <c r="GRU1" i="11"/>
  <c r="GRT1" i="11"/>
  <c r="GRS1" i="11"/>
  <c r="GRR1" i="11"/>
  <c r="GRQ1" i="11"/>
  <c r="GRP1" i="11"/>
  <c r="GRO1" i="11"/>
  <c r="GRN1" i="11"/>
  <c r="GRM1" i="11"/>
  <c r="GRL1" i="11"/>
  <c r="GRK1" i="11"/>
  <c r="GRJ1" i="11"/>
  <c r="GRI1" i="11"/>
  <c r="GRH1" i="11"/>
  <c r="GRG1" i="11"/>
  <c r="GRF1" i="11"/>
  <c r="GRE1" i="11"/>
  <c r="GRD1" i="11"/>
  <c r="GRC1" i="11"/>
  <c r="GRB1" i="11"/>
  <c r="GRA1" i="11"/>
  <c r="GQZ1" i="11"/>
  <c r="GQY1" i="11"/>
  <c r="GQX1" i="11"/>
  <c r="GQW1" i="11"/>
  <c r="GQV1" i="11"/>
  <c r="GQU1" i="11"/>
  <c r="GQT1" i="11"/>
  <c r="GQS1" i="11"/>
  <c r="GQR1" i="11"/>
  <c r="GQQ1" i="11"/>
  <c r="GQP1" i="11"/>
  <c r="GQO1" i="11"/>
  <c r="GQN1" i="11"/>
  <c r="GQM1" i="11"/>
  <c r="GQL1" i="11"/>
  <c r="GQK1" i="11"/>
  <c r="GQJ1" i="11"/>
  <c r="GQI1" i="11"/>
  <c r="GQH1" i="11"/>
  <c r="GQG1" i="11"/>
  <c r="GQF1" i="11"/>
  <c r="GQE1" i="11"/>
  <c r="GQD1" i="11"/>
  <c r="GQC1" i="11"/>
  <c r="GQB1" i="11"/>
  <c r="GQA1" i="11"/>
  <c r="GPZ1" i="11"/>
  <c r="GPY1" i="11"/>
  <c r="GPX1" i="11"/>
  <c r="GPW1" i="11"/>
  <c r="GPV1" i="11"/>
  <c r="GPU1" i="11"/>
  <c r="GPT1" i="11"/>
  <c r="GPS1" i="11"/>
  <c r="GPR1" i="11"/>
  <c r="GPQ1" i="11"/>
  <c r="GPP1" i="11"/>
  <c r="GPO1" i="11"/>
  <c r="GPN1" i="11"/>
  <c r="GPM1" i="11"/>
  <c r="GPL1" i="11"/>
  <c r="GPK1" i="11"/>
  <c r="GPJ1" i="11"/>
  <c r="GPI1" i="11"/>
  <c r="GPH1" i="11"/>
  <c r="GPG1" i="11"/>
  <c r="GPF1" i="11"/>
  <c r="GPE1" i="11"/>
  <c r="GPD1" i="11"/>
  <c r="GPC1" i="11"/>
  <c r="GPB1" i="11"/>
  <c r="GPA1" i="11"/>
  <c r="GOZ1" i="11"/>
  <c r="GOY1" i="11"/>
  <c r="GOX1" i="11"/>
  <c r="GOW1" i="11"/>
  <c r="GOV1" i="11"/>
  <c r="GOU1" i="11"/>
  <c r="GOT1" i="11"/>
  <c r="GOS1" i="11"/>
  <c r="GOR1" i="11"/>
  <c r="GOQ1" i="11"/>
  <c r="GOP1" i="11"/>
  <c r="GOO1" i="11"/>
  <c r="GON1" i="11"/>
  <c r="GOM1" i="11"/>
  <c r="GOL1" i="11"/>
  <c r="GOK1" i="11"/>
  <c r="GOJ1" i="11"/>
  <c r="GOI1" i="11"/>
  <c r="GOH1" i="11"/>
  <c r="GOG1" i="11"/>
  <c r="GOF1" i="11"/>
  <c r="GOE1" i="11"/>
  <c r="GOD1" i="11"/>
  <c r="GOC1" i="11"/>
  <c r="GOB1" i="11"/>
  <c r="GOA1" i="11"/>
  <c r="GNZ1" i="11"/>
  <c r="GNY1" i="11"/>
  <c r="GNX1" i="11"/>
  <c r="GNW1" i="11"/>
  <c r="GNV1" i="11"/>
  <c r="GNU1" i="11"/>
  <c r="GNT1" i="11"/>
  <c r="GNS1" i="11"/>
  <c r="GNR1" i="11"/>
  <c r="GNQ1" i="11"/>
  <c r="GNP1" i="11"/>
  <c r="GNO1" i="11"/>
  <c r="GNN1" i="11"/>
  <c r="GNM1" i="11"/>
  <c r="GNL1" i="11"/>
  <c r="GNK1" i="11"/>
  <c r="GNJ1" i="11"/>
  <c r="GNI1" i="11"/>
  <c r="GNH1" i="11"/>
  <c r="GNG1" i="11"/>
  <c r="GNF1" i="11"/>
  <c r="GNE1" i="11"/>
  <c r="GND1" i="11"/>
  <c r="GNC1" i="11"/>
  <c r="GNB1" i="11"/>
  <c r="GNA1" i="11"/>
  <c r="GMZ1" i="11"/>
  <c r="GMY1" i="11"/>
  <c r="GMX1" i="11"/>
  <c r="GMW1" i="11"/>
  <c r="GMV1" i="11"/>
  <c r="GMU1" i="11"/>
  <c r="GMT1" i="11"/>
  <c r="GMS1" i="11"/>
  <c r="GMR1" i="11"/>
  <c r="GMQ1" i="11"/>
  <c r="GMP1" i="11"/>
  <c r="GMO1" i="11"/>
  <c r="GMN1" i="11"/>
  <c r="GMM1" i="11"/>
  <c r="GML1" i="11"/>
  <c r="GMK1" i="11"/>
  <c r="GMJ1" i="11"/>
  <c r="GMI1" i="11"/>
  <c r="GMH1" i="11"/>
  <c r="GMG1" i="11"/>
  <c r="GMF1" i="11"/>
  <c r="GME1" i="11"/>
  <c r="GMD1" i="11"/>
  <c r="GMC1" i="11"/>
  <c r="GMB1" i="11"/>
  <c r="GMA1" i="11"/>
  <c r="GLZ1" i="11"/>
  <c r="GLY1" i="11"/>
  <c r="GLX1" i="11"/>
  <c r="GLW1" i="11"/>
  <c r="GLV1" i="11"/>
  <c r="GLU1" i="11"/>
  <c r="GLT1" i="11"/>
  <c r="GLS1" i="11"/>
  <c r="GLR1" i="11"/>
  <c r="GLQ1" i="11"/>
  <c r="GLP1" i="11"/>
  <c r="GLO1" i="11"/>
  <c r="GLN1" i="11"/>
  <c r="GLM1" i="11"/>
  <c r="GLL1" i="11"/>
  <c r="GLK1" i="11"/>
  <c r="GLJ1" i="11"/>
  <c r="GLI1" i="11"/>
  <c r="GLH1" i="11"/>
  <c r="GLG1" i="11"/>
  <c r="GLF1" i="11"/>
  <c r="GLE1" i="11"/>
  <c r="GLD1" i="11"/>
  <c r="GLC1" i="11"/>
  <c r="GLB1" i="11"/>
  <c r="GLA1" i="11"/>
  <c r="GKZ1" i="11"/>
  <c r="GKY1" i="11"/>
  <c r="GKX1" i="11"/>
  <c r="GKW1" i="11"/>
  <c r="GKV1" i="11"/>
  <c r="GKU1" i="11"/>
  <c r="GKT1" i="11"/>
  <c r="GKS1" i="11"/>
  <c r="GKR1" i="11"/>
  <c r="GKQ1" i="11"/>
  <c r="GKP1" i="11"/>
  <c r="GKO1" i="11"/>
  <c r="GKN1" i="11"/>
  <c r="GKM1" i="11"/>
  <c r="GKL1" i="11"/>
  <c r="GKK1" i="11"/>
  <c r="GKJ1" i="11"/>
  <c r="GKI1" i="11"/>
  <c r="GKH1" i="11"/>
  <c r="GKG1" i="11"/>
  <c r="GKF1" i="11"/>
  <c r="GKE1" i="11"/>
  <c r="GKD1" i="11"/>
  <c r="GKC1" i="11"/>
  <c r="GKB1" i="11"/>
  <c r="GKA1" i="11"/>
  <c r="GJZ1" i="11"/>
  <c r="GJY1" i="11"/>
  <c r="GJX1" i="11"/>
  <c r="GJW1" i="11"/>
  <c r="GJV1" i="11"/>
  <c r="GJU1" i="11"/>
  <c r="GJT1" i="11"/>
  <c r="GJS1" i="11"/>
  <c r="GJR1" i="11"/>
  <c r="GJQ1" i="11"/>
  <c r="GJP1" i="11"/>
  <c r="GJO1" i="11"/>
  <c r="GJN1" i="11"/>
  <c r="GJM1" i="11"/>
  <c r="GJL1" i="11"/>
  <c r="GJK1" i="11"/>
  <c r="GJJ1" i="11"/>
  <c r="GJI1" i="11"/>
  <c r="GJH1" i="11"/>
  <c r="GJG1" i="11"/>
  <c r="GJF1" i="11"/>
  <c r="GJE1" i="11"/>
  <c r="GJD1" i="11"/>
  <c r="GJC1" i="11"/>
  <c r="GJB1" i="11"/>
  <c r="GJA1" i="11"/>
  <c r="GIZ1" i="11"/>
  <c r="GIY1" i="11"/>
  <c r="GIX1" i="11"/>
  <c r="GIW1" i="11"/>
  <c r="GIV1" i="11"/>
  <c r="GIU1" i="11"/>
  <c r="GIT1" i="11"/>
  <c r="GIS1" i="11"/>
  <c r="GIR1" i="11"/>
  <c r="GIQ1" i="11"/>
  <c r="GIP1" i="11"/>
  <c r="GIO1" i="11"/>
  <c r="GIN1" i="11"/>
  <c r="GIM1" i="11"/>
  <c r="GIL1" i="11"/>
  <c r="GIK1" i="11"/>
  <c r="GIJ1" i="11"/>
  <c r="GII1" i="11"/>
  <c r="GIH1" i="11"/>
  <c r="GIG1" i="11"/>
  <c r="GIF1" i="11"/>
  <c r="GIE1" i="11"/>
  <c r="GID1" i="11"/>
  <c r="GIC1" i="11"/>
  <c r="GIB1" i="11"/>
  <c r="GIA1" i="11"/>
  <c r="GHZ1" i="11"/>
  <c r="GHY1" i="11"/>
  <c r="GHX1" i="11"/>
  <c r="GHW1" i="11"/>
  <c r="GHV1" i="11"/>
  <c r="GHU1" i="11"/>
  <c r="GHT1" i="11"/>
  <c r="GHS1" i="11"/>
  <c r="GHR1" i="11"/>
  <c r="GHQ1" i="11"/>
  <c r="GHP1" i="11"/>
  <c r="GHO1" i="11"/>
  <c r="GHN1" i="11"/>
  <c r="GHM1" i="11"/>
  <c r="GHL1" i="11"/>
  <c r="GHK1" i="11"/>
  <c r="GHJ1" i="11"/>
  <c r="GHI1" i="11"/>
  <c r="GHH1" i="11"/>
  <c r="GHG1" i="11"/>
  <c r="GHF1" i="11"/>
  <c r="GHE1" i="11"/>
  <c r="GHD1" i="11"/>
  <c r="GHC1" i="11"/>
  <c r="GHB1" i="11"/>
  <c r="GHA1" i="11"/>
  <c r="GGZ1" i="11"/>
  <c r="GGY1" i="11"/>
  <c r="GGX1" i="11"/>
  <c r="GGW1" i="11"/>
  <c r="GGV1" i="11"/>
  <c r="GGU1" i="11"/>
  <c r="GGT1" i="11"/>
  <c r="GGS1" i="11"/>
  <c r="GGR1" i="11"/>
  <c r="GGQ1" i="11"/>
  <c r="GGP1" i="11"/>
  <c r="GGO1" i="11"/>
  <c r="GGN1" i="11"/>
  <c r="GGM1" i="11"/>
  <c r="GGL1" i="11"/>
  <c r="GGK1" i="11"/>
  <c r="GGJ1" i="11"/>
  <c r="GGI1" i="11"/>
  <c r="GGH1" i="11"/>
  <c r="GGG1" i="11"/>
  <c r="GGF1" i="11"/>
  <c r="GGE1" i="11"/>
  <c r="GGD1" i="11"/>
  <c r="GGC1" i="11"/>
  <c r="GGB1" i="11"/>
  <c r="GGA1" i="11"/>
  <c r="GFZ1" i="11"/>
  <c r="GFY1" i="11"/>
  <c r="GFX1" i="11"/>
  <c r="GFW1" i="11"/>
  <c r="GFV1" i="11"/>
  <c r="GFU1" i="11"/>
  <c r="GFT1" i="11"/>
  <c r="GFS1" i="11"/>
  <c r="GFR1" i="11"/>
  <c r="GFQ1" i="11"/>
  <c r="GFP1" i="11"/>
  <c r="GFO1" i="11"/>
  <c r="GFN1" i="11"/>
  <c r="GFM1" i="11"/>
  <c r="GFL1" i="11"/>
  <c r="GFK1" i="11"/>
  <c r="GFJ1" i="11"/>
  <c r="GFI1" i="11"/>
  <c r="GFH1" i="11"/>
  <c r="GFG1" i="11"/>
  <c r="GFF1" i="11"/>
  <c r="GFE1" i="11"/>
  <c r="GFD1" i="11"/>
  <c r="GFC1" i="11"/>
  <c r="GFB1" i="11"/>
  <c r="GFA1" i="11"/>
  <c r="GEZ1" i="11"/>
  <c r="GEY1" i="11"/>
  <c r="GEX1" i="11"/>
  <c r="GEW1" i="11"/>
  <c r="GEV1" i="11"/>
  <c r="GEU1" i="11"/>
  <c r="GET1" i="11"/>
  <c r="GES1" i="11"/>
  <c r="GER1" i="11"/>
  <c r="GEQ1" i="11"/>
  <c r="GEP1" i="11"/>
  <c r="GEO1" i="11"/>
  <c r="GEN1" i="11"/>
  <c r="GEM1" i="11"/>
  <c r="GEL1" i="11"/>
  <c r="GEK1" i="11"/>
  <c r="GEJ1" i="11"/>
  <c r="GEI1" i="11"/>
  <c r="GEH1" i="11"/>
  <c r="GEG1" i="11"/>
  <c r="GEF1" i="11"/>
  <c r="GEE1" i="11"/>
  <c r="GED1" i="11"/>
  <c r="GEC1" i="11"/>
  <c r="GEB1" i="11"/>
  <c r="GEA1" i="11"/>
  <c r="GDZ1" i="11"/>
  <c r="GDY1" i="11"/>
  <c r="GDX1" i="11"/>
  <c r="GDW1" i="11"/>
  <c r="GDV1" i="11"/>
  <c r="GDU1" i="11"/>
  <c r="GDT1" i="11"/>
  <c r="GDS1" i="11"/>
  <c r="GDR1" i="11"/>
  <c r="GDQ1" i="11"/>
  <c r="GDP1" i="11"/>
  <c r="GDO1" i="11"/>
  <c r="GDN1" i="11"/>
  <c r="GDM1" i="11"/>
  <c r="GDL1" i="11"/>
  <c r="GDK1" i="11"/>
  <c r="GDJ1" i="11"/>
  <c r="GDI1" i="11"/>
  <c r="GDH1" i="11"/>
  <c r="GDG1" i="11"/>
  <c r="GDF1" i="11"/>
  <c r="GDE1" i="11"/>
  <c r="GDD1" i="11"/>
  <c r="GDC1" i="11"/>
  <c r="GDB1" i="11"/>
  <c r="GDA1" i="11"/>
  <c r="GCZ1" i="11"/>
  <c r="GCY1" i="11"/>
  <c r="GCX1" i="11"/>
  <c r="GCW1" i="11"/>
  <c r="GCV1" i="11"/>
  <c r="GCU1" i="11"/>
  <c r="GCT1" i="11"/>
  <c r="GCS1" i="11"/>
  <c r="GCR1" i="11"/>
  <c r="GCQ1" i="11"/>
  <c r="GCP1" i="11"/>
  <c r="GCO1" i="11"/>
  <c r="GCN1" i="11"/>
  <c r="GCM1" i="11"/>
  <c r="GCL1" i="11"/>
  <c r="GCK1" i="11"/>
  <c r="GCJ1" i="11"/>
  <c r="GCI1" i="11"/>
  <c r="GCH1" i="11"/>
  <c r="GCG1" i="11"/>
  <c r="GCF1" i="11"/>
  <c r="GCE1" i="11"/>
  <c r="GCD1" i="11"/>
  <c r="GCC1" i="11"/>
  <c r="GCB1" i="11"/>
  <c r="GCA1" i="11"/>
  <c r="GBZ1" i="11"/>
  <c r="GBY1" i="11"/>
  <c r="GBX1" i="11"/>
  <c r="GBW1" i="11"/>
  <c r="GBV1" i="11"/>
  <c r="GBU1" i="11"/>
  <c r="GBT1" i="11"/>
  <c r="GBS1" i="11"/>
  <c r="GBR1" i="11"/>
  <c r="GBQ1" i="11"/>
  <c r="GBP1" i="11"/>
  <c r="GBO1" i="11"/>
  <c r="GBN1" i="11"/>
  <c r="GBM1" i="11"/>
  <c r="GBL1" i="11"/>
  <c r="GBK1" i="11"/>
  <c r="GBJ1" i="11"/>
  <c r="GBI1" i="11"/>
  <c r="GBH1" i="11"/>
  <c r="GBG1" i="11"/>
  <c r="GBF1" i="11"/>
  <c r="GBE1" i="11"/>
  <c r="GBD1" i="11"/>
  <c r="GBC1" i="11"/>
  <c r="GBB1" i="11"/>
  <c r="GBA1" i="11"/>
  <c r="GAZ1" i="11"/>
  <c r="GAY1" i="11"/>
  <c r="GAX1" i="11"/>
  <c r="GAW1" i="11"/>
  <c r="GAV1" i="11"/>
  <c r="GAU1" i="11"/>
  <c r="GAT1" i="11"/>
  <c r="GAS1" i="11"/>
  <c r="GAR1" i="11"/>
  <c r="GAQ1" i="11"/>
  <c r="GAP1" i="11"/>
  <c r="GAO1" i="11"/>
  <c r="GAN1" i="11"/>
  <c r="GAM1" i="11"/>
  <c r="GAL1" i="11"/>
  <c r="GAK1" i="11"/>
  <c r="GAJ1" i="11"/>
  <c r="GAI1" i="11"/>
  <c r="GAH1" i="11"/>
  <c r="GAG1" i="11"/>
  <c r="GAF1" i="11"/>
  <c r="GAE1" i="11"/>
  <c r="GAD1" i="11"/>
  <c r="GAC1" i="11"/>
  <c r="GAB1" i="11"/>
  <c r="GAA1" i="11"/>
  <c r="FZZ1" i="11"/>
  <c r="FZY1" i="11"/>
  <c r="FZX1" i="11"/>
  <c r="FZW1" i="11"/>
  <c r="FZV1" i="11"/>
  <c r="FZU1" i="11"/>
  <c r="FZT1" i="11"/>
  <c r="FZS1" i="11"/>
  <c r="FZR1" i="11"/>
  <c r="FZQ1" i="11"/>
  <c r="FZP1" i="11"/>
  <c r="FZO1" i="11"/>
  <c r="FZN1" i="11"/>
  <c r="FZM1" i="11"/>
  <c r="FZL1" i="11"/>
  <c r="FZK1" i="11"/>
  <c r="FZJ1" i="11"/>
  <c r="FZI1" i="11"/>
  <c r="FZH1" i="11"/>
  <c r="FZG1" i="11"/>
  <c r="FZF1" i="11"/>
  <c r="FZE1" i="11"/>
  <c r="FZD1" i="11"/>
  <c r="FZC1" i="11"/>
  <c r="FZB1" i="11"/>
  <c r="FZA1" i="11"/>
  <c r="FYZ1" i="11"/>
  <c r="FYY1" i="11"/>
  <c r="FYX1" i="11"/>
  <c r="FYW1" i="11"/>
  <c r="FYV1" i="11"/>
  <c r="FYU1" i="11"/>
  <c r="FYT1" i="11"/>
  <c r="FYS1" i="11"/>
  <c r="FYR1" i="11"/>
  <c r="FYQ1" i="11"/>
  <c r="FYP1" i="11"/>
  <c r="FYO1" i="11"/>
  <c r="FYN1" i="11"/>
  <c r="FYM1" i="11"/>
  <c r="FYL1" i="11"/>
  <c r="FYK1" i="11"/>
  <c r="FYJ1" i="11"/>
  <c r="FYI1" i="11"/>
  <c r="FYH1" i="11"/>
  <c r="FYG1" i="11"/>
  <c r="FYF1" i="11"/>
  <c r="FYE1" i="11"/>
  <c r="FYD1" i="11"/>
  <c r="FYC1" i="11"/>
  <c r="FYB1" i="11"/>
  <c r="FYA1" i="11"/>
  <c r="FXZ1" i="11"/>
  <c r="FXY1" i="11"/>
  <c r="FXX1" i="11"/>
  <c r="FXW1" i="11"/>
  <c r="FXV1" i="11"/>
  <c r="FXU1" i="11"/>
  <c r="FXT1" i="11"/>
  <c r="FXS1" i="11"/>
  <c r="FXR1" i="11"/>
  <c r="FXQ1" i="11"/>
  <c r="FXP1" i="11"/>
  <c r="FXO1" i="11"/>
  <c r="FXN1" i="11"/>
  <c r="FXM1" i="11"/>
  <c r="FXL1" i="11"/>
  <c r="FXK1" i="11"/>
  <c r="FXJ1" i="11"/>
  <c r="FXI1" i="11"/>
  <c r="FXH1" i="11"/>
  <c r="FXG1" i="11"/>
  <c r="FXF1" i="11"/>
  <c r="FXE1" i="11"/>
  <c r="FXD1" i="11"/>
  <c r="FXC1" i="11"/>
  <c r="FXB1" i="11"/>
  <c r="FXA1" i="11"/>
  <c r="FWZ1" i="11"/>
  <c r="FWY1" i="11"/>
  <c r="FWX1" i="11"/>
  <c r="FWW1" i="11"/>
  <c r="FWV1" i="11"/>
  <c r="FWU1" i="11"/>
  <c r="FWT1" i="11"/>
  <c r="FWS1" i="11"/>
  <c r="FWR1" i="11"/>
  <c r="FWQ1" i="11"/>
  <c r="FWP1" i="11"/>
  <c r="FWO1" i="11"/>
  <c r="FWN1" i="11"/>
  <c r="FWM1" i="11"/>
  <c r="FWL1" i="11"/>
  <c r="FWK1" i="11"/>
  <c r="FWJ1" i="11"/>
  <c r="FWI1" i="11"/>
  <c r="FWH1" i="11"/>
  <c r="FWG1" i="11"/>
  <c r="FWF1" i="11"/>
  <c r="FWE1" i="11"/>
  <c r="FWD1" i="11"/>
  <c r="FWC1" i="11"/>
  <c r="FWB1" i="11"/>
  <c r="FWA1" i="11"/>
  <c r="FVZ1" i="11"/>
  <c r="FVY1" i="11"/>
  <c r="FVX1" i="11"/>
  <c r="FVW1" i="11"/>
  <c r="FVV1" i="11"/>
  <c r="FVU1" i="11"/>
  <c r="FVT1" i="11"/>
  <c r="FVS1" i="11"/>
  <c r="FVR1" i="11"/>
  <c r="FVQ1" i="11"/>
  <c r="FVP1" i="11"/>
  <c r="FVO1" i="11"/>
  <c r="FVN1" i="11"/>
  <c r="FVM1" i="11"/>
  <c r="FVL1" i="11"/>
  <c r="FVK1" i="11"/>
  <c r="FVJ1" i="11"/>
  <c r="FVI1" i="11"/>
  <c r="FVH1" i="11"/>
  <c r="FVG1" i="11"/>
  <c r="FVF1" i="11"/>
  <c r="FVE1" i="11"/>
  <c r="FVD1" i="11"/>
  <c r="FVC1" i="11"/>
  <c r="FVB1" i="11"/>
  <c r="FVA1" i="11"/>
  <c r="FUZ1" i="11"/>
  <c r="FUY1" i="11"/>
  <c r="FUX1" i="11"/>
  <c r="FUW1" i="11"/>
  <c r="FUV1" i="11"/>
  <c r="FUU1" i="11"/>
  <c r="FUT1" i="11"/>
  <c r="FUS1" i="11"/>
  <c r="FUR1" i="11"/>
  <c r="FUQ1" i="11"/>
  <c r="FUP1" i="11"/>
  <c r="FUO1" i="11"/>
  <c r="FUN1" i="11"/>
  <c r="FUM1" i="11"/>
  <c r="FUL1" i="11"/>
  <c r="FUK1" i="11"/>
  <c r="FUJ1" i="11"/>
  <c r="FUI1" i="11"/>
  <c r="FUH1" i="11"/>
  <c r="FUG1" i="11"/>
  <c r="FUF1" i="11"/>
  <c r="FUE1" i="11"/>
  <c r="FUD1" i="11"/>
  <c r="FUC1" i="11"/>
  <c r="FUB1" i="11"/>
  <c r="FUA1" i="11"/>
  <c r="FTZ1" i="11"/>
  <c r="FTY1" i="11"/>
  <c r="FTX1" i="11"/>
  <c r="FTW1" i="11"/>
  <c r="FTV1" i="11"/>
  <c r="FTU1" i="11"/>
  <c r="FTT1" i="11"/>
  <c r="FTS1" i="11"/>
  <c r="FTR1" i="11"/>
  <c r="FTQ1" i="11"/>
  <c r="FTP1" i="11"/>
  <c r="FTO1" i="11"/>
  <c r="FTN1" i="11"/>
  <c r="FTM1" i="11"/>
  <c r="FTL1" i="11"/>
  <c r="FTK1" i="11"/>
  <c r="FTJ1" i="11"/>
  <c r="FTI1" i="11"/>
  <c r="FTH1" i="11"/>
  <c r="FTG1" i="11"/>
  <c r="FTF1" i="11"/>
  <c r="FTE1" i="11"/>
  <c r="FTD1" i="11"/>
  <c r="FTC1" i="11"/>
  <c r="FTB1" i="11"/>
  <c r="FTA1" i="11"/>
  <c r="FSZ1" i="11"/>
  <c r="FSY1" i="11"/>
  <c r="FSX1" i="11"/>
  <c r="FSW1" i="11"/>
  <c r="FSV1" i="11"/>
  <c r="FSU1" i="11"/>
  <c r="FST1" i="11"/>
  <c r="FSS1" i="11"/>
  <c r="FSR1" i="11"/>
  <c r="FSQ1" i="11"/>
  <c r="FSP1" i="11"/>
  <c r="FSO1" i="11"/>
  <c r="FSN1" i="11"/>
  <c r="FSM1" i="11"/>
  <c r="FSL1" i="11"/>
  <c r="FSK1" i="11"/>
  <c r="FSJ1" i="11"/>
  <c r="FSI1" i="11"/>
  <c r="FSH1" i="11"/>
  <c r="FSG1" i="11"/>
  <c r="FSF1" i="11"/>
  <c r="FSE1" i="11"/>
  <c r="FSD1" i="11"/>
  <c r="FSC1" i="11"/>
  <c r="FSB1" i="11"/>
  <c r="FSA1" i="11"/>
  <c r="FRZ1" i="11"/>
  <c r="FRY1" i="11"/>
  <c r="FRX1" i="11"/>
  <c r="FRW1" i="11"/>
  <c r="FRV1" i="11"/>
  <c r="FRU1" i="11"/>
  <c r="FRT1" i="11"/>
  <c r="FRS1" i="11"/>
  <c r="FRR1" i="11"/>
  <c r="FRQ1" i="11"/>
  <c r="FRP1" i="11"/>
  <c r="FRO1" i="11"/>
  <c r="FRN1" i="11"/>
  <c r="FRM1" i="11"/>
  <c r="FRL1" i="11"/>
  <c r="FRK1" i="11"/>
  <c r="FRJ1" i="11"/>
  <c r="FRI1" i="11"/>
  <c r="FRH1" i="11"/>
  <c r="FRG1" i="11"/>
  <c r="FRF1" i="11"/>
  <c r="FRE1" i="11"/>
  <c r="FRD1" i="11"/>
  <c r="FRC1" i="11"/>
  <c r="FRB1" i="11"/>
  <c r="FRA1" i="11"/>
  <c r="FQZ1" i="11"/>
  <c r="FQY1" i="11"/>
  <c r="FQX1" i="11"/>
  <c r="FQW1" i="11"/>
  <c r="FQV1" i="11"/>
  <c r="FQU1" i="11"/>
  <c r="FQT1" i="11"/>
  <c r="FQS1" i="11"/>
  <c r="FQR1" i="11"/>
  <c r="FQQ1" i="11"/>
  <c r="FQP1" i="11"/>
  <c r="FQO1" i="11"/>
  <c r="FQN1" i="11"/>
  <c r="FQM1" i="11"/>
  <c r="FQL1" i="11"/>
  <c r="FQK1" i="11"/>
  <c r="FQJ1" i="11"/>
  <c r="FQI1" i="11"/>
  <c r="FQH1" i="11"/>
  <c r="FQG1" i="11"/>
  <c r="FQF1" i="11"/>
  <c r="FQE1" i="11"/>
  <c r="FQD1" i="11"/>
  <c r="FQC1" i="11"/>
  <c r="FQB1" i="11"/>
  <c r="FQA1" i="11"/>
  <c r="FPZ1" i="11"/>
  <c r="FPY1" i="11"/>
  <c r="FPX1" i="11"/>
  <c r="FPW1" i="11"/>
  <c r="FPV1" i="11"/>
  <c r="FPU1" i="11"/>
  <c r="FPT1" i="11"/>
  <c r="FPS1" i="11"/>
  <c r="FPR1" i="11"/>
  <c r="FPQ1" i="11"/>
  <c r="FPP1" i="11"/>
  <c r="FPO1" i="11"/>
  <c r="FPN1" i="11"/>
  <c r="FPM1" i="11"/>
  <c r="FPL1" i="11"/>
  <c r="FPK1" i="11"/>
  <c r="FPJ1" i="11"/>
  <c r="FPI1" i="11"/>
  <c r="FPH1" i="11"/>
  <c r="FPG1" i="11"/>
  <c r="FPF1" i="11"/>
  <c r="FPE1" i="11"/>
  <c r="FPD1" i="11"/>
  <c r="FPC1" i="11"/>
  <c r="FPB1" i="11"/>
  <c r="FPA1" i="11"/>
  <c r="FOZ1" i="11"/>
  <c r="FOY1" i="11"/>
  <c r="FOX1" i="11"/>
  <c r="FOW1" i="11"/>
  <c r="FOV1" i="11"/>
  <c r="FOU1" i="11"/>
  <c r="FOT1" i="11"/>
  <c r="FOS1" i="11"/>
  <c r="FOR1" i="11"/>
  <c r="FOQ1" i="11"/>
  <c r="FOP1" i="11"/>
  <c r="FOO1" i="11"/>
  <c r="FON1" i="11"/>
  <c r="FOM1" i="11"/>
  <c r="FOL1" i="11"/>
  <c r="FOK1" i="11"/>
  <c r="FOJ1" i="11"/>
  <c r="FOI1" i="11"/>
  <c r="FOH1" i="11"/>
  <c r="FOG1" i="11"/>
  <c r="FOF1" i="11"/>
  <c r="FOE1" i="11"/>
  <c r="FOD1" i="11"/>
  <c r="FOC1" i="11"/>
  <c r="FOB1" i="11"/>
  <c r="FOA1" i="11"/>
  <c r="FNZ1" i="11"/>
  <c r="FNY1" i="11"/>
  <c r="FNX1" i="11"/>
  <c r="FNW1" i="11"/>
  <c r="FNV1" i="11"/>
  <c r="FNU1" i="11"/>
  <c r="FNT1" i="11"/>
  <c r="FNS1" i="11"/>
  <c r="FNR1" i="11"/>
  <c r="FNQ1" i="11"/>
  <c r="FNP1" i="11"/>
  <c r="FNO1" i="11"/>
  <c r="FNN1" i="11"/>
  <c r="FNM1" i="11"/>
  <c r="FNL1" i="11"/>
  <c r="FNK1" i="11"/>
  <c r="FNJ1" i="11"/>
  <c r="FNI1" i="11"/>
  <c r="FNH1" i="11"/>
  <c r="FNG1" i="11"/>
  <c r="FNF1" i="11"/>
  <c r="FNE1" i="11"/>
  <c r="FND1" i="11"/>
  <c r="FNC1" i="11"/>
  <c r="FNB1" i="11"/>
  <c r="FNA1" i="11"/>
  <c r="FMZ1" i="11"/>
  <c r="FMY1" i="11"/>
  <c r="FMX1" i="11"/>
  <c r="FMW1" i="11"/>
  <c r="FMV1" i="11"/>
  <c r="FMU1" i="11"/>
  <c r="FMT1" i="11"/>
  <c r="FMS1" i="11"/>
  <c r="FMR1" i="11"/>
  <c r="FMQ1" i="11"/>
  <c r="FMP1" i="11"/>
  <c r="FMO1" i="11"/>
  <c r="FMN1" i="11"/>
  <c r="FMM1" i="11"/>
  <c r="FML1" i="11"/>
  <c r="FMK1" i="11"/>
  <c r="FMJ1" i="11"/>
  <c r="FMI1" i="11"/>
  <c r="FMH1" i="11"/>
  <c r="FMG1" i="11"/>
  <c r="FMF1" i="11"/>
  <c r="FME1" i="11"/>
  <c r="FMD1" i="11"/>
  <c r="FMC1" i="11"/>
  <c r="FMB1" i="11"/>
  <c r="FMA1" i="11"/>
  <c r="FLZ1" i="11"/>
  <c r="FLY1" i="11"/>
  <c r="FLX1" i="11"/>
  <c r="FLW1" i="11"/>
  <c r="FLV1" i="11"/>
  <c r="FLU1" i="11"/>
  <c r="FLT1" i="11"/>
  <c r="FLS1" i="11"/>
  <c r="FLR1" i="11"/>
  <c r="FLQ1" i="11"/>
  <c r="FLP1" i="11"/>
  <c r="FLO1" i="11"/>
  <c r="FLN1" i="11"/>
  <c r="FLM1" i="11"/>
  <c r="FLL1" i="11"/>
  <c r="FLK1" i="11"/>
  <c r="FLJ1" i="11"/>
  <c r="FLI1" i="11"/>
  <c r="FLH1" i="11"/>
  <c r="FLG1" i="11"/>
  <c r="FLF1" i="11"/>
  <c r="FLE1" i="11"/>
  <c r="FLD1" i="11"/>
  <c r="FLC1" i="11"/>
  <c r="FLB1" i="11"/>
  <c r="FLA1" i="11"/>
  <c r="FKZ1" i="11"/>
  <c r="FKY1" i="11"/>
  <c r="FKX1" i="11"/>
  <c r="FKW1" i="11"/>
  <c r="FKV1" i="11"/>
  <c r="FKU1" i="11"/>
  <c r="FKT1" i="11"/>
  <c r="FKS1" i="11"/>
  <c r="FKR1" i="11"/>
  <c r="FKQ1" i="11"/>
  <c r="FKP1" i="11"/>
  <c r="FKO1" i="11"/>
  <c r="FKN1" i="11"/>
  <c r="FKM1" i="11"/>
  <c r="FKL1" i="11"/>
  <c r="FKK1" i="11"/>
  <c r="FKJ1" i="11"/>
  <c r="FKI1" i="11"/>
  <c r="FKH1" i="11"/>
  <c r="FKG1" i="11"/>
  <c r="FKF1" i="11"/>
  <c r="FKE1" i="11"/>
  <c r="FKD1" i="11"/>
  <c r="FKC1" i="11"/>
  <c r="FKB1" i="11"/>
  <c r="FKA1" i="11"/>
  <c r="FJZ1" i="11"/>
  <c r="FJY1" i="11"/>
  <c r="FJX1" i="11"/>
  <c r="FJW1" i="11"/>
  <c r="FJV1" i="11"/>
  <c r="FJU1" i="11"/>
  <c r="FJT1" i="11"/>
  <c r="FJS1" i="11"/>
  <c r="FJR1" i="11"/>
  <c r="FJQ1" i="11"/>
  <c r="FJP1" i="11"/>
  <c r="FJO1" i="11"/>
  <c r="FJN1" i="11"/>
  <c r="FJM1" i="11"/>
  <c r="FJL1" i="11"/>
  <c r="FJK1" i="11"/>
  <c r="FJJ1" i="11"/>
  <c r="FJI1" i="11"/>
  <c r="FJH1" i="11"/>
  <c r="FJG1" i="11"/>
  <c r="FJF1" i="11"/>
  <c r="FJE1" i="11"/>
  <c r="FJD1" i="11"/>
  <c r="FJC1" i="11"/>
  <c r="FJB1" i="11"/>
  <c r="FJA1" i="11"/>
  <c r="FIZ1" i="11"/>
  <c r="FIY1" i="11"/>
  <c r="FIX1" i="11"/>
  <c r="FIW1" i="11"/>
  <c r="FIV1" i="11"/>
  <c r="FIU1" i="11"/>
  <c r="FIT1" i="11"/>
  <c r="FIS1" i="11"/>
  <c r="FIR1" i="11"/>
  <c r="FIQ1" i="11"/>
  <c r="FIP1" i="11"/>
  <c r="FIO1" i="11"/>
  <c r="FIN1" i="11"/>
  <c r="FIM1" i="11"/>
  <c r="FIL1" i="11"/>
  <c r="FIK1" i="11"/>
  <c r="FIJ1" i="11"/>
  <c r="FII1" i="11"/>
  <c r="FIH1" i="11"/>
  <c r="FIG1" i="11"/>
  <c r="FIF1" i="11"/>
  <c r="FIE1" i="11"/>
  <c r="FID1" i="11"/>
  <c r="FIC1" i="11"/>
  <c r="FIB1" i="11"/>
  <c r="FIA1" i="11"/>
  <c r="FHZ1" i="11"/>
  <c r="FHY1" i="11"/>
  <c r="FHX1" i="11"/>
  <c r="FHW1" i="11"/>
  <c r="FHV1" i="11"/>
  <c r="FHU1" i="11"/>
  <c r="FHT1" i="11"/>
  <c r="FHS1" i="11"/>
  <c r="FHR1" i="11"/>
  <c r="FHQ1" i="11"/>
  <c r="FHP1" i="11"/>
  <c r="FHO1" i="11"/>
  <c r="FHN1" i="11"/>
  <c r="FHM1" i="11"/>
  <c r="FHL1" i="11"/>
  <c r="FHK1" i="11"/>
  <c r="FHJ1" i="11"/>
  <c r="FHI1" i="11"/>
  <c r="FHH1" i="11"/>
  <c r="FHG1" i="11"/>
  <c r="FHF1" i="11"/>
  <c r="FHE1" i="11"/>
  <c r="FHD1" i="11"/>
  <c r="FHC1" i="11"/>
  <c r="FHB1" i="11"/>
  <c r="FHA1" i="11"/>
  <c r="FGZ1" i="11"/>
  <c r="FGY1" i="11"/>
  <c r="FGX1" i="11"/>
  <c r="FGW1" i="11"/>
  <c r="FGV1" i="11"/>
  <c r="FGU1" i="11"/>
  <c r="FGT1" i="11"/>
  <c r="FGS1" i="11"/>
  <c r="FGR1" i="11"/>
  <c r="FGQ1" i="11"/>
  <c r="FGP1" i="11"/>
  <c r="FGO1" i="11"/>
  <c r="FGN1" i="11"/>
  <c r="FGM1" i="11"/>
  <c r="FGL1" i="11"/>
  <c r="FGK1" i="11"/>
  <c r="FGJ1" i="11"/>
  <c r="FGI1" i="11"/>
  <c r="FGH1" i="11"/>
  <c r="FGG1" i="11"/>
  <c r="FGF1" i="11"/>
  <c r="FGE1" i="11"/>
  <c r="FGD1" i="11"/>
  <c r="FGC1" i="11"/>
  <c r="FGB1" i="11"/>
  <c r="FGA1" i="11"/>
  <c r="FFZ1" i="11"/>
  <c r="FFY1" i="11"/>
  <c r="FFX1" i="11"/>
  <c r="FFW1" i="11"/>
  <c r="FFV1" i="11"/>
  <c r="FFU1" i="11"/>
  <c r="FFT1" i="11"/>
  <c r="FFS1" i="11"/>
  <c r="FFR1" i="11"/>
  <c r="FFQ1" i="11"/>
  <c r="FFP1" i="11"/>
  <c r="FFO1" i="11"/>
  <c r="FFN1" i="11"/>
  <c r="FFM1" i="11"/>
  <c r="FFL1" i="11"/>
  <c r="FFK1" i="11"/>
  <c r="FFJ1" i="11"/>
  <c r="FFI1" i="11"/>
  <c r="FFH1" i="11"/>
  <c r="FFG1" i="11"/>
  <c r="FFF1" i="11"/>
  <c r="FFE1" i="11"/>
  <c r="FFD1" i="11"/>
  <c r="FFC1" i="11"/>
  <c r="FFB1" i="11"/>
  <c r="FFA1" i="11"/>
  <c r="FEZ1" i="11"/>
  <c r="FEY1" i="11"/>
  <c r="FEX1" i="11"/>
  <c r="FEW1" i="11"/>
  <c r="FEV1" i="11"/>
  <c r="FEU1" i="11"/>
  <c r="FET1" i="11"/>
  <c r="FES1" i="11"/>
  <c r="FER1" i="11"/>
  <c r="FEQ1" i="11"/>
  <c r="FEP1" i="11"/>
  <c r="FEO1" i="11"/>
  <c r="FEN1" i="11"/>
  <c r="FEM1" i="11"/>
  <c r="FEL1" i="11"/>
  <c r="FEK1" i="11"/>
  <c r="FEJ1" i="11"/>
  <c r="FEI1" i="11"/>
  <c r="FEH1" i="11"/>
  <c r="FEG1" i="11"/>
  <c r="FEF1" i="11"/>
  <c r="FEE1" i="11"/>
  <c r="FED1" i="11"/>
  <c r="FEC1" i="11"/>
  <c r="FEB1" i="11"/>
  <c r="FEA1" i="11"/>
  <c r="FDZ1" i="11"/>
  <c r="FDY1" i="11"/>
  <c r="FDX1" i="11"/>
  <c r="FDW1" i="11"/>
  <c r="FDV1" i="11"/>
  <c r="FDU1" i="11"/>
  <c r="FDT1" i="11"/>
  <c r="FDS1" i="11"/>
  <c r="FDR1" i="11"/>
  <c r="FDQ1" i="11"/>
  <c r="FDP1" i="11"/>
  <c r="FDO1" i="11"/>
  <c r="FDN1" i="11"/>
  <c r="FDM1" i="11"/>
  <c r="FDL1" i="11"/>
  <c r="FDK1" i="11"/>
  <c r="FDJ1" i="11"/>
  <c r="FDI1" i="11"/>
  <c r="FDH1" i="11"/>
  <c r="FDG1" i="11"/>
  <c r="FDF1" i="11"/>
  <c r="FDE1" i="11"/>
  <c r="FDD1" i="11"/>
  <c r="FDC1" i="11"/>
  <c r="FDB1" i="11"/>
  <c r="FDA1" i="11"/>
  <c r="FCZ1" i="11"/>
  <c r="FCY1" i="11"/>
  <c r="FCX1" i="11"/>
  <c r="FCW1" i="11"/>
  <c r="FCV1" i="11"/>
  <c r="FCU1" i="11"/>
  <c r="FCT1" i="11"/>
  <c r="FCS1" i="11"/>
  <c r="FCR1" i="11"/>
  <c r="FCQ1" i="11"/>
  <c r="FCP1" i="11"/>
  <c r="FCO1" i="11"/>
  <c r="FCN1" i="11"/>
  <c r="FCM1" i="11"/>
  <c r="FCL1" i="11"/>
  <c r="FCK1" i="11"/>
  <c r="FCJ1" i="11"/>
  <c r="FCI1" i="11"/>
  <c r="FCH1" i="11"/>
  <c r="FCG1" i="11"/>
  <c r="FCF1" i="11"/>
  <c r="FCE1" i="11"/>
  <c r="FCD1" i="11"/>
  <c r="FCC1" i="11"/>
  <c r="FCB1" i="11"/>
  <c r="FCA1" i="11"/>
  <c r="FBZ1" i="11"/>
  <c r="FBY1" i="11"/>
  <c r="FBX1" i="11"/>
  <c r="FBW1" i="11"/>
  <c r="FBV1" i="11"/>
  <c r="FBU1" i="11"/>
  <c r="FBT1" i="11"/>
  <c r="FBS1" i="11"/>
  <c r="FBR1" i="11"/>
  <c r="FBQ1" i="11"/>
  <c r="FBP1" i="11"/>
  <c r="FBO1" i="11"/>
  <c r="FBN1" i="11"/>
  <c r="FBM1" i="11"/>
  <c r="FBL1" i="11"/>
  <c r="FBK1" i="11"/>
  <c r="FBJ1" i="11"/>
  <c r="FBI1" i="11"/>
  <c r="FBH1" i="11"/>
  <c r="FBG1" i="11"/>
  <c r="FBF1" i="11"/>
  <c r="FBE1" i="11"/>
  <c r="FBD1" i="11"/>
  <c r="FBC1" i="11"/>
  <c r="FBB1" i="11"/>
  <c r="FBA1" i="11"/>
  <c r="FAZ1" i="11"/>
  <c r="FAY1" i="11"/>
  <c r="FAX1" i="11"/>
  <c r="FAW1" i="11"/>
  <c r="FAV1" i="11"/>
  <c r="FAU1" i="11"/>
  <c r="FAT1" i="11"/>
  <c r="FAS1" i="11"/>
  <c r="FAR1" i="11"/>
  <c r="FAQ1" i="11"/>
  <c r="FAP1" i="11"/>
  <c r="FAO1" i="11"/>
  <c r="FAN1" i="11"/>
  <c r="FAM1" i="11"/>
  <c r="FAL1" i="11"/>
  <c r="FAK1" i="11"/>
  <c r="FAJ1" i="11"/>
  <c r="FAI1" i="11"/>
  <c r="FAH1" i="11"/>
  <c r="FAG1" i="11"/>
  <c r="FAF1" i="11"/>
  <c r="FAE1" i="11"/>
  <c r="FAD1" i="11"/>
  <c r="FAC1" i="11"/>
  <c r="FAB1" i="11"/>
  <c r="FAA1" i="11"/>
  <c r="EZZ1" i="11"/>
  <c r="EZY1" i="11"/>
  <c r="EZX1" i="11"/>
  <c r="EZW1" i="11"/>
  <c r="EZV1" i="11"/>
  <c r="EZU1" i="11"/>
  <c r="EZT1" i="11"/>
  <c r="EZS1" i="11"/>
  <c r="EZR1" i="11"/>
  <c r="EZQ1" i="11"/>
  <c r="EZP1" i="11"/>
  <c r="EZO1" i="11"/>
  <c r="EZN1" i="11"/>
  <c r="EZM1" i="11"/>
  <c r="EZL1" i="11"/>
  <c r="EZK1" i="11"/>
  <c r="EZJ1" i="11"/>
  <c r="EZI1" i="11"/>
  <c r="EZH1" i="11"/>
  <c r="EZG1" i="11"/>
  <c r="EZF1" i="11"/>
  <c r="EZE1" i="11"/>
  <c r="EZD1" i="11"/>
  <c r="EZC1" i="11"/>
  <c r="EZB1" i="11"/>
  <c r="EZA1" i="11"/>
  <c r="EYZ1" i="11"/>
  <c r="EYY1" i="11"/>
  <c r="EYX1" i="11"/>
  <c r="EYW1" i="11"/>
  <c r="EYV1" i="11"/>
  <c r="EYU1" i="11"/>
  <c r="EYT1" i="11"/>
  <c r="EYS1" i="11"/>
  <c r="EYR1" i="11"/>
  <c r="EYQ1" i="11"/>
  <c r="EYP1" i="11"/>
  <c r="EYO1" i="11"/>
  <c r="EYN1" i="11"/>
  <c r="EYM1" i="11"/>
  <c r="EYL1" i="11"/>
  <c r="EYK1" i="11"/>
  <c r="EYJ1" i="11"/>
  <c r="EYI1" i="11"/>
  <c r="EYH1" i="11"/>
  <c r="EYG1" i="11"/>
  <c r="EYF1" i="11"/>
  <c r="EYE1" i="11"/>
  <c r="EYD1" i="11"/>
  <c r="EYC1" i="11"/>
  <c r="EYB1" i="11"/>
  <c r="EYA1" i="11"/>
  <c r="EXZ1" i="11"/>
  <c r="EXY1" i="11"/>
  <c r="EXX1" i="11"/>
  <c r="EXW1" i="11"/>
  <c r="EXV1" i="11"/>
  <c r="EXU1" i="11"/>
  <c r="EXT1" i="11"/>
  <c r="EXS1" i="11"/>
  <c r="EXR1" i="11"/>
  <c r="EXQ1" i="11"/>
  <c r="EXP1" i="11"/>
  <c r="EXO1" i="11"/>
  <c r="EXN1" i="11"/>
  <c r="EXM1" i="11"/>
  <c r="EXL1" i="11"/>
  <c r="EXK1" i="11"/>
  <c r="EXJ1" i="11"/>
  <c r="EXI1" i="11"/>
  <c r="EXH1" i="11"/>
  <c r="EXG1" i="11"/>
  <c r="EXF1" i="11"/>
  <c r="EXE1" i="11"/>
  <c r="EXD1" i="11"/>
  <c r="EXC1" i="11"/>
  <c r="EXB1" i="11"/>
  <c r="EXA1" i="11"/>
  <c r="EWZ1" i="11"/>
  <c r="EWY1" i="11"/>
  <c r="EWX1" i="11"/>
  <c r="EWW1" i="11"/>
  <c r="EWV1" i="11"/>
  <c r="EWU1" i="11"/>
  <c r="EWT1" i="11"/>
  <c r="EWS1" i="11"/>
  <c r="EWR1" i="11"/>
  <c r="EWQ1" i="11"/>
  <c r="EWP1" i="11"/>
  <c r="EWO1" i="11"/>
  <c r="EWN1" i="11"/>
  <c r="EWM1" i="11"/>
  <c r="EWL1" i="11"/>
  <c r="EWK1" i="11"/>
  <c r="EWJ1" i="11"/>
  <c r="EWI1" i="11"/>
  <c r="EWH1" i="11"/>
  <c r="EWG1" i="11"/>
  <c r="EWF1" i="11"/>
  <c r="EWE1" i="11"/>
  <c r="EWD1" i="11"/>
  <c r="EWC1" i="11"/>
  <c r="EWB1" i="11"/>
  <c r="EWA1" i="11"/>
  <c r="EVZ1" i="11"/>
  <c r="EVY1" i="11"/>
  <c r="EVX1" i="11"/>
  <c r="EVW1" i="11"/>
  <c r="EVV1" i="11"/>
  <c r="EVU1" i="11"/>
  <c r="EVT1" i="11"/>
  <c r="EVS1" i="11"/>
  <c r="EVR1" i="11"/>
  <c r="EVQ1" i="11"/>
  <c r="EVP1" i="11"/>
  <c r="EVO1" i="11"/>
  <c r="EVN1" i="11"/>
  <c r="EVM1" i="11"/>
  <c r="EVL1" i="11"/>
  <c r="EVK1" i="11"/>
  <c r="EVJ1" i="11"/>
  <c r="EVI1" i="11"/>
  <c r="EVH1" i="11"/>
  <c r="EVG1" i="11"/>
  <c r="EVF1" i="11"/>
  <c r="EVE1" i="11"/>
  <c r="EVD1" i="11"/>
  <c r="EVC1" i="11"/>
  <c r="EVB1" i="11"/>
  <c r="EVA1" i="11"/>
  <c r="EUZ1" i="11"/>
  <c r="EUY1" i="11"/>
  <c r="EUX1" i="11"/>
  <c r="EUW1" i="11"/>
  <c r="EUV1" i="11"/>
  <c r="EUU1" i="11"/>
  <c r="EUT1" i="11"/>
  <c r="EUS1" i="11"/>
  <c r="EUR1" i="11"/>
  <c r="EUQ1" i="11"/>
  <c r="EUP1" i="11"/>
  <c r="EUO1" i="11"/>
  <c r="EUN1" i="11"/>
  <c r="EUM1" i="11"/>
  <c r="EUL1" i="11"/>
  <c r="EUK1" i="11"/>
  <c r="EUJ1" i="11"/>
  <c r="EUI1" i="11"/>
  <c r="EUH1" i="11"/>
  <c r="EUG1" i="11"/>
  <c r="EUF1" i="11"/>
  <c r="EUE1" i="11"/>
  <c r="EUD1" i="11"/>
  <c r="EUC1" i="11"/>
  <c r="EUB1" i="11"/>
  <c r="EUA1" i="11"/>
  <c r="ETZ1" i="11"/>
  <c r="ETY1" i="11"/>
  <c r="ETX1" i="11"/>
  <c r="ETW1" i="11"/>
  <c r="ETV1" i="11"/>
  <c r="ETU1" i="11"/>
  <c r="ETT1" i="11"/>
  <c r="ETS1" i="11"/>
  <c r="ETR1" i="11"/>
  <c r="ETQ1" i="11"/>
  <c r="ETP1" i="11"/>
  <c r="ETO1" i="11"/>
  <c r="ETN1" i="11"/>
  <c r="ETM1" i="11"/>
  <c r="ETL1" i="11"/>
  <c r="ETK1" i="11"/>
  <c r="ETJ1" i="11"/>
  <c r="ETI1" i="11"/>
  <c r="ETH1" i="11"/>
  <c r="ETG1" i="11"/>
  <c r="ETF1" i="11"/>
  <c r="ETE1" i="11"/>
  <c r="ETD1" i="11"/>
  <c r="ETC1" i="11"/>
  <c r="ETB1" i="11"/>
  <c r="ETA1" i="11"/>
  <c r="ESZ1" i="11"/>
  <c r="ESY1" i="11"/>
  <c r="ESX1" i="11"/>
  <c r="ESW1" i="11"/>
  <c r="ESV1" i="11"/>
  <c r="ESU1" i="11"/>
  <c r="EST1" i="11"/>
  <c r="ESS1" i="11"/>
  <c r="ESR1" i="11"/>
  <c r="ESQ1" i="11"/>
  <c r="ESP1" i="11"/>
  <c r="ESO1" i="11"/>
  <c r="ESN1" i="11"/>
  <c r="ESM1" i="11"/>
  <c r="ESL1" i="11"/>
  <c r="ESK1" i="11"/>
  <c r="ESJ1" i="11"/>
  <c r="ESI1" i="11"/>
  <c r="ESH1" i="11"/>
  <c r="ESG1" i="11"/>
  <c r="ESF1" i="11"/>
  <c r="ESE1" i="11"/>
  <c r="ESD1" i="11"/>
  <c r="ESC1" i="11"/>
  <c r="ESB1" i="11"/>
  <c r="ESA1" i="11"/>
  <c r="ERZ1" i="11"/>
  <c r="ERY1" i="11"/>
  <c r="ERX1" i="11"/>
  <c r="ERW1" i="11"/>
  <c r="ERV1" i="11"/>
  <c r="ERU1" i="11"/>
  <c r="ERT1" i="11"/>
  <c r="ERS1" i="11"/>
  <c r="ERR1" i="11"/>
  <c r="ERQ1" i="11"/>
  <c r="ERP1" i="11"/>
  <c r="ERO1" i="11"/>
  <c r="ERN1" i="11"/>
  <c r="ERM1" i="11"/>
  <c r="ERL1" i="11"/>
  <c r="ERK1" i="11"/>
  <c r="ERJ1" i="11"/>
  <c r="ERI1" i="11"/>
  <c r="ERH1" i="11"/>
  <c r="ERG1" i="11"/>
  <c r="ERF1" i="11"/>
  <c r="ERE1" i="11"/>
  <c r="ERD1" i="11"/>
  <c r="ERC1" i="11"/>
  <c r="ERB1" i="11"/>
  <c r="ERA1" i="11"/>
  <c r="EQZ1" i="11"/>
  <c r="EQY1" i="11"/>
  <c r="EQX1" i="11"/>
  <c r="EQW1" i="11"/>
  <c r="EQV1" i="11"/>
  <c r="EQU1" i="11"/>
  <c r="EQT1" i="11"/>
  <c r="EQS1" i="11"/>
  <c r="EQR1" i="11"/>
  <c r="EQQ1" i="11"/>
  <c r="EQP1" i="11"/>
  <c r="EQO1" i="11"/>
  <c r="EQN1" i="11"/>
  <c r="EQM1" i="11"/>
  <c r="EQL1" i="11"/>
  <c r="EQK1" i="11"/>
  <c r="EQJ1" i="11"/>
  <c r="EQI1" i="11"/>
  <c r="EQH1" i="11"/>
  <c r="EQG1" i="11"/>
  <c r="EQF1" i="11"/>
  <c r="EQE1" i="11"/>
  <c r="EQD1" i="11"/>
  <c r="EQC1" i="11"/>
  <c r="EQB1" i="11"/>
  <c r="EQA1" i="11"/>
  <c r="EPZ1" i="11"/>
  <c r="EPY1" i="11"/>
  <c r="EPX1" i="11"/>
  <c r="EPW1" i="11"/>
  <c r="EPV1" i="11"/>
  <c r="EPU1" i="11"/>
  <c r="EPT1" i="11"/>
  <c r="EPS1" i="11"/>
  <c r="EPR1" i="11"/>
  <c r="EPQ1" i="11"/>
  <c r="EPP1" i="11"/>
  <c r="EPO1" i="11"/>
  <c r="EPN1" i="11"/>
  <c r="EPM1" i="11"/>
  <c r="EPL1" i="11"/>
  <c r="EPK1" i="11"/>
  <c r="EPJ1" i="11"/>
  <c r="EPI1" i="11"/>
  <c r="EPH1" i="11"/>
  <c r="EPG1" i="11"/>
  <c r="EPF1" i="11"/>
  <c r="EPE1" i="11"/>
  <c r="EPD1" i="11"/>
  <c r="EPC1" i="11"/>
  <c r="EPB1" i="11"/>
  <c r="EPA1" i="11"/>
  <c r="EOZ1" i="11"/>
  <c r="EOY1" i="11"/>
  <c r="EOX1" i="11"/>
  <c r="EOW1" i="11"/>
  <c r="EOV1" i="11"/>
  <c r="EOU1" i="11"/>
  <c r="EOT1" i="11"/>
  <c r="EOS1" i="11"/>
  <c r="EOR1" i="11"/>
  <c r="EOQ1" i="11"/>
  <c r="EOP1" i="11"/>
  <c r="EOO1" i="11"/>
  <c r="EON1" i="11"/>
  <c r="EOM1" i="11"/>
  <c r="EOL1" i="11"/>
  <c r="EOK1" i="11"/>
  <c r="EOJ1" i="11"/>
  <c r="EOI1" i="11"/>
  <c r="EOH1" i="11"/>
  <c r="EOG1" i="11"/>
  <c r="EOF1" i="11"/>
  <c r="EOE1" i="11"/>
  <c r="EOD1" i="11"/>
  <c r="EOC1" i="11"/>
  <c r="EOB1" i="11"/>
  <c r="EOA1" i="11"/>
  <c r="ENZ1" i="11"/>
  <c r="ENY1" i="11"/>
  <c r="ENX1" i="11"/>
  <c r="ENW1" i="11"/>
  <c r="ENV1" i="11"/>
  <c r="ENU1" i="11"/>
  <c r="ENT1" i="11"/>
  <c r="ENS1" i="11"/>
  <c r="ENR1" i="11"/>
  <c r="ENQ1" i="11"/>
  <c r="ENP1" i="11"/>
  <c r="ENO1" i="11"/>
  <c r="ENN1" i="11"/>
  <c r="ENM1" i="11"/>
  <c r="ENL1" i="11"/>
  <c r="ENK1" i="11"/>
  <c r="ENJ1" i="11"/>
  <c r="ENI1" i="11"/>
  <c r="ENH1" i="11"/>
  <c r="ENG1" i="11"/>
  <c r="ENF1" i="11"/>
  <c r="ENE1" i="11"/>
  <c r="END1" i="11"/>
  <c r="ENC1" i="11"/>
  <c r="ENB1" i="11"/>
  <c r="ENA1" i="11"/>
  <c r="EMZ1" i="11"/>
  <c r="EMY1" i="11"/>
  <c r="EMX1" i="11"/>
  <c r="EMW1" i="11"/>
  <c r="EMV1" i="11"/>
  <c r="EMU1" i="11"/>
  <c r="EMT1" i="11"/>
  <c r="EMS1" i="11"/>
  <c r="EMR1" i="11"/>
  <c r="EMQ1" i="11"/>
  <c r="EMP1" i="11"/>
  <c r="EMO1" i="11"/>
  <c r="EMN1" i="11"/>
  <c r="EMM1" i="11"/>
  <c r="EML1" i="11"/>
  <c r="EMK1" i="11"/>
  <c r="EMJ1" i="11"/>
  <c r="EMI1" i="11"/>
  <c r="EMH1" i="11"/>
  <c r="EMG1" i="11"/>
  <c r="EMF1" i="11"/>
  <c r="EME1" i="11"/>
  <c r="EMD1" i="11"/>
  <c r="EMC1" i="11"/>
  <c r="EMB1" i="11"/>
  <c r="EMA1" i="11"/>
  <c r="ELZ1" i="11"/>
  <c r="ELY1" i="11"/>
  <c r="ELX1" i="11"/>
  <c r="ELW1" i="11"/>
  <c r="ELV1" i="11"/>
  <c r="ELU1" i="11"/>
  <c r="ELT1" i="11"/>
  <c r="ELS1" i="11"/>
  <c r="ELR1" i="11"/>
  <c r="ELQ1" i="11"/>
  <c r="ELP1" i="11"/>
  <c r="ELO1" i="11"/>
  <c r="ELN1" i="11"/>
  <c r="ELM1" i="11"/>
  <c r="ELL1" i="11"/>
  <c r="ELK1" i="11"/>
  <c r="ELJ1" i="11"/>
  <c r="ELI1" i="11"/>
  <c r="ELH1" i="11"/>
  <c r="ELG1" i="11"/>
  <c r="ELF1" i="11"/>
  <c r="ELE1" i="11"/>
  <c r="ELD1" i="11"/>
  <c r="ELC1" i="11"/>
  <c r="ELB1" i="11"/>
  <c r="ELA1" i="11"/>
  <c r="EKZ1" i="11"/>
  <c r="EKY1" i="11"/>
  <c r="EKX1" i="11"/>
  <c r="EKW1" i="11"/>
  <c r="EKV1" i="11"/>
  <c r="EKU1" i="11"/>
  <c r="EKT1" i="11"/>
  <c r="EKS1" i="11"/>
  <c r="EKR1" i="11"/>
  <c r="EKQ1" i="11"/>
  <c r="EKP1" i="11"/>
  <c r="EKO1" i="11"/>
  <c r="EKN1" i="11"/>
  <c r="EKM1" i="11"/>
  <c r="EKL1" i="11"/>
  <c r="EKK1" i="11"/>
  <c r="EKJ1" i="11"/>
  <c r="EKI1" i="11"/>
  <c r="EKH1" i="11"/>
  <c r="EKG1" i="11"/>
  <c r="EKF1" i="11"/>
  <c r="EKE1" i="11"/>
  <c r="EKD1" i="11"/>
  <c r="EKC1" i="11"/>
  <c r="EKB1" i="11"/>
  <c r="EKA1" i="11"/>
  <c r="EJZ1" i="11"/>
  <c r="EJY1" i="11"/>
  <c r="EJX1" i="11"/>
  <c r="EJW1" i="11"/>
  <c r="EJV1" i="11"/>
  <c r="EJU1" i="11"/>
  <c r="EJT1" i="11"/>
  <c r="EJS1" i="11"/>
  <c r="EJR1" i="11"/>
  <c r="EJQ1" i="11"/>
  <c r="EJP1" i="11"/>
  <c r="EJO1" i="11"/>
  <c r="EJN1" i="11"/>
  <c r="EJM1" i="11"/>
  <c r="EJL1" i="11"/>
  <c r="EJK1" i="11"/>
  <c r="EJJ1" i="11"/>
  <c r="EJI1" i="11"/>
  <c r="EJH1" i="11"/>
  <c r="EJG1" i="11"/>
  <c r="EJF1" i="11"/>
  <c r="EJE1" i="11"/>
  <c r="EJD1" i="11"/>
  <c r="EJC1" i="11"/>
  <c r="EJB1" i="11"/>
  <c r="EJA1" i="11"/>
  <c r="EIZ1" i="11"/>
  <c r="EIY1" i="11"/>
  <c r="EIX1" i="11"/>
  <c r="EIW1" i="11"/>
  <c r="EIV1" i="11"/>
  <c r="EIU1" i="11"/>
  <c r="EIT1" i="11"/>
  <c r="EIS1" i="11"/>
  <c r="EIR1" i="11"/>
  <c r="EIQ1" i="11"/>
  <c r="EIP1" i="11"/>
  <c r="EIO1" i="11"/>
  <c r="EIN1" i="11"/>
  <c r="EIM1" i="11"/>
  <c r="EIL1" i="11"/>
  <c r="EIK1" i="11"/>
  <c r="EIJ1" i="11"/>
  <c r="EII1" i="11"/>
  <c r="EIH1" i="11"/>
  <c r="EIG1" i="11"/>
  <c r="EIF1" i="11"/>
  <c r="EIE1" i="11"/>
  <c r="EID1" i="11"/>
  <c r="EIC1" i="11"/>
  <c r="EIB1" i="11"/>
  <c r="EIA1" i="11"/>
  <c r="EHZ1" i="11"/>
  <c r="EHY1" i="11"/>
  <c r="EHX1" i="11"/>
  <c r="EHW1" i="11"/>
  <c r="EHV1" i="11"/>
  <c r="EHU1" i="11"/>
  <c r="EHT1" i="11"/>
  <c r="EHS1" i="11"/>
  <c r="EHR1" i="11"/>
  <c r="EHQ1" i="11"/>
  <c r="EHP1" i="11"/>
  <c r="EHO1" i="11"/>
  <c r="EHN1" i="11"/>
  <c r="EHM1" i="11"/>
  <c r="EHL1" i="11"/>
  <c r="EHK1" i="11"/>
  <c r="EHJ1" i="11"/>
  <c r="EHI1" i="11"/>
  <c r="EHH1" i="11"/>
  <c r="EHG1" i="11"/>
  <c r="EHF1" i="11"/>
  <c r="EHE1" i="11"/>
  <c r="EHD1" i="11"/>
  <c r="EHC1" i="11"/>
  <c r="EHB1" i="11"/>
  <c r="EHA1" i="11"/>
  <c r="EGZ1" i="11"/>
  <c r="EGY1" i="11"/>
  <c r="EGX1" i="11"/>
  <c r="EGW1" i="11"/>
  <c r="EGV1" i="11"/>
  <c r="EGU1" i="11"/>
  <c r="EGT1" i="11"/>
  <c r="EGS1" i="11"/>
  <c r="EGR1" i="11"/>
  <c r="EGQ1" i="11"/>
  <c r="EGP1" i="11"/>
  <c r="EGO1" i="11"/>
  <c r="EGN1" i="11"/>
  <c r="EGM1" i="11"/>
  <c r="EGL1" i="11"/>
  <c r="EGK1" i="11"/>
  <c r="EGJ1" i="11"/>
  <c r="EGI1" i="11"/>
  <c r="EGH1" i="11"/>
  <c r="EGG1" i="11"/>
  <c r="EGF1" i="11"/>
  <c r="EGE1" i="11"/>
  <c r="EGD1" i="11"/>
  <c r="EGC1" i="11"/>
  <c r="EGB1" i="11"/>
  <c r="EGA1" i="11"/>
  <c r="EFZ1" i="11"/>
  <c r="EFY1" i="11"/>
  <c r="EFX1" i="11"/>
  <c r="EFW1" i="11"/>
  <c r="EFV1" i="11"/>
  <c r="EFU1" i="11"/>
  <c r="EFT1" i="11"/>
  <c r="EFS1" i="11"/>
  <c r="EFR1" i="11"/>
  <c r="EFQ1" i="11"/>
  <c r="EFP1" i="11"/>
  <c r="EFO1" i="11"/>
  <c r="EFN1" i="11"/>
  <c r="EFM1" i="11"/>
  <c r="EFL1" i="11"/>
  <c r="EFK1" i="11"/>
  <c r="EFJ1" i="11"/>
  <c r="EFI1" i="11"/>
  <c r="EFH1" i="11"/>
  <c r="EFG1" i="11"/>
  <c r="EFF1" i="11"/>
  <c r="EFE1" i="11"/>
  <c r="EFD1" i="11"/>
  <c r="EFC1" i="11"/>
  <c r="EFB1" i="11"/>
  <c r="EFA1" i="11"/>
  <c r="EEZ1" i="11"/>
  <c r="EEY1" i="11"/>
  <c r="EEX1" i="11"/>
  <c r="EEW1" i="11"/>
  <c r="EEV1" i="11"/>
  <c r="EEU1" i="11"/>
  <c r="EET1" i="11"/>
  <c r="EES1" i="11"/>
  <c r="EER1" i="11"/>
  <c r="EEQ1" i="11"/>
  <c r="EEP1" i="11"/>
  <c r="EEO1" i="11"/>
  <c r="EEN1" i="11"/>
  <c r="EEM1" i="11"/>
  <c r="EEL1" i="11"/>
  <c r="EEK1" i="11"/>
  <c r="EEJ1" i="11"/>
  <c r="EEI1" i="11"/>
  <c r="EEH1" i="11"/>
  <c r="EEG1" i="11"/>
  <c r="EEF1" i="11"/>
  <c r="EEE1" i="11"/>
  <c r="EED1" i="11"/>
  <c r="EEC1" i="11"/>
  <c r="EEB1" i="11"/>
  <c r="EEA1" i="11"/>
  <c r="EDZ1" i="11"/>
  <c r="EDY1" i="11"/>
  <c r="EDX1" i="11"/>
  <c r="EDW1" i="11"/>
  <c r="EDV1" i="11"/>
  <c r="EDU1" i="11"/>
  <c r="EDT1" i="11"/>
  <c r="EDS1" i="11"/>
  <c r="EDR1" i="11"/>
  <c r="EDQ1" i="11"/>
  <c r="EDP1" i="11"/>
  <c r="EDO1" i="11"/>
  <c r="EDN1" i="11"/>
  <c r="EDM1" i="11"/>
  <c r="EDL1" i="11"/>
  <c r="EDK1" i="11"/>
  <c r="EDJ1" i="11"/>
  <c r="EDI1" i="11"/>
  <c r="EDH1" i="11"/>
  <c r="EDG1" i="11"/>
  <c r="EDF1" i="11"/>
  <c r="EDE1" i="11"/>
  <c r="EDD1" i="11"/>
  <c r="EDC1" i="11"/>
  <c r="EDB1" i="11"/>
  <c r="EDA1" i="11"/>
  <c r="ECZ1" i="11"/>
  <c r="ECY1" i="11"/>
  <c r="ECX1" i="11"/>
  <c r="ECW1" i="11"/>
  <c r="ECV1" i="11"/>
  <c r="ECU1" i="11"/>
  <c r="ECT1" i="11"/>
  <c r="ECS1" i="11"/>
  <c r="ECR1" i="11"/>
  <c r="ECQ1" i="11"/>
  <c r="ECP1" i="11"/>
  <c r="ECO1" i="11"/>
  <c r="ECN1" i="11"/>
  <c r="ECM1" i="11"/>
  <c r="ECL1" i="11"/>
  <c r="ECK1" i="11"/>
  <c r="ECJ1" i="11"/>
  <c r="ECI1" i="11"/>
  <c r="ECH1" i="11"/>
  <c r="ECG1" i="11"/>
  <c r="ECF1" i="11"/>
  <c r="ECE1" i="11"/>
  <c r="ECD1" i="11"/>
  <c r="ECC1" i="11"/>
  <c r="ECB1" i="11"/>
  <c r="ECA1" i="11"/>
  <c r="EBZ1" i="11"/>
  <c r="EBY1" i="11"/>
  <c r="EBX1" i="11"/>
  <c r="EBW1" i="11"/>
  <c r="EBV1" i="11"/>
  <c r="EBU1" i="11"/>
  <c r="EBT1" i="11"/>
  <c r="EBS1" i="11"/>
  <c r="EBR1" i="11"/>
  <c r="EBQ1" i="11"/>
  <c r="EBP1" i="11"/>
  <c r="EBO1" i="11"/>
  <c r="EBN1" i="11"/>
  <c r="EBM1" i="11"/>
  <c r="EBL1" i="11"/>
  <c r="EBK1" i="11"/>
  <c r="EBJ1" i="11"/>
  <c r="EBI1" i="11"/>
  <c r="EBH1" i="11"/>
  <c r="EBG1" i="11"/>
  <c r="EBF1" i="11"/>
  <c r="EBE1" i="11"/>
  <c r="EBD1" i="11"/>
  <c r="EBC1" i="11"/>
  <c r="EBB1" i="11"/>
  <c r="EBA1" i="11"/>
  <c r="EAZ1" i="11"/>
  <c r="EAY1" i="11"/>
  <c r="EAX1" i="11"/>
  <c r="EAW1" i="11"/>
  <c r="EAV1" i="11"/>
  <c r="EAU1" i="11"/>
  <c r="EAT1" i="11"/>
  <c r="EAS1" i="11"/>
  <c r="EAR1" i="11"/>
  <c r="EAQ1" i="11"/>
  <c r="EAP1" i="11"/>
  <c r="EAO1" i="11"/>
  <c r="EAN1" i="11"/>
  <c r="EAM1" i="11"/>
  <c r="EAL1" i="11"/>
  <c r="EAK1" i="11"/>
  <c r="EAJ1" i="11"/>
  <c r="EAI1" i="11"/>
  <c r="EAH1" i="11"/>
  <c r="EAG1" i="11"/>
  <c r="EAF1" i="11"/>
  <c r="EAE1" i="11"/>
  <c r="EAD1" i="11"/>
  <c r="EAC1" i="11"/>
  <c r="EAB1" i="11"/>
  <c r="EAA1" i="11"/>
  <c r="DZZ1" i="11"/>
  <c r="DZY1" i="11"/>
  <c r="DZX1" i="11"/>
  <c r="DZW1" i="11"/>
  <c r="DZV1" i="11"/>
  <c r="DZU1" i="11"/>
  <c r="DZT1" i="11"/>
  <c r="DZS1" i="11"/>
  <c r="DZR1" i="11"/>
  <c r="DZQ1" i="11"/>
  <c r="DZP1" i="11"/>
  <c r="DZO1" i="11"/>
  <c r="DZN1" i="11"/>
  <c r="DZM1" i="11"/>
  <c r="DZL1" i="11"/>
  <c r="DZK1" i="11"/>
  <c r="DZJ1" i="11"/>
  <c r="DZI1" i="11"/>
  <c r="DZH1" i="11"/>
  <c r="DZG1" i="11"/>
  <c r="DZF1" i="11"/>
  <c r="DZE1" i="11"/>
  <c r="DZD1" i="11"/>
  <c r="DZC1" i="11"/>
  <c r="DZB1" i="11"/>
  <c r="DZA1" i="11"/>
  <c r="DYZ1" i="11"/>
  <c r="DYY1" i="11"/>
  <c r="DYX1" i="11"/>
  <c r="DYW1" i="11"/>
  <c r="DYV1" i="11"/>
  <c r="DYU1" i="11"/>
  <c r="DYT1" i="11"/>
  <c r="DYS1" i="11"/>
  <c r="DYR1" i="11"/>
  <c r="DYQ1" i="11"/>
  <c r="DYP1" i="11"/>
  <c r="DYO1" i="11"/>
  <c r="DYN1" i="11"/>
  <c r="DYM1" i="11"/>
  <c r="DYL1" i="11"/>
  <c r="DYK1" i="11"/>
  <c r="DYJ1" i="11"/>
  <c r="DYI1" i="11"/>
  <c r="DYH1" i="11"/>
  <c r="DYG1" i="11"/>
  <c r="DYF1" i="11"/>
  <c r="DYE1" i="11"/>
  <c r="DYD1" i="11"/>
  <c r="DYC1" i="11"/>
  <c r="DYB1" i="11"/>
  <c r="DYA1" i="11"/>
  <c r="DXZ1" i="11"/>
  <c r="DXY1" i="11"/>
  <c r="DXX1" i="11"/>
  <c r="DXW1" i="11"/>
  <c r="DXV1" i="11"/>
  <c r="DXU1" i="11"/>
  <c r="DXT1" i="11"/>
  <c r="DXS1" i="11"/>
  <c r="DXR1" i="11"/>
  <c r="DXQ1" i="11"/>
  <c r="DXP1" i="11"/>
  <c r="DXO1" i="11"/>
  <c r="DXN1" i="11"/>
  <c r="DXM1" i="11"/>
  <c r="DXL1" i="11"/>
  <c r="DXK1" i="11"/>
  <c r="DXJ1" i="11"/>
  <c r="DXI1" i="11"/>
  <c r="DXH1" i="11"/>
  <c r="DXG1" i="11"/>
  <c r="DXF1" i="11"/>
  <c r="DXE1" i="11"/>
  <c r="DXD1" i="11"/>
  <c r="DXC1" i="11"/>
  <c r="DXB1" i="11"/>
  <c r="DXA1" i="11"/>
  <c r="DWZ1" i="11"/>
  <c r="DWY1" i="11"/>
  <c r="DWX1" i="11"/>
  <c r="DWW1" i="11"/>
  <c r="DWV1" i="11"/>
  <c r="DWU1" i="11"/>
  <c r="DWT1" i="11"/>
  <c r="DWS1" i="11"/>
  <c r="DWR1" i="11"/>
  <c r="DWQ1" i="11"/>
  <c r="DWP1" i="11"/>
  <c r="DWO1" i="11"/>
  <c r="DWN1" i="11"/>
  <c r="DWM1" i="11"/>
  <c r="DWL1" i="11"/>
  <c r="DWK1" i="11"/>
  <c r="DWJ1" i="11"/>
  <c r="DWI1" i="11"/>
  <c r="DWH1" i="11"/>
  <c r="DWG1" i="11"/>
  <c r="DWF1" i="11"/>
  <c r="DWE1" i="11"/>
  <c r="DWD1" i="11"/>
  <c r="DWC1" i="11"/>
  <c r="DWB1" i="11"/>
  <c r="DWA1" i="11"/>
  <c r="DVZ1" i="11"/>
  <c r="DVY1" i="11"/>
  <c r="DVX1" i="11"/>
  <c r="DVW1" i="11"/>
  <c r="DVV1" i="11"/>
  <c r="DVU1" i="11"/>
  <c r="DVT1" i="11"/>
  <c r="DVS1" i="11"/>
  <c r="DVR1" i="11"/>
  <c r="DVQ1" i="11"/>
  <c r="DVP1" i="11"/>
  <c r="DVO1" i="11"/>
  <c r="DVN1" i="11"/>
  <c r="DVM1" i="11"/>
  <c r="DVL1" i="11"/>
  <c r="DVK1" i="11"/>
  <c r="DVJ1" i="11"/>
  <c r="DVI1" i="11"/>
  <c r="DVH1" i="11"/>
  <c r="DVG1" i="11"/>
  <c r="DVF1" i="11"/>
  <c r="DVE1" i="11"/>
  <c r="DVD1" i="11"/>
  <c r="DVC1" i="11"/>
  <c r="DVB1" i="11"/>
  <c r="DVA1" i="11"/>
  <c r="DUZ1" i="11"/>
  <c r="DUY1" i="11"/>
  <c r="DUX1" i="11"/>
  <c r="DUW1" i="11"/>
  <c r="DUV1" i="11"/>
  <c r="DUU1" i="11"/>
  <c r="DUT1" i="11"/>
  <c r="DUS1" i="11"/>
  <c r="DUR1" i="11"/>
  <c r="DUQ1" i="11"/>
  <c r="DUP1" i="11"/>
  <c r="DUO1" i="11"/>
  <c r="DUN1" i="11"/>
  <c r="DUM1" i="11"/>
  <c r="DUL1" i="11"/>
  <c r="DUK1" i="11"/>
  <c r="DUJ1" i="11"/>
  <c r="DUI1" i="11"/>
  <c r="DUH1" i="11"/>
  <c r="DUG1" i="11"/>
  <c r="DUF1" i="11"/>
  <c r="DUE1" i="11"/>
  <c r="DUD1" i="11"/>
  <c r="DUC1" i="11"/>
  <c r="DUB1" i="11"/>
  <c r="DUA1" i="11"/>
  <c r="DTZ1" i="11"/>
  <c r="DTY1" i="11"/>
  <c r="DTX1" i="11"/>
  <c r="DTW1" i="11"/>
  <c r="DTV1" i="11"/>
  <c r="DTU1" i="11"/>
  <c r="DTT1" i="11"/>
  <c r="DTS1" i="11"/>
  <c r="DTR1" i="11"/>
  <c r="DTQ1" i="11"/>
  <c r="DTP1" i="11"/>
  <c r="DTO1" i="11"/>
  <c r="DTN1" i="11"/>
  <c r="DTM1" i="11"/>
  <c r="DTL1" i="11"/>
  <c r="DTK1" i="11"/>
  <c r="DTJ1" i="11"/>
  <c r="DTI1" i="11"/>
  <c r="DTH1" i="11"/>
  <c r="DTG1" i="11"/>
  <c r="DTF1" i="11"/>
  <c r="DTE1" i="11"/>
  <c r="DTD1" i="11"/>
  <c r="DTC1" i="11"/>
  <c r="DTB1" i="11"/>
  <c r="DTA1" i="11"/>
  <c r="DSZ1" i="11"/>
  <c r="DSY1" i="11"/>
  <c r="DSX1" i="11"/>
  <c r="DSW1" i="11"/>
  <c r="DSV1" i="11"/>
  <c r="DSU1" i="11"/>
  <c r="DST1" i="11"/>
  <c r="DSS1" i="11"/>
  <c r="DSR1" i="11"/>
  <c r="DSQ1" i="11"/>
  <c r="DSP1" i="11"/>
  <c r="DSO1" i="11"/>
  <c r="DSN1" i="11"/>
  <c r="DSM1" i="11"/>
  <c r="DSL1" i="11"/>
  <c r="DSK1" i="11"/>
  <c r="DSJ1" i="11"/>
  <c r="DSI1" i="11"/>
  <c r="DSH1" i="11"/>
  <c r="DSG1" i="11"/>
  <c r="DSF1" i="11"/>
  <c r="DSE1" i="11"/>
  <c r="DSD1" i="11"/>
  <c r="DSC1" i="11"/>
  <c r="DSB1" i="11"/>
  <c r="DSA1" i="11"/>
  <c r="DRZ1" i="11"/>
  <c r="DRY1" i="11"/>
  <c r="DRX1" i="11"/>
  <c r="DRW1" i="11"/>
  <c r="DRV1" i="11"/>
  <c r="DRU1" i="11"/>
  <c r="DRT1" i="11"/>
  <c r="DRS1" i="11"/>
  <c r="DRR1" i="11"/>
  <c r="DRQ1" i="11"/>
  <c r="DRP1" i="11"/>
  <c r="DRO1" i="11"/>
  <c r="DRN1" i="11"/>
  <c r="DRM1" i="11"/>
  <c r="DRL1" i="11"/>
  <c r="DRK1" i="11"/>
  <c r="DRJ1" i="11"/>
  <c r="DRI1" i="11"/>
  <c r="DRH1" i="11"/>
  <c r="DRG1" i="11"/>
  <c r="DRF1" i="11"/>
  <c r="DRE1" i="11"/>
  <c r="DRD1" i="11"/>
  <c r="DRC1" i="11"/>
  <c r="DRB1" i="11"/>
  <c r="DRA1" i="11"/>
  <c r="DQZ1" i="11"/>
  <c r="DQY1" i="11"/>
  <c r="DQX1" i="11"/>
  <c r="DQW1" i="11"/>
  <c r="DQV1" i="11"/>
  <c r="DQU1" i="11"/>
  <c r="DQT1" i="11"/>
  <c r="DQS1" i="11"/>
  <c r="DQR1" i="11"/>
  <c r="DQQ1" i="11"/>
  <c r="DQP1" i="11"/>
  <c r="DQO1" i="11"/>
  <c r="DQN1" i="11"/>
  <c r="DQM1" i="11"/>
  <c r="DQL1" i="11"/>
  <c r="DQK1" i="11"/>
  <c r="DQJ1" i="11"/>
  <c r="DQI1" i="11"/>
  <c r="DQH1" i="11"/>
  <c r="DQG1" i="11"/>
  <c r="DQF1" i="11"/>
  <c r="DQE1" i="11"/>
  <c r="DQD1" i="11"/>
  <c r="DQC1" i="11"/>
  <c r="DQB1" i="11"/>
  <c r="DQA1" i="11"/>
  <c r="DPZ1" i="11"/>
  <c r="DPY1" i="11"/>
  <c r="DPX1" i="11"/>
  <c r="DPW1" i="11"/>
  <c r="DPV1" i="11"/>
  <c r="DPU1" i="11"/>
  <c r="DPT1" i="11"/>
  <c r="DPS1" i="11"/>
  <c r="DPR1" i="11"/>
  <c r="DPQ1" i="11"/>
  <c r="DPP1" i="11"/>
  <c r="DPO1" i="11"/>
  <c r="DPN1" i="11"/>
  <c r="DPM1" i="11"/>
  <c r="DPL1" i="11"/>
  <c r="DPK1" i="11"/>
  <c r="DPJ1" i="11"/>
  <c r="DPI1" i="11"/>
  <c r="DPH1" i="11"/>
  <c r="DPG1" i="11"/>
  <c r="DPF1" i="11"/>
  <c r="DPE1" i="11"/>
  <c r="DPD1" i="11"/>
  <c r="DPC1" i="11"/>
  <c r="DPB1" i="11"/>
  <c r="DPA1" i="11"/>
  <c r="DOZ1" i="11"/>
  <c r="DOY1" i="11"/>
  <c r="DOX1" i="11"/>
  <c r="DOW1" i="11"/>
  <c r="DOV1" i="11"/>
  <c r="DOU1" i="11"/>
  <c r="DOT1" i="11"/>
  <c r="DOS1" i="11"/>
  <c r="DOR1" i="11"/>
  <c r="DOQ1" i="11"/>
  <c r="DOP1" i="11"/>
  <c r="DOO1" i="11"/>
  <c r="DON1" i="11"/>
  <c r="DOM1" i="11"/>
  <c r="DOL1" i="11"/>
  <c r="DOK1" i="11"/>
  <c r="DOJ1" i="11"/>
  <c r="DOI1" i="11"/>
  <c r="DOH1" i="11"/>
  <c r="DOG1" i="11"/>
  <c r="DOF1" i="11"/>
  <c r="DOE1" i="11"/>
  <c r="DOD1" i="11"/>
  <c r="DOC1" i="11"/>
  <c r="DOB1" i="11"/>
  <c r="DOA1" i="11"/>
  <c r="DNZ1" i="11"/>
  <c r="DNY1" i="11"/>
  <c r="DNX1" i="11"/>
  <c r="DNW1" i="11"/>
  <c r="DNV1" i="11"/>
  <c r="DNU1" i="11"/>
  <c r="DNT1" i="11"/>
  <c r="DNS1" i="11"/>
  <c r="DNR1" i="11"/>
  <c r="DNQ1" i="11"/>
  <c r="DNP1" i="11"/>
  <c r="DNO1" i="11"/>
  <c r="DNN1" i="11"/>
  <c r="DNM1" i="11"/>
  <c r="DNL1" i="11"/>
  <c r="DNK1" i="11"/>
  <c r="DNJ1" i="11"/>
  <c r="DNI1" i="11"/>
  <c r="DNH1" i="11"/>
  <c r="DNG1" i="11"/>
  <c r="DNF1" i="11"/>
  <c r="DNE1" i="11"/>
  <c r="DND1" i="11"/>
  <c r="DNC1" i="11"/>
  <c r="DNB1" i="11"/>
  <c r="DNA1" i="11"/>
  <c r="DMZ1" i="11"/>
  <c r="DMY1" i="11"/>
  <c r="DMX1" i="11"/>
  <c r="DMW1" i="11"/>
  <c r="DMV1" i="11"/>
  <c r="DMU1" i="11"/>
  <c r="DMT1" i="11"/>
  <c r="DMS1" i="11"/>
  <c r="DMR1" i="11"/>
  <c r="DMQ1" i="11"/>
  <c r="DMP1" i="11"/>
  <c r="DMO1" i="11"/>
  <c r="DMN1" i="11"/>
  <c r="DMM1" i="11"/>
  <c r="DML1" i="11"/>
  <c r="DMK1" i="11"/>
  <c r="DMJ1" i="11"/>
  <c r="DMI1" i="11"/>
  <c r="DMH1" i="11"/>
  <c r="DMG1" i="11"/>
  <c r="DMF1" i="11"/>
  <c r="DME1" i="11"/>
  <c r="DMD1" i="11"/>
  <c r="DMC1" i="11"/>
  <c r="DMB1" i="11"/>
  <c r="DMA1" i="11"/>
  <c r="DLZ1" i="11"/>
  <c r="DLY1" i="11"/>
  <c r="DLX1" i="11"/>
  <c r="DLW1" i="11"/>
  <c r="DLV1" i="11"/>
  <c r="DLU1" i="11"/>
  <c r="DLT1" i="11"/>
  <c r="DLS1" i="11"/>
  <c r="DLR1" i="11"/>
  <c r="DLQ1" i="11"/>
  <c r="DLP1" i="11"/>
  <c r="DLO1" i="11"/>
  <c r="DLN1" i="11"/>
  <c r="DLM1" i="11"/>
  <c r="DLL1" i="11"/>
  <c r="DLK1" i="11"/>
  <c r="DLJ1" i="11"/>
  <c r="DLI1" i="11"/>
  <c r="DLH1" i="11"/>
  <c r="DLG1" i="11"/>
  <c r="DLF1" i="11"/>
  <c r="DLE1" i="11"/>
  <c r="DLD1" i="11"/>
  <c r="DLC1" i="11"/>
  <c r="DLB1" i="11"/>
  <c r="DLA1" i="11"/>
  <c r="DKZ1" i="11"/>
  <c r="DKY1" i="11"/>
  <c r="DKX1" i="11"/>
  <c r="DKW1" i="11"/>
  <c r="DKV1" i="11"/>
  <c r="DKU1" i="11"/>
  <c r="DKT1" i="11"/>
  <c r="DKS1" i="11"/>
  <c r="DKR1" i="11"/>
  <c r="DKQ1" i="11"/>
  <c r="DKP1" i="11"/>
  <c r="DKO1" i="11"/>
  <c r="DKN1" i="11"/>
  <c r="DKM1" i="11"/>
  <c r="DKL1" i="11"/>
  <c r="DKK1" i="11"/>
  <c r="DKJ1" i="11"/>
  <c r="DKI1" i="11"/>
  <c r="DKH1" i="11"/>
  <c r="DKG1" i="11"/>
  <c r="DKF1" i="11"/>
  <c r="DKE1" i="11"/>
  <c r="DKD1" i="11"/>
  <c r="DKC1" i="11"/>
  <c r="DKB1" i="11"/>
  <c r="DKA1" i="11"/>
  <c r="DJZ1" i="11"/>
  <c r="DJY1" i="11"/>
  <c r="DJX1" i="11"/>
  <c r="DJW1" i="11"/>
  <c r="DJV1" i="11"/>
  <c r="DJU1" i="11"/>
  <c r="DJT1" i="11"/>
  <c r="DJS1" i="11"/>
  <c r="DJR1" i="11"/>
  <c r="DJQ1" i="11"/>
  <c r="DJP1" i="11"/>
  <c r="DJO1" i="11"/>
  <c r="DJN1" i="11"/>
  <c r="DJM1" i="11"/>
  <c r="DJL1" i="11"/>
  <c r="DJK1" i="11"/>
  <c r="DJJ1" i="11"/>
  <c r="DJI1" i="11"/>
  <c r="DJH1" i="11"/>
  <c r="DJG1" i="11"/>
  <c r="DJF1" i="11"/>
  <c r="DJE1" i="11"/>
  <c r="DJD1" i="11"/>
  <c r="DJC1" i="11"/>
  <c r="DJB1" i="11"/>
  <c r="DJA1" i="11"/>
  <c r="DIZ1" i="11"/>
  <c r="DIY1" i="11"/>
  <c r="DIX1" i="11"/>
  <c r="DIW1" i="11"/>
  <c r="DIV1" i="11"/>
  <c r="DIU1" i="11"/>
  <c r="DIT1" i="11"/>
  <c r="DIS1" i="11"/>
  <c r="DIR1" i="11"/>
  <c r="DIQ1" i="11"/>
  <c r="DIP1" i="11"/>
  <c r="DIO1" i="11"/>
  <c r="DIN1" i="11"/>
  <c r="DIM1" i="11"/>
  <c r="DIL1" i="11"/>
  <c r="DIK1" i="11"/>
  <c r="DIJ1" i="11"/>
  <c r="DII1" i="11"/>
  <c r="DIH1" i="11"/>
  <c r="DIG1" i="11"/>
  <c r="DIF1" i="11"/>
  <c r="DIE1" i="11"/>
  <c r="DID1" i="11"/>
  <c r="DIC1" i="11"/>
  <c r="DIB1" i="11"/>
  <c r="DIA1" i="11"/>
  <c r="DHZ1" i="11"/>
  <c r="DHY1" i="11"/>
  <c r="DHX1" i="11"/>
  <c r="DHW1" i="11"/>
  <c r="DHV1" i="11"/>
  <c r="DHU1" i="11"/>
  <c r="DHT1" i="11"/>
  <c r="DHS1" i="11"/>
  <c r="DHR1" i="11"/>
  <c r="DHQ1" i="11"/>
  <c r="DHP1" i="11"/>
  <c r="DHO1" i="11"/>
  <c r="DHN1" i="11"/>
  <c r="DHM1" i="11"/>
  <c r="DHL1" i="11"/>
  <c r="DHK1" i="11"/>
  <c r="DHJ1" i="11"/>
  <c r="DHI1" i="11"/>
  <c r="DHH1" i="11"/>
  <c r="DHG1" i="11"/>
  <c r="DHF1" i="11"/>
  <c r="DHE1" i="11"/>
  <c r="DHD1" i="11"/>
  <c r="DHC1" i="11"/>
  <c r="DHB1" i="11"/>
  <c r="DHA1" i="11"/>
  <c r="DGZ1" i="11"/>
  <c r="DGY1" i="11"/>
  <c r="DGX1" i="11"/>
  <c r="DGW1" i="11"/>
  <c r="DGV1" i="11"/>
  <c r="DGU1" i="11"/>
  <c r="DGT1" i="11"/>
  <c r="DGS1" i="11"/>
  <c r="DGR1" i="11"/>
  <c r="DGQ1" i="11"/>
  <c r="DGP1" i="11"/>
  <c r="DGO1" i="11"/>
  <c r="DGN1" i="11"/>
  <c r="DGM1" i="11"/>
  <c r="DGL1" i="11"/>
  <c r="DGK1" i="11"/>
  <c r="DGJ1" i="11"/>
  <c r="DGI1" i="11"/>
  <c r="DGH1" i="11"/>
  <c r="DGG1" i="11"/>
  <c r="DGF1" i="11"/>
  <c r="DGE1" i="11"/>
  <c r="DGD1" i="11"/>
  <c r="DGC1" i="11"/>
  <c r="DGB1" i="11"/>
  <c r="DGA1" i="11"/>
  <c r="DFZ1" i="11"/>
  <c r="DFY1" i="11"/>
  <c r="DFX1" i="11"/>
  <c r="DFW1" i="11"/>
  <c r="DFV1" i="11"/>
  <c r="DFU1" i="11"/>
  <c r="DFT1" i="11"/>
  <c r="DFS1" i="11"/>
  <c r="DFR1" i="11"/>
  <c r="DFQ1" i="11"/>
  <c r="DFP1" i="11"/>
  <c r="DFO1" i="11"/>
  <c r="DFN1" i="11"/>
  <c r="DFM1" i="11"/>
  <c r="DFL1" i="11"/>
  <c r="DFK1" i="11"/>
  <c r="DFJ1" i="11"/>
  <c r="DFI1" i="11"/>
  <c r="DFH1" i="11"/>
  <c r="DFG1" i="11"/>
  <c r="DFF1" i="11"/>
  <c r="DFE1" i="11"/>
  <c r="DFD1" i="11"/>
  <c r="DFC1" i="11"/>
  <c r="DFB1" i="11"/>
  <c r="DFA1" i="11"/>
  <c r="DEZ1" i="11"/>
  <c r="DEY1" i="11"/>
  <c r="DEX1" i="11"/>
  <c r="DEW1" i="11"/>
  <c r="DEV1" i="11"/>
  <c r="DEU1" i="11"/>
  <c r="DET1" i="11"/>
  <c r="DES1" i="11"/>
  <c r="DER1" i="11"/>
  <c r="DEQ1" i="11"/>
  <c r="DEP1" i="11"/>
  <c r="DEO1" i="11"/>
  <c r="DEN1" i="11"/>
  <c r="DEM1" i="11"/>
  <c r="DEL1" i="11"/>
  <c r="DEK1" i="11"/>
  <c r="DEJ1" i="11"/>
  <c r="DEI1" i="11"/>
  <c r="DEH1" i="11"/>
  <c r="DEG1" i="11"/>
  <c r="DEF1" i="11"/>
  <c r="DEE1" i="11"/>
  <c r="DED1" i="11"/>
  <c r="DEC1" i="11"/>
  <c r="DEB1" i="11"/>
  <c r="DEA1" i="11"/>
  <c r="DDZ1" i="11"/>
  <c r="DDY1" i="11"/>
  <c r="DDX1" i="11"/>
  <c r="DDW1" i="11"/>
  <c r="DDV1" i="11"/>
  <c r="DDU1" i="11"/>
  <c r="DDT1" i="11"/>
  <c r="DDS1" i="11"/>
  <c r="DDR1" i="11"/>
  <c r="DDQ1" i="11"/>
  <c r="DDP1" i="11"/>
  <c r="DDO1" i="11"/>
  <c r="DDN1" i="11"/>
  <c r="DDM1" i="11"/>
  <c r="DDL1" i="11"/>
  <c r="DDK1" i="11"/>
  <c r="DDJ1" i="11"/>
  <c r="DDI1" i="11"/>
  <c r="DDH1" i="11"/>
  <c r="DDG1" i="11"/>
  <c r="DDF1" i="11"/>
  <c r="DDE1" i="11"/>
  <c r="DDD1" i="11"/>
  <c r="DDC1" i="11"/>
  <c r="DDB1" i="11"/>
  <c r="DDA1" i="11"/>
  <c r="DCZ1" i="11"/>
  <c r="DCY1" i="11"/>
  <c r="DCX1" i="11"/>
  <c r="DCW1" i="11"/>
  <c r="DCV1" i="11"/>
  <c r="DCU1" i="11"/>
  <c r="DCT1" i="11"/>
  <c r="DCS1" i="11"/>
  <c r="DCR1" i="11"/>
  <c r="DCQ1" i="11"/>
  <c r="DCP1" i="11"/>
  <c r="DCO1" i="11"/>
  <c r="DCN1" i="11"/>
  <c r="DCM1" i="11"/>
  <c r="DCL1" i="11"/>
  <c r="DCK1" i="11"/>
  <c r="DCJ1" i="11"/>
  <c r="DCI1" i="11"/>
  <c r="DCH1" i="11"/>
  <c r="DCG1" i="11"/>
  <c r="DCF1" i="11"/>
  <c r="DCE1" i="11"/>
  <c r="DCD1" i="11"/>
  <c r="DCC1" i="11"/>
  <c r="DCB1" i="11"/>
  <c r="DCA1" i="11"/>
  <c r="DBZ1" i="11"/>
  <c r="DBY1" i="11"/>
  <c r="DBX1" i="11"/>
  <c r="DBW1" i="11"/>
  <c r="DBV1" i="11"/>
  <c r="DBU1" i="11"/>
  <c r="DBT1" i="11"/>
  <c r="DBS1" i="11"/>
  <c r="DBR1" i="11"/>
  <c r="DBQ1" i="11"/>
  <c r="DBP1" i="11"/>
  <c r="DBO1" i="11"/>
  <c r="DBN1" i="11"/>
  <c r="DBM1" i="11"/>
  <c r="DBL1" i="11"/>
  <c r="DBK1" i="11"/>
  <c r="DBJ1" i="11"/>
  <c r="DBI1" i="11"/>
  <c r="DBH1" i="11"/>
  <c r="DBG1" i="11"/>
  <c r="DBF1" i="11"/>
  <c r="DBE1" i="11"/>
  <c r="DBD1" i="11"/>
  <c r="DBC1" i="11"/>
  <c r="DBB1" i="11"/>
  <c r="DBA1" i="11"/>
  <c r="DAZ1" i="11"/>
  <c r="DAY1" i="11"/>
  <c r="DAX1" i="11"/>
  <c r="DAW1" i="11"/>
  <c r="DAV1" i="11"/>
  <c r="DAU1" i="11"/>
  <c r="DAT1" i="11"/>
  <c r="DAS1" i="11"/>
  <c r="DAR1" i="11"/>
  <c r="DAQ1" i="11"/>
  <c r="DAP1" i="11"/>
  <c r="DAO1" i="11"/>
  <c r="DAN1" i="11"/>
  <c r="DAM1" i="11"/>
  <c r="DAL1" i="11"/>
  <c r="DAK1" i="11"/>
  <c r="DAJ1" i="11"/>
  <c r="DAI1" i="11"/>
  <c r="DAH1" i="11"/>
  <c r="DAG1" i="11"/>
  <c r="DAF1" i="11"/>
  <c r="DAE1" i="11"/>
  <c r="DAD1" i="11"/>
  <c r="DAC1" i="11"/>
  <c r="DAB1" i="11"/>
  <c r="DAA1" i="11"/>
  <c r="CZZ1" i="11"/>
  <c r="CZY1" i="11"/>
  <c r="CZX1" i="11"/>
  <c r="CZW1" i="11"/>
  <c r="CZV1" i="11"/>
  <c r="CZU1" i="11"/>
  <c r="CZT1" i="11"/>
  <c r="CZS1" i="11"/>
  <c r="CZR1" i="11"/>
  <c r="CZQ1" i="11"/>
  <c r="CZP1" i="11"/>
  <c r="CZO1" i="11"/>
  <c r="CZN1" i="11"/>
  <c r="CZM1" i="11"/>
  <c r="CZL1" i="11"/>
  <c r="CZK1" i="11"/>
  <c r="CZJ1" i="11"/>
  <c r="CZI1" i="11"/>
  <c r="CZH1" i="11"/>
  <c r="CZG1" i="11"/>
  <c r="CZF1" i="11"/>
  <c r="CZE1" i="11"/>
  <c r="CZD1" i="11"/>
  <c r="CZC1" i="11"/>
  <c r="CZB1" i="11"/>
  <c r="CZA1" i="11"/>
  <c r="CYZ1" i="11"/>
  <c r="CYY1" i="11"/>
  <c r="CYX1" i="11"/>
  <c r="CYW1" i="11"/>
  <c r="CYV1" i="11"/>
  <c r="CYU1" i="11"/>
  <c r="CYT1" i="11"/>
  <c r="CYS1" i="11"/>
  <c r="CYR1" i="11"/>
  <c r="CYQ1" i="11"/>
  <c r="CYP1" i="11"/>
  <c r="CYO1" i="11"/>
  <c r="CYN1" i="11"/>
  <c r="CYM1" i="11"/>
  <c r="CYL1" i="11"/>
  <c r="CYK1" i="11"/>
  <c r="CYJ1" i="11"/>
  <c r="CYI1" i="11"/>
  <c r="CYH1" i="11"/>
  <c r="CYG1" i="11"/>
  <c r="CYF1" i="11"/>
  <c r="CYE1" i="11"/>
  <c r="CYD1" i="11"/>
  <c r="CYC1" i="11"/>
  <c r="CYB1" i="11"/>
  <c r="CYA1" i="11"/>
  <c r="CXZ1" i="11"/>
  <c r="CXY1" i="11"/>
  <c r="CXX1" i="11"/>
  <c r="CXW1" i="11"/>
  <c r="CXV1" i="11"/>
  <c r="CXU1" i="11"/>
  <c r="CXT1" i="11"/>
  <c r="CXS1" i="11"/>
  <c r="CXR1" i="11"/>
  <c r="CXQ1" i="11"/>
  <c r="CXP1" i="11"/>
  <c r="CXO1" i="11"/>
  <c r="CXN1" i="11"/>
  <c r="CXM1" i="11"/>
  <c r="CXL1" i="11"/>
  <c r="CXK1" i="11"/>
  <c r="CXJ1" i="11"/>
  <c r="CXI1" i="11"/>
  <c r="CXH1" i="11"/>
  <c r="CXG1" i="11"/>
  <c r="CXF1" i="11"/>
  <c r="CXE1" i="11"/>
  <c r="CXD1" i="11"/>
  <c r="CXC1" i="11"/>
  <c r="CXB1" i="11"/>
  <c r="CXA1" i="11"/>
  <c r="CWZ1" i="11"/>
  <c r="CWY1" i="11"/>
  <c r="CWX1" i="11"/>
  <c r="CWW1" i="11"/>
  <c r="CWV1" i="11"/>
  <c r="CWU1" i="11"/>
  <c r="CWT1" i="11"/>
  <c r="CWS1" i="11"/>
  <c r="CWR1" i="11"/>
  <c r="CWQ1" i="11"/>
  <c r="CWP1" i="11"/>
  <c r="CWO1" i="11"/>
  <c r="CWN1" i="11"/>
  <c r="CWM1" i="11"/>
  <c r="CWL1" i="11"/>
  <c r="CWK1" i="11"/>
  <c r="CWJ1" i="11"/>
  <c r="CWI1" i="11"/>
  <c r="CWH1" i="11"/>
  <c r="CWG1" i="11"/>
  <c r="CWF1" i="11"/>
  <c r="CWE1" i="11"/>
  <c r="CWD1" i="11"/>
  <c r="CWC1" i="11"/>
  <c r="CWB1" i="11"/>
  <c r="CWA1" i="11"/>
  <c r="CVZ1" i="11"/>
  <c r="CVY1" i="11"/>
  <c r="CVX1" i="11"/>
  <c r="CVW1" i="11"/>
  <c r="CVV1" i="11"/>
  <c r="CVU1" i="11"/>
  <c r="CVT1" i="11"/>
  <c r="CVS1" i="11"/>
  <c r="CVR1" i="11"/>
  <c r="CVQ1" i="11"/>
  <c r="CVP1" i="11"/>
  <c r="CVO1" i="11"/>
  <c r="CVN1" i="11"/>
  <c r="CVM1" i="11"/>
  <c r="CVL1" i="11"/>
  <c r="CVK1" i="11"/>
  <c r="CVJ1" i="11"/>
  <c r="CVI1" i="11"/>
  <c r="CVH1" i="11"/>
  <c r="CVG1" i="11"/>
  <c r="CVF1" i="11"/>
  <c r="CVE1" i="11"/>
  <c r="CVD1" i="11"/>
  <c r="CVC1" i="11"/>
  <c r="CVB1" i="11"/>
  <c r="CVA1" i="11"/>
  <c r="CUZ1" i="11"/>
  <c r="CUY1" i="11"/>
  <c r="CUX1" i="11"/>
  <c r="CUW1" i="11"/>
  <c r="CUV1" i="11"/>
  <c r="CUU1" i="11"/>
  <c r="CUT1" i="11"/>
  <c r="CUS1" i="11"/>
  <c r="CUR1" i="11"/>
  <c r="CUQ1" i="11"/>
  <c r="CUP1" i="11"/>
  <c r="CUO1" i="11"/>
  <c r="CUN1" i="11"/>
  <c r="CUM1" i="11"/>
  <c r="CUL1" i="11"/>
  <c r="CUK1" i="11"/>
  <c r="CUJ1" i="11"/>
  <c r="CUI1" i="11"/>
  <c r="CUH1" i="11"/>
  <c r="CUG1" i="11"/>
  <c r="CUF1" i="11"/>
  <c r="CUE1" i="11"/>
  <c r="CUD1" i="11"/>
  <c r="CUC1" i="11"/>
  <c r="CUB1" i="11"/>
  <c r="CUA1" i="11"/>
  <c r="CTZ1" i="11"/>
  <c r="CTY1" i="11"/>
  <c r="CTX1" i="11"/>
  <c r="CTW1" i="11"/>
  <c r="CTV1" i="11"/>
  <c r="CTU1" i="11"/>
  <c r="CTT1" i="11"/>
  <c r="CTS1" i="11"/>
  <c r="CTR1" i="11"/>
  <c r="CTQ1" i="11"/>
  <c r="CTP1" i="11"/>
  <c r="CTO1" i="11"/>
  <c r="CTN1" i="11"/>
  <c r="CTM1" i="11"/>
  <c r="CTL1" i="11"/>
  <c r="CTK1" i="11"/>
  <c r="CTJ1" i="11"/>
  <c r="CTI1" i="11"/>
  <c r="CTH1" i="11"/>
  <c r="CTG1" i="11"/>
  <c r="CTF1" i="11"/>
  <c r="CTE1" i="11"/>
  <c r="CTD1" i="11"/>
  <c r="CTC1" i="11"/>
  <c r="CTB1" i="11"/>
  <c r="CTA1" i="11"/>
  <c r="CSZ1" i="11"/>
  <c r="CSY1" i="11"/>
  <c r="CSX1" i="11"/>
  <c r="CSW1" i="11"/>
  <c r="CSV1" i="11"/>
  <c r="CSU1" i="11"/>
  <c r="CST1" i="11"/>
  <c r="CSS1" i="11"/>
  <c r="CSR1" i="11"/>
  <c r="CSQ1" i="11"/>
  <c r="CSP1" i="11"/>
  <c r="CSO1" i="11"/>
  <c r="CSN1" i="11"/>
  <c r="CSM1" i="11"/>
  <c r="CSL1" i="11"/>
  <c r="CSK1" i="11"/>
  <c r="CSJ1" i="11"/>
  <c r="CSI1" i="11"/>
  <c r="CSH1" i="11"/>
  <c r="CSG1" i="11"/>
  <c r="CSF1" i="11"/>
  <c r="CSE1" i="11"/>
  <c r="CSD1" i="11"/>
  <c r="CSC1" i="11"/>
  <c r="CSB1" i="11"/>
  <c r="CSA1" i="11"/>
  <c r="CRZ1" i="11"/>
  <c r="CRY1" i="11"/>
  <c r="CRX1" i="11"/>
  <c r="CRW1" i="11"/>
  <c r="CRV1" i="11"/>
  <c r="CRU1" i="11"/>
  <c r="CRT1" i="11"/>
  <c r="CRS1" i="11"/>
  <c r="CRR1" i="11"/>
  <c r="CRQ1" i="11"/>
  <c r="CRP1" i="11"/>
  <c r="CRO1" i="11"/>
  <c r="CRN1" i="11"/>
  <c r="CRM1" i="11"/>
  <c r="CRL1" i="11"/>
  <c r="CRK1" i="11"/>
  <c r="CRJ1" i="11"/>
  <c r="CRI1" i="11"/>
  <c r="CRH1" i="11"/>
  <c r="CRG1" i="11"/>
  <c r="CRF1" i="11"/>
  <c r="CRE1" i="11"/>
  <c r="CRD1" i="11"/>
  <c r="CRC1" i="11"/>
  <c r="CRB1" i="11"/>
  <c r="CRA1" i="11"/>
  <c r="CQZ1" i="11"/>
  <c r="CQY1" i="11"/>
  <c r="CQX1" i="11"/>
  <c r="CQW1" i="11"/>
  <c r="CQV1" i="11"/>
  <c r="CQU1" i="11"/>
  <c r="CQT1" i="11"/>
  <c r="CQS1" i="11"/>
  <c r="CQR1" i="11"/>
  <c r="CQQ1" i="11"/>
  <c r="CQP1" i="11"/>
  <c r="CQO1" i="11"/>
  <c r="CQN1" i="11"/>
  <c r="CQM1" i="11"/>
  <c r="CQL1" i="11"/>
  <c r="CQK1" i="11"/>
  <c r="CQJ1" i="11"/>
  <c r="CQI1" i="11"/>
  <c r="CQH1" i="11"/>
  <c r="CQG1" i="11"/>
  <c r="CQF1" i="11"/>
  <c r="CQE1" i="11"/>
  <c r="CQD1" i="11"/>
  <c r="CQC1" i="11"/>
  <c r="CQB1" i="11"/>
  <c r="CQA1" i="11"/>
  <c r="CPZ1" i="11"/>
  <c r="CPY1" i="11"/>
  <c r="CPX1" i="11"/>
  <c r="CPW1" i="11"/>
  <c r="CPV1" i="11"/>
  <c r="CPU1" i="11"/>
  <c r="CPT1" i="11"/>
  <c r="CPS1" i="11"/>
  <c r="CPR1" i="11"/>
  <c r="CPQ1" i="11"/>
  <c r="CPP1" i="11"/>
  <c r="CPO1" i="11"/>
  <c r="CPN1" i="11"/>
  <c r="CPM1" i="11"/>
  <c r="CPL1" i="11"/>
  <c r="CPK1" i="11"/>
  <c r="CPJ1" i="11"/>
  <c r="CPI1" i="11"/>
  <c r="CPH1" i="11"/>
  <c r="CPG1" i="11"/>
  <c r="CPF1" i="11"/>
  <c r="CPE1" i="11"/>
  <c r="CPD1" i="11"/>
  <c r="CPC1" i="11"/>
  <c r="CPB1" i="11"/>
  <c r="CPA1" i="11"/>
  <c r="COZ1" i="11"/>
  <c r="COY1" i="11"/>
  <c r="COX1" i="11"/>
  <c r="COW1" i="11"/>
  <c r="COV1" i="11"/>
  <c r="COU1" i="11"/>
  <c r="COT1" i="11"/>
  <c r="COS1" i="11"/>
  <c r="COR1" i="11"/>
  <c r="COQ1" i="11"/>
  <c r="COP1" i="11"/>
  <c r="COO1" i="11"/>
  <c r="CON1" i="11"/>
  <c r="COM1" i="11"/>
  <c r="COL1" i="11"/>
  <c r="COK1" i="11"/>
  <c r="COJ1" i="11"/>
  <c r="COI1" i="11"/>
  <c r="COH1" i="11"/>
  <c r="COG1" i="11"/>
  <c r="COF1" i="11"/>
  <c r="COE1" i="11"/>
  <c r="COD1" i="11"/>
  <c r="COC1" i="11"/>
  <c r="COB1" i="11"/>
  <c r="COA1" i="11"/>
  <c r="CNZ1" i="11"/>
  <c r="CNY1" i="11"/>
  <c r="CNX1" i="11"/>
  <c r="CNW1" i="11"/>
  <c r="CNV1" i="11"/>
  <c r="CNU1" i="11"/>
  <c r="CNT1" i="11"/>
  <c r="CNS1" i="11"/>
  <c r="CNR1" i="11"/>
  <c r="CNQ1" i="11"/>
  <c r="CNP1" i="11"/>
  <c r="CNO1" i="11"/>
  <c r="CNN1" i="11"/>
  <c r="CNM1" i="11"/>
  <c r="CNL1" i="11"/>
  <c r="CNK1" i="11"/>
  <c r="CNJ1" i="11"/>
  <c r="CNI1" i="11"/>
  <c r="CNH1" i="11"/>
  <c r="CNG1" i="11"/>
  <c r="CNF1" i="11"/>
  <c r="CNE1" i="11"/>
  <c r="CND1" i="11"/>
  <c r="CNC1" i="11"/>
  <c r="CNB1" i="11"/>
  <c r="CNA1" i="11"/>
  <c r="CMZ1" i="11"/>
  <c r="CMY1" i="11"/>
  <c r="CMX1" i="11"/>
  <c r="CMW1" i="11"/>
  <c r="CMV1" i="11"/>
  <c r="CMU1" i="11"/>
  <c r="CMT1" i="11"/>
  <c r="CMS1" i="11"/>
  <c r="CMR1" i="11"/>
  <c r="CMQ1" i="11"/>
  <c r="CMP1" i="11"/>
  <c r="CMO1" i="11"/>
  <c r="CMN1" i="11"/>
  <c r="CMM1" i="11"/>
  <c r="CML1" i="11"/>
  <c r="CMK1" i="11"/>
  <c r="CMJ1" i="11"/>
  <c r="CMI1" i="11"/>
  <c r="CMH1" i="11"/>
  <c r="CMG1" i="11"/>
  <c r="CMF1" i="11"/>
  <c r="CME1" i="11"/>
  <c r="CMD1" i="11"/>
  <c r="CMC1" i="11"/>
  <c r="CMB1" i="11"/>
  <c r="CMA1" i="11"/>
  <c r="CLZ1" i="11"/>
  <c r="CLY1" i="11"/>
  <c r="CLX1" i="11"/>
  <c r="CLW1" i="11"/>
  <c r="CLV1" i="11"/>
  <c r="CLU1" i="11"/>
  <c r="CLT1" i="11"/>
  <c r="CLS1" i="11"/>
  <c r="CLR1" i="11"/>
  <c r="CLQ1" i="11"/>
  <c r="CLP1" i="11"/>
  <c r="CLO1" i="11"/>
  <c r="CLN1" i="11"/>
  <c r="CLM1" i="11"/>
  <c r="CLL1" i="11"/>
  <c r="CLK1" i="11"/>
  <c r="CLJ1" i="11"/>
  <c r="CLI1" i="11"/>
  <c r="CLH1" i="11"/>
  <c r="CLG1" i="11"/>
  <c r="CLF1" i="11"/>
  <c r="CLE1" i="11"/>
  <c r="CLD1" i="11"/>
  <c r="CLC1" i="11"/>
  <c r="CLB1" i="11"/>
  <c r="CLA1" i="11"/>
  <c r="CKZ1" i="11"/>
  <c r="CKY1" i="11"/>
  <c r="CKX1" i="11"/>
  <c r="CKW1" i="11"/>
  <c r="CKV1" i="11"/>
  <c r="CKU1" i="11"/>
  <c r="CKT1" i="11"/>
  <c r="CKS1" i="11"/>
  <c r="CKR1" i="11"/>
  <c r="CKQ1" i="11"/>
  <c r="CKP1" i="11"/>
  <c r="CKO1" i="11"/>
  <c r="CKN1" i="11"/>
  <c r="CKM1" i="11"/>
  <c r="CKL1" i="11"/>
  <c r="CKK1" i="11"/>
  <c r="CKJ1" i="11"/>
  <c r="CKI1" i="11"/>
  <c r="CKH1" i="11"/>
  <c r="CKG1" i="11"/>
  <c r="CKF1" i="11"/>
  <c r="CKE1" i="11"/>
  <c r="CKD1" i="11"/>
  <c r="CKC1" i="11"/>
  <c r="CKB1" i="11"/>
  <c r="CKA1" i="11"/>
  <c r="CJZ1" i="11"/>
  <c r="CJY1" i="11"/>
  <c r="CJX1" i="11"/>
  <c r="CJW1" i="11"/>
  <c r="CJV1" i="11"/>
  <c r="CJU1" i="11"/>
  <c r="CJT1" i="11"/>
  <c r="CJS1" i="11"/>
  <c r="CJR1" i="11"/>
  <c r="CJQ1" i="11"/>
  <c r="CJP1" i="11"/>
  <c r="CJO1" i="11"/>
  <c r="CJN1" i="11"/>
  <c r="CJM1" i="11"/>
  <c r="CJL1" i="11"/>
  <c r="CJK1" i="11"/>
  <c r="CJJ1" i="11"/>
  <c r="CJI1" i="11"/>
  <c r="CJH1" i="11"/>
  <c r="CJG1" i="11"/>
  <c r="CJF1" i="11"/>
  <c r="CJE1" i="11"/>
  <c r="CJD1" i="11"/>
  <c r="CJC1" i="11"/>
  <c r="CJB1" i="11"/>
  <c r="CJA1" i="11"/>
  <c r="CIZ1" i="11"/>
  <c r="CIY1" i="11"/>
  <c r="CIX1" i="11"/>
  <c r="CIW1" i="11"/>
  <c r="CIV1" i="11"/>
  <c r="CIU1" i="11"/>
  <c r="CIT1" i="11"/>
  <c r="CIS1" i="11"/>
  <c r="CIR1" i="11"/>
  <c r="CIQ1" i="11"/>
  <c r="CIP1" i="11"/>
  <c r="CIO1" i="11"/>
  <c r="CIN1" i="11"/>
  <c r="CIM1" i="11"/>
  <c r="CIL1" i="11"/>
  <c r="CIK1" i="11"/>
  <c r="CIJ1" i="11"/>
  <c r="CII1" i="11"/>
  <c r="CIH1" i="11"/>
  <c r="CIG1" i="11"/>
  <c r="CIF1" i="11"/>
  <c r="CIE1" i="11"/>
  <c r="CID1" i="11"/>
  <c r="CIC1" i="11"/>
  <c r="CIB1" i="11"/>
  <c r="CIA1" i="11"/>
  <c r="CHZ1" i="11"/>
  <c r="CHY1" i="11"/>
  <c r="CHX1" i="11"/>
  <c r="CHW1" i="11"/>
  <c r="CHV1" i="11"/>
  <c r="CHU1" i="11"/>
  <c r="CHT1" i="11"/>
  <c r="CHS1" i="11"/>
  <c r="CHR1" i="11"/>
  <c r="CHQ1" i="11"/>
  <c r="CHP1" i="11"/>
  <c r="CHO1" i="11"/>
  <c r="CHN1" i="11"/>
  <c r="CHM1" i="11"/>
  <c r="CHL1" i="11"/>
  <c r="CHK1" i="11"/>
  <c r="CHJ1" i="11"/>
  <c r="CHI1" i="11"/>
  <c r="CHH1" i="11"/>
  <c r="CHG1" i="11"/>
  <c r="CHF1" i="11"/>
  <c r="CHE1" i="11"/>
  <c r="CHD1" i="11"/>
  <c r="CHC1" i="11"/>
  <c r="CHB1" i="11"/>
  <c r="CHA1" i="11"/>
  <c r="CGZ1" i="11"/>
  <c r="CGY1" i="11"/>
  <c r="CGX1" i="11"/>
  <c r="CGW1" i="11"/>
  <c r="CGV1" i="11"/>
  <c r="CGU1" i="11"/>
  <c r="CGT1" i="11"/>
  <c r="CGS1" i="11"/>
  <c r="CGR1" i="11"/>
  <c r="CGQ1" i="11"/>
  <c r="CGP1" i="11"/>
  <c r="CGO1" i="11"/>
  <c r="CGN1" i="11"/>
  <c r="CGM1" i="11"/>
  <c r="CGL1" i="11"/>
  <c r="CGK1" i="11"/>
  <c r="CGJ1" i="11"/>
  <c r="CGI1" i="11"/>
  <c r="CGH1" i="11"/>
  <c r="CGG1" i="11"/>
  <c r="CGF1" i="11"/>
  <c r="CGE1" i="11"/>
  <c r="CGD1" i="11"/>
  <c r="CGC1" i="11"/>
  <c r="CGB1" i="11"/>
  <c r="CGA1" i="11"/>
  <c r="CFZ1" i="11"/>
  <c r="CFY1" i="11"/>
  <c r="CFX1" i="11"/>
  <c r="CFW1" i="11"/>
  <c r="CFV1" i="11"/>
  <c r="CFU1" i="11"/>
  <c r="CFT1" i="11"/>
  <c r="CFS1" i="11"/>
  <c r="CFR1" i="11"/>
  <c r="CFQ1" i="11"/>
  <c r="CFP1" i="11"/>
  <c r="CFO1" i="11"/>
  <c r="CFN1" i="11"/>
  <c r="CFM1" i="11"/>
  <c r="CFL1" i="11"/>
  <c r="CFK1" i="11"/>
  <c r="CFJ1" i="11"/>
  <c r="CFI1" i="11"/>
  <c r="CFH1" i="11"/>
  <c r="CFG1" i="11"/>
  <c r="CFF1" i="11"/>
  <c r="CFE1" i="11"/>
  <c r="CFD1" i="11"/>
  <c r="CFC1" i="11"/>
  <c r="CFB1" i="11"/>
  <c r="CFA1" i="11"/>
  <c r="CEZ1" i="11"/>
  <c r="CEY1" i="11"/>
  <c r="CEX1" i="11"/>
  <c r="CEW1" i="11"/>
  <c r="CEV1" i="11"/>
  <c r="CEU1" i="11"/>
  <c r="CET1" i="11"/>
  <c r="CES1" i="11"/>
  <c r="CER1" i="11"/>
  <c r="CEQ1" i="11"/>
  <c r="CEP1" i="11"/>
  <c r="CEO1" i="11"/>
  <c r="CEN1" i="11"/>
  <c r="CEM1" i="11"/>
  <c r="CEL1" i="11"/>
  <c r="CEK1" i="11"/>
  <c r="CEJ1" i="11"/>
  <c r="CEI1" i="11"/>
  <c r="CEH1" i="11"/>
  <c r="CEG1" i="11"/>
  <c r="CEF1" i="11"/>
  <c r="CEE1" i="11"/>
  <c r="CED1" i="11"/>
  <c r="CEC1" i="11"/>
  <c r="CEB1" i="11"/>
  <c r="CEA1" i="11"/>
  <c r="CDZ1" i="11"/>
  <c r="CDY1" i="11"/>
  <c r="CDX1" i="11"/>
  <c r="CDW1" i="11"/>
  <c r="CDV1" i="11"/>
  <c r="CDU1" i="11"/>
  <c r="CDT1" i="11"/>
  <c r="CDS1" i="11"/>
  <c r="CDR1" i="11"/>
  <c r="CDQ1" i="11"/>
  <c r="CDP1" i="11"/>
  <c r="CDO1" i="11"/>
  <c r="CDN1" i="11"/>
  <c r="CDM1" i="11"/>
  <c r="CDL1" i="11"/>
  <c r="CDK1" i="11"/>
  <c r="CDJ1" i="11"/>
  <c r="CDI1" i="11"/>
  <c r="CDH1" i="11"/>
  <c r="CDG1" i="11"/>
  <c r="CDF1" i="11"/>
  <c r="CDE1" i="11"/>
  <c r="CDD1" i="11"/>
  <c r="CDC1" i="11"/>
  <c r="CDB1" i="11"/>
  <c r="CDA1" i="11"/>
  <c r="CCZ1" i="11"/>
  <c r="CCY1" i="11"/>
  <c r="CCX1" i="11"/>
  <c r="CCW1" i="11"/>
  <c r="CCV1" i="11"/>
  <c r="CCU1" i="11"/>
  <c r="CCT1" i="11"/>
  <c r="CCS1" i="11"/>
  <c r="CCR1" i="11"/>
  <c r="CCQ1" i="11"/>
  <c r="CCP1" i="11"/>
  <c r="CCO1" i="11"/>
  <c r="CCN1" i="11"/>
  <c r="CCM1" i="11"/>
  <c r="CCL1" i="11"/>
  <c r="CCK1" i="11"/>
  <c r="CCJ1" i="11"/>
  <c r="CCI1" i="11"/>
  <c r="CCH1" i="11"/>
  <c r="CCG1" i="11"/>
  <c r="CCF1" i="11"/>
  <c r="CCE1" i="11"/>
  <c r="CCD1" i="11"/>
  <c r="CCC1" i="11"/>
  <c r="CCB1" i="11"/>
  <c r="CCA1" i="11"/>
  <c r="CBZ1" i="11"/>
  <c r="CBY1" i="11"/>
  <c r="CBX1" i="11"/>
  <c r="CBW1" i="11"/>
  <c r="CBV1" i="11"/>
  <c r="CBU1" i="11"/>
  <c r="CBT1" i="11"/>
  <c r="CBS1" i="11"/>
  <c r="CBR1" i="11"/>
  <c r="CBQ1" i="11"/>
  <c r="CBP1" i="11"/>
  <c r="CBO1" i="11"/>
  <c r="CBN1" i="11"/>
  <c r="CBM1" i="11"/>
  <c r="CBL1" i="11"/>
  <c r="CBK1" i="11"/>
  <c r="CBJ1" i="11"/>
  <c r="CBI1" i="11"/>
  <c r="CBH1" i="11"/>
  <c r="CBG1" i="11"/>
  <c r="CBF1" i="11"/>
  <c r="CBE1" i="11"/>
  <c r="CBD1" i="11"/>
  <c r="CBC1" i="11"/>
  <c r="CBB1" i="11"/>
  <c r="CBA1" i="11"/>
  <c r="CAZ1" i="11"/>
  <c r="CAY1" i="11"/>
  <c r="CAX1" i="11"/>
  <c r="CAW1" i="11"/>
  <c r="CAV1" i="11"/>
  <c r="CAU1" i="11"/>
  <c r="CAT1" i="11"/>
  <c r="CAS1" i="11"/>
  <c r="CAR1" i="11"/>
  <c r="CAQ1" i="11"/>
  <c r="CAP1" i="11"/>
  <c r="CAO1" i="11"/>
  <c r="CAN1" i="11"/>
  <c r="CAM1" i="11"/>
  <c r="CAL1" i="11"/>
  <c r="CAK1" i="11"/>
  <c r="CAJ1" i="11"/>
  <c r="CAI1" i="11"/>
  <c r="CAH1" i="11"/>
  <c r="CAG1" i="11"/>
  <c r="CAF1" i="11"/>
  <c r="CAE1" i="11"/>
  <c r="CAD1" i="11"/>
  <c r="CAC1" i="11"/>
  <c r="CAB1" i="11"/>
  <c r="CAA1" i="11"/>
  <c r="BZZ1" i="11"/>
  <c r="BZY1" i="11"/>
  <c r="BZX1" i="11"/>
  <c r="BZW1" i="11"/>
  <c r="BZV1" i="11"/>
  <c r="BZU1" i="11"/>
  <c r="BZT1" i="11"/>
  <c r="BZS1" i="11"/>
  <c r="BZR1" i="11"/>
  <c r="BZQ1" i="11"/>
  <c r="BZP1" i="11"/>
  <c r="BZO1" i="11"/>
  <c r="BZN1" i="11"/>
  <c r="BZM1" i="11"/>
  <c r="BZL1" i="11"/>
  <c r="BZK1" i="11"/>
  <c r="BZJ1" i="11"/>
  <c r="BZI1" i="11"/>
  <c r="BZH1" i="11"/>
  <c r="BZG1" i="11"/>
  <c r="BZF1" i="11"/>
  <c r="BZE1" i="11"/>
  <c r="BZD1" i="11"/>
  <c r="BZC1" i="11"/>
  <c r="BZB1" i="11"/>
  <c r="BZA1" i="11"/>
  <c r="BYZ1" i="11"/>
  <c r="BYY1" i="11"/>
  <c r="BYX1" i="11"/>
  <c r="BYW1" i="11"/>
  <c r="BYV1" i="11"/>
  <c r="BYU1" i="11"/>
  <c r="BYT1" i="11"/>
  <c r="BYS1" i="11"/>
  <c r="BYR1" i="11"/>
  <c r="BYQ1" i="11"/>
  <c r="BYP1" i="11"/>
  <c r="BYO1" i="11"/>
  <c r="BYN1" i="11"/>
  <c r="BYM1" i="11"/>
  <c r="BYL1" i="11"/>
  <c r="BYK1" i="11"/>
  <c r="BYJ1" i="11"/>
  <c r="BYI1" i="11"/>
  <c r="BYH1" i="11"/>
  <c r="BYG1" i="11"/>
  <c r="BYF1" i="11"/>
  <c r="BYE1" i="11"/>
  <c r="BYD1" i="11"/>
  <c r="BYC1" i="11"/>
  <c r="BYB1" i="11"/>
  <c r="BYA1" i="11"/>
  <c r="BXZ1" i="11"/>
  <c r="BXY1" i="11"/>
  <c r="BXX1" i="11"/>
  <c r="BXW1" i="11"/>
  <c r="BXV1" i="11"/>
  <c r="BXU1" i="11"/>
  <c r="BXT1" i="11"/>
  <c r="BXS1" i="11"/>
  <c r="BXR1" i="11"/>
  <c r="BXQ1" i="11"/>
  <c r="BXP1" i="11"/>
  <c r="BXO1" i="11"/>
  <c r="BXN1" i="11"/>
  <c r="BXM1" i="11"/>
  <c r="BXL1" i="11"/>
  <c r="BXK1" i="11"/>
  <c r="BXJ1" i="11"/>
  <c r="BXI1" i="11"/>
  <c r="BXH1" i="11"/>
  <c r="BXG1" i="11"/>
  <c r="BXF1" i="11"/>
  <c r="BXE1" i="11"/>
  <c r="BXD1" i="11"/>
  <c r="BXC1" i="11"/>
  <c r="BXB1" i="11"/>
  <c r="BXA1" i="11"/>
  <c r="BWZ1" i="11"/>
  <c r="BWY1" i="11"/>
  <c r="BWX1" i="11"/>
  <c r="BWW1" i="11"/>
  <c r="BWV1" i="11"/>
  <c r="BWU1" i="11"/>
  <c r="BWT1" i="11"/>
  <c r="BWS1" i="11"/>
  <c r="BWR1" i="11"/>
  <c r="BWQ1" i="11"/>
  <c r="BWP1" i="11"/>
  <c r="BWO1" i="11"/>
  <c r="BWN1" i="11"/>
  <c r="BWM1" i="11"/>
  <c r="BWL1" i="11"/>
  <c r="BWK1" i="11"/>
  <c r="BWJ1" i="11"/>
  <c r="BWI1" i="11"/>
  <c r="BWH1" i="11"/>
  <c r="BWG1" i="11"/>
  <c r="BWF1" i="11"/>
  <c r="BWE1" i="11"/>
  <c r="BWD1" i="11"/>
  <c r="BWC1" i="11"/>
  <c r="BWB1" i="11"/>
  <c r="BWA1" i="11"/>
  <c r="BVZ1" i="11"/>
  <c r="BVY1" i="11"/>
  <c r="BVX1" i="11"/>
  <c r="BVW1" i="11"/>
  <c r="BVV1" i="11"/>
  <c r="BVU1" i="11"/>
  <c r="BVT1" i="11"/>
  <c r="BVS1" i="11"/>
  <c r="BVR1" i="11"/>
  <c r="BVQ1" i="11"/>
  <c r="BVP1" i="11"/>
  <c r="BVO1" i="11"/>
  <c r="BVN1" i="11"/>
  <c r="BVM1" i="11"/>
  <c r="BVL1" i="11"/>
  <c r="BVK1" i="11"/>
  <c r="BVJ1" i="11"/>
  <c r="BVI1" i="11"/>
  <c r="BVH1" i="11"/>
  <c r="BVG1" i="11"/>
  <c r="BVF1" i="11"/>
  <c r="BVE1" i="11"/>
  <c r="BVD1" i="11"/>
  <c r="BVC1" i="11"/>
  <c r="BVB1" i="11"/>
  <c r="BVA1" i="11"/>
  <c r="BUZ1" i="11"/>
  <c r="BUY1" i="11"/>
  <c r="BUX1" i="11"/>
  <c r="BUW1" i="11"/>
  <c r="BUV1" i="11"/>
  <c r="BUU1" i="11"/>
  <c r="BUT1" i="11"/>
  <c r="BUS1" i="11"/>
  <c r="BUR1" i="11"/>
  <c r="BUQ1" i="11"/>
  <c r="BUP1" i="11"/>
  <c r="BUO1" i="11"/>
  <c r="BUN1" i="11"/>
  <c r="BUM1" i="11"/>
  <c r="BUL1" i="11"/>
  <c r="BUK1" i="11"/>
  <c r="BUJ1" i="11"/>
  <c r="BUI1" i="11"/>
  <c r="BUH1" i="11"/>
  <c r="BUG1" i="11"/>
  <c r="BUF1" i="11"/>
  <c r="BUE1" i="11"/>
  <c r="BUD1" i="11"/>
  <c r="BUC1" i="11"/>
  <c r="BUB1" i="11"/>
  <c r="BUA1" i="11"/>
  <c r="BTZ1" i="11"/>
  <c r="BTY1" i="11"/>
  <c r="BTX1" i="11"/>
  <c r="BTW1" i="11"/>
  <c r="BTV1" i="11"/>
  <c r="BTU1" i="11"/>
  <c r="BTT1" i="11"/>
  <c r="BTS1" i="11"/>
  <c r="BTR1" i="11"/>
  <c r="BTQ1" i="11"/>
  <c r="BTP1" i="11"/>
  <c r="BTO1" i="11"/>
  <c r="BTN1" i="11"/>
  <c r="BTM1" i="11"/>
  <c r="BTL1" i="11"/>
  <c r="BTK1" i="11"/>
  <c r="BTJ1" i="11"/>
  <c r="BTI1" i="11"/>
  <c r="BTH1" i="11"/>
  <c r="BTG1" i="11"/>
  <c r="BTF1" i="11"/>
  <c r="BTE1" i="11"/>
  <c r="BTD1" i="11"/>
  <c r="BTC1" i="11"/>
  <c r="BTB1" i="11"/>
  <c r="BTA1" i="11"/>
  <c r="BSZ1" i="11"/>
  <c r="BSY1" i="11"/>
  <c r="BSX1" i="11"/>
  <c r="BSW1" i="11"/>
  <c r="BSV1" i="11"/>
  <c r="BSU1" i="11"/>
  <c r="BST1" i="11"/>
  <c r="BSS1" i="11"/>
  <c r="BSR1" i="11"/>
  <c r="BSQ1" i="11"/>
  <c r="BSP1" i="11"/>
  <c r="BSO1" i="11"/>
  <c r="BSN1" i="11"/>
  <c r="BSM1" i="11"/>
  <c r="BSL1" i="11"/>
  <c r="BSK1" i="11"/>
  <c r="BSJ1" i="11"/>
  <c r="BSI1" i="11"/>
  <c r="BSH1" i="11"/>
  <c r="BSG1" i="11"/>
  <c r="BSF1" i="11"/>
  <c r="BSE1" i="11"/>
  <c r="BSD1" i="11"/>
  <c r="BSC1" i="11"/>
  <c r="BSB1" i="11"/>
  <c r="BSA1" i="11"/>
  <c r="BRZ1" i="11"/>
  <c r="BRY1" i="11"/>
  <c r="BRX1" i="11"/>
  <c r="BRW1" i="11"/>
  <c r="BRV1" i="11"/>
  <c r="BRU1" i="11"/>
  <c r="BRT1" i="11"/>
  <c r="BRS1" i="11"/>
  <c r="BRR1" i="11"/>
  <c r="BRQ1" i="11"/>
  <c r="BRP1" i="11"/>
  <c r="BRO1" i="11"/>
  <c r="BRN1" i="11"/>
  <c r="BRM1" i="11"/>
  <c r="BRL1" i="11"/>
  <c r="BRK1" i="11"/>
  <c r="BRJ1" i="11"/>
  <c r="BRI1" i="11"/>
  <c r="BRH1" i="11"/>
  <c r="BRG1" i="11"/>
  <c r="BRF1" i="11"/>
  <c r="BRE1" i="11"/>
  <c r="BRD1" i="11"/>
  <c r="BRC1" i="11"/>
  <c r="BRB1" i="11"/>
  <c r="BRA1" i="11"/>
  <c r="BQZ1" i="11"/>
  <c r="BQY1" i="11"/>
  <c r="BQX1" i="11"/>
  <c r="BQW1" i="11"/>
  <c r="BQV1" i="11"/>
  <c r="BQU1" i="11"/>
  <c r="BQT1" i="11"/>
  <c r="BQS1" i="11"/>
  <c r="BQR1" i="11"/>
  <c r="BQQ1" i="11"/>
  <c r="BQP1" i="11"/>
  <c r="BQO1" i="11"/>
  <c r="BQN1" i="11"/>
  <c r="BQM1" i="11"/>
  <c r="BQL1" i="11"/>
  <c r="BQK1" i="11"/>
  <c r="BQJ1" i="11"/>
  <c r="BQI1" i="11"/>
  <c r="BQH1" i="11"/>
  <c r="BQG1" i="11"/>
  <c r="BQF1" i="11"/>
  <c r="BQE1" i="11"/>
  <c r="BQD1" i="11"/>
  <c r="BQC1" i="11"/>
  <c r="BQB1" i="11"/>
  <c r="BQA1" i="11"/>
  <c r="BPZ1" i="11"/>
  <c r="BPY1" i="11"/>
  <c r="BPX1" i="11"/>
  <c r="BPW1" i="11"/>
  <c r="BPV1" i="11"/>
  <c r="BPU1" i="11"/>
  <c r="BPT1" i="11"/>
  <c r="BPS1" i="11"/>
  <c r="BPR1" i="11"/>
  <c r="BPQ1" i="11"/>
  <c r="BPP1" i="11"/>
  <c r="BPO1" i="11"/>
  <c r="BPN1" i="11"/>
  <c r="BPM1" i="11"/>
  <c r="BPL1" i="11"/>
  <c r="BPK1" i="11"/>
  <c r="BPJ1" i="11"/>
  <c r="BPI1" i="11"/>
  <c r="BPH1" i="11"/>
  <c r="BPG1" i="11"/>
  <c r="BPF1" i="11"/>
  <c r="BPE1" i="11"/>
  <c r="BPD1" i="11"/>
  <c r="BPC1" i="11"/>
  <c r="BPB1" i="11"/>
  <c r="BPA1" i="11"/>
  <c r="BOZ1" i="11"/>
  <c r="BOY1" i="11"/>
  <c r="BOX1" i="11"/>
  <c r="BOW1" i="11"/>
  <c r="BOV1" i="11"/>
  <c r="BOU1" i="11"/>
  <c r="BOT1" i="11"/>
  <c r="BOS1" i="11"/>
  <c r="BOR1" i="11"/>
  <c r="BOQ1" i="11"/>
  <c r="BOP1" i="11"/>
  <c r="BOO1" i="11"/>
  <c r="BON1" i="11"/>
  <c r="BOM1" i="11"/>
  <c r="BOL1" i="11"/>
  <c r="BOK1" i="11"/>
  <c r="BOJ1" i="11"/>
  <c r="BOI1" i="11"/>
  <c r="BOH1" i="11"/>
  <c r="BOG1" i="11"/>
  <c r="BOF1" i="11"/>
  <c r="BOE1" i="11"/>
  <c r="BOD1" i="11"/>
  <c r="BOC1" i="11"/>
  <c r="BOB1" i="11"/>
  <c r="BOA1" i="11"/>
  <c r="BNZ1" i="11"/>
  <c r="BNY1" i="11"/>
  <c r="BNX1" i="11"/>
  <c r="BNW1" i="11"/>
  <c r="BNV1" i="11"/>
  <c r="BNU1" i="11"/>
  <c r="BNT1" i="11"/>
  <c r="BNS1" i="11"/>
  <c r="BNR1" i="11"/>
  <c r="BNQ1" i="11"/>
  <c r="BNP1" i="11"/>
  <c r="BNO1" i="11"/>
  <c r="BNN1" i="11"/>
  <c r="BNM1" i="11"/>
  <c r="BNL1" i="11"/>
  <c r="BNK1" i="11"/>
  <c r="BNJ1" i="11"/>
  <c r="BNI1" i="11"/>
  <c r="BNH1" i="11"/>
  <c r="BNG1" i="11"/>
  <c r="BNF1" i="11"/>
  <c r="BNE1" i="11"/>
  <c r="BND1" i="11"/>
  <c r="BNC1" i="11"/>
  <c r="BNB1" i="11"/>
  <c r="BNA1" i="11"/>
  <c r="BMZ1" i="11"/>
  <c r="BMY1" i="11"/>
  <c r="BMX1" i="11"/>
  <c r="BMW1" i="11"/>
  <c r="BMV1" i="11"/>
  <c r="BMU1" i="11"/>
  <c r="BMT1" i="11"/>
  <c r="BMS1" i="11"/>
  <c r="BMR1" i="11"/>
  <c r="BMQ1" i="11"/>
  <c r="BMP1" i="11"/>
  <c r="BMO1" i="11"/>
  <c r="BMN1" i="11"/>
  <c r="BMM1" i="11"/>
  <c r="BML1" i="11"/>
  <c r="BMK1" i="11"/>
  <c r="BMJ1" i="11"/>
  <c r="BMI1" i="11"/>
  <c r="BMH1" i="11"/>
  <c r="BMG1" i="11"/>
  <c r="BMF1" i="11"/>
  <c r="BME1" i="11"/>
  <c r="BMD1" i="11"/>
  <c r="BMC1" i="11"/>
  <c r="BMB1" i="11"/>
  <c r="BMA1" i="11"/>
  <c r="BLZ1" i="11"/>
  <c r="BLY1" i="11"/>
  <c r="BLX1" i="11"/>
  <c r="BLW1" i="11"/>
  <c r="BLV1" i="11"/>
  <c r="BLU1" i="11"/>
  <c r="BLT1" i="11"/>
  <c r="BLS1" i="11"/>
  <c r="BLR1" i="11"/>
  <c r="BLQ1" i="11"/>
  <c r="BLP1" i="11"/>
  <c r="BLO1" i="11"/>
  <c r="BLN1" i="11"/>
  <c r="BLM1" i="11"/>
  <c r="BLL1" i="11"/>
  <c r="BLK1" i="11"/>
  <c r="BLJ1" i="11"/>
  <c r="BLI1" i="11"/>
  <c r="BLH1" i="11"/>
  <c r="BLG1" i="11"/>
  <c r="BLF1" i="11"/>
  <c r="BLE1" i="11"/>
  <c r="BLD1" i="11"/>
  <c r="BLC1" i="11"/>
  <c r="BLB1" i="11"/>
  <c r="BLA1" i="11"/>
  <c r="BKZ1" i="11"/>
  <c r="BKY1" i="11"/>
  <c r="BKX1" i="11"/>
  <c r="BKW1" i="11"/>
  <c r="BKV1" i="11"/>
  <c r="BKU1" i="11"/>
  <c r="BKT1" i="11"/>
  <c r="BKS1" i="11"/>
  <c r="BKR1" i="11"/>
  <c r="BKQ1" i="11"/>
  <c r="BKP1" i="11"/>
  <c r="BKO1" i="11"/>
  <c r="BKN1" i="11"/>
  <c r="BKM1" i="11"/>
  <c r="BKL1" i="11"/>
  <c r="BKK1" i="11"/>
  <c r="BKJ1" i="11"/>
  <c r="BKI1" i="11"/>
  <c r="BKH1" i="11"/>
  <c r="BKG1" i="11"/>
  <c r="BKF1" i="11"/>
  <c r="BKE1" i="11"/>
  <c r="BKD1" i="11"/>
  <c r="BKC1" i="11"/>
  <c r="BKB1" i="11"/>
  <c r="BKA1" i="11"/>
  <c r="BJZ1" i="11"/>
  <c r="BJY1" i="11"/>
  <c r="BJX1" i="11"/>
  <c r="BJW1" i="11"/>
  <c r="BJV1" i="11"/>
  <c r="BJU1" i="11"/>
  <c r="BJT1" i="11"/>
  <c r="BJS1" i="11"/>
  <c r="BJR1" i="11"/>
  <c r="BJQ1" i="11"/>
  <c r="BJP1" i="11"/>
  <c r="BJO1" i="11"/>
  <c r="BJN1" i="11"/>
  <c r="BJM1" i="11"/>
  <c r="BJL1" i="11"/>
  <c r="BJK1" i="11"/>
  <c r="BJJ1" i="11"/>
  <c r="BJI1" i="11"/>
  <c r="BJH1" i="11"/>
  <c r="BJG1" i="11"/>
  <c r="BJF1" i="11"/>
  <c r="BJE1" i="11"/>
  <c r="BJD1" i="11"/>
  <c r="BJC1" i="11"/>
  <c r="BJB1" i="11"/>
  <c r="BJA1" i="11"/>
  <c r="BIZ1" i="11"/>
  <c r="BIY1" i="11"/>
  <c r="BIX1" i="11"/>
  <c r="BIW1" i="11"/>
  <c r="BIV1" i="11"/>
  <c r="BIU1" i="11"/>
  <c r="BIT1" i="11"/>
  <c r="BIS1" i="11"/>
  <c r="BIR1" i="11"/>
  <c r="BIQ1" i="11"/>
  <c r="BIP1" i="11"/>
  <c r="BIO1" i="11"/>
  <c r="BIN1" i="11"/>
  <c r="BIM1" i="11"/>
  <c r="BIL1" i="11"/>
  <c r="BIK1" i="11"/>
  <c r="BIJ1" i="11"/>
  <c r="BII1" i="11"/>
  <c r="BIH1" i="11"/>
  <c r="BIG1" i="11"/>
  <c r="BIF1" i="11"/>
  <c r="BIE1" i="11"/>
  <c r="BID1" i="11"/>
  <c r="BIC1" i="11"/>
  <c r="BIB1" i="11"/>
  <c r="BIA1" i="11"/>
  <c r="BHZ1" i="11"/>
  <c r="BHY1" i="11"/>
  <c r="BHX1" i="11"/>
  <c r="BHW1" i="11"/>
  <c r="BHV1" i="11"/>
  <c r="BHU1" i="11"/>
  <c r="BHT1" i="11"/>
  <c r="BHS1" i="11"/>
  <c r="BHR1" i="11"/>
  <c r="BHQ1" i="11"/>
  <c r="BHP1" i="11"/>
  <c r="BHO1" i="11"/>
  <c r="BHN1" i="11"/>
  <c r="BHM1" i="11"/>
  <c r="BHL1" i="11"/>
  <c r="BHK1" i="11"/>
  <c r="BHJ1" i="11"/>
  <c r="BHI1" i="11"/>
  <c r="BHH1" i="11"/>
  <c r="BHG1" i="11"/>
  <c r="BHF1" i="11"/>
  <c r="BHE1" i="11"/>
  <c r="BHD1" i="11"/>
  <c r="BHC1" i="11"/>
  <c r="BHB1" i="11"/>
  <c r="BHA1" i="11"/>
  <c r="BGZ1" i="11"/>
  <c r="BGY1" i="11"/>
  <c r="BGX1" i="11"/>
  <c r="BGW1" i="11"/>
  <c r="BGV1" i="11"/>
  <c r="BGU1" i="11"/>
  <c r="BGT1" i="11"/>
  <c r="BGS1" i="11"/>
  <c r="BGR1" i="11"/>
  <c r="BGQ1" i="11"/>
  <c r="BGP1" i="11"/>
  <c r="BGO1" i="11"/>
  <c r="BGN1" i="11"/>
  <c r="BGM1" i="11"/>
  <c r="BGL1" i="11"/>
  <c r="BGK1" i="11"/>
  <c r="BGJ1" i="11"/>
  <c r="BGI1" i="11"/>
  <c r="BGH1" i="11"/>
  <c r="BGG1" i="11"/>
  <c r="BGF1" i="11"/>
  <c r="BGE1" i="11"/>
  <c r="BGD1" i="11"/>
  <c r="BGC1" i="11"/>
  <c r="BGB1" i="11"/>
  <c r="BGA1" i="11"/>
  <c r="BFZ1" i="11"/>
  <c r="BFY1" i="11"/>
  <c r="BFX1" i="11"/>
  <c r="BFW1" i="11"/>
  <c r="BFV1" i="11"/>
  <c r="BFU1" i="11"/>
  <c r="BFT1" i="11"/>
  <c r="BFS1" i="11"/>
  <c r="BFR1" i="11"/>
  <c r="BFQ1" i="11"/>
  <c r="BFP1" i="11"/>
  <c r="BFO1" i="11"/>
  <c r="BFN1" i="11"/>
  <c r="BFM1" i="11"/>
  <c r="BFL1" i="11"/>
  <c r="BFK1" i="11"/>
  <c r="BFJ1" i="11"/>
  <c r="BFI1" i="11"/>
  <c r="BFH1" i="11"/>
  <c r="BFG1" i="11"/>
  <c r="BFF1" i="11"/>
  <c r="BFE1" i="11"/>
  <c r="BFD1" i="11"/>
  <c r="BFC1" i="11"/>
  <c r="BFB1" i="11"/>
  <c r="BFA1" i="11"/>
  <c r="BEZ1" i="11"/>
  <c r="BEY1" i="11"/>
  <c r="BEX1" i="11"/>
  <c r="BEW1" i="11"/>
  <c r="BEV1" i="11"/>
  <c r="BEU1" i="11"/>
  <c r="BET1" i="11"/>
  <c r="BES1" i="11"/>
  <c r="BER1" i="11"/>
  <c r="BEQ1" i="11"/>
  <c r="BEP1" i="11"/>
  <c r="BEO1" i="11"/>
  <c r="BEN1" i="11"/>
  <c r="BEM1" i="11"/>
  <c r="BEL1" i="11"/>
  <c r="BEK1" i="11"/>
  <c r="BEJ1" i="11"/>
  <c r="BEI1" i="11"/>
  <c r="BEH1" i="11"/>
  <c r="BEG1" i="11"/>
  <c r="BEF1" i="11"/>
  <c r="BEE1" i="11"/>
  <c r="BED1" i="11"/>
  <c r="BEC1" i="11"/>
  <c r="BEB1" i="11"/>
  <c r="BEA1" i="11"/>
  <c r="BDZ1" i="11"/>
  <c r="BDY1" i="11"/>
  <c r="BDX1" i="11"/>
  <c r="BDW1" i="11"/>
  <c r="BDV1" i="11"/>
  <c r="BDU1" i="11"/>
  <c r="BDT1" i="11"/>
  <c r="BDS1" i="11"/>
  <c r="BDR1" i="11"/>
  <c r="BDQ1" i="11"/>
  <c r="BDP1" i="11"/>
  <c r="BDO1" i="11"/>
  <c r="BDN1" i="11"/>
  <c r="BDM1" i="11"/>
  <c r="BDL1" i="11"/>
  <c r="BDK1" i="11"/>
  <c r="BDJ1" i="11"/>
  <c r="BDI1" i="11"/>
  <c r="BDH1" i="11"/>
  <c r="BDG1" i="11"/>
  <c r="BDF1" i="11"/>
  <c r="BDE1" i="11"/>
  <c r="BDD1" i="11"/>
  <c r="BDC1" i="11"/>
  <c r="BDB1" i="11"/>
  <c r="BDA1" i="11"/>
  <c r="BCZ1" i="11"/>
  <c r="BCY1" i="11"/>
  <c r="BCX1" i="11"/>
  <c r="BCW1" i="11"/>
  <c r="BCV1" i="11"/>
  <c r="BCU1" i="11"/>
  <c r="BCT1" i="11"/>
  <c r="BCS1" i="11"/>
  <c r="BCR1" i="11"/>
  <c r="BCQ1" i="11"/>
  <c r="BCP1" i="11"/>
  <c r="BCO1" i="11"/>
  <c r="BCN1" i="11"/>
  <c r="BCM1" i="11"/>
  <c r="BCL1" i="11"/>
  <c r="BCK1" i="11"/>
  <c r="BCJ1" i="11"/>
  <c r="BCI1" i="11"/>
  <c r="BCH1" i="11"/>
  <c r="BCG1" i="11"/>
  <c r="BCF1" i="11"/>
  <c r="BCE1" i="11"/>
  <c r="BCD1" i="11"/>
  <c r="BCC1" i="11"/>
  <c r="BCB1" i="11"/>
  <c r="BCA1" i="11"/>
  <c r="BBZ1" i="11"/>
  <c r="BBY1" i="11"/>
  <c r="BBX1" i="11"/>
  <c r="BBW1" i="11"/>
  <c r="BBV1" i="11"/>
  <c r="BBU1" i="11"/>
  <c r="BBT1" i="11"/>
  <c r="BBS1" i="11"/>
  <c r="BBR1" i="11"/>
  <c r="BBQ1" i="11"/>
  <c r="BBP1" i="11"/>
  <c r="BBO1" i="11"/>
  <c r="BBN1" i="11"/>
  <c r="BBM1" i="11"/>
  <c r="BBL1" i="11"/>
  <c r="BBK1" i="11"/>
  <c r="BBJ1" i="11"/>
  <c r="BBI1" i="11"/>
  <c r="BBH1" i="11"/>
  <c r="BBG1" i="11"/>
  <c r="BBF1" i="11"/>
  <c r="BBE1" i="11"/>
  <c r="BBD1" i="11"/>
  <c r="BBC1" i="11"/>
  <c r="BBB1" i="11"/>
  <c r="BBA1" i="11"/>
  <c r="BAZ1" i="11"/>
  <c r="BAY1" i="11"/>
  <c r="BAX1" i="11"/>
  <c r="BAW1" i="11"/>
  <c r="BAV1" i="11"/>
  <c r="BAU1" i="11"/>
  <c r="BAT1" i="11"/>
  <c r="BAS1" i="11"/>
  <c r="BAR1" i="11"/>
  <c r="BAQ1" i="11"/>
  <c r="BAP1" i="11"/>
  <c r="BAO1" i="11"/>
  <c r="BAN1" i="11"/>
  <c r="BAM1" i="11"/>
  <c r="BAL1" i="11"/>
  <c r="BAK1" i="11"/>
  <c r="BAJ1" i="11"/>
  <c r="BAI1" i="11"/>
  <c r="BAH1" i="11"/>
  <c r="BAG1" i="11"/>
  <c r="BAF1" i="11"/>
  <c r="BAE1" i="11"/>
  <c r="BAD1" i="11"/>
  <c r="BAC1" i="11"/>
  <c r="BAB1" i="11"/>
  <c r="BAA1" i="11"/>
  <c r="AZZ1" i="11"/>
  <c r="AZY1" i="11"/>
  <c r="AZX1" i="11"/>
  <c r="AZW1" i="11"/>
  <c r="AZV1" i="11"/>
  <c r="AZU1" i="11"/>
  <c r="AZT1" i="11"/>
  <c r="AZS1" i="11"/>
  <c r="AZR1" i="11"/>
  <c r="AZQ1" i="11"/>
  <c r="AZP1" i="11"/>
  <c r="AZO1" i="11"/>
  <c r="AZN1" i="11"/>
  <c r="AZM1" i="11"/>
  <c r="AZL1" i="11"/>
  <c r="AZK1" i="11"/>
  <c r="AZJ1" i="11"/>
  <c r="AZI1" i="11"/>
  <c r="AZH1" i="11"/>
  <c r="AZG1" i="11"/>
  <c r="AZF1" i="11"/>
  <c r="AZE1" i="11"/>
  <c r="AZD1" i="11"/>
  <c r="AZC1" i="11"/>
  <c r="AZB1" i="11"/>
  <c r="AZA1" i="11"/>
  <c r="AYZ1" i="11"/>
  <c r="AYY1" i="11"/>
  <c r="AYX1" i="11"/>
  <c r="AYW1" i="11"/>
  <c r="AYV1" i="11"/>
  <c r="AYU1" i="11"/>
  <c r="AYT1" i="11"/>
  <c r="AYS1" i="11"/>
  <c r="AYR1" i="11"/>
  <c r="AYQ1" i="11"/>
  <c r="AYP1" i="11"/>
  <c r="AYO1" i="11"/>
  <c r="AYN1" i="11"/>
  <c r="AYM1" i="11"/>
  <c r="AYL1" i="11"/>
  <c r="AYK1" i="11"/>
  <c r="AYJ1" i="11"/>
  <c r="AYI1" i="11"/>
  <c r="AYH1" i="11"/>
  <c r="AYG1" i="11"/>
  <c r="AYF1" i="11"/>
  <c r="AYE1" i="11"/>
  <c r="AYD1" i="11"/>
  <c r="AYC1" i="11"/>
  <c r="AYB1" i="11"/>
  <c r="AYA1" i="11"/>
  <c r="AXZ1" i="11"/>
  <c r="AXY1" i="11"/>
  <c r="AXX1" i="11"/>
  <c r="AXW1" i="11"/>
  <c r="AXV1" i="11"/>
  <c r="AXU1" i="11"/>
  <c r="AXT1" i="11"/>
  <c r="AXS1" i="11"/>
  <c r="AXR1" i="11"/>
  <c r="AXQ1" i="11"/>
  <c r="AXP1" i="11"/>
  <c r="AXO1" i="11"/>
  <c r="AXN1" i="11"/>
  <c r="AXM1" i="11"/>
  <c r="AXL1" i="11"/>
  <c r="AXK1" i="11"/>
  <c r="AXJ1" i="11"/>
  <c r="AXI1" i="11"/>
  <c r="AXH1" i="11"/>
  <c r="AXG1" i="11"/>
  <c r="AXF1" i="11"/>
  <c r="AXE1" i="11"/>
  <c r="AXD1" i="11"/>
  <c r="AXC1" i="11"/>
  <c r="AXB1" i="11"/>
  <c r="AXA1" i="11"/>
  <c r="AWZ1" i="11"/>
  <c r="AWY1" i="11"/>
  <c r="AWX1" i="11"/>
  <c r="AWW1" i="11"/>
  <c r="AWV1" i="11"/>
  <c r="AWU1" i="11"/>
  <c r="AWT1" i="11"/>
  <c r="AWS1" i="11"/>
  <c r="AWR1" i="11"/>
  <c r="AWQ1" i="11"/>
  <c r="AWP1" i="11"/>
  <c r="AWO1" i="11"/>
  <c r="AWN1" i="11"/>
  <c r="AWM1" i="11"/>
  <c r="AWL1" i="11"/>
  <c r="AWK1" i="11"/>
  <c r="AWJ1" i="11"/>
  <c r="AWI1" i="11"/>
  <c r="AWH1" i="11"/>
  <c r="AWG1" i="11"/>
  <c r="AWF1" i="11"/>
  <c r="AWE1" i="11"/>
  <c r="AWD1" i="11"/>
  <c r="AWC1" i="11"/>
  <c r="AWB1" i="11"/>
  <c r="AWA1" i="11"/>
  <c r="AVZ1" i="11"/>
  <c r="AVY1" i="11"/>
  <c r="AVX1" i="11"/>
  <c r="AVW1" i="11"/>
  <c r="AVV1" i="11"/>
  <c r="AVU1" i="11"/>
  <c r="AVT1" i="11"/>
  <c r="AVS1" i="11"/>
  <c r="AVR1" i="11"/>
  <c r="AVQ1" i="11"/>
  <c r="AVP1" i="11"/>
  <c r="AVO1" i="11"/>
  <c r="AVN1" i="11"/>
  <c r="AVM1" i="11"/>
  <c r="AVL1" i="11"/>
  <c r="AVK1" i="11"/>
  <c r="AVJ1" i="11"/>
  <c r="AVI1" i="11"/>
  <c r="AVH1" i="11"/>
  <c r="AVG1" i="11"/>
  <c r="AVF1" i="11"/>
  <c r="AVE1" i="11"/>
  <c r="AVD1" i="11"/>
  <c r="AVC1" i="11"/>
  <c r="AVB1" i="11"/>
  <c r="AVA1" i="11"/>
  <c r="AUZ1" i="11"/>
  <c r="AUY1" i="11"/>
  <c r="AUX1" i="11"/>
  <c r="AUW1" i="11"/>
  <c r="AUV1" i="11"/>
  <c r="AUU1" i="11"/>
  <c r="AUT1" i="11"/>
  <c r="AUS1" i="11"/>
  <c r="AUR1" i="11"/>
  <c r="AUQ1" i="11"/>
  <c r="AUP1" i="11"/>
  <c r="AUO1" i="11"/>
  <c r="AUN1" i="11"/>
  <c r="AUM1" i="11"/>
  <c r="AUL1" i="11"/>
  <c r="AUK1" i="11"/>
  <c r="AUJ1" i="11"/>
  <c r="AUI1" i="11"/>
  <c r="AUH1" i="11"/>
  <c r="AUG1" i="11"/>
  <c r="AUF1" i="11"/>
  <c r="AUE1" i="11"/>
  <c r="AUD1" i="11"/>
  <c r="AUC1" i="11"/>
  <c r="AUB1" i="11"/>
  <c r="AUA1" i="11"/>
  <c r="ATZ1" i="11"/>
  <c r="ATY1" i="11"/>
  <c r="ATX1" i="11"/>
  <c r="ATW1" i="11"/>
  <c r="ATV1" i="11"/>
  <c r="ATU1" i="11"/>
  <c r="ATT1" i="11"/>
  <c r="ATS1" i="11"/>
  <c r="ATR1" i="11"/>
  <c r="ATQ1" i="11"/>
  <c r="ATP1" i="11"/>
  <c r="ATO1" i="11"/>
  <c r="ATN1" i="11"/>
  <c r="ATM1" i="11"/>
  <c r="ATL1" i="11"/>
  <c r="ATK1" i="11"/>
  <c r="ATJ1" i="11"/>
  <c r="ATI1" i="11"/>
  <c r="ATH1" i="11"/>
  <c r="ATG1" i="11"/>
  <c r="ATF1" i="11"/>
  <c r="ATE1" i="11"/>
  <c r="ATD1" i="11"/>
  <c r="ATC1" i="11"/>
  <c r="ATB1" i="11"/>
  <c r="ATA1" i="11"/>
  <c r="ASZ1" i="11"/>
  <c r="ASY1" i="11"/>
  <c r="ASX1" i="11"/>
  <c r="ASW1" i="11"/>
  <c r="ASV1" i="11"/>
  <c r="ASU1" i="11"/>
  <c r="AST1" i="11"/>
  <c r="ASS1" i="11"/>
  <c r="ASR1" i="11"/>
  <c r="ASQ1" i="11"/>
  <c r="ASP1" i="11"/>
  <c r="ASO1" i="11"/>
  <c r="ASN1" i="11"/>
  <c r="ASM1" i="11"/>
  <c r="ASL1" i="11"/>
  <c r="ASK1" i="11"/>
  <c r="ASJ1" i="11"/>
  <c r="ASI1" i="11"/>
  <c r="ASH1" i="11"/>
  <c r="ASG1" i="11"/>
  <c r="ASF1" i="11"/>
  <c r="ASE1" i="11"/>
  <c r="ASD1" i="11"/>
  <c r="ASC1" i="11"/>
  <c r="ASB1" i="11"/>
  <c r="ASA1" i="11"/>
  <c r="ARZ1" i="11"/>
  <c r="ARY1" i="11"/>
  <c r="ARX1" i="11"/>
  <c r="ARW1" i="11"/>
  <c r="ARV1" i="11"/>
  <c r="ARU1" i="11"/>
  <c r="ART1" i="11"/>
  <c r="ARS1" i="11"/>
  <c r="ARR1" i="11"/>
  <c r="ARQ1" i="11"/>
  <c r="ARP1" i="11"/>
  <c r="ARO1" i="11"/>
  <c r="ARN1" i="11"/>
  <c r="ARM1" i="11"/>
  <c r="ARL1" i="11"/>
  <c r="ARK1" i="11"/>
  <c r="ARJ1" i="11"/>
  <c r="ARI1" i="11"/>
  <c r="ARH1" i="11"/>
  <c r="ARG1" i="11"/>
  <c r="ARF1" i="11"/>
  <c r="ARE1" i="11"/>
  <c r="ARD1" i="11"/>
  <c r="ARC1" i="11"/>
  <c r="ARB1" i="11"/>
  <c r="ARA1" i="11"/>
  <c r="AQZ1" i="11"/>
  <c r="AQY1" i="11"/>
  <c r="AQX1" i="11"/>
  <c r="AQW1" i="11"/>
  <c r="AQV1" i="11"/>
  <c r="AQU1" i="11"/>
  <c r="AQT1" i="11"/>
  <c r="AQS1" i="11"/>
  <c r="AQR1" i="11"/>
  <c r="AQQ1" i="11"/>
  <c r="AQP1" i="11"/>
  <c r="AQO1" i="11"/>
  <c r="AQN1" i="11"/>
  <c r="AQM1" i="11"/>
  <c r="AQL1" i="11"/>
  <c r="AQK1" i="11"/>
  <c r="AQJ1" i="11"/>
  <c r="AQI1" i="11"/>
  <c r="AQH1" i="11"/>
  <c r="AQG1" i="11"/>
  <c r="AQF1" i="11"/>
  <c r="AQE1" i="11"/>
  <c r="AQD1" i="11"/>
  <c r="AQC1" i="11"/>
  <c r="AQB1" i="11"/>
  <c r="AQA1" i="11"/>
  <c r="APZ1" i="11"/>
  <c r="APY1" i="11"/>
  <c r="APX1" i="11"/>
  <c r="APW1" i="11"/>
  <c r="APV1" i="11"/>
  <c r="APU1" i="11"/>
  <c r="APT1" i="11"/>
  <c r="APS1" i="11"/>
  <c r="APR1" i="11"/>
  <c r="APQ1" i="11"/>
  <c r="APP1" i="11"/>
  <c r="APO1" i="11"/>
  <c r="APN1" i="11"/>
  <c r="APM1" i="11"/>
  <c r="APL1" i="11"/>
  <c r="APK1" i="11"/>
  <c r="APJ1" i="11"/>
  <c r="API1" i="11"/>
  <c r="APH1" i="11"/>
  <c r="APG1" i="11"/>
  <c r="APF1" i="11"/>
  <c r="APE1" i="11"/>
  <c r="APD1" i="11"/>
  <c r="APC1" i="11"/>
  <c r="APB1" i="11"/>
  <c r="APA1" i="11"/>
  <c r="AOZ1" i="11"/>
  <c r="AOY1" i="11"/>
  <c r="AOX1" i="11"/>
  <c r="AOW1" i="11"/>
  <c r="AOV1" i="11"/>
  <c r="AOU1" i="11"/>
  <c r="AOT1" i="11"/>
  <c r="AOS1" i="11"/>
  <c r="AOR1" i="11"/>
  <c r="AOQ1" i="11"/>
  <c r="AOP1" i="11"/>
  <c r="AOO1" i="11"/>
  <c r="AON1" i="11"/>
  <c r="AOM1" i="11"/>
  <c r="AOL1" i="11"/>
  <c r="AOK1" i="11"/>
  <c r="AOJ1" i="11"/>
  <c r="AOI1" i="11"/>
  <c r="AOH1" i="11"/>
  <c r="AOG1" i="11"/>
  <c r="AOF1" i="11"/>
  <c r="AOE1" i="11"/>
  <c r="AOD1" i="11"/>
  <c r="AOC1" i="11"/>
  <c r="AOB1" i="11"/>
  <c r="AOA1" i="11"/>
  <c r="ANZ1" i="11"/>
  <c r="ANY1" i="11"/>
  <c r="ANX1" i="11"/>
  <c r="ANW1" i="11"/>
  <c r="ANV1" i="11"/>
  <c r="ANU1" i="11"/>
  <c r="ANT1" i="11"/>
  <c r="ANS1" i="11"/>
  <c r="ANR1" i="11"/>
  <c r="ANQ1" i="11"/>
  <c r="ANP1" i="11"/>
  <c r="ANO1" i="11"/>
  <c r="ANN1" i="11"/>
  <c r="ANM1" i="11"/>
  <c r="ANL1" i="11"/>
  <c r="ANK1" i="11"/>
  <c r="ANJ1" i="11"/>
  <c r="ANI1" i="11"/>
  <c r="ANH1" i="11"/>
  <c r="ANG1" i="11"/>
  <c r="ANF1" i="11"/>
  <c r="ANE1" i="11"/>
  <c r="AND1" i="11"/>
  <c r="ANC1" i="11"/>
  <c r="ANB1" i="11"/>
  <c r="ANA1" i="11"/>
  <c r="AMZ1" i="11"/>
  <c r="AMY1" i="11"/>
  <c r="AMX1" i="11"/>
  <c r="AMW1" i="11"/>
  <c r="AMV1" i="11"/>
  <c r="AMU1" i="11"/>
  <c r="AMT1" i="11"/>
  <c r="AMS1" i="11"/>
  <c r="AMR1" i="11"/>
  <c r="AMQ1" i="11"/>
  <c r="AMP1" i="11"/>
  <c r="AMO1" i="11"/>
  <c r="AMN1" i="11"/>
  <c r="AMM1" i="11"/>
  <c r="AML1" i="11"/>
  <c r="AMK1" i="11"/>
  <c r="AMJ1" i="11"/>
  <c r="AMI1" i="11"/>
  <c r="AMH1" i="11"/>
  <c r="AMG1" i="11"/>
  <c r="AMF1" i="11"/>
  <c r="AME1" i="11"/>
  <c r="AMD1" i="11"/>
  <c r="AMC1" i="11"/>
  <c r="AMB1" i="11"/>
  <c r="AMA1" i="11"/>
  <c r="ALZ1" i="11"/>
  <c r="ALY1" i="11"/>
  <c r="ALX1" i="11"/>
  <c r="ALW1" i="11"/>
  <c r="ALV1" i="11"/>
  <c r="ALU1" i="11"/>
  <c r="ALT1" i="11"/>
  <c r="ALS1" i="11"/>
  <c r="ALR1" i="11"/>
  <c r="ALQ1" i="11"/>
  <c r="ALP1" i="11"/>
  <c r="ALO1" i="11"/>
  <c r="ALN1" i="11"/>
  <c r="ALM1" i="11"/>
  <c r="ALL1" i="11"/>
  <c r="ALK1" i="11"/>
  <c r="ALJ1" i="11"/>
  <c r="ALI1" i="11"/>
  <c r="ALH1" i="11"/>
  <c r="ALG1" i="11"/>
  <c r="ALF1" i="11"/>
  <c r="ALE1" i="11"/>
  <c r="ALD1" i="11"/>
  <c r="ALC1" i="11"/>
  <c r="ALB1" i="11"/>
  <c r="ALA1" i="11"/>
  <c r="AKZ1" i="11"/>
  <c r="AKY1" i="11"/>
  <c r="AKX1" i="11"/>
  <c r="AKW1" i="11"/>
  <c r="AKV1" i="11"/>
  <c r="AKU1" i="11"/>
  <c r="AKT1" i="11"/>
  <c r="AKS1" i="11"/>
  <c r="AKR1" i="11"/>
  <c r="AKQ1" i="11"/>
  <c r="AKP1" i="11"/>
  <c r="AKO1" i="11"/>
  <c r="AKN1" i="11"/>
  <c r="AKM1" i="11"/>
  <c r="AKL1" i="11"/>
  <c r="AKK1" i="11"/>
  <c r="AKJ1" i="11"/>
  <c r="AKI1" i="11"/>
  <c r="AKH1" i="11"/>
  <c r="AKG1" i="11"/>
  <c r="AKF1" i="11"/>
  <c r="AKE1" i="11"/>
  <c r="AKD1" i="11"/>
  <c r="AKC1" i="11"/>
  <c r="AKB1" i="11"/>
  <c r="AKA1" i="11"/>
  <c r="AJZ1" i="11"/>
  <c r="AJY1" i="11"/>
  <c r="AJX1" i="11"/>
  <c r="AJW1" i="11"/>
  <c r="AJV1" i="11"/>
  <c r="AJU1" i="11"/>
  <c r="AJT1" i="11"/>
  <c r="AJS1" i="11"/>
  <c r="AJR1" i="11"/>
  <c r="AJQ1" i="11"/>
  <c r="AJP1" i="11"/>
  <c r="AJO1" i="11"/>
  <c r="AJN1" i="11"/>
  <c r="AJM1" i="11"/>
  <c r="AJL1" i="11"/>
  <c r="AJK1" i="11"/>
  <c r="AJJ1" i="11"/>
  <c r="AJI1" i="11"/>
  <c r="AJH1" i="11"/>
  <c r="AJG1" i="11"/>
  <c r="AJF1" i="11"/>
  <c r="AJE1" i="11"/>
  <c r="AJD1" i="11"/>
  <c r="AJC1" i="11"/>
  <c r="AJB1" i="11"/>
  <c r="AJA1" i="11"/>
  <c r="AIZ1" i="11"/>
  <c r="AIY1" i="11"/>
  <c r="AIX1" i="11"/>
  <c r="AIW1" i="11"/>
  <c r="AIV1" i="11"/>
  <c r="AIU1" i="11"/>
  <c r="AIT1" i="11"/>
  <c r="AIS1" i="11"/>
  <c r="AIR1" i="11"/>
  <c r="AIQ1" i="11"/>
  <c r="AIP1" i="11"/>
  <c r="AIO1" i="11"/>
  <c r="AIN1" i="11"/>
  <c r="AIM1" i="11"/>
  <c r="AIL1" i="11"/>
  <c r="AIK1" i="11"/>
  <c r="AIJ1" i="11"/>
  <c r="AII1" i="11"/>
  <c r="AIH1" i="11"/>
  <c r="AIG1" i="11"/>
  <c r="AIF1" i="11"/>
  <c r="AIE1" i="11"/>
  <c r="AID1" i="11"/>
  <c r="AIC1" i="11"/>
  <c r="AIB1" i="11"/>
  <c r="AIA1" i="11"/>
  <c r="AHZ1" i="11"/>
  <c r="AHY1" i="11"/>
  <c r="AHX1" i="11"/>
  <c r="AHW1" i="11"/>
  <c r="AHV1" i="11"/>
  <c r="AHU1" i="11"/>
  <c r="AHT1" i="11"/>
  <c r="AHS1" i="11"/>
  <c r="AHR1" i="11"/>
  <c r="AHQ1" i="11"/>
  <c r="AHP1" i="11"/>
  <c r="AHO1" i="11"/>
  <c r="AHN1" i="11"/>
  <c r="AHM1" i="11"/>
  <c r="AHL1" i="11"/>
  <c r="AHK1" i="11"/>
  <c r="AHJ1" i="11"/>
  <c r="AHI1" i="11"/>
  <c r="AHH1" i="11"/>
  <c r="AHG1" i="11"/>
  <c r="AHF1" i="11"/>
  <c r="AHE1" i="11"/>
  <c r="AHD1" i="11"/>
  <c r="AHC1" i="11"/>
  <c r="AHB1" i="11"/>
  <c r="AHA1" i="11"/>
  <c r="AGZ1" i="11"/>
  <c r="AGY1" i="11"/>
  <c r="AGX1" i="11"/>
  <c r="AGW1" i="11"/>
  <c r="AGV1" i="11"/>
  <c r="AGU1" i="11"/>
  <c r="AGT1" i="11"/>
  <c r="AGS1" i="11"/>
  <c r="AGR1" i="11"/>
  <c r="AGQ1" i="11"/>
  <c r="AGP1" i="11"/>
  <c r="AGO1" i="11"/>
  <c r="AGN1" i="11"/>
  <c r="AGM1" i="11"/>
  <c r="AGL1" i="11"/>
  <c r="AGK1" i="11"/>
  <c r="AGJ1" i="11"/>
  <c r="AGI1" i="11"/>
  <c r="AGH1" i="11"/>
  <c r="AGG1" i="11"/>
  <c r="AGF1" i="11"/>
  <c r="AGE1" i="11"/>
  <c r="AGD1" i="11"/>
  <c r="AGC1" i="11"/>
  <c r="AGB1" i="11"/>
  <c r="AGA1" i="11"/>
  <c r="AFZ1" i="11"/>
  <c r="AFY1" i="11"/>
  <c r="AFX1" i="11"/>
  <c r="AFW1" i="11"/>
  <c r="AFV1" i="11"/>
  <c r="AFU1" i="11"/>
  <c r="AFT1" i="11"/>
  <c r="AFS1" i="11"/>
  <c r="AFR1" i="11"/>
  <c r="AFQ1" i="11"/>
  <c r="AFP1" i="11"/>
  <c r="AFO1" i="11"/>
  <c r="AFN1" i="11"/>
  <c r="AFM1" i="11"/>
  <c r="AFL1" i="11"/>
  <c r="AFK1" i="11"/>
  <c r="AFJ1" i="11"/>
  <c r="AFI1" i="11"/>
  <c r="AFH1" i="11"/>
  <c r="AFG1" i="11"/>
  <c r="AFF1" i="11"/>
  <c r="AFE1" i="11"/>
  <c r="AFD1" i="11"/>
  <c r="AFC1" i="11"/>
  <c r="AFB1" i="11"/>
  <c r="AFA1" i="11"/>
  <c r="AEZ1" i="11"/>
  <c r="AEY1" i="11"/>
  <c r="AEX1" i="11"/>
  <c r="AEW1" i="11"/>
  <c r="AEV1" i="11"/>
  <c r="AEU1" i="11"/>
  <c r="AET1" i="11"/>
  <c r="AES1" i="11"/>
  <c r="AER1" i="11"/>
  <c r="AEQ1" i="11"/>
  <c r="AEP1" i="11"/>
  <c r="AEO1" i="11"/>
  <c r="AEN1" i="11"/>
  <c r="AEM1" i="11"/>
  <c r="AEL1" i="11"/>
  <c r="AEK1" i="11"/>
  <c r="AEJ1" i="11"/>
  <c r="AEI1" i="11"/>
  <c r="AEH1" i="11"/>
  <c r="AEG1" i="11"/>
  <c r="AEF1" i="11"/>
  <c r="AEE1" i="11"/>
  <c r="AED1" i="11"/>
  <c r="AEC1" i="11"/>
  <c r="AEB1" i="11"/>
  <c r="AEA1" i="11"/>
  <c r="ADZ1" i="11"/>
  <c r="ADY1" i="11"/>
  <c r="ADX1" i="11"/>
  <c r="ADW1" i="11"/>
  <c r="ADV1" i="11"/>
  <c r="ADU1" i="11"/>
  <c r="ADT1" i="11"/>
  <c r="ADS1" i="11"/>
  <c r="ADR1" i="11"/>
  <c r="ADQ1" i="11"/>
  <c r="ADP1" i="11"/>
  <c r="ADO1" i="11"/>
  <c r="ADN1" i="11"/>
  <c r="ADM1" i="11"/>
  <c r="ADL1" i="11"/>
  <c r="ADK1" i="11"/>
  <c r="ADJ1" i="11"/>
  <c r="ADI1" i="11"/>
  <c r="ADH1" i="11"/>
  <c r="ADG1" i="11"/>
  <c r="ADF1" i="11"/>
  <c r="ADE1" i="11"/>
  <c r="ADD1" i="11"/>
  <c r="ADC1" i="11"/>
  <c r="ADB1" i="11"/>
  <c r="ADA1" i="11"/>
  <c r="ACZ1" i="11"/>
  <c r="ACY1" i="11"/>
  <c r="ACX1" i="11"/>
  <c r="ACW1" i="11"/>
  <c r="ACV1" i="11"/>
  <c r="ACU1" i="11"/>
  <c r="ACT1" i="11"/>
  <c r="ACS1" i="11"/>
  <c r="ACR1" i="11"/>
  <c r="ACQ1" i="11"/>
  <c r="ACP1" i="11"/>
  <c r="ACO1" i="11"/>
  <c r="ACN1" i="11"/>
  <c r="ACM1" i="11"/>
  <c r="ACL1" i="11"/>
  <c r="ACK1" i="11"/>
  <c r="ACJ1" i="11"/>
  <c r="ACI1" i="11"/>
  <c r="ACH1" i="11"/>
  <c r="ACG1" i="11"/>
  <c r="ACF1" i="11"/>
  <c r="ACE1" i="11"/>
  <c r="ACD1" i="11"/>
  <c r="ACC1" i="11"/>
  <c r="ACB1" i="11"/>
  <c r="ACA1" i="11"/>
  <c r="ABZ1" i="11"/>
  <c r="ABY1" i="11"/>
  <c r="ABX1" i="11"/>
  <c r="ABW1" i="11"/>
  <c r="ABV1" i="11"/>
  <c r="ABU1" i="11"/>
  <c r="ABT1" i="11"/>
  <c r="ABS1" i="11"/>
  <c r="ABR1" i="11"/>
  <c r="ABQ1" i="11"/>
  <c r="ABP1" i="11"/>
  <c r="ABO1" i="11"/>
  <c r="ABN1" i="11"/>
  <c r="ABM1" i="11"/>
  <c r="ABL1" i="11"/>
  <c r="ABK1" i="11"/>
  <c r="ABJ1" i="11"/>
  <c r="ABI1" i="11"/>
  <c r="ABH1" i="11"/>
  <c r="ABG1" i="11"/>
  <c r="ABF1" i="11"/>
  <c r="ABE1" i="11"/>
  <c r="ABD1" i="11"/>
  <c r="ABC1" i="11"/>
  <c r="ABB1" i="11"/>
  <c r="ABA1" i="11"/>
  <c r="AAZ1" i="11"/>
  <c r="AAY1" i="11"/>
  <c r="AAX1" i="11"/>
  <c r="AAW1" i="11"/>
  <c r="AAV1" i="11"/>
  <c r="AAU1" i="11"/>
  <c r="AAT1" i="11"/>
  <c r="AAS1" i="11"/>
  <c r="AAR1" i="11"/>
  <c r="AAQ1" i="11"/>
  <c r="AAP1" i="11"/>
  <c r="AAO1" i="11"/>
  <c r="AAN1" i="11"/>
  <c r="AAM1" i="11"/>
  <c r="AAL1" i="11"/>
  <c r="AAK1" i="11"/>
  <c r="AAJ1" i="11"/>
  <c r="AAI1" i="11"/>
  <c r="AAH1" i="11"/>
  <c r="AAG1" i="11"/>
  <c r="AAF1" i="11"/>
  <c r="AAE1" i="11"/>
  <c r="AAD1" i="11"/>
  <c r="AAC1" i="11"/>
  <c r="AAB1" i="11"/>
  <c r="AAA1" i="11"/>
  <c r="ZZ1" i="11"/>
  <c r="ZY1" i="11"/>
  <c r="ZX1" i="11"/>
  <c r="ZW1" i="11"/>
  <c r="ZV1" i="11"/>
  <c r="ZU1" i="11"/>
  <c r="ZT1" i="11"/>
  <c r="ZS1" i="11"/>
  <c r="ZR1" i="11"/>
  <c r="ZQ1" i="11"/>
  <c r="ZP1" i="11"/>
  <c r="ZO1" i="11"/>
  <c r="ZN1" i="11"/>
  <c r="ZM1" i="11"/>
  <c r="ZL1" i="11"/>
  <c r="ZK1" i="11"/>
  <c r="ZJ1" i="11"/>
  <c r="ZI1" i="11"/>
  <c r="ZH1" i="11"/>
  <c r="ZG1" i="11"/>
  <c r="ZF1" i="11"/>
  <c r="ZE1" i="11"/>
  <c r="ZD1" i="11"/>
  <c r="ZC1" i="11"/>
  <c r="ZB1" i="11"/>
  <c r="ZA1" i="11"/>
  <c r="YZ1" i="11"/>
  <c r="YY1" i="11"/>
  <c r="YX1" i="11"/>
  <c r="YW1" i="11"/>
  <c r="YV1" i="11"/>
  <c r="YU1" i="11"/>
  <c r="YT1" i="11"/>
  <c r="YS1" i="11"/>
  <c r="YR1" i="11"/>
  <c r="YQ1" i="11"/>
  <c r="YP1" i="11"/>
  <c r="YO1" i="11"/>
  <c r="YN1" i="11"/>
  <c r="YM1" i="11"/>
  <c r="YL1" i="11"/>
  <c r="YK1" i="11"/>
  <c r="YJ1" i="11"/>
  <c r="YI1" i="11"/>
  <c r="YH1" i="11"/>
  <c r="YG1" i="11"/>
  <c r="YF1" i="11"/>
  <c r="YE1" i="11"/>
  <c r="YD1" i="11"/>
  <c r="YC1" i="11"/>
  <c r="YB1" i="11"/>
  <c r="YA1" i="11"/>
  <c r="XZ1" i="11"/>
  <c r="XY1" i="11"/>
  <c r="XX1" i="11"/>
  <c r="XW1" i="11"/>
  <c r="XV1" i="11"/>
  <c r="XU1" i="11"/>
  <c r="XT1" i="11"/>
  <c r="XS1" i="11"/>
  <c r="XR1" i="11"/>
  <c r="XQ1" i="11"/>
  <c r="XP1" i="11"/>
  <c r="XO1" i="11"/>
  <c r="XN1" i="11"/>
  <c r="XM1" i="11"/>
  <c r="XL1" i="11"/>
  <c r="XK1" i="11"/>
  <c r="XJ1" i="11"/>
  <c r="XI1" i="11"/>
  <c r="XH1" i="11"/>
  <c r="XG1" i="11"/>
  <c r="XF1" i="11"/>
  <c r="XE1" i="11"/>
  <c r="XD1" i="11"/>
  <c r="XC1" i="11"/>
  <c r="XB1" i="11"/>
  <c r="XA1" i="11"/>
  <c r="WZ1" i="11"/>
  <c r="WY1" i="11"/>
  <c r="WX1" i="11"/>
  <c r="WW1" i="11"/>
  <c r="WV1" i="11"/>
  <c r="WU1" i="11"/>
  <c r="WT1" i="11"/>
  <c r="WS1" i="11"/>
  <c r="WR1" i="11"/>
  <c r="WQ1" i="11"/>
  <c r="WP1" i="11"/>
  <c r="WO1" i="11"/>
  <c r="WN1" i="11"/>
  <c r="WM1" i="11"/>
  <c r="WL1" i="11"/>
  <c r="WK1" i="11"/>
  <c r="WJ1" i="11"/>
  <c r="WI1" i="11"/>
  <c r="WH1" i="11"/>
  <c r="WG1" i="11"/>
  <c r="WF1" i="11"/>
  <c r="WE1" i="11"/>
  <c r="WD1" i="11"/>
  <c r="WC1" i="11"/>
  <c r="WB1" i="11"/>
  <c r="WA1" i="11"/>
  <c r="VZ1" i="11"/>
  <c r="VY1" i="11"/>
  <c r="VX1" i="11"/>
  <c r="VW1" i="11"/>
  <c r="VV1" i="11"/>
  <c r="VU1" i="11"/>
  <c r="VT1" i="11"/>
  <c r="VS1" i="11"/>
  <c r="VR1" i="11"/>
  <c r="VQ1" i="11"/>
  <c r="VP1" i="11"/>
  <c r="VO1" i="11"/>
  <c r="VN1" i="11"/>
  <c r="VM1" i="11"/>
  <c r="VL1" i="11"/>
  <c r="VK1" i="11"/>
  <c r="VJ1" i="11"/>
  <c r="VI1" i="11"/>
  <c r="VH1" i="11"/>
  <c r="VG1" i="11"/>
  <c r="VF1" i="11"/>
  <c r="VE1" i="11"/>
  <c r="VD1" i="11"/>
  <c r="VC1" i="11"/>
  <c r="VB1" i="11"/>
  <c r="VA1" i="11"/>
  <c r="UZ1" i="11"/>
  <c r="UY1" i="11"/>
  <c r="UX1" i="11"/>
  <c r="UW1" i="11"/>
  <c r="UV1" i="11"/>
  <c r="UU1" i="11"/>
  <c r="UT1" i="11"/>
  <c r="US1" i="11"/>
  <c r="UR1" i="11"/>
  <c r="UQ1" i="11"/>
  <c r="UP1" i="11"/>
  <c r="UO1" i="11"/>
  <c r="UN1" i="11"/>
  <c r="UM1" i="11"/>
  <c r="UL1" i="11"/>
  <c r="UK1" i="11"/>
  <c r="UJ1" i="11"/>
  <c r="UI1" i="11"/>
  <c r="UH1" i="11"/>
  <c r="UG1" i="11"/>
  <c r="UF1" i="11"/>
  <c r="UE1" i="11"/>
  <c r="UD1" i="11"/>
  <c r="UC1" i="11"/>
  <c r="UB1" i="11"/>
  <c r="UA1" i="11"/>
  <c r="TZ1" i="11"/>
  <c r="TY1" i="11"/>
  <c r="TX1" i="11"/>
  <c r="TW1" i="11"/>
  <c r="TV1" i="11"/>
  <c r="TU1" i="11"/>
  <c r="TT1" i="11"/>
  <c r="TS1" i="11"/>
  <c r="TR1" i="11"/>
  <c r="TQ1" i="11"/>
  <c r="TP1" i="11"/>
  <c r="TO1" i="11"/>
  <c r="TN1" i="11"/>
  <c r="TM1" i="11"/>
  <c r="TL1" i="11"/>
  <c r="TK1" i="11"/>
  <c r="TJ1" i="11"/>
  <c r="TI1" i="11"/>
  <c r="TH1" i="11"/>
  <c r="TG1" i="11"/>
  <c r="TF1" i="11"/>
  <c r="TE1" i="11"/>
  <c r="TD1" i="11"/>
  <c r="TC1" i="11"/>
  <c r="TB1" i="11"/>
  <c r="TA1" i="11"/>
  <c r="SZ1" i="11"/>
  <c r="SY1" i="11"/>
  <c r="SX1" i="11"/>
  <c r="SW1" i="11"/>
  <c r="SV1" i="11"/>
  <c r="SU1" i="11"/>
  <c r="ST1" i="11"/>
  <c r="SS1" i="11"/>
  <c r="SR1" i="11"/>
  <c r="SQ1" i="11"/>
  <c r="SP1" i="11"/>
  <c r="SO1" i="11"/>
  <c r="SN1" i="11"/>
  <c r="SM1" i="11"/>
  <c r="SL1" i="11"/>
  <c r="SK1" i="11"/>
  <c r="SJ1" i="11"/>
  <c r="SI1" i="11"/>
  <c r="SH1" i="11"/>
  <c r="SG1" i="11"/>
  <c r="SF1" i="11"/>
  <c r="SE1" i="11"/>
  <c r="SD1" i="11"/>
  <c r="SC1" i="11"/>
  <c r="SB1" i="11"/>
  <c r="SA1" i="11"/>
  <c r="RZ1" i="11"/>
  <c r="RY1" i="11"/>
  <c r="RX1" i="11"/>
  <c r="RW1" i="11"/>
  <c r="RV1" i="11"/>
  <c r="RU1" i="11"/>
  <c r="RT1" i="11"/>
  <c r="RS1" i="11"/>
  <c r="RR1" i="11"/>
  <c r="RQ1" i="11"/>
  <c r="RP1" i="11"/>
  <c r="RO1" i="11"/>
  <c r="RN1" i="11"/>
  <c r="RM1" i="11"/>
  <c r="RL1" i="11"/>
  <c r="RK1" i="11"/>
  <c r="RJ1" i="11"/>
  <c r="RI1" i="11"/>
  <c r="RH1" i="11"/>
  <c r="RG1" i="11"/>
  <c r="RF1" i="11"/>
  <c r="RE1" i="11"/>
  <c r="RD1" i="11"/>
  <c r="RC1" i="11"/>
  <c r="RB1" i="11"/>
  <c r="RA1" i="11"/>
  <c r="QZ1" i="11"/>
  <c r="QY1" i="11"/>
  <c r="QX1" i="11"/>
  <c r="QW1" i="11"/>
  <c r="QV1" i="11"/>
  <c r="QU1" i="11"/>
  <c r="QT1" i="11"/>
  <c r="QS1" i="11"/>
  <c r="QR1" i="11"/>
  <c r="QQ1" i="11"/>
  <c r="QP1" i="11"/>
  <c r="QO1" i="11"/>
  <c r="QN1" i="11"/>
  <c r="QM1" i="11"/>
  <c r="QL1" i="11"/>
  <c r="QK1" i="11"/>
  <c r="QJ1" i="11"/>
  <c r="QI1" i="11"/>
  <c r="QH1" i="11"/>
  <c r="QG1" i="11"/>
  <c r="QF1" i="11"/>
  <c r="QE1" i="11"/>
  <c r="QD1" i="11"/>
  <c r="QC1" i="11"/>
  <c r="QB1" i="11"/>
  <c r="QA1" i="11"/>
  <c r="PZ1" i="11"/>
  <c r="PY1" i="11"/>
  <c r="PX1" i="11"/>
  <c r="PW1" i="11"/>
  <c r="PV1" i="11"/>
  <c r="PU1" i="11"/>
  <c r="PT1" i="11"/>
  <c r="PS1" i="11"/>
  <c r="PR1" i="11"/>
  <c r="PQ1" i="11"/>
  <c r="PP1" i="11"/>
  <c r="PO1" i="11"/>
  <c r="PN1" i="11"/>
  <c r="PM1" i="11"/>
  <c r="PL1" i="11"/>
  <c r="PK1" i="11"/>
  <c r="PJ1" i="11"/>
  <c r="PI1" i="11"/>
  <c r="PH1" i="11"/>
  <c r="PG1" i="11"/>
  <c r="PF1" i="11"/>
  <c r="PE1" i="11"/>
  <c r="PD1" i="11"/>
  <c r="PC1" i="11"/>
  <c r="PB1" i="11"/>
  <c r="PA1" i="11"/>
  <c r="OZ1" i="11"/>
  <c r="OY1" i="11"/>
  <c r="OX1" i="11"/>
  <c r="OW1" i="11"/>
  <c r="OV1" i="11"/>
  <c r="OU1" i="11"/>
  <c r="OT1" i="11"/>
  <c r="OS1" i="11"/>
  <c r="OR1" i="11"/>
  <c r="OQ1" i="11"/>
  <c r="OP1" i="11"/>
  <c r="OO1" i="11"/>
  <c r="ON1" i="11"/>
  <c r="OM1" i="11"/>
  <c r="OL1" i="11"/>
  <c r="OK1" i="11"/>
  <c r="OJ1" i="11"/>
  <c r="OI1" i="11"/>
  <c r="OH1" i="11"/>
  <c r="OG1" i="11"/>
  <c r="OF1" i="11"/>
  <c r="OE1" i="11"/>
  <c r="OD1" i="11"/>
  <c r="OC1" i="11"/>
  <c r="OB1" i="11"/>
  <c r="OA1" i="11"/>
  <c r="NZ1" i="11"/>
  <c r="NY1" i="11"/>
  <c r="NX1" i="11"/>
  <c r="NW1" i="11"/>
  <c r="NV1" i="11"/>
  <c r="NU1" i="11"/>
  <c r="NT1" i="11"/>
  <c r="NS1" i="11"/>
  <c r="NR1" i="11"/>
  <c r="NQ1" i="11"/>
  <c r="NP1" i="11"/>
  <c r="NO1" i="11"/>
  <c r="NN1" i="11"/>
  <c r="NM1" i="11"/>
  <c r="NL1" i="11"/>
  <c r="NK1" i="11"/>
  <c r="NJ1" i="11"/>
  <c r="NI1" i="11"/>
  <c r="NH1" i="11"/>
  <c r="NG1" i="11"/>
  <c r="NF1" i="11"/>
  <c r="NE1" i="11"/>
  <c r="ND1" i="11"/>
  <c r="NC1" i="11"/>
  <c r="NB1" i="11"/>
  <c r="NA1" i="11"/>
  <c r="MZ1" i="11"/>
  <c r="MY1" i="11"/>
  <c r="MX1" i="11"/>
  <c r="MW1" i="11"/>
  <c r="MV1" i="11"/>
  <c r="MU1" i="11"/>
  <c r="MT1" i="11"/>
  <c r="MS1" i="11"/>
  <c r="MR1" i="11"/>
  <c r="MQ1" i="11"/>
  <c r="MP1" i="11"/>
  <c r="MO1" i="11"/>
  <c r="MN1" i="11"/>
  <c r="MM1" i="11"/>
  <c r="ML1" i="11"/>
  <c r="MK1" i="11"/>
  <c r="MJ1" i="11"/>
  <c r="MI1" i="11"/>
  <c r="MH1" i="11"/>
  <c r="MG1" i="11"/>
  <c r="MF1" i="11"/>
  <c r="ME1" i="11"/>
  <c r="MD1" i="11"/>
  <c r="MC1" i="11"/>
  <c r="MB1" i="11"/>
  <c r="MA1" i="11"/>
  <c r="LZ1" i="11"/>
  <c r="LY1" i="11"/>
  <c r="LX1" i="11"/>
  <c r="LW1" i="11"/>
  <c r="LV1" i="11"/>
  <c r="LU1" i="11"/>
  <c r="LT1" i="11"/>
  <c r="LS1" i="11"/>
  <c r="LR1" i="11"/>
  <c r="LQ1" i="11"/>
  <c r="LP1" i="11"/>
  <c r="LO1" i="11"/>
  <c r="LN1" i="11"/>
  <c r="LM1" i="11"/>
  <c r="LL1" i="11"/>
  <c r="LK1" i="11"/>
  <c r="LJ1" i="11"/>
  <c r="LI1" i="11"/>
  <c r="LH1" i="11"/>
  <c r="LG1" i="11"/>
  <c r="LF1" i="11"/>
  <c r="LE1" i="11"/>
  <c r="LD1" i="11"/>
  <c r="LC1" i="11"/>
  <c r="LB1" i="11"/>
  <c r="LA1" i="11"/>
  <c r="KZ1" i="11"/>
  <c r="KY1" i="11"/>
  <c r="KX1" i="11"/>
  <c r="KW1" i="11"/>
  <c r="KV1" i="11"/>
  <c r="KU1" i="11"/>
  <c r="KT1" i="11"/>
  <c r="KS1" i="11"/>
  <c r="KR1" i="11"/>
  <c r="KQ1" i="11"/>
  <c r="KP1" i="11"/>
  <c r="KO1" i="11"/>
  <c r="KN1" i="11"/>
  <c r="KM1" i="11"/>
  <c r="KL1" i="11"/>
  <c r="KK1" i="11"/>
  <c r="KJ1" i="11"/>
  <c r="KI1" i="11"/>
  <c r="KH1" i="11"/>
  <c r="KG1" i="11"/>
  <c r="KF1" i="11"/>
  <c r="KE1" i="11"/>
  <c r="KD1" i="11"/>
  <c r="KC1" i="11"/>
  <c r="KB1" i="11"/>
  <c r="KA1" i="11"/>
  <c r="JZ1" i="11"/>
  <c r="JY1" i="11"/>
  <c r="JX1" i="11"/>
  <c r="JW1" i="11"/>
  <c r="JV1" i="11"/>
  <c r="JU1" i="11"/>
  <c r="JT1" i="11"/>
  <c r="JS1" i="11"/>
  <c r="JR1" i="11"/>
  <c r="JQ1" i="11"/>
  <c r="JP1" i="11"/>
  <c r="JO1" i="11"/>
  <c r="JN1" i="11"/>
  <c r="JM1" i="11"/>
  <c r="JL1" i="11"/>
  <c r="JK1" i="11"/>
  <c r="JJ1" i="11"/>
  <c r="JI1" i="11"/>
  <c r="JH1" i="11"/>
  <c r="JG1" i="11"/>
  <c r="JF1" i="11"/>
  <c r="JE1" i="11"/>
  <c r="JD1" i="11"/>
  <c r="JC1" i="11"/>
  <c r="JB1" i="11"/>
  <c r="JA1" i="11"/>
  <c r="IZ1" i="11"/>
  <c r="IY1" i="11"/>
  <c r="IX1" i="11"/>
  <c r="IW1" i="11"/>
  <c r="IV1" i="11"/>
  <c r="IU1" i="11"/>
  <c r="IT1" i="11"/>
  <c r="IS1" i="11"/>
  <c r="IR1" i="11"/>
  <c r="IQ1" i="11"/>
  <c r="IP1" i="11"/>
  <c r="IO1" i="11"/>
  <c r="IN1" i="11"/>
  <c r="IM1" i="11"/>
  <c r="IL1" i="11"/>
  <c r="IK1" i="11"/>
  <c r="IJ1" i="11"/>
  <c r="II1" i="11"/>
  <c r="IH1" i="11"/>
  <c r="IG1" i="11"/>
  <c r="IF1" i="11"/>
  <c r="IE1" i="11"/>
  <c r="ID1" i="11"/>
  <c r="IC1" i="11"/>
  <c r="IB1" i="11"/>
  <c r="IA1" i="11"/>
  <c r="HZ1" i="11"/>
  <c r="HY1" i="11"/>
  <c r="HX1" i="11"/>
  <c r="HW1" i="11"/>
  <c r="HV1" i="11"/>
  <c r="HU1" i="11"/>
  <c r="HT1" i="11"/>
  <c r="HS1" i="11"/>
  <c r="HR1" i="11"/>
  <c r="HQ1" i="11"/>
  <c r="HP1" i="11"/>
  <c r="HO1" i="11"/>
  <c r="HN1" i="11"/>
  <c r="HM1" i="11"/>
  <c r="HL1" i="11"/>
  <c r="HK1" i="11"/>
  <c r="HJ1" i="11"/>
  <c r="HI1" i="11"/>
  <c r="HH1" i="11"/>
  <c r="HG1" i="11"/>
  <c r="HF1" i="11"/>
  <c r="HE1" i="11"/>
  <c r="HD1" i="11"/>
  <c r="HC1" i="11"/>
  <c r="HB1" i="11"/>
  <c r="HA1" i="11"/>
  <c r="GZ1" i="11"/>
  <c r="GY1" i="11"/>
  <c r="GX1" i="11"/>
  <c r="GW1" i="11"/>
  <c r="GV1" i="11"/>
  <c r="GU1" i="11"/>
  <c r="GT1" i="11"/>
  <c r="GS1" i="11"/>
  <c r="GR1" i="11"/>
  <c r="GQ1" i="11"/>
  <c r="GP1" i="11"/>
  <c r="GO1" i="11"/>
  <c r="GN1" i="11"/>
  <c r="GM1" i="11"/>
  <c r="GL1" i="11"/>
  <c r="GK1" i="11"/>
  <c r="GJ1" i="11"/>
  <c r="GI1" i="11"/>
  <c r="GH1" i="11"/>
  <c r="GG1" i="11"/>
  <c r="GF1" i="11"/>
  <c r="GE1" i="11"/>
  <c r="GD1" i="11"/>
  <c r="GC1" i="11"/>
  <c r="GB1" i="11"/>
  <c r="GA1" i="11"/>
  <c r="FZ1" i="11"/>
  <c r="FY1" i="11"/>
  <c r="FX1" i="11"/>
  <c r="FW1" i="11"/>
  <c r="FV1" i="11"/>
  <c r="FU1" i="11"/>
  <c r="FT1" i="11"/>
  <c r="FS1" i="11"/>
  <c r="FR1" i="11"/>
  <c r="FQ1" i="11"/>
  <c r="FP1" i="11"/>
  <c r="FO1" i="11"/>
  <c r="FN1" i="11"/>
  <c r="FM1" i="11"/>
  <c r="FL1" i="11"/>
  <c r="FK1" i="11"/>
  <c r="FJ1" i="11"/>
  <c r="FI1" i="11"/>
  <c r="FH1" i="11"/>
  <c r="FG1" i="11"/>
  <c r="FF1" i="11"/>
  <c r="FE1" i="11"/>
  <c r="FD1" i="11"/>
  <c r="FC1" i="11"/>
  <c r="FB1" i="11"/>
  <c r="FA1" i="11"/>
  <c r="EZ1" i="11"/>
  <c r="EY1" i="11"/>
  <c r="EX1" i="11"/>
  <c r="EW1" i="11"/>
  <c r="EV1" i="11"/>
  <c r="EU1" i="11"/>
  <c r="ET1" i="11"/>
  <c r="ES1" i="11"/>
  <c r="ER1" i="11"/>
  <c r="EQ1" i="11"/>
  <c r="EP1" i="11"/>
  <c r="EO1" i="11"/>
  <c r="EN1" i="11"/>
  <c r="EM1" i="11"/>
  <c r="EL1" i="11"/>
  <c r="EK1" i="11"/>
  <c r="EJ1" i="11"/>
  <c r="EI1" i="11"/>
  <c r="EH1" i="11"/>
  <c r="EG1" i="11"/>
  <c r="EF1" i="11"/>
  <c r="EE1" i="11"/>
  <c r="ED1" i="11"/>
  <c r="EC1" i="11"/>
  <c r="EB1" i="11"/>
  <c r="EA1" i="11"/>
  <c r="DZ1" i="11"/>
  <c r="DY1" i="11"/>
  <c r="DX1" i="11"/>
  <c r="DW1" i="11"/>
  <c r="DV1" i="11"/>
  <c r="DU1" i="11"/>
  <c r="DT1" i="11"/>
  <c r="DS1" i="11"/>
  <c r="DR1" i="11"/>
  <c r="DQ1" i="11"/>
  <c r="DP1" i="11"/>
  <c r="DO1" i="11"/>
  <c r="DN1" i="11"/>
  <c r="DM1" i="11"/>
  <c r="DL1" i="11"/>
  <c r="DK1" i="11"/>
  <c r="DJ1" i="11"/>
  <c r="DI1" i="11"/>
  <c r="DH1" i="11"/>
  <c r="DG1" i="11"/>
  <c r="DF1" i="11"/>
  <c r="DE1" i="11"/>
  <c r="DD1" i="11"/>
  <c r="DC1" i="11"/>
  <c r="DB1" i="11"/>
  <c r="DA1" i="11"/>
  <c r="CZ1" i="11"/>
  <c r="CY1" i="11"/>
  <c r="CX1" i="11"/>
  <c r="CW1" i="11"/>
  <c r="CV1" i="11"/>
  <c r="CU1" i="11"/>
  <c r="CT1" i="11"/>
  <c r="CS1" i="11"/>
  <c r="CR1" i="11"/>
  <c r="CQ1" i="11"/>
  <c r="CP1" i="11"/>
  <c r="CO1" i="11"/>
  <c r="CN1" i="11"/>
  <c r="CM1" i="11"/>
  <c r="CL1" i="11"/>
  <c r="CK1" i="11"/>
  <c r="CJ1" i="11"/>
  <c r="CI1" i="11"/>
  <c r="CH1" i="11"/>
  <c r="CG1" i="11"/>
  <c r="CF1" i="11"/>
  <c r="CE1" i="11"/>
  <c r="CD1" i="11"/>
  <c r="CC1" i="11"/>
  <c r="CB1" i="11"/>
  <c r="CA1" i="11"/>
  <c r="BZ1" i="11"/>
  <c r="BY1" i="11"/>
  <c r="BX1" i="11"/>
  <c r="BW1" i="11"/>
  <c r="BV1" i="11"/>
  <c r="BU1" i="11"/>
  <c r="BT1" i="11"/>
  <c r="BS1" i="11"/>
  <c r="BR1" i="11"/>
  <c r="BQ1" i="11"/>
  <c r="BP1" i="11"/>
  <c r="BO1" i="11"/>
  <c r="BN1" i="11"/>
  <c r="BM1" i="11"/>
  <c r="BL1" i="11"/>
  <c r="BK1" i="11"/>
  <c r="BJ1" i="11"/>
  <c r="BI1" i="11"/>
  <c r="BH1"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W1" i="11"/>
  <c r="V1" i="11"/>
  <c r="U1" i="11"/>
  <c r="T1" i="11"/>
  <c r="S1" i="11"/>
  <c r="R1" i="11"/>
  <c r="Q1" i="11"/>
  <c r="P1" i="11"/>
  <c r="O1" i="11"/>
  <c r="N1" i="11"/>
  <c r="M1" i="11"/>
  <c r="L1" i="11"/>
  <c r="K1" i="11"/>
  <c r="J1" i="11"/>
  <c r="I1" i="11"/>
  <c r="H1" i="11"/>
  <c r="G1" i="11"/>
  <c r="F1" i="11"/>
  <c r="E1" i="11"/>
  <c r="D1" i="11"/>
  <c r="C1" i="11"/>
  <c r="XFD1" i="10"/>
  <c r="XFC1" i="10"/>
  <c r="XFB1" i="10"/>
  <c r="XFA1" i="10"/>
  <c r="XEZ1" i="10"/>
  <c r="XEY1" i="10"/>
  <c r="XEX1" i="10"/>
  <c r="XEW1" i="10"/>
  <c r="XEV1" i="10"/>
  <c r="XEU1" i="10"/>
  <c r="XET1" i="10"/>
  <c r="XES1" i="10"/>
  <c r="XER1" i="10"/>
  <c r="XEQ1" i="10"/>
  <c r="XEP1" i="10"/>
  <c r="XEO1" i="10"/>
  <c r="XEN1" i="10"/>
  <c r="XEM1" i="10"/>
  <c r="XEL1" i="10"/>
  <c r="XEK1" i="10"/>
  <c r="XEJ1" i="10"/>
  <c r="XEI1" i="10"/>
  <c r="XEH1" i="10"/>
  <c r="XEG1" i="10"/>
  <c r="XEF1" i="10"/>
  <c r="XEE1" i="10"/>
  <c r="XED1" i="10"/>
  <c r="XEC1" i="10"/>
  <c r="XEB1" i="10"/>
  <c r="XEA1" i="10"/>
  <c r="XDZ1" i="10"/>
  <c r="XDY1" i="10"/>
  <c r="XDX1" i="10"/>
  <c r="XDW1" i="10"/>
  <c r="XDV1" i="10"/>
  <c r="XDU1" i="10"/>
  <c r="XDT1" i="10"/>
  <c r="XDS1" i="10"/>
  <c r="XDR1" i="10"/>
  <c r="XDQ1" i="10"/>
  <c r="XDP1" i="10"/>
  <c r="XDO1" i="10"/>
  <c r="XDN1" i="10"/>
  <c r="XDM1" i="10"/>
  <c r="XDL1" i="10"/>
  <c r="XDK1" i="10"/>
  <c r="XDJ1" i="10"/>
  <c r="XDI1" i="10"/>
  <c r="XDH1" i="10"/>
  <c r="XDG1" i="10"/>
  <c r="XDF1" i="10"/>
  <c r="XDE1" i="10"/>
  <c r="XDD1" i="10"/>
  <c r="XDC1" i="10"/>
  <c r="XDB1" i="10"/>
  <c r="XDA1" i="10"/>
  <c r="XCZ1" i="10"/>
  <c r="XCY1" i="10"/>
  <c r="XCX1" i="10"/>
  <c r="XCW1" i="10"/>
  <c r="XCV1" i="10"/>
  <c r="XCU1" i="10"/>
  <c r="XCT1" i="10"/>
  <c r="XCS1" i="10"/>
  <c r="XCR1" i="10"/>
  <c r="XCQ1" i="10"/>
  <c r="XCP1" i="10"/>
  <c r="XCO1" i="10"/>
  <c r="XCN1" i="10"/>
  <c r="XCM1" i="10"/>
  <c r="XCL1" i="10"/>
  <c r="XCK1" i="10"/>
  <c r="XCJ1" i="10"/>
  <c r="XCI1" i="10"/>
  <c r="XCH1" i="10"/>
  <c r="XCG1" i="10"/>
  <c r="XCF1" i="10"/>
  <c r="XCE1" i="10"/>
  <c r="XCD1" i="10"/>
  <c r="XCC1" i="10"/>
  <c r="XCB1" i="10"/>
  <c r="XCA1" i="10"/>
  <c r="XBZ1" i="10"/>
  <c r="XBY1" i="10"/>
  <c r="XBX1" i="10"/>
  <c r="XBW1" i="10"/>
  <c r="XBV1" i="10"/>
  <c r="XBU1" i="10"/>
  <c r="XBT1" i="10"/>
  <c r="XBS1" i="10"/>
  <c r="XBR1" i="10"/>
  <c r="XBQ1" i="10"/>
  <c r="XBP1" i="10"/>
  <c r="XBO1" i="10"/>
  <c r="XBN1" i="10"/>
  <c r="XBM1" i="10"/>
  <c r="XBL1" i="10"/>
  <c r="XBK1" i="10"/>
  <c r="XBJ1" i="10"/>
  <c r="XBI1" i="10"/>
  <c r="XBH1" i="10"/>
  <c r="XBG1" i="10"/>
  <c r="XBF1" i="10"/>
  <c r="XBE1" i="10"/>
  <c r="XBD1" i="10"/>
  <c r="XBC1" i="10"/>
  <c r="XBB1" i="10"/>
  <c r="XBA1" i="10"/>
  <c r="XAZ1" i="10"/>
  <c r="XAY1" i="10"/>
  <c r="XAX1" i="10"/>
  <c r="XAW1" i="10"/>
  <c r="XAV1" i="10"/>
  <c r="XAU1" i="10"/>
  <c r="XAT1" i="10"/>
  <c r="XAS1" i="10"/>
  <c r="XAR1" i="10"/>
  <c r="XAQ1" i="10"/>
  <c r="XAP1" i="10"/>
  <c r="XAO1" i="10"/>
  <c r="XAN1" i="10"/>
  <c r="XAM1" i="10"/>
  <c r="XAL1" i="10"/>
  <c r="XAK1" i="10"/>
  <c r="XAJ1" i="10"/>
  <c r="XAI1" i="10"/>
  <c r="XAH1" i="10"/>
  <c r="XAG1" i="10"/>
  <c r="XAF1" i="10"/>
  <c r="XAE1" i="10"/>
  <c r="XAD1" i="10"/>
  <c r="XAC1" i="10"/>
  <c r="XAB1" i="10"/>
  <c r="XAA1" i="10"/>
  <c r="WZZ1" i="10"/>
  <c r="WZY1" i="10"/>
  <c r="WZX1" i="10"/>
  <c r="WZW1" i="10"/>
  <c r="WZV1" i="10"/>
  <c r="WZU1" i="10"/>
  <c r="WZT1" i="10"/>
  <c r="WZS1" i="10"/>
  <c r="WZR1" i="10"/>
  <c r="WZQ1" i="10"/>
  <c r="WZP1" i="10"/>
  <c r="WZO1" i="10"/>
  <c r="WZN1" i="10"/>
  <c r="WZM1" i="10"/>
  <c r="WZL1" i="10"/>
  <c r="WZK1" i="10"/>
  <c r="WZJ1" i="10"/>
  <c r="WZI1" i="10"/>
  <c r="WZH1" i="10"/>
  <c r="WZG1" i="10"/>
  <c r="WZF1" i="10"/>
  <c r="WZE1" i="10"/>
  <c r="WZD1" i="10"/>
  <c r="WZC1" i="10"/>
  <c r="WZB1" i="10"/>
  <c r="WZA1" i="10"/>
  <c r="WYZ1" i="10"/>
  <c r="WYY1" i="10"/>
  <c r="WYX1" i="10"/>
  <c r="WYW1" i="10"/>
  <c r="WYV1" i="10"/>
  <c r="WYU1" i="10"/>
  <c r="WYT1" i="10"/>
  <c r="WYS1" i="10"/>
  <c r="WYR1" i="10"/>
  <c r="WYQ1" i="10"/>
  <c r="WYP1" i="10"/>
  <c r="WYO1" i="10"/>
  <c r="WYN1" i="10"/>
  <c r="WYM1" i="10"/>
  <c r="WYL1" i="10"/>
  <c r="WYK1" i="10"/>
  <c r="WYJ1" i="10"/>
  <c r="WYI1" i="10"/>
  <c r="WYH1" i="10"/>
  <c r="WYG1" i="10"/>
  <c r="WYF1" i="10"/>
  <c r="WYE1" i="10"/>
  <c r="WYD1" i="10"/>
  <c r="WYC1" i="10"/>
  <c r="WYB1" i="10"/>
  <c r="WYA1" i="10"/>
  <c r="WXZ1" i="10"/>
  <c r="WXY1" i="10"/>
  <c r="WXX1" i="10"/>
  <c r="WXW1" i="10"/>
  <c r="WXV1" i="10"/>
  <c r="WXU1" i="10"/>
  <c r="WXT1" i="10"/>
  <c r="WXS1" i="10"/>
  <c r="WXR1" i="10"/>
  <c r="WXQ1" i="10"/>
  <c r="WXP1" i="10"/>
  <c r="WXO1" i="10"/>
  <c r="WXN1" i="10"/>
  <c r="WXM1" i="10"/>
  <c r="WXL1" i="10"/>
  <c r="WXK1" i="10"/>
  <c r="WXJ1" i="10"/>
  <c r="WXI1" i="10"/>
  <c r="WXH1" i="10"/>
  <c r="WXG1" i="10"/>
  <c r="WXF1" i="10"/>
  <c r="WXE1" i="10"/>
  <c r="WXD1" i="10"/>
  <c r="WXC1" i="10"/>
  <c r="WXB1" i="10"/>
  <c r="WXA1" i="10"/>
  <c r="WWZ1" i="10"/>
  <c r="WWY1" i="10"/>
  <c r="WWX1" i="10"/>
  <c r="WWW1" i="10"/>
  <c r="WWV1" i="10"/>
  <c r="WWU1" i="10"/>
  <c r="WWT1" i="10"/>
  <c r="WWS1" i="10"/>
  <c r="WWR1" i="10"/>
  <c r="WWQ1" i="10"/>
  <c r="WWP1" i="10"/>
  <c r="WWO1" i="10"/>
  <c r="WWN1" i="10"/>
  <c r="WWM1" i="10"/>
  <c r="WWL1" i="10"/>
  <c r="WWK1" i="10"/>
  <c r="WWJ1" i="10"/>
  <c r="WWI1" i="10"/>
  <c r="WWH1" i="10"/>
  <c r="WWG1" i="10"/>
  <c r="WWF1" i="10"/>
  <c r="WWE1" i="10"/>
  <c r="WWD1" i="10"/>
  <c r="WWC1" i="10"/>
  <c r="WWB1" i="10"/>
  <c r="WWA1" i="10"/>
  <c r="WVZ1" i="10"/>
  <c r="WVY1" i="10"/>
  <c r="WVX1" i="10"/>
  <c r="WVW1" i="10"/>
  <c r="WVV1" i="10"/>
  <c r="WVU1" i="10"/>
  <c r="WVT1" i="10"/>
  <c r="WVS1" i="10"/>
  <c r="WVR1" i="10"/>
  <c r="WVQ1" i="10"/>
  <c r="WVP1" i="10"/>
  <c r="WVO1" i="10"/>
  <c r="WVN1" i="10"/>
  <c r="WVM1" i="10"/>
  <c r="WVL1" i="10"/>
  <c r="WVK1" i="10"/>
  <c r="WVJ1" i="10"/>
  <c r="WVI1" i="10"/>
  <c r="WVH1" i="10"/>
  <c r="WVG1" i="10"/>
  <c r="WVF1" i="10"/>
  <c r="WVE1" i="10"/>
  <c r="WVD1" i="10"/>
  <c r="WVC1" i="10"/>
  <c r="WVB1" i="10"/>
  <c r="WVA1" i="10"/>
  <c r="WUZ1" i="10"/>
  <c r="WUY1" i="10"/>
  <c r="WUX1" i="10"/>
  <c r="WUW1" i="10"/>
  <c r="WUV1" i="10"/>
  <c r="WUU1" i="10"/>
  <c r="WUT1" i="10"/>
  <c r="WUS1" i="10"/>
  <c r="WUR1" i="10"/>
  <c r="WUQ1" i="10"/>
  <c r="WUP1" i="10"/>
  <c r="WUO1" i="10"/>
  <c r="WUN1" i="10"/>
  <c r="WUM1" i="10"/>
  <c r="WUL1" i="10"/>
  <c r="WUK1" i="10"/>
  <c r="WUJ1" i="10"/>
  <c r="WUI1" i="10"/>
  <c r="WUH1" i="10"/>
  <c r="WUG1" i="10"/>
  <c r="WUF1" i="10"/>
  <c r="WUE1" i="10"/>
  <c r="WUD1" i="10"/>
  <c r="WUC1" i="10"/>
  <c r="WUB1" i="10"/>
  <c r="WUA1" i="10"/>
  <c r="WTZ1" i="10"/>
  <c r="WTY1" i="10"/>
  <c r="WTX1" i="10"/>
  <c r="WTW1" i="10"/>
  <c r="WTV1" i="10"/>
  <c r="WTU1" i="10"/>
  <c r="WTT1" i="10"/>
  <c r="WTS1" i="10"/>
  <c r="WTR1" i="10"/>
  <c r="WTQ1" i="10"/>
  <c r="WTP1" i="10"/>
  <c r="WTO1" i="10"/>
  <c r="WTN1" i="10"/>
  <c r="WTM1" i="10"/>
  <c r="WTL1" i="10"/>
  <c r="WTK1" i="10"/>
  <c r="WTJ1" i="10"/>
  <c r="WTI1" i="10"/>
  <c r="WTH1" i="10"/>
  <c r="WTG1" i="10"/>
  <c r="WTF1" i="10"/>
  <c r="WTE1" i="10"/>
  <c r="WTD1" i="10"/>
  <c r="WTC1" i="10"/>
  <c r="WTB1" i="10"/>
  <c r="WTA1" i="10"/>
  <c r="WSZ1" i="10"/>
  <c r="WSY1" i="10"/>
  <c r="WSX1" i="10"/>
  <c r="WSW1" i="10"/>
  <c r="WSV1" i="10"/>
  <c r="WSU1" i="10"/>
  <c r="WST1" i="10"/>
  <c r="WSS1" i="10"/>
  <c r="WSR1" i="10"/>
  <c r="WSQ1" i="10"/>
  <c r="WSP1" i="10"/>
  <c r="WSO1" i="10"/>
  <c r="WSN1" i="10"/>
  <c r="WSM1" i="10"/>
  <c r="WSL1" i="10"/>
  <c r="WSK1" i="10"/>
  <c r="WSJ1" i="10"/>
  <c r="WSI1" i="10"/>
  <c r="WSH1" i="10"/>
  <c r="WSG1" i="10"/>
  <c r="WSF1" i="10"/>
  <c r="WSE1" i="10"/>
  <c r="WSD1" i="10"/>
  <c r="WSC1" i="10"/>
  <c r="WSB1" i="10"/>
  <c r="WSA1" i="10"/>
  <c r="WRZ1" i="10"/>
  <c r="WRY1" i="10"/>
  <c r="WRX1" i="10"/>
  <c r="WRW1" i="10"/>
  <c r="WRV1" i="10"/>
  <c r="WRU1" i="10"/>
  <c r="WRT1" i="10"/>
  <c r="WRS1" i="10"/>
  <c r="WRR1" i="10"/>
  <c r="WRQ1" i="10"/>
  <c r="WRP1" i="10"/>
  <c r="WRO1" i="10"/>
  <c r="WRN1" i="10"/>
  <c r="WRM1" i="10"/>
  <c r="WRL1" i="10"/>
  <c r="WRK1" i="10"/>
  <c r="WRJ1" i="10"/>
  <c r="WRI1" i="10"/>
  <c r="WRH1" i="10"/>
  <c r="WRG1" i="10"/>
  <c r="WRF1" i="10"/>
  <c r="WRE1" i="10"/>
  <c r="WRD1" i="10"/>
  <c r="WRC1" i="10"/>
  <c r="WRB1" i="10"/>
  <c r="WRA1" i="10"/>
  <c r="WQZ1" i="10"/>
  <c r="WQY1" i="10"/>
  <c r="WQX1" i="10"/>
  <c r="WQW1" i="10"/>
  <c r="WQV1" i="10"/>
  <c r="WQU1" i="10"/>
  <c r="WQT1" i="10"/>
  <c r="WQS1" i="10"/>
  <c r="WQR1" i="10"/>
  <c r="WQQ1" i="10"/>
  <c r="WQP1" i="10"/>
  <c r="WQO1" i="10"/>
  <c r="WQN1" i="10"/>
  <c r="WQM1" i="10"/>
  <c r="WQL1" i="10"/>
  <c r="WQK1" i="10"/>
  <c r="WQJ1" i="10"/>
  <c r="WQI1" i="10"/>
  <c r="WQH1" i="10"/>
  <c r="WQG1" i="10"/>
  <c r="WQF1" i="10"/>
  <c r="WQE1" i="10"/>
  <c r="WQD1" i="10"/>
  <c r="WQC1" i="10"/>
  <c r="WQB1" i="10"/>
  <c r="WQA1" i="10"/>
  <c r="WPZ1" i="10"/>
  <c r="WPY1" i="10"/>
  <c r="WPX1" i="10"/>
  <c r="WPW1" i="10"/>
  <c r="WPV1" i="10"/>
  <c r="WPU1" i="10"/>
  <c r="WPT1" i="10"/>
  <c r="WPS1" i="10"/>
  <c r="WPR1" i="10"/>
  <c r="WPQ1" i="10"/>
  <c r="WPP1" i="10"/>
  <c r="WPO1" i="10"/>
  <c r="WPN1" i="10"/>
  <c r="WPM1" i="10"/>
  <c r="WPL1" i="10"/>
  <c r="WPK1" i="10"/>
  <c r="WPJ1" i="10"/>
  <c r="WPI1" i="10"/>
  <c r="WPH1" i="10"/>
  <c r="WPG1" i="10"/>
  <c r="WPF1" i="10"/>
  <c r="WPE1" i="10"/>
  <c r="WPD1" i="10"/>
  <c r="WPC1" i="10"/>
  <c r="WPB1" i="10"/>
  <c r="WPA1" i="10"/>
  <c r="WOZ1" i="10"/>
  <c r="WOY1" i="10"/>
  <c r="WOX1" i="10"/>
  <c r="WOW1" i="10"/>
  <c r="WOV1" i="10"/>
  <c r="WOU1" i="10"/>
  <c r="WOT1" i="10"/>
  <c r="WOS1" i="10"/>
  <c r="WOR1" i="10"/>
  <c r="WOQ1" i="10"/>
  <c r="WOP1" i="10"/>
  <c r="WOO1" i="10"/>
  <c r="WON1" i="10"/>
  <c r="WOM1" i="10"/>
  <c r="WOL1" i="10"/>
  <c r="WOK1" i="10"/>
  <c r="WOJ1" i="10"/>
  <c r="WOI1" i="10"/>
  <c r="WOH1" i="10"/>
  <c r="WOG1" i="10"/>
  <c r="WOF1" i="10"/>
  <c r="WOE1" i="10"/>
  <c r="WOD1" i="10"/>
  <c r="WOC1" i="10"/>
  <c r="WOB1" i="10"/>
  <c r="WOA1" i="10"/>
  <c r="WNZ1" i="10"/>
  <c r="WNY1" i="10"/>
  <c r="WNX1" i="10"/>
  <c r="WNW1" i="10"/>
  <c r="WNV1" i="10"/>
  <c r="WNU1" i="10"/>
  <c r="WNT1" i="10"/>
  <c r="WNS1" i="10"/>
  <c r="WNR1" i="10"/>
  <c r="WNQ1" i="10"/>
  <c r="WNP1" i="10"/>
  <c r="WNO1" i="10"/>
  <c r="WNN1" i="10"/>
  <c r="WNM1" i="10"/>
  <c r="WNL1" i="10"/>
  <c r="WNK1" i="10"/>
  <c r="WNJ1" i="10"/>
  <c r="WNI1" i="10"/>
  <c r="WNH1" i="10"/>
  <c r="WNG1" i="10"/>
  <c r="WNF1" i="10"/>
  <c r="WNE1" i="10"/>
  <c r="WND1" i="10"/>
  <c r="WNC1" i="10"/>
  <c r="WNB1" i="10"/>
  <c r="WNA1" i="10"/>
  <c r="WMZ1" i="10"/>
  <c r="WMY1" i="10"/>
  <c r="WMX1" i="10"/>
  <c r="WMW1" i="10"/>
  <c r="WMV1" i="10"/>
  <c r="WMU1" i="10"/>
  <c r="WMT1" i="10"/>
  <c r="WMS1" i="10"/>
  <c r="WMR1" i="10"/>
  <c r="WMQ1" i="10"/>
  <c r="WMP1" i="10"/>
  <c r="WMO1" i="10"/>
  <c r="WMN1" i="10"/>
  <c r="WMM1" i="10"/>
  <c r="WML1" i="10"/>
  <c r="WMK1" i="10"/>
  <c r="WMJ1" i="10"/>
  <c r="WMI1" i="10"/>
  <c r="WMH1" i="10"/>
  <c r="WMG1" i="10"/>
  <c r="WMF1" i="10"/>
  <c r="WME1" i="10"/>
  <c r="WMD1" i="10"/>
  <c r="WMC1" i="10"/>
  <c r="WMB1" i="10"/>
  <c r="WMA1" i="10"/>
  <c r="WLZ1" i="10"/>
  <c r="WLY1" i="10"/>
  <c r="WLX1" i="10"/>
  <c r="WLW1" i="10"/>
  <c r="WLV1" i="10"/>
  <c r="WLU1" i="10"/>
  <c r="WLT1" i="10"/>
  <c r="WLS1" i="10"/>
  <c r="WLR1" i="10"/>
  <c r="WLQ1" i="10"/>
  <c r="WLP1" i="10"/>
  <c r="WLO1" i="10"/>
  <c r="WLN1" i="10"/>
  <c r="WLM1" i="10"/>
  <c r="WLL1" i="10"/>
  <c r="WLK1" i="10"/>
  <c r="WLJ1" i="10"/>
  <c r="WLI1" i="10"/>
  <c r="WLH1" i="10"/>
  <c r="WLG1" i="10"/>
  <c r="WLF1" i="10"/>
  <c r="WLE1" i="10"/>
  <c r="WLD1" i="10"/>
  <c r="WLC1" i="10"/>
  <c r="WLB1" i="10"/>
  <c r="WLA1" i="10"/>
  <c r="WKZ1" i="10"/>
  <c r="WKY1" i="10"/>
  <c r="WKX1" i="10"/>
  <c r="WKW1" i="10"/>
  <c r="WKV1" i="10"/>
  <c r="WKU1" i="10"/>
  <c r="WKT1" i="10"/>
  <c r="WKS1" i="10"/>
  <c r="WKR1" i="10"/>
  <c r="WKQ1" i="10"/>
  <c r="WKP1" i="10"/>
  <c r="WKO1" i="10"/>
  <c r="WKN1" i="10"/>
  <c r="WKM1" i="10"/>
  <c r="WKL1" i="10"/>
  <c r="WKK1" i="10"/>
  <c r="WKJ1" i="10"/>
  <c r="WKI1" i="10"/>
  <c r="WKH1" i="10"/>
  <c r="WKG1" i="10"/>
  <c r="WKF1" i="10"/>
  <c r="WKE1" i="10"/>
  <c r="WKD1" i="10"/>
  <c r="WKC1" i="10"/>
  <c r="WKB1" i="10"/>
  <c r="WKA1" i="10"/>
  <c r="WJZ1" i="10"/>
  <c r="WJY1" i="10"/>
  <c r="WJX1" i="10"/>
  <c r="WJW1" i="10"/>
  <c r="WJV1" i="10"/>
  <c r="WJU1" i="10"/>
  <c r="WJT1" i="10"/>
  <c r="WJS1" i="10"/>
  <c r="WJR1" i="10"/>
  <c r="WJQ1" i="10"/>
  <c r="WJP1" i="10"/>
  <c r="WJO1" i="10"/>
  <c r="WJN1" i="10"/>
  <c r="WJM1" i="10"/>
  <c r="WJL1" i="10"/>
  <c r="WJK1" i="10"/>
  <c r="WJJ1" i="10"/>
  <c r="WJI1" i="10"/>
  <c r="WJH1" i="10"/>
  <c r="WJG1" i="10"/>
  <c r="WJF1" i="10"/>
  <c r="WJE1" i="10"/>
  <c r="WJD1" i="10"/>
  <c r="WJC1" i="10"/>
  <c r="WJB1" i="10"/>
  <c r="WJA1" i="10"/>
  <c r="WIZ1" i="10"/>
  <c r="WIY1" i="10"/>
  <c r="WIX1" i="10"/>
  <c r="WIW1" i="10"/>
  <c r="WIV1" i="10"/>
  <c r="WIU1" i="10"/>
  <c r="WIT1" i="10"/>
  <c r="WIS1" i="10"/>
  <c r="WIR1" i="10"/>
  <c r="WIQ1" i="10"/>
  <c r="WIP1" i="10"/>
  <c r="WIO1" i="10"/>
  <c r="WIN1" i="10"/>
  <c r="WIM1" i="10"/>
  <c r="WIL1" i="10"/>
  <c r="WIK1" i="10"/>
  <c r="WIJ1" i="10"/>
  <c r="WII1" i="10"/>
  <c r="WIH1" i="10"/>
  <c r="WIG1" i="10"/>
  <c r="WIF1" i="10"/>
  <c r="WIE1" i="10"/>
  <c r="WID1" i="10"/>
  <c r="WIC1" i="10"/>
  <c r="WIB1" i="10"/>
  <c r="WIA1" i="10"/>
  <c r="WHZ1" i="10"/>
  <c r="WHY1" i="10"/>
  <c r="WHX1" i="10"/>
  <c r="WHW1" i="10"/>
  <c r="WHV1" i="10"/>
  <c r="WHU1" i="10"/>
  <c r="WHT1" i="10"/>
  <c r="WHS1" i="10"/>
  <c r="WHR1" i="10"/>
  <c r="WHQ1" i="10"/>
  <c r="WHP1" i="10"/>
  <c r="WHO1" i="10"/>
  <c r="WHN1" i="10"/>
  <c r="WHM1" i="10"/>
  <c r="WHL1" i="10"/>
  <c r="WHK1" i="10"/>
  <c r="WHJ1" i="10"/>
  <c r="WHI1" i="10"/>
  <c r="WHH1" i="10"/>
  <c r="WHG1" i="10"/>
  <c r="WHF1" i="10"/>
  <c r="WHE1" i="10"/>
  <c r="WHD1" i="10"/>
  <c r="WHC1" i="10"/>
  <c r="WHB1" i="10"/>
  <c r="WHA1" i="10"/>
  <c r="WGZ1" i="10"/>
  <c r="WGY1" i="10"/>
  <c r="WGX1" i="10"/>
  <c r="WGW1" i="10"/>
  <c r="WGV1" i="10"/>
  <c r="WGU1" i="10"/>
  <c r="WGT1" i="10"/>
  <c r="WGS1" i="10"/>
  <c r="WGR1" i="10"/>
  <c r="WGQ1" i="10"/>
  <c r="WGP1" i="10"/>
  <c r="WGO1" i="10"/>
  <c r="WGN1" i="10"/>
  <c r="WGM1" i="10"/>
  <c r="WGL1" i="10"/>
  <c r="WGK1" i="10"/>
  <c r="WGJ1" i="10"/>
  <c r="WGI1" i="10"/>
  <c r="WGH1" i="10"/>
  <c r="WGG1" i="10"/>
  <c r="WGF1" i="10"/>
  <c r="WGE1" i="10"/>
  <c r="WGD1" i="10"/>
  <c r="WGC1" i="10"/>
  <c r="WGB1" i="10"/>
  <c r="WGA1" i="10"/>
  <c r="WFZ1" i="10"/>
  <c r="WFY1" i="10"/>
  <c r="WFX1" i="10"/>
  <c r="WFW1" i="10"/>
  <c r="WFV1" i="10"/>
  <c r="WFU1" i="10"/>
  <c r="WFT1" i="10"/>
  <c r="WFS1" i="10"/>
  <c r="WFR1" i="10"/>
  <c r="WFQ1" i="10"/>
  <c r="WFP1" i="10"/>
  <c r="WFO1" i="10"/>
  <c r="WFN1" i="10"/>
  <c r="WFM1" i="10"/>
  <c r="WFL1" i="10"/>
  <c r="WFK1" i="10"/>
  <c r="WFJ1" i="10"/>
  <c r="WFI1" i="10"/>
  <c r="WFH1" i="10"/>
  <c r="WFG1" i="10"/>
  <c r="WFF1" i="10"/>
  <c r="WFE1" i="10"/>
  <c r="WFD1" i="10"/>
  <c r="WFC1" i="10"/>
  <c r="WFB1" i="10"/>
  <c r="WFA1" i="10"/>
  <c r="WEZ1" i="10"/>
  <c r="WEY1" i="10"/>
  <c r="WEX1" i="10"/>
  <c r="WEW1" i="10"/>
  <c r="WEV1" i="10"/>
  <c r="WEU1" i="10"/>
  <c r="WET1" i="10"/>
  <c r="WES1" i="10"/>
  <c r="WER1" i="10"/>
  <c r="WEQ1" i="10"/>
  <c r="WEP1" i="10"/>
  <c r="WEO1" i="10"/>
  <c r="WEN1" i="10"/>
  <c r="WEM1" i="10"/>
  <c r="WEL1" i="10"/>
  <c r="WEK1" i="10"/>
  <c r="WEJ1" i="10"/>
  <c r="WEI1" i="10"/>
  <c r="WEH1" i="10"/>
  <c r="WEG1" i="10"/>
  <c r="WEF1" i="10"/>
  <c r="WEE1" i="10"/>
  <c r="WED1" i="10"/>
  <c r="WEC1" i="10"/>
  <c r="WEB1" i="10"/>
  <c r="WEA1" i="10"/>
  <c r="WDZ1" i="10"/>
  <c r="WDY1" i="10"/>
  <c r="WDX1" i="10"/>
  <c r="WDW1" i="10"/>
  <c r="WDV1" i="10"/>
  <c r="WDU1" i="10"/>
  <c r="WDT1" i="10"/>
  <c r="WDS1" i="10"/>
  <c r="WDR1" i="10"/>
  <c r="WDQ1" i="10"/>
  <c r="WDP1" i="10"/>
  <c r="WDO1" i="10"/>
  <c r="WDN1" i="10"/>
  <c r="WDM1" i="10"/>
  <c r="WDL1" i="10"/>
  <c r="WDK1" i="10"/>
  <c r="WDJ1" i="10"/>
  <c r="WDI1" i="10"/>
  <c r="WDH1" i="10"/>
  <c r="WDG1" i="10"/>
  <c r="WDF1" i="10"/>
  <c r="WDE1" i="10"/>
  <c r="WDD1" i="10"/>
  <c r="WDC1" i="10"/>
  <c r="WDB1" i="10"/>
  <c r="WDA1" i="10"/>
  <c r="WCZ1" i="10"/>
  <c r="WCY1" i="10"/>
  <c r="WCX1" i="10"/>
  <c r="WCW1" i="10"/>
  <c r="WCV1" i="10"/>
  <c r="WCU1" i="10"/>
  <c r="WCT1" i="10"/>
  <c r="WCS1" i="10"/>
  <c r="WCR1" i="10"/>
  <c r="WCQ1" i="10"/>
  <c r="WCP1" i="10"/>
  <c r="WCO1" i="10"/>
  <c r="WCN1" i="10"/>
  <c r="WCM1" i="10"/>
  <c r="WCL1" i="10"/>
  <c r="WCK1" i="10"/>
  <c r="WCJ1" i="10"/>
  <c r="WCI1" i="10"/>
  <c r="WCH1" i="10"/>
  <c r="WCG1" i="10"/>
  <c r="WCF1" i="10"/>
  <c r="WCE1" i="10"/>
  <c r="WCD1" i="10"/>
  <c r="WCC1" i="10"/>
  <c r="WCB1" i="10"/>
  <c r="WCA1" i="10"/>
  <c r="WBZ1" i="10"/>
  <c r="WBY1" i="10"/>
  <c r="WBX1" i="10"/>
  <c r="WBW1" i="10"/>
  <c r="WBV1" i="10"/>
  <c r="WBU1" i="10"/>
  <c r="WBT1" i="10"/>
  <c r="WBS1" i="10"/>
  <c r="WBR1" i="10"/>
  <c r="WBQ1" i="10"/>
  <c r="WBP1" i="10"/>
  <c r="WBO1" i="10"/>
  <c r="WBN1" i="10"/>
  <c r="WBM1" i="10"/>
  <c r="WBL1" i="10"/>
  <c r="WBK1" i="10"/>
  <c r="WBJ1" i="10"/>
  <c r="WBI1" i="10"/>
  <c r="WBH1" i="10"/>
  <c r="WBG1" i="10"/>
  <c r="WBF1" i="10"/>
  <c r="WBE1" i="10"/>
  <c r="WBD1" i="10"/>
  <c r="WBC1" i="10"/>
  <c r="WBB1" i="10"/>
  <c r="WBA1" i="10"/>
  <c r="WAZ1" i="10"/>
  <c r="WAY1" i="10"/>
  <c r="WAX1" i="10"/>
  <c r="WAW1" i="10"/>
  <c r="WAV1" i="10"/>
  <c r="WAU1" i="10"/>
  <c r="WAT1" i="10"/>
  <c r="WAS1" i="10"/>
  <c r="WAR1" i="10"/>
  <c r="WAQ1" i="10"/>
  <c r="WAP1" i="10"/>
  <c r="WAO1" i="10"/>
  <c r="WAN1" i="10"/>
  <c r="WAM1" i="10"/>
  <c r="WAL1" i="10"/>
  <c r="WAK1" i="10"/>
  <c r="WAJ1" i="10"/>
  <c r="WAI1" i="10"/>
  <c r="WAH1" i="10"/>
  <c r="WAG1" i="10"/>
  <c r="WAF1" i="10"/>
  <c r="WAE1" i="10"/>
  <c r="WAD1" i="10"/>
  <c r="WAC1" i="10"/>
  <c r="WAB1" i="10"/>
  <c r="WAA1" i="10"/>
  <c r="VZZ1" i="10"/>
  <c r="VZY1" i="10"/>
  <c r="VZX1" i="10"/>
  <c r="VZW1" i="10"/>
  <c r="VZV1" i="10"/>
  <c r="VZU1" i="10"/>
  <c r="VZT1" i="10"/>
  <c r="VZS1" i="10"/>
  <c r="VZR1" i="10"/>
  <c r="VZQ1" i="10"/>
  <c r="VZP1" i="10"/>
  <c r="VZO1" i="10"/>
  <c r="VZN1" i="10"/>
  <c r="VZM1" i="10"/>
  <c r="VZL1" i="10"/>
  <c r="VZK1" i="10"/>
  <c r="VZJ1" i="10"/>
  <c r="VZI1" i="10"/>
  <c r="VZH1" i="10"/>
  <c r="VZG1" i="10"/>
  <c r="VZF1" i="10"/>
  <c r="VZE1" i="10"/>
  <c r="VZD1" i="10"/>
  <c r="VZC1" i="10"/>
  <c r="VZB1" i="10"/>
  <c r="VZA1" i="10"/>
  <c r="VYZ1" i="10"/>
  <c r="VYY1" i="10"/>
  <c r="VYX1" i="10"/>
  <c r="VYW1" i="10"/>
  <c r="VYV1" i="10"/>
  <c r="VYU1" i="10"/>
  <c r="VYT1" i="10"/>
  <c r="VYS1" i="10"/>
  <c r="VYR1" i="10"/>
  <c r="VYQ1" i="10"/>
  <c r="VYP1" i="10"/>
  <c r="VYO1" i="10"/>
  <c r="VYN1" i="10"/>
  <c r="VYM1" i="10"/>
  <c r="VYL1" i="10"/>
  <c r="VYK1" i="10"/>
  <c r="VYJ1" i="10"/>
  <c r="VYI1" i="10"/>
  <c r="VYH1" i="10"/>
  <c r="VYG1" i="10"/>
  <c r="VYF1" i="10"/>
  <c r="VYE1" i="10"/>
  <c r="VYD1" i="10"/>
  <c r="VYC1" i="10"/>
  <c r="VYB1" i="10"/>
  <c r="VYA1" i="10"/>
  <c r="VXZ1" i="10"/>
  <c r="VXY1" i="10"/>
  <c r="VXX1" i="10"/>
  <c r="VXW1" i="10"/>
  <c r="VXV1" i="10"/>
  <c r="VXU1" i="10"/>
  <c r="VXT1" i="10"/>
  <c r="VXS1" i="10"/>
  <c r="VXR1" i="10"/>
  <c r="VXQ1" i="10"/>
  <c r="VXP1" i="10"/>
  <c r="VXO1" i="10"/>
  <c r="VXN1" i="10"/>
  <c r="VXM1" i="10"/>
  <c r="VXL1" i="10"/>
  <c r="VXK1" i="10"/>
  <c r="VXJ1" i="10"/>
  <c r="VXI1" i="10"/>
  <c r="VXH1" i="10"/>
  <c r="VXG1" i="10"/>
  <c r="VXF1" i="10"/>
  <c r="VXE1" i="10"/>
  <c r="VXD1" i="10"/>
  <c r="VXC1" i="10"/>
  <c r="VXB1" i="10"/>
  <c r="VXA1" i="10"/>
  <c r="VWZ1" i="10"/>
  <c r="VWY1" i="10"/>
  <c r="VWX1" i="10"/>
  <c r="VWW1" i="10"/>
  <c r="VWV1" i="10"/>
  <c r="VWU1" i="10"/>
  <c r="VWT1" i="10"/>
  <c r="VWS1" i="10"/>
  <c r="VWR1" i="10"/>
  <c r="VWQ1" i="10"/>
  <c r="VWP1" i="10"/>
  <c r="VWO1" i="10"/>
  <c r="VWN1" i="10"/>
  <c r="VWM1" i="10"/>
  <c r="VWL1" i="10"/>
  <c r="VWK1" i="10"/>
  <c r="VWJ1" i="10"/>
  <c r="VWI1" i="10"/>
  <c r="VWH1" i="10"/>
  <c r="VWG1" i="10"/>
  <c r="VWF1" i="10"/>
  <c r="VWE1" i="10"/>
  <c r="VWD1" i="10"/>
  <c r="VWC1" i="10"/>
  <c r="VWB1" i="10"/>
  <c r="VWA1" i="10"/>
  <c r="VVZ1" i="10"/>
  <c r="VVY1" i="10"/>
  <c r="VVX1" i="10"/>
  <c r="VVW1" i="10"/>
  <c r="VVV1" i="10"/>
  <c r="VVU1" i="10"/>
  <c r="VVT1" i="10"/>
  <c r="VVS1" i="10"/>
  <c r="VVR1" i="10"/>
  <c r="VVQ1" i="10"/>
  <c r="VVP1" i="10"/>
  <c r="VVO1" i="10"/>
  <c r="VVN1" i="10"/>
  <c r="VVM1" i="10"/>
  <c r="VVL1" i="10"/>
  <c r="VVK1" i="10"/>
  <c r="VVJ1" i="10"/>
  <c r="VVI1" i="10"/>
  <c r="VVH1" i="10"/>
  <c r="VVG1" i="10"/>
  <c r="VVF1" i="10"/>
  <c r="VVE1" i="10"/>
  <c r="VVD1" i="10"/>
  <c r="VVC1" i="10"/>
  <c r="VVB1" i="10"/>
  <c r="VVA1" i="10"/>
  <c r="VUZ1" i="10"/>
  <c r="VUY1" i="10"/>
  <c r="VUX1" i="10"/>
  <c r="VUW1" i="10"/>
  <c r="VUV1" i="10"/>
  <c r="VUU1" i="10"/>
  <c r="VUT1" i="10"/>
  <c r="VUS1" i="10"/>
  <c r="VUR1" i="10"/>
  <c r="VUQ1" i="10"/>
  <c r="VUP1" i="10"/>
  <c r="VUO1" i="10"/>
  <c r="VUN1" i="10"/>
  <c r="VUM1" i="10"/>
  <c r="VUL1" i="10"/>
  <c r="VUK1" i="10"/>
  <c r="VUJ1" i="10"/>
  <c r="VUI1" i="10"/>
  <c r="VUH1" i="10"/>
  <c r="VUG1" i="10"/>
  <c r="VUF1" i="10"/>
  <c r="VUE1" i="10"/>
  <c r="VUD1" i="10"/>
  <c r="VUC1" i="10"/>
  <c r="VUB1" i="10"/>
  <c r="VUA1" i="10"/>
  <c r="VTZ1" i="10"/>
  <c r="VTY1" i="10"/>
  <c r="VTX1" i="10"/>
  <c r="VTW1" i="10"/>
  <c r="VTV1" i="10"/>
  <c r="VTU1" i="10"/>
  <c r="VTT1" i="10"/>
  <c r="VTS1" i="10"/>
  <c r="VTR1" i="10"/>
  <c r="VTQ1" i="10"/>
  <c r="VTP1" i="10"/>
  <c r="VTO1" i="10"/>
  <c r="VTN1" i="10"/>
  <c r="VTM1" i="10"/>
  <c r="VTL1" i="10"/>
  <c r="VTK1" i="10"/>
  <c r="VTJ1" i="10"/>
  <c r="VTI1" i="10"/>
  <c r="VTH1" i="10"/>
  <c r="VTG1" i="10"/>
  <c r="VTF1" i="10"/>
  <c r="VTE1" i="10"/>
  <c r="VTD1" i="10"/>
  <c r="VTC1" i="10"/>
  <c r="VTB1" i="10"/>
  <c r="VTA1" i="10"/>
  <c r="VSZ1" i="10"/>
  <c r="VSY1" i="10"/>
  <c r="VSX1" i="10"/>
  <c r="VSW1" i="10"/>
  <c r="VSV1" i="10"/>
  <c r="VSU1" i="10"/>
  <c r="VST1" i="10"/>
  <c r="VSS1" i="10"/>
  <c r="VSR1" i="10"/>
  <c r="VSQ1" i="10"/>
  <c r="VSP1" i="10"/>
  <c r="VSO1" i="10"/>
  <c r="VSN1" i="10"/>
  <c r="VSM1" i="10"/>
  <c r="VSL1" i="10"/>
  <c r="VSK1" i="10"/>
  <c r="VSJ1" i="10"/>
  <c r="VSI1" i="10"/>
  <c r="VSH1" i="10"/>
  <c r="VSG1" i="10"/>
  <c r="VSF1" i="10"/>
  <c r="VSE1" i="10"/>
  <c r="VSD1" i="10"/>
  <c r="VSC1" i="10"/>
  <c r="VSB1" i="10"/>
  <c r="VSA1" i="10"/>
  <c r="VRZ1" i="10"/>
  <c r="VRY1" i="10"/>
  <c r="VRX1" i="10"/>
  <c r="VRW1" i="10"/>
  <c r="VRV1" i="10"/>
  <c r="VRU1" i="10"/>
  <c r="VRT1" i="10"/>
  <c r="VRS1" i="10"/>
  <c r="VRR1" i="10"/>
  <c r="VRQ1" i="10"/>
  <c r="VRP1" i="10"/>
  <c r="VRO1" i="10"/>
  <c r="VRN1" i="10"/>
  <c r="VRM1" i="10"/>
  <c r="VRL1" i="10"/>
  <c r="VRK1" i="10"/>
  <c r="VRJ1" i="10"/>
  <c r="VRI1" i="10"/>
  <c r="VRH1" i="10"/>
  <c r="VRG1" i="10"/>
  <c r="VRF1" i="10"/>
  <c r="VRE1" i="10"/>
  <c r="VRD1" i="10"/>
  <c r="VRC1" i="10"/>
  <c r="VRB1" i="10"/>
  <c r="VRA1" i="10"/>
  <c r="VQZ1" i="10"/>
  <c r="VQY1" i="10"/>
  <c r="VQX1" i="10"/>
  <c r="VQW1" i="10"/>
  <c r="VQV1" i="10"/>
  <c r="VQU1" i="10"/>
  <c r="VQT1" i="10"/>
  <c r="VQS1" i="10"/>
  <c r="VQR1" i="10"/>
  <c r="VQQ1" i="10"/>
  <c r="VQP1" i="10"/>
  <c r="VQO1" i="10"/>
  <c r="VQN1" i="10"/>
  <c r="VQM1" i="10"/>
  <c r="VQL1" i="10"/>
  <c r="VQK1" i="10"/>
  <c r="VQJ1" i="10"/>
  <c r="VQI1" i="10"/>
  <c r="VQH1" i="10"/>
  <c r="VQG1" i="10"/>
  <c r="VQF1" i="10"/>
  <c r="VQE1" i="10"/>
  <c r="VQD1" i="10"/>
  <c r="VQC1" i="10"/>
  <c r="VQB1" i="10"/>
  <c r="VQA1" i="10"/>
  <c r="VPZ1" i="10"/>
  <c r="VPY1" i="10"/>
  <c r="VPX1" i="10"/>
  <c r="VPW1" i="10"/>
  <c r="VPV1" i="10"/>
  <c r="VPU1" i="10"/>
  <c r="VPT1" i="10"/>
  <c r="VPS1" i="10"/>
  <c r="VPR1" i="10"/>
  <c r="VPQ1" i="10"/>
  <c r="VPP1" i="10"/>
  <c r="VPO1" i="10"/>
  <c r="VPN1" i="10"/>
  <c r="VPM1" i="10"/>
  <c r="VPL1" i="10"/>
  <c r="VPK1" i="10"/>
  <c r="VPJ1" i="10"/>
  <c r="VPI1" i="10"/>
  <c r="VPH1" i="10"/>
  <c r="VPG1" i="10"/>
  <c r="VPF1" i="10"/>
  <c r="VPE1" i="10"/>
  <c r="VPD1" i="10"/>
  <c r="VPC1" i="10"/>
  <c r="VPB1" i="10"/>
  <c r="VPA1" i="10"/>
  <c r="VOZ1" i="10"/>
  <c r="VOY1" i="10"/>
  <c r="VOX1" i="10"/>
  <c r="VOW1" i="10"/>
  <c r="VOV1" i="10"/>
  <c r="VOU1" i="10"/>
  <c r="VOT1" i="10"/>
  <c r="VOS1" i="10"/>
  <c r="VOR1" i="10"/>
  <c r="VOQ1" i="10"/>
  <c r="VOP1" i="10"/>
  <c r="VOO1" i="10"/>
  <c r="VON1" i="10"/>
  <c r="VOM1" i="10"/>
  <c r="VOL1" i="10"/>
  <c r="VOK1" i="10"/>
  <c r="VOJ1" i="10"/>
  <c r="VOI1" i="10"/>
  <c r="VOH1" i="10"/>
  <c r="VOG1" i="10"/>
  <c r="VOF1" i="10"/>
  <c r="VOE1" i="10"/>
  <c r="VOD1" i="10"/>
  <c r="VOC1" i="10"/>
  <c r="VOB1" i="10"/>
  <c r="VOA1" i="10"/>
  <c r="VNZ1" i="10"/>
  <c r="VNY1" i="10"/>
  <c r="VNX1" i="10"/>
  <c r="VNW1" i="10"/>
  <c r="VNV1" i="10"/>
  <c r="VNU1" i="10"/>
  <c r="VNT1" i="10"/>
  <c r="VNS1" i="10"/>
  <c r="VNR1" i="10"/>
  <c r="VNQ1" i="10"/>
  <c r="VNP1" i="10"/>
  <c r="VNO1" i="10"/>
  <c r="VNN1" i="10"/>
  <c r="VNM1" i="10"/>
  <c r="VNL1" i="10"/>
  <c r="VNK1" i="10"/>
  <c r="VNJ1" i="10"/>
  <c r="VNI1" i="10"/>
  <c r="VNH1" i="10"/>
  <c r="VNG1" i="10"/>
  <c r="VNF1" i="10"/>
  <c r="VNE1" i="10"/>
  <c r="VND1" i="10"/>
  <c r="VNC1" i="10"/>
  <c r="VNB1" i="10"/>
  <c r="VNA1" i="10"/>
  <c r="VMZ1" i="10"/>
  <c r="VMY1" i="10"/>
  <c r="VMX1" i="10"/>
  <c r="VMW1" i="10"/>
  <c r="VMV1" i="10"/>
  <c r="VMU1" i="10"/>
  <c r="VMT1" i="10"/>
  <c r="VMS1" i="10"/>
  <c r="VMR1" i="10"/>
  <c r="VMQ1" i="10"/>
  <c r="VMP1" i="10"/>
  <c r="VMO1" i="10"/>
  <c r="VMN1" i="10"/>
  <c r="VMM1" i="10"/>
  <c r="VML1" i="10"/>
  <c r="VMK1" i="10"/>
  <c r="VMJ1" i="10"/>
  <c r="VMI1" i="10"/>
  <c r="VMH1" i="10"/>
  <c r="VMG1" i="10"/>
  <c r="VMF1" i="10"/>
  <c r="VME1" i="10"/>
  <c r="VMD1" i="10"/>
  <c r="VMC1" i="10"/>
  <c r="VMB1" i="10"/>
  <c r="VMA1" i="10"/>
  <c r="VLZ1" i="10"/>
  <c r="VLY1" i="10"/>
  <c r="VLX1" i="10"/>
  <c r="VLW1" i="10"/>
  <c r="VLV1" i="10"/>
  <c r="VLU1" i="10"/>
  <c r="VLT1" i="10"/>
  <c r="VLS1" i="10"/>
  <c r="VLR1" i="10"/>
  <c r="VLQ1" i="10"/>
  <c r="VLP1" i="10"/>
  <c r="VLO1" i="10"/>
  <c r="VLN1" i="10"/>
  <c r="VLM1" i="10"/>
  <c r="VLL1" i="10"/>
  <c r="VLK1" i="10"/>
  <c r="VLJ1" i="10"/>
  <c r="VLI1" i="10"/>
  <c r="VLH1" i="10"/>
  <c r="VLG1" i="10"/>
  <c r="VLF1" i="10"/>
  <c r="VLE1" i="10"/>
  <c r="VLD1" i="10"/>
  <c r="VLC1" i="10"/>
  <c r="VLB1" i="10"/>
  <c r="VLA1" i="10"/>
  <c r="VKZ1" i="10"/>
  <c r="VKY1" i="10"/>
  <c r="VKX1" i="10"/>
  <c r="VKW1" i="10"/>
  <c r="VKV1" i="10"/>
  <c r="VKU1" i="10"/>
  <c r="VKT1" i="10"/>
  <c r="VKS1" i="10"/>
  <c r="VKR1" i="10"/>
  <c r="VKQ1" i="10"/>
  <c r="VKP1" i="10"/>
  <c r="VKO1" i="10"/>
  <c r="VKN1" i="10"/>
  <c r="VKM1" i="10"/>
  <c r="VKL1" i="10"/>
  <c r="VKK1" i="10"/>
  <c r="VKJ1" i="10"/>
  <c r="VKI1" i="10"/>
  <c r="VKH1" i="10"/>
  <c r="VKG1" i="10"/>
  <c r="VKF1" i="10"/>
  <c r="VKE1" i="10"/>
  <c r="VKD1" i="10"/>
  <c r="VKC1" i="10"/>
  <c r="VKB1" i="10"/>
  <c r="VKA1" i="10"/>
  <c r="VJZ1" i="10"/>
  <c r="VJY1" i="10"/>
  <c r="VJX1" i="10"/>
  <c r="VJW1" i="10"/>
  <c r="VJV1" i="10"/>
  <c r="VJU1" i="10"/>
  <c r="VJT1" i="10"/>
  <c r="VJS1" i="10"/>
  <c r="VJR1" i="10"/>
  <c r="VJQ1" i="10"/>
  <c r="VJP1" i="10"/>
  <c r="VJO1" i="10"/>
  <c r="VJN1" i="10"/>
  <c r="VJM1" i="10"/>
  <c r="VJL1" i="10"/>
  <c r="VJK1" i="10"/>
  <c r="VJJ1" i="10"/>
  <c r="VJI1" i="10"/>
  <c r="VJH1" i="10"/>
  <c r="VJG1" i="10"/>
  <c r="VJF1" i="10"/>
  <c r="VJE1" i="10"/>
  <c r="VJD1" i="10"/>
  <c r="VJC1" i="10"/>
  <c r="VJB1" i="10"/>
  <c r="VJA1" i="10"/>
  <c r="VIZ1" i="10"/>
  <c r="VIY1" i="10"/>
  <c r="VIX1" i="10"/>
  <c r="VIW1" i="10"/>
  <c r="VIV1" i="10"/>
  <c r="VIU1" i="10"/>
  <c r="VIT1" i="10"/>
  <c r="VIS1" i="10"/>
  <c r="VIR1" i="10"/>
  <c r="VIQ1" i="10"/>
  <c r="VIP1" i="10"/>
  <c r="VIO1" i="10"/>
  <c r="VIN1" i="10"/>
  <c r="VIM1" i="10"/>
  <c r="VIL1" i="10"/>
  <c r="VIK1" i="10"/>
  <c r="VIJ1" i="10"/>
  <c r="VII1" i="10"/>
  <c r="VIH1" i="10"/>
  <c r="VIG1" i="10"/>
  <c r="VIF1" i="10"/>
  <c r="VIE1" i="10"/>
  <c r="VID1" i="10"/>
  <c r="VIC1" i="10"/>
  <c r="VIB1" i="10"/>
  <c r="VIA1" i="10"/>
  <c r="VHZ1" i="10"/>
  <c r="VHY1" i="10"/>
  <c r="VHX1" i="10"/>
  <c r="VHW1" i="10"/>
  <c r="VHV1" i="10"/>
  <c r="VHU1" i="10"/>
  <c r="VHT1" i="10"/>
  <c r="VHS1" i="10"/>
  <c r="VHR1" i="10"/>
  <c r="VHQ1" i="10"/>
  <c r="VHP1" i="10"/>
  <c r="VHO1" i="10"/>
  <c r="VHN1" i="10"/>
  <c r="VHM1" i="10"/>
  <c r="VHL1" i="10"/>
  <c r="VHK1" i="10"/>
  <c r="VHJ1" i="10"/>
  <c r="VHI1" i="10"/>
  <c r="VHH1" i="10"/>
  <c r="VHG1" i="10"/>
  <c r="VHF1" i="10"/>
  <c r="VHE1" i="10"/>
  <c r="VHD1" i="10"/>
  <c r="VHC1" i="10"/>
  <c r="VHB1" i="10"/>
  <c r="VHA1" i="10"/>
  <c r="VGZ1" i="10"/>
  <c r="VGY1" i="10"/>
  <c r="VGX1" i="10"/>
  <c r="VGW1" i="10"/>
  <c r="VGV1" i="10"/>
  <c r="VGU1" i="10"/>
  <c r="VGT1" i="10"/>
  <c r="VGS1" i="10"/>
  <c r="VGR1" i="10"/>
  <c r="VGQ1" i="10"/>
  <c r="VGP1" i="10"/>
  <c r="VGO1" i="10"/>
  <c r="VGN1" i="10"/>
  <c r="VGM1" i="10"/>
  <c r="VGL1" i="10"/>
  <c r="VGK1" i="10"/>
  <c r="VGJ1" i="10"/>
  <c r="VGI1" i="10"/>
  <c r="VGH1" i="10"/>
  <c r="VGG1" i="10"/>
  <c r="VGF1" i="10"/>
  <c r="VGE1" i="10"/>
  <c r="VGD1" i="10"/>
  <c r="VGC1" i="10"/>
  <c r="VGB1" i="10"/>
  <c r="VGA1" i="10"/>
  <c r="VFZ1" i="10"/>
  <c r="VFY1" i="10"/>
  <c r="VFX1" i="10"/>
  <c r="VFW1" i="10"/>
  <c r="VFV1" i="10"/>
  <c r="VFU1" i="10"/>
  <c r="VFT1" i="10"/>
  <c r="VFS1" i="10"/>
  <c r="VFR1" i="10"/>
  <c r="VFQ1" i="10"/>
  <c r="VFP1" i="10"/>
  <c r="VFO1" i="10"/>
  <c r="VFN1" i="10"/>
  <c r="VFM1" i="10"/>
  <c r="VFL1" i="10"/>
  <c r="VFK1" i="10"/>
  <c r="VFJ1" i="10"/>
  <c r="VFI1" i="10"/>
  <c r="VFH1" i="10"/>
  <c r="VFG1" i="10"/>
  <c r="VFF1" i="10"/>
  <c r="VFE1" i="10"/>
  <c r="VFD1" i="10"/>
  <c r="VFC1" i="10"/>
  <c r="VFB1" i="10"/>
  <c r="VFA1" i="10"/>
  <c r="VEZ1" i="10"/>
  <c r="VEY1" i="10"/>
  <c r="VEX1" i="10"/>
  <c r="VEW1" i="10"/>
  <c r="VEV1" i="10"/>
  <c r="VEU1" i="10"/>
  <c r="VET1" i="10"/>
  <c r="VES1" i="10"/>
  <c r="VER1" i="10"/>
  <c r="VEQ1" i="10"/>
  <c r="VEP1" i="10"/>
  <c r="VEO1" i="10"/>
  <c r="VEN1" i="10"/>
  <c r="VEM1" i="10"/>
  <c r="VEL1" i="10"/>
  <c r="VEK1" i="10"/>
  <c r="VEJ1" i="10"/>
  <c r="VEI1" i="10"/>
  <c r="VEH1" i="10"/>
  <c r="VEG1" i="10"/>
  <c r="VEF1" i="10"/>
  <c r="VEE1" i="10"/>
  <c r="VED1" i="10"/>
  <c r="VEC1" i="10"/>
  <c r="VEB1" i="10"/>
  <c r="VEA1" i="10"/>
  <c r="VDZ1" i="10"/>
  <c r="VDY1" i="10"/>
  <c r="VDX1" i="10"/>
  <c r="VDW1" i="10"/>
  <c r="VDV1" i="10"/>
  <c r="VDU1" i="10"/>
  <c r="VDT1" i="10"/>
  <c r="VDS1" i="10"/>
  <c r="VDR1" i="10"/>
  <c r="VDQ1" i="10"/>
  <c r="VDP1" i="10"/>
  <c r="VDO1" i="10"/>
  <c r="VDN1" i="10"/>
  <c r="VDM1" i="10"/>
  <c r="VDL1" i="10"/>
  <c r="VDK1" i="10"/>
  <c r="VDJ1" i="10"/>
  <c r="VDI1" i="10"/>
  <c r="VDH1" i="10"/>
  <c r="VDG1" i="10"/>
  <c r="VDF1" i="10"/>
  <c r="VDE1" i="10"/>
  <c r="VDD1" i="10"/>
  <c r="VDC1" i="10"/>
  <c r="VDB1" i="10"/>
  <c r="VDA1" i="10"/>
  <c r="VCZ1" i="10"/>
  <c r="VCY1" i="10"/>
  <c r="VCX1" i="10"/>
  <c r="VCW1" i="10"/>
  <c r="VCV1" i="10"/>
  <c r="VCU1" i="10"/>
  <c r="VCT1" i="10"/>
  <c r="VCS1" i="10"/>
  <c r="VCR1" i="10"/>
  <c r="VCQ1" i="10"/>
  <c r="VCP1" i="10"/>
  <c r="VCO1" i="10"/>
  <c r="VCN1" i="10"/>
  <c r="VCM1" i="10"/>
  <c r="VCL1" i="10"/>
  <c r="VCK1" i="10"/>
  <c r="VCJ1" i="10"/>
  <c r="VCI1" i="10"/>
  <c r="VCH1" i="10"/>
  <c r="VCG1" i="10"/>
  <c r="VCF1" i="10"/>
  <c r="VCE1" i="10"/>
  <c r="VCD1" i="10"/>
  <c r="VCC1" i="10"/>
  <c r="VCB1" i="10"/>
  <c r="VCA1" i="10"/>
  <c r="VBZ1" i="10"/>
  <c r="VBY1" i="10"/>
  <c r="VBX1" i="10"/>
  <c r="VBW1" i="10"/>
  <c r="VBV1" i="10"/>
  <c r="VBU1" i="10"/>
  <c r="VBT1" i="10"/>
  <c r="VBS1" i="10"/>
  <c r="VBR1" i="10"/>
  <c r="VBQ1" i="10"/>
  <c r="VBP1" i="10"/>
  <c r="VBO1" i="10"/>
  <c r="VBN1" i="10"/>
  <c r="VBM1" i="10"/>
  <c r="VBL1" i="10"/>
  <c r="VBK1" i="10"/>
  <c r="VBJ1" i="10"/>
  <c r="VBI1" i="10"/>
  <c r="VBH1" i="10"/>
  <c r="VBG1" i="10"/>
  <c r="VBF1" i="10"/>
  <c r="VBE1" i="10"/>
  <c r="VBD1" i="10"/>
  <c r="VBC1" i="10"/>
  <c r="VBB1" i="10"/>
  <c r="VBA1" i="10"/>
  <c r="VAZ1" i="10"/>
  <c r="VAY1" i="10"/>
  <c r="VAX1" i="10"/>
  <c r="VAW1" i="10"/>
  <c r="VAV1" i="10"/>
  <c r="VAU1" i="10"/>
  <c r="VAT1" i="10"/>
  <c r="VAS1" i="10"/>
  <c r="VAR1" i="10"/>
  <c r="VAQ1" i="10"/>
  <c r="VAP1" i="10"/>
  <c r="VAO1" i="10"/>
  <c r="VAN1" i="10"/>
  <c r="VAM1" i="10"/>
  <c r="VAL1" i="10"/>
  <c r="VAK1" i="10"/>
  <c r="VAJ1" i="10"/>
  <c r="VAI1" i="10"/>
  <c r="VAH1" i="10"/>
  <c r="VAG1" i="10"/>
  <c r="VAF1" i="10"/>
  <c r="VAE1" i="10"/>
  <c r="VAD1" i="10"/>
  <c r="VAC1" i="10"/>
  <c r="VAB1" i="10"/>
  <c r="VAA1" i="10"/>
  <c r="UZZ1" i="10"/>
  <c r="UZY1" i="10"/>
  <c r="UZX1" i="10"/>
  <c r="UZW1" i="10"/>
  <c r="UZV1" i="10"/>
  <c r="UZU1" i="10"/>
  <c r="UZT1" i="10"/>
  <c r="UZS1" i="10"/>
  <c r="UZR1" i="10"/>
  <c r="UZQ1" i="10"/>
  <c r="UZP1" i="10"/>
  <c r="UZO1" i="10"/>
  <c r="UZN1" i="10"/>
  <c r="UZM1" i="10"/>
  <c r="UZL1" i="10"/>
  <c r="UZK1" i="10"/>
  <c r="UZJ1" i="10"/>
  <c r="UZI1" i="10"/>
  <c r="UZH1" i="10"/>
  <c r="UZG1" i="10"/>
  <c r="UZF1" i="10"/>
  <c r="UZE1" i="10"/>
  <c r="UZD1" i="10"/>
  <c r="UZC1" i="10"/>
  <c r="UZB1" i="10"/>
  <c r="UZA1" i="10"/>
  <c r="UYZ1" i="10"/>
  <c r="UYY1" i="10"/>
  <c r="UYX1" i="10"/>
  <c r="UYW1" i="10"/>
  <c r="UYV1" i="10"/>
  <c r="UYU1" i="10"/>
  <c r="UYT1" i="10"/>
  <c r="UYS1" i="10"/>
  <c r="UYR1" i="10"/>
  <c r="UYQ1" i="10"/>
  <c r="UYP1" i="10"/>
  <c r="UYO1" i="10"/>
  <c r="UYN1" i="10"/>
  <c r="UYM1" i="10"/>
  <c r="UYL1" i="10"/>
  <c r="UYK1" i="10"/>
  <c r="UYJ1" i="10"/>
  <c r="UYI1" i="10"/>
  <c r="UYH1" i="10"/>
  <c r="UYG1" i="10"/>
  <c r="UYF1" i="10"/>
  <c r="UYE1" i="10"/>
  <c r="UYD1" i="10"/>
  <c r="UYC1" i="10"/>
  <c r="UYB1" i="10"/>
  <c r="UYA1" i="10"/>
  <c r="UXZ1" i="10"/>
  <c r="UXY1" i="10"/>
  <c r="UXX1" i="10"/>
  <c r="UXW1" i="10"/>
  <c r="UXV1" i="10"/>
  <c r="UXU1" i="10"/>
  <c r="UXT1" i="10"/>
  <c r="UXS1" i="10"/>
  <c r="UXR1" i="10"/>
  <c r="UXQ1" i="10"/>
  <c r="UXP1" i="10"/>
  <c r="UXO1" i="10"/>
  <c r="UXN1" i="10"/>
  <c r="UXM1" i="10"/>
  <c r="UXL1" i="10"/>
  <c r="UXK1" i="10"/>
  <c r="UXJ1" i="10"/>
  <c r="UXI1" i="10"/>
  <c r="UXH1" i="10"/>
  <c r="UXG1" i="10"/>
  <c r="UXF1" i="10"/>
  <c r="UXE1" i="10"/>
  <c r="UXD1" i="10"/>
  <c r="UXC1" i="10"/>
  <c r="UXB1" i="10"/>
  <c r="UXA1" i="10"/>
  <c r="UWZ1" i="10"/>
  <c r="UWY1" i="10"/>
  <c r="UWX1" i="10"/>
  <c r="UWW1" i="10"/>
  <c r="UWV1" i="10"/>
  <c r="UWU1" i="10"/>
  <c r="UWT1" i="10"/>
  <c r="UWS1" i="10"/>
  <c r="UWR1" i="10"/>
  <c r="UWQ1" i="10"/>
  <c r="UWP1" i="10"/>
  <c r="UWO1" i="10"/>
  <c r="UWN1" i="10"/>
  <c r="UWM1" i="10"/>
  <c r="UWL1" i="10"/>
  <c r="UWK1" i="10"/>
  <c r="UWJ1" i="10"/>
  <c r="UWI1" i="10"/>
  <c r="UWH1" i="10"/>
  <c r="UWG1" i="10"/>
  <c r="UWF1" i="10"/>
  <c r="UWE1" i="10"/>
  <c r="UWD1" i="10"/>
  <c r="UWC1" i="10"/>
  <c r="UWB1" i="10"/>
  <c r="UWA1" i="10"/>
  <c r="UVZ1" i="10"/>
  <c r="UVY1" i="10"/>
  <c r="UVX1" i="10"/>
  <c r="UVW1" i="10"/>
  <c r="UVV1" i="10"/>
  <c r="UVU1" i="10"/>
  <c r="UVT1" i="10"/>
  <c r="UVS1" i="10"/>
  <c r="UVR1" i="10"/>
  <c r="UVQ1" i="10"/>
  <c r="UVP1" i="10"/>
  <c r="UVO1" i="10"/>
  <c r="UVN1" i="10"/>
  <c r="UVM1" i="10"/>
  <c r="UVL1" i="10"/>
  <c r="UVK1" i="10"/>
  <c r="UVJ1" i="10"/>
  <c r="UVI1" i="10"/>
  <c r="UVH1" i="10"/>
  <c r="UVG1" i="10"/>
  <c r="UVF1" i="10"/>
  <c r="UVE1" i="10"/>
  <c r="UVD1" i="10"/>
  <c r="UVC1" i="10"/>
  <c r="UVB1" i="10"/>
  <c r="UVA1" i="10"/>
  <c r="UUZ1" i="10"/>
  <c r="UUY1" i="10"/>
  <c r="UUX1" i="10"/>
  <c r="UUW1" i="10"/>
  <c r="UUV1" i="10"/>
  <c r="UUU1" i="10"/>
  <c r="UUT1" i="10"/>
  <c r="UUS1" i="10"/>
  <c r="UUR1" i="10"/>
  <c r="UUQ1" i="10"/>
  <c r="UUP1" i="10"/>
  <c r="UUO1" i="10"/>
  <c r="UUN1" i="10"/>
  <c r="UUM1" i="10"/>
  <c r="UUL1" i="10"/>
  <c r="UUK1" i="10"/>
  <c r="UUJ1" i="10"/>
  <c r="UUI1" i="10"/>
  <c r="UUH1" i="10"/>
  <c r="UUG1" i="10"/>
  <c r="UUF1" i="10"/>
  <c r="UUE1" i="10"/>
  <c r="UUD1" i="10"/>
  <c r="UUC1" i="10"/>
  <c r="UUB1" i="10"/>
  <c r="UUA1" i="10"/>
  <c r="UTZ1" i="10"/>
  <c r="UTY1" i="10"/>
  <c r="UTX1" i="10"/>
  <c r="UTW1" i="10"/>
  <c r="UTV1" i="10"/>
  <c r="UTU1" i="10"/>
  <c r="UTT1" i="10"/>
  <c r="UTS1" i="10"/>
  <c r="UTR1" i="10"/>
  <c r="UTQ1" i="10"/>
  <c r="UTP1" i="10"/>
  <c r="UTO1" i="10"/>
  <c r="UTN1" i="10"/>
  <c r="UTM1" i="10"/>
  <c r="UTL1" i="10"/>
  <c r="UTK1" i="10"/>
  <c r="UTJ1" i="10"/>
  <c r="UTI1" i="10"/>
  <c r="UTH1" i="10"/>
  <c r="UTG1" i="10"/>
  <c r="UTF1" i="10"/>
  <c r="UTE1" i="10"/>
  <c r="UTD1" i="10"/>
  <c r="UTC1" i="10"/>
  <c r="UTB1" i="10"/>
  <c r="UTA1" i="10"/>
  <c r="USZ1" i="10"/>
  <c r="USY1" i="10"/>
  <c r="USX1" i="10"/>
  <c r="USW1" i="10"/>
  <c r="USV1" i="10"/>
  <c r="USU1" i="10"/>
  <c r="UST1" i="10"/>
  <c r="USS1" i="10"/>
  <c r="USR1" i="10"/>
  <c r="USQ1" i="10"/>
  <c r="USP1" i="10"/>
  <c r="USO1" i="10"/>
  <c r="USN1" i="10"/>
  <c r="USM1" i="10"/>
  <c r="USL1" i="10"/>
  <c r="USK1" i="10"/>
  <c r="USJ1" i="10"/>
  <c r="USI1" i="10"/>
  <c r="USH1" i="10"/>
  <c r="USG1" i="10"/>
  <c r="USF1" i="10"/>
  <c r="USE1" i="10"/>
  <c r="USD1" i="10"/>
  <c r="USC1" i="10"/>
  <c r="USB1" i="10"/>
  <c r="USA1" i="10"/>
  <c r="URZ1" i="10"/>
  <c r="URY1" i="10"/>
  <c r="URX1" i="10"/>
  <c r="URW1" i="10"/>
  <c r="URV1" i="10"/>
  <c r="URU1" i="10"/>
  <c r="URT1" i="10"/>
  <c r="URS1" i="10"/>
  <c r="URR1" i="10"/>
  <c r="URQ1" i="10"/>
  <c r="URP1" i="10"/>
  <c r="URO1" i="10"/>
  <c r="URN1" i="10"/>
  <c r="URM1" i="10"/>
  <c r="URL1" i="10"/>
  <c r="URK1" i="10"/>
  <c r="URJ1" i="10"/>
  <c r="URI1" i="10"/>
  <c r="URH1" i="10"/>
  <c r="URG1" i="10"/>
  <c r="URF1" i="10"/>
  <c r="URE1" i="10"/>
  <c r="URD1" i="10"/>
  <c r="URC1" i="10"/>
  <c r="URB1" i="10"/>
  <c r="URA1" i="10"/>
  <c r="UQZ1" i="10"/>
  <c r="UQY1" i="10"/>
  <c r="UQX1" i="10"/>
  <c r="UQW1" i="10"/>
  <c r="UQV1" i="10"/>
  <c r="UQU1" i="10"/>
  <c r="UQT1" i="10"/>
  <c r="UQS1" i="10"/>
  <c r="UQR1" i="10"/>
  <c r="UQQ1" i="10"/>
  <c r="UQP1" i="10"/>
  <c r="UQO1" i="10"/>
  <c r="UQN1" i="10"/>
  <c r="UQM1" i="10"/>
  <c r="UQL1" i="10"/>
  <c r="UQK1" i="10"/>
  <c r="UQJ1" i="10"/>
  <c r="UQI1" i="10"/>
  <c r="UQH1" i="10"/>
  <c r="UQG1" i="10"/>
  <c r="UQF1" i="10"/>
  <c r="UQE1" i="10"/>
  <c r="UQD1" i="10"/>
  <c r="UQC1" i="10"/>
  <c r="UQB1" i="10"/>
  <c r="UQA1" i="10"/>
  <c r="UPZ1" i="10"/>
  <c r="UPY1" i="10"/>
  <c r="UPX1" i="10"/>
  <c r="UPW1" i="10"/>
  <c r="UPV1" i="10"/>
  <c r="UPU1" i="10"/>
  <c r="UPT1" i="10"/>
  <c r="UPS1" i="10"/>
  <c r="UPR1" i="10"/>
  <c r="UPQ1" i="10"/>
  <c r="UPP1" i="10"/>
  <c r="UPO1" i="10"/>
  <c r="UPN1" i="10"/>
  <c r="UPM1" i="10"/>
  <c r="UPL1" i="10"/>
  <c r="UPK1" i="10"/>
  <c r="UPJ1" i="10"/>
  <c r="UPI1" i="10"/>
  <c r="UPH1" i="10"/>
  <c r="UPG1" i="10"/>
  <c r="UPF1" i="10"/>
  <c r="UPE1" i="10"/>
  <c r="UPD1" i="10"/>
  <c r="UPC1" i="10"/>
  <c r="UPB1" i="10"/>
  <c r="UPA1" i="10"/>
  <c r="UOZ1" i="10"/>
  <c r="UOY1" i="10"/>
  <c r="UOX1" i="10"/>
  <c r="UOW1" i="10"/>
  <c r="UOV1" i="10"/>
  <c r="UOU1" i="10"/>
  <c r="UOT1" i="10"/>
  <c r="UOS1" i="10"/>
  <c r="UOR1" i="10"/>
  <c r="UOQ1" i="10"/>
  <c r="UOP1" i="10"/>
  <c r="UOO1" i="10"/>
  <c r="UON1" i="10"/>
  <c r="UOM1" i="10"/>
  <c r="UOL1" i="10"/>
  <c r="UOK1" i="10"/>
  <c r="UOJ1" i="10"/>
  <c r="UOI1" i="10"/>
  <c r="UOH1" i="10"/>
  <c r="UOG1" i="10"/>
  <c r="UOF1" i="10"/>
  <c r="UOE1" i="10"/>
  <c r="UOD1" i="10"/>
  <c r="UOC1" i="10"/>
  <c r="UOB1" i="10"/>
  <c r="UOA1" i="10"/>
  <c r="UNZ1" i="10"/>
  <c r="UNY1" i="10"/>
  <c r="UNX1" i="10"/>
  <c r="UNW1" i="10"/>
  <c r="UNV1" i="10"/>
  <c r="UNU1" i="10"/>
  <c r="UNT1" i="10"/>
  <c r="UNS1" i="10"/>
  <c r="UNR1" i="10"/>
  <c r="UNQ1" i="10"/>
  <c r="UNP1" i="10"/>
  <c r="UNO1" i="10"/>
  <c r="UNN1" i="10"/>
  <c r="UNM1" i="10"/>
  <c r="UNL1" i="10"/>
  <c r="UNK1" i="10"/>
  <c r="UNJ1" i="10"/>
  <c r="UNI1" i="10"/>
  <c r="UNH1" i="10"/>
  <c r="UNG1" i="10"/>
  <c r="UNF1" i="10"/>
  <c r="UNE1" i="10"/>
  <c r="UND1" i="10"/>
  <c r="UNC1" i="10"/>
  <c r="UNB1" i="10"/>
  <c r="UNA1" i="10"/>
  <c r="UMZ1" i="10"/>
  <c r="UMY1" i="10"/>
  <c r="UMX1" i="10"/>
  <c r="UMW1" i="10"/>
  <c r="UMV1" i="10"/>
  <c r="UMU1" i="10"/>
  <c r="UMT1" i="10"/>
  <c r="UMS1" i="10"/>
  <c r="UMR1" i="10"/>
  <c r="UMQ1" i="10"/>
  <c r="UMP1" i="10"/>
  <c r="UMO1" i="10"/>
  <c r="UMN1" i="10"/>
  <c r="UMM1" i="10"/>
  <c r="UML1" i="10"/>
  <c r="UMK1" i="10"/>
  <c r="UMJ1" i="10"/>
  <c r="UMI1" i="10"/>
  <c r="UMH1" i="10"/>
  <c r="UMG1" i="10"/>
  <c r="UMF1" i="10"/>
  <c r="UME1" i="10"/>
  <c r="UMD1" i="10"/>
  <c r="UMC1" i="10"/>
  <c r="UMB1" i="10"/>
  <c r="UMA1" i="10"/>
  <c r="ULZ1" i="10"/>
  <c r="ULY1" i="10"/>
  <c r="ULX1" i="10"/>
  <c r="ULW1" i="10"/>
  <c r="ULV1" i="10"/>
  <c r="ULU1" i="10"/>
  <c r="ULT1" i="10"/>
  <c r="ULS1" i="10"/>
  <c r="ULR1" i="10"/>
  <c r="ULQ1" i="10"/>
  <c r="ULP1" i="10"/>
  <c r="ULO1" i="10"/>
  <c r="ULN1" i="10"/>
  <c r="ULM1" i="10"/>
  <c r="ULL1" i="10"/>
  <c r="ULK1" i="10"/>
  <c r="ULJ1" i="10"/>
  <c r="ULI1" i="10"/>
  <c r="ULH1" i="10"/>
  <c r="ULG1" i="10"/>
  <c r="ULF1" i="10"/>
  <c r="ULE1" i="10"/>
  <c r="ULD1" i="10"/>
  <c r="ULC1" i="10"/>
  <c r="ULB1" i="10"/>
  <c r="ULA1" i="10"/>
  <c r="UKZ1" i="10"/>
  <c r="UKY1" i="10"/>
  <c r="UKX1" i="10"/>
  <c r="UKW1" i="10"/>
  <c r="UKV1" i="10"/>
  <c r="UKU1" i="10"/>
  <c r="UKT1" i="10"/>
  <c r="UKS1" i="10"/>
  <c r="UKR1" i="10"/>
  <c r="UKQ1" i="10"/>
  <c r="UKP1" i="10"/>
  <c r="UKO1" i="10"/>
  <c r="UKN1" i="10"/>
  <c r="UKM1" i="10"/>
  <c r="UKL1" i="10"/>
  <c r="UKK1" i="10"/>
  <c r="UKJ1" i="10"/>
  <c r="UKI1" i="10"/>
  <c r="UKH1" i="10"/>
  <c r="UKG1" i="10"/>
  <c r="UKF1" i="10"/>
  <c r="UKE1" i="10"/>
  <c r="UKD1" i="10"/>
  <c r="UKC1" i="10"/>
  <c r="UKB1" i="10"/>
  <c r="UKA1" i="10"/>
  <c r="UJZ1" i="10"/>
  <c r="UJY1" i="10"/>
  <c r="UJX1" i="10"/>
  <c r="UJW1" i="10"/>
  <c r="UJV1" i="10"/>
  <c r="UJU1" i="10"/>
  <c r="UJT1" i="10"/>
  <c r="UJS1" i="10"/>
  <c r="UJR1" i="10"/>
  <c r="UJQ1" i="10"/>
  <c r="UJP1" i="10"/>
  <c r="UJO1" i="10"/>
  <c r="UJN1" i="10"/>
  <c r="UJM1" i="10"/>
  <c r="UJL1" i="10"/>
  <c r="UJK1" i="10"/>
  <c r="UJJ1" i="10"/>
  <c r="UJI1" i="10"/>
  <c r="UJH1" i="10"/>
  <c r="UJG1" i="10"/>
  <c r="UJF1" i="10"/>
  <c r="UJE1" i="10"/>
  <c r="UJD1" i="10"/>
  <c r="UJC1" i="10"/>
  <c r="UJB1" i="10"/>
  <c r="UJA1" i="10"/>
  <c r="UIZ1" i="10"/>
  <c r="UIY1" i="10"/>
  <c r="UIX1" i="10"/>
  <c r="UIW1" i="10"/>
  <c r="UIV1" i="10"/>
  <c r="UIU1" i="10"/>
  <c r="UIT1" i="10"/>
  <c r="UIS1" i="10"/>
  <c r="UIR1" i="10"/>
  <c r="UIQ1" i="10"/>
  <c r="UIP1" i="10"/>
  <c r="UIO1" i="10"/>
  <c r="UIN1" i="10"/>
  <c r="UIM1" i="10"/>
  <c r="UIL1" i="10"/>
  <c r="UIK1" i="10"/>
  <c r="UIJ1" i="10"/>
  <c r="UII1" i="10"/>
  <c r="UIH1" i="10"/>
  <c r="UIG1" i="10"/>
  <c r="UIF1" i="10"/>
  <c r="UIE1" i="10"/>
  <c r="UID1" i="10"/>
  <c r="UIC1" i="10"/>
  <c r="UIB1" i="10"/>
  <c r="UIA1" i="10"/>
  <c r="UHZ1" i="10"/>
  <c r="UHY1" i="10"/>
  <c r="UHX1" i="10"/>
  <c r="UHW1" i="10"/>
  <c r="UHV1" i="10"/>
  <c r="UHU1" i="10"/>
  <c r="UHT1" i="10"/>
  <c r="UHS1" i="10"/>
  <c r="UHR1" i="10"/>
  <c r="UHQ1" i="10"/>
  <c r="UHP1" i="10"/>
  <c r="UHO1" i="10"/>
  <c r="UHN1" i="10"/>
  <c r="UHM1" i="10"/>
  <c r="UHL1" i="10"/>
  <c r="UHK1" i="10"/>
  <c r="UHJ1" i="10"/>
  <c r="UHI1" i="10"/>
  <c r="UHH1" i="10"/>
  <c r="UHG1" i="10"/>
  <c r="UHF1" i="10"/>
  <c r="UHE1" i="10"/>
  <c r="UHD1" i="10"/>
  <c r="UHC1" i="10"/>
  <c r="UHB1" i="10"/>
  <c r="UHA1" i="10"/>
  <c r="UGZ1" i="10"/>
  <c r="UGY1" i="10"/>
  <c r="UGX1" i="10"/>
  <c r="UGW1" i="10"/>
  <c r="UGV1" i="10"/>
  <c r="UGU1" i="10"/>
  <c r="UGT1" i="10"/>
  <c r="UGS1" i="10"/>
  <c r="UGR1" i="10"/>
  <c r="UGQ1" i="10"/>
  <c r="UGP1" i="10"/>
  <c r="UGO1" i="10"/>
  <c r="UGN1" i="10"/>
  <c r="UGM1" i="10"/>
  <c r="UGL1" i="10"/>
  <c r="UGK1" i="10"/>
  <c r="UGJ1" i="10"/>
  <c r="UGI1" i="10"/>
  <c r="UGH1" i="10"/>
  <c r="UGG1" i="10"/>
  <c r="UGF1" i="10"/>
  <c r="UGE1" i="10"/>
  <c r="UGD1" i="10"/>
  <c r="UGC1" i="10"/>
  <c r="UGB1" i="10"/>
  <c r="UGA1" i="10"/>
  <c r="UFZ1" i="10"/>
  <c r="UFY1" i="10"/>
  <c r="UFX1" i="10"/>
  <c r="UFW1" i="10"/>
  <c r="UFV1" i="10"/>
  <c r="UFU1" i="10"/>
  <c r="UFT1" i="10"/>
  <c r="UFS1" i="10"/>
  <c r="UFR1" i="10"/>
  <c r="UFQ1" i="10"/>
  <c r="UFP1" i="10"/>
  <c r="UFO1" i="10"/>
  <c r="UFN1" i="10"/>
  <c r="UFM1" i="10"/>
  <c r="UFL1" i="10"/>
  <c r="UFK1" i="10"/>
  <c r="UFJ1" i="10"/>
  <c r="UFI1" i="10"/>
  <c r="UFH1" i="10"/>
  <c r="UFG1" i="10"/>
  <c r="UFF1" i="10"/>
  <c r="UFE1" i="10"/>
  <c r="UFD1" i="10"/>
  <c r="UFC1" i="10"/>
  <c r="UFB1" i="10"/>
  <c r="UFA1" i="10"/>
  <c r="UEZ1" i="10"/>
  <c r="UEY1" i="10"/>
  <c r="UEX1" i="10"/>
  <c r="UEW1" i="10"/>
  <c r="UEV1" i="10"/>
  <c r="UEU1" i="10"/>
  <c r="UET1" i="10"/>
  <c r="UES1" i="10"/>
  <c r="UER1" i="10"/>
  <c r="UEQ1" i="10"/>
  <c r="UEP1" i="10"/>
  <c r="UEO1" i="10"/>
  <c r="UEN1" i="10"/>
  <c r="UEM1" i="10"/>
  <c r="UEL1" i="10"/>
  <c r="UEK1" i="10"/>
  <c r="UEJ1" i="10"/>
  <c r="UEI1" i="10"/>
  <c r="UEH1" i="10"/>
  <c r="UEG1" i="10"/>
  <c r="UEF1" i="10"/>
  <c r="UEE1" i="10"/>
  <c r="UED1" i="10"/>
  <c r="UEC1" i="10"/>
  <c r="UEB1" i="10"/>
  <c r="UEA1" i="10"/>
  <c r="UDZ1" i="10"/>
  <c r="UDY1" i="10"/>
  <c r="UDX1" i="10"/>
  <c r="UDW1" i="10"/>
  <c r="UDV1" i="10"/>
  <c r="UDU1" i="10"/>
  <c r="UDT1" i="10"/>
  <c r="UDS1" i="10"/>
  <c r="UDR1" i="10"/>
  <c r="UDQ1" i="10"/>
  <c r="UDP1" i="10"/>
  <c r="UDO1" i="10"/>
  <c r="UDN1" i="10"/>
  <c r="UDM1" i="10"/>
  <c r="UDL1" i="10"/>
  <c r="UDK1" i="10"/>
  <c r="UDJ1" i="10"/>
  <c r="UDI1" i="10"/>
  <c r="UDH1" i="10"/>
  <c r="UDG1" i="10"/>
  <c r="UDF1" i="10"/>
  <c r="UDE1" i="10"/>
  <c r="UDD1" i="10"/>
  <c r="UDC1" i="10"/>
  <c r="UDB1" i="10"/>
  <c r="UDA1" i="10"/>
  <c r="UCZ1" i="10"/>
  <c r="UCY1" i="10"/>
  <c r="UCX1" i="10"/>
  <c r="UCW1" i="10"/>
  <c r="UCV1" i="10"/>
  <c r="UCU1" i="10"/>
  <c r="UCT1" i="10"/>
  <c r="UCS1" i="10"/>
  <c r="UCR1" i="10"/>
  <c r="UCQ1" i="10"/>
  <c r="UCP1" i="10"/>
  <c r="UCO1" i="10"/>
  <c r="UCN1" i="10"/>
  <c r="UCM1" i="10"/>
  <c r="UCL1" i="10"/>
  <c r="UCK1" i="10"/>
  <c r="UCJ1" i="10"/>
  <c r="UCI1" i="10"/>
  <c r="UCH1" i="10"/>
  <c r="UCG1" i="10"/>
  <c r="UCF1" i="10"/>
  <c r="UCE1" i="10"/>
  <c r="UCD1" i="10"/>
  <c r="UCC1" i="10"/>
  <c r="UCB1" i="10"/>
  <c r="UCA1" i="10"/>
  <c r="UBZ1" i="10"/>
  <c r="UBY1" i="10"/>
  <c r="UBX1" i="10"/>
  <c r="UBW1" i="10"/>
  <c r="UBV1" i="10"/>
  <c r="UBU1" i="10"/>
  <c r="UBT1" i="10"/>
  <c r="UBS1" i="10"/>
  <c r="UBR1" i="10"/>
  <c r="UBQ1" i="10"/>
  <c r="UBP1" i="10"/>
  <c r="UBO1" i="10"/>
  <c r="UBN1" i="10"/>
  <c r="UBM1" i="10"/>
  <c r="UBL1" i="10"/>
  <c r="UBK1" i="10"/>
  <c r="UBJ1" i="10"/>
  <c r="UBI1" i="10"/>
  <c r="UBH1" i="10"/>
  <c r="UBG1" i="10"/>
  <c r="UBF1" i="10"/>
  <c r="UBE1" i="10"/>
  <c r="UBD1" i="10"/>
  <c r="UBC1" i="10"/>
  <c r="UBB1" i="10"/>
  <c r="UBA1" i="10"/>
  <c r="UAZ1" i="10"/>
  <c r="UAY1" i="10"/>
  <c r="UAX1" i="10"/>
  <c r="UAW1" i="10"/>
  <c r="UAV1" i="10"/>
  <c r="UAU1" i="10"/>
  <c r="UAT1" i="10"/>
  <c r="UAS1" i="10"/>
  <c r="UAR1" i="10"/>
  <c r="UAQ1" i="10"/>
  <c r="UAP1" i="10"/>
  <c r="UAO1" i="10"/>
  <c r="UAN1" i="10"/>
  <c r="UAM1" i="10"/>
  <c r="UAL1" i="10"/>
  <c r="UAK1" i="10"/>
  <c r="UAJ1" i="10"/>
  <c r="UAI1" i="10"/>
  <c r="UAH1" i="10"/>
  <c r="UAG1" i="10"/>
  <c r="UAF1" i="10"/>
  <c r="UAE1" i="10"/>
  <c r="UAD1" i="10"/>
  <c r="UAC1" i="10"/>
  <c r="UAB1" i="10"/>
  <c r="UAA1" i="10"/>
  <c r="TZZ1" i="10"/>
  <c r="TZY1" i="10"/>
  <c r="TZX1" i="10"/>
  <c r="TZW1" i="10"/>
  <c r="TZV1" i="10"/>
  <c r="TZU1" i="10"/>
  <c r="TZT1" i="10"/>
  <c r="TZS1" i="10"/>
  <c r="TZR1" i="10"/>
  <c r="TZQ1" i="10"/>
  <c r="TZP1" i="10"/>
  <c r="TZO1" i="10"/>
  <c r="TZN1" i="10"/>
  <c r="TZM1" i="10"/>
  <c r="TZL1" i="10"/>
  <c r="TZK1" i="10"/>
  <c r="TZJ1" i="10"/>
  <c r="TZI1" i="10"/>
  <c r="TZH1" i="10"/>
  <c r="TZG1" i="10"/>
  <c r="TZF1" i="10"/>
  <c r="TZE1" i="10"/>
  <c r="TZD1" i="10"/>
  <c r="TZC1" i="10"/>
  <c r="TZB1" i="10"/>
  <c r="TZA1" i="10"/>
  <c r="TYZ1" i="10"/>
  <c r="TYY1" i="10"/>
  <c r="TYX1" i="10"/>
  <c r="TYW1" i="10"/>
  <c r="TYV1" i="10"/>
  <c r="TYU1" i="10"/>
  <c r="TYT1" i="10"/>
  <c r="TYS1" i="10"/>
  <c r="TYR1" i="10"/>
  <c r="TYQ1" i="10"/>
  <c r="TYP1" i="10"/>
  <c r="TYO1" i="10"/>
  <c r="TYN1" i="10"/>
  <c r="TYM1" i="10"/>
  <c r="TYL1" i="10"/>
  <c r="TYK1" i="10"/>
  <c r="TYJ1" i="10"/>
  <c r="TYI1" i="10"/>
  <c r="TYH1" i="10"/>
  <c r="TYG1" i="10"/>
  <c r="TYF1" i="10"/>
  <c r="TYE1" i="10"/>
  <c r="TYD1" i="10"/>
  <c r="TYC1" i="10"/>
  <c r="TYB1" i="10"/>
  <c r="TYA1" i="10"/>
  <c r="TXZ1" i="10"/>
  <c r="TXY1" i="10"/>
  <c r="TXX1" i="10"/>
  <c r="TXW1" i="10"/>
  <c r="TXV1" i="10"/>
  <c r="TXU1" i="10"/>
  <c r="TXT1" i="10"/>
  <c r="TXS1" i="10"/>
  <c r="TXR1" i="10"/>
  <c r="TXQ1" i="10"/>
  <c r="TXP1" i="10"/>
  <c r="TXO1" i="10"/>
  <c r="TXN1" i="10"/>
  <c r="TXM1" i="10"/>
  <c r="TXL1" i="10"/>
  <c r="TXK1" i="10"/>
  <c r="TXJ1" i="10"/>
  <c r="TXI1" i="10"/>
  <c r="TXH1" i="10"/>
  <c r="TXG1" i="10"/>
  <c r="TXF1" i="10"/>
  <c r="TXE1" i="10"/>
  <c r="TXD1" i="10"/>
  <c r="TXC1" i="10"/>
  <c r="TXB1" i="10"/>
  <c r="TXA1" i="10"/>
  <c r="TWZ1" i="10"/>
  <c r="TWY1" i="10"/>
  <c r="TWX1" i="10"/>
  <c r="TWW1" i="10"/>
  <c r="TWV1" i="10"/>
  <c r="TWU1" i="10"/>
  <c r="TWT1" i="10"/>
  <c r="TWS1" i="10"/>
  <c r="TWR1" i="10"/>
  <c r="TWQ1" i="10"/>
  <c r="TWP1" i="10"/>
  <c r="TWO1" i="10"/>
  <c r="TWN1" i="10"/>
  <c r="TWM1" i="10"/>
  <c r="TWL1" i="10"/>
  <c r="TWK1" i="10"/>
  <c r="TWJ1" i="10"/>
  <c r="TWI1" i="10"/>
  <c r="TWH1" i="10"/>
  <c r="TWG1" i="10"/>
  <c r="TWF1" i="10"/>
  <c r="TWE1" i="10"/>
  <c r="TWD1" i="10"/>
  <c r="TWC1" i="10"/>
  <c r="TWB1" i="10"/>
  <c r="TWA1" i="10"/>
  <c r="TVZ1" i="10"/>
  <c r="TVY1" i="10"/>
  <c r="TVX1" i="10"/>
  <c r="TVW1" i="10"/>
  <c r="TVV1" i="10"/>
  <c r="TVU1" i="10"/>
  <c r="TVT1" i="10"/>
  <c r="TVS1" i="10"/>
  <c r="TVR1" i="10"/>
  <c r="TVQ1" i="10"/>
  <c r="TVP1" i="10"/>
  <c r="TVO1" i="10"/>
  <c r="TVN1" i="10"/>
  <c r="TVM1" i="10"/>
  <c r="TVL1" i="10"/>
  <c r="TVK1" i="10"/>
  <c r="TVJ1" i="10"/>
  <c r="TVI1" i="10"/>
  <c r="TVH1" i="10"/>
  <c r="TVG1" i="10"/>
  <c r="TVF1" i="10"/>
  <c r="TVE1" i="10"/>
  <c r="TVD1" i="10"/>
  <c r="TVC1" i="10"/>
  <c r="TVB1" i="10"/>
  <c r="TVA1" i="10"/>
  <c r="TUZ1" i="10"/>
  <c r="TUY1" i="10"/>
  <c r="TUX1" i="10"/>
  <c r="TUW1" i="10"/>
  <c r="TUV1" i="10"/>
  <c r="TUU1" i="10"/>
  <c r="TUT1" i="10"/>
  <c r="TUS1" i="10"/>
  <c r="TUR1" i="10"/>
  <c r="TUQ1" i="10"/>
  <c r="TUP1" i="10"/>
  <c r="TUO1" i="10"/>
  <c r="TUN1" i="10"/>
  <c r="TUM1" i="10"/>
  <c r="TUL1" i="10"/>
  <c r="TUK1" i="10"/>
  <c r="TUJ1" i="10"/>
  <c r="TUI1" i="10"/>
  <c r="TUH1" i="10"/>
  <c r="TUG1" i="10"/>
  <c r="TUF1" i="10"/>
  <c r="TUE1" i="10"/>
  <c r="TUD1" i="10"/>
  <c r="TUC1" i="10"/>
  <c r="TUB1" i="10"/>
  <c r="TUA1" i="10"/>
  <c r="TTZ1" i="10"/>
  <c r="TTY1" i="10"/>
  <c r="TTX1" i="10"/>
  <c r="TTW1" i="10"/>
  <c r="TTV1" i="10"/>
  <c r="TTU1" i="10"/>
  <c r="TTT1" i="10"/>
  <c r="TTS1" i="10"/>
  <c r="TTR1" i="10"/>
  <c r="TTQ1" i="10"/>
  <c r="TTP1" i="10"/>
  <c r="TTO1" i="10"/>
  <c r="TTN1" i="10"/>
  <c r="TTM1" i="10"/>
  <c r="TTL1" i="10"/>
  <c r="TTK1" i="10"/>
  <c r="TTJ1" i="10"/>
  <c r="TTI1" i="10"/>
  <c r="TTH1" i="10"/>
  <c r="TTG1" i="10"/>
  <c r="TTF1" i="10"/>
  <c r="TTE1" i="10"/>
  <c r="TTD1" i="10"/>
  <c r="TTC1" i="10"/>
  <c r="TTB1" i="10"/>
  <c r="TTA1" i="10"/>
  <c r="TSZ1" i="10"/>
  <c r="TSY1" i="10"/>
  <c r="TSX1" i="10"/>
  <c r="TSW1" i="10"/>
  <c r="TSV1" i="10"/>
  <c r="TSU1" i="10"/>
  <c r="TST1" i="10"/>
  <c r="TSS1" i="10"/>
  <c r="TSR1" i="10"/>
  <c r="TSQ1" i="10"/>
  <c r="TSP1" i="10"/>
  <c r="TSO1" i="10"/>
  <c r="TSN1" i="10"/>
  <c r="TSM1" i="10"/>
  <c r="TSL1" i="10"/>
  <c r="TSK1" i="10"/>
  <c r="TSJ1" i="10"/>
  <c r="TSI1" i="10"/>
  <c r="TSH1" i="10"/>
  <c r="TSG1" i="10"/>
  <c r="TSF1" i="10"/>
  <c r="TSE1" i="10"/>
  <c r="TSD1" i="10"/>
  <c r="TSC1" i="10"/>
  <c r="TSB1" i="10"/>
  <c r="TSA1" i="10"/>
  <c r="TRZ1" i="10"/>
  <c r="TRY1" i="10"/>
  <c r="TRX1" i="10"/>
  <c r="TRW1" i="10"/>
  <c r="TRV1" i="10"/>
  <c r="TRU1" i="10"/>
  <c r="TRT1" i="10"/>
  <c r="TRS1" i="10"/>
  <c r="TRR1" i="10"/>
  <c r="TRQ1" i="10"/>
  <c r="TRP1" i="10"/>
  <c r="TRO1" i="10"/>
  <c r="TRN1" i="10"/>
  <c r="TRM1" i="10"/>
  <c r="TRL1" i="10"/>
  <c r="TRK1" i="10"/>
  <c r="TRJ1" i="10"/>
  <c r="TRI1" i="10"/>
  <c r="TRH1" i="10"/>
  <c r="TRG1" i="10"/>
  <c r="TRF1" i="10"/>
  <c r="TRE1" i="10"/>
  <c r="TRD1" i="10"/>
  <c r="TRC1" i="10"/>
  <c r="TRB1" i="10"/>
  <c r="TRA1" i="10"/>
  <c r="TQZ1" i="10"/>
  <c r="TQY1" i="10"/>
  <c r="TQX1" i="10"/>
  <c r="TQW1" i="10"/>
  <c r="TQV1" i="10"/>
  <c r="TQU1" i="10"/>
  <c r="TQT1" i="10"/>
  <c r="TQS1" i="10"/>
  <c r="TQR1" i="10"/>
  <c r="TQQ1" i="10"/>
  <c r="TQP1" i="10"/>
  <c r="TQO1" i="10"/>
  <c r="TQN1" i="10"/>
  <c r="TQM1" i="10"/>
  <c r="TQL1" i="10"/>
  <c r="TQK1" i="10"/>
  <c r="TQJ1" i="10"/>
  <c r="TQI1" i="10"/>
  <c r="TQH1" i="10"/>
  <c r="TQG1" i="10"/>
  <c r="TQF1" i="10"/>
  <c r="TQE1" i="10"/>
  <c r="TQD1" i="10"/>
  <c r="TQC1" i="10"/>
  <c r="TQB1" i="10"/>
  <c r="TQA1" i="10"/>
  <c r="TPZ1" i="10"/>
  <c r="TPY1" i="10"/>
  <c r="TPX1" i="10"/>
  <c r="TPW1" i="10"/>
  <c r="TPV1" i="10"/>
  <c r="TPU1" i="10"/>
  <c r="TPT1" i="10"/>
  <c r="TPS1" i="10"/>
  <c r="TPR1" i="10"/>
  <c r="TPQ1" i="10"/>
  <c r="TPP1" i="10"/>
  <c r="TPO1" i="10"/>
  <c r="TPN1" i="10"/>
  <c r="TPM1" i="10"/>
  <c r="TPL1" i="10"/>
  <c r="TPK1" i="10"/>
  <c r="TPJ1" i="10"/>
  <c r="TPI1" i="10"/>
  <c r="TPH1" i="10"/>
  <c r="TPG1" i="10"/>
  <c r="TPF1" i="10"/>
  <c r="TPE1" i="10"/>
  <c r="TPD1" i="10"/>
  <c r="TPC1" i="10"/>
  <c r="TPB1" i="10"/>
  <c r="TPA1" i="10"/>
  <c r="TOZ1" i="10"/>
  <c r="TOY1" i="10"/>
  <c r="TOX1" i="10"/>
  <c r="TOW1" i="10"/>
  <c r="TOV1" i="10"/>
  <c r="TOU1" i="10"/>
  <c r="TOT1" i="10"/>
  <c r="TOS1" i="10"/>
  <c r="TOR1" i="10"/>
  <c r="TOQ1" i="10"/>
  <c r="TOP1" i="10"/>
  <c r="TOO1" i="10"/>
  <c r="TON1" i="10"/>
  <c r="TOM1" i="10"/>
  <c r="TOL1" i="10"/>
  <c r="TOK1" i="10"/>
  <c r="TOJ1" i="10"/>
  <c r="TOI1" i="10"/>
  <c r="TOH1" i="10"/>
  <c r="TOG1" i="10"/>
  <c r="TOF1" i="10"/>
  <c r="TOE1" i="10"/>
  <c r="TOD1" i="10"/>
  <c r="TOC1" i="10"/>
  <c r="TOB1" i="10"/>
  <c r="TOA1" i="10"/>
  <c r="TNZ1" i="10"/>
  <c r="TNY1" i="10"/>
  <c r="TNX1" i="10"/>
  <c r="TNW1" i="10"/>
  <c r="TNV1" i="10"/>
  <c r="TNU1" i="10"/>
  <c r="TNT1" i="10"/>
  <c r="TNS1" i="10"/>
  <c r="TNR1" i="10"/>
  <c r="TNQ1" i="10"/>
  <c r="TNP1" i="10"/>
  <c r="TNO1" i="10"/>
  <c r="TNN1" i="10"/>
  <c r="TNM1" i="10"/>
  <c r="TNL1" i="10"/>
  <c r="TNK1" i="10"/>
  <c r="TNJ1" i="10"/>
  <c r="TNI1" i="10"/>
  <c r="TNH1" i="10"/>
  <c r="TNG1" i="10"/>
  <c r="TNF1" i="10"/>
  <c r="TNE1" i="10"/>
  <c r="TND1" i="10"/>
  <c r="TNC1" i="10"/>
  <c r="TNB1" i="10"/>
  <c r="TNA1" i="10"/>
  <c r="TMZ1" i="10"/>
  <c r="TMY1" i="10"/>
  <c r="TMX1" i="10"/>
  <c r="TMW1" i="10"/>
  <c r="TMV1" i="10"/>
  <c r="TMU1" i="10"/>
  <c r="TMT1" i="10"/>
  <c r="TMS1" i="10"/>
  <c r="TMR1" i="10"/>
  <c r="TMQ1" i="10"/>
  <c r="TMP1" i="10"/>
  <c r="TMO1" i="10"/>
  <c r="TMN1" i="10"/>
  <c r="TMM1" i="10"/>
  <c r="TML1" i="10"/>
  <c r="TMK1" i="10"/>
  <c r="TMJ1" i="10"/>
  <c r="TMI1" i="10"/>
  <c r="TMH1" i="10"/>
  <c r="TMG1" i="10"/>
  <c r="TMF1" i="10"/>
  <c r="TME1" i="10"/>
  <c r="TMD1" i="10"/>
  <c r="TMC1" i="10"/>
  <c r="TMB1" i="10"/>
  <c r="TMA1" i="10"/>
  <c r="TLZ1" i="10"/>
  <c r="TLY1" i="10"/>
  <c r="TLX1" i="10"/>
  <c r="TLW1" i="10"/>
  <c r="TLV1" i="10"/>
  <c r="TLU1" i="10"/>
  <c r="TLT1" i="10"/>
  <c r="TLS1" i="10"/>
  <c r="TLR1" i="10"/>
  <c r="TLQ1" i="10"/>
  <c r="TLP1" i="10"/>
  <c r="TLO1" i="10"/>
  <c r="TLN1" i="10"/>
  <c r="TLM1" i="10"/>
  <c r="TLL1" i="10"/>
  <c r="TLK1" i="10"/>
  <c r="TLJ1" i="10"/>
  <c r="TLI1" i="10"/>
  <c r="TLH1" i="10"/>
  <c r="TLG1" i="10"/>
  <c r="TLF1" i="10"/>
  <c r="TLE1" i="10"/>
  <c r="TLD1" i="10"/>
  <c r="TLC1" i="10"/>
  <c r="TLB1" i="10"/>
  <c r="TLA1" i="10"/>
  <c r="TKZ1" i="10"/>
  <c r="TKY1" i="10"/>
  <c r="TKX1" i="10"/>
  <c r="TKW1" i="10"/>
  <c r="TKV1" i="10"/>
  <c r="TKU1" i="10"/>
  <c r="TKT1" i="10"/>
  <c r="TKS1" i="10"/>
  <c r="TKR1" i="10"/>
  <c r="TKQ1" i="10"/>
  <c r="TKP1" i="10"/>
  <c r="TKO1" i="10"/>
  <c r="TKN1" i="10"/>
  <c r="TKM1" i="10"/>
  <c r="TKL1" i="10"/>
  <c r="TKK1" i="10"/>
  <c r="TKJ1" i="10"/>
  <c r="TKI1" i="10"/>
  <c r="TKH1" i="10"/>
  <c r="TKG1" i="10"/>
  <c r="TKF1" i="10"/>
  <c r="TKE1" i="10"/>
  <c r="TKD1" i="10"/>
  <c r="TKC1" i="10"/>
  <c r="TKB1" i="10"/>
  <c r="TKA1" i="10"/>
  <c r="TJZ1" i="10"/>
  <c r="TJY1" i="10"/>
  <c r="TJX1" i="10"/>
  <c r="TJW1" i="10"/>
  <c r="TJV1" i="10"/>
  <c r="TJU1" i="10"/>
  <c r="TJT1" i="10"/>
  <c r="TJS1" i="10"/>
  <c r="TJR1" i="10"/>
  <c r="TJQ1" i="10"/>
  <c r="TJP1" i="10"/>
  <c r="TJO1" i="10"/>
  <c r="TJN1" i="10"/>
  <c r="TJM1" i="10"/>
  <c r="TJL1" i="10"/>
  <c r="TJK1" i="10"/>
  <c r="TJJ1" i="10"/>
  <c r="TJI1" i="10"/>
  <c r="TJH1" i="10"/>
  <c r="TJG1" i="10"/>
  <c r="TJF1" i="10"/>
  <c r="TJE1" i="10"/>
  <c r="TJD1" i="10"/>
  <c r="TJC1" i="10"/>
  <c r="TJB1" i="10"/>
  <c r="TJA1" i="10"/>
  <c r="TIZ1" i="10"/>
  <c r="TIY1" i="10"/>
  <c r="TIX1" i="10"/>
  <c r="TIW1" i="10"/>
  <c r="TIV1" i="10"/>
  <c r="TIU1" i="10"/>
  <c r="TIT1" i="10"/>
  <c r="TIS1" i="10"/>
  <c r="TIR1" i="10"/>
  <c r="TIQ1" i="10"/>
  <c r="TIP1" i="10"/>
  <c r="TIO1" i="10"/>
  <c r="TIN1" i="10"/>
  <c r="TIM1" i="10"/>
  <c r="TIL1" i="10"/>
  <c r="TIK1" i="10"/>
  <c r="TIJ1" i="10"/>
  <c r="TII1" i="10"/>
  <c r="TIH1" i="10"/>
  <c r="TIG1" i="10"/>
  <c r="TIF1" i="10"/>
  <c r="TIE1" i="10"/>
  <c r="TID1" i="10"/>
  <c r="TIC1" i="10"/>
  <c r="TIB1" i="10"/>
  <c r="TIA1" i="10"/>
  <c r="THZ1" i="10"/>
  <c r="THY1" i="10"/>
  <c r="THX1" i="10"/>
  <c r="THW1" i="10"/>
  <c r="THV1" i="10"/>
  <c r="THU1" i="10"/>
  <c r="THT1" i="10"/>
  <c r="THS1" i="10"/>
  <c r="THR1" i="10"/>
  <c r="THQ1" i="10"/>
  <c r="THP1" i="10"/>
  <c r="THO1" i="10"/>
  <c r="THN1" i="10"/>
  <c r="THM1" i="10"/>
  <c r="THL1" i="10"/>
  <c r="THK1" i="10"/>
  <c r="THJ1" i="10"/>
  <c r="THI1" i="10"/>
  <c r="THH1" i="10"/>
  <c r="THG1" i="10"/>
  <c r="THF1" i="10"/>
  <c r="THE1" i="10"/>
  <c r="THD1" i="10"/>
  <c r="THC1" i="10"/>
  <c r="THB1" i="10"/>
  <c r="THA1" i="10"/>
  <c r="TGZ1" i="10"/>
  <c r="TGY1" i="10"/>
  <c r="TGX1" i="10"/>
  <c r="TGW1" i="10"/>
  <c r="TGV1" i="10"/>
  <c r="TGU1" i="10"/>
  <c r="TGT1" i="10"/>
  <c r="TGS1" i="10"/>
  <c r="TGR1" i="10"/>
  <c r="TGQ1" i="10"/>
  <c r="TGP1" i="10"/>
  <c r="TGO1" i="10"/>
  <c r="TGN1" i="10"/>
  <c r="TGM1" i="10"/>
  <c r="TGL1" i="10"/>
  <c r="TGK1" i="10"/>
  <c r="TGJ1" i="10"/>
  <c r="TGI1" i="10"/>
  <c r="TGH1" i="10"/>
  <c r="TGG1" i="10"/>
  <c r="TGF1" i="10"/>
  <c r="TGE1" i="10"/>
  <c r="TGD1" i="10"/>
  <c r="TGC1" i="10"/>
  <c r="TGB1" i="10"/>
  <c r="TGA1" i="10"/>
  <c r="TFZ1" i="10"/>
  <c r="TFY1" i="10"/>
  <c r="TFX1" i="10"/>
  <c r="TFW1" i="10"/>
  <c r="TFV1" i="10"/>
  <c r="TFU1" i="10"/>
  <c r="TFT1" i="10"/>
  <c r="TFS1" i="10"/>
  <c r="TFR1" i="10"/>
  <c r="TFQ1" i="10"/>
  <c r="TFP1" i="10"/>
  <c r="TFO1" i="10"/>
  <c r="TFN1" i="10"/>
  <c r="TFM1" i="10"/>
  <c r="TFL1" i="10"/>
  <c r="TFK1" i="10"/>
  <c r="TFJ1" i="10"/>
  <c r="TFI1" i="10"/>
  <c r="TFH1" i="10"/>
  <c r="TFG1" i="10"/>
  <c r="TFF1" i="10"/>
  <c r="TFE1" i="10"/>
  <c r="TFD1" i="10"/>
  <c r="TFC1" i="10"/>
  <c r="TFB1" i="10"/>
  <c r="TFA1" i="10"/>
  <c r="TEZ1" i="10"/>
  <c r="TEY1" i="10"/>
  <c r="TEX1" i="10"/>
  <c r="TEW1" i="10"/>
  <c r="TEV1" i="10"/>
  <c r="TEU1" i="10"/>
  <c r="TET1" i="10"/>
  <c r="TES1" i="10"/>
  <c r="TER1" i="10"/>
  <c r="TEQ1" i="10"/>
  <c r="TEP1" i="10"/>
  <c r="TEO1" i="10"/>
  <c r="TEN1" i="10"/>
  <c r="TEM1" i="10"/>
  <c r="TEL1" i="10"/>
  <c r="TEK1" i="10"/>
  <c r="TEJ1" i="10"/>
  <c r="TEI1" i="10"/>
  <c r="TEH1" i="10"/>
  <c r="TEG1" i="10"/>
  <c r="TEF1" i="10"/>
  <c r="TEE1" i="10"/>
  <c r="TED1" i="10"/>
  <c r="TEC1" i="10"/>
  <c r="TEB1" i="10"/>
  <c r="TEA1" i="10"/>
  <c r="TDZ1" i="10"/>
  <c r="TDY1" i="10"/>
  <c r="TDX1" i="10"/>
  <c r="TDW1" i="10"/>
  <c r="TDV1" i="10"/>
  <c r="TDU1" i="10"/>
  <c r="TDT1" i="10"/>
  <c r="TDS1" i="10"/>
  <c r="TDR1" i="10"/>
  <c r="TDQ1" i="10"/>
  <c r="TDP1" i="10"/>
  <c r="TDO1" i="10"/>
  <c r="TDN1" i="10"/>
  <c r="TDM1" i="10"/>
  <c r="TDL1" i="10"/>
  <c r="TDK1" i="10"/>
  <c r="TDJ1" i="10"/>
  <c r="TDI1" i="10"/>
  <c r="TDH1" i="10"/>
  <c r="TDG1" i="10"/>
  <c r="TDF1" i="10"/>
  <c r="TDE1" i="10"/>
  <c r="TDD1" i="10"/>
  <c r="TDC1" i="10"/>
  <c r="TDB1" i="10"/>
  <c r="TDA1" i="10"/>
  <c r="TCZ1" i="10"/>
  <c r="TCY1" i="10"/>
  <c r="TCX1" i="10"/>
  <c r="TCW1" i="10"/>
  <c r="TCV1" i="10"/>
  <c r="TCU1" i="10"/>
  <c r="TCT1" i="10"/>
  <c r="TCS1" i="10"/>
  <c r="TCR1" i="10"/>
  <c r="TCQ1" i="10"/>
  <c r="TCP1" i="10"/>
  <c r="TCO1" i="10"/>
  <c r="TCN1" i="10"/>
  <c r="TCM1" i="10"/>
  <c r="TCL1" i="10"/>
  <c r="TCK1" i="10"/>
  <c r="TCJ1" i="10"/>
  <c r="TCI1" i="10"/>
  <c r="TCH1" i="10"/>
  <c r="TCG1" i="10"/>
  <c r="TCF1" i="10"/>
  <c r="TCE1" i="10"/>
  <c r="TCD1" i="10"/>
  <c r="TCC1" i="10"/>
  <c r="TCB1" i="10"/>
  <c r="TCA1" i="10"/>
  <c r="TBZ1" i="10"/>
  <c r="TBY1" i="10"/>
  <c r="TBX1" i="10"/>
  <c r="TBW1" i="10"/>
  <c r="TBV1" i="10"/>
  <c r="TBU1" i="10"/>
  <c r="TBT1" i="10"/>
  <c r="TBS1" i="10"/>
  <c r="TBR1" i="10"/>
  <c r="TBQ1" i="10"/>
  <c r="TBP1" i="10"/>
  <c r="TBO1" i="10"/>
  <c r="TBN1" i="10"/>
  <c r="TBM1" i="10"/>
  <c r="TBL1" i="10"/>
  <c r="TBK1" i="10"/>
  <c r="TBJ1" i="10"/>
  <c r="TBI1" i="10"/>
  <c r="TBH1" i="10"/>
  <c r="TBG1" i="10"/>
  <c r="TBF1" i="10"/>
  <c r="TBE1" i="10"/>
  <c r="TBD1" i="10"/>
  <c r="TBC1" i="10"/>
  <c r="TBB1" i="10"/>
  <c r="TBA1" i="10"/>
  <c r="TAZ1" i="10"/>
  <c r="TAY1" i="10"/>
  <c r="TAX1" i="10"/>
  <c r="TAW1" i="10"/>
  <c r="TAV1" i="10"/>
  <c r="TAU1" i="10"/>
  <c r="TAT1" i="10"/>
  <c r="TAS1" i="10"/>
  <c r="TAR1" i="10"/>
  <c r="TAQ1" i="10"/>
  <c r="TAP1" i="10"/>
  <c r="TAO1" i="10"/>
  <c r="TAN1" i="10"/>
  <c r="TAM1" i="10"/>
  <c r="TAL1" i="10"/>
  <c r="TAK1" i="10"/>
  <c r="TAJ1" i="10"/>
  <c r="TAI1" i="10"/>
  <c r="TAH1" i="10"/>
  <c r="TAG1" i="10"/>
  <c r="TAF1" i="10"/>
  <c r="TAE1" i="10"/>
  <c r="TAD1" i="10"/>
  <c r="TAC1" i="10"/>
  <c r="TAB1" i="10"/>
  <c r="TAA1" i="10"/>
  <c r="SZZ1" i="10"/>
  <c r="SZY1" i="10"/>
  <c r="SZX1" i="10"/>
  <c r="SZW1" i="10"/>
  <c r="SZV1" i="10"/>
  <c r="SZU1" i="10"/>
  <c r="SZT1" i="10"/>
  <c r="SZS1" i="10"/>
  <c r="SZR1" i="10"/>
  <c r="SZQ1" i="10"/>
  <c r="SZP1" i="10"/>
  <c r="SZO1" i="10"/>
  <c r="SZN1" i="10"/>
  <c r="SZM1" i="10"/>
  <c r="SZL1" i="10"/>
  <c r="SZK1" i="10"/>
  <c r="SZJ1" i="10"/>
  <c r="SZI1" i="10"/>
  <c r="SZH1" i="10"/>
  <c r="SZG1" i="10"/>
  <c r="SZF1" i="10"/>
  <c r="SZE1" i="10"/>
  <c r="SZD1" i="10"/>
  <c r="SZC1" i="10"/>
  <c r="SZB1" i="10"/>
  <c r="SZA1" i="10"/>
  <c r="SYZ1" i="10"/>
  <c r="SYY1" i="10"/>
  <c r="SYX1" i="10"/>
  <c r="SYW1" i="10"/>
  <c r="SYV1" i="10"/>
  <c r="SYU1" i="10"/>
  <c r="SYT1" i="10"/>
  <c r="SYS1" i="10"/>
  <c r="SYR1" i="10"/>
  <c r="SYQ1" i="10"/>
  <c r="SYP1" i="10"/>
  <c r="SYO1" i="10"/>
  <c r="SYN1" i="10"/>
  <c r="SYM1" i="10"/>
  <c r="SYL1" i="10"/>
  <c r="SYK1" i="10"/>
  <c r="SYJ1" i="10"/>
  <c r="SYI1" i="10"/>
  <c r="SYH1" i="10"/>
  <c r="SYG1" i="10"/>
  <c r="SYF1" i="10"/>
  <c r="SYE1" i="10"/>
  <c r="SYD1" i="10"/>
  <c r="SYC1" i="10"/>
  <c r="SYB1" i="10"/>
  <c r="SYA1" i="10"/>
  <c r="SXZ1" i="10"/>
  <c r="SXY1" i="10"/>
  <c r="SXX1" i="10"/>
  <c r="SXW1" i="10"/>
  <c r="SXV1" i="10"/>
  <c r="SXU1" i="10"/>
  <c r="SXT1" i="10"/>
  <c r="SXS1" i="10"/>
  <c r="SXR1" i="10"/>
  <c r="SXQ1" i="10"/>
  <c r="SXP1" i="10"/>
  <c r="SXO1" i="10"/>
  <c r="SXN1" i="10"/>
  <c r="SXM1" i="10"/>
  <c r="SXL1" i="10"/>
  <c r="SXK1" i="10"/>
  <c r="SXJ1" i="10"/>
  <c r="SXI1" i="10"/>
  <c r="SXH1" i="10"/>
  <c r="SXG1" i="10"/>
  <c r="SXF1" i="10"/>
  <c r="SXE1" i="10"/>
  <c r="SXD1" i="10"/>
  <c r="SXC1" i="10"/>
  <c r="SXB1" i="10"/>
  <c r="SXA1" i="10"/>
  <c r="SWZ1" i="10"/>
  <c r="SWY1" i="10"/>
  <c r="SWX1" i="10"/>
  <c r="SWW1" i="10"/>
  <c r="SWV1" i="10"/>
  <c r="SWU1" i="10"/>
  <c r="SWT1" i="10"/>
  <c r="SWS1" i="10"/>
  <c r="SWR1" i="10"/>
  <c r="SWQ1" i="10"/>
  <c r="SWP1" i="10"/>
  <c r="SWO1" i="10"/>
  <c r="SWN1" i="10"/>
  <c r="SWM1" i="10"/>
  <c r="SWL1" i="10"/>
  <c r="SWK1" i="10"/>
  <c r="SWJ1" i="10"/>
  <c r="SWI1" i="10"/>
  <c r="SWH1" i="10"/>
  <c r="SWG1" i="10"/>
  <c r="SWF1" i="10"/>
  <c r="SWE1" i="10"/>
  <c r="SWD1" i="10"/>
  <c r="SWC1" i="10"/>
  <c r="SWB1" i="10"/>
  <c r="SWA1" i="10"/>
  <c r="SVZ1" i="10"/>
  <c r="SVY1" i="10"/>
  <c r="SVX1" i="10"/>
  <c r="SVW1" i="10"/>
  <c r="SVV1" i="10"/>
  <c r="SVU1" i="10"/>
  <c r="SVT1" i="10"/>
  <c r="SVS1" i="10"/>
  <c r="SVR1" i="10"/>
  <c r="SVQ1" i="10"/>
  <c r="SVP1" i="10"/>
  <c r="SVO1" i="10"/>
  <c r="SVN1" i="10"/>
  <c r="SVM1" i="10"/>
  <c r="SVL1" i="10"/>
  <c r="SVK1" i="10"/>
  <c r="SVJ1" i="10"/>
  <c r="SVI1" i="10"/>
  <c r="SVH1" i="10"/>
  <c r="SVG1" i="10"/>
  <c r="SVF1" i="10"/>
  <c r="SVE1" i="10"/>
  <c r="SVD1" i="10"/>
  <c r="SVC1" i="10"/>
  <c r="SVB1" i="10"/>
  <c r="SVA1" i="10"/>
  <c r="SUZ1" i="10"/>
  <c r="SUY1" i="10"/>
  <c r="SUX1" i="10"/>
  <c r="SUW1" i="10"/>
  <c r="SUV1" i="10"/>
  <c r="SUU1" i="10"/>
  <c r="SUT1" i="10"/>
  <c r="SUS1" i="10"/>
  <c r="SUR1" i="10"/>
  <c r="SUQ1" i="10"/>
  <c r="SUP1" i="10"/>
  <c r="SUO1" i="10"/>
  <c r="SUN1" i="10"/>
  <c r="SUM1" i="10"/>
  <c r="SUL1" i="10"/>
  <c r="SUK1" i="10"/>
  <c r="SUJ1" i="10"/>
  <c r="SUI1" i="10"/>
  <c r="SUH1" i="10"/>
  <c r="SUG1" i="10"/>
  <c r="SUF1" i="10"/>
  <c r="SUE1" i="10"/>
  <c r="SUD1" i="10"/>
  <c r="SUC1" i="10"/>
  <c r="SUB1" i="10"/>
  <c r="SUA1" i="10"/>
  <c r="STZ1" i="10"/>
  <c r="STY1" i="10"/>
  <c r="STX1" i="10"/>
  <c r="STW1" i="10"/>
  <c r="STV1" i="10"/>
  <c r="STU1" i="10"/>
  <c r="STT1" i="10"/>
  <c r="STS1" i="10"/>
  <c r="STR1" i="10"/>
  <c r="STQ1" i="10"/>
  <c r="STP1" i="10"/>
  <c r="STO1" i="10"/>
  <c r="STN1" i="10"/>
  <c r="STM1" i="10"/>
  <c r="STL1" i="10"/>
  <c r="STK1" i="10"/>
  <c r="STJ1" i="10"/>
  <c r="STI1" i="10"/>
  <c r="STH1" i="10"/>
  <c r="STG1" i="10"/>
  <c r="STF1" i="10"/>
  <c r="STE1" i="10"/>
  <c r="STD1" i="10"/>
  <c r="STC1" i="10"/>
  <c r="STB1" i="10"/>
  <c r="STA1" i="10"/>
  <c r="SSZ1" i="10"/>
  <c r="SSY1" i="10"/>
  <c r="SSX1" i="10"/>
  <c r="SSW1" i="10"/>
  <c r="SSV1" i="10"/>
  <c r="SSU1" i="10"/>
  <c r="SST1" i="10"/>
  <c r="SSS1" i="10"/>
  <c r="SSR1" i="10"/>
  <c r="SSQ1" i="10"/>
  <c r="SSP1" i="10"/>
  <c r="SSO1" i="10"/>
  <c r="SSN1" i="10"/>
  <c r="SSM1" i="10"/>
  <c r="SSL1" i="10"/>
  <c r="SSK1" i="10"/>
  <c r="SSJ1" i="10"/>
  <c r="SSI1" i="10"/>
  <c r="SSH1" i="10"/>
  <c r="SSG1" i="10"/>
  <c r="SSF1" i="10"/>
  <c r="SSE1" i="10"/>
  <c r="SSD1" i="10"/>
  <c r="SSC1" i="10"/>
  <c r="SSB1" i="10"/>
  <c r="SSA1" i="10"/>
  <c r="SRZ1" i="10"/>
  <c r="SRY1" i="10"/>
  <c r="SRX1" i="10"/>
  <c r="SRW1" i="10"/>
  <c r="SRV1" i="10"/>
  <c r="SRU1" i="10"/>
  <c r="SRT1" i="10"/>
  <c r="SRS1" i="10"/>
  <c r="SRR1" i="10"/>
  <c r="SRQ1" i="10"/>
  <c r="SRP1" i="10"/>
  <c r="SRO1" i="10"/>
  <c r="SRN1" i="10"/>
  <c r="SRM1" i="10"/>
  <c r="SRL1" i="10"/>
  <c r="SRK1" i="10"/>
  <c r="SRJ1" i="10"/>
  <c r="SRI1" i="10"/>
  <c r="SRH1" i="10"/>
  <c r="SRG1" i="10"/>
  <c r="SRF1" i="10"/>
  <c r="SRE1" i="10"/>
  <c r="SRD1" i="10"/>
  <c r="SRC1" i="10"/>
  <c r="SRB1" i="10"/>
  <c r="SRA1" i="10"/>
  <c r="SQZ1" i="10"/>
  <c r="SQY1" i="10"/>
  <c r="SQX1" i="10"/>
  <c r="SQW1" i="10"/>
  <c r="SQV1" i="10"/>
  <c r="SQU1" i="10"/>
  <c r="SQT1" i="10"/>
  <c r="SQS1" i="10"/>
  <c r="SQR1" i="10"/>
  <c r="SQQ1" i="10"/>
  <c r="SQP1" i="10"/>
  <c r="SQO1" i="10"/>
  <c r="SQN1" i="10"/>
  <c r="SQM1" i="10"/>
  <c r="SQL1" i="10"/>
  <c r="SQK1" i="10"/>
  <c r="SQJ1" i="10"/>
  <c r="SQI1" i="10"/>
  <c r="SQH1" i="10"/>
  <c r="SQG1" i="10"/>
  <c r="SQF1" i="10"/>
  <c r="SQE1" i="10"/>
  <c r="SQD1" i="10"/>
  <c r="SQC1" i="10"/>
  <c r="SQB1" i="10"/>
  <c r="SQA1" i="10"/>
  <c r="SPZ1" i="10"/>
  <c r="SPY1" i="10"/>
  <c r="SPX1" i="10"/>
  <c r="SPW1" i="10"/>
  <c r="SPV1" i="10"/>
  <c r="SPU1" i="10"/>
  <c r="SPT1" i="10"/>
  <c r="SPS1" i="10"/>
  <c r="SPR1" i="10"/>
  <c r="SPQ1" i="10"/>
  <c r="SPP1" i="10"/>
  <c r="SPO1" i="10"/>
  <c r="SPN1" i="10"/>
  <c r="SPM1" i="10"/>
  <c r="SPL1" i="10"/>
  <c r="SPK1" i="10"/>
  <c r="SPJ1" i="10"/>
  <c r="SPI1" i="10"/>
  <c r="SPH1" i="10"/>
  <c r="SPG1" i="10"/>
  <c r="SPF1" i="10"/>
  <c r="SPE1" i="10"/>
  <c r="SPD1" i="10"/>
  <c r="SPC1" i="10"/>
  <c r="SPB1" i="10"/>
  <c r="SPA1" i="10"/>
  <c r="SOZ1" i="10"/>
  <c r="SOY1" i="10"/>
  <c r="SOX1" i="10"/>
  <c r="SOW1" i="10"/>
  <c r="SOV1" i="10"/>
  <c r="SOU1" i="10"/>
  <c r="SOT1" i="10"/>
  <c r="SOS1" i="10"/>
  <c r="SOR1" i="10"/>
  <c r="SOQ1" i="10"/>
  <c r="SOP1" i="10"/>
  <c r="SOO1" i="10"/>
  <c r="SON1" i="10"/>
  <c r="SOM1" i="10"/>
  <c r="SOL1" i="10"/>
  <c r="SOK1" i="10"/>
  <c r="SOJ1" i="10"/>
  <c r="SOI1" i="10"/>
  <c r="SOH1" i="10"/>
  <c r="SOG1" i="10"/>
  <c r="SOF1" i="10"/>
  <c r="SOE1" i="10"/>
  <c r="SOD1" i="10"/>
  <c r="SOC1" i="10"/>
  <c r="SOB1" i="10"/>
  <c r="SOA1" i="10"/>
  <c r="SNZ1" i="10"/>
  <c r="SNY1" i="10"/>
  <c r="SNX1" i="10"/>
  <c r="SNW1" i="10"/>
  <c r="SNV1" i="10"/>
  <c r="SNU1" i="10"/>
  <c r="SNT1" i="10"/>
  <c r="SNS1" i="10"/>
  <c r="SNR1" i="10"/>
  <c r="SNQ1" i="10"/>
  <c r="SNP1" i="10"/>
  <c r="SNO1" i="10"/>
  <c r="SNN1" i="10"/>
  <c r="SNM1" i="10"/>
  <c r="SNL1" i="10"/>
  <c r="SNK1" i="10"/>
  <c r="SNJ1" i="10"/>
  <c r="SNI1" i="10"/>
  <c r="SNH1" i="10"/>
  <c r="SNG1" i="10"/>
  <c r="SNF1" i="10"/>
  <c r="SNE1" i="10"/>
  <c r="SND1" i="10"/>
  <c r="SNC1" i="10"/>
  <c r="SNB1" i="10"/>
  <c r="SNA1" i="10"/>
  <c r="SMZ1" i="10"/>
  <c r="SMY1" i="10"/>
  <c r="SMX1" i="10"/>
  <c r="SMW1" i="10"/>
  <c r="SMV1" i="10"/>
  <c r="SMU1" i="10"/>
  <c r="SMT1" i="10"/>
  <c r="SMS1" i="10"/>
  <c r="SMR1" i="10"/>
  <c r="SMQ1" i="10"/>
  <c r="SMP1" i="10"/>
  <c r="SMO1" i="10"/>
  <c r="SMN1" i="10"/>
  <c r="SMM1" i="10"/>
  <c r="SML1" i="10"/>
  <c r="SMK1" i="10"/>
  <c r="SMJ1" i="10"/>
  <c r="SMI1" i="10"/>
  <c r="SMH1" i="10"/>
  <c r="SMG1" i="10"/>
  <c r="SMF1" i="10"/>
  <c r="SME1" i="10"/>
  <c r="SMD1" i="10"/>
  <c r="SMC1" i="10"/>
  <c r="SMB1" i="10"/>
  <c r="SMA1" i="10"/>
  <c r="SLZ1" i="10"/>
  <c r="SLY1" i="10"/>
  <c r="SLX1" i="10"/>
  <c r="SLW1" i="10"/>
  <c r="SLV1" i="10"/>
  <c r="SLU1" i="10"/>
  <c r="SLT1" i="10"/>
  <c r="SLS1" i="10"/>
  <c r="SLR1" i="10"/>
  <c r="SLQ1" i="10"/>
  <c r="SLP1" i="10"/>
  <c r="SLO1" i="10"/>
  <c r="SLN1" i="10"/>
  <c r="SLM1" i="10"/>
  <c r="SLL1" i="10"/>
  <c r="SLK1" i="10"/>
  <c r="SLJ1" i="10"/>
  <c r="SLI1" i="10"/>
  <c r="SLH1" i="10"/>
  <c r="SLG1" i="10"/>
  <c r="SLF1" i="10"/>
  <c r="SLE1" i="10"/>
  <c r="SLD1" i="10"/>
  <c r="SLC1" i="10"/>
  <c r="SLB1" i="10"/>
  <c r="SLA1" i="10"/>
  <c r="SKZ1" i="10"/>
  <c r="SKY1" i="10"/>
  <c r="SKX1" i="10"/>
  <c r="SKW1" i="10"/>
  <c r="SKV1" i="10"/>
  <c r="SKU1" i="10"/>
  <c r="SKT1" i="10"/>
  <c r="SKS1" i="10"/>
  <c r="SKR1" i="10"/>
  <c r="SKQ1" i="10"/>
  <c r="SKP1" i="10"/>
  <c r="SKO1" i="10"/>
  <c r="SKN1" i="10"/>
  <c r="SKM1" i="10"/>
  <c r="SKL1" i="10"/>
  <c r="SKK1" i="10"/>
  <c r="SKJ1" i="10"/>
  <c r="SKI1" i="10"/>
  <c r="SKH1" i="10"/>
  <c r="SKG1" i="10"/>
  <c r="SKF1" i="10"/>
  <c r="SKE1" i="10"/>
  <c r="SKD1" i="10"/>
  <c r="SKC1" i="10"/>
  <c r="SKB1" i="10"/>
  <c r="SKA1" i="10"/>
  <c r="SJZ1" i="10"/>
  <c r="SJY1" i="10"/>
  <c r="SJX1" i="10"/>
  <c r="SJW1" i="10"/>
  <c r="SJV1" i="10"/>
  <c r="SJU1" i="10"/>
  <c r="SJT1" i="10"/>
  <c r="SJS1" i="10"/>
  <c r="SJR1" i="10"/>
  <c r="SJQ1" i="10"/>
  <c r="SJP1" i="10"/>
  <c r="SJO1" i="10"/>
  <c r="SJN1" i="10"/>
  <c r="SJM1" i="10"/>
  <c r="SJL1" i="10"/>
  <c r="SJK1" i="10"/>
  <c r="SJJ1" i="10"/>
  <c r="SJI1" i="10"/>
  <c r="SJH1" i="10"/>
  <c r="SJG1" i="10"/>
  <c r="SJF1" i="10"/>
  <c r="SJE1" i="10"/>
  <c r="SJD1" i="10"/>
  <c r="SJC1" i="10"/>
  <c r="SJB1" i="10"/>
  <c r="SJA1" i="10"/>
  <c r="SIZ1" i="10"/>
  <c r="SIY1" i="10"/>
  <c r="SIX1" i="10"/>
  <c r="SIW1" i="10"/>
  <c r="SIV1" i="10"/>
  <c r="SIU1" i="10"/>
  <c r="SIT1" i="10"/>
  <c r="SIS1" i="10"/>
  <c r="SIR1" i="10"/>
  <c r="SIQ1" i="10"/>
  <c r="SIP1" i="10"/>
  <c r="SIO1" i="10"/>
  <c r="SIN1" i="10"/>
  <c r="SIM1" i="10"/>
  <c r="SIL1" i="10"/>
  <c r="SIK1" i="10"/>
  <c r="SIJ1" i="10"/>
  <c r="SII1" i="10"/>
  <c r="SIH1" i="10"/>
  <c r="SIG1" i="10"/>
  <c r="SIF1" i="10"/>
  <c r="SIE1" i="10"/>
  <c r="SID1" i="10"/>
  <c r="SIC1" i="10"/>
  <c r="SIB1" i="10"/>
  <c r="SIA1" i="10"/>
  <c r="SHZ1" i="10"/>
  <c r="SHY1" i="10"/>
  <c r="SHX1" i="10"/>
  <c r="SHW1" i="10"/>
  <c r="SHV1" i="10"/>
  <c r="SHU1" i="10"/>
  <c r="SHT1" i="10"/>
  <c r="SHS1" i="10"/>
  <c r="SHR1" i="10"/>
  <c r="SHQ1" i="10"/>
  <c r="SHP1" i="10"/>
  <c r="SHO1" i="10"/>
  <c r="SHN1" i="10"/>
  <c r="SHM1" i="10"/>
  <c r="SHL1" i="10"/>
  <c r="SHK1" i="10"/>
  <c r="SHJ1" i="10"/>
  <c r="SHI1" i="10"/>
  <c r="SHH1" i="10"/>
  <c r="SHG1" i="10"/>
  <c r="SHF1" i="10"/>
  <c r="SHE1" i="10"/>
  <c r="SHD1" i="10"/>
  <c r="SHC1" i="10"/>
  <c r="SHB1" i="10"/>
  <c r="SHA1" i="10"/>
  <c r="SGZ1" i="10"/>
  <c r="SGY1" i="10"/>
  <c r="SGX1" i="10"/>
  <c r="SGW1" i="10"/>
  <c r="SGV1" i="10"/>
  <c r="SGU1" i="10"/>
  <c r="SGT1" i="10"/>
  <c r="SGS1" i="10"/>
  <c r="SGR1" i="10"/>
  <c r="SGQ1" i="10"/>
  <c r="SGP1" i="10"/>
  <c r="SGO1" i="10"/>
  <c r="SGN1" i="10"/>
  <c r="SGM1" i="10"/>
  <c r="SGL1" i="10"/>
  <c r="SGK1" i="10"/>
  <c r="SGJ1" i="10"/>
  <c r="SGI1" i="10"/>
  <c r="SGH1" i="10"/>
  <c r="SGG1" i="10"/>
  <c r="SGF1" i="10"/>
  <c r="SGE1" i="10"/>
  <c r="SGD1" i="10"/>
  <c r="SGC1" i="10"/>
  <c r="SGB1" i="10"/>
  <c r="SGA1" i="10"/>
  <c r="SFZ1" i="10"/>
  <c r="SFY1" i="10"/>
  <c r="SFX1" i="10"/>
  <c r="SFW1" i="10"/>
  <c r="SFV1" i="10"/>
  <c r="SFU1" i="10"/>
  <c r="SFT1" i="10"/>
  <c r="SFS1" i="10"/>
  <c r="SFR1" i="10"/>
  <c r="SFQ1" i="10"/>
  <c r="SFP1" i="10"/>
  <c r="SFO1" i="10"/>
  <c r="SFN1" i="10"/>
  <c r="SFM1" i="10"/>
  <c r="SFL1" i="10"/>
  <c r="SFK1" i="10"/>
  <c r="SFJ1" i="10"/>
  <c r="SFI1" i="10"/>
  <c r="SFH1" i="10"/>
  <c r="SFG1" i="10"/>
  <c r="SFF1" i="10"/>
  <c r="SFE1" i="10"/>
  <c r="SFD1" i="10"/>
  <c r="SFC1" i="10"/>
  <c r="SFB1" i="10"/>
  <c r="SFA1" i="10"/>
  <c r="SEZ1" i="10"/>
  <c r="SEY1" i="10"/>
  <c r="SEX1" i="10"/>
  <c r="SEW1" i="10"/>
  <c r="SEV1" i="10"/>
  <c r="SEU1" i="10"/>
  <c r="SET1" i="10"/>
  <c r="SES1" i="10"/>
  <c r="SER1" i="10"/>
  <c r="SEQ1" i="10"/>
  <c r="SEP1" i="10"/>
  <c r="SEO1" i="10"/>
  <c r="SEN1" i="10"/>
  <c r="SEM1" i="10"/>
  <c r="SEL1" i="10"/>
  <c r="SEK1" i="10"/>
  <c r="SEJ1" i="10"/>
  <c r="SEI1" i="10"/>
  <c r="SEH1" i="10"/>
  <c r="SEG1" i="10"/>
  <c r="SEF1" i="10"/>
  <c r="SEE1" i="10"/>
  <c r="SED1" i="10"/>
  <c r="SEC1" i="10"/>
  <c r="SEB1" i="10"/>
  <c r="SEA1" i="10"/>
  <c r="SDZ1" i="10"/>
  <c r="SDY1" i="10"/>
  <c r="SDX1" i="10"/>
  <c r="SDW1" i="10"/>
  <c r="SDV1" i="10"/>
  <c r="SDU1" i="10"/>
  <c r="SDT1" i="10"/>
  <c r="SDS1" i="10"/>
  <c r="SDR1" i="10"/>
  <c r="SDQ1" i="10"/>
  <c r="SDP1" i="10"/>
  <c r="SDO1" i="10"/>
  <c r="SDN1" i="10"/>
  <c r="SDM1" i="10"/>
  <c r="SDL1" i="10"/>
  <c r="SDK1" i="10"/>
  <c r="SDJ1" i="10"/>
  <c r="SDI1" i="10"/>
  <c r="SDH1" i="10"/>
  <c r="SDG1" i="10"/>
  <c r="SDF1" i="10"/>
  <c r="SDE1" i="10"/>
  <c r="SDD1" i="10"/>
  <c r="SDC1" i="10"/>
  <c r="SDB1" i="10"/>
  <c r="SDA1" i="10"/>
  <c r="SCZ1" i="10"/>
  <c r="SCY1" i="10"/>
  <c r="SCX1" i="10"/>
  <c r="SCW1" i="10"/>
  <c r="SCV1" i="10"/>
  <c r="SCU1" i="10"/>
  <c r="SCT1" i="10"/>
  <c r="SCS1" i="10"/>
  <c r="SCR1" i="10"/>
  <c r="SCQ1" i="10"/>
  <c r="SCP1" i="10"/>
  <c r="SCO1" i="10"/>
  <c r="SCN1" i="10"/>
  <c r="SCM1" i="10"/>
  <c r="SCL1" i="10"/>
  <c r="SCK1" i="10"/>
  <c r="SCJ1" i="10"/>
  <c r="SCI1" i="10"/>
  <c r="SCH1" i="10"/>
  <c r="SCG1" i="10"/>
  <c r="SCF1" i="10"/>
  <c r="SCE1" i="10"/>
  <c r="SCD1" i="10"/>
  <c r="SCC1" i="10"/>
  <c r="SCB1" i="10"/>
  <c r="SCA1" i="10"/>
  <c r="SBZ1" i="10"/>
  <c r="SBY1" i="10"/>
  <c r="SBX1" i="10"/>
  <c r="SBW1" i="10"/>
  <c r="SBV1" i="10"/>
  <c r="SBU1" i="10"/>
  <c r="SBT1" i="10"/>
  <c r="SBS1" i="10"/>
  <c r="SBR1" i="10"/>
  <c r="SBQ1" i="10"/>
  <c r="SBP1" i="10"/>
  <c r="SBO1" i="10"/>
  <c r="SBN1" i="10"/>
  <c r="SBM1" i="10"/>
  <c r="SBL1" i="10"/>
  <c r="SBK1" i="10"/>
  <c r="SBJ1" i="10"/>
  <c r="SBI1" i="10"/>
  <c r="SBH1" i="10"/>
  <c r="SBG1" i="10"/>
  <c r="SBF1" i="10"/>
  <c r="SBE1" i="10"/>
  <c r="SBD1" i="10"/>
  <c r="SBC1" i="10"/>
  <c r="SBB1" i="10"/>
  <c r="SBA1" i="10"/>
  <c r="SAZ1" i="10"/>
  <c r="SAY1" i="10"/>
  <c r="SAX1" i="10"/>
  <c r="SAW1" i="10"/>
  <c r="SAV1" i="10"/>
  <c r="SAU1" i="10"/>
  <c r="SAT1" i="10"/>
  <c r="SAS1" i="10"/>
  <c r="SAR1" i="10"/>
  <c r="SAQ1" i="10"/>
  <c r="SAP1" i="10"/>
  <c r="SAO1" i="10"/>
  <c r="SAN1" i="10"/>
  <c r="SAM1" i="10"/>
  <c r="SAL1" i="10"/>
  <c r="SAK1" i="10"/>
  <c r="SAJ1" i="10"/>
  <c r="SAI1" i="10"/>
  <c r="SAH1" i="10"/>
  <c r="SAG1" i="10"/>
  <c r="SAF1" i="10"/>
  <c r="SAE1" i="10"/>
  <c r="SAD1" i="10"/>
  <c r="SAC1" i="10"/>
  <c r="SAB1" i="10"/>
  <c r="SAA1" i="10"/>
  <c r="RZZ1" i="10"/>
  <c r="RZY1" i="10"/>
  <c r="RZX1" i="10"/>
  <c r="RZW1" i="10"/>
  <c r="RZV1" i="10"/>
  <c r="RZU1" i="10"/>
  <c r="RZT1" i="10"/>
  <c r="RZS1" i="10"/>
  <c r="RZR1" i="10"/>
  <c r="RZQ1" i="10"/>
  <c r="RZP1" i="10"/>
  <c r="RZO1" i="10"/>
  <c r="RZN1" i="10"/>
  <c r="RZM1" i="10"/>
  <c r="RZL1" i="10"/>
  <c r="RZK1" i="10"/>
  <c r="RZJ1" i="10"/>
  <c r="RZI1" i="10"/>
  <c r="RZH1" i="10"/>
  <c r="RZG1" i="10"/>
  <c r="RZF1" i="10"/>
  <c r="RZE1" i="10"/>
  <c r="RZD1" i="10"/>
  <c r="RZC1" i="10"/>
  <c r="RZB1" i="10"/>
  <c r="RZA1" i="10"/>
  <c r="RYZ1" i="10"/>
  <c r="RYY1" i="10"/>
  <c r="RYX1" i="10"/>
  <c r="RYW1" i="10"/>
  <c r="RYV1" i="10"/>
  <c r="RYU1" i="10"/>
  <c r="RYT1" i="10"/>
  <c r="RYS1" i="10"/>
  <c r="RYR1" i="10"/>
  <c r="RYQ1" i="10"/>
  <c r="RYP1" i="10"/>
  <c r="RYO1" i="10"/>
  <c r="RYN1" i="10"/>
  <c r="RYM1" i="10"/>
  <c r="RYL1" i="10"/>
  <c r="RYK1" i="10"/>
  <c r="RYJ1" i="10"/>
  <c r="RYI1" i="10"/>
  <c r="RYH1" i="10"/>
  <c r="RYG1" i="10"/>
  <c r="RYF1" i="10"/>
  <c r="RYE1" i="10"/>
  <c r="RYD1" i="10"/>
  <c r="RYC1" i="10"/>
  <c r="RYB1" i="10"/>
  <c r="RYA1" i="10"/>
  <c r="RXZ1" i="10"/>
  <c r="RXY1" i="10"/>
  <c r="RXX1" i="10"/>
  <c r="RXW1" i="10"/>
  <c r="RXV1" i="10"/>
  <c r="RXU1" i="10"/>
  <c r="RXT1" i="10"/>
  <c r="RXS1" i="10"/>
  <c r="RXR1" i="10"/>
  <c r="RXQ1" i="10"/>
  <c r="RXP1" i="10"/>
  <c r="RXO1" i="10"/>
  <c r="RXN1" i="10"/>
  <c r="RXM1" i="10"/>
  <c r="RXL1" i="10"/>
  <c r="RXK1" i="10"/>
  <c r="RXJ1" i="10"/>
  <c r="RXI1" i="10"/>
  <c r="RXH1" i="10"/>
  <c r="RXG1" i="10"/>
  <c r="RXF1" i="10"/>
  <c r="RXE1" i="10"/>
  <c r="RXD1" i="10"/>
  <c r="RXC1" i="10"/>
  <c r="RXB1" i="10"/>
  <c r="RXA1" i="10"/>
  <c r="RWZ1" i="10"/>
  <c r="RWY1" i="10"/>
  <c r="RWX1" i="10"/>
  <c r="RWW1" i="10"/>
  <c r="RWV1" i="10"/>
  <c r="RWU1" i="10"/>
  <c r="RWT1" i="10"/>
  <c r="RWS1" i="10"/>
  <c r="RWR1" i="10"/>
  <c r="RWQ1" i="10"/>
  <c r="RWP1" i="10"/>
  <c r="RWO1" i="10"/>
  <c r="RWN1" i="10"/>
  <c r="RWM1" i="10"/>
  <c r="RWL1" i="10"/>
  <c r="RWK1" i="10"/>
  <c r="RWJ1" i="10"/>
  <c r="RWI1" i="10"/>
  <c r="RWH1" i="10"/>
  <c r="RWG1" i="10"/>
  <c r="RWF1" i="10"/>
  <c r="RWE1" i="10"/>
  <c r="RWD1" i="10"/>
  <c r="RWC1" i="10"/>
  <c r="RWB1" i="10"/>
  <c r="RWA1" i="10"/>
  <c r="RVZ1" i="10"/>
  <c r="RVY1" i="10"/>
  <c r="RVX1" i="10"/>
  <c r="RVW1" i="10"/>
  <c r="RVV1" i="10"/>
  <c r="RVU1" i="10"/>
  <c r="RVT1" i="10"/>
  <c r="RVS1" i="10"/>
  <c r="RVR1" i="10"/>
  <c r="RVQ1" i="10"/>
  <c r="RVP1" i="10"/>
  <c r="RVO1" i="10"/>
  <c r="RVN1" i="10"/>
  <c r="RVM1" i="10"/>
  <c r="RVL1" i="10"/>
  <c r="RVK1" i="10"/>
  <c r="RVJ1" i="10"/>
  <c r="RVI1" i="10"/>
  <c r="RVH1" i="10"/>
  <c r="RVG1" i="10"/>
  <c r="RVF1" i="10"/>
  <c r="RVE1" i="10"/>
  <c r="RVD1" i="10"/>
  <c r="RVC1" i="10"/>
  <c r="RVB1" i="10"/>
  <c r="RVA1" i="10"/>
  <c r="RUZ1" i="10"/>
  <c r="RUY1" i="10"/>
  <c r="RUX1" i="10"/>
  <c r="RUW1" i="10"/>
  <c r="RUV1" i="10"/>
  <c r="RUU1" i="10"/>
  <c r="RUT1" i="10"/>
  <c r="RUS1" i="10"/>
  <c r="RUR1" i="10"/>
  <c r="RUQ1" i="10"/>
  <c r="RUP1" i="10"/>
  <c r="RUO1" i="10"/>
  <c r="RUN1" i="10"/>
  <c r="RUM1" i="10"/>
  <c r="RUL1" i="10"/>
  <c r="RUK1" i="10"/>
  <c r="RUJ1" i="10"/>
  <c r="RUI1" i="10"/>
  <c r="RUH1" i="10"/>
  <c r="RUG1" i="10"/>
  <c r="RUF1" i="10"/>
  <c r="RUE1" i="10"/>
  <c r="RUD1" i="10"/>
  <c r="RUC1" i="10"/>
  <c r="RUB1" i="10"/>
  <c r="RUA1" i="10"/>
  <c r="RTZ1" i="10"/>
  <c r="RTY1" i="10"/>
  <c r="RTX1" i="10"/>
  <c r="RTW1" i="10"/>
  <c r="RTV1" i="10"/>
  <c r="RTU1" i="10"/>
  <c r="RTT1" i="10"/>
  <c r="RTS1" i="10"/>
  <c r="RTR1" i="10"/>
  <c r="RTQ1" i="10"/>
  <c r="RTP1" i="10"/>
  <c r="RTO1" i="10"/>
  <c r="RTN1" i="10"/>
  <c r="RTM1" i="10"/>
  <c r="RTL1" i="10"/>
  <c r="RTK1" i="10"/>
  <c r="RTJ1" i="10"/>
  <c r="RTI1" i="10"/>
  <c r="RTH1" i="10"/>
  <c r="RTG1" i="10"/>
  <c r="RTF1" i="10"/>
  <c r="RTE1" i="10"/>
  <c r="RTD1" i="10"/>
  <c r="RTC1" i="10"/>
  <c r="RTB1" i="10"/>
  <c r="RTA1" i="10"/>
  <c r="RSZ1" i="10"/>
  <c r="RSY1" i="10"/>
  <c r="RSX1" i="10"/>
  <c r="RSW1" i="10"/>
  <c r="RSV1" i="10"/>
  <c r="RSU1" i="10"/>
  <c r="RST1" i="10"/>
  <c r="RSS1" i="10"/>
  <c r="RSR1" i="10"/>
  <c r="RSQ1" i="10"/>
  <c r="RSP1" i="10"/>
  <c r="RSO1" i="10"/>
  <c r="RSN1" i="10"/>
  <c r="RSM1" i="10"/>
  <c r="RSL1" i="10"/>
  <c r="RSK1" i="10"/>
  <c r="RSJ1" i="10"/>
  <c r="RSI1" i="10"/>
  <c r="RSH1" i="10"/>
  <c r="RSG1" i="10"/>
  <c r="RSF1" i="10"/>
  <c r="RSE1" i="10"/>
  <c r="RSD1" i="10"/>
  <c r="RSC1" i="10"/>
  <c r="RSB1" i="10"/>
  <c r="RSA1" i="10"/>
  <c r="RRZ1" i="10"/>
  <c r="RRY1" i="10"/>
  <c r="RRX1" i="10"/>
  <c r="RRW1" i="10"/>
  <c r="RRV1" i="10"/>
  <c r="RRU1" i="10"/>
  <c r="RRT1" i="10"/>
  <c r="RRS1" i="10"/>
  <c r="RRR1" i="10"/>
  <c r="RRQ1" i="10"/>
  <c r="RRP1" i="10"/>
  <c r="RRO1" i="10"/>
  <c r="RRN1" i="10"/>
  <c r="RRM1" i="10"/>
  <c r="RRL1" i="10"/>
  <c r="RRK1" i="10"/>
  <c r="RRJ1" i="10"/>
  <c r="RRI1" i="10"/>
  <c r="RRH1" i="10"/>
  <c r="RRG1" i="10"/>
  <c r="RRF1" i="10"/>
  <c r="RRE1" i="10"/>
  <c r="RRD1" i="10"/>
  <c r="RRC1" i="10"/>
  <c r="RRB1" i="10"/>
  <c r="RRA1" i="10"/>
  <c r="RQZ1" i="10"/>
  <c r="RQY1" i="10"/>
  <c r="RQX1" i="10"/>
  <c r="RQW1" i="10"/>
  <c r="RQV1" i="10"/>
  <c r="RQU1" i="10"/>
  <c r="RQT1" i="10"/>
  <c r="RQS1" i="10"/>
  <c r="RQR1" i="10"/>
  <c r="RQQ1" i="10"/>
  <c r="RQP1" i="10"/>
  <c r="RQO1" i="10"/>
  <c r="RQN1" i="10"/>
  <c r="RQM1" i="10"/>
  <c r="RQL1" i="10"/>
  <c r="RQK1" i="10"/>
  <c r="RQJ1" i="10"/>
  <c r="RQI1" i="10"/>
  <c r="RQH1" i="10"/>
  <c r="RQG1" i="10"/>
  <c r="RQF1" i="10"/>
  <c r="RQE1" i="10"/>
  <c r="RQD1" i="10"/>
  <c r="RQC1" i="10"/>
  <c r="RQB1" i="10"/>
  <c r="RQA1" i="10"/>
  <c r="RPZ1" i="10"/>
  <c r="RPY1" i="10"/>
  <c r="RPX1" i="10"/>
  <c r="RPW1" i="10"/>
  <c r="RPV1" i="10"/>
  <c r="RPU1" i="10"/>
  <c r="RPT1" i="10"/>
  <c r="RPS1" i="10"/>
  <c r="RPR1" i="10"/>
  <c r="RPQ1" i="10"/>
  <c r="RPP1" i="10"/>
  <c r="RPO1" i="10"/>
  <c r="RPN1" i="10"/>
  <c r="RPM1" i="10"/>
  <c r="RPL1" i="10"/>
  <c r="RPK1" i="10"/>
  <c r="RPJ1" i="10"/>
  <c r="RPI1" i="10"/>
  <c r="RPH1" i="10"/>
  <c r="RPG1" i="10"/>
  <c r="RPF1" i="10"/>
  <c r="RPE1" i="10"/>
  <c r="RPD1" i="10"/>
  <c r="RPC1" i="10"/>
  <c r="RPB1" i="10"/>
  <c r="RPA1" i="10"/>
  <c r="ROZ1" i="10"/>
  <c r="ROY1" i="10"/>
  <c r="ROX1" i="10"/>
  <c r="ROW1" i="10"/>
  <c r="ROV1" i="10"/>
  <c r="ROU1" i="10"/>
  <c r="ROT1" i="10"/>
  <c r="ROS1" i="10"/>
  <c r="ROR1" i="10"/>
  <c r="ROQ1" i="10"/>
  <c r="ROP1" i="10"/>
  <c r="ROO1" i="10"/>
  <c r="RON1" i="10"/>
  <c r="ROM1" i="10"/>
  <c r="ROL1" i="10"/>
  <c r="ROK1" i="10"/>
  <c r="ROJ1" i="10"/>
  <c r="ROI1" i="10"/>
  <c r="ROH1" i="10"/>
  <c r="ROG1" i="10"/>
  <c r="ROF1" i="10"/>
  <c r="ROE1" i="10"/>
  <c r="ROD1" i="10"/>
  <c r="ROC1" i="10"/>
  <c r="ROB1" i="10"/>
  <c r="ROA1" i="10"/>
  <c r="RNZ1" i="10"/>
  <c r="RNY1" i="10"/>
  <c r="RNX1" i="10"/>
  <c r="RNW1" i="10"/>
  <c r="RNV1" i="10"/>
  <c r="RNU1" i="10"/>
  <c r="RNT1" i="10"/>
  <c r="RNS1" i="10"/>
  <c r="RNR1" i="10"/>
  <c r="RNQ1" i="10"/>
  <c r="RNP1" i="10"/>
  <c r="RNO1" i="10"/>
  <c r="RNN1" i="10"/>
  <c r="RNM1" i="10"/>
  <c r="RNL1" i="10"/>
  <c r="RNK1" i="10"/>
  <c r="RNJ1" i="10"/>
  <c r="RNI1" i="10"/>
  <c r="RNH1" i="10"/>
  <c r="RNG1" i="10"/>
  <c r="RNF1" i="10"/>
  <c r="RNE1" i="10"/>
  <c r="RND1" i="10"/>
  <c r="RNC1" i="10"/>
  <c r="RNB1" i="10"/>
  <c r="RNA1" i="10"/>
  <c r="RMZ1" i="10"/>
  <c r="RMY1" i="10"/>
  <c r="RMX1" i="10"/>
  <c r="RMW1" i="10"/>
  <c r="RMV1" i="10"/>
  <c r="RMU1" i="10"/>
  <c r="RMT1" i="10"/>
  <c r="RMS1" i="10"/>
  <c r="RMR1" i="10"/>
  <c r="RMQ1" i="10"/>
  <c r="RMP1" i="10"/>
  <c r="RMO1" i="10"/>
  <c r="RMN1" i="10"/>
  <c r="RMM1" i="10"/>
  <c r="RML1" i="10"/>
  <c r="RMK1" i="10"/>
  <c r="RMJ1" i="10"/>
  <c r="RMI1" i="10"/>
  <c r="RMH1" i="10"/>
  <c r="RMG1" i="10"/>
  <c r="RMF1" i="10"/>
  <c r="RME1" i="10"/>
  <c r="RMD1" i="10"/>
  <c r="RMC1" i="10"/>
  <c r="RMB1" i="10"/>
  <c r="RMA1" i="10"/>
  <c r="RLZ1" i="10"/>
  <c r="RLY1" i="10"/>
  <c r="RLX1" i="10"/>
  <c r="RLW1" i="10"/>
  <c r="RLV1" i="10"/>
  <c r="RLU1" i="10"/>
  <c r="RLT1" i="10"/>
  <c r="RLS1" i="10"/>
  <c r="RLR1" i="10"/>
  <c r="RLQ1" i="10"/>
  <c r="RLP1" i="10"/>
  <c r="RLO1" i="10"/>
  <c r="RLN1" i="10"/>
  <c r="RLM1" i="10"/>
  <c r="RLL1" i="10"/>
  <c r="RLK1" i="10"/>
  <c r="RLJ1" i="10"/>
  <c r="RLI1" i="10"/>
  <c r="RLH1" i="10"/>
  <c r="RLG1" i="10"/>
  <c r="RLF1" i="10"/>
  <c r="RLE1" i="10"/>
  <c r="RLD1" i="10"/>
  <c r="RLC1" i="10"/>
  <c r="RLB1" i="10"/>
  <c r="RLA1" i="10"/>
  <c r="RKZ1" i="10"/>
  <c r="RKY1" i="10"/>
  <c r="RKX1" i="10"/>
  <c r="RKW1" i="10"/>
  <c r="RKV1" i="10"/>
  <c r="RKU1" i="10"/>
  <c r="RKT1" i="10"/>
  <c r="RKS1" i="10"/>
  <c r="RKR1" i="10"/>
  <c r="RKQ1" i="10"/>
  <c r="RKP1" i="10"/>
  <c r="RKO1" i="10"/>
  <c r="RKN1" i="10"/>
  <c r="RKM1" i="10"/>
  <c r="RKL1" i="10"/>
  <c r="RKK1" i="10"/>
  <c r="RKJ1" i="10"/>
  <c r="RKI1" i="10"/>
  <c r="RKH1" i="10"/>
  <c r="RKG1" i="10"/>
  <c r="RKF1" i="10"/>
  <c r="RKE1" i="10"/>
  <c r="RKD1" i="10"/>
  <c r="RKC1" i="10"/>
  <c r="RKB1" i="10"/>
  <c r="RKA1" i="10"/>
  <c r="RJZ1" i="10"/>
  <c r="RJY1" i="10"/>
  <c r="RJX1" i="10"/>
  <c r="RJW1" i="10"/>
  <c r="RJV1" i="10"/>
  <c r="RJU1" i="10"/>
  <c r="RJT1" i="10"/>
  <c r="RJS1" i="10"/>
  <c r="RJR1" i="10"/>
  <c r="RJQ1" i="10"/>
  <c r="RJP1" i="10"/>
  <c r="RJO1" i="10"/>
  <c r="RJN1" i="10"/>
  <c r="RJM1" i="10"/>
  <c r="RJL1" i="10"/>
  <c r="RJK1" i="10"/>
  <c r="RJJ1" i="10"/>
  <c r="RJI1" i="10"/>
  <c r="RJH1" i="10"/>
  <c r="RJG1" i="10"/>
  <c r="RJF1" i="10"/>
  <c r="RJE1" i="10"/>
  <c r="RJD1" i="10"/>
  <c r="RJC1" i="10"/>
  <c r="RJB1" i="10"/>
  <c r="RJA1" i="10"/>
  <c r="RIZ1" i="10"/>
  <c r="RIY1" i="10"/>
  <c r="RIX1" i="10"/>
  <c r="RIW1" i="10"/>
  <c r="RIV1" i="10"/>
  <c r="RIU1" i="10"/>
  <c r="RIT1" i="10"/>
  <c r="RIS1" i="10"/>
  <c r="RIR1" i="10"/>
  <c r="RIQ1" i="10"/>
  <c r="RIP1" i="10"/>
  <c r="RIO1" i="10"/>
  <c r="RIN1" i="10"/>
  <c r="RIM1" i="10"/>
  <c r="RIL1" i="10"/>
  <c r="RIK1" i="10"/>
  <c r="RIJ1" i="10"/>
  <c r="RII1" i="10"/>
  <c r="RIH1" i="10"/>
  <c r="RIG1" i="10"/>
  <c r="RIF1" i="10"/>
  <c r="RIE1" i="10"/>
  <c r="RID1" i="10"/>
  <c r="RIC1" i="10"/>
  <c r="RIB1" i="10"/>
  <c r="RIA1" i="10"/>
  <c r="RHZ1" i="10"/>
  <c r="RHY1" i="10"/>
  <c r="RHX1" i="10"/>
  <c r="RHW1" i="10"/>
  <c r="RHV1" i="10"/>
  <c r="RHU1" i="10"/>
  <c r="RHT1" i="10"/>
  <c r="RHS1" i="10"/>
  <c r="RHR1" i="10"/>
  <c r="RHQ1" i="10"/>
  <c r="RHP1" i="10"/>
  <c r="RHO1" i="10"/>
  <c r="RHN1" i="10"/>
  <c r="RHM1" i="10"/>
  <c r="RHL1" i="10"/>
  <c r="RHK1" i="10"/>
  <c r="RHJ1" i="10"/>
  <c r="RHI1" i="10"/>
  <c r="RHH1" i="10"/>
  <c r="RHG1" i="10"/>
  <c r="RHF1" i="10"/>
  <c r="RHE1" i="10"/>
  <c r="RHD1" i="10"/>
  <c r="RHC1" i="10"/>
  <c r="RHB1" i="10"/>
  <c r="RHA1" i="10"/>
  <c r="RGZ1" i="10"/>
  <c r="RGY1" i="10"/>
  <c r="RGX1" i="10"/>
  <c r="RGW1" i="10"/>
  <c r="RGV1" i="10"/>
  <c r="RGU1" i="10"/>
  <c r="RGT1" i="10"/>
  <c r="RGS1" i="10"/>
  <c r="RGR1" i="10"/>
  <c r="RGQ1" i="10"/>
  <c r="RGP1" i="10"/>
  <c r="RGO1" i="10"/>
  <c r="RGN1" i="10"/>
  <c r="RGM1" i="10"/>
  <c r="RGL1" i="10"/>
  <c r="RGK1" i="10"/>
  <c r="RGJ1" i="10"/>
  <c r="RGI1" i="10"/>
  <c r="RGH1" i="10"/>
  <c r="RGG1" i="10"/>
  <c r="RGF1" i="10"/>
  <c r="RGE1" i="10"/>
  <c r="RGD1" i="10"/>
  <c r="RGC1" i="10"/>
  <c r="RGB1" i="10"/>
  <c r="RGA1" i="10"/>
  <c r="RFZ1" i="10"/>
  <c r="RFY1" i="10"/>
  <c r="RFX1" i="10"/>
  <c r="RFW1" i="10"/>
  <c r="RFV1" i="10"/>
  <c r="RFU1" i="10"/>
  <c r="RFT1" i="10"/>
  <c r="RFS1" i="10"/>
  <c r="RFR1" i="10"/>
  <c r="RFQ1" i="10"/>
  <c r="RFP1" i="10"/>
  <c r="RFO1" i="10"/>
  <c r="RFN1" i="10"/>
  <c r="RFM1" i="10"/>
  <c r="RFL1" i="10"/>
  <c r="RFK1" i="10"/>
  <c r="RFJ1" i="10"/>
  <c r="RFI1" i="10"/>
  <c r="RFH1" i="10"/>
  <c r="RFG1" i="10"/>
  <c r="RFF1" i="10"/>
  <c r="RFE1" i="10"/>
  <c r="RFD1" i="10"/>
  <c r="RFC1" i="10"/>
  <c r="RFB1" i="10"/>
  <c r="RFA1" i="10"/>
  <c r="REZ1" i="10"/>
  <c r="REY1" i="10"/>
  <c r="REX1" i="10"/>
  <c r="REW1" i="10"/>
  <c r="REV1" i="10"/>
  <c r="REU1" i="10"/>
  <c r="RET1" i="10"/>
  <c r="RES1" i="10"/>
  <c r="RER1" i="10"/>
  <c r="REQ1" i="10"/>
  <c r="REP1" i="10"/>
  <c r="REO1" i="10"/>
  <c r="REN1" i="10"/>
  <c r="REM1" i="10"/>
  <c r="REL1" i="10"/>
  <c r="REK1" i="10"/>
  <c r="REJ1" i="10"/>
  <c r="REI1" i="10"/>
  <c r="REH1" i="10"/>
  <c r="REG1" i="10"/>
  <c r="REF1" i="10"/>
  <c r="REE1" i="10"/>
  <c r="RED1" i="10"/>
  <c r="REC1" i="10"/>
  <c r="REB1" i="10"/>
  <c r="REA1" i="10"/>
  <c r="RDZ1" i="10"/>
  <c r="RDY1" i="10"/>
  <c r="RDX1" i="10"/>
  <c r="RDW1" i="10"/>
  <c r="RDV1" i="10"/>
  <c r="RDU1" i="10"/>
  <c r="RDT1" i="10"/>
  <c r="RDS1" i="10"/>
  <c r="RDR1" i="10"/>
  <c r="RDQ1" i="10"/>
  <c r="RDP1" i="10"/>
  <c r="RDO1" i="10"/>
  <c r="RDN1" i="10"/>
  <c r="RDM1" i="10"/>
  <c r="RDL1" i="10"/>
  <c r="RDK1" i="10"/>
  <c r="RDJ1" i="10"/>
  <c r="RDI1" i="10"/>
  <c r="RDH1" i="10"/>
  <c r="RDG1" i="10"/>
  <c r="RDF1" i="10"/>
  <c r="RDE1" i="10"/>
  <c r="RDD1" i="10"/>
  <c r="RDC1" i="10"/>
  <c r="RDB1" i="10"/>
  <c r="RDA1" i="10"/>
  <c r="RCZ1" i="10"/>
  <c r="RCY1" i="10"/>
  <c r="RCX1" i="10"/>
  <c r="RCW1" i="10"/>
  <c r="RCV1" i="10"/>
  <c r="RCU1" i="10"/>
  <c r="RCT1" i="10"/>
  <c r="RCS1" i="10"/>
  <c r="RCR1" i="10"/>
  <c r="RCQ1" i="10"/>
  <c r="RCP1" i="10"/>
  <c r="RCO1" i="10"/>
  <c r="RCN1" i="10"/>
  <c r="RCM1" i="10"/>
  <c r="RCL1" i="10"/>
  <c r="RCK1" i="10"/>
  <c r="RCJ1" i="10"/>
  <c r="RCI1" i="10"/>
  <c r="RCH1" i="10"/>
  <c r="RCG1" i="10"/>
  <c r="RCF1" i="10"/>
  <c r="RCE1" i="10"/>
  <c r="RCD1" i="10"/>
  <c r="RCC1" i="10"/>
  <c r="RCB1" i="10"/>
  <c r="RCA1" i="10"/>
  <c r="RBZ1" i="10"/>
  <c r="RBY1" i="10"/>
  <c r="RBX1" i="10"/>
  <c r="RBW1" i="10"/>
  <c r="RBV1" i="10"/>
  <c r="RBU1" i="10"/>
  <c r="RBT1" i="10"/>
  <c r="RBS1" i="10"/>
  <c r="RBR1" i="10"/>
  <c r="RBQ1" i="10"/>
  <c r="RBP1" i="10"/>
  <c r="RBO1" i="10"/>
  <c r="RBN1" i="10"/>
  <c r="RBM1" i="10"/>
  <c r="RBL1" i="10"/>
  <c r="RBK1" i="10"/>
  <c r="RBJ1" i="10"/>
  <c r="RBI1" i="10"/>
  <c r="RBH1" i="10"/>
  <c r="RBG1" i="10"/>
  <c r="RBF1" i="10"/>
  <c r="RBE1" i="10"/>
  <c r="RBD1" i="10"/>
  <c r="RBC1" i="10"/>
  <c r="RBB1" i="10"/>
  <c r="RBA1" i="10"/>
  <c r="RAZ1" i="10"/>
  <c r="RAY1" i="10"/>
  <c r="RAX1" i="10"/>
  <c r="RAW1" i="10"/>
  <c r="RAV1" i="10"/>
  <c r="RAU1" i="10"/>
  <c r="RAT1" i="10"/>
  <c r="RAS1" i="10"/>
  <c r="RAR1" i="10"/>
  <c r="RAQ1" i="10"/>
  <c r="RAP1" i="10"/>
  <c r="RAO1" i="10"/>
  <c r="RAN1" i="10"/>
  <c r="RAM1" i="10"/>
  <c r="RAL1" i="10"/>
  <c r="RAK1" i="10"/>
  <c r="RAJ1" i="10"/>
  <c r="RAI1" i="10"/>
  <c r="RAH1" i="10"/>
  <c r="RAG1" i="10"/>
  <c r="RAF1" i="10"/>
  <c r="RAE1" i="10"/>
  <c r="RAD1" i="10"/>
  <c r="RAC1" i="10"/>
  <c r="RAB1" i="10"/>
  <c r="RAA1" i="10"/>
  <c r="QZZ1" i="10"/>
  <c r="QZY1" i="10"/>
  <c r="QZX1" i="10"/>
  <c r="QZW1" i="10"/>
  <c r="QZV1" i="10"/>
  <c r="QZU1" i="10"/>
  <c r="QZT1" i="10"/>
  <c r="QZS1" i="10"/>
  <c r="QZR1" i="10"/>
  <c r="QZQ1" i="10"/>
  <c r="QZP1" i="10"/>
  <c r="QZO1" i="10"/>
  <c r="QZN1" i="10"/>
  <c r="QZM1" i="10"/>
  <c r="QZL1" i="10"/>
  <c r="QZK1" i="10"/>
  <c r="QZJ1" i="10"/>
  <c r="QZI1" i="10"/>
  <c r="QZH1" i="10"/>
  <c r="QZG1" i="10"/>
  <c r="QZF1" i="10"/>
  <c r="QZE1" i="10"/>
  <c r="QZD1" i="10"/>
  <c r="QZC1" i="10"/>
  <c r="QZB1" i="10"/>
  <c r="QZA1" i="10"/>
  <c r="QYZ1" i="10"/>
  <c r="QYY1" i="10"/>
  <c r="QYX1" i="10"/>
  <c r="QYW1" i="10"/>
  <c r="QYV1" i="10"/>
  <c r="QYU1" i="10"/>
  <c r="QYT1" i="10"/>
  <c r="QYS1" i="10"/>
  <c r="QYR1" i="10"/>
  <c r="QYQ1" i="10"/>
  <c r="QYP1" i="10"/>
  <c r="QYO1" i="10"/>
  <c r="QYN1" i="10"/>
  <c r="QYM1" i="10"/>
  <c r="QYL1" i="10"/>
  <c r="QYK1" i="10"/>
  <c r="QYJ1" i="10"/>
  <c r="QYI1" i="10"/>
  <c r="QYH1" i="10"/>
  <c r="QYG1" i="10"/>
  <c r="QYF1" i="10"/>
  <c r="QYE1" i="10"/>
  <c r="QYD1" i="10"/>
  <c r="QYC1" i="10"/>
  <c r="QYB1" i="10"/>
  <c r="QYA1" i="10"/>
  <c r="QXZ1" i="10"/>
  <c r="QXY1" i="10"/>
  <c r="QXX1" i="10"/>
  <c r="QXW1" i="10"/>
  <c r="QXV1" i="10"/>
  <c r="QXU1" i="10"/>
  <c r="QXT1" i="10"/>
  <c r="QXS1" i="10"/>
  <c r="QXR1" i="10"/>
  <c r="QXQ1" i="10"/>
  <c r="QXP1" i="10"/>
  <c r="QXO1" i="10"/>
  <c r="QXN1" i="10"/>
  <c r="QXM1" i="10"/>
  <c r="QXL1" i="10"/>
  <c r="QXK1" i="10"/>
  <c r="QXJ1" i="10"/>
  <c r="QXI1" i="10"/>
  <c r="QXH1" i="10"/>
  <c r="QXG1" i="10"/>
  <c r="QXF1" i="10"/>
  <c r="QXE1" i="10"/>
  <c r="QXD1" i="10"/>
  <c r="QXC1" i="10"/>
  <c r="QXB1" i="10"/>
  <c r="QXA1" i="10"/>
  <c r="QWZ1" i="10"/>
  <c r="QWY1" i="10"/>
  <c r="QWX1" i="10"/>
  <c r="QWW1" i="10"/>
  <c r="QWV1" i="10"/>
  <c r="QWU1" i="10"/>
  <c r="QWT1" i="10"/>
  <c r="QWS1" i="10"/>
  <c r="QWR1" i="10"/>
  <c r="QWQ1" i="10"/>
  <c r="QWP1" i="10"/>
  <c r="QWO1" i="10"/>
  <c r="QWN1" i="10"/>
  <c r="QWM1" i="10"/>
  <c r="QWL1" i="10"/>
  <c r="QWK1" i="10"/>
  <c r="QWJ1" i="10"/>
  <c r="QWI1" i="10"/>
  <c r="QWH1" i="10"/>
  <c r="QWG1" i="10"/>
  <c r="QWF1" i="10"/>
  <c r="QWE1" i="10"/>
  <c r="QWD1" i="10"/>
  <c r="QWC1" i="10"/>
  <c r="QWB1" i="10"/>
  <c r="QWA1" i="10"/>
  <c r="QVZ1" i="10"/>
  <c r="QVY1" i="10"/>
  <c r="QVX1" i="10"/>
  <c r="QVW1" i="10"/>
  <c r="QVV1" i="10"/>
  <c r="QVU1" i="10"/>
  <c r="QVT1" i="10"/>
  <c r="QVS1" i="10"/>
  <c r="QVR1" i="10"/>
  <c r="QVQ1" i="10"/>
  <c r="QVP1" i="10"/>
  <c r="QVO1" i="10"/>
  <c r="QVN1" i="10"/>
  <c r="QVM1" i="10"/>
  <c r="QVL1" i="10"/>
  <c r="QVK1" i="10"/>
  <c r="QVJ1" i="10"/>
  <c r="QVI1" i="10"/>
  <c r="QVH1" i="10"/>
  <c r="QVG1" i="10"/>
  <c r="QVF1" i="10"/>
  <c r="QVE1" i="10"/>
  <c r="QVD1" i="10"/>
  <c r="QVC1" i="10"/>
  <c r="QVB1" i="10"/>
  <c r="QVA1" i="10"/>
  <c r="QUZ1" i="10"/>
  <c r="QUY1" i="10"/>
  <c r="QUX1" i="10"/>
  <c r="QUW1" i="10"/>
  <c r="QUV1" i="10"/>
  <c r="QUU1" i="10"/>
  <c r="QUT1" i="10"/>
  <c r="QUS1" i="10"/>
  <c r="QUR1" i="10"/>
  <c r="QUQ1" i="10"/>
  <c r="QUP1" i="10"/>
  <c r="QUO1" i="10"/>
  <c r="QUN1" i="10"/>
  <c r="QUM1" i="10"/>
  <c r="QUL1" i="10"/>
  <c r="QUK1" i="10"/>
  <c r="QUJ1" i="10"/>
  <c r="QUI1" i="10"/>
  <c r="QUH1" i="10"/>
  <c r="QUG1" i="10"/>
  <c r="QUF1" i="10"/>
  <c r="QUE1" i="10"/>
  <c r="QUD1" i="10"/>
  <c r="QUC1" i="10"/>
  <c r="QUB1" i="10"/>
  <c r="QUA1" i="10"/>
  <c r="QTZ1" i="10"/>
  <c r="QTY1" i="10"/>
  <c r="QTX1" i="10"/>
  <c r="QTW1" i="10"/>
  <c r="QTV1" i="10"/>
  <c r="QTU1" i="10"/>
  <c r="QTT1" i="10"/>
  <c r="QTS1" i="10"/>
  <c r="QTR1" i="10"/>
  <c r="QTQ1" i="10"/>
  <c r="QTP1" i="10"/>
  <c r="QTO1" i="10"/>
  <c r="QTN1" i="10"/>
  <c r="QTM1" i="10"/>
  <c r="QTL1" i="10"/>
  <c r="QTK1" i="10"/>
  <c r="QTJ1" i="10"/>
  <c r="QTI1" i="10"/>
  <c r="QTH1" i="10"/>
  <c r="QTG1" i="10"/>
  <c r="QTF1" i="10"/>
  <c r="QTE1" i="10"/>
  <c r="QTD1" i="10"/>
  <c r="QTC1" i="10"/>
  <c r="QTB1" i="10"/>
  <c r="QTA1" i="10"/>
  <c r="QSZ1" i="10"/>
  <c r="QSY1" i="10"/>
  <c r="QSX1" i="10"/>
  <c r="QSW1" i="10"/>
  <c r="QSV1" i="10"/>
  <c r="QSU1" i="10"/>
  <c r="QST1" i="10"/>
  <c r="QSS1" i="10"/>
  <c r="QSR1" i="10"/>
  <c r="QSQ1" i="10"/>
  <c r="QSP1" i="10"/>
  <c r="QSO1" i="10"/>
  <c r="QSN1" i="10"/>
  <c r="QSM1" i="10"/>
  <c r="QSL1" i="10"/>
  <c r="QSK1" i="10"/>
  <c r="QSJ1" i="10"/>
  <c r="QSI1" i="10"/>
  <c r="QSH1" i="10"/>
  <c r="QSG1" i="10"/>
  <c r="QSF1" i="10"/>
  <c r="QSE1" i="10"/>
  <c r="QSD1" i="10"/>
  <c r="QSC1" i="10"/>
  <c r="QSB1" i="10"/>
  <c r="QSA1" i="10"/>
  <c r="QRZ1" i="10"/>
  <c r="QRY1" i="10"/>
  <c r="QRX1" i="10"/>
  <c r="QRW1" i="10"/>
  <c r="QRV1" i="10"/>
  <c r="QRU1" i="10"/>
  <c r="QRT1" i="10"/>
  <c r="QRS1" i="10"/>
  <c r="QRR1" i="10"/>
  <c r="QRQ1" i="10"/>
  <c r="QRP1" i="10"/>
  <c r="QRO1" i="10"/>
  <c r="QRN1" i="10"/>
  <c r="QRM1" i="10"/>
  <c r="QRL1" i="10"/>
  <c r="QRK1" i="10"/>
  <c r="QRJ1" i="10"/>
  <c r="QRI1" i="10"/>
  <c r="QRH1" i="10"/>
  <c r="QRG1" i="10"/>
  <c r="QRF1" i="10"/>
  <c r="QRE1" i="10"/>
  <c r="QRD1" i="10"/>
  <c r="QRC1" i="10"/>
  <c r="QRB1" i="10"/>
  <c r="QRA1" i="10"/>
  <c r="QQZ1" i="10"/>
  <c r="QQY1" i="10"/>
  <c r="QQX1" i="10"/>
  <c r="QQW1" i="10"/>
  <c r="QQV1" i="10"/>
  <c r="QQU1" i="10"/>
  <c r="QQT1" i="10"/>
  <c r="QQS1" i="10"/>
  <c r="QQR1" i="10"/>
  <c r="QQQ1" i="10"/>
  <c r="QQP1" i="10"/>
  <c r="QQO1" i="10"/>
  <c r="QQN1" i="10"/>
  <c r="QQM1" i="10"/>
  <c r="QQL1" i="10"/>
  <c r="QQK1" i="10"/>
  <c r="QQJ1" i="10"/>
  <c r="QQI1" i="10"/>
  <c r="QQH1" i="10"/>
  <c r="QQG1" i="10"/>
  <c r="QQF1" i="10"/>
  <c r="QQE1" i="10"/>
  <c r="QQD1" i="10"/>
  <c r="QQC1" i="10"/>
  <c r="QQB1" i="10"/>
  <c r="QQA1" i="10"/>
  <c r="QPZ1" i="10"/>
  <c r="QPY1" i="10"/>
  <c r="QPX1" i="10"/>
  <c r="QPW1" i="10"/>
  <c r="QPV1" i="10"/>
  <c r="QPU1" i="10"/>
  <c r="QPT1" i="10"/>
  <c r="QPS1" i="10"/>
  <c r="QPR1" i="10"/>
  <c r="QPQ1" i="10"/>
  <c r="QPP1" i="10"/>
  <c r="QPO1" i="10"/>
  <c r="QPN1" i="10"/>
  <c r="QPM1" i="10"/>
  <c r="QPL1" i="10"/>
  <c r="QPK1" i="10"/>
  <c r="QPJ1" i="10"/>
  <c r="QPI1" i="10"/>
  <c r="QPH1" i="10"/>
  <c r="QPG1" i="10"/>
  <c r="QPF1" i="10"/>
  <c r="QPE1" i="10"/>
  <c r="QPD1" i="10"/>
  <c r="QPC1" i="10"/>
  <c r="QPB1" i="10"/>
  <c r="QPA1" i="10"/>
  <c r="QOZ1" i="10"/>
  <c r="QOY1" i="10"/>
  <c r="QOX1" i="10"/>
  <c r="QOW1" i="10"/>
  <c r="QOV1" i="10"/>
  <c r="QOU1" i="10"/>
  <c r="QOT1" i="10"/>
  <c r="QOS1" i="10"/>
  <c r="QOR1" i="10"/>
  <c r="QOQ1" i="10"/>
  <c r="QOP1" i="10"/>
  <c r="QOO1" i="10"/>
  <c r="QON1" i="10"/>
  <c r="QOM1" i="10"/>
  <c r="QOL1" i="10"/>
  <c r="QOK1" i="10"/>
  <c r="QOJ1" i="10"/>
  <c r="QOI1" i="10"/>
  <c r="QOH1" i="10"/>
  <c r="QOG1" i="10"/>
  <c r="QOF1" i="10"/>
  <c r="QOE1" i="10"/>
  <c r="QOD1" i="10"/>
  <c r="QOC1" i="10"/>
  <c r="QOB1" i="10"/>
  <c r="QOA1" i="10"/>
  <c r="QNZ1" i="10"/>
  <c r="QNY1" i="10"/>
  <c r="QNX1" i="10"/>
  <c r="QNW1" i="10"/>
  <c r="QNV1" i="10"/>
  <c r="QNU1" i="10"/>
  <c r="QNT1" i="10"/>
  <c r="QNS1" i="10"/>
  <c r="QNR1" i="10"/>
  <c r="QNQ1" i="10"/>
  <c r="QNP1" i="10"/>
  <c r="QNO1" i="10"/>
  <c r="QNN1" i="10"/>
  <c r="QNM1" i="10"/>
  <c r="QNL1" i="10"/>
  <c r="QNK1" i="10"/>
  <c r="QNJ1" i="10"/>
  <c r="QNI1" i="10"/>
  <c r="QNH1" i="10"/>
  <c r="QNG1" i="10"/>
  <c r="QNF1" i="10"/>
  <c r="QNE1" i="10"/>
  <c r="QND1" i="10"/>
  <c r="QNC1" i="10"/>
  <c r="QNB1" i="10"/>
  <c r="QNA1" i="10"/>
  <c r="QMZ1" i="10"/>
  <c r="QMY1" i="10"/>
  <c r="QMX1" i="10"/>
  <c r="QMW1" i="10"/>
  <c r="QMV1" i="10"/>
  <c r="QMU1" i="10"/>
  <c r="QMT1" i="10"/>
  <c r="QMS1" i="10"/>
  <c r="QMR1" i="10"/>
  <c r="QMQ1" i="10"/>
  <c r="QMP1" i="10"/>
  <c r="QMO1" i="10"/>
  <c r="QMN1" i="10"/>
  <c r="QMM1" i="10"/>
  <c r="QML1" i="10"/>
  <c r="QMK1" i="10"/>
  <c r="QMJ1" i="10"/>
  <c r="QMI1" i="10"/>
  <c r="QMH1" i="10"/>
  <c r="QMG1" i="10"/>
  <c r="QMF1" i="10"/>
  <c r="QME1" i="10"/>
  <c r="QMD1" i="10"/>
  <c r="QMC1" i="10"/>
  <c r="QMB1" i="10"/>
  <c r="QMA1" i="10"/>
  <c r="QLZ1" i="10"/>
  <c r="QLY1" i="10"/>
  <c r="QLX1" i="10"/>
  <c r="QLW1" i="10"/>
  <c r="QLV1" i="10"/>
  <c r="QLU1" i="10"/>
  <c r="QLT1" i="10"/>
  <c r="QLS1" i="10"/>
  <c r="QLR1" i="10"/>
  <c r="QLQ1" i="10"/>
  <c r="QLP1" i="10"/>
  <c r="QLO1" i="10"/>
  <c r="QLN1" i="10"/>
  <c r="QLM1" i="10"/>
  <c r="QLL1" i="10"/>
  <c r="QLK1" i="10"/>
  <c r="QLJ1" i="10"/>
  <c r="QLI1" i="10"/>
  <c r="QLH1" i="10"/>
  <c r="QLG1" i="10"/>
  <c r="QLF1" i="10"/>
  <c r="QLE1" i="10"/>
  <c r="QLD1" i="10"/>
  <c r="QLC1" i="10"/>
  <c r="QLB1" i="10"/>
  <c r="QLA1" i="10"/>
  <c r="QKZ1" i="10"/>
  <c r="QKY1" i="10"/>
  <c r="QKX1" i="10"/>
  <c r="QKW1" i="10"/>
  <c r="QKV1" i="10"/>
  <c r="QKU1" i="10"/>
  <c r="QKT1" i="10"/>
  <c r="QKS1" i="10"/>
  <c r="QKR1" i="10"/>
  <c r="QKQ1" i="10"/>
  <c r="QKP1" i="10"/>
  <c r="QKO1" i="10"/>
  <c r="QKN1" i="10"/>
  <c r="QKM1" i="10"/>
  <c r="QKL1" i="10"/>
  <c r="QKK1" i="10"/>
  <c r="QKJ1" i="10"/>
  <c r="QKI1" i="10"/>
  <c r="QKH1" i="10"/>
  <c r="QKG1" i="10"/>
  <c r="QKF1" i="10"/>
  <c r="QKE1" i="10"/>
  <c r="QKD1" i="10"/>
  <c r="QKC1" i="10"/>
  <c r="QKB1" i="10"/>
  <c r="QKA1" i="10"/>
  <c r="QJZ1" i="10"/>
  <c r="QJY1" i="10"/>
  <c r="QJX1" i="10"/>
  <c r="QJW1" i="10"/>
  <c r="QJV1" i="10"/>
  <c r="QJU1" i="10"/>
  <c r="QJT1" i="10"/>
  <c r="QJS1" i="10"/>
  <c r="QJR1" i="10"/>
  <c r="QJQ1" i="10"/>
  <c r="QJP1" i="10"/>
  <c r="QJO1" i="10"/>
  <c r="QJN1" i="10"/>
  <c r="QJM1" i="10"/>
  <c r="QJL1" i="10"/>
  <c r="QJK1" i="10"/>
  <c r="QJJ1" i="10"/>
  <c r="QJI1" i="10"/>
  <c r="QJH1" i="10"/>
  <c r="QJG1" i="10"/>
  <c r="QJF1" i="10"/>
  <c r="QJE1" i="10"/>
  <c r="QJD1" i="10"/>
  <c r="QJC1" i="10"/>
  <c r="QJB1" i="10"/>
  <c r="QJA1" i="10"/>
  <c r="QIZ1" i="10"/>
  <c r="QIY1" i="10"/>
  <c r="QIX1" i="10"/>
  <c r="QIW1" i="10"/>
  <c r="QIV1" i="10"/>
  <c r="QIU1" i="10"/>
  <c r="QIT1" i="10"/>
  <c r="QIS1" i="10"/>
  <c r="QIR1" i="10"/>
  <c r="QIQ1" i="10"/>
  <c r="QIP1" i="10"/>
  <c r="QIO1" i="10"/>
  <c r="QIN1" i="10"/>
  <c r="QIM1" i="10"/>
  <c r="QIL1" i="10"/>
  <c r="QIK1" i="10"/>
  <c r="QIJ1" i="10"/>
  <c r="QII1" i="10"/>
  <c r="QIH1" i="10"/>
  <c r="QIG1" i="10"/>
  <c r="QIF1" i="10"/>
  <c r="QIE1" i="10"/>
  <c r="QID1" i="10"/>
  <c r="QIC1" i="10"/>
  <c r="QIB1" i="10"/>
  <c r="QIA1" i="10"/>
  <c r="QHZ1" i="10"/>
  <c r="QHY1" i="10"/>
  <c r="QHX1" i="10"/>
  <c r="QHW1" i="10"/>
  <c r="QHV1" i="10"/>
  <c r="QHU1" i="10"/>
  <c r="QHT1" i="10"/>
  <c r="QHS1" i="10"/>
  <c r="QHR1" i="10"/>
  <c r="QHQ1" i="10"/>
  <c r="QHP1" i="10"/>
  <c r="QHO1" i="10"/>
  <c r="QHN1" i="10"/>
  <c r="QHM1" i="10"/>
  <c r="QHL1" i="10"/>
  <c r="QHK1" i="10"/>
  <c r="QHJ1" i="10"/>
  <c r="QHI1" i="10"/>
  <c r="QHH1" i="10"/>
  <c r="QHG1" i="10"/>
  <c r="QHF1" i="10"/>
  <c r="QHE1" i="10"/>
  <c r="QHD1" i="10"/>
  <c r="QHC1" i="10"/>
  <c r="QHB1" i="10"/>
  <c r="QHA1" i="10"/>
  <c r="QGZ1" i="10"/>
  <c r="QGY1" i="10"/>
  <c r="QGX1" i="10"/>
  <c r="QGW1" i="10"/>
  <c r="QGV1" i="10"/>
  <c r="QGU1" i="10"/>
  <c r="QGT1" i="10"/>
  <c r="QGS1" i="10"/>
  <c r="QGR1" i="10"/>
  <c r="QGQ1" i="10"/>
  <c r="QGP1" i="10"/>
  <c r="QGO1" i="10"/>
  <c r="QGN1" i="10"/>
  <c r="QGM1" i="10"/>
  <c r="QGL1" i="10"/>
  <c r="QGK1" i="10"/>
  <c r="QGJ1" i="10"/>
  <c r="QGI1" i="10"/>
  <c r="QGH1" i="10"/>
  <c r="QGG1" i="10"/>
  <c r="QGF1" i="10"/>
  <c r="QGE1" i="10"/>
  <c r="QGD1" i="10"/>
  <c r="QGC1" i="10"/>
  <c r="QGB1" i="10"/>
  <c r="QGA1" i="10"/>
  <c r="QFZ1" i="10"/>
  <c r="QFY1" i="10"/>
  <c r="QFX1" i="10"/>
  <c r="QFW1" i="10"/>
  <c r="QFV1" i="10"/>
  <c r="QFU1" i="10"/>
  <c r="QFT1" i="10"/>
  <c r="QFS1" i="10"/>
  <c r="QFR1" i="10"/>
  <c r="QFQ1" i="10"/>
  <c r="QFP1" i="10"/>
  <c r="QFO1" i="10"/>
  <c r="QFN1" i="10"/>
  <c r="QFM1" i="10"/>
  <c r="QFL1" i="10"/>
  <c r="QFK1" i="10"/>
  <c r="QFJ1" i="10"/>
  <c r="QFI1" i="10"/>
  <c r="QFH1" i="10"/>
  <c r="QFG1" i="10"/>
  <c r="QFF1" i="10"/>
  <c r="QFE1" i="10"/>
  <c r="QFD1" i="10"/>
  <c r="QFC1" i="10"/>
  <c r="QFB1" i="10"/>
  <c r="QFA1" i="10"/>
  <c r="QEZ1" i="10"/>
  <c r="QEY1" i="10"/>
  <c r="QEX1" i="10"/>
  <c r="QEW1" i="10"/>
  <c r="QEV1" i="10"/>
  <c r="QEU1" i="10"/>
  <c r="QET1" i="10"/>
  <c r="QES1" i="10"/>
  <c r="QER1" i="10"/>
  <c r="QEQ1" i="10"/>
  <c r="QEP1" i="10"/>
  <c r="QEO1" i="10"/>
  <c r="QEN1" i="10"/>
  <c r="QEM1" i="10"/>
  <c r="QEL1" i="10"/>
  <c r="QEK1" i="10"/>
  <c r="QEJ1" i="10"/>
  <c r="QEI1" i="10"/>
  <c r="QEH1" i="10"/>
  <c r="QEG1" i="10"/>
  <c r="QEF1" i="10"/>
  <c r="QEE1" i="10"/>
  <c r="QED1" i="10"/>
  <c r="QEC1" i="10"/>
  <c r="QEB1" i="10"/>
  <c r="QEA1" i="10"/>
  <c r="QDZ1" i="10"/>
  <c r="QDY1" i="10"/>
  <c r="QDX1" i="10"/>
  <c r="QDW1" i="10"/>
  <c r="QDV1" i="10"/>
  <c r="QDU1" i="10"/>
  <c r="QDT1" i="10"/>
  <c r="QDS1" i="10"/>
  <c r="QDR1" i="10"/>
  <c r="QDQ1" i="10"/>
  <c r="QDP1" i="10"/>
  <c r="QDO1" i="10"/>
  <c r="QDN1" i="10"/>
  <c r="QDM1" i="10"/>
  <c r="QDL1" i="10"/>
  <c r="QDK1" i="10"/>
  <c r="QDJ1" i="10"/>
  <c r="QDI1" i="10"/>
  <c r="QDH1" i="10"/>
  <c r="QDG1" i="10"/>
  <c r="QDF1" i="10"/>
  <c r="QDE1" i="10"/>
  <c r="QDD1" i="10"/>
  <c r="QDC1" i="10"/>
  <c r="QDB1" i="10"/>
  <c r="QDA1" i="10"/>
  <c r="QCZ1" i="10"/>
  <c r="QCY1" i="10"/>
  <c r="QCX1" i="10"/>
  <c r="QCW1" i="10"/>
  <c r="QCV1" i="10"/>
  <c r="QCU1" i="10"/>
  <c r="QCT1" i="10"/>
  <c r="QCS1" i="10"/>
  <c r="QCR1" i="10"/>
  <c r="QCQ1" i="10"/>
  <c r="QCP1" i="10"/>
  <c r="QCO1" i="10"/>
  <c r="QCN1" i="10"/>
  <c r="QCM1" i="10"/>
  <c r="QCL1" i="10"/>
  <c r="QCK1" i="10"/>
  <c r="QCJ1" i="10"/>
  <c r="QCI1" i="10"/>
  <c r="QCH1" i="10"/>
  <c r="QCG1" i="10"/>
  <c r="QCF1" i="10"/>
  <c r="QCE1" i="10"/>
  <c r="QCD1" i="10"/>
  <c r="QCC1" i="10"/>
  <c r="QCB1" i="10"/>
  <c r="QCA1" i="10"/>
  <c r="QBZ1" i="10"/>
  <c r="QBY1" i="10"/>
  <c r="QBX1" i="10"/>
  <c r="QBW1" i="10"/>
  <c r="QBV1" i="10"/>
  <c r="QBU1" i="10"/>
  <c r="QBT1" i="10"/>
  <c r="QBS1" i="10"/>
  <c r="QBR1" i="10"/>
  <c r="QBQ1" i="10"/>
  <c r="QBP1" i="10"/>
  <c r="QBO1" i="10"/>
  <c r="QBN1" i="10"/>
  <c r="QBM1" i="10"/>
  <c r="QBL1" i="10"/>
  <c r="QBK1" i="10"/>
  <c r="QBJ1" i="10"/>
  <c r="QBI1" i="10"/>
  <c r="QBH1" i="10"/>
  <c r="QBG1" i="10"/>
  <c r="QBF1" i="10"/>
  <c r="QBE1" i="10"/>
  <c r="QBD1" i="10"/>
  <c r="QBC1" i="10"/>
  <c r="QBB1" i="10"/>
  <c r="QBA1" i="10"/>
  <c r="QAZ1" i="10"/>
  <c r="QAY1" i="10"/>
  <c r="QAX1" i="10"/>
  <c r="QAW1" i="10"/>
  <c r="QAV1" i="10"/>
  <c r="QAU1" i="10"/>
  <c r="QAT1" i="10"/>
  <c r="QAS1" i="10"/>
  <c r="QAR1" i="10"/>
  <c r="QAQ1" i="10"/>
  <c r="QAP1" i="10"/>
  <c r="QAO1" i="10"/>
  <c r="QAN1" i="10"/>
  <c r="QAM1" i="10"/>
  <c r="QAL1" i="10"/>
  <c r="QAK1" i="10"/>
  <c r="QAJ1" i="10"/>
  <c r="QAI1" i="10"/>
  <c r="QAH1" i="10"/>
  <c r="QAG1" i="10"/>
  <c r="QAF1" i="10"/>
  <c r="QAE1" i="10"/>
  <c r="QAD1" i="10"/>
  <c r="QAC1" i="10"/>
  <c r="QAB1" i="10"/>
  <c r="QAA1" i="10"/>
  <c r="PZZ1" i="10"/>
  <c r="PZY1" i="10"/>
  <c r="PZX1" i="10"/>
  <c r="PZW1" i="10"/>
  <c r="PZV1" i="10"/>
  <c r="PZU1" i="10"/>
  <c r="PZT1" i="10"/>
  <c r="PZS1" i="10"/>
  <c r="PZR1" i="10"/>
  <c r="PZQ1" i="10"/>
  <c r="PZP1" i="10"/>
  <c r="PZO1" i="10"/>
  <c r="PZN1" i="10"/>
  <c r="PZM1" i="10"/>
  <c r="PZL1" i="10"/>
  <c r="PZK1" i="10"/>
  <c r="PZJ1" i="10"/>
  <c r="PZI1" i="10"/>
  <c r="PZH1" i="10"/>
  <c r="PZG1" i="10"/>
  <c r="PZF1" i="10"/>
  <c r="PZE1" i="10"/>
  <c r="PZD1" i="10"/>
  <c r="PZC1" i="10"/>
  <c r="PZB1" i="10"/>
  <c r="PZA1" i="10"/>
  <c r="PYZ1" i="10"/>
  <c r="PYY1" i="10"/>
  <c r="PYX1" i="10"/>
  <c r="PYW1" i="10"/>
  <c r="PYV1" i="10"/>
  <c r="PYU1" i="10"/>
  <c r="PYT1" i="10"/>
  <c r="PYS1" i="10"/>
  <c r="PYR1" i="10"/>
  <c r="PYQ1" i="10"/>
  <c r="PYP1" i="10"/>
  <c r="PYO1" i="10"/>
  <c r="PYN1" i="10"/>
  <c r="PYM1" i="10"/>
  <c r="PYL1" i="10"/>
  <c r="PYK1" i="10"/>
  <c r="PYJ1" i="10"/>
  <c r="PYI1" i="10"/>
  <c r="PYH1" i="10"/>
  <c r="PYG1" i="10"/>
  <c r="PYF1" i="10"/>
  <c r="PYE1" i="10"/>
  <c r="PYD1" i="10"/>
  <c r="PYC1" i="10"/>
  <c r="PYB1" i="10"/>
  <c r="PYA1" i="10"/>
  <c r="PXZ1" i="10"/>
  <c r="PXY1" i="10"/>
  <c r="PXX1" i="10"/>
  <c r="PXW1" i="10"/>
  <c r="PXV1" i="10"/>
  <c r="PXU1" i="10"/>
  <c r="PXT1" i="10"/>
  <c r="PXS1" i="10"/>
  <c r="PXR1" i="10"/>
  <c r="PXQ1" i="10"/>
  <c r="PXP1" i="10"/>
  <c r="PXO1" i="10"/>
  <c r="PXN1" i="10"/>
  <c r="PXM1" i="10"/>
  <c r="PXL1" i="10"/>
  <c r="PXK1" i="10"/>
  <c r="PXJ1" i="10"/>
  <c r="PXI1" i="10"/>
  <c r="PXH1" i="10"/>
  <c r="PXG1" i="10"/>
  <c r="PXF1" i="10"/>
  <c r="PXE1" i="10"/>
  <c r="PXD1" i="10"/>
  <c r="PXC1" i="10"/>
  <c r="PXB1" i="10"/>
  <c r="PXA1" i="10"/>
  <c r="PWZ1" i="10"/>
  <c r="PWY1" i="10"/>
  <c r="PWX1" i="10"/>
  <c r="PWW1" i="10"/>
  <c r="PWV1" i="10"/>
  <c r="PWU1" i="10"/>
  <c r="PWT1" i="10"/>
  <c r="PWS1" i="10"/>
  <c r="PWR1" i="10"/>
  <c r="PWQ1" i="10"/>
  <c r="PWP1" i="10"/>
  <c r="PWO1" i="10"/>
  <c r="PWN1" i="10"/>
  <c r="PWM1" i="10"/>
  <c r="PWL1" i="10"/>
  <c r="PWK1" i="10"/>
  <c r="PWJ1" i="10"/>
  <c r="PWI1" i="10"/>
  <c r="PWH1" i="10"/>
  <c r="PWG1" i="10"/>
  <c r="PWF1" i="10"/>
  <c r="PWE1" i="10"/>
  <c r="PWD1" i="10"/>
  <c r="PWC1" i="10"/>
  <c r="PWB1" i="10"/>
  <c r="PWA1" i="10"/>
  <c r="PVZ1" i="10"/>
  <c r="PVY1" i="10"/>
  <c r="PVX1" i="10"/>
  <c r="PVW1" i="10"/>
  <c r="PVV1" i="10"/>
  <c r="PVU1" i="10"/>
  <c r="PVT1" i="10"/>
  <c r="PVS1" i="10"/>
  <c r="PVR1" i="10"/>
  <c r="PVQ1" i="10"/>
  <c r="PVP1" i="10"/>
  <c r="PVO1" i="10"/>
  <c r="PVN1" i="10"/>
  <c r="PVM1" i="10"/>
  <c r="PVL1" i="10"/>
  <c r="PVK1" i="10"/>
  <c r="PVJ1" i="10"/>
  <c r="PVI1" i="10"/>
  <c r="PVH1" i="10"/>
  <c r="PVG1" i="10"/>
  <c r="PVF1" i="10"/>
  <c r="PVE1" i="10"/>
  <c r="PVD1" i="10"/>
  <c r="PVC1" i="10"/>
  <c r="PVB1" i="10"/>
  <c r="PVA1" i="10"/>
  <c r="PUZ1" i="10"/>
  <c r="PUY1" i="10"/>
  <c r="PUX1" i="10"/>
  <c r="PUW1" i="10"/>
  <c r="PUV1" i="10"/>
  <c r="PUU1" i="10"/>
  <c r="PUT1" i="10"/>
  <c r="PUS1" i="10"/>
  <c r="PUR1" i="10"/>
  <c r="PUQ1" i="10"/>
  <c r="PUP1" i="10"/>
  <c r="PUO1" i="10"/>
  <c r="PUN1" i="10"/>
  <c r="PUM1" i="10"/>
  <c r="PUL1" i="10"/>
  <c r="PUK1" i="10"/>
  <c r="PUJ1" i="10"/>
  <c r="PUI1" i="10"/>
  <c r="PUH1" i="10"/>
  <c r="PUG1" i="10"/>
  <c r="PUF1" i="10"/>
  <c r="PUE1" i="10"/>
  <c r="PUD1" i="10"/>
  <c r="PUC1" i="10"/>
  <c r="PUB1" i="10"/>
  <c r="PUA1" i="10"/>
  <c r="PTZ1" i="10"/>
  <c r="PTY1" i="10"/>
  <c r="PTX1" i="10"/>
  <c r="PTW1" i="10"/>
  <c r="PTV1" i="10"/>
  <c r="PTU1" i="10"/>
  <c r="PTT1" i="10"/>
  <c r="PTS1" i="10"/>
  <c r="PTR1" i="10"/>
  <c r="PTQ1" i="10"/>
  <c r="PTP1" i="10"/>
  <c r="PTO1" i="10"/>
  <c r="PTN1" i="10"/>
  <c r="PTM1" i="10"/>
  <c r="PTL1" i="10"/>
  <c r="PTK1" i="10"/>
  <c r="PTJ1" i="10"/>
  <c r="PTI1" i="10"/>
  <c r="PTH1" i="10"/>
  <c r="PTG1" i="10"/>
  <c r="PTF1" i="10"/>
  <c r="PTE1" i="10"/>
  <c r="PTD1" i="10"/>
  <c r="PTC1" i="10"/>
  <c r="PTB1" i="10"/>
  <c r="PTA1" i="10"/>
  <c r="PSZ1" i="10"/>
  <c r="PSY1" i="10"/>
  <c r="PSX1" i="10"/>
  <c r="PSW1" i="10"/>
  <c r="PSV1" i="10"/>
  <c r="PSU1" i="10"/>
  <c r="PST1" i="10"/>
  <c r="PSS1" i="10"/>
  <c r="PSR1" i="10"/>
  <c r="PSQ1" i="10"/>
  <c r="PSP1" i="10"/>
  <c r="PSO1" i="10"/>
  <c r="PSN1" i="10"/>
  <c r="PSM1" i="10"/>
  <c r="PSL1" i="10"/>
  <c r="PSK1" i="10"/>
  <c r="PSJ1" i="10"/>
  <c r="PSI1" i="10"/>
  <c r="PSH1" i="10"/>
  <c r="PSG1" i="10"/>
  <c r="PSF1" i="10"/>
  <c r="PSE1" i="10"/>
  <c r="PSD1" i="10"/>
  <c r="PSC1" i="10"/>
  <c r="PSB1" i="10"/>
  <c r="PSA1" i="10"/>
  <c r="PRZ1" i="10"/>
  <c r="PRY1" i="10"/>
  <c r="PRX1" i="10"/>
  <c r="PRW1" i="10"/>
  <c r="PRV1" i="10"/>
  <c r="PRU1" i="10"/>
  <c r="PRT1" i="10"/>
  <c r="PRS1" i="10"/>
  <c r="PRR1" i="10"/>
  <c r="PRQ1" i="10"/>
  <c r="PRP1" i="10"/>
  <c r="PRO1" i="10"/>
  <c r="PRN1" i="10"/>
  <c r="PRM1" i="10"/>
  <c r="PRL1" i="10"/>
  <c r="PRK1" i="10"/>
  <c r="PRJ1" i="10"/>
  <c r="PRI1" i="10"/>
  <c r="PRH1" i="10"/>
  <c r="PRG1" i="10"/>
  <c r="PRF1" i="10"/>
  <c r="PRE1" i="10"/>
  <c r="PRD1" i="10"/>
  <c r="PRC1" i="10"/>
  <c r="PRB1" i="10"/>
  <c r="PRA1" i="10"/>
  <c r="PQZ1" i="10"/>
  <c r="PQY1" i="10"/>
  <c r="PQX1" i="10"/>
  <c r="PQW1" i="10"/>
  <c r="PQV1" i="10"/>
  <c r="PQU1" i="10"/>
  <c r="PQT1" i="10"/>
  <c r="PQS1" i="10"/>
  <c r="PQR1" i="10"/>
  <c r="PQQ1" i="10"/>
  <c r="PQP1" i="10"/>
  <c r="PQO1" i="10"/>
  <c r="PQN1" i="10"/>
  <c r="PQM1" i="10"/>
  <c r="PQL1" i="10"/>
  <c r="PQK1" i="10"/>
  <c r="PQJ1" i="10"/>
  <c r="PQI1" i="10"/>
  <c r="PQH1" i="10"/>
  <c r="PQG1" i="10"/>
  <c r="PQF1" i="10"/>
  <c r="PQE1" i="10"/>
  <c r="PQD1" i="10"/>
  <c r="PQC1" i="10"/>
  <c r="PQB1" i="10"/>
  <c r="PQA1" i="10"/>
  <c r="PPZ1" i="10"/>
  <c r="PPY1" i="10"/>
  <c r="PPX1" i="10"/>
  <c r="PPW1" i="10"/>
  <c r="PPV1" i="10"/>
  <c r="PPU1" i="10"/>
  <c r="PPT1" i="10"/>
  <c r="PPS1" i="10"/>
  <c r="PPR1" i="10"/>
  <c r="PPQ1" i="10"/>
  <c r="PPP1" i="10"/>
  <c r="PPO1" i="10"/>
  <c r="PPN1" i="10"/>
  <c r="PPM1" i="10"/>
  <c r="PPL1" i="10"/>
  <c r="PPK1" i="10"/>
  <c r="PPJ1" i="10"/>
  <c r="PPI1" i="10"/>
  <c r="PPH1" i="10"/>
  <c r="PPG1" i="10"/>
  <c r="PPF1" i="10"/>
  <c r="PPE1" i="10"/>
  <c r="PPD1" i="10"/>
  <c r="PPC1" i="10"/>
  <c r="PPB1" i="10"/>
  <c r="PPA1" i="10"/>
  <c r="POZ1" i="10"/>
  <c r="POY1" i="10"/>
  <c r="POX1" i="10"/>
  <c r="POW1" i="10"/>
  <c r="POV1" i="10"/>
  <c r="POU1" i="10"/>
  <c r="POT1" i="10"/>
  <c r="POS1" i="10"/>
  <c r="POR1" i="10"/>
  <c r="POQ1" i="10"/>
  <c r="POP1" i="10"/>
  <c r="POO1" i="10"/>
  <c r="PON1" i="10"/>
  <c r="POM1" i="10"/>
  <c r="POL1" i="10"/>
  <c r="POK1" i="10"/>
  <c r="POJ1" i="10"/>
  <c r="POI1" i="10"/>
  <c r="POH1" i="10"/>
  <c r="POG1" i="10"/>
  <c r="POF1" i="10"/>
  <c r="POE1" i="10"/>
  <c r="POD1" i="10"/>
  <c r="POC1" i="10"/>
  <c r="POB1" i="10"/>
  <c r="POA1" i="10"/>
  <c r="PNZ1" i="10"/>
  <c r="PNY1" i="10"/>
  <c r="PNX1" i="10"/>
  <c r="PNW1" i="10"/>
  <c r="PNV1" i="10"/>
  <c r="PNU1" i="10"/>
  <c r="PNT1" i="10"/>
  <c r="PNS1" i="10"/>
  <c r="PNR1" i="10"/>
  <c r="PNQ1" i="10"/>
  <c r="PNP1" i="10"/>
  <c r="PNO1" i="10"/>
  <c r="PNN1" i="10"/>
  <c r="PNM1" i="10"/>
  <c r="PNL1" i="10"/>
  <c r="PNK1" i="10"/>
  <c r="PNJ1" i="10"/>
  <c r="PNI1" i="10"/>
  <c r="PNH1" i="10"/>
  <c r="PNG1" i="10"/>
  <c r="PNF1" i="10"/>
  <c r="PNE1" i="10"/>
  <c r="PND1" i="10"/>
  <c r="PNC1" i="10"/>
  <c r="PNB1" i="10"/>
  <c r="PNA1" i="10"/>
  <c r="PMZ1" i="10"/>
  <c r="PMY1" i="10"/>
  <c r="PMX1" i="10"/>
  <c r="PMW1" i="10"/>
  <c r="PMV1" i="10"/>
  <c r="PMU1" i="10"/>
  <c r="PMT1" i="10"/>
  <c r="PMS1" i="10"/>
  <c r="PMR1" i="10"/>
  <c r="PMQ1" i="10"/>
  <c r="PMP1" i="10"/>
  <c r="PMO1" i="10"/>
  <c r="PMN1" i="10"/>
  <c r="PMM1" i="10"/>
  <c r="PML1" i="10"/>
  <c r="PMK1" i="10"/>
  <c r="PMJ1" i="10"/>
  <c r="PMI1" i="10"/>
  <c r="PMH1" i="10"/>
  <c r="PMG1" i="10"/>
  <c r="PMF1" i="10"/>
  <c r="PME1" i="10"/>
  <c r="PMD1" i="10"/>
  <c r="PMC1" i="10"/>
  <c r="PMB1" i="10"/>
  <c r="PMA1" i="10"/>
  <c r="PLZ1" i="10"/>
  <c r="PLY1" i="10"/>
  <c r="PLX1" i="10"/>
  <c r="PLW1" i="10"/>
  <c r="PLV1" i="10"/>
  <c r="PLU1" i="10"/>
  <c r="PLT1" i="10"/>
  <c r="PLS1" i="10"/>
  <c r="PLR1" i="10"/>
  <c r="PLQ1" i="10"/>
  <c r="PLP1" i="10"/>
  <c r="PLO1" i="10"/>
  <c r="PLN1" i="10"/>
  <c r="PLM1" i="10"/>
  <c r="PLL1" i="10"/>
  <c r="PLK1" i="10"/>
  <c r="PLJ1" i="10"/>
  <c r="PLI1" i="10"/>
  <c r="PLH1" i="10"/>
  <c r="PLG1" i="10"/>
  <c r="PLF1" i="10"/>
  <c r="PLE1" i="10"/>
  <c r="PLD1" i="10"/>
  <c r="PLC1" i="10"/>
  <c r="PLB1" i="10"/>
  <c r="PLA1" i="10"/>
  <c r="PKZ1" i="10"/>
  <c r="PKY1" i="10"/>
  <c r="PKX1" i="10"/>
  <c r="PKW1" i="10"/>
  <c r="PKV1" i="10"/>
  <c r="PKU1" i="10"/>
  <c r="PKT1" i="10"/>
  <c r="PKS1" i="10"/>
  <c r="PKR1" i="10"/>
  <c r="PKQ1" i="10"/>
  <c r="PKP1" i="10"/>
  <c r="PKO1" i="10"/>
  <c r="PKN1" i="10"/>
  <c r="PKM1" i="10"/>
  <c r="PKL1" i="10"/>
  <c r="PKK1" i="10"/>
  <c r="PKJ1" i="10"/>
  <c r="PKI1" i="10"/>
  <c r="PKH1" i="10"/>
  <c r="PKG1" i="10"/>
  <c r="PKF1" i="10"/>
  <c r="PKE1" i="10"/>
  <c r="PKD1" i="10"/>
  <c r="PKC1" i="10"/>
  <c r="PKB1" i="10"/>
  <c r="PKA1" i="10"/>
  <c r="PJZ1" i="10"/>
  <c r="PJY1" i="10"/>
  <c r="PJX1" i="10"/>
  <c r="PJW1" i="10"/>
  <c r="PJV1" i="10"/>
  <c r="PJU1" i="10"/>
  <c r="PJT1" i="10"/>
  <c r="PJS1" i="10"/>
  <c r="PJR1" i="10"/>
  <c r="PJQ1" i="10"/>
  <c r="PJP1" i="10"/>
  <c r="PJO1" i="10"/>
  <c r="PJN1" i="10"/>
  <c r="PJM1" i="10"/>
  <c r="PJL1" i="10"/>
  <c r="PJK1" i="10"/>
  <c r="PJJ1" i="10"/>
  <c r="PJI1" i="10"/>
  <c r="PJH1" i="10"/>
  <c r="PJG1" i="10"/>
  <c r="PJF1" i="10"/>
  <c r="PJE1" i="10"/>
  <c r="PJD1" i="10"/>
  <c r="PJC1" i="10"/>
  <c r="PJB1" i="10"/>
  <c r="PJA1" i="10"/>
  <c r="PIZ1" i="10"/>
  <c r="PIY1" i="10"/>
  <c r="PIX1" i="10"/>
  <c r="PIW1" i="10"/>
  <c r="PIV1" i="10"/>
  <c r="PIU1" i="10"/>
  <c r="PIT1" i="10"/>
  <c r="PIS1" i="10"/>
  <c r="PIR1" i="10"/>
  <c r="PIQ1" i="10"/>
  <c r="PIP1" i="10"/>
  <c r="PIO1" i="10"/>
  <c r="PIN1" i="10"/>
  <c r="PIM1" i="10"/>
  <c r="PIL1" i="10"/>
  <c r="PIK1" i="10"/>
  <c r="PIJ1" i="10"/>
  <c r="PII1" i="10"/>
  <c r="PIH1" i="10"/>
  <c r="PIG1" i="10"/>
  <c r="PIF1" i="10"/>
  <c r="PIE1" i="10"/>
  <c r="PID1" i="10"/>
  <c r="PIC1" i="10"/>
  <c r="PIB1" i="10"/>
  <c r="PIA1" i="10"/>
  <c r="PHZ1" i="10"/>
  <c r="PHY1" i="10"/>
  <c r="PHX1" i="10"/>
  <c r="PHW1" i="10"/>
  <c r="PHV1" i="10"/>
  <c r="PHU1" i="10"/>
  <c r="PHT1" i="10"/>
  <c r="PHS1" i="10"/>
  <c r="PHR1" i="10"/>
  <c r="PHQ1" i="10"/>
  <c r="PHP1" i="10"/>
  <c r="PHO1" i="10"/>
  <c r="PHN1" i="10"/>
  <c r="PHM1" i="10"/>
  <c r="PHL1" i="10"/>
  <c r="PHK1" i="10"/>
  <c r="PHJ1" i="10"/>
  <c r="PHI1" i="10"/>
  <c r="PHH1" i="10"/>
  <c r="PHG1" i="10"/>
  <c r="PHF1" i="10"/>
  <c r="PHE1" i="10"/>
  <c r="PHD1" i="10"/>
  <c r="PHC1" i="10"/>
  <c r="PHB1" i="10"/>
  <c r="PHA1" i="10"/>
  <c r="PGZ1" i="10"/>
  <c r="PGY1" i="10"/>
  <c r="PGX1" i="10"/>
  <c r="PGW1" i="10"/>
  <c r="PGV1" i="10"/>
  <c r="PGU1" i="10"/>
  <c r="PGT1" i="10"/>
  <c r="PGS1" i="10"/>
  <c r="PGR1" i="10"/>
  <c r="PGQ1" i="10"/>
  <c r="PGP1" i="10"/>
  <c r="PGO1" i="10"/>
  <c r="PGN1" i="10"/>
  <c r="PGM1" i="10"/>
  <c r="PGL1" i="10"/>
  <c r="PGK1" i="10"/>
  <c r="PGJ1" i="10"/>
  <c r="PGI1" i="10"/>
  <c r="PGH1" i="10"/>
  <c r="PGG1" i="10"/>
  <c r="PGF1" i="10"/>
  <c r="PGE1" i="10"/>
  <c r="PGD1" i="10"/>
  <c r="PGC1" i="10"/>
  <c r="PGB1" i="10"/>
  <c r="PGA1" i="10"/>
  <c r="PFZ1" i="10"/>
  <c r="PFY1" i="10"/>
  <c r="PFX1" i="10"/>
  <c r="PFW1" i="10"/>
  <c r="PFV1" i="10"/>
  <c r="PFU1" i="10"/>
  <c r="PFT1" i="10"/>
  <c r="PFS1" i="10"/>
  <c r="PFR1" i="10"/>
  <c r="PFQ1" i="10"/>
  <c r="PFP1" i="10"/>
  <c r="PFO1" i="10"/>
  <c r="PFN1" i="10"/>
  <c r="PFM1" i="10"/>
  <c r="PFL1" i="10"/>
  <c r="PFK1" i="10"/>
  <c r="PFJ1" i="10"/>
  <c r="PFI1" i="10"/>
  <c r="PFH1" i="10"/>
  <c r="PFG1" i="10"/>
  <c r="PFF1" i="10"/>
  <c r="PFE1" i="10"/>
  <c r="PFD1" i="10"/>
  <c r="PFC1" i="10"/>
  <c r="PFB1" i="10"/>
  <c r="PFA1" i="10"/>
  <c r="PEZ1" i="10"/>
  <c r="PEY1" i="10"/>
  <c r="PEX1" i="10"/>
  <c r="PEW1" i="10"/>
  <c r="PEV1" i="10"/>
  <c r="PEU1" i="10"/>
  <c r="PET1" i="10"/>
  <c r="PES1" i="10"/>
  <c r="PER1" i="10"/>
  <c r="PEQ1" i="10"/>
  <c r="PEP1" i="10"/>
  <c r="PEO1" i="10"/>
  <c r="PEN1" i="10"/>
  <c r="PEM1" i="10"/>
  <c r="PEL1" i="10"/>
  <c r="PEK1" i="10"/>
  <c r="PEJ1" i="10"/>
  <c r="PEI1" i="10"/>
  <c r="PEH1" i="10"/>
  <c r="PEG1" i="10"/>
  <c r="PEF1" i="10"/>
  <c r="PEE1" i="10"/>
  <c r="PED1" i="10"/>
  <c r="PEC1" i="10"/>
  <c r="PEB1" i="10"/>
  <c r="PEA1" i="10"/>
  <c r="PDZ1" i="10"/>
  <c r="PDY1" i="10"/>
  <c r="PDX1" i="10"/>
  <c r="PDW1" i="10"/>
  <c r="PDV1" i="10"/>
  <c r="PDU1" i="10"/>
  <c r="PDT1" i="10"/>
  <c r="PDS1" i="10"/>
  <c r="PDR1" i="10"/>
  <c r="PDQ1" i="10"/>
  <c r="PDP1" i="10"/>
  <c r="PDO1" i="10"/>
  <c r="PDN1" i="10"/>
  <c r="PDM1" i="10"/>
  <c r="PDL1" i="10"/>
  <c r="PDK1" i="10"/>
  <c r="PDJ1" i="10"/>
  <c r="PDI1" i="10"/>
  <c r="PDH1" i="10"/>
  <c r="PDG1" i="10"/>
  <c r="PDF1" i="10"/>
  <c r="PDE1" i="10"/>
  <c r="PDD1" i="10"/>
  <c r="PDC1" i="10"/>
  <c r="PDB1" i="10"/>
  <c r="PDA1" i="10"/>
  <c r="PCZ1" i="10"/>
  <c r="PCY1" i="10"/>
  <c r="PCX1" i="10"/>
  <c r="PCW1" i="10"/>
  <c r="PCV1" i="10"/>
  <c r="PCU1" i="10"/>
  <c r="PCT1" i="10"/>
  <c r="PCS1" i="10"/>
  <c r="PCR1" i="10"/>
  <c r="PCQ1" i="10"/>
  <c r="PCP1" i="10"/>
  <c r="PCO1" i="10"/>
  <c r="PCN1" i="10"/>
  <c r="PCM1" i="10"/>
  <c r="PCL1" i="10"/>
  <c r="PCK1" i="10"/>
  <c r="PCJ1" i="10"/>
  <c r="PCI1" i="10"/>
  <c r="PCH1" i="10"/>
  <c r="PCG1" i="10"/>
  <c r="PCF1" i="10"/>
  <c r="PCE1" i="10"/>
  <c r="PCD1" i="10"/>
  <c r="PCC1" i="10"/>
  <c r="PCB1" i="10"/>
  <c r="PCA1" i="10"/>
  <c r="PBZ1" i="10"/>
  <c r="PBY1" i="10"/>
  <c r="PBX1" i="10"/>
  <c r="PBW1" i="10"/>
  <c r="PBV1" i="10"/>
  <c r="PBU1" i="10"/>
  <c r="PBT1" i="10"/>
  <c r="PBS1" i="10"/>
  <c r="PBR1" i="10"/>
  <c r="PBQ1" i="10"/>
  <c r="PBP1" i="10"/>
  <c r="PBO1" i="10"/>
  <c r="PBN1" i="10"/>
  <c r="PBM1" i="10"/>
  <c r="PBL1" i="10"/>
  <c r="PBK1" i="10"/>
  <c r="PBJ1" i="10"/>
  <c r="PBI1" i="10"/>
  <c r="PBH1" i="10"/>
  <c r="PBG1" i="10"/>
  <c r="PBF1" i="10"/>
  <c r="PBE1" i="10"/>
  <c r="PBD1" i="10"/>
  <c r="PBC1" i="10"/>
  <c r="PBB1" i="10"/>
  <c r="PBA1" i="10"/>
  <c r="PAZ1" i="10"/>
  <c r="PAY1" i="10"/>
  <c r="PAX1" i="10"/>
  <c r="PAW1" i="10"/>
  <c r="PAV1" i="10"/>
  <c r="PAU1" i="10"/>
  <c r="PAT1" i="10"/>
  <c r="PAS1" i="10"/>
  <c r="PAR1" i="10"/>
  <c r="PAQ1" i="10"/>
  <c r="PAP1" i="10"/>
  <c r="PAO1" i="10"/>
  <c r="PAN1" i="10"/>
  <c r="PAM1" i="10"/>
  <c r="PAL1" i="10"/>
  <c r="PAK1" i="10"/>
  <c r="PAJ1" i="10"/>
  <c r="PAI1" i="10"/>
  <c r="PAH1" i="10"/>
  <c r="PAG1" i="10"/>
  <c r="PAF1" i="10"/>
  <c r="PAE1" i="10"/>
  <c r="PAD1" i="10"/>
  <c r="PAC1" i="10"/>
  <c r="PAB1" i="10"/>
  <c r="PAA1" i="10"/>
  <c r="OZZ1" i="10"/>
  <c r="OZY1" i="10"/>
  <c r="OZX1" i="10"/>
  <c r="OZW1" i="10"/>
  <c r="OZV1" i="10"/>
  <c r="OZU1" i="10"/>
  <c r="OZT1" i="10"/>
  <c r="OZS1" i="10"/>
  <c r="OZR1" i="10"/>
  <c r="OZQ1" i="10"/>
  <c r="OZP1" i="10"/>
  <c r="OZO1" i="10"/>
  <c r="OZN1" i="10"/>
  <c r="OZM1" i="10"/>
  <c r="OZL1" i="10"/>
  <c r="OZK1" i="10"/>
  <c r="OZJ1" i="10"/>
  <c r="OZI1" i="10"/>
  <c r="OZH1" i="10"/>
  <c r="OZG1" i="10"/>
  <c r="OZF1" i="10"/>
  <c r="OZE1" i="10"/>
  <c r="OZD1" i="10"/>
  <c r="OZC1" i="10"/>
  <c r="OZB1" i="10"/>
  <c r="OZA1" i="10"/>
  <c r="OYZ1" i="10"/>
  <c r="OYY1" i="10"/>
  <c r="OYX1" i="10"/>
  <c r="OYW1" i="10"/>
  <c r="OYV1" i="10"/>
  <c r="OYU1" i="10"/>
  <c r="OYT1" i="10"/>
  <c r="OYS1" i="10"/>
  <c r="OYR1" i="10"/>
  <c r="OYQ1" i="10"/>
  <c r="OYP1" i="10"/>
  <c r="OYO1" i="10"/>
  <c r="OYN1" i="10"/>
  <c r="OYM1" i="10"/>
  <c r="OYL1" i="10"/>
  <c r="OYK1" i="10"/>
  <c r="OYJ1" i="10"/>
  <c r="OYI1" i="10"/>
  <c r="OYH1" i="10"/>
  <c r="OYG1" i="10"/>
  <c r="OYF1" i="10"/>
  <c r="OYE1" i="10"/>
  <c r="OYD1" i="10"/>
  <c r="OYC1" i="10"/>
  <c r="OYB1" i="10"/>
  <c r="OYA1" i="10"/>
  <c r="OXZ1" i="10"/>
  <c r="OXY1" i="10"/>
  <c r="OXX1" i="10"/>
  <c r="OXW1" i="10"/>
  <c r="OXV1" i="10"/>
  <c r="OXU1" i="10"/>
  <c r="OXT1" i="10"/>
  <c r="OXS1" i="10"/>
  <c r="OXR1" i="10"/>
  <c r="OXQ1" i="10"/>
  <c r="OXP1" i="10"/>
  <c r="OXO1" i="10"/>
  <c r="OXN1" i="10"/>
  <c r="OXM1" i="10"/>
  <c r="OXL1" i="10"/>
  <c r="OXK1" i="10"/>
  <c r="OXJ1" i="10"/>
  <c r="OXI1" i="10"/>
  <c r="OXH1" i="10"/>
  <c r="OXG1" i="10"/>
  <c r="OXF1" i="10"/>
  <c r="OXE1" i="10"/>
  <c r="OXD1" i="10"/>
  <c r="OXC1" i="10"/>
  <c r="OXB1" i="10"/>
  <c r="OXA1" i="10"/>
  <c r="OWZ1" i="10"/>
  <c r="OWY1" i="10"/>
  <c r="OWX1" i="10"/>
  <c r="OWW1" i="10"/>
  <c r="OWV1" i="10"/>
  <c r="OWU1" i="10"/>
  <c r="OWT1" i="10"/>
  <c r="OWS1" i="10"/>
  <c r="OWR1" i="10"/>
  <c r="OWQ1" i="10"/>
  <c r="OWP1" i="10"/>
  <c r="OWO1" i="10"/>
  <c r="OWN1" i="10"/>
  <c r="OWM1" i="10"/>
  <c r="OWL1" i="10"/>
  <c r="OWK1" i="10"/>
  <c r="OWJ1" i="10"/>
  <c r="OWI1" i="10"/>
  <c r="OWH1" i="10"/>
  <c r="OWG1" i="10"/>
  <c r="OWF1" i="10"/>
  <c r="OWE1" i="10"/>
  <c r="OWD1" i="10"/>
  <c r="OWC1" i="10"/>
  <c r="OWB1" i="10"/>
  <c r="OWA1" i="10"/>
  <c r="OVZ1" i="10"/>
  <c r="OVY1" i="10"/>
  <c r="OVX1" i="10"/>
  <c r="OVW1" i="10"/>
  <c r="OVV1" i="10"/>
  <c r="OVU1" i="10"/>
  <c r="OVT1" i="10"/>
  <c r="OVS1" i="10"/>
  <c r="OVR1" i="10"/>
  <c r="OVQ1" i="10"/>
  <c r="OVP1" i="10"/>
  <c r="OVO1" i="10"/>
  <c r="OVN1" i="10"/>
  <c r="OVM1" i="10"/>
  <c r="OVL1" i="10"/>
  <c r="OVK1" i="10"/>
  <c r="OVJ1" i="10"/>
  <c r="OVI1" i="10"/>
  <c r="OVH1" i="10"/>
  <c r="OVG1" i="10"/>
  <c r="OVF1" i="10"/>
  <c r="OVE1" i="10"/>
  <c r="OVD1" i="10"/>
  <c r="OVC1" i="10"/>
  <c r="OVB1" i="10"/>
  <c r="OVA1" i="10"/>
  <c r="OUZ1" i="10"/>
  <c r="OUY1" i="10"/>
  <c r="OUX1" i="10"/>
  <c r="OUW1" i="10"/>
  <c r="OUV1" i="10"/>
  <c r="OUU1" i="10"/>
  <c r="OUT1" i="10"/>
  <c r="OUS1" i="10"/>
  <c r="OUR1" i="10"/>
  <c r="OUQ1" i="10"/>
  <c r="OUP1" i="10"/>
  <c r="OUO1" i="10"/>
  <c r="OUN1" i="10"/>
  <c r="OUM1" i="10"/>
  <c r="OUL1" i="10"/>
  <c r="OUK1" i="10"/>
  <c r="OUJ1" i="10"/>
  <c r="OUI1" i="10"/>
  <c r="OUH1" i="10"/>
  <c r="OUG1" i="10"/>
  <c r="OUF1" i="10"/>
  <c r="OUE1" i="10"/>
  <c r="OUD1" i="10"/>
  <c r="OUC1" i="10"/>
  <c r="OUB1" i="10"/>
  <c r="OUA1" i="10"/>
  <c r="OTZ1" i="10"/>
  <c r="OTY1" i="10"/>
  <c r="OTX1" i="10"/>
  <c r="OTW1" i="10"/>
  <c r="OTV1" i="10"/>
  <c r="OTU1" i="10"/>
  <c r="OTT1" i="10"/>
  <c r="OTS1" i="10"/>
  <c r="OTR1" i="10"/>
  <c r="OTQ1" i="10"/>
  <c r="OTP1" i="10"/>
  <c r="OTO1" i="10"/>
  <c r="OTN1" i="10"/>
  <c r="OTM1" i="10"/>
  <c r="OTL1" i="10"/>
  <c r="OTK1" i="10"/>
  <c r="OTJ1" i="10"/>
  <c r="OTI1" i="10"/>
  <c r="OTH1" i="10"/>
  <c r="OTG1" i="10"/>
  <c r="OTF1" i="10"/>
  <c r="OTE1" i="10"/>
  <c r="OTD1" i="10"/>
  <c r="OTC1" i="10"/>
  <c r="OTB1" i="10"/>
  <c r="OTA1" i="10"/>
  <c r="OSZ1" i="10"/>
  <c r="OSY1" i="10"/>
  <c r="OSX1" i="10"/>
  <c r="OSW1" i="10"/>
  <c r="OSV1" i="10"/>
  <c r="OSU1" i="10"/>
  <c r="OST1" i="10"/>
  <c r="OSS1" i="10"/>
  <c r="OSR1" i="10"/>
  <c r="OSQ1" i="10"/>
  <c r="OSP1" i="10"/>
  <c r="OSO1" i="10"/>
  <c r="OSN1" i="10"/>
  <c r="OSM1" i="10"/>
  <c r="OSL1" i="10"/>
  <c r="OSK1" i="10"/>
  <c r="OSJ1" i="10"/>
  <c r="OSI1" i="10"/>
  <c r="OSH1" i="10"/>
  <c r="OSG1" i="10"/>
  <c r="OSF1" i="10"/>
  <c r="OSE1" i="10"/>
  <c r="OSD1" i="10"/>
  <c r="OSC1" i="10"/>
  <c r="OSB1" i="10"/>
  <c r="OSA1" i="10"/>
  <c r="ORZ1" i="10"/>
  <c r="ORY1" i="10"/>
  <c r="ORX1" i="10"/>
  <c r="ORW1" i="10"/>
  <c r="ORV1" i="10"/>
  <c r="ORU1" i="10"/>
  <c r="ORT1" i="10"/>
  <c r="ORS1" i="10"/>
  <c r="ORR1" i="10"/>
  <c r="ORQ1" i="10"/>
  <c r="ORP1" i="10"/>
  <c r="ORO1" i="10"/>
  <c r="ORN1" i="10"/>
  <c r="ORM1" i="10"/>
  <c r="ORL1" i="10"/>
  <c r="ORK1" i="10"/>
  <c r="ORJ1" i="10"/>
  <c r="ORI1" i="10"/>
  <c r="ORH1" i="10"/>
  <c r="ORG1" i="10"/>
  <c r="ORF1" i="10"/>
  <c r="ORE1" i="10"/>
  <c r="ORD1" i="10"/>
  <c r="ORC1" i="10"/>
  <c r="ORB1" i="10"/>
  <c r="ORA1" i="10"/>
  <c r="OQZ1" i="10"/>
  <c r="OQY1" i="10"/>
  <c r="OQX1" i="10"/>
  <c r="OQW1" i="10"/>
  <c r="OQV1" i="10"/>
  <c r="OQU1" i="10"/>
  <c r="OQT1" i="10"/>
  <c r="OQS1" i="10"/>
  <c r="OQR1" i="10"/>
  <c r="OQQ1" i="10"/>
  <c r="OQP1" i="10"/>
  <c r="OQO1" i="10"/>
  <c r="OQN1" i="10"/>
  <c r="OQM1" i="10"/>
  <c r="OQL1" i="10"/>
  <c r="OQK1" i="10"/>
  <c r="OQJ1" i="10"/>
  <c r="OQI1" i="10"/>
  <c r="OQH1" i="10"/>
  <c r="OQG1" i="10"/>
  <c r="OQF1" i="10"/>
  <c r="OQE1" i="10"/>
  <c r="OQD1" i="10"/>
  <c r="OQC1" i="10"/>
  <c r="OQB1" i="10"/>
  <c r="OQA1" i="10"/>
  <c r="OPZ1" i="10"/>
  <c r="OPY1" i="10"/>
  <c r="OPX1" i="10"/>
  <c r="OPW1" i="10"/>
  <c r="OPV1" i="10"/>
  <c r="OPU1" i="10"/>
  <c r="OPT1" i="10"/>
  <c r="OPS1" i="10"/>
  <c r="OPR1" i="10"/>
  <c r="OPQ1" i="10"/>
  <c r="OPP1" i="10"/>
  <c r="OPO1" i="10"/>
  <c r="OPN1" i="10"/>
  <c r="OPM1" i="10"/>
  <c r="OPL1" i="10"/>
  <c r="OPK1" i="10"/>
  <c r="OPJ1" i="10"/>
  <c r="OPI1" i="10"/>
  <c r="OPH1" i="10"/>
  <c r="OPG1" i="10"/>
  <c r="OPF1" i="10"/>
  <c r="OPE1" i="10"/>
  <c r="OPD1" i="10"/>
  <c r="OPC1" i="10"/>
  <c r="OPB1" i="10"/>
  <c r="OPA1" i="10"/>
  <c r="OOZ1" i="10"/>
  <c r="OOY1" i="10"/>
  <c r="OOX1" i="10"/>
  <c r="OOW1" i="10"/>
  <c r="OOV1" i="10"/>
  <c r="OOU1" i="10"/>
  <c r="OOT1" i="10"/>
  <c r="OOS1" i="10"/>
  <c r="OOR1" i="10"/>
  <c r="OOQ1" i="10"/>
  <c r="OOP1" i="10"/>
  <c r="OOO1" i="10"/>
  <c r="OON1" i="10"/>
  <c r="OOM1" i="10"/>
  <c r="OOL1" i="10"/>
  <c r="OOK1" i="10"/>
  <c r="OOJ1" i="10"/>
  <c r="OOI1" i="10"/>
  <c r="OOH1" i="10"/>
  <c r="OOG1" i="10"/>
  <c r="OOF1" i="10"/>
  <c r="OOE1" i="10"/>
  <c r="OOD1" i="10"/>
  <c r="OOC1" i="10"/>
  <c r="OOB1" i="10"/>
  <c r="OOA1" i="10"/>
  <c r="ONZ1" i="10"/>
  <c r="ONY1" i="10"/>
  <c r="ONX1" i="10"/>
  <c r="ONW1" i="10"/>
  <c r="ONV1" i="10"/>
  <c r="ONU1" i="10"/>
  <c r="ONT1" i="10"/>
  <c r="ONS1" i="10"/>
  <c r="ONR1" i="10"/>
  <c r="ONQ1" i="10"/>
  <c r="ONP1" i="10"/>
  <c r="ONO1" i="10"/>
  <c r="ONN1" i="10"/>
  <c r="ONM1" i="10"/>
  <c r="ONL1" i="10"/>
  <c r="ONK1" i="10"/>
  <c r="ONJ1" i="10"/>
  <c r="ONI1" i="10"/>
  <c r="ONH1" i="10"/>
  <c r="ONG1" i="10"/>
  <c r="ONF1" i="10"/>
  <c r="ONE1" i="10"/>
  <c r="OND1" i="10"/>
  <c r="ONC1" i="10"/>
  <c r="ONB1" i="10"/>
  <c r="ONA1" i="10"/>
  <c r="OMZ1" i="10"/>
  <c r="OMY1" i="10"/>
  <c r="OMX1" i="10"/>
  <c r="OMW1" i="10"/>
  <c r="OMV1" i="10"/>
  <c r="OMU1" i="10"/>
  <c r="OMT1" i="10"/>
  <c r="OMS1" i="10"/>
  <c r="OMR1" i="10"/>
  <c r="OMQ1" i="10"/>
  <c r="OMP1" i="10"/>
  <c r="OMO1" i="10"/>
  <c r="OMN1" i="10"/>
  <c r="OMM1" i="10"/>
  <c r="OML1" i="10"/>
  <c r="OMK1" i="10"/>
  <c r="OMJ1" i="10"/>
  <c r="OMI1" i="10"/>
  <c r="OMH1" i="10"/>
  <c r="OMG1" i="10"/>
  <c r="OMF1" i="10"/>
  <c r="OME1" i="10"/>
  <c r="OMD1" i="10"/>
  <c r="OMC1" i="10"/>
  <c r="OMB1" i="10"/>
  <c r="OMA1" i="10"/>
  <c r="OLZ1" i="10"/>
  <c r="OLY1" i="10"/>
  <c r="OLX1" i="10"/>
  <c r="OLW1" i="10"/>
  <c r="OLV1" i="10"/>
  <c r="OLU1" i="10"/>
  <c r="OLT1" i="10"/>
  <c r="OLS1" i="10"/>
  <c r="OLR1" i="10"/>
  <c r="OLQ1" i="10"/>
  <c r="OLP1" i="10"/>
  <c r="OLO1" i="10"/>
  <c r="OLN1" i="10"/>
  <c r="OLM1" i="10"/>
  <c r="OLL1" i="10"/>
  <c r="OLK1" i="10"/>
  <c r="OLJ1" i="10"/>
  <c r="OLI1" i="10"/>
  <c r="OLH1" i="10"/>
  <c r="OLG1" i="10"/>
  <c r="OLF1" i="10"/>
  <c r="OLE1" i="10"/>
  <c r="OLD1" i="10"/>
  <c r="OLC1" i="10"/>
  <c r="OLB1" i="10"/>
  <c r="OLA1" i="10"/>
  <c r="OKZ1" i="10"/>
  <c r="OKY1" i="10"/>
  <c r="OKX1" i="10"/>
  <c r="OKW1" i="10"/>
  <c r="OKV1" i="10"/>
  <c r="OKU1" i="10"/>
  <c r="OKT1" i="10"/>
  <c r="OKS1" i="10"/>
  <c r="OKR1" i="10"/>
  <c r="OKQ1" i="10"/>
  <c r="OKP1" i="10"/>
  <c r="OKO1" i="10"/>
  <c r="OKN1" i="10"/>
  <c r="OKM1" i="10"/>
  <c r="OKL1" i="10"/>
  <c r="OKK1" i="10"/>
  <c r="OKJ1" i="10"/>
  <c r="OKI1" i="10"/>
  <c r="OKH1" i="10"/>
  <c r="OKG1" i="10"/>
  <c r="OKF1" i="10"/>
  <c r="OKE1" i="10"/>
  <c r="OKD1" i="10"/>
  <c r="OKC1" i="10"/>
  <c r="OKB1" i="10"/>
  <c r="OKA1" i="10"/>
  <c r="OJZ1" i="10"/>
  <c r="OJY1" i="10"/>
  <c r="OJX1" i="10"/>
  <c r="OJW1" i="10"/>
  <c r="OJV1" i="10"/>
  <c r="OJU1" i="10"/>
  <c r="OJT1" i="10"/>
  <c r="OJS1" i="10"/>
  <c r="OJR1" i="10"/>
  <c r="OJQ1" i="10"/>
  <c r="OJP1" i="10"/>
  <c r="OJO1" i="10"/>
  <c r="OJN1" i="10"/>
  <c r="OJM1" i="10"/>
  <c r="OJL1" i="10"/>
  <c r="OJK1" i="10"/>
  <c r="OJJ1" i="10"/>
  <c r="OJI1" i="10"/>
  <c r="OJH1" i="10"/>
  <c r="OJG1" i="10"/>
  <c r="OJF1" i="10"/>
  <c r="OJE1" i="10"/>
  <c r="OJD1" i="10"/>
  <c r="OJC1" i="10"/>
  <c r="OJB1" i="10"/>
  <c r="OJA1" i="10"/>
  <c r="OIZ1" i="10"/>
  <c r="OIY1" i="10"/>
  <c r="OIX1" i="10"/>
  <c r="OIW1" i="10"/>
  <c r="OIV1" i="10"/>
  <c r="OIU1" i="10"/>
  <c r="OIT1" i="10"/>
  <c r="OIS1" i="10"/>
  <c r="OIR1" i="10"/>
  <c r="OIQ1" i="10"/>
  <c r="OIP1" i="10"/>
  <c r="OIO1" i="10"/>
  <c r="OIN1" i="10"/>
  <c r="OIM1" i="10"/>
  <c r="OIL1" i="10"/>
  <c r="OIK1" i="10"/>
  <c r="OIJ1" i="10"/>
  <c r="OII1" i="10"/>
  <c r="OIH1" i="10"/>
  <c r="OIG1" i="10"/>
  <c r="OIF1" i="10"/>
  <c r="OIE1" i="10"/>
  <c r="OID1" i="10"/>
  <c r="OIC1" i="10"/>
  <c r="OIB1" i="10"/>
  <c r="OIA1" i="10"/>
  <c r="OHZ1" i="10"/>
  <c r="OHY1" i="10"/>
  <c r="OHX1" i="10"/>
  <c r="OHW1" i="10"/>
  <c r="OHV1" i="10"/>
  <c r="OHU1" i="10"/>
  <c r="OHT1" i="10"/>
  <c r="OHS1" i="10"/>
  <c r="OHR1" i="10"/>
  <c r="OHQ1" i="10"/>
  <c r="OHP1" i="10"/>
  <c r="OHO1" i="10"/>
  <c r="OHN1" i="10"/>
  <c r="OHM1" i="10"/>
  <c r="OHL1" i="10"/>
  <c r="OHK1" i="10"/>
  <c r="OHJ1" i="10"/>
  <c r="OHI1" i="10"/>
  <c r="OHH1" i="10"/>
  <c r="OHG1" i="10"/>
  <c r="OHF1" i="10"/>
  <c r="OHE1" i="10"/>
  <c r="OHD1" i="10"/>
  <c r="OHC1" i="10"/>
  <c r="OHB1" i="10"/>
  <c r="OHA1" i="10"/>
  <c r="OGZ1" i="10"/>
  <c r="OGY1" i="10"/>
  <c r="OGX1" i="10"/>
  <c r="OGW1" i="10"/>
  <c r="OGV1" i="10"/>
  <c r="OGU1" i="10"/>
  <c r="OGT1" i="10"/>
  <c r="OGS1" i="10"/>
  <c r="OGR1" i="10"/>
  <c r="OGQ1" i="10"/>
  <c r="OGP1" i="10"/>
  <c r="OGO1" i="10"/>
  <c r="OGN1" i="10"/>
  <c r="OGM1" i="10"/>
  <c r="OGL1" i="10"/>
  <c r="OGK1" i="10"/>
  <c r="OGJ1" i="10"/>
  <c r="OGI1" i="10"/>
  <c r="OGH1" i="10"/>
  <c r="OGG1" i="10"/>
  <c r="OGF1" i="10"/>
  <c r="OGE1" i="10"/>
  <c r="OGD1" i="10"/>
  <c r="OGC1" i="10"/>
  <c r="OGB1" i="10"/>
  <c r="OGA1" i="10"/>
  <c r="OFZ1" i="10"/>
  <c r="OFY1" i="10"/>
  <c r="OFX1" i="10"/>
  <c r="OFW1" i="10"/>
  <c r="OFV1" i="10"/>
  <c r="OFU1" i="10"/>
  <c r="OFT1" i="10"/>
  <c r="OFS1" i="10"/>
  <c r="OFR1" i="10"/>
  <c r="OFQ1" i="10"/>
  <c r="OFP1" i="10"/>
  <c r="OFO1" i="10"/>
  <c r="OFN1" i="10"/>
  <c r="OFM1" i="10"/>
  <c r="OFL1" i="10"/>
  <c r="OFK1" i="10"/>
  <c r="OFJ1" i="10"/>
  <c r="OFI1" i="10"/>
  <c r="OFH1" i="10"/>
  <c r="OFG1" i="10"/>
  <c r="OFF1" i="10"/>
  <c r="OFE1" i="10"/>
  <c r="OFD1" i="10"/>
  <c r="OFC1" i="10"/>
  <c r="OFB1" i="10"/>
  <c r="OFA1" i="10"/>
  <c r="OEZ1" i="10"/>
  <c r="OEY1" i="10"/>
  <c r="OEX1" i="10"/>
  <c r="OEW1" i="10"/>
  <c r="OEV1" i="10"/>
  <c r="OEU1" i="10"/>
  <c r="OET1" i="10"/>
  <c r="OES1" i="10"/>
  <c r="OER1" i="10"/>
  <c r="OEQ1" i="10"/>
  <c r="OEP1" i="10"/>
  <c r="OEO1" i="10"/>
  <c r="OEN1" i="10"/>
  <c r="OEM1" i="10"/>
  <c r="OEL1" i="10"/>
  <c r="OEK1" i="10"/>
  <c r="OEJ1" i="10"/>
  <c r="OEI1" i="10"/>
  <c r="OEH1" i="10"/>
  <c r="OEG1" i="10"/>
  <c r="OEF1" i="10"/>
  <c r="OEE1" i="10"/>
  <c r="OED1" i="10"/>
  <c r="OEC1" i="10"/>
  <c r="OEB1" i="10"/>
  <c r="OEA1" i="10"/>
  <c r="ODZ1" i="10"/>
  <c r="ODY1" i="10"/>
  <c r="ODX1" i="10"/>
  <c r="ODW1" i="10"/>
  <c r="ODV1" i="10"/>
  <c r="ODU1" i="10"/>
  <c r="ODT1" i="10"/>
  <c r="ODS1" i="10"/>
  <c r="ODR1" i="10"/>
  <c r="ODQ1" i="10"/>
  <c r="ODP1" i="10"/>
  <c r="ODO1" i="10"/>
  <c r="ODN1" i="10"/>
  <c r="ODM1" i="10"/>
  <c r="ODL1" i="10"/>
  <c r="ODK1" i="10"/>
  <c r="ODJ1" i="10"/>
  <c r="ODI1" i="10"/>
  <c r="ODH1" i="10"/>
  <c r="ODG1" i="10"/>
  <c r="ODF1" i="10"/>
  <c r="ODE1" i="10"/>
  <c r="ODD1" i="10"/>
  <c r="ODC1" i="10"/>
  <c r="ODB1" i="10"/>
  <c r="ODA1" i="10"/>
  <c r="OCZ1" i="10"/>
  <c r="OCY1" i="10"/>
  <c r="OCX1" i="10"/>
  <c r="OCW1" i="10"/>
  <c r="OCV1" i="10"/>
  <c r="OCU1" i="10"/>
  <c r="OCT1" i="10"/>
  <c r="OCS1" i="10"/>
  <c r="OCR1" i="10"/>
  <c r="OCQ1" i="10"/>
  <c r="OCP1" i="10"/>
  <c r="OCO1" i="10"/>
  <c r="OCN1" i="10"/>
  <c r="OCM1" i="10"/>
  <c r="OCL1" i="10"/>
  <c r="OCK1" i="10"/>
  <c r="OCJ1" i="10"/>
  <c r="OCI1" i="10"/>
  <c r="OCH1" i="10"/>
  <c r="OCG1" i="10"/>
  <c r="OCF1" i="10"/>
  <c r="OCE1" i="10"/>
  <c r="OCD1" i="10"/>
  <c r="OCC1" i="10"/>
  <c r="OCB1" i="10"/>
  <c r="OCA1" i="10"/>
  <c r="OBZ1" i="10"/>
  <c r="OBY1" i="10"/>
  <c r="OBX1" i="10"/>
  <c r="OBW1" i="10"/>
  <c r="OBV1" i="10"/>
  <c r="OBU1" i="10"/>
  <c r="OBT1" i="10"/>
  <c r="OBS1" i="10"/>
  <c r="OBR1" i="10"/>
  <c r="OBQ1" i="10"/>
  <c r="OBP1" i="10"/>
  <c r="OBO1" i="10"/>
  <c r="OBN1" i="10"/>
  <c r="OBM1" i="10"/>
  <c r="OBL1" i="10"/>
  <c r="OBK1" i="10"/>
  <c r="OBJ1" i="10"/>
  <c r="OBI1" i="10"/>
  <c r="OBH1" i="10"/>
  <c r="OBG1" i="10"/>
  <c r="OBF1" i="10"/>
  <c r="OBE1" i="10"/>
  <c r="OBD1" i="10"/>
  <c r="OBC1" i="10"/>
  <c r="OBB1" i="10"/>
  <c r="OBA1" i="10"/>
  <c r="OAZ1" i="10"/>
  <c r="OAY1" i="10"/>
  <c r="OAX1" i="10"/>
  <c r="OAW1" i="10"/>
  <c r="OAV1" i="10"/>
  <c r="OAU1" i="10"/>
  <c r="OAT1" i="10"/>
  <c r="OAS1" i="10"/>
  <c r="OAR1" i="10"/>
  <c r="OAQ1" i="10"/>
  <c r="OAP1" i="10"/>
  <c r="OAO1" i="10"/>
  <c r="OAN1" i="10"/>
  <c r="OAM1" i="10"/>
  <c r="OAL1" i="10"/>
  <c r="OAK1" i="10"/>
  <c r="OAJ1" i="10"/>
  <c r="OAI1" i="10"/>
  <c r="OAH1" i="10"/>
  <c r="OAG1" i="10"/>
  <c r="OAF1" i="10"/>
  <c r="OAE1" i="10"/>
  <c r="OAD1" i="10"/>
  <c r="OAC1" i="10"/>
  <c r="OAB1" i="10"/>
  <c r="OAA1" i="10"/>
  <c r="NZZ1" i="10"/>
  <c r="NZY1" i="10"/>
  <c r="NZX1" i="10"/>
  <c r="NZW1" i="10"/>
  <c r="NZV1" i="10"/>
  <c r="NZU1" i="10"/>
  <c r="NZT1" i="10"/>
  <c r="NZS1" i="10"/>
  <c r="NZR1" i="10"/>
  <c r="NZQ1" i="10"/>
  <c r="NZP1" i="10"/>
  <c r="NZO1" i="10"/>
  <c r="NZN1" i="10"/>
  <c r="NZM1" i="10"/>
  <c r="NZL1" i="10"/>
  <c r="NZK1" i="10"/>
  <c r="NZJ1" i="10"/>
  <c r="NZI1" i="10"/>
  <c r="NZH1" i="10"/>
  <c r="NZG1" i="10"/>
  <c r="NZF1" i="10"/>
  <c r="NZE1" i="10"/>
  <c r="NZD1" i="10"/>
  <c r="NZC1" i="10"/>
  <c r="NZB1" i="10"/>
  <c r="NZA1" i="10"/>
  <c r="NYZ1" i="10"/>
  <c r="NYY1" i="10"/>
  <c r="NYX1" i="10"/>
  <c r="NYW1" i="10"/>
  <c r="NYV1" i="10"/>
  <c r="NYU1" i="10"/>
  <c r="NYT1" i="10"/>
  <c r="NYS1" i="10"/>
  <c r="NYR1" i="10"/>
  <c r="NYQ1" i="10"/>
  <c r="NYP1" i="10"/>
  <c r="NYO1" i="10"/>
  <c r="NYN1" i="10"/>
  <c r="NYM1" i="10"/>
  <c r="NYL1" i="10"/>
  <c r="NYK1" i="10"/>
  <c r="NYJ1" i="10"/>
  <c r="NYI1" i="10"/>
  <c r="NYH1" i="10"/>
  <c r="NYG1" i="10"/>
  <c r="NYF1" i="10"/>
  <c r="NYE1" i="10"/>
  <c r="NYD1" i="10"/>
  <c r="NYC1" i="10"/>
  <c r="NYB1" i="10"/>
  <c r="NYA1" i="10"/>
  <c r="NXZ1" i="10"/>
  <c r="NXY1" i="10"/>
  <c r="NXX1" i="10"/>
  <c r="NXW1" i="10"/>
  <c r="NXV1" i="10"/>
  <c r="NXU1" i="10"/>
  <c r="NXT1" i="10"/>
  <c r="NXS1" i="10"/>
  <c r="NXR1" i="10"/>
  <c r="NXQ1" i="10"/>
  <c r="NXP1" i="10"/>
  <c r="NXO1" i="10"/>
  <c r="NXN1" i="10"/>
  <c r="NXM1" i="10"/>
  <c r="NXL1" i="10"/>
  <c r="NXK1" i="10"/>
  <c r="NXJ1" i="10"/>
  <c r="NXI1" i="10"/>
  <c r="NXH1" i="10"/>
  <c r="NXG1" i="10"/>
  <c r="NXF1" i="10"/>
  <c r="NXE1" i="10"/>
  <c r="NXD1" i="10"/>
  <c r="NXC1" i="10"/>
  <c r="NXB1" i="10"/>
  <c r="NXA1" i="10"/>
  <c r="NWZ1" i="10"/>
  <c r="NWY1" i="10"/>
  <c r="NWX1" i="10"/>
  <c r="NWW1" i="10"/>
  <c r="NWV1" i="10"/>
  <c r="NWU1" i="10"/>
  <c r="NWT1" i="10"/>
  <c r="NWS1" i="10"/>
  <c r="NWR1" i="10"/>
  <c r="NWQ1" i="10"/>
  <c r="NWP1" i="10"/>
  <c r="NWO1" i="10"/>
  <c r="NWN1" i="10"/>
  <c r="NWM1" i="10"/>
  <c r="NWL1" i="10"/>
  <c r="NWK1" i="10"/>
  <c r="NWJ1" i="10"/>
  <c r="NWI1" i="10"/>
  <c r="NWH1" i="10"/>
  <c r="NWG1" i="10"/>
  <c r="NWF1" i="10"/>
  <c r="NWE1" i="10"/>
  <c r="NWD1" i="10"/>
  <c r="NWC1" i="10"/>
  <c r="NWB1" i="10"/>
  <c r="NWA1" i="10"/>
  <c r="NVZ1" i="10"/>
  <c r="NVY1" i="10"/>
  <c r="NVX1" i="10"/>
  <c r="NVW1" i="10"/>
  <c r="NVV1" i="10"/>
  <c r="NVU1" i="10"/>
  <c r="NVT1" i="10"/>
  <c r="NVS1" i="10"/>
  <c r="NVR1" i="10"/>
  <c r="NVQ1" i="10"/>
  <c r="NVP1" i="10"/>
  <c r="NVO1" i="10"/>
  <c r="NVN1" i="10"/>
  <c r="NVM1" i="10"/>
  <c r="NVL1" i="10"/>
  <c r="NVK1" i="10"/>
  <c r="NVJ1" i="10"/>
  <c r="NVI1" i="10"/>
  <c r="NVH1" i="10"/>
  <c r="NVG1" i="10"/>
  <c r="NVF1" i="10"/>
  <c r="NVE1" i="10"/>
  <c r="NVD1" i="10"/>
  <c r="NVC1" i="10"/>
  <c r="NVB1" i="10"/>
  <c r="NVA1" i="10"/>
  <c r="NUZ1" i="10"/>
  <c r="NUY1" i="10"/>
  <c r="NUX1" i="10"/>
  <c r="NUW1" i="10"/>
  <c r="NUV1" i="10"/>
  <c r="NUU1" i="10"/>
  <c r="NUT1" i="10"/>
  <c r="NUS1" i="10"/>
  <c r="NUR1" i="10"/>
  <c r="NUQ1" i="10"/>
  <c r="NUP1" i="10"/>
  <c r="NUO1" i="10"/>
  <c r="NUN1" i="10"/>
  <c r="NUM1" i="10"/>
  <c r="NUL1" i="10"/>
  <c r="NUK1" i="10"/>
  <c r="NUJ1" i="10"/>
  <c r="NUI1" i="10"/>
  <c r="NUH1" i="10"/>
  <c r="NUG1" i="10"/>
  <c r="NUF1" i="10"/>
  <c r="NUE1" i="10"/>
  <c r="NUD1" i="10"/>
  <c r="NUC1" i="10"/>
  <c r="NUB1" i="10"/>
  <c r="NUA1" i="10"/>
  <c r="NTZ1" i="10"/>
  <c r="NTY1" i="10"/>
  <c r="NTX1" i="10"/>
  <c r="NTW1" i="10"/>
  <c r="NTV1" i="10"/>
  <c r="NTU1" i="10"/>
  <c r="NTT1" i="10"/>
  <c r="NTS1" i="10"/>
  <c r="NTR1" i="10"/>
  <c r="NTQ1" i="10"/>
  <c r="NTP1" i="10"/>
  <c r="NTO1" i="10"/>
  <c r="NTN1" i="10"/>
  <c r="NTM1" i="10"/>
  <c r="NTL1" i="10"/>
  <c r="NTK1" i="10"/>
  <c r="NTJ1" i="10"/>
  <c r="NTI1" i="10"/>
  <c r="NTH1" i="10"/>
  <c r="NTG1" i="10"/>
  <c r="NTF1" i="10"/>
  <c r="NTE1" i="10"/>
  <c r="NTD1" i="10"/>
  <c r="NTC1" i="10"/>
  <c r="NTB1" i="10"/>
  <c r="NTA1" i="10"/>
  <c r="NSZ1" i="10"/>
  <c r="NSY1" i="10"/>
  <c r="NSX1" i="10"/>
  <c r="NSW1" i="10"/>
  <c r="NSV1" i="10"/>
  <c r="NSU1" i="10"/>
  <c r="NST1" i="10"/>
  <c r="NSS1" i="10"/>
  <c r="NSR1" i="10"/>
  <c r="NSQ1" i="10"/>
  <c r="NSP1" i="10"/>
  <c r="NSO1" i="10"/>
  <c r="NSN1" i="10"/>
  <c r="NSM1" i="10"/>
  <c r="NSL1" i="10"/>
  <c r="NSK1" i="10"/>
  <c r="NSJ1" i="10"/>
  <c r="NSI1" i="10"/>
  <c r="NSH1" i="10"/>
  <c r="NSG1" i="10"/>
  <c r="NSF1" i="10"/>
  <c r="NSE1" i="10"/>
  <c r="NSD1" i="10"/>
  <c r="NSC1" i="10"/>
  <c r="NSB1" i="10"/>
  <c r="NSA1" i="10"/>
  <c r="NRZ1" i="10"/>
  <c r="NRY1" i="10"/>
  <c r="NRX1" i="10"/>
  <c r="NRW1" i="10"/>
  <c r="NRV1" i="10"/>
  <c r="NRU1" i="10"/>
  <c r="NRT1" i="10"/>
  <c r="NRS1" i="10"/>
  <c r="NRR1" i="10"/>
  <c r="NRQ1" i="10"/>
  <c r="NRP1" i="10"/>
  <c r="NRO1" i="10"/>
  <c r="NRN1" i="10"/>
  <c r="NRM1" i="10"/>
  <c r="NRL1" i="10"/>
  <c r="NRK1" i="10"/>
  <c r="NRJ1" i="10"/>
  <c r="NRI1" i="10"/>
  <c r="NRH1" i="10"/>
  <c r="NRG1" i="10"/>
  <c r="NRF1" i="10"/>
  <c r="NRE1" i="10"/>
  <c r="NRD1" i="10"/>
  <c r="NRC1" i="10"/>
  <c r="NRB1" i="10"/>
  <c r="NRA1" i="10"/>
  <c r="NQZ1" i="10"/>
  <c r="NQY1" i="10"/>
  <c r="NQX1" i="10"/>
  <c r="NQW1" i="10"/>
  <c r="NQV1" i="10"/>
  <c r="NQU1" i="10"/>
  <c r="NQT1" i="10"/>
  <c r="NQS1" i="10"/>
  <c r="NQR1" i="10"/>
  <c r="NQQ1" i="10"/>
  <c r="NQP1" i="10"/>
  <c r="NQO1" i="10"/>
  <c r="NQN1" i="10"/>
  <c r="NQM1" i="10"/>
  <c r="NQL1" i="10"/>
  <c r="NQK1" i="10"/>
  <c r="NQJ1" i="10"/>
  <c r="NQI1" i="10"/>
  <c r="NQH1" i="10"/>
  <c r="NQG1" i="10"/>
  <c r="NQF1" i="10"/>
  <c r="NQE1" i="10"/>
  <c r="NQD1" i="10"/>
  <c r="NQC1" i="10"/>
  <c r="NQB1" i="10"/>
  <c r="NQA1" i="10"/>
  <c r="NPZ1" i="10"/>
  <c r="NPY1" i="10"/>
  <c r="NPX1" i="10"/>
  <c r="NPW1" i="10"/>
  <c r="NPV1" i="10"/>
  <c r="NPU1" i="10"/>
  <c r="NPT1" i="10"/>
  <c r="NPS1" i="10"/>
  <c r="NPR1" i="10"/>
  <c r="NPQ1" i="10"/>
  <c r="NPP1" i="10"/>
  <c r="NPO1" i="10"/>
  <c r="NPN1" i="10"/>
  <c r="NPM1" i="10"/>
  <c r="NPL1" i="10"/>
  <c r="NPK1" i="10"/>
  <c r="NPJ1" i="10"/>
  <c r="NPI1" i="10"/>
  <c r="NPH1" i="10"/>
  <c r="NPG1" i="10"/>
  <c r="NPF1" i="10"/>
  <c r="NPE1" i="10"/>
  <c r="NPD1" i="10"/>
  <c r="NPC1" i="10"/>
  <c r="NPB1" i="10"/>
  <c r="NPA1" i="10"/>
  <c r="NOZ1" i="10"/>
  <c r="NOY1" i="10"/>
  <c r="NOX1" i="10"/>
  <c r="NOW1" i="10"/>
  <c r="NOV1" i="10"/>
  <c r="NOU1" i="10"/>
  <c r="NOT1" i="10"/>
  <c r="NOS1" i="10"/>
  <c r="NOR1" i="10"/>
  <c r="NOQ1" i="10"/>
  <c r="NOP1" i="10"/>
  <c r="NOO1" i="10"/>
  <c r="NON1" i="10"/>
  <c r="NOM1" i="10"/>
  <c r="NOL1" i="10"/>
  <c r="NOK1" i="10"/>
  <c r="NOJ1" i="10"/>
  <c r="NOI1" i="10"/>
  <c r="NOH1" i="10"/>
  <c r="NOG1" i="10"/>
  <c r="NOF1" i="10"/>
  <c r="NOE1" i="10"/>
  <c r="NOD1" i="10"/>
  <c r="NOC1" i="10"/>
  <c r="NOB1" i="10"/>
  <c r="NOA1" i="10"/>
  <c r="NNZ1" i="10"/>
  <c r="NNY1" i="10"/>
  <c r="NNX1" i="10"/>
  <c r="NNW1" i="10"/>
  <c r="NNV1" i="10"/>
  <c r="NNU1" i="10"/>
  <c r="NNT1" i="10"/>
  <c r="NNS1" i="10"/>
  <c r="NNR1" i="10"/>
  <c r="NNQ1" i="10"/>
  <c r="NNP1" i="10"/>
  <c r="NNO1" i="10"/>
  <c r="NNN1" i="10"/>
  <c r="NNM1" i="10"/>
  <c r="NNL1" i="10"/>
  <c r="NNK1" i="10"/>
  <c r="NNJ1" i="10"/>
  <c r="NNI1" i="10"/>
  <c r="NNH1" i="10"/>
  <c r="NNG1" i="10"/>
  <c r="NNF1" i="10"/>
  <c r="NNE1" i="10"/>
  <c r="NND1" i="10"/>
  <c r="NNC1" i="10"/>
  <c r="NNB1" i="10"/>
  <c r="NNA1" i="10"/>
  <c r="NMZ1" i="10"/>
  <c r="NMY1" i="10"/>
  <c r="NMX1" i="10"/>
  <c r="NMW1" i="10"/>
  <c r="NMV1" i="10"/>
  <c r="NMU1" i="10"/>
  <c r="NMT1" i="10"/>
  <c r="NMS1" i="10"/>
  <c r="NMR1" i="10"/>
  <c r="NMQ1" i="10"/>
  <c r="NMP1" i="10"/>
  <c r="NMO1" i="10"/>
  <c r="NMN1" i="10"/>
  <c r="NMM1" i="10"/>
  <c r="NML1" i="10"/>
  <c r="NMK1" i="10"/>
  <c r="NMJ1" i="10"/>
  <c r="NMI1" i="10"/>
  <c r="NMH1" i="10"/>
  <c r="NMG1" i="10"/>
  <c r="NMF1" i="10"/>
  <c r="NME1" i="10"/>
  <c r="NMD1" i="10"/>
  <c r="NMC1" i="10"/>
  <c r="NMB1" i="10"/>
  <c r="NMA1" i="10"/>
  <c r="NLZ1" i="10"/>
  <c r="NLY1" i="10"/>
  <c r="NLX1" i="10"/>
  <c r="NLW1" i="10"/>
  <c r="NLV1" i="10"/>
  <c r="NLU1" i="10"/>
  <c r="NLT1" i="10"/>
  <c r="NLS1" i="10"/>
  <c r="NLR1" i="10"/>
  <c r="NLQ1" i="10"/>
  <c r="NLP1" i="10"/>
  <c r="NLO1" i="10"/>
  <c r="NLN1" i="10"/>
  <c r="NLM1" i="10"/>
  <c r="NLL1" i="10"/>
  <c r="NLK1" i="10"/>
  <c r="NLJ1" i="10"/>
  <c r="NLI1" i="10"/>
  <c r="NLH1" i="10"/>
  <c r="NLG1" i="10"/>
  <c r="NLF1" i="10"/>
  <c r="NLE1" i="10"/>
  <c r="NLD1" i="10"/>
  <c r="NLC1" i="10"/>
  <c r="NLB1" i="10"/>
  <c r="NLA1" i="10"/>
  <c r="NKZ1" i="10"/>
  <c r="NKY1" i="10"/>
  <c r="NKX1" i="10"/>
  <c r="NKW1" i="10"/>
  <c r="NKV1" i="10"/>
  <c r="NKU1" i="10"/>
  <c r="NKT1" i="10"/>
  <c r="NKS1" i="10"/>
  <c r="NKR1" i="10"/>
  <c r="NKQ1" i="10"/>
  <c r="NKP1" i="10"/>
  <c r="NKO1" i="10"/>
  <c r="NKN1" i="10"/>
  <c r="NKM1" i="10"/>
  <c r="NKL1" i="10"/>
  <c r="NKK1" i="10"/>
  <c r="NKJ1" i="10"/>
  <c r="NKI1" i="10"/>
  <c r="NKH1" i="10"/>
  <c r="NKG1" i="10"/>
  <c r="NKF1" i="10"/>
  <c r="NKE1" i="10"/>
  <c r="NKD1" i="10"/>
  <c r="NKC1" i="10"/>
  <c r="NKB1" i="10"/>
  <c r="NKA1" i="10"/>
  <c r="NJZ1" i="10"/>
  <c r="NJY1" i="10"/>
  <c r="NJX1" i="10"/>
  <c r="NJW1" i="10"/>
  <c r="NJV1" i="10"/>
  <c r="NJU1" i="10"/>
  <c r="NJT1" i="10"/>
  <c r="NJS1" i="10"/>
  <c r="NJR1" i="10"/>
  <c r="NJQ1" i="10"/>
  <c r="NJP1" i="10"/>
  <c r="NJO1" i="10"/>
  <c r="NJN1" i="10"/>
  <c r="NJM1" i="10"/>
  <c r="NJL1" i="10"/>
  <c r="NJK1" i="10"/>
  <c r="NJJ1" i="10"/>
  <c r="NJI1" i="10"/>
  <c r="NJH1" i="10"/>
  <c r="NJG1" i="10"/>
  <c r="NJF1" i="10"/>
  <c r="NJE1" i="10"/>
  <c r="NJD1" i="10"/>
  <c r="NJC1" i="10"/>
  <c r="NJB1" i="10"/>
  <c r="NJA1" i="10"/>
  <c r="NIZ1" i="10"/>
  <c r="NIY1" i="10"/>
  <c r="NIX1" i="10"/>
  <c r="NIW1" i="10"/>
  <c r="NIV1" i="10"/>
  <c r="NIU1" i="10"/>
  <c r="NIT1" i="10"/>
  <c r="NIS1" i="10"/>
  <c r="NIR1" i="10"/>
  <c r="NIQ1" i="10"/>
  <c r="NIP1" i="10"/>
  <c r="NIO1" i="10"/>
  <c r="NIN1" i="10"/>
  <c r="NIM1" i="10"/>
  <c r="NIL1" i="10"/>
  <c r="NIK1" i="10"/>
  <c r="NIJ1" i="10"/>
  <c r="NII1" i="10"/>
  <c r="NIH1" i="10"/>
  <c r="NIG1" i="10"/>
  <c r="NIF1" i="10"/>
  <c r="NIE1" i="10"/>
  <c r="NID1" i="10"/>
  <c r="NIC1" i="10"/>
  <c r="NIB1" i="10"/>
  <c r="NIA1" i="10"/>
  <c r="NHZ1" i="10"/>
  <c r="NHY1" i="10"/>
  <c r="NHX1" i="10"/>
  <c r="NHW1" i="10"/>
  <c r="NHV1" i="10"/>
  <c r="NHU1" i="10"/>
  <c r="NHT1" i="10"/>
  <c r="NHS1" i="10"/>
  <c r="NHR1" i="10"/>
  <c r="NHQ1" i="10"/>
  <c r="NHP1" i="10"/>
  <c r="NHO1" i="10"/>
  <c r="NHN1" i="10"/>
  <c r="NHM1" i="10"/>
  <c r="NHL1" i="10"/>
  <c r="NHK1" i="10"/>
  <c r="NHJ1" i="10"/>
  <c r="NHI1" i="10"/>
  <c r="NHH1" i="10"/>
  <c r="NHG1" i="10"/>
  <c r="NHF1" i="10"/>
  <c r="NHE1" i="10"/>
  <c r="NHD1" i="10"/>
  <c r="NHC1" i="10"/>
  <c r="NHB1" i="10"/>
  <c r="NHA1" i="10"/>
  <c r="NGZ1" i="10"/>
  <c r="NGY1" i="10"/>
  <c r="NGX1" i="10"/>
  <c r="NGW1" i="10"/>
  <c r="NGV1" i="10"/>
  <c r="NGU1" i="10"/>
  <c r="NGT1" i="10"/>
  <c r="NGS1" i="10"/>
  <c r="NGR1" i="10"/>
  <c r="NGQ1" i="10"/>
  <c r="NGP1" i="10"/>
  <c r="NGO1" i="10"/>
  <c r="NGN1" i="10"/>
  <c r="NGM1" i="10"/>
  <c r="NGL1" i="10"/>
  <c r="NGK1" i="10"/>
  <c r="NGJ1" i="10"/>
  <c r="NGI1" i="10"/>
  <c r="NGH1" i="10"/>
  <c r="NGG1" i="10"/>
  <c r="NGF1" i="10"/>
  <c r="NGE1" i="10"/>
  <c r="NGD1" i="10"/>
  <c r="NGC1" i="10"/>
  <c r="NGB1" i="10"/>
  <c r="NGA1" i="10"/>
  <c r="NFZ1" i="10"/>
  <c r="NFY1" i="10"/>
  <c r="NFX1" i="10"/>
  <c r="NFW1" i="10"/>
  <c r="NFV1" i="10"/>
  <c r="NFU1" i="10"/>
  <c r="NFT1" i="10"/>
  <c r="NFS1" i="10"/>
  <c r="NFR1" i="10"/>
  <c r="NFQ1" i="10"/>
  <c r="NFP1" i="10"/>
  <c r="NFO1" i="10"/>
  <c r="NFN1" i="10"/>
  <c r="NFM1" i="10"/>
  <c r="NFL1" i="10"/>
  <c r="NFK1" i="10"/>
  <c r="NFJ1" i="10"/>
  <c r="NFI1" i="10"/>
  <c r="NFH1" i="10"/>
  <c r="NFG1" i="10"/>
  <c r="NFF1" i="10"/>
  <c r="NFE1" i="10"/>
  <c r="NFD1" i="10"/>
  <c r="NFC1" i="10"/>
  <c r="NFB1" i="10"/>
  <c r="NFA1" i="10"/>
  <c r="NEZ1" i="10"/>
  <c r="NEY1" i="10"/>
  <c r="NEX1" i="10"/>
  <c r="NEW1" i="10"/>
  <c r="NEV1" i="10"/>
  <c r="NEU1" i="10"/>
  <c r="NET1" i="10"/>
  <c r="NES1" i="10"/>
  <c r="NER1" i="10"/>
  <c r="NEQ1" i="10"/>
  <c r="NEP1" i="10"/>
  <c r="NEO1" i="10"/>
  <c r="NEN1" i="10"/>
  <c r="NEM1" i="10"/>
  <c r="NEL1" i="10"/>
  <c r="NEK1" i="10"/>
  <c r="NEJ1" i="10"/>
  <c r="NEI1" i="10"/>
  <c r="NEH1" i="10"/>
  <c r="NEG1" i="10"/>
  <c r="NEF1" i="10"/>
  <c r="NEE1" i="10"/>
  <c r="NED1" i="10"/>
  <c r="NEC1" i="10"/>
  <c r="NEB1" i="10"/>
  <c r="NEA1" i="10"/>
  <c r="NDZ1" i="10"/>
  <c r="NDY1" i="10"/>
  <c r="NDX1" i="10"/>
  <c r="NDW1" i="10"/>
  <c r="NDV1" i="10"/>
  <c r="NDU1" i="10"/>
  <c r="NDT1" i="10"/>
  <c r="NDS1" i="10"/>
  <c r="NDR1" i="10"/>
  <c r="NDQ1" i="10"/>
  <c r="NDP1" i="10"/>
  <c r="NDO1" i="10"/>
  <c r="NDN1" i="10"/>
  <c r="NDM1" i="10"/>
  <c r="NDL1" i="10"/>
  <c r="NDK1" i="10"/>
  <c r="NDJ1" i="10"/>
  <c r="NDI1" i="10"/>
  <c r="NDH1" i="10"/>
  <c r="NDG1" i="10"/>
  <c r="NDF1" i="10"/>
  <c r="NDE1" i="10"/>
  <c r="NDD1" i="10"/>
  <c r="NDC1" i="10"/>
  <c r="NDB1" i="10"/>
  <c r="NDA1" i="10"/>
  <c r="NCZ1" i="10"/>
  <c r="NCY1" i="10"/>
  <c r="NCX1" i="10"/>
  <c r="NCW1" i="10"/>
  <c r="NCV1" i="10"/>
  <c r="NCU1" i="10"/>
  <c r="NCT1" i="10"/>
  <c r="NCS1" i="10"/>
  <c r="NCR1" i="10"/>
  <c r="NCQ1" i="10"/>
  <c r="NCP1" i="10"/>
  <c r="NCO1" i="10"/>
  <c r="NCN1" i="10"/>
  <c r="NCM1" i="10"/>
  <c r="NCL1" i="10"/>
  <c r="NCK1" i="10"/>
  <c r="NCJ1" i="10"/>
  <c r="NCI1" i="10"/>
  <c r="NCH1" i="10"/>
  <c r="NCG1" i="10"/>
  <c r="NCF1" i="10"/>
  <c r="NCE1" i="10"/>
  <c r="NCD1" i="10"/>
  <c r="NCC1" i="10"/>
  <c r="NCB1" i="10"/>
  <c r="NCA1" i="10"/>
  <c r="NBZ1" i="10"/>
  <c r="NBY1" i="10"/>
  <c r="NBX1" i="10"/>
  <c r="NBW1" i="10"/>
  <c r="NBV1" i="10"/>
  <c r="NBU1" i="10"/>
  <c r="NBT1" i="10"/>
  <c r="NBS1" i="10"/>
  <c r="NBR1" i="10"/>
  <c r="NBQ1" i="10"/>
  <c r="NBP1" i="10"/>
  <c r="NBO1" i="10"/>
  <c r="NBN1" i="10"/>
  <c r="NBM1" i="10"/>
  <c r="NBL1" i="10"/>
  <c r="NBK1" i="10"/>
  <c r="NBJ1" i="10"/>
  <c r="NBI1" i="10"/>
  <c r="NBH1" i="10"/>
  <c r="NBG1" i="10"/>
  <c r="NBF1" i="10"/>
  <c r="NBE1" i="10"/>
  <c r="NBD1" i="10"/>
  <c r="NBC1" i="10"/>
  <c r="NBB1" i="10"/>
  <c r="NBA1" i="10"/>
  <c r="NAZ1" i="10"/>
  <c r="NAY1" i="10"/>
  <c r="NAX1" i="10"/>
  <c r="NAW1" i="10"/>
  <c r="NAV1" i="10"/>
  <c r="NAU1" i="10"/>
  <c r="NAT1" i="10"/>
  <c r="NAS1" i="10"/>
  <c r="NAR1" i="10"/>
  <c r="NAQ1" i="10"/>
  <c r="NAP1" i="10"/>
  <c r="NAO1" i="10"/>
  <c r="NAN1" i="10"/>
  <c r="NAM1" i="10"/>
  <c r="NAL1" i="10"/>
  <c r="NAK1" i="10"/>
  <c r="NAJ1" i="10"/>
  <c r="NAI1" i="10"/>
  <c r="NAH1" i="10"/>
  <c r="NAG1" i="10"/>
  <c r="NAF1" i="10"/>
  <c r="NAE1" i="10"/>
  <c r="NAD1" i="10"/>
  <c r="NAC1" i="10"/>
  <c r="NAB1" i="10"/>
  <c r="NAA1" i="10"/>
  <c r="MZZ1" i="10"/>
  <c r="MZY1" i="10"/>
  <c r="MZX1" i="10"/>
  <c r="MZW1" i="10"/>
  <c r="MZV1" i="10"/>
  <c r="MZU1" i="10"/>
  <c r="MZT1" i="10"/>
  <c r="MZS1" i="10"/>
  <c r="MZR1" i="10"/>
  <c r="MZQ1" i="10"/>
  <c r="MZP1" i="10"/>
  <c r="MZO1" i="10"/>
  <c r="MZN1" i="10"/>
  <c r="MZM1" i="10"/>
  <c r="MZL1" i="10"/>
  <c r="MZK1" i="10"/>
  <c r="MZJ1" i="10"/>
  <c r="MZI1" i="10"/>
  <c r="MZH1" i="10"/>
  <c r="MZG1" i="10"/>
  <c r="MZF1" i="10"/>
  <c r="MZE1" i="10"/>
  <c r="MZD1" i="10"/>
  <c r="MZC1" i="10"/>
  <c r="MZB1" i="10"/>
  <c r="MZA1" i="10"/>
  <c r="MYZ1" i="10"/>
  <c r="MYY1" i="10"/>
  <c r="MYX1" i="10"/>
  <c r="MYW1" i="10"/>
  <c r="MYV1" i="10"/>
  <c r="MYU1" i="10"/>
  <c r="MYT1" i="10"/>
  <c r="MYS1" i="10"/>
  <c r="MYR1" i="10"/>
  <c r="MYQ1" i="10"/>
  <c r="MYP1" i="10"/>
  <c r="MYO1" i="10"/>
  <c r="MYN1" i="10"/>
  <c r="MYM1" i="10"/>
  <c r="MYL1" i="10"/>
  <c r="MYK1" i="10"/>
  <c r="MYJ1" i="10"/>
  <c r="MYI1" i="10"/>
  <c r="MYH1" i="10"/>
  <c r="MYG1" i="10"/>
  <c r="MYF1" i="10"/>
  <c r="MYE1" i="10"/>
  <c r="MYD1" i="10"/>
  <c r="MYC1" i="10"/>
  <c r="MYB1" i="10"/>
  <c r="MYA1" i="10"/>
  <c r="MXZ1" i="10"/>
  <c r="MXY1" i="10"/>
  <c r="MXX1" i="10"/>
  <c r="MXW1" i="10"/>
  <c r="MXV1" i="10"/>
  <c r="MXU1" i="10"/>
  <c r="MXT1" i="10"/>
  <c r="MXS1" i="10"/>
  <c r="MXR1" i="10"/>
  <c r="MXQ1" i="10"/>
  <c r="MXP1" i="10"/>
  <c r="MXO1" i="10"/>
  <c r="MXN1" i="10"/>
  <c r="MXM1" i="10"/>
  <c r="MXL1" i="10"/>
  <c r="MXK1" i="10"/>
  <c r="MXJ1" i="10"/>
  <c r="MXI1" i="10"/>
  <c r="MXH1" i="10"/>
  <c r="MXG1" i="10"/>
  <c r="MXF1" i="10"/>
  <c r="MXE1" i="10"/>
  <c r="MXD1" i="10"/>
  <c r="MXC1" i="10"/>
  <c r="MXB1" i="10"/>
  <c r="MXA1" i="10"/>
  <c r="MWZ1" i="10"/>
  <c r="MWY1" i="10"/>
  <c r="MWX1" i="10"/>
  <c r="MWW1" i="10"/>
  <c r="MWV1" i="10"/>
  <c r="MWU1" i="10"/>
  <c r="MWT1" i="10"/>
  <c r="MWS1" i="10"/>
  <c r="MWR1" i="10"/>
  <c r="MWQ1" i="10"/>
  <c r="MWP1" i="10"/>
  <c r="MWO1" i="10"/>
  <c r="MWN1" i="10"/>
  <c r="MWM1" i="10"/>
  <c r="MWL1" i="10"/>
  <c r="MWK1" i="10"/>
  <c r="MWJ1" i="10"/>
  <c r="MWI1" i="10"/>
  <c r="MWH1" i="10"/>
  <c r="MWG1" i="10"/>
  <c r="MWF1" i="10"/>
  <c r="MWE1" i="10"/>
  <c r="MWD1" i="10"/>
  <c r="MWC1" i="10"/>
  <c r="MWB1" i="10"/>
  <c r="MWA1" i="10"/>
  <c r="MVZ1" i="10"/>
  <c r="MVY1" i="10"/>
  <c r="MVX1" i="10"/>
  <c r="MVW1" i="10"/>
  <c r="MVV1" i="10"/>
  <c r="MVU1" i="10"/>
  <c r="MVT1" i="10"/>
  <c r="MVS1" i="10"/>
  <c r="MVR1" i="10"/>
  <c r="MVQ1" i="10"/>
  <c r="MVP1" i="10"/>
  <c r="MVO1" i="10"/>
  <c r="MVN1" i="10"/>
  <c r="MVM1" i="10"/>
  <c r="MVL1" i="10"/>
  <c r="MVK1" i="10"/>
  <c r="MVJ1" i="10"/>
  <c r="MVI1" i="10"/>
  <c r="MVH1" i="10"/>
  <c r="MVG1" i="10"/>
  <c r="MVF1" i="10"/>
  <c r="MVE1" i="10"/>
  <c r="MVD1" i="10"/>
  <c r="MVC1" i="10"/>
  <c r="MVB1" i="10"/>
  <c r="MVA1" i="10"/>
  <c r="MUZ1" i="10"/>
  <c r="MUY1" i="10"/>
  <c r="MUX1" i="10"/>
  <c r="MUW1" i="10"/>
  <c r="MUV1" i="10"/>
  <c r="MUU1" i="10"/>
  <c r="MUT1" i="10"/>
  <c r="MUS1" i="10"/>
  <c r="MUR1" i="10"/>
  <c r="MUQ1" i="10"/>
  <c r="MUP1" i="10"/>
  <c r="MUO1" i="10"/>
  <c r="MUN1" i="10"/>
  <c r="MUM1" i="10"/>
  <c r="MUL1" i="10"/>
  <c r="MUK1" i="10"/>
  <c r="MUJ1" i="10"/>
  <c r="MUI1" i="10"/>
  <c r="MUH1" i="10"/>
  <c r="MUG1" i="10"/>
  <c r="MUF1" i="10"/>
  <c r="MUE1" i="10"/>
  <c r="MUD1" i="10"/>
  <c r="MUC1" i="10"/>
  <c r="MUB1" i="10"/>
  <c r="MUA1" i="10"/>
  <c r="MTZ1" i="10"/>
  <c r="MTY1" i="10"/>
  <c r="MTX1" i="10"/>
  <c r="MTW1" i="10"/>
  <c r="MTV1" i="10"/>
  <c r="MTU1" i="10"/>
  <c r="MTT1" i="10"/>
  <c r="MTS1" i="10"/>
  <c r="MTR1" i="10"/>
  <c r="MTQ1" i="10"/>
  <c r="MTP1" i="10"/>
  <c r="MTO1" i="10"/>
  <c r="MTN1" i="10"/>
  <c r="MTM1" i="10"/>
  <c r="MTL1" i="10"/>
  <c r="MTK1" i="10"/>
  <c r="MTJ1" i="10"/>
  <c r="MTI1" i="10"/>
  <c r="MTH1" i="10"/>
  <c r="MTG1" i="10"/>
  <c r="MTF1" i="10"/>
  <c r="MTE1" i="10"/>
  <c r="MTD1" i="10"/>
  <c r="MTC1" i="10"/>
  <c r="MTB1" i="10"/>
  <c r="MTA1" i="10"/>
  <c r="MSZ1" i="10"/>
  <c r="MSY1" i="10"/>
  <c r="MSX1" i="10"/>
  <c r="MSW1" i="10"/>
  <c r="MSV1" i="10"/>
  <c r="MSU1" i="10"/>
  <c r="MST1" i="10"/>
  <c r="MSS1" i="10"/>
  <c r="MSR1" i="10"/>
  <c r="MSQ1" i="10"/>
  <c r="MSP1" i="10"/>
  <c r="MSO1" i="10"/>
  <c r="MSN1" i="10"/>
  <c r="MSM1" i="10"/>
  <c r="MSL1" i="10"/>
  <c r="MSK1" i="10"/>
  <c r="MSJ1" i="10"/>
  <c r="MSI1" i="10"/>
  <c r="MSH1" i="10"/>
  <c r="MSG1" i="10"/>
  <c r="MSF1" i="10"/>
  <c r="MSE1" i="10"/>
  <c r="MSD1" i="10"/>
  <c r="MSC1" i="10"/>
  <c r="MSB1" i="10"/>
  <c r="MSA1" i="10"/>
  <c r="MRZ1" i="10"/>
  <c r="MRY1" i="10"/>
  <c r="MRX1" i="10"/>
  <c r="MRW1" i="10"/>
  <c r="MRV1" i="10"/>
  <c r="MRU1" i="10"/>
  <c r="MRT1" i="10"/>
  <c r="MRS1" i="10"/>
  <c r="MRR1" i="10"/>
  <c r="MRQ1" i="10"/>
  <c r="MRP1" i="10"/>
  <c r="MRO1" i="10"/>
  <c r="MRN1" i="10"/>
  <c r="MRM1" i="10"/>
  <c r="MRL1" i="10"/>
  <c r="MRK1" i="10"/>
  <c r="MRJ1" i="10"/>
  <c r="MRI1" i="10"/>
  <c r="MRH1" i="10"/>
  <c r="MRG1" i="10"/>
  <c r="MRF1" i="10"/>
  <c r="MRE1" i="10"/>
  <c r="MRD1" i="10"/>
  <c r="MRC1" i="10"/>
  <c r="MRB1" i="10"/>
  <c r="MRA1" i="10"/>
  <c r="MQZ1" i="10"/>
  <c r="MQY1" i="10"/>
  <c r="MQX1" i="10"/>
  <c r="MQW1" i="10"/>
  <c r="MQV1" i="10"/>
  <c r="MQU1" i="10"/>
  <c r="MQT1" i="10"/>
  <c r="MQS1" i="10"/>
  <c r="MQR1" i="10"/>
  <c r="MQQ1" i="10"/>
  <c r="MQP1" i="10"/>
  <c r="MQO1" i="10"/>
  <c r="MQN1" i="10"/>
  <c r="MQM1" i="10"/>
  <c r="MQL1" i="10"/>
  <c r="MQK1" i="10"/>
  <c r="MQJ1" i="10"/>
  <c r="MQI1" i="10"/>
  <c r="MQH1" i="10"/>
  <c r="MQG1" i="10"/>
  <c r="MQF1" i="10"/>
  <c r="MQE1" i="10"/>
  <c r="MQD1" i="10"/>
  <c r="MQC1" i="10"/>
  <c r="MQB1" i="10"/>
  <c r="MQA1" i="10"/>
  <c r="MPZ1" i="10"/>
  <c r="MPY1" i="10"/>
  <c r="MPX1" i="10"/>
  <c r="MPW1" i="10"/>
  <c r="MPV1" i="10"/>
  <c r="MPU1" i="10"/>
  <c r="MPT1" i="10"/>
  <c r="MPS1" i="10"/>
  <c r="MPR1" i="10"/>
  <c r="MPQ1" i="10"/>
  <c r="MPP1" i="10"/>
  <c r="MPO1" i="10"/>
  <c r="MPN1" i="10"/>
  <c r="MPM1" i="10"/>
  <c r="MPL1" i="10"/>
  <c r="MPK1" i="10"/>
  <c r="MPJ1" i="10"/>
  <c r="MPI1" i="10"/>
  <c r="MPH1" i="10"/>
  <c r="MPG1" i="10"/>
  <c r="MPF1" i="10"/>
  <c r="MPE1" i="10"/>
  <c r="MPD1" i="10"/>
  <c r="MPC1" i="10"/>
  <c r="MPB1" i="10"/>
  <c r="MPA1" i="10"/>
  <c r="MOZ1" i="10"/>
  <c r="MOY1" i="10"/>
  <c r="MOX1" i="10"/>
  <c r="MOW1" i="10"/>
  <c r="MOV1" i="10"/>
  <c r="MOU1" i="10"/>
  <c r="MOT1" i="10"/>
  <c r="MOS1" i="10"/>
  <c r="MOR1" i="10"/>
  <c r="MOQ1" i="10"/>
  <c r="MOP1" i="10"/>
  <c r="MOO1" i="10"/>
  <c r="MON1" i="10"/>
  <c r="MOM1" i="10"/>
  <c r="MOL1" i="10"/>
  <c r="MOK1" i="10"/>
  <c r="MOJ1" i="10"/>
  <c r="MOI1" i="10"/>
  <c r="MOH1" i="10"/>
  <c r="MOG1" i="10"/>
  <c r="MOF1" i="10"/>
  <c r="MOE1" i="10"/>
  <c r="MOD1" i="10"/>
  <c r="MOC1" i="10"/>
  <c r="MOB1" i="10"/>
  <c r="MOA1" i="10"/>
  <c r="MNZ1" i="10"/>
  <c r="MNY1" i="10"/>
  <c r="MNX1" i="10"/>
  <c r="MNW1" i="10"/>
  <c r="MNV1" i="10"/>
  <c r="MNU1" i="10"/>
  <c r="MNT1" i="10"/>
  <c r="MNS1" i="10"/>
  <c r="MNR1" i="10"/>
  <c r="MNQ1" i="10"/>
  <c r="MNP1" i="10"/>
  <c r="MNO1" i="10"/>
  <c r="MNN1" i="10"/>
  <c r="MNM1" i="10"/>
  <c r="MNL1" i="10"/>
  <c r="MNK1" i="10"/>
  <c r="MNJ1" i="10"/>
  <c r="MNI1" i="10"/>
  <c r="MNH1" i="10"/>
  <c r="MNG1" i="10"/>
  <c r="MNF1" i="10"/>
  <c r="MNE1" i="10"/>
  <c r="MND1" i="10"/>
  <c r="MNC1" i="10"/>
  <c r="MNB1" i="10"/>
  <c r="MNA1" i="10"/>
  <c r="MMZ1" i="10"/>
  <c r="MMY1" i="10"/>
  <c r="MMX1" i="10"/>
  <c r="MMW1" i="10"/>
  <c r="MMV1" i="10"/>
  <c r="MMU1" i="10"/>
  <c r="MMT1" i="10"/>
  <c r="MMS1" i="10"/>
  <c r="MMR1" i="10"/>
  <c r="MMQ1" i="10"/>
  <c r="MMP1" i="10"/>
  <c r="MMO1" i="10"/>
  <c r="MMN1" i="10"/>
  <c r="MMM1" i="10"/>
  <c r="MML1" i="10"/>
  <c r="MMK1" i="10"/>
  <c r="MMJ1" i="10"/>
  <c r="MMI1" i="10"/>
  <c r="MMH1" i="10"/>
  <c r="MMG1" i="10"/>
  <c r="MMF1" i="10"/>
  <c r="MME1" i="10"/>
  <c r="MMD1" i="10"/>
  <c r="MMC1" i="10"/>
  <c r="MMB1" i="10"/>
  <c r="MMA1" i="10"/>
  <c r="MLZ1" i="10"/>
  <c r="MLY1" i="10"/>
  <c r="MLX1" i="10"/>
  <c r="MLW1" i="10"/>
  <c r="MLV1" i="10"/>
  <c r="MLU1" i="10"/>
  <c r="MLT1" i="10"/>
  <c r="MLS1" i="10"/>
  <c r="MLR1" i="10"/>
  <c r="MLQ1" i="10"/>
  <c r="MLP1" i="10"/>
  <c r="MLO1" i="10"/>
  <c r="MLN1" i="10"/>
  <c r="MLM1" i="10"/>
  <c r="MLL1" i="10"/>
  <c r="MLK1" i="10"/>
  <c r="MLJ1" i="10"/>
  <c r="MLI1" i="10"/>
  <c r="MLH1" i="10"/>
  <c r="MLG1" i="10"/>
  <c r="MLF1" i="10"/>
  <c r="MLE1" i="10"/>
  <c r="MLD1" i="10"/>
  <c r="MLC1" i="10"/>
  <c r="MLB1" i="10"/>
  <c r="MLA1" i="10"/>
  <c r="MKZ1" i="10"/>
  <c r="MKY1" i="10"/>
  <c r="MKX1" i="10"/>
  <c r="MKW1" i="10"/>
  <c r="MKV1" i="10"/>
  <c r="MKU1" i="10"/>
  <c r="MKT1" i="10"/>
  <c r="MKS1" i="10"/>
  <c r="MKR1" i="10"/>
  <c r="MKQ1" i="10"/>
  <c r="MKP1" i="10"/>
  <c r="MKO1" i="10"/>
  <c r="MKN1" i="10"/>
  <c r="MKM1" i="10"/>
  <c r="MKL1" i="10"/>
  <c r="MKK1" i="10"/>
  <c r="MKJ1" i="10"/>
  <c r="MKI1" i="10"/>
  <c r="MKH1" i="10"/>
  <c r="MKG1" i="10"/>
  <c r="MKF1" i="10"/>
  <c r="MKE1" i="10"/>
  <c r="MKD1" i="10"/>
  <c r="MKC1" i="10"/>
  <c r="MKB1" i="10"/>
  <c r="MKA1" i="10"/>
  <c r="MJZ1" i="10"/>
  <c r="MJY1" i="10"/>
  <c r="MJX1" i="10"/>
  <c r="MJW1" i="10"/>
  <c r="MJV1" i="10"/>
  <c r="MJU1" i="10"/>
  <c r="MJT1" i="10"/>
  <c r="MJS1" i="10"/>
  <c r="MJR1" i="10"/>
  <c r="MJQ1" i="10"/>
  <c r="MJP1" i="10"/>
  <c r="MJO1" i="10"/>
  <c r="MJN1" i="10"/>
  <c r="MJM1" i="10"/>
  <c r="MJL1" i="10"/>
  <c r="MJK1" i="10"/>
  <c r="MJJ1" i="10"/>
  <c r="MJI1" i="10"/>
  <c r="MJH1" i="10"/>
  <c r="MJG1" i="10"/>
  <c r="MJF1" i="10"/>
  <c r="MJE1" i="10"/>
  <c r="MJD1" i="10"/>
  <c r="MJC1" i="10"/>
  <c r="MJB1" i="10"/>
  <c r="MJA1" i="10"/>
  <c r="MIZ1" i="10"/>
  <c r="MIY1" i="10"/>
  <c r="MIX1" i="10"/>
  <c r="MIW1" i="10"/>
  <c r="MIV1" i="10"/>
  <c r="MIU1" i="10"/>
  <c r="MIT1" i="10"/>
  <c r="MIS1" i="10"/>
  <c r="MIR1" i="10"/>
  <c r="MIQ1" i="10"/>
  <c r="MIP1" i="10"/>
  <c r="MIO1" i="10"/>
  <c r="MIN1" i="10"/>
  <c r="MIM1" i="10"/>
  <c r="MIL1" i="10"/>
  <c r="MIK1" i="10"/>
  <c r="MIJ1" i="10"/>
  <c r="MII1" i="10"/>
  <c r="MIH1" i="10"/>
  <c r="MIG1" i="10"/>
  <c r="MIF1" i="10"/>
  <c r="MIE1" i="10"/>
  <c r="MID1" i="10"/>
  <c r="MIC1" i="10"/>
  <c r="MIB1" i="10"/>
  <c r="MIA1" i="10"/>
  <c r="MHZ1" i="10"/>
  <c r="MHY1" i="10"/>
  <c r="MHX1" i="10"/>
  <c r="MHW1" i="10"/>
  <c r="MHV1" i="10"/>
  <c r="MHU1" i="10"/>
  <c r="MHT1" i="10"/>
  <c r="MHS1" i="10"/>
  <c r="MHR1" i="10"/>
  <c r="MHQ1" i="10"/>
  <c r="MHP1" i="10"/>
  <c r="MHO1" i="10"/>
  <c r="MHN1" i="10"/>
  <c r="MHM1" i="10"/>
  <c r="MHL1" i="10"/>
  <c r="MHK1" i="10"/>
  <c r="MHJ1" i="10"/>
  <c r="MHI1" i="10"/>
  <c r="MHH1" i="10"/>
  <c r="MHG1" i="10"/>
  <c r="MHF1" i="10"/>
  <c r="MHE1" i="10"/>
  <c r="MHD1" i="10"/>
  <c r="MHC1" i="10"/>
  <c r="MHB1" i="10"/>
  <c r="MHA1" i="10"/>
  <c r="MGZ1" i="10"/>
  <c r="MGY1" i="10"/>
  <c r="MGX1" i="10"/>
  <c r="MGW1" i="10"/>
  <c r="MGV1" i="10"/>
  <c r="MGU1" i="10"/>
  <c r="MGT1" i="10"/>
  <c r="MGS1" i="10"/>
  <c r="MGR1" i="10"/>
  <c r="MGQ1" i="10"/>
  <c r="MGP1" i="10"/>
  <c r="MGO1" i="10"/>
  <c r="MGN1" i="10"/>
  <c r="MGM1" i="10"/>
  <c r="MGL1" i="10"/>
  <c r="MGK1" i="10"/>
  <c r="MGJ1" i="10"/>
  <c r="MGI1" i="10"/>
  <c r="MGH1" i="10"/>
  <c r="MGG1" i="10"/>
  <c r="MGF1" i="10"/>
  <c r="MGE1" i="10"/>
  <c r="MGD1" i="10"/>
  <c r="MGC1" i="10"/>
  <c r="MGB1" i="10"/>
  <c r="MGA1" i="10"/>
  <c r="MFZ1" i="10"/>
  <c r="MFY1" i="10"/>
  <c r="MFX1" i="10"/>
  <c r="MFW1" i="10"/>
  <c r="MFV1" i="10"/>
  <c r="MFU1" i="10"/>
  <c r="MFT1" i="10"/>
  <c r="MFS1" i="10"/>
  <c r="MFR1" i="10"/>
  <c r="MFQ1" i="10"/>
  <c r="MFP1" i="10"/>
  <c r="MFO1" i="10"/>
  <c r="MFN1" i="10"/>
  <c r="MFM1" i="10"/>
  <c r="MFL1" i="10"/>
  <c r="MFK1" i="10"/>
  <c r="MFJ1" i="10"/>
  <c r="MFI1" i="10"/>
  <c r="MFH1" i="10"/>
  <c r="MFG1" i="10"/>
  <c r="MFF1" i="10"/>
  <c r="MFE1" i="10"/>
  <c r="MFD1" i="10"/>
  <c r="MFC1" i="10"/>
  <c r="MFB1" i="10"/>
  <c r="MFA1" i="10"/>
  <c r="MEZ1" i="10"/>
  <c r="MEY1" i="10"/>
  <c r="MEX1" i="10"/>
  <c r="MEW1" i="10"/>
  <c r="MEV1" i="10"/>
  <c r="MEU1" i="10"/>
  <c r="MET1" i="10"/>
  <c r="MES1" i="10"/>
  <c r="MER1" i="10"/>
  <c r="MEQ1" i="10"/>
  <c r="MEP1" i="10"/>
  <c r="MEO1" i="10"/>
  <c r="MEN1" i="10"/>
  <c r="MEM1" i="10"/>
  <c r="MEL1" i="10"/>
  <c r="MEK1" i="10"/>
  <c r="MEJ1" i="10"/>
  <c r="MEI1" i="10"/>
  <c r="MEH1" i="10"/>
  <c r="MEG1" i="10"/>
  <c r="MEF1" i="10"/>
  <c r="MEE1" i="10"/>
  <c r="MED1" i="10"/>
  <c r="MEC1" i="10"/>
  <c r="MEB1" i="10"/>
  <c r="MEA1" i="10"/>
  <c r="MDZ1" i="10"/>
  <c r="MDY1" i="10"/>
  <c r="MDX1" i="10"/>
  <c r="MDW1" i="10"/>
  <c r="MDV1" i="10"/>
  <c r="MDU1" i="10"/>
  <c r="MDT1" i="10"/>
  <c r="MDS1" i="10"/>
  <c r="MDR1" i="10"/>
  <c r="MDQ1" i="10"/>
  <c r="MDP1" i="10"/>
  <c r="MDO1" i="10"/>
  <c r="MDN1" i="10"/>
  <c r="MDM1" i="10"/>
  <c r="MDL1" i="10"/>
  <c r="MDK1" i="10"/>
  <c r="MDJ1" i="10"/>
  <c r="MDI1" i="10"/>
  <c r="MDH1" i="10"/>
  <c r="MDG1" i="10"/>
  <c r="MDF1" i="10"/>
  <c r="MDE1" i="10"/>
  <c r="MDD1" i="10"/>
  <c r="MDC1" i="10"/>
  <c r="MDB1" i="10"/>
  <c r="MDA1" i="10"/>
  <c r="MCZ1" i="10"/>
  <c r="MCY1" i="10"/>
  <c r="MCX1" i="10"/>
  <c r="MCW1" i="10"/>
  <c r="MCV1" i="10"/>
  <c r="MCU1" i="10"/>
  <c r="MCT1" i="10"/>
  <c r="MCS1" i="10"/>
  <c r="MCR1" i="10"/>
  <c r="MCQ1" i="10"/>
  <c r="MCP1" i="10"/>
  <c r="MCO1" i="10"/>
  <c r="MCN1" i="10"/>
  <c r="MCM1" i="10"/>
  <c r="MCL1" i="10"/>
  <c r="MCK1" i="10"/>
  <c r="MCJ1" i="10"/>
  <c r="MCI1" i="10"/>
  <c r="MCH1" i="10"/>
  <c r="MCG1" i="10"/>
  <c r="MCF1" i="10"/>
  <c r="MCE1" i="10"/>
  <c r="MCD1" i="10"/>
  <c r="MCC1" i="10"/>
  <c r="MCB1" i="10"/>
  <c r="MCA1" i="10"/>
  <c r="MBZ1" i="10"/>
  <c r="MBY1" i="10"/>
  <c r="MBX1" i="10"/>
  <c r="MBW1" i="10"/>
  <c r="MBV1" i="10"/>
  <c r="MBU1" i="10"/>
  <c r="MBT1" i="10"/>
  <c r="MBS1" i="10"/>
  <c r="MBR1" i="10"/>
  <c r="MBQ1" i="10"/>
  <c r="MBP1" i="10"/>
  <c r="MBO1" i="10"/>
  <c r="MBN1" i="10"/>
  <c r="MBM1" i="10"/>
  <c r="MBL1" i="10"/>
  <c r="MBK1" i="10"/>
  <c r="MBJ1" i="10"/>
  <c r="MBI1" i="10"/>
  <c r="MBH1" i="10"/>
  <c r="MBG1" i="10"/>
  <c r="MBF1" i="10"/>
  <c r="MBE1" i="10"/>
  <c r="MBD1" i="10"/>
  <c r="MBC1" i="10"/>
  <c r="MBB1" i="10"/>
  <c r="MBA1" i="10"/>
  <c r="MAZ1" i="10"/>
  <c r="MAY1" i="10"/>
  <c r="MAX1" i="10"/>
  <c r="MAW1" i="10"/>
  <c r="MAV1" i="10"/>
  <c r="MAU1" i="10"/>
  <c r="MAT1" i="10"/>
  <c r="MAS1" i="10"/>
  <c r="MAR1" i="10"/>
  <c r="MAQ1" i="10"/>
  <c r="MAP1" i="10"/>
  <c r="MAO1" i="10"/>
  <c r="MAN1" i="10"/>
  <c r="MAM1" i="10"/>
  <c r="MAL1" i="10"/>
  <c r="MAK1" i="10"/>
  <c r="MAJ1" i="10"/>
  <c r="MAI1" i="10"/>
  <c r="MAH1" i="10"/>
  <c r="MAG1" i="10"/>
  <c r="MAF1" i="10"/>
  <c r="MAE1" i="10"/>
  <c r="MAD1" i="10"/>
  <c r="MAC1" i="10"/>
  <c r="MAB1" i="10"/>
  <c r="MAA1" i="10"/>
  <c r="LZZ1" i="10"/>
  <c r="LZY1" i="10"/>
  <c r="LZX1" i="10"/>
  <c r="LZW1" i="10"/>
  <c r="LZV1" i="10"/>
  <c r="LZU1" i="10"/>
  <c r="LZT1" i="10"/>
  <c r="LZS1" i="10"/>
  <c r="LZR1" i="10"/>
  <c r="LZQ1" i="10"/>
  <c r="LZP1" i="10"/>
  <c r="LZO1" i="10"/>
  <c r="LZN1" i="10"/>
  <c r="LZM1" i="10"/>
  <c r="LZL1" i="10"/>
  <c r="LZK1" i="10"/>
  <c r="LZJ1" i="10"/>
  <c r="LZI1" i="10"/>
  <c r="LZH1" i="10"/>
  <c r="LZG1" i="10"/>
  <c r="LZF1" i="10"/>
  <c r="LZE1" i="10"/>
  <c r="LZD1" i="10"/>
  <c r="LZC1" i="10"/>
  <c r="LZB1" i="10"/>
  <c r="LZA1" i="10"/>
  <c r="LYZ1" i="10"/>
  <c r="LYY1" i="10"/>
  <c r="LYX1" i="10"/>
  <c r="LYW1" i="10"/>
  <c r="LYV1" i="10"/>
  <c r="LYU1" i="10"/>
  <c r="LYT1" i="10"/>
  <c r="LYS1" i="10"/>
  <c r="LYR1" i="10"/>
  <c r="LYQ1" i="10"/>
  <c r="LYP1" i="10"/>
  <c r="LYO1" i="10"/>
  <c r="LYN1" i="10"/>
  <c r="LYM1" i="10"/>
  <c r="LYL1" i="10"/>
  <c r="LYK1" i="10"/>
  <c r="LYJ1" i="10"/>
  <c r="LYI1" i="10"/>
  <c r="LYH1" i="10"/>
  <c r="LYG1" i="10"/>
  <c r="LYF1" i="10"/>
  <c r="LYE1" i="10"/>
  <c r="LYD1" i="10"/>
  <c r="LYC1" i="10"/>
  <c r="LYB1" i="10"/>
  <c r="LYA1" i="10"/>
  <c r="LXZ1" i="10"/>
  <c r="LXY1" i="10"/>
  <c r="LXX1" i="10"/>
  <c r="LXW1" i="10"/>
  <c r="LXV1" i="10"/>
  <c r="LXU1" i="10"/>
  <c r="LXT1" i="10"/>
  <c r="LXS1" i="10"/>
  <c r="LXR1" i="10"/>
  <c r="LXQ1" i="10"/>
  <c r="LXP1" i="10"/>
  <c r="LXO1" i="10"/>
  <c r="LXN1" i="10"/>
  <c r="LXM1" i="10"/>
  <c r="LXL1" i="10"/>
  <c r="LXK1" i="10"/>
  <c r="LXJ1" i="10"/>
  <c r="LXI1" i="10"/>
  <c r="LXH1" i="10"/>
  <c r="LXG1" i="10"/>
  <c r="LXF1" i="10"/>
  <c r="LXE1" i="10"/>
  <c r="LXD1" i="10"/>
  <c r="LXC1" i="10"/>
  <c r="LXB1" i="10"/>
  <c r="LXA1" i="10"/>
  <c r="LWZ1" i="10"/>
  <c r="LWY1" i="10"/>
  <c r="LWX1" i="10"/>
  <c r="LWW1" i="10"/>
  <c r="LWV1" i="10"/>
  <c r="LWU1" i="10"/>
  <c r="LWT1" i="10"/>
  <c r="LWS1" i="10"/>
  <c r="LWR1" i="10"/>
  <c r="LWQ1" i="10"/>
  <c r="LWP1" i="10"/>
  <c r="LWO1" i="10"/>
  <c r="LWN1" i="10"/>
  <c r="LWM1" i="10"/>
  <c r="LWL1" i="10"/>
  <c r="LWK1" i="10"/>
  <c r="LWJ1" i="10"/>
  <c r="LWI1" i="10"/>
  <c r="LWH1" i="10"/>
  <c r="LWG1" i="10"/>
  <c r="LWF1" i="10"/>
  <c r="LWE1" i="10"/>
  <c r="LWD1" i="10"/>
  <c r="LWC1" i="10"/>
  <c r="LWB1" i="10"/>
  <c r="LWA1" i="10"/>
  <c r="LVZ1" i="10"/>
  <c r="LVY1" i="10"/>
  <c r="LVX1" i="10"/>
  <c r="LVW1" i="10"/>
  <c r="LVV1" i="10"/>
  <c r="LVU1" i="10"/>
  <c r="LVT1" i="10"/>
  <c r="LVS1" i="10"/>
  <c r="LVR1" i="10"/>
  <c r="LVQ1" i="10"/>
  <c r="LVP1" i="10"/>
  <c r="LVO1" i="10"/>
  <c r="LVN1" i="10"/>
  <c r="LVM1" i="10"/>
  <c r="LVL1" i="10"/>
  <c r="LVK1" i="10"/>
  <c r="LVJ1" i="10"/>
  <c r="LVI1" i="10"/>
  <c r="LVH1" i="10"/>
  <c r="LVG1" i="10"/>
  <c r="LVF1" i="10"/>
  <c r="LVE1" i="10"/>
  <c r="LVD1" i="10"/>
  <c r="LVC1" i="10"/>
  <c r="LVB1" i="10"/>
  <c r="LVA1" i="10"/>
  <c r="LUZ1" i="10"/>
  <c r="LUY1" i="10"/>
  <c r="LUX1" i="10"/>
  <c r="LUW1" i="10"/>
  <c r="LUV1" i="10"/>
  <c r="LUU1" i="10"/>
  <c r="LUT1" i="10"/>
  <c r="LUS1" i="10"/>
  <c r="LUR1" i="10"/>
  <c r="LUQ1" i="10"/>
  <c r="LUP1" i="10"/>
  <c r="LUO1" i="10"/>
  <c r="LUN1" i="10"/>
  <c r="LUM1" i="10"/>
  <c r="LUL1" i="10"/>
  <c r="LUK1" i="10"/>
  <c r="LUJ1" i="10"/>
  <c r="LUI1" i="10"/>
  <c r="LUH1" i="10"/>
  <c r="LUG1" i="10"/>
  <c r="LUF1" i="10"/>
  <c r="LUE1" i="10"/>
  <c r="LUD1" i="10"/>
  <c r="LUC1" i="10"/>
  <c r="LUB1" i="10"/>
  <c r="LUA1" i="10"/>
  <c r="LTZ1" i="10"/>
  <c r="LTY1" i="10"/>
  <c r="LTX1" i="10"/>
  <c r="LTW1" i="10"/>
  <c r="LTV1" i="10"/>
  <c r="LTU1" i="10"/>
  <c r="LTT1" i="10"/>
  <c r="LTS1" i="10"/>
  <c r="LTR1" i="10"/>
  <c r="LTQ1" i="10"/>
  <c r="LTP1" i="10"/>
  <c r="LTO1" i="10"/>
  <c r="LTN1" i="10"/>
  <c r="LTM1" i="10"/>
  <c r="LTL1" i="10"/>
  <c r="LTK1" i="10"/>
  <c r="LTJ1" i="10"/>
  <c r="LTI1" i="10"/>
  <c r="LTH1" i="10"/>
  <c r="LTG1" i="10"/>
  <c r="LTF1" i="10"/>
  <c r="LTE1" i="10"/>
  <c r="LTD1" i="10"/>
  <c r="LTC1" i="10"/>
  <c r="LTB1" i="10"/>
  <c r="LTA1" i="10"/>
  <c r="LSZ1" i="10"/>
  <c r="LSY1" i="10"/>
  <c r="LSX1" i="10"/>
  <c r="LSW1" i="10"/>
  <c r="LSV1" i="10"/>
  <c r="LSU1" i="10"/>
  <c r="LST1" i="10"/>
  <c r="LSS1" i="10"/>
  <c r="LSR1" i="10"/>
  <c r="LSQ1" i="10"/>
  <c r="LSP1" i="10"/>
  <c r="LSO1" i="10"/>
  <c r="LSN1" i="10"/>
  <c r="LSM1" i="10"/>
  <c r="LSL1" i="10"/>
  <c r="LSK1" i="10"/>
  <c r="LSJ1" i="10"/>
  <c r="LSI1" i="10"/>
  <c r="LSH1" i="10"/>
  <c r="LSG1" i="10"/>
  <c r="LSF1" i="10"/>
  <c r="LSE1" i="10"/>
  <c r="LSD1" i="10"/>
  <c r="LSC1" i="10"/>
  <c r="LSB1" i="10"/>
  <c r="LSA1" i="10"/>
  <c r="LRZ1" i="10"/>
  <c r="LRY1" i="10"/>
  <c r="LRX1" i="10"/>
  <c r="LRW1" i="10"/>
  <c r="LRV1" i="10"/>
  <c r="LRU1" i="10"/>
  <c r="LRT1" i="10"/>
  <c r="LRS1" i="10"/>
  <c r="LRR1" i="10"/>
  <c r="LRQ1" i="10"/>
  <c r="LRP1" i="10"/>
  <c r="LRO1" i="10"/>
  <c r="LRN1" i="10"/>
  <c r="LRM1" i="10"/>
  <c r="LRL1" i="10"/>
  <c r="LRK1" i="10"/>
  <c r="LRJ1" i="10"/>
  <c r="LRI1" i="10"/>
  <c r="LRH1" i="10"/>
  <c r="LRG1" i="10"/>
  <c r="LRF1" i="10"/>
  <c r="LRE1" i="10"/>
  <c r="LRD1" i="10"/>
  <c r="LRC1" i="10"/>
  <c r="LRB1" i="10"/>
  <c r="LRA1" i="10"/>
  <c r="LQZ1" i="10"/>
  <c r="LQY1" i="10"/>
  <c r="LQX1" i="10"/>
  <c r="LQW1" i="10"/>
  <c r="LQV1" i="10"/>
  <c r="LQU1" i="10"/>
  <c r="LQT1" i="10"/>
  <c r="LQS1" i="10"/>
  <c r="LQR1" i="10"/>
  <c r="LQQ1" i="10"/>
  <c r="LQP1" i="10"/>
  <c r="LQO1" i="10"/>
  <c r="LQN1" i="10"/>
  <c r="LQM1" i="10"/>
  <c r="LQL1" i="10"/>
  <c r="LQK1" i="10"/>
  <c r="LQJ1" i="10"/>
  <c r="LQI1" i="10"/>
  <c r="LQH1" i="10"/>
  <c r="LQG1" i="10"/>
  <c r="LQF1" i="10"/>
  <c r="LQE1" i="10"/>
  <c r="LQD1" i="10"/>
  <c r="LQC1" i="10"/>
  <c r="LQB1" i="10"/>
  <c r="LQA1" i="10"/>
  <c r="LPZ1" i="10"/>
  <c r="LPY1" i="10"/>
  <c r="LPX1" i="10"/>
  <c r="LPW1" i="10"/>
  <c r="LPV1" i="10"/>
  <c r="LPU1" i="10"/>
  <c r="LPT1" i="10"/>
  <c r="LPS1" i="10"/>
  <c r="LPR1" i="10"/>
  <c r="LPQ1" i="10"/>
  <c r="LPP1" i="10"/>
  <c r="LPO1" i="10"/>
  <c r="LPN1" i="10"/>
  <c r="LPM1" i="10"/>
  <c r="LPL1" i="10"/>
  <c r="LPK1" i="10"/>
  <c r="LPJ1" i="10"/>
  <c r="LPI1" i="10"/>
  <c r="LPH1" i="10"/>
  <c r="LPG1" i="10"/>
  <c r="LPF1" i="10"/>
  <c r="LPE1" i="10"/>
  <c r="LPD1" i="10"/>
  <c r="LPC1" i="10"/>
  <c r="LPB1" i="10"/>
  <c r="LPA1" i="10"/>
  <c r="LOZ1" i="10"/>
  <c r="LOY1" i="10"/>
  <c r="LOX1" i="10"/>
  <c r="LOW1" i="10"/>
  <c r="LOV1" i="10"/>
  <c r="LOU1" i="10"/>
  <c r="LOT1" i="10"/>
  <c r="LOS1" i="10"/>
  <c r="LOR1" i="10"/>
  <c r="LOQ1" i="10"/>
  <c r="LOP1" i="10"/>
  <c r="LOO1" i="10"/>
  <c r="LON1" i="10"/>
  <c r="LOM1" i="10"/>
  <c r="LOL1" i="10"/>
  <c r="LOK1" i="10"/>
  <c r="LOJ1" i="10"/>
  <c r="LOI1" i="10"/>
  <c r="LOH1" i="10"/>
  <c r="LOG1" i="10"/>
  <c r="LOF1" i="10"/>
  <c r="LOE1" i="10"/>
  <c r="LOD1" i="10"/>
  <c r="LOC1" i="10"/>
  <c r="LOB1" i="10"/>
  <c r="LOA1" i="10"/>
  <c r="LNZ1" i="10"/>
  <c r="LNY1" i="10"/>
  <c r="LNX1" i="10"/>
  <c r="LNW1" i="10"/>
  <c r="LNV1" i="10"/>
  <c r="LNU1" i="10"/>
  <c r="LNT1" i="10"/>
  <c r="LNS1" i="10"/>
  <c r="LNR1" i="10"/>
  <c r="LNQ1" i="10"/>
  <c r="LNP1" i="10"/>
  <c r="LNO1" i="10"/>
  <c r="LNN1" i="10"/>
  <c r="LNM1" i="10"/>
  <c r="LNL1" i="10"/>
  <c r="LNK1" i="10"/>
  <c r="LNJ1" i="10"/>
  <c r="LNI1" i="10"/>
  <c r="LNH1" i="10"/>
  <c r="LNG1" i="10"/>
  <c r="LNF1" i="10"/>
  <c r="LNE1" i="10"/>
  <c r="LND1" i="10"/>
  <c r="LNC1" i="10"/>
  <c r="LNB1" i="10"/>
  <c r="LNA1" i="10"/>
  <c r="LMZ1" i="10"/>
  <c r="LMY1" i="10"/>
  <c r="LMX1" i="10"/>
  <c r="LMW1" i="10"/>
  <c r="LMV1" i="10"/>
  <c r="LMU1" i="10"/>
  <c r="LMT1" i="10"/>
  <c r="LMS1" i="10"/>
  <c r="LMR1" i="10"/>
  <c r="LMQ1" i="10"/>
  <c r="LMP1" i="10"/>
  <c r="LMO1" i="10"/>
  <c r="LMN1" i="10"/>
  <c r="LMM1" i="10"/>
  <c r="LML1" i="10"/>
  <c r="LMK1" i="10"/>
  <c r="LMJ1" i="10"/>
  <c r="LMI1" i="10"/>
  <c r="LMH1" i="10"/>
  <c r="LMG1" i="10"/>
  <c r="LMF1" i="10"/>
  <c r="LME1" i="10"/>
  <c r="LMD1" i="10"/>
  <c r="LMC1" i="10"/>
  <c r="LMB1" i="10"/>
  <c r="LMA1" i="10"/>
  <c r="LLZ1" i="10"/>
  <c r="LLY1" i="10"/>
  <c r="LLX1" i="10"/>
  <c r="LLW1" i="10"/>
  <c r="LLV1" i="10"/>
  <c r="LLU1" i="10"/>
  <c r="LLT1" i="10"/>
  <c r="LLS1" i="10"/>
  <c r="LLR1" i="10"/>
  <c r="LLQ1" i="10"/>
  <c r="LLP1" i="10"/>
  <c r="LLO1" i="10"/>
  <c r="LLN1" i="10"/>
  <c r="LLM1" i="10"/>
  <c r="LLL1" i="10"/>
  <c r="LLK1" i="10"/>
  <c r="LLJ1" i="10"/>
  <c r="LLI1" i="10"/>
  <c r="LLH1" i="10"/>
  <c r="LLG1" i="10"/>
  <c r="LLF1" i="10"/>
  <c r="LLE1" i="10"/>
  <c r="LLD1" i="10"/>
  <c r="LLC1" i="10"/>
  <c r="LLB1" i="10"/>
  <c r="LLA1" i="10"/>
  <c r="LKZ1" i="10"/>
  <c r="LKY1" i="10"/>
  <c r="LKX1" i="10"/>
  <c r="LKW1" i="10"/>
  <c r="LKV1" i="10"/>
  <c r="LKU1" i="10"/>
  <c r="LKT1" i="10"/>
  <c r="LKS1" i="10"/>
  <c r="LKR1" i="10"/>
  <c r="LKQ1" i="10"/>
  <c r="LKP1" i="10"/>
  <c r="LKO1" i="10"/>
  <c r="LKN1" i="10"/>
  <c r="LKM1" i="10"/>
  <c r="LKL1" i="10"/>
  <c r="LKK1" i="10"/>
  <c r="LKJ1" i="10"/>
  <c r="LKI1" i="10"/>
  <c r="LKH1" i="10"/>
  <c r="LKG1" i="10"/>
  <c r="LKF1" i="10"/>
  <c r="LKE1" i="10"/>
  <c r="LKD1" i="10"/>
  <c r="LKC1" i="10"/>
  <c r="LKB1" i="10"/>
  <c r="LKA1" i="10"/>
  <c r="LJZ1" i="10"/>
  <c r="LJY1" i="10"/>
  <c r="LJX1" i="10"/>
  <c r="LJW1" i="10"/>
  <c r="LJV1" i="10"/>
  <c r="LJU1" i="10"/>
  <c r="LJT1" i="10"/>
  <c r="LJS1" i="10"/>
  <c r="LJR1" i="10"/>
  <c r="LJQ1" i="10"/>
  <c r="LJP1" i="10"/>
  <c r="LJO1" i="10"/>
  <c r="LJN1" i="10"/>
  <c r="LJM1" i="10"/>
  <c r="LJL1" i="10"/>
  <c r="LJK1" i="10"/>
  <c r="LJJ1" i="10"/>
  <c r="LJI1" i="10"/>
  <c r="LJH1" i="10"/>
  <c r="LJG1" i="10"/>
  <c r="LJF1" i="10"/>
  <c r="LJE1" i="10"/>
  <c r="LJD1" i="10"/>
  <c r="LJC1" i="10"/>
  <c r="LJB1" i="10"/>
  <c r="LJA1" i="10"/>
  <c r="LIZ1" i="10"/>
  <c r="LIY1" i="10"/>
  <c r="LIX1" i="10"/>
  <c r="LIW1" i="10"/>
  <c r="LIV1" i="10"/>
  <c r="LIU1" i="10"/>
  <c r="LIT1" i="10"/>
  <c r="LIS1" i="10"/>
  <c r="LIR1" i="10"/>
  <c r="LIQ1" i="10"/>
  <c r="LIP1" i="10"/>
  <c r="LIO1" i="10"/>
  <c r="LIN1" i="10"/>
  <c r="LIM1" i="10"/>
  <c r="LIL1" i="10"/>
  <c r="LIK1" i="10"/>
  <c r="LIJ1" i="10"/>
  <c r="LII1" i="10"/>
  <c r="LIH1" i="10"/>
  <c r="LIG1" i="10"/>
  <c r="LIF1" i="10"/>
  <c r="LIE1" i="10"/>
  <c r="LID1" i="10"/>
  <c r="LIC1" i="10"/>
  <c r="LIB1" i="10"/>
  <c r="LIA1" i="10"/>
  <c r="LHZ1" i="10"/>
  <c r="LHY1" i="10"/>
  <c r="LHX1" i="10"/>
  <c r="LHW1" i="10"/>
  <c r="LHV1" i="10"/>
  <c r="LHU1" i="10"/>
  <c r="LHT1" i="10"/>
  <c r="LHS1" i="10"/>
  <c r="LHR1" i="10"/>
  <c r="LHQ1" i="10"/>
  <c r="LHP1" i="10"/>
  <c r="LHO1" i="10"/>
  <c r="LHN1" i="10"/>
  <c r="LHM1" i="10"/>
  <c r="LHL1" i="10"/>
  <c r="LHK1" i="10"/>
  <c r="LHJ1" i="10"/>
  <c r="LHI1" i="10"/>
  <c r="LHH1" i="10"/>
  <c r="LHG1" i="10"/>
  <c r="LHF1" i="10"/>
  <c r="LHE1" i="10"/>
  <c r="LHD1" i="10"/>
  <c r="LHC1" i="10"/>
  <c r="LHB1" i="10"/>
  <c r="LHA1" i="10"/>
  <c r="LGZ1" i="10"/>
  <c r="LGY1" i="10"/>
  <c r="LGX1" i="10"/>
  <c r="LGW1" i="10"/>
  <c r="LGV1" i="10"/>
  <c r="LGU1" i="10"/>
  <c r="LGT1" i="10"/>
  <c r="LGS1" i="10"/>
  <c r="LGR1" i="10"/>
  <c r="LGQ1" i="10"/>
  <c r="LGP1" i="10"/>
  <c r="LGO1" i="10"/>
  <c r="LGN1" i="10"/>
  <c r="LGM1" i="10"/>
  <c r="LGL1" i="10"/>
  <c r="LGK1" i="10"/>
  <c r="LGJ1" i="10"/>
  <c r="LGI1" i="10"/>
  <c r="LGH1" i="10"/>
  <c r="LGG1" i="10"/>
  <c r="LGF1" i="10"/>
  <c r="LGE1" i="10"/>
  <c r="LGD1" i="10"/>
  <c r="LGC1" i="10"/>
  <c r="LGB1" i="10"/>
  <c r="LGA1" i="10"/>
  <c r="LFZ1" i="10"/>
  <c r="LFY1" i="10"/>
  <c r="LFX1" i="10"/>
  <c r="LFW1" i="10"/>
  <c r="LFV1" i="10"/>
  <c r="LFU1" i="10"/>
  <c r="LFT1" i="10"/>
  <c r="LFS1" i="10"/>
  <c r="LFR1" i="10"/>
  <c r="LFQ1" i="10"/>
  <c r="LFP1" i="10"/>
  <c r="LFO1" i="10"/>
  <c r="LFN1" i="10"/>
  <c r="LFM1" i="10"/>
  <c r="LFL1" i="10"/>
  <c r="LFK1" i="10"/>
  <c r="LFJ1" i="10"/>
  <c r="LFI1" i="10"/>
  <c r="LFH1" i="10"/>
  <c r="LFG1" i="10"/>
  <c r="LFF1" i="10"/>
  <c r="LFE1" i="10"/>
  <c r="LFD1" i="10"/>
  <c r="LFC1" i="10"/>
  <c r="LFB1" i="10"/>
  <c r="LFA1" i="10"/>
  <c r="LEZ1" i="10"/>
  <c r="LEY1" i="10"/>
  <c r="LEX1" i="10"/>
  <c r="LEW1" i="10"/>
  <c r="LEV1" i="10"/>
  <c r="LEU1" i="10"/>
  <c r="LET1" i="10"/>
  <c r="LES1" i="10"/>
  <c r="LER1" i="10"/>
  <c r="LEQ1" i="10"/>
  <c r="LEP1" i="10"/>
  <c r="LEO1" i="10"/>
  <c r="LEN1" i="10"/>
  <c r="LEM1" i="10"/>
  <c r="LEL1" i="10"/>
  <c r="LEK1" i="10"/>
  <c r="LEJ1" i="10"/>
  <c r="LEI1" i="10"/>
  <c r="LEH1" i="10"/>
  <c r="LEG1" i="10"/>
  <c r="LEF1" i="10"/>
  <c r="LEE1" i="10"/>
  <c r="LED1" i="10"/>
  <c r="LEC1" i="10"/>
  <c r="LEB1" i="10"/>
  <c r="LEA1" i="10"/>
  <c r="LDZ1" i="10"/>
  <c r="LDY1" i="10"/>
  <c r="LDX1" i="10"/>
  <c r="LDW1" i="10"/>
  <c r="LDV1" i="10"/>
  <c r="LDU1" i="10"/>
  <c r="LDT1" i="10"/>
  <c r="LDS1" i="10"/>
  <c r="LDR1" i="10"/>
  <c r="LDQ1" i="10"/>
  <c r="LDP1" i="10"/>
  <c r="LDO1" i="10"/>
  <c r="LDN1" i="10"/>
  <c r="LDM1" i="10"/>
  <c r="LDL1" i="10"/>
  <c r="LDK1" i="10"/>
  <c r="LDJ1" i="10"/>
  <c r="LDI1" i="10"/>
  <c r="LDH1" i="10"/>
  <c r="LDG1" i="10"/>
  <c r="LDF1" i="10"/>
  <c r="LDE1" i="10"/>
  <c r="LDD1" i="10"/>
  <c r="LDC1" i="10"/>
  <c r="LDB1" i="10"/>
  <c r="LDA1" i="10"/>
  <c r="LCZ1" i="10"/>
  <c r="LCY1" i="10"/>
  <c r="LCX1" i="10"/>
  <c r="LCW1" i="10"/>
  <c r="LCV1" i="10"/>
  <c r="LCU1" i="10"/>
  <c r="LCT1" i="10"/>
  <c r="LCS1" i="10"/>
  <c r="LCR1" i="10"/>
  <c r="LCQ1" i="10"/>
  <c r="LCP1" i="10"/>
  <c r="LCO1" i="10"/>
  <c r="LCN1" i="10"/>
  <c r="LCM1" i="10"/>
  <c r="LCL1" i="10"/>
  <c r="LCK1" i="10"/>
  <c r="LCJ1" i="10"/>
  <c r="LCI1" i="10"/>
  <c r="LCH1" i="10"/>
  <c r="LCG1" i="10"/>
  <c r="LCF1" i="10"/>
  <c r="LCE1" i="10"/>
  <c r="LCD1" i="10"/>
  <c r="LCC1" i="10"/>
  <c r="LCB1" i="10"/>
  <c r="LCA1" i="10"/>
  <c r="LBZ1" i="10"/>
  <c r="LBY1" i="10"/>
  <c r="LBX1" i="10"/>
  <c r="LBW1" i="10"/>
  <c r="LBV1" i="10"/>
  <c r="LBU1" i="10"/>
  <c r="LBT1" i="10"/>
  <c r="LBS1" i="10"/>
  <c r="LBR1" i="10"/>
  <c r="LBQ1" i="10"/>
  <c r="LBP1" i="10"/>
  <c r="LBO1" i="10"/>
  <c r="LBN1" i="10"/>
  <c r="LBM1" i="10"/>
  <c r="LBL1" i="10"/>
  <c r="LBK1" i="10"/>
  <c r="LBJ1" i="10"/>
  <c r="LBI1" i="10"/>
  <c r="LBH1" i="10"/>
  <c r="LBG1" i="10"/>
  <c r="LBF1" i="10"/>
  <c r="LBE1" i="10"/>
  <c r="LBD1" i="10"/>
  <c r="LBC1" i="10"/>
  <c r="LBB1" i="10"/>
  <c r="LBA1" i="10"/>
  <c r="LAZ1" i="10"/>
  <c r="LAY1" i="10"/>
  <c r="LAX1" i="10"/>
  <c r="LAW1" i="10"/>
  <c r="LAV1" i="10"/>
  <c r="LAU1" i="10"/>
  <c r="LAT1" i="10"/>
  <c r="LAS1" i="10"/>
  <c r="LAR1" i="10"/>
  <c r="LAQ1" i="10"/>
  <c r="LAP1" i="10"/>
  <c r="LAO1" i="10"/>
  <c r="LAN1" i="10"/>
  <c r="LAM1" i="10"/>
  <c r="LAL1" i="10"/>
  <c r="LAK1" i="10"/>
  <c r="LAJ1" i="10"/>
  <c r="LAI1" i="10"/>
  <c r="LAH1" i="10"/>
  <c r="LAG1" i="10"/>
  <c r="LAF1" i="10"/>
  <c r="LAE1" i="10"/>
  <c r="LAD1" i="10"/>
  <c r="LAC1" i="10"/>
  <c r="LAB1" i="10"/>
  <c r="LAA1" i="10"/>
  <c r="KZZ1" i="10"/>
  <c r="KZY1" i="10"/>
  <c r="KZX1" i="10"/>
  <c r="KZW1" i="10"/>
  <c r="KZV1" i="10"/>
  <c r="KZU1" i="10"/>
  <c r="KZT1" i="10"/>
  <c r="KZS1" i="10"/>
  <c r="KZR1" i="10"/>
  <c r="KZQ1" i="10"/>
  <c r="KZP1" i="10"/>
  <c r="KZO1" i="10"/>
  <c r="KZN1" i="10"/>
  <c r="KZM1" i="10"/>
  <c r="KZL1" i="10"/>
  <c r="KZK1" i="10"/>
  <c r="KZJ1" i="10"/>
  <c r="KZI1" i="10"/>
  <c r="KZH1" i="10"/>
  <c r="KZG1" i="10"/>
  <c r="KZF1" i="10"/>
  <c r="KZE1" i="10"/>
  <c r="KZD1" i="10"/>
  <c r="KZC1" i="10"/>
  <c r="KZB1" i="10"/>
  <c r="KZA1" i="10"/>
  <c r="KYZ1" i="10"/>
  <c r="KYY1" i="10"/>
  <c r="KYX1" i="10"/>
  <c r="KYW1" i="10"/>
  <c r="KYV1" i="10"/>
  <c r="KYU1" i="10"/>
  <c r="KYT1" i="10"/>
  <c r="KYS1" i="10"/>
  <c r="KYR1" i="10"/>
  <c r="KYQ1" i="10"/>
  <c r="KYP1" i="10"/>
  <c r="KYO1" i="10"/>
  <c r="KYN1" i="10"/>
  <c r="KYM1" i="10"/>
  <c r="KYL1" i="10"/>
  <c r="KYK1" i="10"/>
  <c r="KYJ1" i="10"/>
  <c r="KYI1" i="10"/>
  <c r="KYH1" i="10"/>
  <c r="KYG1" i="10"/>
  <c r="KYF1" i="10"/>
  <c r="KYE1" i="10"/>
  <c r="KYD1" i="10"/>
  <c r="KYC1" i="10"/>
  <c r="KYB1" i="10"/>
  <c r="KYA1" i="10"/>
  <c r="KXZ1" i="10"/>
  <c r="KXY1" i="10"/>
  <c r="KXX1" i="10"/>
  <c r="KXW1" i="10"/>
  <c r="KXV1" i="10"/>
  <c r="KXU1" i="10"/>
  <c r="KXT1" i="10"/>
  <c r="KXS1" i="10"/>
  <c r="KXR1" i="10"/>
  <c r="KXQ1" i="10"/>
  <c r="KXP1" i="10"/>
  <c r="KXO1" i="10"/>
  <c r="KXN1" i="10"/>
  <c r="KXM1" i="10"/>
  <c r="KXL1" i="10"/>
  <c r="KXK1" i="10"/>
  <c r="KXJ1" i="10"/>
  <c r="KXI1" i="10"/>
  <c r="KXH1" i="10"/>
  <c r="KXG1" i="10"/>
  <c r="KXF1" i="10"/>
  <c r="KXE1" i="10"/>
  <c r="KXD1" i="10"/>
  <c r="KXC1" i="10"/>
  <c r="KXB1" i="10"/>
  <c r="KXA1" i="10"/>
  <c r="KWZ1" i="10"/>
  <c r="KWY1" i="10"/>
  <c r="KWX1" i="10"/>
  <c r="KWW1" i="10"/>
  <c r="KWV1" i="10"/>
  <c r="KWU1" i="10"/>
  <c r="KWT1" i="10"/>
  <c r="KWS1" i="10"/>
  <c r="KWR1" i="10"/>
  <c r="KWQ1" i="10"/>
  <c r="KWP1" i="10"/>
  <c r="KWO1" i="10"/>
  <c r="KWN1" i="10"/>
  <c r="KWM1" i="10"/>
  <c r="KWL1" i="10"/>
  <c r="KWK1" i="10"/>
  <c r="KWJ1" i="10"/>
  <c r="KWI1" i="10"/>
  <c r="KWH1" i="10"/>
  <c r="KWG1" i="10"/>
  <c r="KWF1" i="10"/>
  <c r="KWE1" i="10"/>
  <c r="KWD1" i="10"/>
  <c r="KWC1" i="10"/>
  <c r="KWB1" i="10"/>
  <c r="KWA1" i="10"/>
  <c r="KVZ1" i="10"/>
  <c r="KVY1" i="10"/>
  <c r="KVX1" i="10"/>
  <c r="KVW1" i="10"/>
  <c r="KVV1" i="10"/>
  <c r="KVU1" i="10"/>
  <c r="KVT1" i="10"/>
  <c r="KVS1" i="10"/>
  <c r="KVR1" i="10"/>
  <c r="KVQ1" i="10"/>
  <c r="KVP1" i="10"/>
  <c r="KVO1" i="10"/>
  <c r="KVN1" i="10"/>
  <c r="KVM1" i="10"/>
  <c r="KVL1" i="10"/>
  <c r="KVK1" i="10"/>
  <c r="KVJ1" i="10"/>
  <c r="KVI1" i="10"/>
  <c r="KVH1" i="10"/>
  <c r="KVG1" i="10"/>
  <c r="KVF1" i="10"/>
  <c r="KVE1" i="10"/>
  <c r="KVD1" i="10"/>
  <c r="KVC1" i="10"/>
  <c r="KVB1" i="10"/>
  <c r="KVA1" i="10"/>
  <c r="KUZ1" i="10"/>
  <c r="KUY1" i="10"/>
  <c r="KUX1" i="10"/>
  <c r="KUW1" i="10"/>
  <c r="KUV1" i="10"/>
  <c r="KUU1" i="10"/>
  <c r="KUT1" i="10"/>
  <c r="KUS1" i="10"/>
  <c r="KUR1" i="10"/>
  <c r="KUQ1" i="10"/>
  <c r="KUP1" i="10"/>
  <c r="KUO1" i="10"/>
  <c r="KUN1" i="10"/>
  <c r="KUM1" i="10"/>
  <c r="KUL1" i="10"/>
  <c r="KUK1" i="10"/>
  <c r="KUJ1" i="10"/>
  <c r="KUI1" i="10"/>
  <c r="KUH1" i="10"/>
  <c r="KUG1" i="10"/>
  <c r="KUF1" i="10"/>
  <c r="KUE1" i="10"/>
  <c r="KUD1" i="10"/>
  <c r="KUC1" i="10"/>
  <c r="KUB1" i="10"/>
  <c r="KUA1" i="10"/>
  <c r="KTZ1" i="10"/>
  <c r="KTY1" i="10"/>
  <c r="KTX1" i="10"/>
  <c r="KTW1" i="10"/>
  <c r="KTV1" i="10"/>
  <c r="KTU1" i="10"/>
  <c r="KTT1" i="10"/>
  <c r="KTS1" i="10"/>
  <c r="KTR1" i="10"/>
  <c r="KTQ1" i="10"/>
  <c r="KTP1" i="10"/>
  <c r="KTO1" i="10"/>
  <c r="KTN1" i="10"/>
  <c r="KTM1" i="10"/>
  <c r="KTL1" i="10"/>
  <c r="KTK1" i="10"/>
  <c r="KTJ1" i="10"/>
  <c r="KTI1" i="10"/>
  <c r="KTH1" i="10"/>
  <c r="KTG1" i="10"/>
  <c r="KTF1" i="10"/>
  <c r="KTE1" i="10"/>
  <c r="KTD1" i="10"/>
  <c r="KTC1" i="10"/>
  <c r="KTB1" i="10"/>
  <c r="KTA1" i="10"/>
  <c r="KSZ1" i="10"/>
  <c r="KSY1" i="10"/>
  <c r="KSX1" i="10"/>
  <c r="KSW1" i="10"/>
  <c r="KSV1" i="10"/>
  <c r="KSU1" i="10"/>
  <c r="KST1" i="10"/>
  <c r="KSS1" i="10"/>
  <c r="KSR1" i="10"/>
  <c r="KSQ1" i="10"/>
  <c r="KSP1" i="10"/>
  <c r="KSO1" i="10"/>
  <c r="KSN1" i="10"/>
  <c r="KSM1" i="10"/>
  <c r="KSL1" i="10"/>
  <c r="KSK1" i="10"/>
  <c r="KSJ1" i="10"/>
  <c r="KSI1" i="10"/>
  <c r="KSH1" i="10"/>
  <c r="KSG1" i="10"/>
  <c r="KSF1" i="10"/>
  <c r="KSE1" i="10"/>
  <c r="KSD1" i="10"/>
  <c r="KSC1" i="10"/>
  <c r="KSB1" i="10"/>
  <c r="KSA1" i="10"/>
  <c r="KRZ1" i="10"/>
  <c r="KRY1" i="10"/>
  <c r="KRX1" i="10"/>
  <c r="KRW1" i="10"/>
  <c r="KRV1" i="10"/>
  <c r="KRU1" i="10"/>
  <c r="KRT1" i="10"/>
  <c r="KRS1" i="10"/>
  <c r="KRR1" i="10"/>
  <c r="KRQ1" i="10"/>
  <c r="KRP1" i="10"/>
  <c r="KRO1" i="10"/>
  <c r="KRN1" i="10"/>
  <c r="KRM1" i="10"/>
  <c r="KRL1" i="10"/>
  <c r="KRK1" i="10"/>
  <c r="KRJ1" i="10"/>
  <c r="KRI1" i="10"/>
  <c r="KRH1" i="10"/>
  <c r="KRG1" i="10"/>
  <c r="KRF1" i="10"/>
  <c r="KRE1" i="10"/>
  <c r="KRD1" i="10"/>
  <c r="KRC1" i="10"/>
  <c r="KRB1" i="10"/>
  <c r="KRA1" i="10"/>
  <c r="KQZ1" i="10"/>
  <c r="KQY1" i="10"/>
  <c r="KQX1" i="10"/>
  <c r="KQW1" i="10"/>
  <c r="KQV1" i="10"/>
  <c r="KQU1" i="10"/>
  <c r="KQT1" i="10"/>
  <c r="KQS1" i="10"/>
  <c r="KQR1" i="10"/>
  <c r="KQQ1" i="10"/>
  <c r="KQP1" i="10"/>
  <c r="KQO1" i="10"/>
  <c r="KQN1" i="10"/>
  <c r="KQM1" i="10"/>
  <c r="KQL1" i="10"/>
  <c r="KQK1" i="10"/>
  <c r="KQJ1" i="10"/>
  <c r="KQI1" i="10"/>
  <c r="KQH1" i="10"/>
  <c r="KQG1" i="10"/>
  <c r="KQF1" i="10"/>
  <c r="KQE1" i="10"/>
  <c r="KQD1" i="10"/>
  <c r="KQC1" i="10"/>
  <c r="KQB1" i="10"/>
  <c r="KQA1" i="10"/>
  <c r="KPZ1" i="10"/>
  <c r="KPY1" i="10"/>
  <c r="KPX1" i="10"/>
  <c r="KPW1" i="10"/>
  <c r="KPV1" i="10"/>
  <c r="KPU1" i="10"/>
  <c r="KPT1" i="10"/>
  <c r="KPS1" i="10"/>
  <c r="KPR1" i="10"/>
  <c r="KPQ1" i="10"/>
  <c r="KPP1" i="10"/>
  <c r="KPO1" i="10"/>
  <c r="KPN1" i="10"/>
  <c r="KPM1" i="10"/>
  <c r="KPL1" i="10"/>
  <c r="KPK1" i="10"/>
  <c r="KPJ1" i="10"/>
  <c r="KPI1" i="10"/>
  <c r="KPH1" i="10"/>
  <c r="KPG1" i="10"/>
  <c r="KPF1" i="10"/>
  <c r="KPE1" i="10"/>
  <c r="KPD1" i="10"/>
  <c r="KPC1" i="10"/>
  <c r="KPB1" i="10"/>
  <c r="KPA1" i="10"/>
  <c r="KOZ1" i="10"/>
  <c r="KOY1" i="10"/>
  <c r="KOX1" i="10"/>
  <c r="KOW1" i="10"/>
  <c r="KOV1" i="10"/>
  <c r="KOU1" i="10"/>
  <c r="KOT1" i="10"/>
  <c r="KOS1" i="10"/>
  <c r="KOR1" i="10"/>
  <c r="KOQ1" i="10"/>
  <c r="KOP1" i="10"/>
  <c r="KOO1" i="10"/>
  <c r="KON1" i="10"/>
  <c r="KOM1" i="10"/>
  <c r="KOL1" i="10"/>
  <c r="KOK1" i="10"/>
  <c r="KOJ1" i="10"/>
  <c r="KOI1" i="10"/>
  <c r="KOH1" i="10"/>
  <c r="KOG1" i="10"/>
  <c r="KOF1" i="10"/>
  <c r="KOE1" i="10"/>
  <c r="KOD1" i="10"/>
  <c r="KOC1" i="10"/>
  <c r="KOB1" i="10"/>
  <c r="KOA1" i="10"/>
  <c r="KNZ1" i="10"/>
  <c r="KNY1" i="10"/>
  <c r="KNX1" i="10"/>
  <c r="KNW1" i="10"/>
  <c r="KNV1" i="10"/>
  <c r="KNU1" i="10"/>
  <c r="KNT1" i="10"/>
  <c r="KNS1" i="10"/>
  <c r="KNR1" i="10"/>
  <c r="KNQ1" i="10"/>
  <c r="KNP1" i="10"/>
  <c r="KNO1" i="10"/>
  <c r="KNN1" i="10"/>
  <c r="KNM1" i="10"/>
  <c r="KNL1" i="10"/>
  <c r="KNK1" i="10"/>
  <c r="KNJ1" i="10"/>
  <c r="KNI1" i="10"/>
  <c r="KNH1" i="10"/>
  <c r="KNG1" i="10"/>
  <c r="KNF1" i="10"/>
  <c r="KNE1" i="10"/>
  <c r="KND1" i="10"/>
  <c r="KNC1" i="10"/>
  <c r="KNB1" i="10"/>
  <c r="KNA1" i="10"/>
  <c r="KMZ1" i="10"/>
  <c r="KMY1" i="10"/>
  <c r="KMX1" i="10"/>
  <c r="KMW1" i="10"/>
  <c r="KMV1" i="10"/>
  <c r="KMU1" i="10"/>
  <c r="KMT1" i="10"/>
  <c r="KMS1" i="10"/>
  <c r="KMR1" i="10"/>
  <c r="KMQ1" i="10"/>
  <c r="KMP1" i="10"/>
  <c r="KMO1" i="10"/>
  <c r="KMN1" i="10"/>
  <c r="KMM1" i="10"/>
  <c r="KML1" i="10"/>
  <c r="KMK1" i="10"/>
  <c r="KMJ1" i="10"/>
  <c r="KMI1" i="10"/>
  <c r="KMH1" i="10"/>
  <c r="KMG1" i="10"/>
  <c r="KMF1" i="10"/>
  <c r="KME1" i="10"/>
  <c r="KMD1" i="10"/>
  <c r="KMC1" i="10"/>
  <c r="KMB1" i="10"/>
  <c r="KMA1" i="10"/>
  <c r="KLZ1" i="10"/>
  <c r="KLY1" i="10"/>
  <c r="KLX1" i="10"/>
  <c r="KLW1" i="10"/>
  <c r="KLV1" i="10"/>
  <c r="KLU1" i="10"/>
  <c r="KLT1" i="10"/>
  <c r="KLS1" i="10"/>
  <c r="KLR1" i="10"/>
  <c r="KLQ1" i="10"/>
  <c r="KLP1" i="10"/>
  <c r="KLO1" i="10"/>
  <c r="KLN1" i="10"/>
  <c r="KLM1" i="10"/>
  <c r="KLL1" i="10"/>
  <c r="KLK1" i="10"/>
  <c r="KLJ1" i="10"/>
  <c r="KLI1" i="10"/>
  <c r="KLH1" i="10"/>
  <c r="KLG1" i="10"/>
  <c r="KLF1" i="10"/>
  <c r="KLE1" i="10"/>
  <c r="KLD1" i="10"/>
  <c r="KLC1" i="10"/>
  <c r="KLB1" i="10"/>
  <c r="KLA1" i="10"/>
  <c r="KKZ1" i="10"/>
  <c r="KKY1" i="10"/>
  <c r="KKX1" i="10"/>
  <c r="KKW1" i="10"/>
  <c r="KKV1" i="10"/>
  <c r="KKU1" i="10"/>
  <c r="KKT1" i="10"/>
  <c r="KKS1" i="10"/>
  <c r="KKR1" i="10"/>
  <c r="KKQ1" i="10"/>
  <c r="KKP1" i="10"/>
  <c r="KKO1" i="10"/>
  <c r="KKN1" i="10"/>
  <c r="KKM1" i="10"/>
  <c r="KKL1" i="10"/>
  <c r="KKK1" i="10"/>
  <c r="KKJ1" i="10"/>
  <c r="KKI1" i="10"/>
  <c r="KKH1" i="10"/>
  <c r="KKG1" i="10"/>
  <c r="KKF1" i="10"/>
  <c r="KKE1" i="10"/>
  <c r="KKD1" i="10"/>
  <c r="KKC1" i="10"/>
  <c r="KKB1" i="10"/>
  <c r="KKA1" i="10"/>
  <c r="KJZ1" i="10"/>
  <c r="KJY1" i="10"/>
  <c r="KJX1" i="10"/>
  <c r="KJW1" i="10"/>
  <c r="KJV1" i="10"/>
  <c r="KJU1" i="10"/>
  <c r="KJT1" i="10"/>
  <c r="KJS1" i="10"/>
  <c r="KJR1" i="10"/>
  <c r="KJQ1" i="10"/>
  <c r="KJP1" i="10"/>
  <c r="KJO1" i="10"/>
  <c r="KJN1" i="10"/>
  <c r="KJM1" i="10"/>
  <c r="KJL1" i="10"/>
  <c r="KJK1" i="10"/>
  <c r="KJJ1" i="10"/>
  <c r="KJI1" i="10"/>
  <c r="KJH1" i="10"/>
  <c r="KJG1" i="10"/>
  <c r="KJF1" i="10"/>
  <c r="KJE1" i="10"/>
  <c r="KJD1" i="10"/>
  <c r="KJC1" i="10"/>
  <c r="KJB1" i="10"/>
  <c r="KJA1" i="10"/>
  <c r="KIZ1" i="10"/>
  <c r="KIY1" i="10"/>
  <c r="KIX1" i="10"/>
  <c r="KIW1" i="10"/>
  <c r="KIV1" i="10"/>
  <c r="KIU1" i="10"/>
  <c r="KIT1" i="10"/>
  <c r="KIS1" i="10"/>
  <c r="KIR1" i="10"/>
  <c r="KIQ1" i="10"/>
  <c r="KIP1" i="10"/>
  <c r="KIO1" i="10"/>
  <c r="KIN1" i="10"/>
  <c r="KIM1" i="10"/>
  <c r="KIL1" i="10"/>
  <c r="KIK1" i="10"/>
  <c r="KIJ1" i="10"/>
  <c r="KII1" i="10"/>
  <c r="KIH1" i="10"/>
  <c r="KIG1" i="10"/>
  <c r="KIF1" i="10"/>
  <c r="KIE1" i="10"/>
  <c r="KID1" i="10"/>
  <c r="KIC1" i="10"/>
  <c r="KIB1" i="10"/>
  <c r="KIA1" i="10"/>
  <c r="KHZ1" i="10"/>
  <c r="KHY1" i="10"/>
  <c r="KHX1" i="10"/>
  <c r="KHW1" i="10"/>
  <c r="KHV1" i="10"/>
  <c r="KHU1" i="10"/>
  <c r="KHT1" i="10"/>
  <c r="KHS1" i="10"/>
  <c r="KHR1" i="10"/>
  <c r="KHQ1" i="10"/>
  <c r="KHP1" i="10"/>
  <c r="KHO1" i="10"/>
  <c r="KHN1" i="10"/>
  <c r="KHM1" i="10"/>
  <c r="KHL1" i="10"/>
  <c r="KHK1" i="10"/>
  <c r="KHJ1" i="10"/>
  <c r="KHI1" i="10"/>
  <c r="KHH1" i="10"/>
  <c r="KHG1" i="10"/>
  <c r="KHF1" i="10"/>
  <c r="KHE1" i="10"/>
  <c r="KHD1" i="10"/>
  <c r="KHC1" i="10"/>
  <c r="KHB1" i="10"/>
  <c r="KHA1" i="10"/>
  <c r="KGZ1" i="10"/>
  <c r="KGY1" i="10"/>
  <c r="KGX1" i="10"/>
  <c r="KGW1" i="10"/>
  <c r="KGV1" i="10"/>
  <c r="KGU1" i="10"/>
  <c r="KGT1" i="10"/>
  <c r="KGS1" i="10"/>
  <c r="KGR1" i="10"/>
  <c r="KGQ1" i="10"/>
  <c r="KGP1" i="10"/>
  <c r="KGO1" i="10"/>
  <c r="KGN1" i="10"/>
  <c r="KGM1" i="10"/>
  <c r="KGL1" i="10"/>
  <c r="KGK1" i="10"/>
  <c r="KGJ1" i="10"/>
  <c r="KGI1" i="10"/>
  <c r="KGH1" i="10"/>
  <c r="KGG1" i="10"/>
  <c r="KGF1" i="10"/>
  <c r="KGE1" i="10"/>
  <c r="KGD1" i="10"/>
  <c r="KGC1" i="10"/>
  <c r="KGB1" i="10"/>
  <c r="KGA1" i="10"/>
  <c r="KFZ1" i="10"/>
  <c r="KFY1" i="10"/>
  <c r="KFX1" i="10"/>
  <c r="KFW1" i="10"/>
  <c r="KFV1" i="10"/>
  <c r="KFU1" i="10"/>
  <c r="KFT1" i="10"/>
  <c r="KFS1" i="10"/>
  <c r="KFR1" i="10"/>
  <c r="KFQ1" i="10"/>
  <c r="KFP1" i="10"/>
  <c r="KFO1" i="10"/>
  <c r="KFN1" i="10"/>
  <c r="KFM1" i="10"/>
  <c r="KFL1" i="10"/>
  <c r="KFK1" i="10"/>
  <c r="KFJ1" i="10"/>
  <c r="KFI1" i="10"/>
  <c r="KFH1" i="10"/>
  <c r="KFG1" i="10"/>
  <c r="KFF1" i="10"/>
  <c r="KFE1" i="10"/>
  <c r="KFD1" i="10"/>
  <c r="KFC1" i="10"/>
  <c r="KFB1" i="10"/>
  <c r="KFA1" i="10"/>
  <c r="KEZ1" i="10"/>
  <c r="KEY1" i="10"/>
  <c r="KEX1" i="10"/>
  <c r="KEW1" i="10"/>
  <c r="KEV1" i="10"/>
  <c r="KEU1" i="10"/>
  <c r="KET1" i="10"/>
  <c r="KES1" i="10"/>
  <c r="KER1" i="10"/>
  <c r="KEQ1" i="10"/>
  <c r="KEP1" i="10"/>
  <c r="KEO1" i="10"/>
  <c r="KEN1" i="10"/>
  <c r="KEM1" i="10"/>
  <c r="KEL1" i="10"/>
  <c r="KEK1" i="10"/>
  <c r="KEJ1" i="10"/>
  <c r="KEI1" i="10"/>
  <c r="KEH1" i="10"/>
  <c r="KEG1" i="10"/>
  <c r="KEF1" i="10"/>
  <c r="KEE1" i="10"/>
  <c r="KED1" i="10"/>
  <c r="KEC1" i="10"/>
  <c r="KEB1" i="10"/>
  <c r="KEA1" i="10"/>
  <c r="KDZ1" i="10"/>
  <c r="KDY1" i="10"/>
  <c r="KDX1" i="10"/>
  <c r="KDW1" i="10"/>
  <c r="KDV1" i="10"/>
  <c r="KDU1" i="10"/>
  <c r="KDT1" i="10"/>
  <c r="KDS1" i="10"/>
  <c r="KDR1" i="10"/>
  <c r="KDQ1" i="10"/>
  <c r="KDP1" i="10"/>
  <c r="KDO1" i="10"/>
  <c r="KDN1" i="10"/>
  <c r="KDM1" i="10"/>
  <c r="KDL1" i="10"/>
  <c r="KDK1" i="10"/>
  <c r="KDJ1" i="10"/>
  <c r="KDI1" i="10"/>
  <c r="KDH1" i="10"/>
  <c r="KDG1" i="10"/>
  <c r="KDF1" i="10"/>
  <c r="KDE1" i="10"/>
  <c r="KDD1" i="10"/>
  <c r="KDC1" i="10"/>
  <c r="KDB1" i="10"/>
  <c r="KDA1" i="10"/>
  <c r="KCZ1" i="10"/>
  <c r="KCY1" i="10"/>
  <c r="KCX1" i="10"/>
  <c r="KCW1" i="10"/>
  <c r="KCV1" i="10"/>
  <c r="KCU1" i="10"/>
  <c r="KCT1" i="10"/>
  <c r="KCS1" i="10"/>
  <c r="KCR1" i="10"/>
  <c r="KCQ1" i="10"/>
  <c r="KCP1" i="10"/>
  <c r="KCO1" i="10"/>
  <c r="KCN1" i="10"/>
  <c r="KCM1" i="10"/>
  <c r="KCL1" i="10"/>
  <c r="KCK1" i="10"/>
  <c r="KCJ1" i="10"/>
  <c r="KCI1" i="10"/>
  <c r="KCH1" i="10"/>
  <c r="KCG1" i="10"/>
  <c r="KCF1" i="10"/>
  <c r="KCE1" i="10"/>
  <c r="KCD1" i="10"/>
  <c r="KCC1" i="10"/>
  <c r="KCB1" i="10"/>
  <c r="KCA1" i="10"/>
  <c r="KBZ1" i="10"/>
  <c r="KBY1" i="10"/>
  <c r="KBX1" i="10"/>
  <c r="KBW1" i="10"/>
  <c r="KBV1" i="10"/>
  <c r="KBU1" i="10"/>
  <c r="KBT1" i="10"/>
  <c r="KBS1" i="10"/>
  <c r="KBR1" i="10"/>
  <c r="KBQ1" i="10"/>
  <c r="KBP1" i="10"/>
  <c r="KBO1" i="10"/>
  <c r="KBN1" i="10"/>
  <c r="KBM1" i="10"/>
  <c r="KBL1" i="10"/>
  <c r="KBK1" i="10"/>
  <c r="KBJ1" i="10"/>
  <c r="KBI1" i="10"/>
  <c r="KBH1" i="10"/>
  <c r="KBG1" i="10"/>
  <c r="KBF1" i="10"/>
  <c r="KBE1" i="10"/>
  <c r="KBD1" i="10"/>
  <c r="KBC1" i="10"/>
  <c r="KBB1" i="10"/>
  <c r="KBA1" i="10"/>
  <c r="KAZ1" i="10"/>
  <c r="KAY1" i="10"/>
  <c r="KAX1" i="10"/>
  <c r="KAW1" i="10"/>
  <c r="KAV1" i="10"/>
  <c r="KAU1" i="10"/>
  <c r="KAT1" i="10"/>
  <c r="KAS1" i="10"/>
  <c r="KAR1" i="10"/>
  <c r="KAQ1" i="10"/>
  <c r="KAP1" i="10"/>
  <c r="KAO1" i="10"/>
  <c r="KAN1" i="10"/>
  <c r="KAM1" i="10"/>
  <c r="KAL1" i="10"/>
  <c r="KAK1" i="10"/>
  <c r="KAJ1" i="10"/>
  <c r="KAI1" i="10"/>
  <c r="KAH1" i="10"/>
  <c r="KAG1" i="10"/>
  <c r="KAF1" i="10"/>
  <c r="KAE1" i="10"/>
  <c r="KAD1" i="10"/>
  <c r="KAC1" i="10"/>
  <c r="KAB1" i="10"/>
  <c r="KAA1" i="10"/>
  <c r="JZZ1" i="10"/>
  <c r="JZY1" i="10"/>
  <c r="JZX1" i="10"/>
  <c r="JZW1" i="10"/>
  <c r="JZV1" i="10"/>
  <c r="JZU1" i="10"/>
  <c r="JZT1" i="10"/>
  <c r="JZS1" i="10"/>
  <c r="JZR1" i="10"/>
  <c r="JZQ1" i="10"/>
  <c r="JZP1" i="10"/>
  <c r="JZO1" i="10"/>
  <c r="JZN1" i="10"/>
  <c r="JZM1" i="10"/>
  <c r="JZL1" i="10"/>
  <c r="JZK1" i="10"/>
  <c r="JZJ1" i="10"/>
  <c r="JZI1" i="10"/>
  <c r="JZH1" i="10"/>
  <c r="JZG1" i="10"/>
  <c r="JZF1" i="10"/>
  <c r="JZE1" i="10"/>
  <c r="JZD1" i="10"/>
  <c r="JZC1" i="10"/>
  <c r="JZB1" i="10"/>
  <c r="JZA1" i="10"/>
  <c r="JYZ1" i="10"/>
  <c r="JYY1" i="10"/>
  <c r="JYX1" i="10"/>
  <c r="JYW1" i="10"/>
  <c r="JYV1" i="10"/>
  <c r="JYU1" i="10"/>
  <c r="JYT1" i="10"/>
  <c r="JYS1" i="10"/>
  <c r="JYR1" i="10"/>
  <c r="JYQ1" i="10"/>
  <c r="JYP1" i="10"/>
  <c r="JYO1" i="10"/>
  <c r="JYN1" i="10"/>
  <c r="JYM1" i="10"/>
  <c r="JYL1" i="10"/>
  <c r="JYK1" i="10"/>
  <c r="JYJ1" i="10"/>
  <c r="JYI1" i="10"/>
  <c r="JYH1" i="10"/>
  <c r="JYG1" i="10"/>
  <c r="JYF1" i="10"/>
  <c r="JYE1" i="10"/>
  <c r="JYD1" i="10"/>
  <c r="JYC1" i="10"/>
  <c r="JYB1" i="10"/>
  <c r="JYA1" i="10"/>
  <c r="JXZ1" i="10"/>
  <c r="JXY1" i="10"/>
  <c r="JXX1" i="10"/>
  <c r="JXW1" i="10"/>
  <c r="JXV1" i="10"/>
  <c r="JXU1" i="10"/>
  <c r="JXT1" i="10"/>
  <c r="JXS1" i="10"/>
  <c r="JXR1" i="10"/>
  <c r="JXQ1" i="10"/>
  <c r="JXP1" i="10"/>
  <c r="JXO1" i="10"/>
  <c r="JXN1" i="10"/>
  <c r="JXM1" i="10"/>
  <c r="JXL1" i="10"/>
  <c r="JXK1" i="10"/>
  <c r="JXJ1" i="10"/>
  <c r="JXI1" i="10"/>
  <c r="JXH1" i="10"/>
  <c r="JXG1" i="10"/>
  <c r="JXF1" i="10"/>
  <c r="JXE1" i="10"/>
  <c r="JXD1" i="10"/>
  <c r="JXC1" i="10"/>
  <c r="JXB1" i="10"/>
  <c r="JXA1" i="10"/>
  <c r="JWZ1" i="10"/>
  <c r="JWY1" i="10"/>
  <c r="JWX1" i="10"/>
  <c r="JWW1" i="10"/>
  <c r="JWV1" i="10"/>
  <c r="JWU1" i="10"/>
  <c r="JWT1" i="10"/>
  <c r="JWS1" i="10"/>
  <c r="JWR1" i="10"/>
  <c r="JWQ1" i="10"/>
  <c r="JWP1" i="10"/>
  <c r="JWO1" i="10"/>
  <c r="JWN1" i="10"/>
  <c r="JWM1" i="10"/>
  <c r="JWL1" i="10"/>
  <c r="JWK1" i="10"/>
  <c r="JWJ1" i="10"/>
  <c r="JWI1" i="10"/>
  <c r="JWH1" i="10"/>
  <c r="JWG1" i="10"/>
  <c r="JWF1" i="10"/>
  <c r="JWE1" i="10"/>
  <c r="JWD1" i="10"/>
  <c r="JWC1" i="10"/>
  <c r="JWB1" i="10"/>
  <c r="JWA1" i="10"/>
  <c r="JVZ1" i="10"/>
  <c r="JVY1" i="10"/>
  <c r="JVX1" i="10"/>
  <c r="JVW1" i="10"/>
  <c r="JVV1" i="10"/>
  <c r="JVU1" i="10"/>
  <c r="JVT1" i="10"/>
  <c r="JVS1" i="10"/>
  <c r="JVR1" i="10"/>
  <c r="JVQ1" i="10"/>
  <c r="JVP1" i="10"/>
  <c r="JVO1" i="10"/>
  <c r="JVN1" i="10"/>
  <c r="JVM1" i="10"/>
  <c r="JVL1" i="10"/>
  <c r="JVK1" i="10"/>
  <c r="JVJ1" i="10"/>
  <c r="JVI1" i="10"/>
  <c r="JVH1" i="10"/>
  <c r="JVG1" i="10"/>
  <c r="JVF1" i="10"/>
  <c r="JVE1" i="10"/>
  <c r="JVD1" i="10"/>
  <c r="JVC1" i="10"/>
  <c r="JVB1" i="10"/>
  <c r="JVA1" i="10"/>
  <c r="JUZ1" i="10"/>
  <c r="JUY1" i="10"/>
  <c r="JUX1" i="10"/>
  <c r="JUW1" i="10"/>
  <c r="JUV1" i="10"/>
  <c r="JUU1" i="10"/>
  <c r="JUT1" i="10"/>
  <c r="JUS1" i="10"/>
  <c r="JUR1" i="10"/>
  <c r="JUQ1" i="10"/>
  <c r="JUP1" i="10"/>
  <c r="JUO1" i="10"/>
  <c r="JUN1" i="10"/>
  <c r="JUM1" i="10"/>
  <c r="JUL1" i="10"/>
  <c r="JUK1" i="10"/>
  <c r="JUJ1" i="10"/>
  <c r="JUI1" i="10"/>
  <c r="JUH1" i="10"/>
  <c r="JUG1" i="10"/>
  <c r="JUF1" i="10"/>
  <c r="JUE1" i="10"/>
  <c r="JUD1" i="10"/>
  <c r="JUC1" i="10"/>
  <c r="JUB1" i="10"/>
  <c r="JUA1" i="10"/>
  <c r="JTZ1" i="10"/>
  <c r="JTY1" i="10"/>
  <c r="JTX1" i="10"/>
  <c r="JTW1" i="10"/>
  <c r="JTV1" i="10"/>
  <c r="JTU1" i="10"/>
  <c r="JTT1" i="10"/>
  <c r="JTS1" i="10"/>
  <c r="JTR1" i="10"/>
  <c r="JTQ1" i="10"/>
  <c r="JTP1" i="10"/>
  <c r="JTO1" i="10"/>
  <c r="JTN1" i="10"/>
  <c r="JTM1" i="10"/>
  <c r="JTL1" i="10"/>
  <c r="JTK1" i="10"/>
  <c r="JTJ1" i="10"/>
  <c r="JTI1" i="10"/>
  <c r="JTH1" i="10"/>
  <c r="JTG1" i="10"/>
  <c r="JTF1" i="10"/>
  <c r="JTE1" i="10"/>
  <c r="JTD1" i="10"/>
  <c r="JTC1" i="10"/>
  <c r="JTB1" i="10"/>
  <c r="JTA1" i="10"/>
  <c r="JSZ1" i="10"/>
  <c r="JSY1" i="10"/>
  <c r="JSX1" i="10"/>
  <c r="JSW1" i="10"/>
  <c r="JSV1" i="10"/>
  <c r="JSU1" i="10"/>
  <c r="JST1" i="10"/>
  <c r="JSS1" i="10"/>
  <c r="JSR1" i="10"/>
  <c r="JSQ1" i="10"/>
  <c r="JSP1" i="10"/>
  <c r="JSO1" i="10"/>
  <c r="JSN1" i="10"/>
  <c r="JSM1" i="10"/>
  <c r="JSL1" i="10"/>
  <c r="JSK1" i="10"/>
  <c r="JSJ1" i="10"/>
  <c r="JSI1" i="10"/>
  <c r="JSH1" i="10"/>
  <c r="JSG1" i="10"/>
  <c r="JSF1" i="10"/>
  <c r="JSE1" i="10"/>
  <c r="JSD1" i="10"/>
  <c r="JSC1" i="10"/>
  <c r="JSB1" i="10"/>
  <c r="JSA1" i="10"/>
  <c r="JRZ1" i="10"/>
  <c r="JRY1" i="10"/>
  <c r="JRX1" i="10"/>
  <c r="JRW1" i="10"/>
  <c r="JRV1" i="10"/>
  <c r="JRU1" i="10"/>
  <c r="JRT1" i="10"/>
  <c r="JRS1" i="10"/>
  <c r="JRR1" i="10"/>
  <c r="JRQ1" i="10"/>
  <c r="JRP1" i="10"/>
  <c r="JRO1" i="10"/>
  <c r="JRN1" i="10"/>
  <c r="JRM1" i="10"/>
  <c r="JRL1" i="10"/>
  <c r="JRK1" i="10"/>
  <c r="JRJ1" i="10"/>
  <c r="JRI1" i="10"/>
  <c r="JRH1" i="10"/>
  <c r="JRG1" i="10"/>
  <c r="JRF1" i="10"/>
  <c r="JRE1" i="10"/>
  <c r="JRD1" i="10"/>
  <c r="JRC1" i="10"/>
  <c r="JRB1" i="10"/>
  <c r="JRA1" i="10"/>
  <c r="JQZ1" i="10"/>
  <c r="JQY1" i="10"/>
  <c r="JQX1" i="10"/>
  <c r="JQW1" i="10"/>
  <c r="JQV1" i="10"/>
  <c r="JQU1" i="10"/>
  <c r="JQT1" i="10"/>
  <c r="JQS1" i="10"/>
  <c r="JQR1" i="10"/>
  <c r="JQQ1" i="10"/>
  <c r="JQP1" i="10"/>
  <c r="JQO1" i="10"/>
  <c r="JQN1" i="10"/>
  <c r="JQM1" i="10"/>
  <c r="JQL1" i="10"/>
  <c r="JQK1" i="10"/>
  <c r="JQJ1" i="10"/>
  <c r="JQI1" i="10"/>
  <c r="JQH1" i="10"/>
  <c r="JQG1" i="10"/>
  <c r="JQF1" i="10"/>
  <c r="JQE1" i="10"/>
  <c r="JQD1" i="10"/>
  <c r="JQC1" i="10"/>
  <c r="JQB1" i="10"/>
  <c r="JQA1" i="10"/>
  <c r="JPZ1" i="10"/>
  <c r="JPY1" i="10"/>
  <c r="JPX1" i="10"/>
  <c r="JPW1" i="10"/>
  <c r="JPV1" i="10"/>
  <c r="JPU1" i="10"/>
  <c r="JPT1" i="10"/>
  <c r="JPS1" i="10"/>
  <c r="JPR1" i="10"/>
  <c r="JPQ1" i="10"/>
  <c r="JPP1" i="10"/>
  <c r="JPO1" i="10"/>
  <c r="JPN1" i="10"/>
  <c r="JPM1" i="10"/>
  <c r="JPL1" i="10"/>
  <c r="JPK1" i="10"/>
  <c r="JPJ1" i="10"/>
  <c r="JPI1" i="10"/>
  <c r="JPH1" i="10"/>
  <c r="JPG1" i="10"/>
  <c r="JPF1" i="10"/>
  <c r="JPE1" i="10"/>
  <c r="JPD1" i="10"/>
  <c r="JPC1" i="10"/>
  <c r="JPB1" i="10"/>
  <c r="JPA1" i="10"/>
  <c r="JOZ1" i="10"/>
  <c r="JOY1" i="10"/>
  <c r="JOX1" i="10"/>
  <c r="JOW1" i="10"/>
  <c r="JOV1" i="10"/>
  <c r="JOU1" i="10"/>
  <c r="JOT1" i="10"/>
  <c r="JOS1" i="10"/>
  <c r="JOR1" i="10"/>
  <c r="JOQ1" i="10"/>
  <c r="JOP1" i="10"/>
  <c r="JOO1" i="10"/>
  <c r="JON1" i="10"/>
  <c r="JOM1" i="10"/>
  <c r="JOL1" i="10"/>
  <c r="JOK1" i="10"/>
  <c r="JOJ1" i="10"/>
  <c r="JOI1" i="10"/>
  <c r="JOH1" i="10"/>
  <c r="JOG1" i="10"/>
  <c r="JOF1" i="10"/>
  <c r="JOE1" i="10"/>
  <c r="JOD1" i="10"/>
  <c r="JOC1" i="10"/>
  <c r="JOB1" i="10"/>
  <c r="JOA1" i="10"/>
  <c r="JNZ1" i="10"/>
  <c r="JNY1" i="10"/>
  <c r="JNX1" i="10"/>
  <c r="JNW1" i="10"/>
  <c r="JNV1" i="10"/>
  <c r="JNU1" i="10"/>
  <c r="JNT1" i="10"/>
  <c r="JNS1" i="10"/>
  <c r="JNR1" i="10"/>
  <c r="JNQ1" i="10"/>
  <c r="JNP1" i="10"/>
  <c r="JNO1" i="10"/>
  <c r="JNN1" i="10"/>
  <c r="JNM1" i="10"/>
  <c r="JNL1" i="10"/>
  <c r="JNK1" i="10"/>
  <c r="JNJ1" i="10"/>
  <c r="JNI1" i="10"/>
  <c r="JNH1" i="10"/>
  <c r="JNG1" i="10"/>
  <c r="JNF1" i="10"/>
  <c r="JNE1" i="10"/>
  <c r="JND1" i="10"/>
  <c r="JNC1" i="10"/>
  <c r="JNB1" i="10"/>
  <c r="JNA1" i="10"/>
  <c r="JMZ1" i="10"/>
  <c r="JMY1" i="10"/>
  <c r="JMX1" i="10"/>
  <c r="JMW1" i="10"/>
  <c r="JMV1" i="10"/>
  <c r="JMU1" i="10"/>
  <c r="JMT1" i="10"/>
  <c r="JMS1" i="10"/>
  <c r="JMR1" i="10"/>
  <c r="JMQ1" i="10"/>
  <c r="JMP1" i="10"/>
  <c r="JMO1" i="10"/>
  <c r="JMN1" i="10"/>
  <c r="JMM1" i="10"/>
  <c r="JML1" i="10"/>
  <c r="JMK1" i="10"/>
  <c r="JMJ1" i="10"/>
  <c r="JMI1" i="10"/>
  <c r="JMH1" i="10"/>
  <c r="JMG1" i="10"/>
  <c r="JMF1" i="10"/>
  <c r="JME1" i="10"/>
  <c r="JMD1" i="10"/>
  <c r="JMC1" i="10"/>
  <c r="JMB1" i="10"/>
  <c r="JMA1" i="10"/>
  <c r="JLZ1" i="10"/>
  <c r="JLY1" i="10"/>
  <c r="JLX1" i="10"/>
  <c r="JLW1" i="10"/>
  <c r="JLV1" i="10"/>
  <c r="JLU1" i="10"/>
  <c r="JLT1" i="10"/>
  <c r="JLS1" i="10"/>
  <c r="JLR1" i="10"/>
  <c r="JLQ1" i="10"/>
  <c r="JLP1" i="10"/>
  <c r="JLO1" i="10"/>
  <c r="JLN1" i="10"/>
  <c r="JLM1" i="10"/>
  <c r="JLL1" i="10"/>
  <c r="JLK1" i="10"/>
  <c r="JLJ1" i="10"/>
  <c r="JLI1" i="10"/>
  <c r="JLH1" i="10"/>
  <c r="JLG1" i="10"/>
  <c r="JLF1" i="10"/>
  <c r="JLE1" i="10"/>
  <c r="JLD1" i="10"/>
  <c r="JLC1" i="10"/>
  <c r="JLB1" i="10"/>
  <c r="JLA1" i="10"/>
  <c r="JKZ1" i="10"/>
  <c r="JKY1" i="10"/>
  <c r="JKX1" i="10"/>
  <c r="JKW1" i="10"/>
  <c r="JKV1" i="10"/>
  <c r="JKU1" i="10"/>
  <c r="JKT1" i="10"/>
  <c r="JKS1" i="10"/>
  <c r="JKR1" i="10"/>
  <c r="JKQ1" i="10"/>
  <c r="JKP1" i="10"/>
  <c r="JKO1" i="10"/>
  <c r="JKN1" i="10"/>
  <c r="JKM1" i="10"/>
  <c r="JKL1" i="10"/>
  <c r="JKK1" i="10"/>
  <c r="JKJ1" i="10"/>
  <c r="JKI1" i="10"/>
  <c r="JKH1" i="10"/>
  <c r="JKG1" i="10"/>
  <c r="JKF1" i="10"/>
  <c r="JKE1" i="10"/>
  <c r="JKD1" i="10"/>
  <c r="JKC1" i="10"/>
  <c r="JKB1" i="10"/>
  <c r="JKA1" i="10"/>
  <c r="JJZ1" i="10"/>
  <c r="JJY1" i="10"/>
  <c r="JJX1" i="10"/>
  <c r="JJW1" i="10"/>
  <c r="JJV1" i="10"/>
  <c r="JJU1" i="10"/>
  <c r="JJT1" i="10"/>
  <c r="JJS1" i="10"/>
  <c r="JJR1" i="10"/>
  <c r="JJQ1" i="10"/>
  <c r="JJP1" i="10"/>
  <c r="JJO1" i="10"/>
  <c r="JJN1" i="10"/>
  <c r="JJM1" i="10"/>
  <c r="JJL1" i="10"/>
  <c r="JJK1" i="10"/>
  <c r="JJJ1" i="10"/>
  <c r="JJI1" i="10"/>
  <c r="JJH1" i="10"/>
  <c r="JJG1" i="10"/>
  <c r="JJF1" i="10"/>
  <c r="JJE1" i="10"/>
  <c r="JJD1" i="10"/>
  <c r="JJC1" i="10"/>
  <c r="JJB1" i="10"/>
  <c r="JJA1" i="10"/>
  <c r="JIZ1" i="10"/>
  <c r="JIY1" i="10"/>
  <c r="JIX1" i="10"/>
  <c r="JIW1" i="10"/>
  <c r="JIV1" i="10"/>
  <c r="JIU1" i="10"/>
  <c r="JIT1" i="10"/>
  <c r="JIS1" i="10"/>
  <c r="JIR1" i="10"/>
  <c r="JIQ1" i="10"/>
  <c r="JIP1" i="10"/>
  <c r="JIO1" i="10"/>
  <c r="JIN1" i="10"/>
  <c r="JIM1" i="10"/>
  <c r="JIL1" i="10"/>
  <c r="JIK1" i="10"/>
  <c r="JIJ1" i="10"/>
  <c r="JII1" i="10"/>
  <c r="JIH1" i="10"/>
  <c r="JIG1" i="10"/>
  <c r="JIF1" i="10"/>
  <c r="JIE1" i="10"/>
  <c r="JID1" i="10"/>
  <c r="JIC1" i="10"/>
  <c r="JIB1" i="10"/>
  <c r="JIA1" i="10"/>
  <c r="JHZ1" i="10"/>
  <c r="JHY1" i="10"/>
  <c r="JHX1" i="10"/>
  <c r="JHW1" i="10"/>
  <c r="JHV1" i="10"/>
  <c r="JHU1" i="10"/>
  <c r="JHT1" i="10"/>
  <c r="JHS1" i="10"/>
  <c r="JHR1" i="10"/>
  <c r="JHQ1" i="10"/>
  <c r="JHP1" i="10"/>
  <c r="JHO1" i="10"/>
  <c r="JHN1" i="10"/>
  <c r="JHM1" i="10"/>
  <c r="JHL1" i="10"/>
  <c r="JHK1" i="10"/>
  <c r="JHJ1" i="10"/>
  <c r="JHI1" i="10"/>
  <c r="JHH1" i="10"/>
  <c r="JHG1" i="10"/>
  <c r="JHF1" i="10"/>
  <c r="JHE1" i="10"/>
  <c r="JHD1" i="10"/>
  <c r="JHC1" i="10"/>
  <c r="JHB1" i="10"/>
  <c r="JHA1" i="10"/>
  <c r="JGZ1" i="10"/>
  <c r="JGY1" i="10"/>
  <c r="JGX1" i="10"/>
  <c r="JGW1" i="10"/>
  <c r="JGV1" i="10"/>
  <c r="JGU1" i="10"/>
  <c r="JGT1" i="10"/>
  <c r="JGS1" i="10"/>
  <c r="JGR1" i="10"/>
  <c r="JGQ1" i="10"/>
  <c r="JGP1" i="10"/>
  <c r="JGO1" i="10"/>
  <c r="JGN1" i="10"/>
  <c r="JGM1" i="10"/>
  <c r="JGL1" i="10"/>
  <c r="JGK1" i="10"/>
  <c r="JGJ1" i="10"/>
  <c r="JGI1" i="10"/>
  <c r="JGH1" i="10"/>
  <c r="JGG1" i="10"/>
  <c r="JGF1" i="10"/>
  <c r="JGE1" i="10"/>
  <c r="JGD1" i="10"/>
  <c r="JGC1" i="10"/>
  <c r="JGB1" i="10"/>
  <c r="JGA1" i="10"/>
  <c r="JFZ1" i="10"/>
  <c r="JFY1" i="10"/>
  <c r="JFX1" i="10"/>
  <c r="JFW1" i="10"/>
  <c r="JFV1" i="10"/>
  <c r="JFU1" i="10"/>
  <c r="JFT1" i="10"/>
  <c r="JFS1" i="10"/>
  <c r="JFR1" i="10"/>
  <c r="JFQ1" i="10"/>
  <c r="JFP1" i="10"/>
  <c r="JFO1" i="10"/>
  <c r="JFN1" i="10"/>
  <c r="JFM1" i="10"/>
  <c r="JFL1" i="10"/>
  <c r="JFK1" i="10"/>
  <c r="JFJ1" i="10"/>
  <c r="JFI1" i="10"/>
  <c r="JFH1" i="10"/>
  <c r="JFG1" i="10"/>
  <c r="JFF1" i="10"/>
  <c r="JFE1" i="10"/>
  <c r="JFD1" i="10"/>
  <c r="JFC1" i="10"/>
  <c r="JFB1" i="10"/>
  <c r="JFA1" i="10"/>
  <c r="JEZ1" i="10"/>
  <c r="JEY1" i="10"/>
  <c r="JEX1" i="10"/>
  <c r="JEW1" i="10"/>
  <c r="JEV1" i="10"/>
  <c r="JEU1" i="10"/>
  <c r="JET1" i="10"/>
  <c r="JES1" i="10"/>
  <c r="JER1" i="10"/>
  <c r="JEQ1" i="10"/>
  <c r="JEP1" i="10"/>
  <c r="JEO1" i="10"/>
  <c r="JEN1" i="10"/>
  <c r="JEM1" i="10"/>
  <c r="JEL1" i="10"/>
  <c r="JEK1" i="10"/>
  <c r="JEJ1" i="10"/>
  <c r="JEI1" i="10"/>
  <c r="JEH1" i="10"/>
  <c r="JEG1" i="10"/>
  <c r="JEF1" i="10"/>
  <c r="JEE1" i="10"/>
  <c r="JED1" i="10"/>
  <c r="JEC1" i="10"/>
  <c r="JEB1" i="10"/>
  <c r="JEA1" i="10"/>
  <c r="JDZ1" i="10"/>
  <c r="JDY1" i="10"/>
  <c r="JDX1" i="10"/>
  <c r="JDW1" i="10"/>
  <c r="JDV1" i="10"/>
  <c r="JDU1" i="10"/>
  <c r="JDT1" i="10"/>
  <c r="JDS1" i="10"/>
  <c r="JDR1" i="10"/>
  <c r="JDQ1" i="10"/>
  <c r="JDP1" i="10"/>
  <c r="JDO1" i="10"/>
  <c r="JDN1" i="10"/>
  <c r="JDM1" i="10"/>
  <c r="JDL1" i="10"/>
  <c r="JDK1" i="10"/>
  <c r="JDJ1" i="10"/>
  <c r="JDI1" i="10"/>
  <c r="JDH1" i="10"/>
  <c r="JDG1" i="10"/>
  <c r="JDF1" i="10"/>
  <c r="JDE1" i="10"/>
  <c r="JDD1" i="10"/>
  <c r="JDC1" i="10"/>
  <c r="JDB1" i="10"/>
  <c r="JDA1" i="10"/>
  <c r="JCZ1" i="10"/>
  <c r="JCY1" i="10"/>
  <c r="JCX1" i="10"/>
  <c r="JCW1" i="10"/>
  <c r="JCV1" i="10"/>
  <c r="JCU1" i="10"/>
  <c r="JCT1" i="10"/>
  <c r="JCS1" i="10"/>
  <c r="JCR1" i="10"/>
  <c r="JCQ1" i="10"/>
  <c r="JCP1" i="10"/>
  <c r="JCO1" i="10"/>
  <c r="JCN1" i="10"/>
  <c r="JCM1" i="10"/>
  <c r="JCL1" i="10"/>
  <c r="JCK1" i="10"/>
  <c r="JCJ1" i="10"/>
  <c r="JCI1" i="10"/>
  <c r="JCH1" i="10"/>
  <c r="JCG1" i="10"/>
  <c r="JCF1" i="10"/>
  <c r="JCE1" i="10"/>
  <c r="JCD1" i="10"/>
  <c r="JCC1" i="10"/>
  <c r="JCB1" i="10"/>
  <c r="JCA1" i="10"/>
  <c r="JBZ1" i="10"/>
  <c r="JBY1" i="10"/>
  <c r="JBX1" i="10"/>
  <c r="JBW1" i="10"/>
  <c r="JBV1" i="10"/>
  <c r="JBU1" i="10"/>
  <c r="JBT1" i="10"/>
  <c r="JBS1" i="10"/>
  <c r="JBR1" i="10"/>
  <c r="JBQ1" i="10"/>
  <c r="JBP1" i="10"/>
  <c r="JBO1" i="10"/>
  <c r="JBN1" i="10"/>
  <c r="JBM1" i="10"/>
  <c r="JBL1" i="10"/>
  <c r="JBK1" i="10"/>
  <c r="JBJ1" i="10"/>
  <c r="JBI1" i="10"/>
  <c r="JBH1" i="10"/>
  <c r="JBG1" i="10"/>
  <c r="JBF1" i="10"/>
  <c r="JBE1" i="10"/>
  <c r="JBD1" i="10"/>
  <c r="JBC1" i="10"/>
  <c r="JBB1" i="10"/>
  <c r="JBA1" i="10"/>
  <c r="JAZ1" i="10"/>
  <c r="JAY1" i="10"/>
  <c r="JAX1" i="10"/>
  <c r="JAW1" i="10"/>
  <c r="JAV1" i="10"/>
  <c r="JAU1" i="10"/>
  <c r="JAT1" i="10"/>
  <c r="JAS1" i="10"/>
  <c r="JAR1" i="10"/>
  <c r="JAQ1" i="10"/>
  <c r="JAP1" i="10"/>
  <c r="JAO1" i="10"/>
  <c r="JAN1" i="10"/>
  <c r="JAM1" i="10"/>
  <c r="JAL1" i="10"/>
  <c r="JAK1" i="10"/>
  <c r="JAJ1" i="10"/>
  <c r="JAI1" i="10"/>
  <c r="JAH1" i="10"/>
  <c r="JAG1" i="10"/>
  <c r="JAF1" i="10"/>
  <c r="JAE1" i="10"/>
  <c r="JAD1" i="10"/>
  <c r="JAC1" i="10"/>
  <c r="JAB1" i="10"/>
  <c r="JAA1" i="10"/>
  <c r="IZZ1" i="10"/>
  <c r="IZY1" i="10"/>
  <c r="IZX1" i="10"/>
  <c r="IZW1" i="10"/>
  <c r="IZV1" i="10"/>
  <c r="IZU1" i="10"/>
  <c r="IZT1" i="10"/>
  <c r="IZS1" i="10"/>
  <c r="IZR1" i="10"/>
  <c r="IZQ1" i="10"/>
  <c r="IZP1" i="10"/>
  <c r="IZO1" i="10"/>
  <c r="IZN1" i="10"/>
  <c r="IZM1" i="10"/>
  <c r="IZL1" i="10"/>
  <c r="IZK1" i="10"/>
  <c r="IZJ1" i="10"/>
  <c r="IZI1" i="10"/>
  <c r="IZH1" i="10"/>
  <c r="IZG1" i="10"/>
  <c r="IZF1" i="10"/>
  <c r="IZE1" i="10"/>
  <c r="IZD1" i="10"/>
  <c r="IZC1" i="10"/>
  <c r="IZB1" i="10"/>
  <c r="IZA1" i="10"/>
  <c r="IYZ1" i="10"/>
  <c r="IYY1" i="10"/>
  <c r="IYX1" i="10"/>
  <c r="IYW1" i="10"/>
  <c r="IYV1" i="10"/>
  <c r="IYU1" i="10"/>
  <c r="IYT1" i="10"/>
  <c r="IYS1" i="10"/>
  <c r="IYR1" i="10"/>
  <c r="IYQ1" i="10"/>
  <c r="IYP1" i="10"/>
  <c r="IYO1" i="10"/>
  <c r="IYN1" i="10"/>
  <c r="IYM1" i="10"/>
  <c r="IYL1" i="10"/>
  <c r="IYK1" i="10"/>
  <c r="IYJ1" i="10"/>
  <c r="IYI1" i="10"/>
  <c r="IYH1" i="10"/>
  <c r="IYG1" i="10"/>
  <c r="IYF1" i="10"/>
  <c r="IYE1" i="10"/>
  <c r="IYD1" i="10"/>
  <c r="IYC1" i="10"/>
  <c r="IYB1" i="10"/>
  <c r="IYA1" i="10"/>
  <c r="IXZ1" i="10"/>
  <c r="IXY1" i="10"/>
  <c r="IXX1" i="10"/>
  <c r="IXW1" i="10"/>
  <c r="IXV1" i="10"/>
  <c r="IXU1" i="10"/>
  <c r="IXT1" i="10"/>
  <c r="IXS1" i="10"/>
  <c r="IXR1" i="10"/>
  <c r="IXQ1" i="10"/>
  <c r="IXP1" i="10"/>
  <c r="IXO1" i="10"/>
  <c r="IXN1" i="10"/>
  <c r="IXM1" i="10"/>
  <c r="IXL1" i="10"/>
  <c r="IXK1" i="10"/>
  <c r="IXJ1" i="10"/>
  <c r="IXI1" i="10"/>
  <c r="IXH1" i="10"/>
  <c r="IXG1" i="10"/>
  <c r="IXF1" i="10"/>
  <c r="IXE1" i="10"/>
  <c r="IXD1" i="10"/>
  <c r="IXC1" i="10"/>
  <c r="IXB1" i="10"/>
  <c r="IXA1" i="10"/>
  <c r="IWZ1" i="10"/>
  <c r="IWY1" i="10"/>
  <c r="IWX1" i="10"/>
  <c r="IWW1" i="10"/>
  <c r="IWV1" i="10"/>
  <c r="IWU1" i="10"/>
  <c r="IWT1" i="10"/>
  <c r="IWS1" i="10"/>
  <c r="IWR1" i="10"/>
  <c r="IWQ1" i="10"/>
  <c r="IWP1" i="10"/>
  <c r="IWO1" i="10"/>
  <c r="IWN1" i="10"/>
  <c r="IWM1" i="10"/>
  <c r="IWL1" i="10"/>
  <c r="IWK1" i="10"/>
  <c r="IWJ1" i="10"/>
  <c r="IWI1" i="10"/>
  <c r="IWH1" i="10"/>
  <c r="IWG1" i="10"/>
  <c r="IWF1" i="10"/>
  <c r="IWE1" i="10"/>
  <c r="IWD1" i="10"/>
  <c r="IWC1" i="10"/>
  <c r="IWB1" i="10"/>
  <c r="IWA1" i="10"/>
  <c r="IVZ1" i="10"/>
  <c r="IVY1" i="10"/>
  <c r="IVX1" i="10"/>
  <c r="IVW1" i="10"/>
  <c r="IVV1" i="10"/>
  <c r="IVU1" i="10"/>
  <c r="IVT1" i="10"/>
  <c r="IVS1" i="10"/>
  <c r="IVR1" i="10"/>
  <c r="IVQ1" i="10"/>
  <c r="IVP1" i="10"/>
  <c r="IVO1" i="10"/>
  <c r="IVN1" i="10"/>
  <c r="IVM1" i="10"/>
  <c r="IVL1" i="10"/>
  <c r="IVK1" i="10"/>
  <c r="IVJ1" i="10"/>
  <c r="IVI1" i="10"/>
  <c r="IVH1" i="10"/>
  <c r="IVG1" i="10"/>
  <c r="IVF1" i="10"/>
  <c r="IVE1" i="10"/>
  <c r="IVD1" i="10"/>
  <c r="IVC1" i="10"/>
  <c r="IVB1" i="10"/>
  <c r="IVA1" i="10"/>
  <c r="IUZ1" i="10"/>
  <c r="IUY1" i="10"/>
  <c r="IUX1" i="10"/>
  <c r="IUW1" i="10"/>
  <c r="IUV1" i="10"/>
  <c r="IUU1" i="10"/>
  <c r="IUT1" i="10"/>
  <c r="IUS1" i="10"/>
  <c r="IUR1" i="10"/>
  <c r="IUQ1" i="10"/>
  <c r="IUP1" i="10"/>
  <c r="IUO1" i="10"/>
  <c r="IUN1" i="10"/>
  <c r="IUM1" i="10"/>
  <c r="IUL1" i="10"/>
  <c r="IUK1" i="10"/>
  <c r="IUJ1" i="10"/>
  <c r="IUI1" i="10"/>
  <c r="IUH1" i="10"/>
  <c r="IUG1" i="10"/>
  <c r="IUF1" i="10"/>
  <c r="IUE1" i="10"/>
  <c r="IUD1" i="10"/>
  <c r="IUC1" i="10"/>
  <c r="IUB1" i="10"/>
  <c r="IUA1" i="10"/>
  <c r="ITZ1" i="10"/>
  <c r="ITY1" i="10"/>
  <c r="ITX1" i="10"/>
  <c r="ITW1" i="10"/>
  <c r="ITV1" i="10"/>
  <c r="ITU1" i="10"/>
  <c r="ITT1" i="10"/>
  <c r="ITS1" i="10"/>
  <c r="ITR1" i="10"/>
  <c r="ITQ1" i="10"/>
  <c r="ITP1" i="10"/>
  <c r="ITO1" i="10"/>
  <c r="ITN1" i="10"/>
  <c r="ITM1" i="10"/>
  <c r="ITL1" i="10"/>
  <c r="ITK1" i="10"/>
  <c r="ITJ1" i="10"/>
  <c r="ITI1" i="10"/>
  <c r="ITH1" i="10"/>
  <c r="ITG1" i="10"/>
  <c r="ITF1" i="10"/>
  <c r="ITE1" i="10"/>
  <c r="ITD1" i="10"/>
  <c r="ITC1" i="10"/>
  <c r="ITB1" i="10"/>
  <c r="ITA1" i="10"/>
  <c r="ISZ1" i="10"/>
  <c r="ISY1" i="10"/>
  <c r="ISX1" i="10"/>
  <c r="ISW1" i="10"/>
  <c r="ISV1" i="10"/>
  <c r="ISU1" i="10"/>
  <c r="IST1" i="10"/>
  <c r="ISS1" i="10"/>
  <c r="ISR1" i="10"/>
  <c r="ISQ1" i="10"/>
  <c r="ISP1" i="10"/>
  <c r="ISO1" i="10"/>
  <c r="ISN1" i="10"/>
  <c r="ISM1" i="10"/>
  <c r="ISL1" i="10"/>
  <c r="ISK1" i="10"/>
  <c r="ISJ1" i="10"/>
  <c r="ISI1" i="10"/>
  <c r="ISH1" i="10"/>
  <c r="ISG1" i="10"/>
  <c r="ISF1" i="10"/>
  <c r="ISE1" i="10"/>
  <c r="ISD1" i="10"/>
  <c r="ISC1" i="10"/>
  <c r="ISB1" i="10"/>
  <c r="ISA1" i="10"/>
  <c r="IRZ1" i="10"/>
  <c r="IRY1" i="10"/>
  <c r="IRX1" i="10"/>
  <c r="IRW1" i="10"/>
  <c r="IRV1" i="10"/>
  <c r="IRU1" i="10"/>
  <c r="IRT1" i="10"/>
  <c r="IRS1" i="10"/>
  <c r="IRR1" i="10"/>
  <c r="IRQ1" i="10"/>
  <c r="IRP1" i="10"/>
  <c r="IRO1" i="10"/>
  <c r="IRN1" i="10"/>
  <c r="IRM1" i="10"/>
  <c r="IRL1" i="10"/>
  <c r="IRK1" i="10"/>
  <c r="IRJ1" i="10"/>
  <c r="IRI1" i="10"/>
  <c r="IRH1" i="10"/>
  <c r="IRG1" i="10"/>
  <c r="IRF1" i="10"/>
  <c r="IRE1" i="10"/>
  <c r="IRD1" i="10"/>
  <c r="IRC1" i="10"/>
  <c r="IRB1" i="10"/>
  <c r="IRA1" i="10"/>
  <c r="IQZ1" i="10"/>
  <c r="IQY1" i="10"/>
  <c r="IQX1" i="10"/>
  <c r="IQW1" i="10"/>
  <c r="IQV1" i="10"/>
  <c r="IQU1" i="10"/>
  <c r="IQT1" i="10"/>
  <c r="IQS1" i="10"/>
  <c r="IQR1" i="10"/>
  <c r="IQQ1" i="10"/>
  <c r="IQP1" i="10"/>
  <c r="IQO1" i="10"/>
  <c r="IQN1" i="10"/>
  <c r="IQM1" i="10"/>
  <c r="IQL1" i="10"/>
  <c r="IQK1" i="10"/>
  <c r="IQJ1" i="10"/>
  <c r="IQI1" i="10"/>
  <c r="IQH1" i="10"/>
  <c r="IQG1" i="10"/>
  <c r="IQF1" i="10"/>
  <c r="IQE1" i="10"/>
  <c r="IQD1" i="10"/>
  <c r="IQC1" i="10"/>
  <c r="IQB1" i="10"/>
  <c r="IQA1" i="10"/>
  <c r="IPZ1" i="10"/>
  <c r="IPY1" i="10"/>
  <c r="IPX1" i="10"/>
  <c r="IPW1" i="10"/>
  <c r="IPV1" i="10"/>
  <c r="IPU1" i="10"/>
  <c r="IPT1" i="10"/>
  <c r="IPS1" i="10"/>
  <c r="IPR1" i="10"/>
  <c r="IPQ1" i="10"/>
  <c r="IPP1" i="10"/>
  <c r="IPO1" i="10"/>
  <c r="IPN1" i="10"/>
  <c r="IPM1" i="10"/>
  <c r="IPL1" i="10"/>
  <c r="IPK1" i="10"/>
  <c r="IPJ1" i="10"/>
  <c r="IPI1" i="10"/>
  <c r="IPH1" i="10"/>
  <c r="IPG1" i="10"/>
  <c r="IPF1" i="10"/>
  <c r="IPE1" i="10"/>
  <c r="IPD1" i="10"/>
  <c r="IPC1" i="10"/>
  <c r="IPB1" i="10"/>
  <c r="IPA1" i="10"/>
  <c r="IOZ1" i="10"/>
  <c r="IOY1" i="10"/>
  <c r="IOX1" i="10"/>
  <c r="IOW1" i="10"/>
  <c r="IOV1" i="10"/>
  <c r="IOU1" i="10"/>
  <c r="IOT1" i="10"/>
  <c r="IOS1" i="10"/>
  <c r="IOR1" i="10"/>
  <c r="IOQ1" i="10"/>
  <c r="IOP1" i="10"/>
  <c r="IOO1" i="10"/>
  <c r="ION1" i="10"/>
  <c r="IOM1" i="10"/>
  <c r="IOL1" i="10"/>
  <c r="IOK1" i="10"/>
  <c r="IOJ1" i="10"/>
  <c r="IOI1" i="10"/>
  <c r="IOH1" i="10"/>
  <c r="IOG1" i="10"/>
  <c r="IOF1" i="10"/>
  <c r="IOE1" i="10"/>
  <c r="IOD1" i="10"/>
  <c r="IOC1" i="10"/>
  <c r="IOB1" i="10"/>
  <c r="IOA1" i="10"/>
  <c r="INZ1" i="10"/>
  <c r="INY1" i="10"/>
  <c r="INX1" i="10"/>
  <c r="INW1" i="10"/>
  <c r="INV1" i="10"/>
  <c r="INU1" i="10"/>
  <c r="INT1" i="10"/>
  <c r="INS1" i="10"/>
  <c r="INR1" i="10"/>
  <c r="INQ1" i="10"/>
  <c r="INP1" i="10"/>
  <c r="INO1" i="10"/>
  <c r="INN1" i="10"/>
  <c r="INM1" i="10"/>
  <c r="INL1" i="10"/>
  <c r="INK1" i="10"/>
  <c r="INJ1" i="10"/>
  <c r="INI1" i="10"/>
  <c r="INH1" i="10"/>
  <c r="ING1" i="10"/>
  <c r="INF1" i="10"/>
  <c r="INE1" i="10"/>
  <c r="IND1" i="10"/>
  <c r="INC1" i="10"/>
  <c r="INB1" i="10"/>
  <c r="INA1" i="10"/>
  <c r="IMZ1" i="10"/>
  <c r="IMY1" i="10"/>
  <c r="IMX1" i="10"/>
  <c r="IMW1" i="10"/>
  <c r="IMV1" i="10"/>
  <c r="IMU1" i="10"/>
  <c r="IMT1" i="10"/>
  <c r="IMS1" i="10"/>
  <c r="IMR1" i="10"/>
  <c r="IMQ1" i="10"/>
  <c r="IMP1" i="10"/>
  <c r="IMO1" i="10"/>
  <c r="IMN1" i="10"/>
  <c r="IMM1" i="10"/>
  <c r="IML1" i="10"/>
  <c r="IMK1" i="10"/>
  <c r="IMJ1" i="10"/>
  <c r="IMI1" i="10"/>
  <c r="IMH1" i="10"/>
  <c r="IMG1" i="10"/>
  <c r="IMF1" i="10"/>
  <c r="IME1" i="10"/>
  <c r="IMD1" i="10"/>
  <c r="IMC1" i="10"/>
  <c r="IMB1" i="10"/>
  <c r="IMA1" i="10"/>
  <c r="ILZ1" i="10"/>
  <c r="ILY1" i="10"/>
  <c r="ILX1" i="10"/>
  <c r="ILW1" i="10"/>
  <c r="ILV1" i="10"/>
  <c r="ILU1" i="10"/>
  <c r="ILT1" i="10"/>
  <c r="ILS1" i="10"/>
  <c r="ILR1" i="10"/>
  <c r="ILQ1" i="10"/>
  <c r="ILP1" i="10"/>
  <c r="ILO1" i="10"/>
  <c r="ILN1" i="10"/>
  <c r="ILM1" i="10"/>
  <c r="ILL1" i="10"/>
  <c r="ILK1" i="10"/>
  <c r="ILJ1" i="10"/>
  <c r="ILI1" i="10"/>
  <c r="ILH1" i="10"/>
  <c r="ILG1" i="10"/>
  <c r="ILF1" i="10"/>
  <c r="ILE1" i="10"/>
  <c r="ILD1" i="10"/>
  <c r="ILC1" i="10"/>
  <c r="ILB1" i="10"/>
  <c r="ILA1" i="10"/>
  <c r="IKZ1" i="10"/>
  <c r="IKY1" i="10"/>
  <c r="IKX1" i="10"/>
  <c r="IKW1" i="10"/>
  <c r="IKV1" i="10"/>
  <c r="IKU1" i="10"/>
  <c r="IKT1" i="10"/>
  <c r="IKS1" i="10"/>
  <c r="IKR1" i="10"/>
  <c r="IKQ1" i="10"/>
  <c r="IKP1" i="10"/>
  <c r="IKO1" i="10"/>
  <c r="IKN1" i="10"/>
  <c r="IKM1" i="10"/>
  <c r="IKL1" i="10"/>
  <c r="IKK1" i="10"/>
  <c r="IKJ1" i="10"/>
  <c r="IKI1" i="10"/>
  <c r="IKH1" i="10"/>
  <c r="IKG1" i="10"/>
  <c r="IKF1" i="10"/>
  <c r="IKE1" i="10"/>
  <c r="IKD1" i="10"/>
  <c r="IKC1" i="10"/>
  <c r="IKB1" i="10"/>
  <c r="IKA1" i="10"/>
  <c r="IJZ1" i="10"/>
  <c r="IJY1" i="10"/>
  <c r="IJX1" i="10"/>
  <c r="IJW1" i="10"/>
  <c r="IJV1" i="10"/>
  <c r="IJU1" i="10"/>
  <c r="IJT1" i="10"/>
  <c r="IJS1" i="10"/>
  <c r="IJR1" i="10"/>
  <c r="IJQ1" i="10"/>
  <c r="IJP1" i="10"/>
  <c r="IJO1" i="10"/>
  <c r="IJN1" i="10"/>
  <c r="IJM1" i="10"/>
  <c r="IJL1" i="10"/>
  <c r="IJK1" i="10"/>
  <c r="IJJ1" i="10"/>
  <c r="IJI1" i="10"/>
  <c r="IJH1" i="10"/>
  <c r="IJG1" i="10"/>
  <c r="IJF1" i="10"/>
  <c r="IJE1" i="10"/>
  <c r="IJD1" i="10"/>
  <c r="IJC1" i="10"/>
  <c r="IJB1" i="10"/>
  <c r="IJA1" i="10"/>
  <c r="IIZ1" i="10"/>
  <c r="IIY1" i="10"/>
  <c r="IIX1" i="10"/>
  <c r="IIW1" i="10"/>
  <c r="IIV1" i="10"/>
  <c r="IIU1" i="10"/>
  <c r="IIT1" i="10"/>
  <c r="IIS1" i="10"/>
  <c r="IIR1" i="10"/>
  <c r="IIQ1" i="10"/>
  <c r="IIP1" i="10"/>
  <c r="IIO1" i="10"/>
  <c r="IIN1" i="10"/>
  <c r="IIM1" i="10"/>
  <c r="IIL1" i="10"/>
  <c r="IIK1" i="10"/>
  <c r="IIJ1" i="10"/>
  <c r="III1" i="10"/>
  <c r="IIH1" i="10"/>
  <c r="IIG1" i="10"/>
  <c r="IIF1" i="10"/>
  <c r="IIE1" i="10"/>
  <c r="IID1" i="10"/>
  <c r="IIC1" i="10"/>
  <c r="IIB1" i="10"/>
  <c r="IIA1" i="10"/>
  <c r="IHZ1" i="10"/>
  <c r="IHY1" i="10"/>
  <c r="IHX1" i="10"/>
  <c r="IHW1" i="10"/>
  <c r="IHV1" i="10"/>
  <c r="IHU1" i="10"/>
  <c r="IHT1" i="10"/>
  <c r="IHS1" i="10"/>
  <c r="IHR1" i="10"/>
  <c r="IHQ1" i="10"/>
  <c r="IHP1" i="10"/>
  <c r="IHO1" i="10"/>
  <c r="IHN1" i="10"/>
  <c r="IHM1" i="10"/>
  <c r="IHL1" i="10"/>
  <c r="IHK1" i="10"/>
  <c r="IHJ1" i="10"/>
  <c r="IHI1" i="10"/>
  <c r="IHH1" i="10"/>
  <c r="IHG1" i="10"/>
  <c r="IHF1" i="10"/>
  <c r="IHE1" i="10"/>
  <c r="IHD1" i="10"/>
  <c r="IHC1" i="10"/>
  <c r="IHB1" i="10"/>
  <c r="IHA1" i="10"/>
  <c r="IGZ1" i="10"/>
  <c r="IGY1" i="10"/>
  <c r="IGX1" i="10"/>
  <c r="IGW1" i="10"/>
  <c r="IGV1" i="10"/>
  <c r="IGU1" i="10"/>
  <c r="IGT1" i="10"/>
  <c r="IGS1" i="10"/>
  <c r="IGR1" i="10"/>
  <c r="IGQ1" i="10"/>
  <c r="IGP1" i="10"/>
  <c r="IGO1" i="10"/>
  <c r="IGN1" i="10"/>
  <c r="IGM1" i="10"/>
  <c r="IGL1" i="10"/>
  <c r="IGK1" i="10"/>
  <c r="IGJ1" i="10"/>
  <c r="IGI1" i="10"/>
  <c r="IGH1" i="10"/>
  <c r="IGG1" i="10"/>
  <c r="IGF1" i="10"/>
  <c r="IGE1" i="10"/>
  <c r="IGD1" i="10"/>
  <c r="IGC1" i="10"/>
  <c r="IGB1" i="10"/>
  <c r="IGA1" i="10"/>
  <c r="IFZ1" i="10"/>
  <c r="IFY1" i="10"/>
  <c r="IFX1" i="10"/>
  <c r="IFW1" i="10"/>
  <c r="IFV1" i="10"/>
  <c r="IFU1" i="10"/>
  <c r="IFT1" i="10"/>
  <c r="IFS1" i="10"/>
  <c r="IFR1" i="10"/>
  <c r="IFQ1" i="10"/>
  <c r="IFP1" i="10"/>
  <c r="IFO1" i="10"/>
  <c r="IFN1" i="10"/>
  <c r="IFM1" i="10"/>
  <c r="IFL1" i="10"/>
  <c r="IFK1" i="10"/>
  <c r="IFJ1" i="10"/>
  <c r="IFI1" i="10"/>
  <c r="IFH1" i="10"/>
  <c r="IFG1" i="10"/>
  <c r="IFF1" i="10"/>
  <c r="IFE1" i="10"/>
  <c r="IFD1" i="10"/>
  <c r="IFC1" i="10"/>
  <c r="IFB1" i="10"/>
  <c r="IFA1" i="10"/>
  <c r="IEZ1" i="10"/>
  <c r="IEY1" i="10"/>
  <c r="IEX1" i="10"/>
  <c r="IEW1" i="10"/>
  <c r="IEV1" i="10"/>
  <c r="IEU1" i="10"/>
  <c r="IET1" i="10"/>
  <c r="IES1" i="10"/>
  <c r="IER1" i="10"/>
  <c r="IEQ1" i="10"/>
  <c r="IEP1" i="10"/>
  <c r="IEO1" i="10"/>
  <c r="IEN1" i="10"/>
  <c r="IEM1" i="10"/>
  <c r="IEL1" i="10"/>
  <c r="IEK1" i="10"/>
  <c r="IEJ1" i="10"/>
  <c r="IEI1" i="10"/>
  <c r="IEH1" i="10"/>
  <c r="IEG1" i="10"/>
  <c r="IEF1" i="10"/>
  <c r="IEE1" i="10"/>
  <c r="IED1" i="10"/>
  <c r="IEC1" i="10"/>
  <c r="IEB1" i="10"/>
  <c r="IEA1" i="10"/>
  <c r="IDZ1" i="10"/>
  <c r="IDY1" i="10"/>
  <c r="IDX1" i="10"/>
  <c r="IDW1" i="10"/>
  <c r="IDV1" i="10"/>
  <c r="IDU1" i="10"/>
  <c r="IDT1" i="10"/>
  <c r="IDS1" i="10"/>
  <c r="IDR1" i="10"/>
  <c r="IDQ1" i="10"/>
  <c r="IDP1" i="10"/>
  <c r="IDO1" i="10"/>
  <c r="IDN1" i="10"/>
  <c r="IDM1" i="10"/>
  <c r="IDL1" i="10"/>
  <c r="IDK1" i="10"/>
  <c r="IDJ1" i="10"/>
  <c r="IDI1" i="10"/>
  <c r="IDH1" i="10"/>
  <c r="IDG1" i="10"/>
  <c r="IDF1" i="10"/>
  <c r="IDE1" i="10"/>
  <c r="IDD1" i="10"/>
  <c r="IDC1" i="10"/>
  <c r="IDB1" i="10"/>
  <c r="IDA1" i="10"/>
  <c r="ICZ1" i="10"/>
  <c r="ICY1" i="10"/>
  <c r="ICX1" i="10"/>
  <c r="ICW1" i="10"/>
  <c r="ICV1" i="10"/>
  <c r="ICU1" i="10"/>
  <c r="ICT1" i="10"/>
  <c r="ICS1" i="10"/>
  <c r="ICR1" i="10"/>
  <c r="ICQ1" i="10"/>
  <c r="ICP1" i="10"/>
  <c r="ICO1" i="10"/>
  <c r="ICN1" i="10"/>
  <c r="ICM1" i="10"/>
  <c r="ICL1" i="10"/>
  <c r="ICK1" i="10"/>
  <c r="ICJ1" i="10"/>
  <c r="ICI1" i="10"/>
  <c r="ICH1" i="10"/>
  <c r="ICG1" i="10"/>
  <c r="ICF1" i="10"/>
  <c r="ICE1" i="10"/>
  <c r="ICD1" i="10"/>
  <c r="ICC1" i="10"/>
  <c r="ICB1" i="10"/>
  <c r="ICA1" i="10"/>
  <c r="IBZ1" i="10"/>
  <c r="IBY1" i="10"/>
  <c r="IBX1" i="10"/>
  <c r="IBW1" i="10"/>
  <c r="IBV1" i="10"/>
  <c r="IBU1" i="10"/>
  <c r="IBT1" i="10"/>
  <c r="IBS1" i="10"/>
  <c r="IBR1" i="10"/>
  <c r="IBQ1" i="10"/>
  <c r="IBP1" i="10"/>
  <c r="IBO1" i="10"/>
  <c r="IBN1" i="10"/>
  <c r="IBM1" i="10"/>
  <c r="IBL1" i="10"/>
  <c r="IBK1" i="10"/>
  <c r="IBJ1" i="10"/>
  <c r="IBI1" i="10"/>
  <c r="IBH1" i="10"/>
  <c r="IBG1" i="10"/>
  <c r="IBF1" i="10"/>
  <c r="IBE1" i="10"/>
  <c r="IBD1" i="10"/>
  <c r="IBC1" i="10"/>
  <c r="IBB1" i="10"/>
  <c r="IBA1" i="10"/>
  <c r="IAZ1" i="10"/>
  <c r="IAY1" i="10"/>
  <c r="IAX1" i="10"/>
  <c r="IAW1" i="10"/>
  <c r="IAV1" i="10"/>
  <c r="IAU1" i="10"/>
  <c r="IAT1" i="10"/>
  <c r="IAS1" i="10"/>
  <c r="IAR1" i="10"/>
  <c r="IAQ1" i="10"/>
  <c r="IAP1" i="10"/>
  <c r="IAO1" i="10"/>
  <c r="IAN1" i="10"/>
  <c r="IAM1" i="10"/>
  <c r="IAL1" i="10"/>
  <c r="IAK1" i="10"/>
  <c r="IAJ1" i="10"/>
  <c r="IAI1" i="10"/>
  <c r="IAH1" i="10"/>
  <c r="IAG1" i="10"/>
  <c r="IAF1" i="10"/>
  <c r="IAE1" i="10"/>
  <c r="IAD1" i="10"/>
  <c r="IAC1" i="10"/>
  <c r="IAB1" i="10"/>
  <c r="IAA1" i="10"/>
  <c r="HZZ1" i="10"/>
  <c r="HZY1" i="10"/>
  <c r="HZX1" i="10"/>
  <c r="HZW1" i="10"/>
  <c r="HZV1" i="10"/>
  <c r="HZU1" i="10"/>
  <c r="HZT1" i="10"/>
  <c r="HZS1" i="10"/>
  <c r="HZR1" i="10"/>
  <c r="HZQ1" i="10"/>
  <c r="HZP1" i="10"/>
  <c r="HZO1" i="10"/>
  <c r="HZN1" i="10"/>
  <c r="HZM1" i="10"/>
  <c r="HZL1" i="10"/>
  <c r="HZK1" i="10"/>
  <c r="HZJ1" i="10"/>
  <c r="HZI1" i="10"/>
  <c r="HZH1" i="10"/>
  <c r="HZG1" i="10"/>
  <c r="HZF1" i="10"/>
  <c r="HZE1" i="10"/>
  <c r="HZD1" i="10"/>
  <c r="HZC1" i="10"/>
  <c r="HZB1" i="10"/>
  <c r="HZA1" i="10"/>
  <c r="HYZ1" i="10"/>
  <c r="HYY1" i="10"/>
  <c r="HYX1" i="10"/>
  <c r="HYW1" i="10"/>
  <c r="HYV1" i="10"/>
  <c r="HYU1" i="10"/>
  <c r="HYT1" i="10"/>
  <c r="HYS1" i="10"/>
  <c r="HYR1" i="10"/>
  <c r="HYQ1" i="10"/>
  <c r="HYP1" i="10"/>
  <c r="HYO1" i="10"/>
  <c r="HYN1" i="10"/>
  <c r="HYM1" i="10"/>
  <c r="HYL1" i="10"/>
  <c r="HYK1" i="10"/>
  <c r="HYJ1" i="10"/>
  <c r="HYI1" i="10"/>
  <c r="HYH1" i="10"/>
  <c r="HYG1" i="10"/>
  <c r="HYF1" i="10"/>
  <c r="HYE1" i="10"/>
  <c r="HYD1" i="10"/>
  <c r="HYC1" i="10"/>
  <c r="HYB1" i="10"/>
  <c r="HYA1" i="10"/>
  <c r="HXZ1" i="10"/>
  <c r="HXY1" i="10"/>
  <c r="HXX1" i="10"/>
  <c r="HXW1" i="10"/>
  <c r="HXV1" i="10"/>
  <c r="HXU1" i="10"/>
  <c r="HXT1" i="10"/>
  <c r="HXS1" i="10"/>
  <c r="HXR1" i="10"/>
  <c r="HXQ1" i="10"/>
  <c r="HXP1" i="10"/>
  <c r="HXO1" i="10"/>
  <c r="HXN1" i="10"/>
  <c r="HXM1" i="10"/>
  <c r="HXL1" i="10"/>
  <c r="HXK1" i="10"/>
  <c r="HXJ1" i="10"/>
  <c r="HXI1" i="10"/>
  <c r="HXH1" i="10"/>
  <c r="HXG1" i="10"/>
  <c r="HXF1" i="10"/>
  <c r="HXE1" i="10"/>
  <c r="HXD1" i="10"/>
  <c r="HXC1" i="10"/>
  <c r="HXB1" i="10"/>
  <c r="HXA1" i="10"/>
  <c r="HWZ1" i="10"/>
  <c r="HWY1" i="10"/>
  <c r="HWX1" i="10"/>
  <c r="HWW1" i="10"/>
  <c r="HWV1" i="10"/>
  <c r="HWU1" i="10"/>
  <c r="HWT1" i="10"/>
  <c r="HWS1" i="10"/>
  <c r="HWR1" i="10"/>
  <c r="HWQ1" i="10"/>
  <c r="HWP1" i="10"/>
  <c r="HWO1" i="10"/>
  <c r="HWN1" i="10"/>
  <c r="HWM1" i="10"/>
  <c r="HWL1" i="10"/>
  <c r="HWK1" i="10"/>
  <c r="HWJ1" i="10"/>
  <c r="HWI1" i="10"/>
  <c r="HWH1" i="10"/>
  <c r="HWG1" i="10"/>
  <c r="HWF1" i="10"/>
  <c r="HWE1" i="10"/>
  <c r="HWD1" i="10"/>
  <c r="HWC1" i="10"/>
  <c r="HWB1" i="10"/>
  <c r="HWA1" i="10"/>
  <c r="HVZ1" i="10"/>
  <c r="HVY1" i="10"/>
  <c r="HVX1" i="10"/>
  <c r="HVW1" i="10"/>
  <c r="HVV1" i="10"/>
  <c r="HVU1" i="10"/>
  <c r="HVT1" i="10"/>
  <c r="HVS1" i="10"/>
  <c r="HVR1" i="10"/>
  <c r="HVQ1" i="10"/>
  <c r="HVP1" i="10"/>
  <c r="HVO1" i="10"/>
  <c r="HVN1" i="10"/>
  <c r="HVM1" i="10"/>
  <c r="HVL1" i="10"/>
  <c r="HVK1" i="10"/>
  <c r="HVJ1" i="10"/>
  <c r="HVI1" i="10"/>
  <c r="HVH1" i="10"/>
  <c r="HVG1" i="10"/>
  <c r="HVF1" i="10"/>
  <c r="HVE1" i="10"/>
  <c r="HVD1" i="10"/>
  <c r="HVC1" i="10"/>
  <c r="HVB1" i="10"/>
  <c r="HVA1" i="10"/>
  <c r="HUZ1" i="10"/>
  <c r="HUY1" i="10"/>
  <c r="HUX1" i="10"/>
  <c r="HUW1" i="10"/>
  <c r="HUV1" i="10"/>
  <c r="HUU1" i="10"/>
  <c r="HUT1" i="10"/>
  <c r="HUS1" i="10"/>
  <c r="HUR1" i="10"/>
  <c r="HUQ1" i="10"/>
  <c r="HUP1" i="10"/>
  <c r="HUO1" i="10"/>
  <c r="HUN1" i="10"/>
  <c r="HUM1" i="10"/>
  <c r="HUL1" i="10"/>
  <c r="HUK1" i="10"/>
  <c r="HUJ1" i="10"/>
  <c r="HUI1" i="10"/>
  <c r="HUH1" i="10"/>
  <c r="HUG1" i="10"/>
  <c r="HUF1" i="10"/>
  <c r="HUE1" i="10"/>
  <c r="HUD1" i="10"/>
  <c r="HUC1" i="10"/>
  <c r="HUB1" i="10"/>
  <c r="HUA1" i="10"/>
  <c r="HTZ1" i="10"/>
  <c r="HTY1" i="10"/>
  <c r="HTX1" i="10"/>
  <c r="HTW1" i="10"/>
  <c r="HTV1" i="10"/>
  <c r="HTU1" i="10"/>
  <c r="HTT1" i="10"/>
  <c r="HTS1" i="10"/>
  <c r="HTR1" i="10"/>
  <c r="HTQ1" i="10"/>
  <c r="HTP1" i="10"/>
  <c r="HTO1" i="10"/>
  <c r="HTN1" i="10"/>
  <c r="HTM1" i="10"/>
  <c r="HTL1" i="10"/>
  <c r="HTK1" i="10"/>
  <c r="HTJ1" i="10"/>
  <c r="HTI1" i="10"/>
  <c r="HTH1" i="10"/>
  <c r="HTG1" i="10"/>
  <c r="HTF1" i="10"/>
  <c r="HTE1" i="10"/>
  <c r="HTD1" i="10"/>
  <c r="HTC1" i="10"/>
  <c r="HTB1" i="10"/>
  <c r="HTA1" i="10"/>
  <c r="HSZ1" i="10"/>
  <c r="HSY1" i="10"/>
  <c r="HSX1" i="10"/>
  <c r="HSW1" i="10"/>
  <c r="HSV1" i="10"/>
  <c r="HSU1" i="10"/>
  <c r="HST1" i="10"/>
  <c r="HSS1" i="10"/>
  <c r="HSR1" i="10"/>
  <c r="HSQ1" i="10"/>
  <c r="HSP1" i="10"/>
  <c r="HSO1" i="10"/>
  <c r="HSN1" i="10"/>
  <c r="HSM1" i="10"/>
  <c r="HSL1" i="10"/>
  <c r="HSK1" i="10"/>
  <c r="HSJ1" i="10"/>
  <c r="HSI1" i="10"/>
  <c r="HSH1" i="10"/>
  <c r="HSG1" i="10"/>
  <c r="HSF1" i="10"/>
  <c r="HSE1" i="10"/>
  <c r="HSD1" i="10"/>
  <c r="HSC1" i="10"/>
  <c r="HSB1" i="10"/>
  <c r="HSA1" i="10"/>
  <c r="HRZ1" i="10"/>
  <c r="HRY1" i="10"/>
  <c r="HRX1" i="10"/>
  <c r="HRW1" i="10"/>
  <c r="HRV1" i="10"/>
  <c r="HRU1" i="10"/>
  <c r="HRT1" i="10"/>
  <c r="HRS1" i="10"/>
  <c r="HRR1" i="10"/>
  <c r="HRQ1" i="10"/>
  <c r="HRP1" i="10"/>
  <c r="HRO1" i="10"/>
  <c r="HRN1" i="10"/>
  <c r="HRM1" i="10"/>
  <c r="HRL1" i="10"/>
  <c r="HRK1" i="10"/>
  <c r="HRJ1" i="10"/>
  <c r="HRI1" i="10"/>
  <c r="HRH1" i="10"/>
  <c r="HRG1" i="10"/>
  <c r="HRF1" i="10"/>
  <c r="HRE1" i="10"/>
  <c r="HRD1" i="10"/>
  <c r="HRC1" i="10"/>
  <c r="HRB1" i="10"/>
  <c r="HRA1" i="10"/>
  <c r="HQZ1" i="10"/>
  <c r="HQY1" i="10"/>
  <c r="HQX1" i="10"/>
  <c r="HQW1" i="10"/>
  <c r="HQV1" i="10"/>
  <c r="HQU1" i="10"/>
  <c r="HQT1" i="10"/>
  <c r="HQS1" i="10"/>
  <c r="HQR1" i="10"/>
  <c r="HQQ1" i="10"/>
  <c r="HQP1" i="10"/>
  <c r="HQO1" i="10"/>
  <c r="HQN1" i="10"/>
  <c r="HQM1" i="10"/>
  <c r="HQL1" i="10"/>
  <c r="HQK1" i="10"/>
  <c r="HQJ1" i="10"/>
  <c r="HQI1" i="10"/>
  <c r="HQH1" i="10"/>
  <c r="HQG1" i="10"/>
  <c r="HQF1" i="10"/>
  <c r="HQE1" i="10"/>
  <c r="HQD1" i="10"/>
  <c r="HQC1" i="10"/>
  <c r="HQB1" i="10"/>
  <c r="HQA1" i="10"/>
  <c r="HPZ1" i="10"/>
  <c r="HPY1" i="10"/>
  <c r="HPX1" i="10"/>
  <c r="HPW1" i="10"/>
  <c r="HPV1" i="10"/>
  <c r="HPU1" i="10"/>
  <c r="HPT1" i="10"/>
  <c r="HPS1" i="10"/>
  <c r="HPR1" i="10"/>
  <c r="HPQ1" i="10"/>
  <c r="HPP1" i="10"/>
  <c r="HPO1" i="10"/>
  <c r="HPN1" i="10"/>
  <c r="HPM1" i="10"/>
  <c r="HPL1" i="10"/>
  <c r="HPK1" i="10"/>
  <c r="HPJ1" i="10"/>
  <c r="HPI1" i="10"/>
  <c r="HPH1" i="10"/>
  <c r="HPG1" i="10"/>
  <c r="HPF1" i="10"/>
  <c r="HPE1" i="10"/>
  <c r="HPD1" i="10"/>
  <c r="HPC1" i="10"/>
  <c r="HPB1" i="10"/>
  <c r="HPA1" i="10"/>
  <c r="HOZ1" i="10"/>
  <c r="HOY1" i="10"/>
  <c r="HOX1" i="10"/>
  <c r="HOW1" i="10"/>
  <c r="HOV1" i="10"/>
  <c r="HOU1" i="10"/>
  <c r="HOT1" i="10"/>
  <c r="HOS1" i="10"/>
  <c r="HOR1" i="10"/>
  <c r="HOQ1" i="10"/>
  <c r="HOP1" i="10"/>
  <c r="HOO1" i="10"/>
  <c r="HON1" i="10"/>
  <c r="HOM1" i="10"/>
  <c r="HOL1" i="10"/>
  <c r="HOK1" i="10"/>
  <c r="HOJ1" i="10"/>
  <c r="HOI1" i="10"/>
  <c r="HOH1" i="10"/>
  <c r="HOG1" i="10"/>
  <c r="HOF1" i="10"/>
  <c r="HOE1" i="10"/>
  <c r="HOD1" i="10"/>
  <c r="HOC1" i="10"/>
  <c r="HOB1" i="10"/>
  <c r="HOA1" i="10"/>
  <c r="HNZ1" i="10"/>
  <c r="HNY1" i="10"/>
  <c r="HNX1" i="10"/>
  <c r="HNW1" i="10"/>
  <c r="HNV1" i="10"/>
  <c r="HNU1" i="10"/>
  <c r="HNT1" i="10"/>
  <c r="HNS1" i="10"/>
  <c r="HNR1" i="10"/>
  <c r="HNQ1" i="10"/>
  <c r="HNP1" i="10"/>
  <c r="HNO1" i="10"/>
  <c r="HNN1" i="10"/>
  <c r="HNM1" i="10"/>
  <c r="HNL1" i="10"/>
  <c r="HNK1" i="10"/>
  <c r="HNJ1" i="10"/>
  <c r="HNI1" i="10"/>
  <c r="HNH1" i="10"/>
  <c r="HNG1" i="10"/>
  <c r="HNF1" i="10"/>
  <c r="HNE1" i="10"/>
  <c r="HND1" i="10"/>
  <c r="HNC1" i="10"/>
  <c r="HNB1" i="10"/>
  <c r="HNA1" i="10"/>
  <c r="HMZ1" i="10"/>
  <c r="HMY1" i="10"/>
  <c r="HMX1" i="10"/>
  <c r="HMW1" i="10"/>
  <c r="HMV1" i="10"/>
  <c r="HMU1" i="10"/>
  <c r="HMT1" i="10"/>
  <c r="HMS1" i="10"/>
  <c r="HMR1" i="10"/>
  <c r="HMQ1" i="10"/>
  <c r="HMP1" i="10"/>
  <c r="HMO1" i="10"/>
  <c r="HMN1" i="10"/>
  <c r="HMM1" i="10"/>
  <c r="HML1" i="10"/>
  <c r="HMK1" i="10"/>
  <c r="HMJ1" i="10"/>
  <c r="HMI1" i="10"/>
  <c r="HMH1" i="10"/>
  <c r="HMG1" i="10"/>
  <c r="HMF1" i="10"/>
  <c r="HME1" i="10"/>
  <c r="HMD1" i="10"/>
  <c r="HMC1" i="10"/>
  <c r="HMB1" i="10"/>
  <c r="HMA1" i="10"/>
  <c r="HLZ1" i="10"/>
  <c r="HLY1" i="10"/>
  <c r="HLX1" i="10"/>
  <c r="HLW1" i="10"/>
  <c r="HLV1" i="10"/>
  <c r="HLU1" i="10"/>
  <c r="HLT1" i="10"/>
  <c r="HLS1" i="10"/>
  <c r="HLR1" i="10"/>
  <c r="HLQ1" i="10"/>
  <c r="HLP1" i="10"/>
  <c r="HLO1" i="10"/>
  <c r="HLN1" i="10"/>
  <c r="HLM1" i="10"/>
  <c r="HLL1" i="10"/>
  <c r="HLK1" i="10"/>
  <c r="HLJ1" i="10"/>
  <c r="HLI1" i="10"/>
  <c r="HLH1" i="10"/>
  <c r="HLG1" i="10"/>
  <c r="HLF1" i="10"/>
  <c r="HLE1" i="10"/>
  <c r="HLD1" i="10"/>
  <c r="HLC1" i="10"/>
  <c r="HLB1" i="10"/>
  <c r="HLA1" i="10"/>
  <c r="HKZ1" i="10"/>
  <c r="HKY1" i="10"/>
  <c r="HKX1" i="10"/>
  <c r="HKW1" i="10"/>
  <c r="HKV1" i="10"/>
  <c r="HKU1" i="10"/>
  <c r="HKT1" i="10"/>
  <c r="HKS1" i="10"/>
  <c r="HKR1" i="10"/>
  <c r="HKQ1" i="10"/>
  <c r="HKP1" i="10"/>
  <c r="HKO1" i="10"/>
  <c r="HKN1" i="10"/>
  <c r="HKM1" i="10"/>
  <c r="HKL1" i="10"/>
  <c r="HKK1" i="10"/>
  <c r="HKJ1" i="10"/>
  <c r="HKI1" i="10"/>
  <c r="HKH1" i="10"/>
  <c r="HKG1" i="10"/>
  <c r="HKF1" i="10"/>
  <c r="HKE1" i="10"/>
  <c r="HKD1" i="10"/>
  <c r="HKC1" i="10"/>
  <c r="HKB1" i="10"/>
  <c r="HKA1" i="10"/>
  <c r="HJZ1" i="10"/>
  <c r="HJY1" i="10"/>
  <c r="HJX1" i="10"/>
  <c r="HJW1" i="10"/>
  <c r="HJV1" i="10"/>
  <c r="HJU1" i="10"/>
  <c r="HJT1" i="10"/>
  <c r="HJS1" i="10"/>
  <c r="HJR1" i="10"/>
  <c r="HJQ1" i="10"/>
  <c r="HJP1" i="10"/>
  <c r="HJO1" i="10"/>
  <c r="HJN1" i="10"/>
  <c r="HJM1" i="10"/>
  <c r="HJL1" i="10"/>
  <c r="HJK1" i="10"/>
  <c r="HJJ1" i="10"/>
  <c r="HJI1" i="10"/>
  <c r="HJH1" i="10"/>
  <c r="HJG1" i="10"/>
  <c r="HJF1" i="10"/>
  <c r="HJE1" i="10"/>
  <c r="HJD1" i="10"/>
  <c r="HJC1" i="10"/>
  <c r="HJB1" i="10"/>
  <c r="HJA1" i="10"/>
  <c r="HIZ1" i="10"/>
  <c r="HIY1" i="10"/>
  <c r="HIX1" i="10"/>
  <c r="HIW1" i="10"/>
  <c r="HIV1" i="10"/>
  <c r="HIU1" i="10"/>
  <c r="HIT1" i="10"/>
  <c r="HIS1" i="10"/>
  <c r="HIR1" i="10"/>
  <c r="HIQ1" i="10"/>
  <c r="HIP1" i="10"/>
  <c r="HIO1" i="10"/>
  <c r="HIN1" i="10"/>
  <c r="HIM1" i="10"/>
  <c r="HIL1" i="10"/>
  <c r="HIK1" i="10"/>
  <c r="HIJ1" i="10"/>
  <c r="HII1" i="10"/>
  <c r="HIH1" i="10"/>
  <c r="HIG1" i="10"/>
  <c r="HIF1" i="10"/>
  <c r="HIE1" i="10"/>
  <c r="HID1" i="10"/>
  <c r="HIC1" i="10"/>
  <c r="HIB1" i="10"/>
  <c r="HIA1" i="10"/>
  <c r="HHZ1" i="10"/>
  <c r="HHY1" i="10"/>
  <c r="HHX1" i="10"/>
  <c r="HHW1" i="10"/>
  <c r="HHV1" i="10"/>
  <c r="HHU1" i="10"/>
  <c r="HHT1" i="10"/>
  <c r="HHS1" i="10"/>
  <c r="HHR1" i="10"/>
  <c r="HHQ1" i="10"/>
  <c r="HHP1" i="10"/>
  <c r="HHO1" i="10"/>
  <c r="HHN1" i="10"/>
  <c r="HHM1" i="10"/>
  <c r="HHL1" i="10"/>
  <c r="HHK1" i="10"/>
  <c r="HHJ1" i="10"/>
  <c r="HHI1" i="10"/>
  <c r="HHH1" i="10"/>
  <c r="HHG1" i="10"/>
  <c r="HHF1" i="10"/>
  <c r="HHE1" i="10"/>
  <c r="HHD1" i="10"/>
  <c r="HHC1" i="10"/>
  <c r="HHB1" i="10"/>
  <c r="HHA1" i="10"/>
  <c r="HGZ1" i="10"/>
  <c r="HGY1" i="10"/>
  <c r="HGX1" i="10"/>
  <c r="HGW1" i="10"/>
  <c r="HGV1" i="10"/>
  <c r="HGU1" i="10"/>
  <c r="HGT1" i="10"/>
  <c r="HGS1" i="10"/>
  <c r="HGR1" i="10"/>
  <c r="HGQ1" i="10"/>
  <c r="HGP1" i="10"/>
  <c r="HGO1" i="10"/>
  <c r="HGN1" i="10"/>
  <c r="HGM1" i="10"/>
  <c r="HGL1" i="10"/>
  <c r="HGK1" i="10"/>
  <c r="HGJ1" i="10"/>
  <c r="HGI1" i="10"/>
  <c r="HGH1" i="10"/>
  <c r="HGG1" i="10"/>
  <c r="HGF1" i="10"/>
  <c r="HGE1" i="10"/>
  <c r="HGD1" i="10"/>
  <c r="HGC1" i="10"/>
  <c r="HGB1" i="10"/>
  <c r="HGA1" i="10"/>
  <c r="HFZ1" i="10"/>
  <c r="HFY1" i="10"/>
  <c r="HFX1" i="10"/>
  <c r="HFW1" i="10"/>
  <c r="HFV1" i="10"/>
  <c r="HFU1" i="10"/>
  <c r="HFT1" i="10"/>
  <c r="HFS1" i="10"/>
  <c r="HFR1" i="10"/>
  <c r="HFQ1" i="10"/>
  <c r="HFP1" i="10"/>
  <c r="HFO1" i="10"/>
  <c r="HFN1" i="10"/>
  <c r="HFM1" i="10"/>
  <c r="HFL1" i="10"/>
  <c r="HFK1" i="10"/>
  <c r="HFJ1" i="10"/>
  <c r="HFI1" i="10"/>
  <c r="HFH1" i="10"/>
  <c r="HFG1" i="10"/>
  <c r="HFF1" i="10"/>
  <c r="HFE1" i="10"/>
  <c r="HFD1" i="10"/>
  <c r="HFC1" i="10"/>
  <c r="HFB1" i="10"/>
  <c r="HFA1" i="10"/>
  <c r="HEZ1" i="10"/>
  <c r="HEY1" i="10"/>
  <c r="HEX1" i="10"/>
  <c r="HEW1" i="10"/>
  <c r="HEV1" i="10"/>
  <c r="HEU1" i="10"/>
  <c r="HET1" i="10"/>
  <c r="HES1" i="10"/>
  <c r="HER1" i="10"/>
  <c r="HEQ1" i="10"/>
  <c r="HEP1" i="10"/>
  <c r="HEO1" i="10"/>
  <c r="HEN1" i="10"/>
  <c r="HEM1" i="10"/>
  <c r="HEL1" i="10"/>
  <c r="HEK1" i="10"/>
  <c r="HEJ1" i="10"/>
  <c r="HEI1" i="10"/>
  <c r="HEH1" i="10"/>
  <c r="HEG1" i="10"/>
  <c r="HEF1" i="10"/>
  <c r="HEE1" i="10"/>
  <c r="HED1" i="10"/>
  <c r="HEC1" i="10"/>
  <c r="HEB1" i="10"/>
  <c r="HEA1" i="10"/>
  <c r="HDZ1" i="10"/>
  <c r="HDY1" i="10"/>
  <c r="HDX1" i="10"/>
  <c r="HDW1" i="10"/>
  <c r="HDV1" i="10"/>
  <c r="HDU1" i="10"/>
  <c r="HDT1" i="10"/>
  <c r="HDS1" i="10"/>
  <c r="HDR1" i="10"/>
  <c r="HDQ1" i="10"/>
  <c r="HDP1" i="10"/>
  <c r="HDO1" i="10"/>
  <c r="HDN1" i="10"/>
  <c r="HDM1" i="10"/>
  <c r="HDL1" i="10"/>
  <c r="HDK1" i="10"/>
  <c r="HDJ1" i="10"/>
  <c r="HDI1" i="10"/>
  <c r="HDH1" i="10"/>
  <c r="HDG1" i="10"/>
  <c r="HDF1" i="10"/>
  <c r="HDE1" i="10"/>
  <c r="HDD1" i="10"/>
  <c r="HDC1" i="10"/>
  <c r="HDB1" i="10"/>
  <c r="HDA1" i="10"/>
  <c r="HCZ1" i="10"/>
  <c r="HCY1" i="10"/>
  <c r="HCX1" i="10"/>
  <c r="HCW1" i="10"/>
  <c r="HCV1" i="10"/>
  <c r="HCU1" i="10"/>
  <c r="HCT1" i="10"/>
  <c r="HCS1" i="10"/>
  <c r="HCR1" i="10"/>
  <c r="HCQ1" i="10"/>
  <c r="HCP1" i="10"/>
  <c r="HCO1" i="10"/>
  <c r="HCN1" i="10"/>
  <c r="HCM1" i="10"/>
  <c r="HCL1" i="10"/>
  <c r="HCK1" i="10"/>
  <c r="HCJ1" i="10"/>
  <c r="HCI1" i="10"/>
  <c r="HCH1" i="10"/>
  <c r="HCG1" i="10"/>
  <c r="HCF1" i="10"/>
  <c r="HCE1" i="10"/>
  <c r="HCD1" i="10"/>
  <c r="HCC1" i="10"/>
  <c r="HCB1" i="10"/>
  <c r="HCA1" i="10"/>
  <c r="HBZ1" i="10"/>
  <c r="HBY1" i="10"/>
  <c r="HBX1" i="10"/>
  <c r="HBW1" i="10"/>
  <c r="HBV1" i="10"/>
  <c r="HBU1" i="10"/>
  <c r="HBT1" i="10"/>
  <c r="HBS1" i="10"/>
  <c r="HBR1" i="10"/>
  <c r="HBQ1" i="10"/>
  <c r="HBP1" i="10"/>
  <c r="HBO1" i="10"/>
  <c r="HBN1" i="10"/>
  <c r="HBM1" i="10"/>
  <c r="HBL1" i="10"/>
  <c r="HBK1" i="10"/>
  <c r="HBJ1" i="10"/>
  <c r="HBI1" i="10"/>
  <c r="HBH1" i="10"/>
  <c r="HBG1" i="10"/>
  <c r="HBF1" i="10"/>
  <c r="HBE1" i="10"/>
  <c r="HBD1" i="10"/>
  <c r="HBC1" i="10"/>
  <c r="HBB1" i="10"/>
  <c r="HBA1" i="10"/>
  <c r="HAZ1" i="10"/>
  <c r="HAY1" i="10"/>
  <c r="HAX1" i="10"/>
  <c r="HAW1" i="10"/>
  <c r="HAV1" i="10"/>
  <c r="HAU1" i="10"/>
  <c r="HAT1" i="10"/>
  <c r="HAS1" i="10"/>
  <c r="HAR1" i="10"/>
  <c r="HAQ1" i="10"/>
  <c r="HAP1" i="10"/>
  <c r="HAO1" i="10"/>
  <c r="HAN1" i="10"/>
  <c r="HAM1" i="10"/>
  <c r="HAL1" i="10"/>
  <c r="HAK1" i="10"/>
  <c r="HAJ1" i="10"/>
  <c r="HAI1" i="10"/>
  <c r="HAH1" i="10"/>
  <c r="HAG1" i="10"/>
  <c r="HAF1" i="10"/>
  <c r="HAE1" i="10"/>
  <c r="HAD1" i="10"/>
  <c r="HAC1" i="10"/>
  <c r="HAB1" i="10"/>
  <c r="HAA1" i="10"/>
  <c r="GZZ1" i="10"/>
  <c r="GZY1" i="10"/>
  <c r="GZX1" i="10"/>
  <c r="GZW1" i="10"/>
  <c r="GZV1" i="10"/>
  <c r="GZU1" i="10"/>
  <c r="GZT1" i="10"/>
  <c r="GZS1" i="10"/>
  <c r="GZR1" i="10"/>
  <c r="GZQ1" i="10"/>
  <c r="GZP1" i="10"/>
  <c r="GZO1" i="10"/>
  <c r="GZN1" i="10"/>
  <c r="GZM1" i="10"/>
  <c r="GZL1" i="10"/>
  <c r="GZK1" i="10"/>
  <c r="GZJ1" i="10"/>
  <c r="GZI1" i="10"/>
  <c r="GZH1" i="10"/>
  <c r="GZG1" i="10"/>
  <c r="GZF1" i="10"/>
  <c r="GZE1" i="10"/>
  <c r="GZD1" i="10"/>
  <c r="GZC1" i="10"/>
  <c r="GZB1" i="10"/>
  <c r="GZA1" i="10"/>
  <c r="GYZ1" i="10"/>
  <c r="GYY1" i="10"/>
  <c r="GYX1" i="10"/>
  <c r="GYW1" i="10"/>
  <c r="GYV1" i="10"/>
  <c r="GYU1" i="10"/>
  <c r="GYT1" i="10"/>
  <c r="GYS1" i="10"/>
  <c r="GYR1" i="10"/>
  <c r="GYQ1" i="10"/>
  <c r="GYP1" i="10"/>
  <c r="GYO1" i="10"/>
  <c r="GYN1" i="10"/>
  <c r="GYM1" i="10"/>
  <c r="GYL1" i="10"/>
  <c r="GYK1" i="10"/>
  <c r="GYJ1" i="10"/>
  <c r="GYI1" i="10"/>
  <c r="GYH1" i="10"/>
  <c r="GYG1" i="10"/>
  <c r="GYF1" i="10"/>
  <c r="GYE1" i="10"/>
  <c r="GYD1" i="10"/>
  <c r="GYC1" i="10"/>
  <c r="GYB1" i="10"/>
  <c r="GYA1" i="10"/>
  <c r="GXZ1" i="10"/>
  <c r="GXY1" i="10"/>
  <c r="GXX1" i="10"/>
  <c r="GXW1" i="10"/>
  <c r="GXV1" i="10"/>
  <c r="GXU1" i="10"/>
  <c r="GXT1" i="10"/>
  <c r="GXS1" i="10"/>
  <c r="GXR1" i="10"/>
  <c r="GXQ1" i="10"/>
  <c r="GXP1" i="10"/>
  <c r="GXO1" i="10"/>
  <c r="GXN1" i="10"/>
  <c r="GXM1" i="10"/>
  <c r="GXL1" i="10"/>
  <c r="GXK1" i="10"/>
  <c r="GXJ1" i="10"/>
  <c r="GXI1" i="10"/>
  <c r="GXH1" i="10"/>
  <c r="GXG1" i="10"/>
  <c r="GXF1" i="10"/>
  <c r="GXE1" i="10"/>
  <c r="GXD1" i="10"/>
  <c r="GXC1" i="10"/>
  <c r="GXB1" i="10"/>
  <c r="GXA1" i="10"/>
  <c r="GWZ1" i="10"/>
  <c r="GWY1" i="10"/>
  <c r="GWX1" i="10"/>
  <c r="GWW1" i="10"/>
  <c r="GWV1" i="10"/>
  <c r="GWU1" i="10"/>
  <c r="GWT1" i="10"/>
  <c r="GWS1" i="10"/>
  <c r="GWR1" i="10"/>
  <c r="GWQ1" i="10"/>
  <c r="GWP1" i="10"/>
  <c r="GWO1" i="10"/>
  <c r="GWN1" i="10"/>
  <c r="GWM1" i="10"/>
  <c r="GWL1" i="10"/>
  <c r="GWK1" i="10"/>
  <c r="GWJ1" i="10"/>
  <c r="GWI1" i="10"/>
  <c r="GWH1" i="10"/>
  <c r="GWG1" i="10"/>
  <c r="GWF1" i="10"/>
  <c r="GWE1" i="10"/>
  <c r="GWD1" i="10"/>
  <c r="GWC1" i="10"/>
  <c r="GWB1" i="10"/>
  <c r="GWA1" i="10"/>
  <c r="GVZ1" i="10"/>
  <c r="GVY1" i="10"/>
  <c r="GVX1" i="10"/>
  <c r="GVW1" i="10"/>
  <c r="GVV1" i="10"/>
  <c r="GVU1" i="10"/>
  <c r="GVT1" i="10"/>
  <c r="GVS1" i="10"/>
  <c r="GVR1" i="10"/>
  <c r="GVQ1" i="10"/>
  <c r="GVP1" i="10"/>
  <c r="GVO1" i="10"/>
  <c r="GVN1" i="10"/>
  <c r="GVM1" i="10"/>
  <c r="GVL1" i="10"/>
  <c r="GVK1" i="10"/>
  <c r="GVJ1" i="10"/>
  <c r="GVI1" i="10"/>
  <c r="GVH1" i="10"/>
  <c r="GVG1" i="10"/>
  <c r="GVF1" i="10"/>
  <c r="GVE1" i="10"/>
  <c r="GVD1" i="10"/>
  <c r="GVC1" i="10"/>
  <c r="GVB1" i="10"/>
  <c r="GVA1" i="10"/>
  <c r="GUZ1" i="10"/>
  <c r="GUY1" i="10"/>
  <c r="GUX1" i="10"/>
  <c r="GUW1" i="10"/>
  <c r="GUV1" i="10"/>
  <c r="GUU1" i="10"/>
  <c r="GUT1" i="10"/>
  <c r="GUS1" i="10"/>
  <c r="GUR1" i="10"/>
  <c r="GUQ1" i="10"/>
  <c r="GUP1" i="10"/>
  <c r="GUO1" i="10"/>
  <c r="GUN1" i="10"/>
  <c r="GUM1" i="10"/>
  <c r="GUL1" i="10"/>
  <c r="GUK1" i="10"/>
  <c r="GUJ1" i="10"/>
  <c r="GUI1" i="10"/>
  <c r="GUH1" i="10"/>
  <c r="GUG1" i="10"/>
  <c r="GUF1" i="10"/>
  <c r="GUE1" i="10"/>
  <c r="GUD1" i="10"/>
  <c r="GUC1" i="10"/>
  <c r="GUB1" i="10"/>
  <c r="GUA1" i="10"/>
  <c r="GTZ1" i="10"/>
  <c r="GTY1" i="10"/>
  <c r="GTX1" i="10"/>
  <c r="GTW1" i="10"/>
  <c r="GTV1" i="10"/>
  <c r="GTU1" i="10"/>
  <c r="GTT1" i="10"/>
  <c r="GTS1" i="10"/>
  <c r="GTR1" i="10"/>
  <c r="GTQ1" i="10"/>
  <c r="GTP1" i="10"/>
  <c r="GTO1" i="10"/>
  <c r="GTN1" i="10"/>
  <c r="GTM1" i="10"/>
  <c r="GTL1" i="10"/>
  <c r="GTK1" i="10"/>
  <c r="GTJ1" i="10"/>
  <c r="GTI1" i="10"/>
  <c r="GTH1" i="10"/>
  <c r="GTG1" i="10"/>
  <c r="GTF1" i="10"/>
  <c r="GTE1" i="10"/>
  <c r="GTD1" i="10"/>
  <c r="GTC1" i="10"/>
  <c r="GTB1" i="10"/>
  <c r="GTA1" i="10"/>
  <c r="GSZ1" i="10"/>
  <c r="GSY1" i="10"/>
  <c r="GSX1" i="10"/>
  <c r="GSW1" i="10"/>
  <c r="GSV1" i="10"/>
  <c r="GSU1" i="10"/>
  <c r="GST1" i="10"/>
  <c r="GSS1" i="10"/>
  <c r="GSR1" i="10"/>
  <c r="GSQ1" i="10"/>
  <c r="GSP1" i="10"/>
  <c r="GSO1" i="10"/>
  <c r="GSN1" i="10"/>
  <c r="GSM1" i="10"/>
  <c r="GSL1" i="10"/>
  <c r="GSK1" i="10"/>
  <c r="GSJ1" i="10"/>
  <c r="GSI1" i="10"/>
  <c r="GSH1" i="10"/>
  <c r="GSG1" i="10"/>
  <c r="GSF1" i="10"/>
  <c r="GSE1" i="10"/>
  <c r="GSD1" i="10"/>
  <c r="GSC1" i="10"/>
  <c r="GSB1" i="10"/>
  <c r="GSA1" i="10"/>
  <c r="GRZ1" i="10"/>
  <c r="GRY1" i="10"/>
  <c r="GRX1" i="10"/>
  <c r="GRW1" i="10"/>
  <c r="GRV1" i="10"/>
  <c r="GRU1" i="10"/>
  <c r="GRT1" i="10"/>
  <c r="GRS1" i="10"/>
  <c r="GRR1" i="10"/>
  <c r="GRQ1" i="10"/>
  <c r="GRP1" i="10"/>
  <c r="GRO1" i="10"/>
  <c r="GRN1" i="10"/>
  <c r="GRM1" i="10"/>
  <c r="GRL1" i="10"/>
  <c r="GRK1" i="10"/>
  <c r="GRJ1" i="10"/>
  <c r="GRI1" i="10"/>
  <c r="GRH1" i="10"/>
  <c r="GRG1" i="10"/>
  <c r="GRF1" i="10"/>
  <c r="GRE1" i="10"/>
  <c r="GRD1" i="10"/>
  <c r="GRC1" i="10"/>
  <c r="GRB1" i="10"/>
  <c r="GRA1" i="10"/>
  <c r="GQZ1" i="10"/>
  <c r="GQY1" i="10"/>
  <c r="GQX1" i="10"/>
  <c r="GQW1" i="10"/>
  <c r="GQV1" i="10"/>
  <c r="GQU1" i="10"/>
  <c r="GQT1" i="10"/>
  <c r="GQS1" i="10"/>
  <c r="GQR1" i="10"/>
  <c r="GQQ1" i="10"/>
  <c r="GQP1" i="10"/>
  <c r="GQO1" i="10"/>
  <c r="GQN1" i="10"/>
  <c r="GQM1" i="10"/>
  <c r="GQL1" i="10"/>
  <c r="GQK1" i="10"/>
  <c r="GQJ1" i="10"/>
  <c r="GQI1" i="10"/>
  <c r="GQH1" i="10"/>
  <c r="GQG1" i="10"/>
  <c r="GQF1" i="10"/>
  <c r="GQE1" i="10"/>
  <c r="GQD1" i="10"/>
  <c r="GQC1" i="10"/>
  <c r="GQB1" i="10"/>
  <c r="GQA1" i="10"/>
  <c r="GPZ1" i="10"/>
  <c r="GPY1" i="10"/>
  <c r="GPX1" i="10"/>
  <c r="GPW1" i="10"/>
  <c r="GPV1" i="10"/>
  <c r="GPU1" i="10"/>
  <c r="GPT1" i="10"/>
  <c r="GPS1" i="10"/>
  <c r="GPR1" i="10"/>
  <c r="GPQ1" i="10"/>
  <c r="GPP1" i="10"/>
  <c r="GPO1" i="10"/>
  <c r="GPN1" i="10"/>
  <c r="GPM1" i="10"/>
  <c r="GPL1" i="10"/>
  <c r="GPK1" i="10"/>
  <c r="GPJ1" i="10"/>
  <c r="GPI1" i="10"/>
  <c r="GPH1" i="10"/>
  <c r="GPG1" i="10"/>
  <c r="GPF1" i="10"/>
  <c r="GPE1" i="10"/>
  <c r="GPD1" i="10"/>
  <c r="GPC1" i="10"/>
  <c r="GPB1" i="10"/>
  <c r="GPA1" i="10"/>
  <c r="GOZ1" i="10"/>
  <c r="GOY1" i="10"/>
  <c r="GOX1" i="10"/>
  <c r="GOW1" i="10"/>
  <c r="GOV1" i="10"/>
  <c r="GOU1" i="10"/>
  <c r="GOT1" i="10"/>
  <c r="GOS1" i="10"/>
  <c r="GOR1" i="10"/>
  <c r="GOQ1" i="10"/>
  <c r="GOP1" i="10"/>
  <c r="GOO1" i="10"/>
  <c r="GON1" i="10"/>
  <c r="GOM1" i="10"/>
  <c r="GOL1" i="10"/>
  <c r="GOK1" i="10"/>
  <c r="GOJ1" i="10"/>
  <c r="GOI1" i="10"/>
  <c r="GOH1" i="10"/>
  <c r="GOG1" i="10"/>
  <c r="GOF1" i="10"/>
  <c r="GOE1" i="10"/>
  <c r="GOD1" i="10"/>
  <c r="GOC1" i="10"/>
  <c r="GOB1" i="10"/>
  <c r="GOA1" i="10"/>
  <c r="GNZ1" i="10"/>
  <c r="GNY1" i="10"/>
  <c r="GNX1" i="10"/>
  <c r="GNW1" i="10"/>
  <c r="GNV1" i="10"/>
  <c r="GNU1" i="10"/>
  <c r="GNT1" i="10"/>
  <c r="GNS1" i="10"/>
  <c r="GNR1" i="10"/>
  <c r="GNQ1" i="10"/>
  <c r="GNP1" i="10"/>
  <c r="GNO1" i="10"/>
  <c r="GNN1" i="10"/>
  <c r="GNM1" i="10"/>
  <c r="GNL1" i="10"/>
  <c r="GNK1" i="10"/>
  <c r="GNJ1" i="10"/>
  <c r="GNI1" i="10"/>
  <c r="GNH1" i="10"/>
  <c r="GNG1" i="10"/>
  <c r="GNF1" i="10"/>
  <c r="GNE1" i="10"/>
  <c r="GND1" i="10"/>
  <c r="GNC1" i="10"/>
  <c r="GNB1" i="10"/>
  <c r="GNA1" i="10"/>
  <c r="GMZ1" i="10"/>
  <c r="GMY1" i="10"/>
  <c r="GMX1" i="10"/>
  <c r="GMW1" i="10"/>
  <c r="GMV1" i="10"/>
  <c r="GMU1" i="10"/>
  <c r="GMT1" i="10"/>
  <c r="GMS1" i="10"/>
  <c r="GMR1" i="10"/>
  <c r="GMQ1" i="10"/>
  <c r="GMP1" i="10"/>
  <c r="GMO1" i="10"/>
  <c r="GMN1" i="10"/>
  <c r="GMM1" i="10"/>
  <c r="GML1" i="10"/>
  <c r="GMK1" i="10"/>
  <c r="GMJ1" i="10"/>
  <c r="GMI1" i="10"/>
  <c r="GMH1" i="10"/>
  <c r="GMG1" i="10"/>
  <c r="GMF1" i="10"/>
  <c r="GME1" i="10"/>
  <c r="GMD1" i="10"/>
  <c r="GMC1" i="10"/>
  <c r="GMB1" i="10"/>
  <c r="GMA1" i="10"/>
  <c r="GLZ1" i="10"/>
  <c r="GLY1" i="10"/>
  <c r="GLX1" i="10"/>
  <c r="GLW1" i="10"/>
  <c r="GLV1" i="10"/>
  <c r="GLU1" i="10"/>
  <c r="GLT1" i="10"/>
  <c r="GLS1" i="10"/>
  <c r="GLR1" i="10"/>
  <c r="GLQ1" i="10"/>
  <c r="GLP1" i="10"/>
  <c r="GLO1" i="10"/>
  <c r="GLN1" i="10"/>
  <c r="GLM1" i="10"/>
  <c r="GLL1" i="10"/>
  <c r="GLK1" i="10"/>
  <c r="GLJ1" i="10"/>
  <c r="GLI1" i="10"/>
  <c r="GLH1" i="10"/>
  <c r="GLG1" i="10"/>
  <c r="GLF1" i="10"/>
  <c r="GLE1" i="10"/>
  <c r="GLD1" i="10"/>
  <c r="GLC1" i="10"/>
  <c r="GLB1" i="10"/>
  <c r="GLA1" i="10"/>
  <c r="GKZ1" i="10"/>
  <c r="GKY1" i="10"/>
  <c r="GKX1" i="10"/>
  <c r="GKW1" i="10"/>
  <c r="GKV1" i="10"/>
  <c r="GKU1" i="10"/>
  <c r="GKT1" i="10"/>
  <c r="GKS1" i="10"/>
  <c r="GKR1" i="10"/>
  <c r="GKQ1" i="10"/>
  <c r="GKP1" i="10"/>
  <c r="GKO1" i="10"/>
  <c r="GKN1" i="10"/>
  <c r="GKM1" i="10"/>
  <c r="GKL1" i="10"/>
  <c r="GKK1" i="10"/>
  <c r="GKJ1" i="10"/>
  <c r="GKI1" i="10"/>
  <c r="GKH1" i="10"/>
  <c r="GKG1" i="10"/>
  <c r="GKF1" i="10"/>
  <c r="GKE1" i="10"/>
  <c r="GKD1" i="10"/>
  <c r="GKC1" i="10"/>
  <c r="GKB1" i="10"/>
  <c r="GKA1" i="10"/>
  <c r="GJZ1" i="10"/>
  <c r="GJY1" i="10"/>
  <c r="GJX1" i="10"/>
  <c r="GJW1" i="10"/>
  <c r="GJV1" i="10"/>
  <c r="GJU1" i="10"/>
  <c r="GJT1" i="10"/>
  <c r="GJS1" i="10"/>
  <c r="GJR1" i="10"/>
  <c r="GJQ1" i="10"/>
  <c r="GJP1" i="10"/>
  <c r="GJO1" i="10"/>
  <c r="GJN1" i="10"/>
  <c r="GJM1" i="10"/>
  <c r="GJL1" i="10"/>
  <c r="GJK1" i="10"/>
  <c r="GJJ1" i="10"/>
  <c r="GJI1" i="10"/>
  <c r="GJH1" i="10"/>
  <c r="GJG1" i="10"/>
  <c r="GJF1" i="10"/>
  <c r="GJE1" i="10"/>
  <c r="GJD1" i="10"/>
  <c r="GJC1" i="10"/>
  <c r="GJB1" i="10"/>
  <c r="GJA1" i="10"/>
  <c r="GIZ1" i="10"/>
  <c r="GIY1" i="10"/>
  <c r="GIX1" i="10"/>
  <c r="GIW1" i="10"/>
  <c r="GIV1" i="10"/>
  <c r="GIU1" i="10"/>
  <c r="GIT1" i="10"/>
  <c r="GIS1" i="10"/>
  <c r="GIR1" i="10"/>
  <c r="GIQ1" i="10"/>
  <c r="GIP1" i="10"/>
  <c r="GIO1" i="10"/>
  <c r="GIN1" i="10"/>
  <c r="GIM1" i="10"/>
  <c r="GIL1" i="10"/>
  <c r="GIK1" i="10"/>
  <c r="GIJ1" i="10"/>
  <c r="GII1" i="10"/>
  <c r="GIH1" i="10"/>
  <c r="GIG1" i="10"/>
  <c r="GIF1" i="10"/>
  <c r="GIE1" i="10"/>
  <c r="GID1" i="10"/>
  <c r="GIC1" i="10"/>
  <c r="GIB1" i="10"/>
  <c r="GIA1" i="10"/>
  <c r="GHZ1" i="10"/>
  <c r="GHY1" i="10"/>
  <c r="GHX1" i="10"/>
  <c r="GHW1" i="10"/>
  <c r="GHV1" i="10"/>
  <c r="GHU1" i="10"/>
  <c r="GHT1" i="10"/>
  <c r="GHS1" i="10"/>
  <c r="GHR1" i="10"/>
  <c r="GHQ1" i="10"/>
  <c r="GHP1" i="10"/>
  <c r="GHO1" i="10"/>
  <c r="GHN1" i="10"/>
  <c r="GHM1" i="10"/>
  <c r="GHL1" i="10"/>
  <c r="GHK1" i="10"/>
  <c r="GHJ1" i="10"/>
  <c r="GHI1" i="10"/>
  <c r="GHH1" i="10"/>
  <c r="GHG1" i="10"/>
  <c r="GHF1" i="10"/>
  <c r="GHE1" i="10"/>
  <c r="GHD1" i="10"/>
  <c r="GHC1" i="10"/>
  <c r="GHB1" i="10"/>
  <c r="GHA1" i="10"/>
  <c r="GGZ1" i="10"/>
  <c r="GGY1" i="10"/>
  <c r="GGX1" i="10"/>
  <c r="GGW1" i="10"/>
  <c r="GGV1" i="10"/>
  <c r="GGU1" i="10"/>
  <c r="GGT1" i="10"/>
  <c r="GGS1" i="10"/>
  <c r="GGR1" i="10"/>
  <c r="GGQ1" i="10"/>
  <c r="GGP1" i="10"/>
  <c r="GGO1" i="10"/>
  <c r="GGN1" i="10"/>
  <c r="GGM1" i="10"/>
  <c r="GGL1" i="10"/>
  <c r="GGK1" i="10"/>
  <c r="GGJ1" i="10"/>
  <c r="GGI1" i="10"/>
  <c r="GGH1" i="10"/>
  <c r="GGG1" i="10"/>
  <c r="GGF1" i="10"/>
  <c r="GGE1" i="10"/>
  <c r="GGD1" i="10"/>
  <c r="GGC1" i="10"/>
  <c r="GGB1" i="10"/>
  <c r="GGA1" i="10"/>
  <c r="GFZ1" i="10"/>
  <c r="GFY1" i="10"/>
  <c r="GFX1" i="10"/>
  <c r="GFW1" i="10"/>
  <c r="GFV1" i="10"/>
  <c r="GFU1" i="10"/>
  <c r="GFT1" i="10"/>
  <c r="GFS1" i="10"/>
  <c r="GFR1" i="10"/>
  <c r="GFQ1" i="10"/>
  <c r="GFP1" i="10"/>
  <c r="GFO1" i="10"/>
  <c r="GFN1" i="10"/>
  <c r="GFM1" i="10"/>
  <c r="GFL1" i="10"/>
  <c r="GFK1" i="10"/>
  <c r="GFJ1" i="10"/>
  <c r="GFI1" i="10"/>
  <c r="GFH1" i="10"/>
  <c r="GFG1" i="10"/>
  <c r="GFF1" i="10"/>
  <c r="GFE1" i="10"/>
  <c r="GFD1" i="10"/>
  <c r="GFC1" i="10"/>
  <c r="GFB1" i="10"/>
  <c r="GFA1" i="10"/>
  <c r="GEZ1" i="10"/>
  <c r="GEY1" i="10"/>
  <c r="GEX1" i="10"/>
  <c r="GEW1" i="10"/>
  <c r="GEV1" i="10"/>
  <c r="GEU1" i="10"/>
  <c r="GET1" i="10"/>
  <c r="GES1" i="10"/>
  <c r="GER1" i="10"/>
  <c r="GEQ1" i="10"/>
  <c r="GEP1" i="10"/>
  <c r="GEO1" i="10"/>
  <c r="GEN1" i="10"/>
  <c r="GEM1" i="10"/>
  <c r="GEL1" i="10"/>
  <c r="GEK1" i="10"/>
  <c r="GEJ1" i="10"/>
  <c r="GEI1" i="10"/>
  <c r="GEH1" i="10"/>
  <c r="GEG1" i="10"/>
  <c r="GEF1" i="10"/>
  <c r="GEE1" i="10"/>
  <c r="GED1" i="10"/>
  <c r="GEC1" i="10"/>
  <c r="GEB1" i="10"/>
  <c r="GEA1" i="10"/>
  <c r="GDZ1" i="10"/>
  <c r="GDY1" i="10"/>
  <c r="GDX1" i="10"/>
  <c r="GDW1" i="10"/>
  <c r="GDV1" i="10"/>
  <c r="GDU1" i="10"/>
  <c r="GDT1" i="10"/>
  <c r="GDS1" i="10"/>
  <c r="GDR1" i="10"/>
  <c r="GDQ1" i="10"/>
  <c r="GDP1" i="10"/>
  <c r="GDO1" i="10"/>
  <c r="GDN1" i="10"/>
  <c r="GDM1" i="10"/>
  <c r="GDL1" i="10"/>
  <c r="GDK1" i="10"/>
  <c r="GDJ1" i="10"/>
  <c r="GDI1" i="10"/>
  <c r="GDH1" i="10"/>
  <c r="GDG1" i="10"/>
  <c r="GDF1" i="10"/>
  <c r="GDE1" i="10"/>
  <c r="GDD1" i="10"/>
  <c r="GDC1" i="10"/>
  <c r="GDB1" i="10"/>
  <c r="GDA1" i="10"/>
  <c r="GCZ1" i="10"/>
  <c r="GCY1" i="10"/>
  <c r="GCX1" i="10"/>
  <c r="GCW1" i="10"/>
  <c r="GCV1" i="10"/>
  <c r="GCU1" i="10"/>
  <c r="GCT1" i="10"/>
  <c r="GCS1" i="10"/>
  <c r="GCR1" i="10"/>
  <c r="GCQ1" i="10"/>
  <c r="GCP1" i="10"/>
  <c r="GCO1" i="10"/>
  <c r="GCN1" i="10"/>
  <c r="GCM1" i="10"/>
  <c r="GCL1" i="10"/>
  <c r="GCK1" i="10"/>
  <c r="GCJ1" i="10"/>
  <c r="GCI1" i="10"/>
  <c r="GCH1" i="10"/>
  <c r="GCG1" i="10"/>
  <c r="GCF1" i="10"/>
  <c r="GCE1" i="10"/>
  <c r="GCD1" i="10"/>
  <c r="GCC1" i="10"/>
  <c r="GCB1" i="10"/>
  <c r="GCA1" i="10"/>
  <c r="GBZ1" i="10"/>
  <c r="GBY1" i="10"/>
  <c r="GBX1" i="10"/>
  <c r="GBW1" i="10"/>
  <c r="GBV1" i="10"/>
  <c r="GBU1" i="10"/>
  <c r="GBT1" i="10"/>
  <c r="GBS1" i="10"/>
  <c r="GBR1" i="10"/>
  <c r="GBQ1" i="10"/>
  <c r="GBP1" i="10"/>
  <c r="GBO1" i="10"/>
  <c r="GBN1" i="10"/>
  <c r="GBM1" i="10"/>
  <c r="GBL1" i="10"/>
  <c r="GBK1" i="10"/>
  <c r="GBJ1" i="10"/>
  <c r="GBI1" i="10"/>
  <c r="GBH1" i="10"/>
  <c r="GBG1" i="10"/>
  <c r="GBF1" i="10"/>
  <c r="GBE1" i="10"/>
  <c r="GBD1" i="10"/>
  <c r="GBC1" i="10"/>
  <c r="GBB1" i="10"/>
  <c r="GBA1" i="10"/>
  <c r="GAZ1" i="10"/>
  <c r="GAY1" i="10"/>
  <c r="GAX1" i="10"/>
  <c r="GAW1" i="10"/>
  <c r="GAV1" i="10"/>
  <c r="GAU1" i="10"/>
  <c r="GAT1" i="10"/>
  <c r="GAS1" i="10"/>
  <c r="GAR1" i="10"/>
  <c r="GAQ1" i="10"/>
  <c r="GAP1" i="10"/>
  <c r="GAO1" i="10"/>
  <c r="GAN1" i="10"/>
  <c r="GAM1" i="10"/>
  <c r="GAL1" i="10"/>
  <c r="GAK1" i="10"/>
  <c r="GAJ1" i="10"/>
  <c r="GAI1" i="10"/>
  <c r="GAH1" i="10"/>
  <c r="GAG1" i="10"/>
  <c r="GAF1" i="10"/>
  <c r="GAE1" i="10"/>
  <c r="GAD1" i="10"/>
  <c r="GAC1" i="10"/>
  <c r="GAB1" i="10"/>
  <c r="GAA1" i="10"/>
  <c r="FZZ1" i="10"/>
  <c r="FZY1" i="10"/>
  <c r="FZX1" i="10"/>
  <c r="FZW1" i="10"/>
  <c r="FZV1" i="10"/>
  <c r="FZU1" i="10"/>
  <c r="FZT1" i="10"/>
  <c r="FZS1" i="10"/>
  <c r="FZR1" i="10"/>
  <c r="FZQ1" i="10"/>
  <c r="FZP1" i="10"/>
  <c r="FZO1" i="10"/>
  <c r="FZN1" i="10"/>
  <c r="FZM1" i="10"/>
  <c r="FZL1" i="10"/>
  <c r="FZK1" i="10"/>
  <c r="FZJ1" i="10"/>
  <c r="FZI1" i="10"/>
  <c r="FZH1" i="10"/>
  <c r="FZG1" i="10"/>
  <c r="FZF1" i="10"/>
  <c r="FZE1" i="10"/>
  <c r="FZD1" i="10"/>
  <c r="FZC1" i="10"/>
  <c r="FZB1" i="10"/>
  <c r="FZA1" i="10"/>
  <c r="FYZ1" i="10"/>
  <c r="FYY1" i="10"/>
  <c r="FYX1" i="10"/>
  <c r="FYW1" i="10"/>
  <c r="FYV1" i="10"/>
  <c r="FYU1" i="10"/>
  <c r="FYT1" i="10"/>
  <c r="FYS1" i="10"/>
  <c r="FYR1" i="10"/>
  <c r="FYQ1" i="10"/>
  <c r="FYP1" i="10"/>
  <c r="FYO1" i="10"/>
  <c r="FYN1" i="10"/>
  <c r="FYM1" i="10"/>
  <c r="FYL1" i="10"/>
  <c r="FYK1" i="10"/>
  <c r="FYJ1" i="10"/>
  <c r="FYI1" i="10"/>
  <c r="FYH1" i="10"/>
  <c r="FYG1" i="10"/>
  <c r="FYF1" i="10"/>
  <c r="FYE1" i="10"/>
  <c r="FYD1" i="10"/>
  <c r="FYC1" i="10"/>
  <c r="FYB1" i="10"/>
  <c r="FYA1" i="10"/>
  <c r="FXZ1" i="10"/>
  <c r="FXY1" i="10"/>
  <c r="FXX1" i="10"/>
  <c r="FXW1" i="10"/>
  <c r="FXV1" i="10"/>
  <c r="FXU1" i="10"/>
  <c r="FXT1" i="10"/>
  <c r="FXS1" i="10"/>
  <c r="FXR1" i="10"/>
  <c r="FXQ1" i="10"/>
  <c r="FXP1" i="10"/>
  <c r="FXO1" i="10"/>
  <c r="FXN1" i="10"/>
  <c r="FXM1" i="10"/>
  <c r="FXL1" i="10"/>
  <c r="FXK1" i="10"/>
  <c r="FXJ1" i="10"/>
  <c r="FXI1" i="10"/>
  <c r="FXH1" i="10"/>
  <c r="FXG1" i="10"/>
  <c r="FXF1" i="10"/>
  <c r="FXE1" i="10"/>
  <c r="FXD1" i="10"/>
  <c r="FXC1" i="10"/>
  <c r="FXB1" i="10"/>
  <c r="FXA1" i="10"/>
  <c r="FWZ1" i="10"/>
  <c r="FWY1" i="10"/>
  <c r="FWX1" i="10"/>
  <c r="FWW1" i="10"/>
  <c r="FWV1" i="10"/>
  <c r="FWU1" i="10"/>
  <c r="FWT1" i="10"/>
  <c r="FWS1" i="10"/>
  <c r="FWR1" i="10"/>
  <c r="FWQ1" i="10"/>
  <c r="FWP1" i="10"/>
  <c r="FWO1" i="10"/>
  <c r="FWN1" i="10"/>
  <c r="FWM1" i="10"/>
  <c r="FWL1" i="10"/>
  <c r="FWK1" i="10"/>
  <c r="FWJ1" i="10"/>
  <c r="FWI1" i="10"/>
  <c r="FWH1" i="10"/>
  <c r="FWG1" i="10"/>
  <c r="FWF1" i="10"/>
  <c r="FWE1" i="10"/>
  <c r="FWD1" i="10"/>
  <c r="FWC1" i="10"/>
  <c r="FWB1" i="10"/>
  <c r="FWA1" i="10"/>
  <c r="FVZ1" i="10"/>
  <c r="FVY1" i="10"/>
  <c r="FVX1" i="10"/>
  <c r="FVW1" i="10"/>
  <c r="FVV1" i="10"/>
  <c r="FVU1" i="10"/>
  <c r="FVT1" i="10"/>
  <c r="FVS1" i="10"/>
  <c r="FVR1" i="10"/>
  <c r="FVQ1" i="10"/>
  <c r="FVP1" i="10"/>
  <c r="FVO1" i="10"/>
  <c r="FVN1" i="10"/>
  <c r="FVM1" i="10"/>
  <c r="FVL1" i="10"/>
  <c r="FVK1" i="10"/>
  <c r="FVJ1" i="10"/>
  <c r="FVI1" i="10"/>
  <c r="FVH1" i="10"/>
  <c r="FVG1" i="10"/>
  <c r="FVF1" i="10"/>
  <c r="FVE1" i="10"/>
  <c r="FVD1" i="10"/>
  <c r="FVC1" i="10"/>
  <c r="FVB1" i="10"/>
  <c r="FVA1" i="10"/>
  <c r="FUZ1" i="10"/>
  <c r="FUY1" i="10"/>
  <c r="FUX1" i="10"/>
  <c r="FUW1" i="10"/>
  <c r="FUV1" i="10"/>
  <c r="FUU1" i="10"/>
  <c r="FUT1" i="10"/>
  <c r="FUS1" i="10"/>
  <c r="FUR1" i="10"/>
  <c r="FUQ1" i="10"/>
  <c r="FUP1" i="10"/>
  <c r="FUO1" i="10"/>
  <c r="FUN1" i="10"/>
  <c r="FUM1" i="10"/>
  <c r="FUL1" i="10"/>
  <c r="FUK1" i="10"/>
  <c r="FUJ1" i="10"/>
  <c r="FUI1" i="10"/>
  <c r="FUH1" i="10"/>
  <c r="FUG1" i="10"/>
  <c r="FUF1" i="10"/>
  <c r="FUE1" i="10"/>
  <c r="FUD1" i="10"/>
  <c r="FUC1" i="10"/>
  <c r="FUB1" i="10"/>
  <c r="FUA1" i="10"/>
  <c r="FTZ1" i="10"/>
  <c r="FTY1" i="10"/>
  <c r="FTX1" i="10"/>
  <c r="FTW1" i="10"/>
  <c r="FTV1" i="10"/>
  <c r="FTU1" i="10"/>
  <c r="FTT1" i="10"/>
  <c r="FTS1" i="10"/>
  <c r="FTR1" i="10"/>
  <c r="FTQ1" i="10"/>
  <c r="FTP1" i="10"/>
  <c r="FTO1" i="10"/>
  <c r="FTN1" i="10"/>
  <c r="FTM1" i="10"/>
  <c r="FTL1" i="10"/>
  <c r="FTK1" i="10"/>
  <c r="FTJ1" i="10"/>
  <c r="FTI1" i="10"/>
  <c r="FTH1" i="10"/>
  <c r="FTG1" i="10"/>
  <c r="FTF1" i="10"/>
  <c r="FTE1" i="10"/>
  <c r="FTD1" i="10"/>
  <c r="FTC1" i="10"/>
  <c r="FTB1" i="10"/>
  <c r="FTA1" i="10"/>
  <c r="FSZ1" i="10"/>
  <c r="FSY1" i="10"/>
  <c r="FSX1" i="10"/>
  <c r="FSW1" i="10"/>
  <c r="FSV1" i="10"/>
  <c r="FSU1" i="10"/>
  <c r="FST1" i="10"/>
  <c r="FSS1" i="10"/>
  <c r="FSR1" i="10"/>
  <c r="FSQ1" i="10"/>
  <c r="FSP1" i="10"/>
  <c r="FSO1" i="10"/>
  <c r="FSN1" i="10"/>
  <c r="FSM1" i="10"/>
  <c r="FSL1" i="10"/>
  <c r="FSK1" i="10"/>
  <c r="FSJ1" i="10"/>
  <c r="FSI1" i="10"/>
  <c r="FSH1" i="10"/>
  <c r="FSG1" i="10"/>
  <c r="FSF1" i="10"/>
  <c r="FSE1" i="10"/>
  <c r="FSD1" i="10"/>
  <c r="FSC1" i="10"/>
  <c r="FSB1" i="10"/>
  <c r="FSA1" i="10"/>
  <c r="FRZ1" i="10"/>
  <c r="FRY1" i="10"/>
  <c r="FRX1" i="10"/>
  <c r="FRW1" i="10"/>
  <c r="FRV1" i="10"/>
  <c r="FRU1" i="10"/>
  <c r="FRT1" i="10"/>
  <c r="FRS1" i="10"/>
  <c r="FRR1" i="10"/>
  <c r="FRQ1" i="10"/>
  <c r="FRP1" i="10"/>
  <c r="FRO1" i="10"/>
  <c r="FRN1" i="10"/>
  <c r="FRM1" i="10"/>
  <c r="FRL1" i="10"/>
  <c r="FRK1" i="10"/>
  <c r="FRJ1" i="10"/>
  <c r="FRI1" i="10"/>
  <c r="FRH1" i="10"/>
  <c r="FRG1" i="10"/>
  <c r="FRF1" i="10"/>
  <c r="FRE1" i="10"/>
  <c r="FRD1" i="10"/>
  <c r="FRC1" i="10"/>
  <c r="FRB1" i="10"/>
  <c r="FRA1" i="10"/>
  <c r="FQZ1" i="10"/>
  <c r="FQY1" i="10"/>
  <c r="FQX1" i="10"/>
  <c r="FQW1" i="10"/>
  <c r="FQV1" i="10"/>
  <c r="FQU1" i="10"/>
  <c r="FQT1" i="10"/>
  <c r="FQS1" i="10"/>
  <c r="FQR1" i="10"/>
  <c r="FQQ1" i="10"/>
  <c r="FQP1" i="10"/>
  <c r="FQO1" i="10"/>
  <c r="FQN1" i="10"/>
  <c r="FQM1" i="10"/>
  <c r="FQL1" i="10"/>
  <c r="FQK1" i="10"/>
  <c r="FQJ1" i="10"/>
  <c r="FQI1" i="10"/>
  <c r="FQH1" i="10"/>
  <c r="FQG1" i="10"/>
  <c r="FQF1" i="10"/>
  <c r="FQE1" i="10"/>
  <c r="FQD1" i="10"/>
  <c r="FQC1" i="10"/>
  <c r="FQB1" i="10"/>
  <c r="FQA1" i="10"/>
  <c r="FPZ1" i="10"/>
  <c r="FPY1" i="10"/>
  <c r="FPX1" i="10"/>
  <c r="FPW1" i="10"/>
  <c r="FPV1" i="10"/>
  <c r="FPU1" i="10"/>
  <c r="FPT1" i="10"/>
  <c r="FPS1" i="10"/>
  <c r="FPR1" i="10"/>
  <c r="FPQ1" i="10"/>
  <c r="FPP1" i="10"/>
  <c r="FPO1" i="10"/>
  <c r="FPN1" i="10"/>
  <c r="FPM1" i="10"/>
  <c r="FPL1" i="10"/>
  <c r="FPK1" i="10"/>
  <c r="FPJ1" i="10"/>
  <c r="FPI1" i="10"/>
  <c r="FPH1" i="10"/>
  <c r="FPG1" i="10"/>
  <c r="FPF1" i="10"/>
  <c r="FPE1" i="10"/>
  <c r="FPD1" i="10"/>
  <c r="FPC1" i="10"/>
  <c r="FPB1" i="10"/>
  <c r="FPA1" i="10"/>
  <c r="FOZ1" i="10"/>
  <c r="FOY1" i="10"/>
  <c r="FOX1" i="10"/>
  <c r="FOW1" i="10"/>
  <c r="FOV1" i="10"/>
  <c r="FOU1" i="10"/>
  <c r="FOT1" i="10"/>
  <c r="FOS1" i="10"/>
  <c r="FOR1" i="10"/>
  <c r="FOQ1" i="10"/>
  <c r="FOP1" i="10"/>
  <c r="FOO1" i="10"/>
  <c r="FON1" i="10"/>
  <c r="FOM1" i="10"/>
  <c r="FOL1" i="10"/>
  <c r="FOK1" i="10"/>
  <c r="FOJ1" i="10"/>
  <c r="FOI1" i="10"/>
  <c r="FOH1" i="10"/>
  <c r="FOG1" i="10"/>
  <c r="FOF1" i="10"/>
  <c r="FOE1" i="10"/>
  <c r="FOD1" i="10"/>
  <c r="FOC1" i="10"/>
  <c r="FOB1" i="10"/>
  <c r="FOA1" i="10"/>
  <c r="FNZ1" i="10"/>
  <c r="FNY1" i="10"/>
  <c r="FNX1" i="10"/>
  <c r="FNW1" i="10"/>
  <c r="FNV1" i="10"/>
  <c r="FNU1" i="10"/>
  <c r="FNT1" i="10"/>
  <c r="FNS1" i="10"/>
  <c r="FNR1" i="10"/>
  <c r="FNQ1" i="10"/>
  <c r="FNP1" i="10"/>
  <c r="FNO1" i="10"/>
  <c r="FNN1" i="10"/>
  <c r="FNM1" i="10"/>
  <c r="FNL1" i="10"/>
  <c r="FNK1" i="10"/>
  <c r="FNJ1" i="10"/>
  <c r="FNI1" i="10"/>
  <c r="FNH1" i="10"/>
  <c r="FNG1" i="10"/>
  <c r="FNF1" i="10"/>
  <c r="FNE1" i="10"/>
  <c r="FND1" i="10"/>
  <c r="FNC1" i="10"/>
  <c r="FNB1" i="10"/>
  <c r="FNA1" i="10"/>
  <c r="FMZ1" i="10"/>
  <c r="FMY1" i="10"/>
  <c r="FMX1" i="10"/>
  <c r="FMW1" i="10"/>
  <c r="FMV1" i="10"/>
  <c r="FMU1" i="10"/>
  <c r="FMT1" i="10"/>
  <c r="FMS1" i="10"/>
  <c r="FMR1" i="10"/>
  <c r="FMQ1" i="10"/>
  <c r="FMP1" i="10"/>
  <c r="FMO1" i="10"/>
  <c r="FMN1" i="10"/>
  <c r="FMM1" i="10"/>
  <c r="FML1" i="10"/>
  <c r="FMK1" i="10"/>
  <c r="FMJ1" i="10"/>
  <c r="FMI1" i="10"/>
  <c r="FMH1" i="10"/>
  <c r="FMG1" i="10"/>
  <c r="FMF1" i="10"/>
  <c r="FME1" i="10"/>
  <c r="FMD1" i="10"/>
  <c r="FMC1" i="10"/>
  <c r="FMB1" i="10"/>
  <c r="FMA1" i="10"/>
  <c r="FLZ1" i="10"/>
  <c r="FLY1" i="10"/>
  <c r="FLX1" i="10"/>
  <c r="FLW1" i="10"/>
  <c r="FLV1" i="10"/>
  <c r="FLU1" i="10"/>
  <c r="FLT1" i="10"/>
  <c r="FLS1" i="10"/>
  <c r="FLR1" i="10"/>
  <c r="FLQ1" i="10"/>
  <c r="FLP1" i="10"/>
  <c r="FLO1" i="10"/>
  <c r="FLN1" i="10"/>
  <c r="FLM1" i="10"/>
  <c r="FLL1" i="10"/>
  <c r="FLK1" i="10"/>
  <c r="FLJ1" i="10"/>
  <c r="FLI1" i="10"/>
  <c r="FLH1" i="10"/>
  <c r="FLG1" i="10"/>
  <c r="FLF1" i="10"/>
  <c r="FLE1" i="10"/>
  <c r="FLD1" i="10"/>
  <c r="FLC1" i="10"/>
  <c r="FLB1" i="10"/>
  <c r="FLA1" i="10"/>
  <c r="FKZ1" i="10"/>
  <c r="FKY1" i="10"/>
  <c r="FKX1" i="10"/>
  <c r="FKW1" i="10"/>
  <c r="FKV1" i="10"/>
  <c r="FKU1" i="10"/>
  <c r="FKT1" i="10"/>
  <c r="FKS1" i="10"/>
  <c r="FKR1" i="10"/>
  <c r="FKQ1" i="10"/>
  <c r="FKP1" i="10"/>
  <c r="FKO1" i="10"/>
  <c r="FKN1" i="10"/>
  <c r="FKM1" i="10"/>
  <c r="FKL1" i="10"/>
  <c r="FKK1" i="10"/>
  <c r="FKJ1" i="10"/>
  <c r="FKI1" i="10"/>
  <c r="FKH1" i="10"/>
  <c r="FKG1" i="10"/>
  <c r="FKF1" i="10"/>
  <c r="FKE1" i="10"/>
  <c r="FKD1" i="10"/>
  <c r="FKC1" i="10"/>
  <c r="FKB1" i="10"/>
  <c r="FKA1" i="10"/>
  <c r="FJZ1" i="10"/>
  <c r="FJY1" i="10"/>
  <c r="FJX1" i="10"/>
  <c r="FJW1" i="10"/>
  <c r="FJV1" i="10"/>
  <c r="FJU1" i="10"/>
  <c r="FJT1" i="10"/>
  <c r="FJS1" i="10"/>
  <c r="FJR1" i="10"/>
  <c r="FJQ1" i="10"/>
  <c r="FJP1" i="10"/>
  <c r="FJO1" i="10"/>
  <c r="FJN1" i="10"/>
  <c r="FJM1" i="10"/>
  <c r="FJL1" i="10"/>
  <c r="FJK1" i="10"/>
  <c r="FJJ1" i="10"/>
  <c r="FJI1" i="10"/>
  <c r="FJH1" i="10"/>
  <c r="FJG1" i="10"/>
  <c r="FJF1" i="10"/>
  <c r="FJE1" i="10"/>
  <c r="FJD1" i="10"/>
  <c r="FJC1" i="10"/>
  <c r="FJB1" i="10"/>
  <c r="FJA1" i="10"/>
  <c r="FIZ1" i="10"/>
  <c r="FIY1" i="10"/>
  <c r="FIX1" i="10"/>
  <c r="FIW1" i="10"/>
  <c r="FIV1" i="10"/>
  <c r="FIU1" i="10"/>
  <c r="FIT1" i="10"/>
  <c r="FIS1" i="10"/>
  <c r="FIR1" i="10"/>
  <c r="FIQ1" i="10"/>
  <c r="FIP1" i="10"/>
  <c r="FIO1" i="10"/>
  <c r="FIN1" i="10"/>
  <c r="FIM1" i="10"/>
  <c r="FIL1" i="10"/>
  <c r="FIK1" i="10"/>
  <c r="FIJ1" i="10"/>
  <c r="FII1" i="10"/>
  <c r="FIH1" i="10"/>
  <c r="FIG1" i="10"/>
  <c r="FIF1" i="10"/>
  <c r="FIE1" i="10"/>
  <c r="FID1" i="10"/>
  <c r="FIC1" i="10"/>
  <c r="FIB1" i="10"/>
  <c r="FIA1" i="10"/>
  <c r="FHZ1" i="10"/>
  <c r="FHY1" i="10"/>
  <c r="FHX1" i="10"/>
  <c r="FHW1" i="10"/>
  <c r="FHV1" i="10"/>
  <c r="FHU1" i="10"/>
  <c r="FHT1" i="10"/>
  <c r="FHS1" i="10"/>
  <c r="FHR1" i="10"/>
  <c r="FHQ1" i="10"/>
  <c r="FHP1" i="10"/>
  <c r="FHO1" i="10"/>
  <c r="FHN1" i="10"/>
  <c r="FHM1" i="10"/>
  <c r="FHL1" i="10"/>
  <c r="FHK1" i="10"/>
  <c r="FHJ1" i="10"/>
  <c r="FHI1" i="10"/>
  <c r="FHH1" i="10"/>
  <c r="FHG1" i="10"/>
  <c r="FHF1" i="10"/>
  <c r="FHE1" i="10"/>
  <c r="FHD1" i="10"/>
  <c r="FHC1" i="10"/>
  <c r="FHB1" i="10"/>
  <c r="FHA1" i="10"/>
  <c r="FGZ1" i="10"/>
  <c r="FGY1" i="10"/>
  <c r="FGX1" i="10"/>
  <c r="FGW1" i="10"/>
  <c r="FGV1" i="10"/>
  <c r="FGU1" i="10"/>
  <c r="FGT1" i="10"/>
  <c r="FGS1" i="10"/>
  <c r="FGR1" i="10"/>
  <c r="FGQ1" i="10"/>
  <c r="FGP1" i="10"/>
  <c r="FGO1" i="10"/>
  <c r="FGN1" i="10"/>
  <c r="FGM1" i="10"/>
  <c r="FGL1" i="10"/>
  <c r="FGK1" i="10"/>
  <c r="FGJ1" i="10"/>
  <c r="FGI1" i="10"/>
  <c r="FGH1" i="10"/>
  <c r="FGG1" i="10"/>
  <c r="FGF1" i="10"/>
  <c r="FGE1" i="10"/>
  <c r="FGD1" i="10"/>
  <c r="FGC1" i="10"/>
  <c r="FGB1" i="10"/>
  <c r="FGA1" i="10"/>
  <c r="FFZ1" i="10"/>
  <c r="FFY1" i="10"/>
  <c r="FFX1" i="10"/>
  <c r="FFW1" i="10"/>
  <c r="FFV1" i="10"/>
  <c r="FFU1" i="10"/>
  <c r="FFT1" i="10"/>
  <c r="FFS1" i="10"/>
  <c r="FFR1" i="10"/>
  <c r="FFQ1" i="10"/>
  <c r="FFP1" i="10"/>
  <c r="FFO1" i="10"/>
  <c r="FFN1" i="10"/>
  <c r="FFM1" i="10"/>
  <c r="FFL1" i="10"/>
  <c r="FFK1" i="10"/>
  <c r="FFJ1" i="10"/>
  <c r="FFI1" i="10"/>
  <c r="FFH1" i="10"/>
  <c r="FFG1" i="10"/>
  <c r="FFF1" i="10"/>
  <c r="FFE1" i="10"/>
  <c r="FFD1" i="10"/>
  <c r="FFC1" i="10"/>
  <c r="FFB1" i="10"/>
  <c r="FFA1" i="10"/>
  <c r="FEZ1" i="10"/>
  <c r="FEY1" i="10"/>
  <c r="FEX1" i="10"/>
  <c r="FEW1" i="10"/>
  <c r="FEV1" i="10"/>
  <c r="FEU1" i="10"/>
  <c r="FET1" i="10"/>
  <c r="FES1" i="10"/>
  <c r="FER1" i="10"/>
  <c r="FEQ1" i="10"/>
  <c r="FEP1" i="10"/>
  <c r="FEO1" i="10"/>
  <c r="FEN1" i="10"/>
  <c r="FEM1" i="10"/>
  <c r="FEL1" i="10"/>
  <c r="FEK1" i="10"/>
  <c r="FEJ1" i="10"/>
  <c r="FEI1" i="10"/>
  <c r="FEH1" i="10"/>
  <c r="FEG1" i="10"/>
  <c r="FEF1" i="10"/>
  <c r="FEE1" i="10"/>
  <c r="FED1" i="10"/>
  <c r="FEC1" i="10"/>
  <c r="FEB1" i="10"/>
  <c r="FEA1" i="10"/>
  <c r="FDZ1" i="10"/>
  <c r="FDY1" i="10"/>
  <c r="FDX1" i="10"/>
  <c r="FDW1" i="10"/>
  <c r="FDV1" i="10"/>
  <c r="FDU1" i="10"/>
  <c r="FDT1" i="10"/>
  <c r="FDS1" i="10"/>
  <c r="FDR1" i="10"/>
  <c r="FDQ1" i="10"/>
  <c r="FDP1" i="10"/>
  <c r="FDO1" i="10"/>
  <c r="FDN1" i="10"/>
  <c r="FDM1" i="10"/>
  <c r="FDL1" i="10"/>
  <c r="FDK1" i="10"/>
  <c r="FDJ1" i="10"/>
  <c r="FDI1" i="10"/>
  <c r="FDH1" i="10"/>
  <c r="FDG1" i="10"/>
  <c r="FDF1" i="10"/>
  <c r="FDE1" i="10"/>
  <c r="FDD1" i="10"/>
  <c r="FDC1" i="10"/>
  <c r="FDB1" i="10"/>
  <c r="FDA1" i="10"/>
  <c r="FCZ1" i="10"/>
  <c r="FCY1" i="10"/>
  <c r="FCX1" i="10"/>
  <c r="FCW1" i="10"/>
  <c r="FCV1" i="10"/>
  <c r="FCU1" i="10"/>
  <c r="FCT1" i="10"/>
  <c r="FCS1" i="10"/>
  <c r="FCR1" i="10"/>
  <c r="FCQ1" i="10"/>
  <c r="FCP1" i="10"/>
  <c r="FCO1" i="10"/>
  <c r="FCN1" i="10"/>
  <c r="FCM1" i="10"/>
  <c r="FCL1" i="10"/>
  <c r="FCK1" i="10"/>
  <c r="FCJ1" i="10"/>
  <c r="FCI1" i="10"/>
  <c r="FCH1" i="10"/>
  <c r="FCG1" i="10"/>
  <c r="FCF1" i="10"/>
  <c r="FCE1" i="10"/>
  <c r="FCD1" i="10"/>
  <c r="FCC1" i="10"/>
  <c r="FCB1" i="10"/>
  <c r="FCA1" i="10"/>
  <c r="FBZ1" i="10"/>
  <c r="FBY1" i="10"/>
  <c r="FBX1" i="10"/>
  <c r="FBW1" i="10"/>
  <c r="FBV1" i="10"/>
  <c r="FBU1" i="10"/>
  <c r="FBT1" i="10"/>
  <c r="FBS1" i="10"/>
  <c r="FBR1" i="10"/>
  <c r="FBQ1" i="10"/>
  <c r="FBP1" i="10"/>
  <c r="FBO1" i="10"/>
  <c r="FBN1" i="10"/>
  <c r="FBM1" i="10"/>
  <c r="FBL1" i="10"/>
  <c r="FBK1" i="10"/>
  <c r="FBJ1" i="10"/>
  <c r="FBI1" i="10"/>
  <c r="FBH1" i="10"/>
  <c r="FBG1" i="10"/>
  <c r="FBF1" i="10"/>
  <c r="FBE1" i="10"/>
  <c r="FBD1" i="10"/>
  <c r="FBC1" i="10"/>
  <c r="FBB1" i="10"/>
  <c r="FBA1" i="10"/>
  <c r="FAZ1" i="10"/>
  <c r="FAY1" i="10"/>
  <c r="FAX1" i="10"/>
  <c r="FAW1" i="10"/>
  <c r="FAV1" i="10"/>
  <c r="FAU1" i="10"/>
  <c r="FAT1" i="10"/>
  <c r="FAS1" i="10"/>
  <c r="FAR1" i="10"/>
  <c r="FAQ1" i="10"/>
  <c r="FAP1" i="10"/>
  <c r="FAO1" i="10"/>
  <c r="FAN1" i="10"/>
  <c r="FAM1" i="10"/>
  <c r="FAL1" i="10"/>
  <c r="FAK1" i="10"/>
  <c r="FAJ1" i="10"/>
  <c r="FAI1" i="10"/>
  <c r="FAH1" i="10"/>
  <c r="FAG1" i="10"/>
  <c r="FAF1" i="10"/>
  <c r="FAE1" i="10"/>
  <c r="FAD1" i="10"/>
  <c r="FAC1" i="10"/>
  <c r="FAB1" i="10"/>
  <c r="FAA1" i="10"/>
  <c r="EZZ1" i="10"/>
  <c r="EZY1" i="10"/>
  <c r="EZX1" i="10"/>
  <c r="EZW1" i="10"/>
  <c r="EZV1" i="10"/>
  <c r="EZU1" i="10"/>
  <c r="EZT1" i="10"/>
  <c r="EZS1" i="10"/>
  <c r="EZR1" i="10"/>
  <c r="EZQ1" i="10"/>
  <c r="EZP1" i="10"/>
  <c r="EZO1" i="10"/>
  <c r="EZN1" i="10"/>
  <c r="EZM1" i="10"/>
  <c r="EZL1" i="10"/>
  <c r="EZK1" i="10"/>
  <c r="EZJ1" i="10"/>
  <c r="EZI1" i="10"/>
  <c r="EZH1" i="10"/>
  <c r="EZG1" i="10"/>
  <c r="EZF1" i="10"/>
  <c r="EZE1" i="10"/>
  <c r="EZD1" i="10"/>
  <c r="EZC1" i="10"/>
  <c r="EZB1" i="10"/>
  <c r="EZA1" i="10"/>
  <c r="EYZ1" i="10"/>
  <c r="EYY1" i="10"/>
  <c r="EYX1" i="10"/>
  <c r="EYW1" i="10"/>
  <c r="EYV1" i="10"/>
  <c r="EYU1" i="10"/>
  <c r="EYT1" i="10"/>
  <c r="EYS1" i="10"/>
  <c r="EYR1" i="10"/>
  <c r="EYQ1" i="10"/>
  <c r="EYP1" i="10"/>
  <c r="EYO1" i="10"/>
  <c r="EYN1" i="10"/>
  <c r="EYM1" i="10"/>
  <c r="EYL1" i="10"/>
  <c r="EYK1" i="10"/>
  <c r="EYJ1" i="10"/>
  <c r="EYI1" i="10"/>
  <c r="EYH1" i="10"/>
  <c r="EYG1" i="10"/>
  <c r="EYF1" i="10"/>
  <c r="EYE1" i="10"/>
  <c r="EYD1" i="10"/>
  <c r="EYC1" i="10"/>
  <c r="EYB1" i="10"/>
  <c r="EYA1" i="10"/>
  <c r="EXZ1" i="10"/>
  <c r="EXY1" i="10"/>
  <c r="EXX1" i="10"/>
  <c r="EXW1" i="10"/>
  <c r="EXV1" i="10"/>
  <c r="EXU1" i="10"/>
  <c r="EXT1" i="10"/>
  <c r="EXS1" i="10"/>
  <c r="EXR1" i="10"/>
  <c r="EXQ1" i="10"/>
  <c r="EXP1" i="10"/>
  <c r="EXO1" i="10"/>
  <c r="EXN1" i="10"/>
  <c r="EXM1" i="10"/>
  <c r="EXL1" i="10"/>
  <c r="EXK1" i="10"/>
  <c r="EXJ1" i="10"/>
  <c r="EXI1" i="10"/>
  <c r="EXH1" i="10"/>
  <c r="EXG1" i="10"/>
  <c r="EXF1" i="10"/>
  <c r="EXE1" i="10"/>
  <c r="EXD1" i="10"/>
  <c r="EXC1" i="10"/>
  <c r="EXB1" i="10"/>
  <c r="EXA1" i="10"/>
  <c r="EWZ1" i="10"/>
  <c r="EWY1" i="10"/>
  <c r="EWX1" i="10"/>
  <c r="EWW1" i="10"/>
  <c r="EWV1" i="10"/>
  <c r="EWU1" i="10"/>
  <c r="EWT1" i="10"/>
  <c r="EWS1" i="10"/>
  <c r="EWR1" i="10"/>
  <c r="EWQ1" i="10"/>
  <c r="EWP1" i="10"/>
  <c r="EWO1" i="10"/>
  <c r="EWN1" i="10"/>
  <c r="EWM1" i="10"/>
  <c r="EWL1" i="10"/>
  <c r="EWK1" i="10"/>
  <c r="EWJ1" i="10"/>
  <c r="EWI1" i="10"/>
  <c r="EWH1" i="10"/>
  <c r="EWG1" i="10"/>
  <c r="EWF1" i="10"/>
  <c r="EWE1" i="10"/>
  <c r="EWD1" i="10"/>
  <c r="EWC1" i="10"/>
  <c r="EWB1" i="10"/>
  <c r="EWA1" i="10"/>
  <c r="EVZ1" i="10"/>
  <c r="EVY1" i="10"/>
  <c r="EVX1" i="10"/>
  <c r="EVW1" i="10"/>
  <c r="EVV1" i="10"/>
  <c r="EVU1" i="10"/>
  <c r="EVT1" i="10"/>
  <c r="EVS1" i="10"/>
  <c r="EVR1" i="10"/>
  <c r="EVQ1" i="10"/>
  <c r="EVP1" i="10"/>
  <c r="EVO1" i="10"/>
  <c r="EVN1" i="10"/>
  <c r="EVM1" i="10"/>
  <c r="EVL1" i="10"/>
  <c r="EVK1" i="10"/>
  <c r="EVJ1" i="10"/>
  <c r="EVI1" i="10"/>
  <c r="EVH1" i="10"/>
  <c r="EVG1" i="10"/>
  <c r="EVF1" i="10"/>
  <c r="EVE1" i="10"/>
  <c r="EVD1" i="10"/>
  <c r="EVC1" i="10"/>
  <c r="EVB1" i="10"/>
  <c r="EVA1" i="10"/>
  <c r="EUZ1" i="10"/>
  <c r="EUY1" i="10"/>
  <c r="EUX1" i="10"/>
  <c r="EUW1" i="10"/>
  <c r="EUV1" i="10"/>
  <c r="EUU1" i="10"/>
  <c r="EUT1" i="10"/>
  <c r="EUS1" i="10"/>
  <c r="EUR1" i="10"/>
  <c r="EUQ1" i="10"/>
  <c r="EUP1" i="10"/>
  <c r="EUO1" i="10"/>
  <c r="EUN1" i="10"/>
  <c r="EUM1" i="10"/>
  <c r="EUL1" i="10"/>
  <c r="EUK1" i="10"/>
  <c r="EUJ1" i="10"/>
  <c r="EUI1" i="10"/>
  <c r="EUH1" i="10"/>
  <c r="EUG1" i="10"/>
  <c r="EUF1" i="10"/>
  <c r="EUE1" i="10"/>
  <c r="EUD1" i="10"/>
  <c r="EUC1" i="10"/>
  <c r="EUB1" i="10"/>
  <c r="EUA1" i="10"/>
  <c r="ETZ1" i="10"/>
  <c r="ETY1" i="10"/>
  <c r="ETX1" i="10"/>
  <c r="ETW1" i="10"/>
  <c r="ETV1" i="10"/>
  <c r="ETU1" i="10"/>
  <c r="ETT1" i="10"/>
  <c r="ETS1" i="10"/>
  <c r="ETR1" i="10"/>
  <c r="ETQ1" i="10"/>
  <c r="ETP1" i="10"/>
  <c r="ETO1" i="10"/>
  <c r="ETN1" i="10"/>
  <c r="ETM1" i="10"/>
  <c r="ETL1" i="10"/>
  <c r="ETK1" i="10"/>
  <c r="ETJ1" i="10"/>
  <c r="ETI1" i="10"/>
  <c r="ETH1" i="10"/>
  <c r="ETG1" i="10"/>
  <c r="ETF1" i="10"/>
  <c r="ETE1" i="10"/>
  <c r="ETD1" i="10"/>
  <c r="ETC1" i="10"/>
  <c r="ETB1" i="10"/>
  <c r="ETA1" i="10"/>
  <c r="ESZ1" i="10"/>
  <c r="ESY1" i="10"/>
  <c r="ESX1" i="10"/>
  <c r="ESW1" i="10"/>
  <c r="ESV1" i="10"/>
  <c r="ESU1" i="10"/>
  <c r="EST1" i="10"/>
  <c r="ESS1" i="10"/>
  <c r="ESR1" i="10"/>
  <c r="ESQ1" i="10"/>
  <c r="ESP1" i="10"/>
  <c r="ESO1" i="10"/>
  <c r="ESN1" i="10"/>
  <c r="ESM1" i="10"/>
  <c r="ESL1" i="10"/>
  <c r="ESK1" i="10"/>
  <c r="ESJ1" i="10"/>
  <c r="ESI1" i="10"/>
  <c r="ESH1" i="10"/>
  <c r="ESG1" i="10"/>
  <c r="ESF1" i="10"/>
  <c r="ESE1" i="10"/>
  <c r="ESD1" i="10"/>
  <c r="ESC1" i="10"/>
  <c r="ESB1" i="10"/>
  <c r="ESA1" i="10"/>
  <c r="ERZ1" i="10"/>
  <c r="ERY1" i="10"/>
  <c r="ERX1" i="10"/>
  <c r="ERW1" i="10"/>
  <c r="ERV1" i="10"/>
  <c r="ERU1" i="10"/>
  <c r="ERT1" i="10"/>
  <c r="ERS1" i="10"/>
  <c r="ERR1" i="10"/>
  <c r="ERQ1" i="10"/>
  <c r="ERP1" i="10"/>
  <c r="ERO1" i="10"/>
  <c r="ERN1" i="10"/>
  <c r="ERM1" i="10"/>
  <c r="ERL1" i="10"/>
  <c r="ERK1" i="10"/>
  <c r="ERJ1" i="10"/>
  <c r="ERI1" i="10"/>
  <c r="ERH1" i="10"/>
  <c r="ERG1" i="10"/>
  <c r="ERF1" i="10"/>
  <c r="ERE1" i="10"/>
  <c r="ERD1" i="10"/>
  <c r="ERC1" i="10"/>
  <c r="ERB1" i="10"/>
  <c r="ERA1" i="10"/>
  <c r="EQZ1" i="10"/>
  <c r="EQY1" i="10"/>
  <c r="EQX1" i="10"/>
  <c r="EQW1" i="10"/>
  <c r="EQV1" i="10"/>
  <c r="EQU1" i="10"/>
  <c r="EQT1" i="10"/>
  <c r="EQS1" i="10"/>
  <c r="EQR1" i="10"/>
  <c r="EQQ1" i="10"/>
  <c r="EQP1" i="10"/>
  <c r="EQO1" i="10"/>
  <c r="EQN1" i="10"/>
  <c r="EQM1" i="10"/>
  <c r="EQL1" i="10"/>
  <c r="EQK1" i="10"/>
  <c r="EQJ1" i="10"/>
  <c r="EQI1" i="10"/>
  <c r="EQH1" i="10"/>
  <c r="EQG1" i="10"/>
  <c r="EQF1" i="10"/>
  <c r="EQE1" i="10"/>
  <c r="EQD1" i="10"/>
  <c r="EQC1" i="10"/>
  <c r="EQB1" i="10"/>
  <c r="EQA1" i="10"/>
  <c r="EPZ1" i="10"/>
  <c r="EPY1" i="10"/>
  <c r="EPX1" i="10"/>
  <c r="EPW1" i="10"/>
  <c r="EPV1" i="10"/>
  <c r="EPU1" i="10"/>
  <c r="EPT1" i="10"/>
  <c r="EPS1" i="10"/>
  <c r="EPR1" i="10"/>
  <c r="EPQ1" i="10"/>
  <c r="EPP1" i="10"/>
  <c r="EPO1" i="10"/>
  <c r="EPN1" i="10"/>
  <c r="EPM1" i="10"/>
  <c r="EPL1" i="10"/>
  <c r="EPK1" i="10"/>
  <c r="EPJ1" i="10"/>
  <c r="EPI1" i="10"/>
  <c r="EPH1" i="10"/>
  <c r="EPG1" i="10"/>
  <c r="EPF1" i="10"/>
  <c r="EPE1" i="10"/>
  <c r="EPD1" i="10"/>
  <c r="EPC1" i="10"/>
  <c r="EPB1" i="10"/>
  <c r="EPA1" i="10"/>
  <c r="EOZ1" i="10"/>
  <c r="EOY1" i="10"/>
  <c r="EOX1" i="10"/>
  <c r="EOW1" i="10"/>
  <c r="EOV1" i="10"/>
  <c r="EOU1" i="10"/>
  <c r="EOT1" i="10"/>
  <c r="EOS1" i="10"/>
  <c r="EOR1" i="10"/>
  <c r="EOQ1" i="10"/>
  <c r="EOP1" i="10"/>
  <c r="EOO1" i="10"/>
  <c r="EON1" i="10"/>
  <c r="EOM1" i="10"/>
  <c r="EOL1" i="10"/>
  <c r="EOK1" i="10"/>
  <c r="EOJ1" i="10"/>
  <c r="EOI1" i="10"/>
  <c r="EOH1" i="10"/>
  <c r="EOG1" i="10"/>
  <c r="EOF1" i="10"/>
  <c r="EOE1" i="10"/>
  <c r="EOD1" i="10"/>
  <c r="EOC1" i="10"/>
  <c r="EOB1" i="10"/>
  <c r="EOA1" i="10"/>
  <c r="ENZ1" i="10"/>
  <c r="ENY1" i="10"/>
  <c r="ENX1" i="10"/>
  <c r="ENW1" i="10"/>
  <c r="ENV1" i="10"/>
  <c r="ENU1" i="10"/>
  <c r="ENT1" i="10"/>
  <c r="ENS1" i="10"/>
  <c r="ENR1" i="10"/>
  <c r="ENQ1" i="10"/>
  <c r="ENP1" i="10"/>
  <c r="ENO1" i="10"/>
  <c r="ENN1" i="10"/>
  <c r="ENM1" i="10"/>
  <c r="ENL1" i="10"/>
  <c r="ENK1" i="10"/>
  <c r="ENJ1" i="10"/>
  <c r="ENI1" i="10"/>
  <c r="ENH1" i="10"/>
  <c r="ENG1" i="10"/>
  <c r="ENF1" i="10"/>
  <c r="ENE1" i="10"/>
  <c r="END1" i="10"/>
  <c r="ENC1" i="10"/>
  <c r="ENB1" i="10"/>
  <c r="ENA1" i="10"/>
  <c r="EMZ1" i="10"/>
  <c r="EMY1" i="10"/>
  <c r="EMX1" i="10"/>
  <c r="EMW1" i="10"/>
  <c r="EMV1" i="10"/>
  <c r="EMU1" i="10"/>
  <c r="EMT1" i="10"/>
  <c r="EMS1" i="10"/>
  <c r="EMR1" i="10"/>
  <c r="EMQ1" i="10"/>
  <c r="EMP1" i="10"/>
  <c r="EMO1" i="10"/>
  <c r="EMN1" i="10"/>
  <c r="EMM1" i="10"/>
  <c r="EML1" i="10"/>
  <c r="EMK1" i="10"/>
  <c r="EMJ1" i="10"/>
  <c r="EMI1" i="10"/>
  <c r="EMH1" i="10"/>
  <c r="EMG1" i="10"/>
  <c r="EMF1" i="10"/>
  <c r="EME1" i="10"/>
  <c r="EMD1" i="10"/>
  <c r="EMC1" i="10"/>
  <c r="EMB1" i="10"/>
  <c r="EMA1" i="10"/>
  <c r="ELZ1" i="10"/>
  <c r="ELY1" i="10"/>
  <c r="ELX1" i="10"/>
  <c r="ELW1" i="10"/>
  <c r="ELV1" i="10"/>
  <c r="ELU1" i="10"/>
  <c r="ELT1" i="10"/>
  <c r="ELS1" i="10"/>
  <c r="ELR1" i="10"/>
  <c r="ELQ1" i="10"/>
  <c r="ELP1" i="10"/>
  <c r="ELO1" i="10"/>
  <c r="ELN1" i="10"/>
  <c r="ELM1" i="10"/>
  <c r="ELL1" i="10"/>
  <c r="ELK1" i="10"/>
  <c r="ELJ1" i="10"/>
  <c r="ELI1" i="10"/>
  <c r="ELH1" i="10"/>
  <c r="ELG1" i="10"/>
  <c r="ELF1" i="10"/>
  <c r="ELE1" i="10"/>
  <c r="ELD1" i="10"/>
  <c r="ELC1" i="10"/>
  <c r="ELB1" i="10"/>
  <c r="ELA1" i="10"/>
  <c r="EKZ1" i="10"/>
  <c r="EKY1" i="10"/>
  <c r="EKX1" i="10"/>
  <c r="EKW1" i="10"/>
  <c r="EKV1" i="10"/>
  <c r="EKU1" i="10"/>
  <c r="EKT1" i="10"/>
  <c r="EKS1" i="10"/>
  <c r="EKR1" i="10"/>
  <c r="EKQ1" i="10"/>
  <c r="EKP1" i="10"/>
  <c r="EKO1" i="10"/>
  <c r="EKN1" i="10"/>
  <c r="EKM1" i="10"/>
  <c r="EKL1" i="10"/>
  <c r="EKK1" i="10"/>
  <c r="EKJ1" i="10"/>
  <c r="EKI1" i="10"/>
  <c r="EKH1" i="10"/>
  <c r="EKG1" i="10"/>
  <c r="EKF1" i="10"/>
  <c r="EKE1" i="10"/>
  <c r="EKD1" i="10"/>
  <c r="EKC1" i="10"/>
  <c r="EKB1" i="10"/>
  <c r="EKA1" i="10"/>
  <c r="EJZ1" i="10"/>
  <c r="EJY1" i="10"/>
  <c r="EJX1" i="10"/>
  <c r="EJW1" i="10"/>
  <c r="EJV1" i="10"/>
  <c r="EJU1" i="10"/>
  <c r="EJT1" i="10"/>
  <c r="EJS1" i="10"/>
  <c r="EJR1" i="10"/>
  <c r="EJQ1" i="10"/>
  <c r="EJP1" i="10"/>
  <c r="EJO1" i="10"/>
  <c r="EJN1" i="10"/>
  <c r="EJM1" i="10"/>
  <c r="EJL1" i="10"/>
  <c r="EJK1" i="10"/>
  <c r="EJJ1" i="10"/>
  <c r="EJI1" i="10"/>
  <c r="EJH1" i="10"/>
  <c r="EJG1" i="10"/>
  <c r="EJF1" i="10"/>
  <c r="EJE1" i="10"/>
  <c r="EJD1" i="10"/>
  <c r="EJC1" i="10"/>
  <c r="EJB1" i="10"/>
  <c r="EJA1" i="10"/>
  <c r="EIZ1" i="10"/>
  <c r="EIY1" i="10"/>
  <c r="EIX1" i="10"/>
  <c r="EIW1" i="10"/>
  <c r="EIV1" i="10"/>
  <c r="EIU1" i="10"/>
  <c r="EIT1" i="10"/>
  <c r="EIS1" i="10"/>
  <c r="EIR1" i="10"/>
  <c r="EIQ1" i="10"/>
  <c r="EIP1" i="10"/>
  <c r="EIO1" i="10"/>
  <c r="EIN1" i="10"/>
  <c r="EIM1" i="10"/>
  <c r="EIL1" i="10"/>
  <c r="EIK1" i="10"/>
  <c r="EIJ1" i="10"/>
  <c r="EII1" i="10"/>
  <c r="EIH1" i="10"/>
  <c r="EIG1" i="10"/>
  <c r="EIF1" i="10"/>
  <c r="EIE1" i="10"/>
  <c r="EID1" i="10"/>
  <c r="EIC1" i="10"/>
  <c r="EIB1" i="10"/>
  <c r="EIA1" i="10"/>
  <c r="EHZ1" i="10"/>
  <c r="EHY1" i="10"/>
  <c r="EHX1" i="10"/>
  <c r="EHW1" i="10"/>
  <c r="EHV1" i="10"/>
  <c r="EHU1" i="10"/>
  <c r="EHT1" i="10"/>
  <c r="EHS1" i="10"/>
  <c r="EHR1" i="10"/>
  <c r="EHQ1" i="10"/>
  <c r="EHP1" i="10"/>
  <c r="EHO1" i="10"/>
  <c r="EHN1" i="10"/>
  <c r="EHM1" i="10"/>
  <c r="EHL1" i="10"/>
  <c r="EHK1" i="10"/>
  <c r="EHJ1" i="10"/>
  <c r="EHI1" i="10"/>
  <c r="EHH1" i="10"/>
  <c r="EHG1" i="10"/>
  <c r="EHF1" i="10"/>
  <c r="EHE1" i="10"/>
  <c r="EHD1" i="10"/>
  <c r="EHC1" i="10"/>
  <c r="EHB1" i="10"/>
  <c r="EHA1" i="10"/>
  <c r="EGZ1" i="10"/>
  <c r="EGY1" i="10"/>
  <c r="EGX1" i="10"/>
  <c r="EGW1" i="10"/>
  <c r="EGV1" i="10"/>
  <c r="EGU1" i="10"/>
  <c r="EGT1" i="10"/>
  <c r="EGS1" i="10"/>
  <c r="EGR1" i="10"/>
  <c r="EGQ1" i="10"/>
  <c r="EGP1" i="10"/>
  <c r="EGO1" i="10"/>
  <c r="EGN1" i="10"/>
  <c r="EGM1" i="10"/>
  <c r="EGL1" i="10"/>
  <c r="EGK1" i="10"/>
  <c r="EGJ1" i="10"/>
  <c r="EGI1" i="10"/>
  <c r="EGH1" i="10"/>
  <c r="EGG1" i="10"/>
  <c r="EGF1" i="10"/>
  <c r="EGE1" i="10"/>
  <c r="EGD1" i="10"/>
  <c r="EGC1" i="10"/>
  <c r="EGB1" i="10"/>
  <c r="EGA1" i="10"/>
  <c r="EFZ1" i="10"/>
  <c r="EFY1" i="10"/>
  <c r="EFX1" i="10"/>
  <c r="EFW1" i="10"/>
  <c r="EFV1" i="10"/>
  <c r="EFU1" i="10"/>
  <c r="EFT1" i="10"/>
  <c r="EFS1" i="10"/>
  <c r="EFR1" i="10"/>
  <c r="EFQ1" i="10"/>
  <c r="EFP1" i="10"/>
  <c r="EFO1" i="10"/>
  <c r="EFN1" i="10"/>
  <c r="EFM1" i="10"/>
  <c r="EFL1" i="10"/>
  <c r="EFK1" i="10"/>
  <c r="EFJ1" i="10"/>
  <c r="EFI1" i="10"/>
  <c r="EFH1" i="10"/>
  <c r="EFG1" i="10"/>
  <c r="EFF1" i="10"/>
  <c r="EFE1" i="10"/>
  <c r="EFD1" i="10"/>
  <c r="EFC1" i="10"/>
  <c r="EFB1" i="10"/>
  <c r="EFA1" i="10"/>
  <c r="EEZ1" i="10"/>
  <c r="EEY1" i="10"/>
  <c r="EEX1" i="10"/>
  <c r="EEW1" i="10"/>
  <c r="EEV1" i="10"/>
  <c r="EEU1" i="10"/>
  <c r="EET1" i="10"/>
  <c r="EES1" i="10"/>
  <c r="EER1" i="10"/>
  <c r="EEQ1" i="10"/>
  <c r="EEP1" i="10"/>
  <c r="EEO1" i="10"/>
  <c r="EEN1" i="10"/>
  <c r="EEM1" i="10"/>
  <c r="EEL1" i="10"/>
  <c r="EEK1" i="10"/>
  <c r="EEJ1" i="10"/>
  <c r="EEI1" i="10"/>
  <c r="EEH1" i="10"/>
  <c r="EEG1" i="10"/>
  <c r="EEF1" i="10"/>
  <c r="EEE1" i="10"/>
  <c r="EED1" i="10"/>
  <c r="EEC1" i="10"/>
  <c r="EEB1" i="10"/>
  <c r="EEA1" i="10"/>
  <c r="EDZ1" i="10"/>
  <c r="EDY1" i="10"/>
  <c r="EDX1" i="10"/>
  <c r="EDW1" i="10"/>
  <c r="EDV1" i="10"/>
  <c r="EDU1" i="10"/>
  <c r="EDT1" i="10"/>
  <c r="EDS1" i="10"/>
  <c r="EDR1" i="10"/>
  <c r="EDQ1" i="10"/>
  <c r="EDP1" i="10"/>
  <c r="EDO1" i="10"/>
  <c r="EDN1" i="10"/>
  <c r="EDM1" i="10"/>
  <c r="EDL1" i="10"/>
  <c r="EDK1" i="10"/>
  <c r="EDJ1" i="10"/>
  <c r="EDI1" i="10"/>
  <c r="EDH1" i="10"/>
  <c r="EDG1" i="10"/>
  <c r="EDF1" i="10"/>
  <c r="EDE1" i="10"/>
  <c r="EDD1" i="10"/>
  <c r="EDC1" i="10"/>
  <c r="EDB1" i="10"/>
  <c r="EDA1" i="10"/>
  <c r="ECZ1" i="10"/>
  <c r="ECY1" i="10"/>
  <c r="ECX1" i="10"/>
  <c r="ECW1" i="10"/>
  <c r="ECV1" i="10"/>
  <c r="ECU1" i="10"/>
  <c r="ECT1" i="10"/>
  <c r="ECS1" i="10"/>
  <c r="ECR1" i="10"/>
  <c r="ECQ1" i="10"/>
  <c r="ECP1" i="10"/>
  <c r="ECO1" i="10"/>
  <c r="ECN1" i="10"/>
  <c r="ECM1" i="10"/>
  <c r="ECL1" i="10"/>
  <c r="ECK1" i="10"/>
  <c r="ECJ1" i="10"/>
  <c r="ECI1" i="10"/>
  <c r="ECH1" i="10"/>
  <c r="ECG1" i="10"/>
  <c r="ECF1" i="10"/>
  <c r="ECE1" i="10"/>
  <c r="ECD1" i="10"/>
  <c r="ECC1" i="10"/>
  <c r="ECB1" i="10"/>
  <c r="ECA1" i="10"/>
  <c r="EBZ1" i="10"/>
  <c r="EBY1" i="10"/>
  <c r="EBX1" i="10"/>
  <c r="EBW1" i="10"/>
  <c r="EBV1" i="10"/>
  <c r="EBU1" i="10"/>
  <c r="EBT1" i="10"/>
  <c r="EBS1" i="10"/>
  <c r="EBR1" i="10"/>
  <c r="EBQ1" i="10"/>
  <c r="EBP1" i="10"/>
  <c r="EBO1" i="10"/>
  <c r="EBN1" i="10"/>
  <c r="EBM1" i="10"/>
  <c r="EBL1" i="10"/>
  <c r="EBK1" i="10"/>
  <c r="EBJ1" i="10"/>
  <c r="EBI1" i="10"/>
  <c r="EBH1" i="10"/>
  <c r="EBG1" i="10"/>
  <c r="EBF1" i="10"/>
  <c r="EBE1" i="10"/>
  <c r="EBD1" i="10"/>
  <c r="EBC1" i="10"/>
  <c r="EBB1" i="10"/>
  <c r="EBA1" i="10"/>
  <c r="EAZ1" i="10"/>
  <c r="EAY1" i="10"/>
  <c r="EAX1" i="10"/>
  <c r="EAW1" i="10"/>
  <c r="EAV1" i="10"/>
  <c r="EAU1" i="10"/>
  <c r="EAT1" i="10"/>
  <c r="EAS1" i="10"/>
  <c r="EAR1" i="10"/>
  <c r="EAQ1" i="10"/>
  <c r="EAP1" i="10"/>
  <c r="EAO1" i="10"/>
  <c r="EAN1" i="10"/>
  <c r="EAM1" i="10"/>
  <c r="EAL1" i="10"/>
  <c r="EAK1" i="10"/>
  <c r="EAJ1" i="10"/>
  <c r="EAI1" i="10"/>
  <c r="EAH1" i="10"/>
  <c r="EAG1" i="10"/>
  <c r="EAF1" i="10"/>
  <c r="EAE1" i="10"/>
  <c r="EAD1" i="10"/>
  <c r="EAC1" i="10"/>
  <c r="EAB1" i="10"/>
  <c r="EAA1" i="10"/>
  <c r="DZZ1" i="10"/>
  <c r="DZY1" i="10"/>
  <c r="DZX1" i="10"/>
  <c r="DZW1" i="10"/>
  <c r="DZV1" i="10"/>
  <c r="DZU1" i="10"/>
  <c r="DZT1" i="10"/>
  <c r="DZS1" i="10"/>
  <c r="DZR1" i="10"/>
  <c r="DZQ1" i="10"/>
  <c r="DZP1" i="10"/>
  <c r="DZO1" i="10"/>
  <c r="DZN1" i="10"/>
  <c r="DZM1" i="10"/>
  <c r="DZL1" i="10"/>
  <c r="DZK1" i="10"/>
  <c r="DZJ1" i="10"/>
  <c r="DZI1" i="10"/>
  <c r="DZH1" i="10"/>
  <c r="DZG1" i="10"/>
  <c r="DZF1" i="10"/>
  <c r="DZE1" i="10"/>
  <c r="DZD1" i="10"/>
  <c r="DZC1" i="10"/>
  <c r="DZB1" i="10"/>
  <c r="DZA1" i="10"/>
  <c r="DYZ1" i="10"/>
  <c r="DYY1" i="10"/>
  <c r="DYX1" i="10"/>
  <c r="DYW1" i="10"/>
  <c r="DYV1" i="10"/>
  <c r="DYU1" i="10"/>
  <c r="DYT1" i="10"/>
  <c r="DYS1" i="10"/>
  <c r="DYR1" i="10"/>
  <c r="DYQ1" i="10"/>
  <c r="DYP1" i="10"/>
  <c r="DYO1" i="10"/>
  <c r="DYN1" i="10"/>
  <c r="DYM1" i="10"/>
  <c r="DYL1" i="10"/>
  <c r="DYK1" i="10"/>
  <c r="DYJ1" i="10"/>
  <c r="DYI1" i="10"/>
  <c r="DYH1" i="10"/>
  <c r="DYG1" i="10"/>
  <c r="DYF1" i="10"/>
  <c r="DYE1" i="10"/>
  <c r="DYD1" i="10"/>
  <c r="DYC1" i="10"/>
  <c r="DYB1" i="10"/>
  <c r="DYA1" i="10"/>
  <c r="DXZ1" i="10"/>
  <c r="DXY1" i="10"/>
  <c r="DXX1" i="10"/>
  <c r="DXW1" i="10"/>
  <c r="DXV1" i="10"/>
  <c r="DXU1" i="10"/>
  <c r="DXT1" i="10"/>
  <c r="DXS1" i="10"/>
  <c r="DXR1" i="10"/>
  <c r="DXQ1" i="10"/>
  <c r="DXP1" i="10"/>
  <c r="DXO1" i="10"/>
  <c r="DXN1" i="10"/>
  <c r="DXM1" i="10"/>
  <c r="DXL1" i="10"/>
  <c r="DXK1" i="10"/>
  <c r="DXJ1" i="10"/>
  <c r="DXI1" i="10"/>
  <c r="DXH1" i="10"/>
  <c r="DXG1" i="10"/>
  <c r="DXF1" i="10"/>
  <c r="DXE1" i="10"/>
  <c r="DXD1" i="10"/>
  <c r="DXC1" i="10"/>
  <c r="DXB1" i="10"/>
  <c r="DXA1" i="10"/>
  <c r="DWZ1" i="10"/>
  <c r="DWY1" i="10"/>
  <c r="DWX1" i="10"/>
  <c r="DWW1" i="10"/>
  <c r="DWV1" i="10"/>
  <c r="DWU1" i="10"/>
  <c r="DWT1" i="10"/>
  <c r="DWS1" i="10"/>
  <c r="DWR1" i="10"/>
  <c r="DWQ1" i="10"/>
  <c r="DWP1" i="10"/>
  <c r="DWO1" i="10"/>
  <c r="DWN1" i="10"/>
  <c r="DWM1" i="10"/>
  <c r="DWL1" i="10"/>
  <c r="DWK1" i="10"/>
  <c r="DWJ1" i="10"/>
  <c r="DWI1" i="10"/>
  <c r="DWH1" i="10"/>
  <c r="DWG1" i="10"/>
  <c r="DWF1" i="10"/>
  <c r="DWE1" i="10"/>
  <c r="DWD1" i="10"/>
  <c r="DWC1" i="10"/>
  <c r="DWB1" i="10"/>
  <c r="DWA1" i="10"/>
  <c r="DVZ1" i="10"/>
  <c r="DVY1" i="10"/>
  <c r="DVX1" i="10"/>
  <c r="DVW1" i="10"/>
  <c r="DVV1" i="10"/>
  <c r="DVU1" i="10"/>
  <c r="DVT1" i="10"/>
  <c r="DVS1" i="10"/>
  <c r="DVR1" i="10"/>
  <c r="DVQ1" i="10"/>
  <c r="DVP1" i="10"/>
  <c r="DVO1" i="10"/>
  <c r="DVN1" i="10"/>
  <c r="DVM1" i="10"/>
  <c r="DVL1" i="10"/>
  <c r="DVK1" i="10"/>
  <c r="DVJ1" i="10"/>
  <c r="DVI1" i="10"/>
  <c r="DVH1" i="10"/>
  <c r="DVG1" i="10"/>
  <c r="DVF1" i="10"/>
  <c r="DVE1" i="10"/>
  <c r="DVD1" i="10"/>
  <c r="DVC1" i="10"/>
  <c r="DVB1" i="10"/>
  <c r="DVA1" i="10"/>
  <c r="DUZ1" i="10"/>
  <c r="DUY1" i="10"/>
  <c r="DUX1" i="10"/>
  <c r="DUW1" i="10"/>
  <c r="DUV1" i="10"/>
  <c r="DUU1" i="10"/>
  <c r="DUT1" i="10"/>
  <c r="DUS1" i="10"/>
  <c r="DUR1" i="10"/>
  <c r="DUQ1" i="10"/>
  <c r="DUP1" i="10"/>
  <c r="DUO1" i="10"/>
  <c r="DUN1" i="10"/>
  <c r="DUM1" i="10"/>
  <c r="DUL1" i="10"/>
  <c r="DUK1" i="10"/>
  <c r="DUJ1" i="10"/>
  <c r="DUI1" i="10"/>
  <c r="DUH1" i="10"/>
  <c r="DUG1" i="10"/>
  <c r="DUF1" i="10"/>
  <c r="DUE1" i="10"/>
  <c r="DUD1" i="10"/>
  <c r="DUC1" i="10"/>
  <c r="DUB1" i="10"/>
  <c r="DUA1" i="10"/>
  <c r="DTZ1" i="10"/>
  <c r="DTY1" i="10"/>
  <c r="DTX1" i="10"/>
  <c r="DTW1" i="10"/>
  <c r="DTV1" i="10"/>
  <c r="DTU1" i="10"/>
  <c r="DTT1" i="10"/>
  <c r="DTS1" i="10"/>
  <c r="DTR1" i="10"/>
  <c r="DTQ1" i="10"/>
  <c r="DTP1" i="10"/>
  <c r="DTO1" i="10"/>
  <c r="DTN1" i="10"/>
  <c r="DTM1" i="10"/>
  <c r="DTL1" i="10"/>
  <c r="DTK1" i="10"/>
  <c r="DTJ1" i="10"/>
  <c r="DTI1" i="10"/>
  <c r="DTH1" i="10"/>
  <c r="DTG1" i="10"/>
  <c r="DTF1" i="10"/>
  <c r="DTE1" i="10"/>
  <c r="DTD1" i="10"/>
  <c r="DTC1" i="10"/>
  <c r="DTB1" i="10"/>
  <c r="DTA1" i="10"/>
  <c r="DSZ1" i="10"/>
  <c r="DSY1" i="10"/>
  <c r="DSX1" i="10"/>
  <c r="DSW1" i="10"/>
  <c r="DSV1" i="10"/>
  <c r="DSU1" i="10"/>
  <c r="DST1" i="10"/>
  <c r="DSS1" i="10"/>
  <c r="DSR1" i="10"/>
  <c r="DSQ1" i="10"/>
  <c r="DSP1" i="10"/>
  <c r="DSO1" i="10"/>
  <c r="DSN1" i="10"/>
  <c r="DSM1" i="10"/>
  <c r="DSL1" i="10"/>
  <c r="DSK1" i="10"/>
  <c r="DSJ1" i="10"/>
  <c r="DSI1" i="10"/>
  <c r="DSH1" i="10"/>
  <c r="DSG1" i="10"/>
  <c r="DSF1" i="10"/>
  <c r="DSE1" i="10"/>
  <c r="DSD1" i="10"/>
  <c r="DSC1" i="10"/>
  <c r="DSB1" i="10"/>
  <c r="DSA1" i="10"/>
  <c r="DRZ1" i="10"/>
  <c r="DRY1" i="10"/>
  <c r="DRX1" i="10"/>
  <c r="DRW1" i="10"/>
  <c r="DRV1" i="10"/>
  <c r="DRU1" i="10"/>
  <c r="DRT1" i="10"/>
  <c r="DRS1" i="10"/>
  <c r="DRR1" i="10"/>
  <c r="DRQ1" i="10"/>
  <c r="DRP1" i="10"/>
  <c r="DRO1" i="10"/>
  <c r="DRN1" i="10"/>
  <c r="DRM1" i="10"/>
  <c r="DRL1" i="10"/>
  <c r="DRK1" i="10"/>
  <c r="DRJ1" i="10"/>
  <c r="DRI1" i="10"/>
  <c r="DRH1" i="10"/>
  <c r="DRG1" i="10"/>
  <c r="DRF1" i="10"/>
  <c r="DRE1" i="10"/>
  <c r="DRD1" i="10"/>
  <c r="DRC1" i="10"/>
  <c r="DRB1" i="10"/>
  <c r="DRA1" i="10"/>
  <c r="DQZ1" i="10"/>
  <c r="DQY1" i="10"/>
  <c r="DQX1" i="10"/>
  <c r="DQW1" i="10"/>
  <c r="DQV1" i="10"/>
  <c r="DQU1" i="10"/>
  <c r="DQT1" i="10"/>
  <c r="DQS1" i="10"/>
  <c r="DQR1" i="10"/>
  <c r="DQQ1" i="10"/>
  <c r="DQP1" i="10"/>
  <c r="DQO1" i="10"/>
  <c r="DQN1" i="10"/>
  <c r="DQM1" i="10"/>
  <c r="DQL1" i="10"/>
  <c r="DQK1" i="10"/>
  <c r="DQJ1" i="10"/>
  <c r="DQI1" i="10"/>
  <c r="DQH1" i="10"/>
  <c r="DQG1" i="10"/>
  <c r="DQF1" i="10"/>
  <c r="DQE1" i="10"/>
  <c r="DQD1" i="10"/>
  <c r="DQC1" i="10"/>
  <c r="DQB1" i="10"/>
  <c r="DQA1" i="10"/>
  <c r="DPZ1" i="10"/>
  <c r="DPY1" i="10"/>
  <c r="DPX1" i="10"/>
  <c r="DPW1" i="10"/>
  <c r="DPV1" i="10"/>
  <c r="DPU1" i="10"/>
  <c r="DPT1" i="10"/>
  <c r="DPS1" i="10"/>
  <c r="DPR1" i="10"/>
  <c r="DPQ1" i="10"/>
  <c r="DPP1" i="10"/>
  <c r="DPO1" i="10"/>
  <c r="DPN1" i="10"/>
  <c r="DPM1" i="10"/>
  <c r="DPL1" i="10"/>
  <c r="DPK1" i="10"/>
  <c r="DPJ1" i="10"/>
  <c r="DPI1" i="10"/>
  <c r="DPH1" i="10"/>
  <c r="DPG1" i="10"/>
  <c r="DPF1" i="10"/>
  <c r="DPE1" i="10"/>
  <c r="DPD1" i="10"/>
  <c r="DPC1" i="10"/>
  <c r="DPB1" i="10"/>
  <c r="DPA1" i="10"/>
  <c r="DOZ1" i="10"/>
  <c r="DOY1" i="10"/>
  <c r="DOX1" i="10"/>
  <c r="DOW1" i="10"/>
  <c r="DOV1" i="10"/>
  <c r="DOU1" i="10"/>
  <c r="DOT1" i="10"/>
  <c r="DOS1" i="10"/>
  <c r="DOR1" i="10"/>
  <c r="DOQ1" i="10"/>
  <c r="DOP1" i="10"/>
  <c r="DOO1" i="10"/>
  <c r="DON1" i="10"/>
  <c r="DOM1" i="10"/>
  <c r="DOL1" i="10"/>
  <c r="DOK1" i="10"/>
  <c r="DOJ1" i="10"/>
  <c r="DOI1" i="10"/>
  <c r="DOH1" i="10"/>
  <c r="DOG1" i="10"/>
  <c r="DOF1" i="10"/>
  <c r="DOE1" i="10"/>
  <c r="DOD1" i="10"/>
  <c r="DOC1" i="10"/>
  <c r="DOB1" i="10"/>
  <c r="DOA1" i="10"/>
  <c r="DNZ1" i="10"/>
  <c r="DNY1" i="10"/>
  <c r="DNX1" i="10"/>
  <c r="DNW1" i="10"/>
  <c r="DNV1" i="10"/>
  <c r="DNU1" i="10"/>
  <c r="DNT1" i="10"/>
  <c r="DNS1" i="10"/>
  <c r="DNR1" i="10"/>
  <c r="DNQ1" i="10"/>
  <c r="DNP1" i="10"/>
  <c r="DNO1" i="10"/>
  <c r="DNN1" i="10"/>
  <c r="DNM1" i="10"/>
  <c r="DNL1" i="10"/>
  <c r="DNK1" i="10"/>
  <c r="DNJ1" i="10"/>
  <c r="DNI1" i="10"/>
  <c r="DNH1" i="10"/>
  <c r="DNG1" i="10"/>
  <c r="DNF1" i="10"/>
  <c r="DNE1" i="10"/>
  <c r="DND1" i="10"/>
  <c r="DNC1" i="10"/>
  <c r="DNB1" i="10"/>
  <c r="DNA1" i="10"/>
  <c r="DMZ1" i="10"/>
  <c r="DMY1" i="10"/>
  <c r="DMX1" i="10"/>
  <c r="DMW1" i="10"/>
  <c r="DMV1" i="10"/>
  <c r="DMU1" i="10"/>
  <c r="DMT1" i="10"/>
  <c r="DMS1" i="10"/>
  <c r="DMR1" i="10"/>
  <c r="DMQ1" i="10"/>
  <c r="DMP1" i="10"/>
  <c r="DMO1" i="10"/>
  <c r="DMN1" i="10"/>
  <c r="DMM1" i="10"/>
  <c r="DML1" i="10"/>
  <c r="DMK1" i="10"/>
  <c r="DMJ1" i="10"/>
  <c r="DMI1" i="10"/>
  <c r="DMH1" i="10"/>
  <c r="DMG1" i="10"/>
  <c r="DMF1" i="10"/>
  <c r="DME1" i="10"/>
  <c r="DMD1" i="10"/>
  <c r="DMC1" i="10"/>
  <c r="DMB1" i="10"/>
  <c r="DMA1" i="10"/>
  <c r="DLZ1" i="10"/>
  <c r="DLY1" i="10"/>
  <c r="DLX1" i="10"/>
  <c r="DLW1" i="10"/>
  <c r="DLV1" i="10"/>
  <c r="DLU1" i="10"/>
  <c r="DLT1" i="10"/>
  <c r="DLS1" i="10"/>
  <c r="DLR1" i="10"/>
  <c r="DLQ1" i="10"/>
  <c r="DLP1" i="10"/>
  <c r="DLO1" i="10"/>
  <c r="DLN1" i="10"/>
  <c r="DLM1" i="10"/>
  <c r="DLL1" i="10"/>
  <c r="DLK1" i="10"/>
  <c r="DLJ1" i="10"/>
  <c r="DLI1" i="10"/>
  <c r="DLH1" i="10"/>
  <c r="DLG1" i="10"/>
  <c r="DLF1" i="10"/>
  <c r="DLE1" i="10"/>
  <c r="DLD1" i="10"/>
  <c r="DLC1" i="10"/>
  <c r="DLB1" i="10"/>
  <c r="DLA1" i="10"/>
  <c r="DKZ1" i="10"/>
  <c r="DKY1" i="10"/>
  <c r="DKX1" i="10"/>
  <c r="DKW1" i="10"/>
  <c r="DKV1" i="10"/>
  <c r="DKU1" i="10"/>
  <c r="DKT1" i="10"/>
  <c r="DKS1" i="10"/>
  <c r="DKR1" i="10"/>
  <c r="DKQ1" i="10"/>
  <c r="DKP1" i="10"/>
  <c r="DKO1" i="10"/>
  <c r="DKN1" i="10"/>
  <c r="DKM1" i="10"/>
  <c r="DKL1" i="10"/>
  <c r="DKK1" i="10"/>
  <c r="DKJ1" i="10"/>
  <c r="DKI1" i="10"/>
  <c r="DKH1" i="10"/>
  <c r="DKG1" i="10"/>
  <c r="DKF1" i="10"/>
  <c r="DKE1" i="10"/>
  <c r="DKD1" i="10"/>
  <c r="DKC1" i="10"/>
  <c r="DKB1" i="10"/>
  <c r="DKA1" i="10"/>
  <c r="DJZ1" i="10"/>
  <c r="DJY1" i="10"/>
  <c r="DJX1" i="10"/>
  <c r="DJW1" i="10"/>
  <c r="DJV1" i="10"/>
  <c r="DJU1" i="10"/>
  <c r="DJT1" i="10"/>
  <c r="DJS1" i="10"/>
  <c r="DJR1" i="10"/>
  <c r="DJQ1" i="10"/>
  <c r="DJP1" i="10"/>
  <c r="DJO1" i="10"/>
  <c r="DJN1" i="10"/>
  <c r="DJM1" i="10"/>
  <c r="DJL1" i="10"/>
  <c r="DJK1" i="10"/>
  <c r="DJJ1" i="10"/>
  <c r="DJI1" i="10"/>
  <c r="DJH1" i="10"/>
  <c r="DJG1" i="10"/>
  <c r="DJF1" i="10"/>
  <c r="DJE1" i="10"/>
  <c r="DJD1" i="10"/>
  <c r="DJC1" i="10"/>
  <c r="DJB1" i="10"/>
  <c r="DJA1" i="10"/>
  <c r="DIZ1" i="10"/>
  <c r="DIY1" i="10"/>
  <c r="DIX1" i="10"/>
  <c r="DIW1" i="10"/>
  <c r="DIV1" i="10"/>
  <c r="DIU1" i="10"/>
  <c r="DIT1" i="10"/>
  <c r="DIS1" i="10"/>
  <c r="DIR1" i="10"/>
  <c r="DIQ1" i="10"/>
  <c r="DIP1" i="10"/>
  <c r="DIO1" i="10"/>
  <c r="DIN1" i="10"/>
  <c r="DIM1" i="10"/>
  <c r="DIL1" i="10"/>
  <c r="DIK1" i="10"/>
  <c r="DIJ1" i="10"/>
  <c r="DII1" i="10"/>
  <c r="DIH1" i="10"/>
  <c r="DIG1" i="10"/>
  <c r="DIF1" i="10"/>
  <c r="DIE1" i="10"/>
  <c r="DID1" i="10"/>
  <c r="DIC1" i="10"/>
  <c r="DIB1" i="10"/>
  <c r="DIA1" i="10"/>
  <c r="DHZ1" i="10"/>
  <c r="DHY1" i="10"/>
  <c r="DHX1" i="10"/>
  <c r="DHW1" i="10"/>
  <c r="DHV1" i="10"/>
  <c r="DHU1" i="10"/>
  <c r="DHT1" i="10"/>
  <c r="DHS1" i="10"/>
  <c r="DHR1" i="10"/>
  <c r="DHQ1" i="10"/>
  <c r="DHP1" i="10"/>
  <c r="DHO1" i="10"/>
  <c r="DHN1" i="10"/>
  <c r="DHM1" i="10"/>
  <c r="DHL1" i="10"/>
  <c r="DHK1" i="10"/>
  <c r="DHJ1" i="10"/>
  <c r="DHI1" i="10"/>
  <c r="DHH1" i="10"/>
  <c r="DHG1" i="10"/>
  <c r="DHF1" i="10"/>
  <c r="DHE1" i="10"/>
  <c r="DHD1" i="10"/>
  <c r="DHC1" i="10"/>
  <c r="DHB1" i="10"/>
  <c r="DHA1" i="10"/>
  <c r="DGZ1" i="10"/>
  <c r="DGY1" i="10"/>
  <c r="DGX1" i="10"/>
  <c r="DGW1" i="10"/>
  <c r="DGV1" i="10"/>
  <c r="DGU1" i="10"/>
  <c r="DGT1" i="10"/>
  <c r="DGS1" i="10"/>
  <c r="DGR1" i="10"/>
  <c r="DGQ1" i="10"/>
  <c r="DGP1" i="10"/>
  <c r="DGO1" i="10"/>
  <c r="DGN1" i="10"/>
  <c r="DGM1" i="10"/>
  <c r="DGL1" i="10"/>
  <c r="DGK1" i="10"/>
  <c r="DGJ1" i="10"/>
  <c r="DGI1" i="10"/>
  <c r="DGH1" i="10"/>
  <c r="DGG1" i="10"/>
  <c r="DGF1" i="10"/>
  <c r="DGE1" i="10"/>
  <c r="DGD1" i="10"/>
  <c r="DGC1" i="10"/>
  <c r="DGB1" i="10"/>
  <c r="DGA1" i="10"/>
  <c r="DFZ1" i="10"/>
  <c r="DFY1" i="10"/>
  <c r="DFX1" i="10"/>
  <c r="DFW1" i="10"/>
  <c r="DFV1" i="10"/>
  <c r="DFU1" i="10"/>
  <c r="DFT1" i="10"/>
  <c r="DFS1" i="10"/>
  <c r="DFR1" i="10"/>
  <c r="DFQ1" i="10"/>
  <c r="DFP1" i="10"/>
  <c r="DFO1" i="10"/>
  <c r="DFN1" i="10"/>
  <c r="DFM1" i="10"/>
  <c r="DFL1" i="10"/>
  <c r="DFK1" i="10"/>
  <c r="DFJ1" i="10"/>
  <c r="DFI1" i="10"/>
  <c r="DFH1" i="10"/>
  <c r="DFG1" i="10"/>
  <c r="DFF1" i="10"/>
  <c r="DFE1" i="10"/>
  <c r="DFD1" i="10"/>
  <c r="DFC1" i="10"/>
  <c r="DFB1" i="10"/>
  <c r="DFA1" i="10"/>
  <c r="DEZ1" i="10"/>
  <c r="DEY1" i="10"/>
  <c r="DEX1" i="10"/>
  <c r="DEW1" i="10"/>
  <c r="DEV1" i="10"/>
  <c r="DEU1" i="10"/>
  <c r="DET1" i="10"/>
  <c r="DES1" i="10"/>
  <c r="DER1" i="10"/>
  <c r="DEQ1" i="10"/>
  <c r="DEP1" i="10"/>
  <c r="DEO1" i="10"/>
  <c r="DEN1" i="10"/>
  <c r="DEM1" i="10"/>
  <c r="DEL1" i="10"/>
  <c r="DEK1" i="10"/>
  <c r="DEJ1" i="10"/>
  <c r="DEI1" i="10"/>
  <c r="DEH1" i="10"/>
  <c r="DEG1" i="10"/>
  <c r="DEF1" i="10"/>
  <c r="DEE1" i="10"/>
  <c r="DED1" i="10"/>
  <c r="DEC1" i="10"/>
  <c r="DEB1" i="10"/>
  <c r="DEA1" i="10"/>
  <c r="DDZ1" i="10"/>
  <c r="DDY1" i="10"/>
  <c r="DDX1" i="10"/>
  <c r="DDW1" i="10"/>
  <c r="DDV1" i="10"/>
  <c r="DDU1" i="10"/>
  <c r="DDT1" i="10"/>
  <c r="DDS1" i="10"/>
  <c r="DDR1" i="10"/>
  <c r="DDQ1" i="10"/>
  <c r="DDP1" i="10"/>
  <c r="DDO1" i="10"/>
  <c r="DDN1" i="10"/>
  <c r="DDM1" i="10"/>
  <c r="DDL1" i="10"/>
  <c r="DDK1" i="10"/>
  <c r="DDJ1" i="10"/>
  <c r="DDI1" i="10"/>
  <c r="DDH1" i="10"/>
  <c r="DDG1" i="10"/>
  <c r="DDF1" i="10"/>
  <c r="DDE1" i="10"/>
  <c r="DDD1" i="10"/>
  <c r="DDC1" i="10"/>
  <c r="DDB1" i="10"/>
  <c r="DDA1" i="10"/>
  <c r="DCZ1" i="10"/>
  <c r="DCY1" i="10"/>
  <c r="DCX1" i="10"/>
  <c r="DCW1" i="10"/>
  <c r="DCV1" i="10"/>
  <c r="DCU1" i="10"/>
  <c r="DCT1" i="10"/>
  <c r="DCS1" i="10"/>
  <c r="DCR1" i="10"/>
  <c r="DCQ1" i="10"/>
  <c r="DCP1" i="10"/>
  <c r="DCO1" i="10"/>
  <c r="DCN1" i="10"/>
  <c r="DCM1" i="10"/>
  <c r="DCL1" i="10"/>
  <c r="DCK1" i="10"/>
  <c r="DCJ1" i="10"/>
  <c r="DCI1" i="10"/>
  <c r="DCH1" i="10"/>
  <c r="DCG1" i="10"/>
  <c r="DCF1" i="10"/>
  <c r="DCE1" i="10"/>
  <c r="DCD1" i="10"/>
  <c r="DCC1" i="10"/>
  <c r="DCB1" i="10"/>
  <c r="DCA1" i="10"/>
  <c r="DBZ1" i="10"/>
  <c r="DBY1" i="10"/>
  <c r="DBX1" i="10"/>
  <c r="DBW1" i="10"/>
  <c r="DBV1" i="10"/>
  <c r="DBU1" i="10"/>
  <c r="DBT1" i="10"/>
  <c r="DBS1" i="10"/>
  <c r="DBR1" i="10"/>
  <c r="DBQ1" i="10"/>
  <c r="DBP1" i="10"/>
  <c r="DBO1" i="10"/>
  <c r="DBN1" i="10"/>
  <c r="DBM1" i="10"/>
  <c r="DBL1" i="10"/>
  <c r="DBK1" i="10"/>
  <c r="DBJ1" i="10"/>
  <c r="DBI1" i="10"/>
  <c r="DBH1" i="10"/>
  <c r="DBG1" i="10"/>
  <c r="DBF1" i="10"/>
  <c r="DBE1" i="10"/>
  <c r="DBD1" i="10"/>
  <c r="DBC1" i="10"/>
  <c r="DBB1" i="10"/>
  <c r="DBA1" i="10"/>
  <c r="DAZ1" i="10"/>
  <c r="DAY1" i="10"/>
  <c r="DAX1" i="10"/>
  <c r="DAW1" i="10"/>
  <c r="DAV1" i="10"/>
  <c r="DAU1" i="10"/>
  <c r="DAT1" i="10"/>
  <c r="DAS1" i="10"/>
  <c r="DAR1" i="10"/>
  <c r="DAQ1" i="10"/>
  <c r="DAP1" i="10"/>
  <c r="DAO1" i="10"/>
  <c r="DAN1" i="10"/>
  <c r="DAM1" i="10"/>
  <c r="DAL1" i="10"/>
  <c r="DAK1" i="10"/>
  <c r="DAJ1" i="10"/>
  <c r="DAI1" i="10"/>
  <c r="DAH1" i="10"/>
  <c r="DAG1" i="10"/>
  <c r="DAF1" i="10"/>
  <c r="DAE1" i="10"/>
  <c r="DAD1" i="10"/>
  <c r="DAC1" i="10"/>
  <c r="DAB1" i="10"/>
  <c r="DAA1" i="10"/>
  <c r="CZZ1" i="10"/>
  <c r="CZY1" i="10"/>
  <c r="CZX1" i="10"/>
  <c r="CZW1" i="10"/>
  <c r="CZV1" i="10"/>
  <c r="CZU1" i="10"/>
  <c r="CZT1" i="10"/>
  <c r="CZS1" i="10"/>
  <c r="CZR1" i="10"/>
  <c r="CZQ1" i="10"/>
  <c r="CZP1" i="10"/>
  <c r="CZO1" i="10"/>
  <c r="CZN1" i="10"/>
  <c r="CZM1" i="10"/>
  <c r="CZL1" i="10"/>
  <c r="CZK1" i="10"/>
  <c r="CZJ1" i="10"/>
  <c r="CZI1" i="10"/>
  <c r="CZH1" i="10"/>
  <c r="CZG1" i="10"/>
  <c r="CZF1" i="10"/>
  <c r="CZE1" i="10"/>
  <c r="CZD1" i="10"/>
  <c r="CZC1" i="10"/>
  <c r="CZB1" i="10"/>
  <c r="CZA1" i="10"/>
  <c r="CYZ1" i="10"/>
  <c r="CYY1" i="10"/>
  <c r="CYX1" i="10"/>
  <c r="CYW1" i="10"/>
  <c r="CYV1" i="10"/>
  <c r="CYU1" i="10"/>
  <c r="CYT1" i="10"/>
  <c r="CYS1" i="10"/>
  <c r="CYR1" i="10"/>
  <c r="CYQ1" i="10"/>
  <c r="CYP1" i="10"/>
  <c r="CYO1" i="10"/>
  <c r="CYN1" i="10"/>
  <c r="CYM1" i="10"/>
  <c r="CYL1" i="10"/>
  <c r="CYK1" i="10"/>
  <c r="CYJ1" i="10"/>
  <c r="CYI1" i="10"/>
  <c r="CYH1" i="10"/>
  <c r="CYG1" i="10"/>
  <c r="CYF1" i="10"/>
  <c r="CYE1" i="10"/>
  <c r="CYD1" i="10"/>
  <c r="CYC1" i="10"/>
  <c r="CYB1" i="10"/>
  <c r="CYA1" i="10"/>
  <c r="CXZ1" i="10"/>
  <c r="CXY1" i="10"/>
  <c r="CXX1" i="10"/>
  <c r="CXW1" i="10"/>
  <c r="CXV1" i="10"/>
  <c r="CXU1" i="10"/>
  <c r="CXT1" i="10"/>
  <c r="CXS1" i="10"/>
  <c r="CXR1" i="10"/>
  <c r="CXQ1" i="10"/>
  <c r="CXP1" i="10"/>
  <c r="CXO1" i="10"/>
  <c r="CXN1" i="10"/>
  <c r="CXM1" i="10"/>
  <c r="CXL1" i="10"/>
  <c r="CXK1" i="10"/>
  <c r="CXJ1" i="10"/>
  <c r="CXI1" i="10"/>
  <c r="CXH1" i="10"/>
  <c r="CXG1" i="10"/>
  <c r="CXF1" i="10"/>
  <c r="CXE1" i="10"/>
  <c r="CXD1" i="10"/>
  <c r="CXC1" i="10"/>
  <c r="CXB1" i="10"/>
  <c r="CXA1" i="10"/>
  <c r="CWZ1" i="10"/>
  <c r="CWY1" i="10"/>
  <c r="CWX1" i="10"/>
  <c r="CWW1" i="10"/>
  <c r="CWV1" i="10"/>
  <c r="CWU1" i="10"/>
  <c r="CWT1" i="10"/>
  <c r="CWS1" i="10"/>
  <c r="CWR1" i="10"/>
  <c r="CWQ1" i="10"/>
  <c r="CWP1" i="10"/>
  <c r="CWO1" i="10"/>
  <c r="CWN1" i="10"/>
  <c r="CWM1" i="10"/>
  <c r="CWL1" i="10"/>
  <c r="CWK1" i="10"/>
  <c r="CWJ1" i="10"/>
  <c r="CWI1" i="10"/>
  <c r="CWH1" i="10"/>
  <c r="CWG1" i="10"/>
  <c r="CWF1" i="10"/>
  <c r="CWE1" i="10"/>
  <c r="CWD1" i="10"/>
  <c r="CWC1" i="10"/>
  <c r="CWB1" i="10"/>
  <c r="CWA1" i="10"/>
  <c r="CVZ1" i="10"/>
  <c r="CVY1" i="10"/>
  <c r="CVX1" i="10"/>
  <c r="CVW1" i="10"/>
  <c r="CVV1" i="10"/>
  <c r="CVU1" i="10"/>
  <c r="CVT1" i="10"/>
  <c r="CVS1" i="10"/>
  <c r="CVR1" i="10"/>
  <c r="CVQ1" i="10"/>
  <c r="CVP1" i="10"/>
  <c r="CVO1" i="10"/>
  <c r="CVN1" i="10"/>
  <c r="CVM1" i="10"/>
  <c r="CVL1" i="10"/>
  <c r="CVK1" i="10"/>
  <c r="CVJ1" i="10"/>
  <c r="CVI1" i="10"/>
  <c r="CVH1" i="10"/>
  <c r="CVG1" i="10"/>
  <c r="CVF1" i="10"/>
  <c r="CVE1" i="10"/>
  <c r="CVD1" i="10"/>
  <c r="CVC1" i="10"/>
  <c r="CVB1" i="10"/>
  <c r="CVA1" i="10"/>
  <c r="CUZ1" i="10"/>
  <c r="CUY1" i="10"/>
  <c r="CUX1" i="10"/>
  <c r="CUW1" i="10"/>
  <c r="CUV1" i="10"/>
  <c r="CUU1" i="10"/>
  <c r="CUT1" i="10"/>
  <c r="CUS1" i="10"/>
  <c r="CUR1" i="10"/>
  <c r="CUQ1" i="10"/>
  <c r="CUP1" i="10"/>
  <c r="CUO1" i="10"/>
  <c r="CUN1" i="10"/>
  <c r="CUM1" i="10"/>
  <c r="CUL1" i="10"/>
  <c r="CUK1" i="10"/>
  <c r="CUJ1" i="10"/>
  <c r="CUI1" i="10"/>
  <c r="CUH1" i="10"/>
  <c r="CUG1" i="10"/>
  <c r="CUF1" i="10"/>
  <c r="CUE1" i="10"/>
  <c r="CUD1" i="10"/>
  <c r="CUC1" i="10"/>
  <c r="CUB1" i="10"/>
  <c r="CUA1" i="10"/>
  <c r="CTZ1" i="10"/>
  <c r="CTY1" i="10"/>
  <c r="CTX1" i="10"/>
  <c r="CTW1" i="10"/>
  <c r="CTV1" i="10"/>
  <c r="CTU1" i="10"/>
  <c r="CTT1" i="10"/>
  <c r="CTS1" i="10"/>
  <c r="CTR1" i="10"/>
  <c r="CTQ1" i="10"/>
  <c r="CTP1" i="10"/>
  <c r="CTO1" i="10"/>
  <c r="CTN1" i="10"/>
  <c r="CTM1" i="10"/>
  <c r="CTL1" i="10"/>
  <c r="CTK1" i="10"/>
  <c r="CTJ1" i="10"/>
  <c r="CTI1" i="10"/>
  <c r="CTH1" i="10"/>
  <c r="CTG1" i="10"/>
  <c r="CTF1" i="10"/>
  <c r="CTE1" i="10"/>
  <c r="CTD1" i="10"/>
  <c r="CTC1" i="10"/>
  <c r="CTB1" i="10"/>
  <c r="CTA1" i="10"/>
  <c r="CSZ1" i="10"/>
  <c r="CSY1" i="10"/>
  <c r="CSX1" i="10"/>
  <c r="CSW1" i="10"/>
  <c r="CSV1" i="10"/>
  <c r="CSU1" i="10"/>
  <c r="CST1" i="10"/>
  <c r="CSS1" i="10"/>
  <c r="CSR1" i="10"/>
  <c r="CSQ1" i="10"/>
  <c r="CSP1" i="10"/>
  <c r="CSO1" i="10"/>
  <c r="CSN1" i="10"/>
  <c r="CSM1" i="10"/>
  <c r="CSL1" i="10"/>
  <c r="CSK1" i="10"/>
  <c r="CSJ1" i="10"/>
  <c r="CSI1" i="10"/>
  <c r="CSH1" i="10"/>
  <c r="CSG1" i="10"/>
  <c r="CSF1" i="10"/>
  <c r="CSE1" i="10"/>
  <c r="CSD1" i="10"/>
  <c r="CSC1" i="10"/>
  <c r="CSB1" i="10"/>
  <c r="CSA1" i="10"/>
  <c r="CRZ1" i="10"/>
  <c r="CRY1" i="10"/>
  <c r="CRX1" i="10"/>
  <c r="CRW1" i="10"/>
  <c r="CRV1" i="10"/>
  <c r="CRU1" i="10"/>
  <c r="CRT1" i="10"/>
  <c r="CRS1" i="10"/>
  <c r="CRR1" i="10"/>
  <c r="CRQ1" i="10"/>
  <c r="CRP1" i="10"/>
  <c r="CRO1" i="10"/>
  <c r="CRN1" i="10"/>
  <c r="CRM1" i="10"/>
  <c r="CRL1" i="10"/>
  <c r="CRK1" i="10"/>
  <c r="CRJ1" i="10"/>
  <c r="CRI1" i="10"/>
  <c r="CRH1" i="10"/>
  <c r="CRG1" i="10"/>
  <c r="CRF1" i="10"/>
  <c r="CRE1" i="10"/>
  <c r="CRD1" i="10"/>
  <c r="CRC1" i="10"/>
  <c r="CRB1" i="10"/>
  <c r="CRA1" i="10"/>
  <c r="CQZ1" i="10"/>
  <c r="CQY1" i="10"/>
  <c r="CQX1" i="10"/>
  <c r="CQW1" i="10"/>
  <c r="CQV1" i="10"/>
  <c r="CQU1" i="10"/>
  <c r="CQT1" i="10"/>
  <c r="CQS1" i="10"/>
  <c r="CQR1" i="10"/>
  <c r="CQQ1" i="10"/>
  <c r="CQP1" i="10"/>
  <c r="CQO1" i="10"/>
  <c r="CQN1" i="10"/>
  <c r="CQM1" i="10"/>
  <c r="CQL1" i="10"/>
  <c r="CQK1" i="10"/>
  <c r="CQJ1" i="10"/>
  <c r="CQI1" i="10"/>
  <c r="CQH1" i="10"/>
  <c r="CQG1" i="10"/>
  <c r="CQF1" i="10"/>
  <c r="CQE1" i="10"/>
  <c r="CQD1" i="10"/>
  <c r="CQC1" i="10"/>
  <c r="CQB1" i="10"/>
  <c r="CQA1" i="10"/>
  <c r="CPZ1" i="10"/>
  <c r="CPY1" i="10"/>
  <c r="CPX1" i="10"/>
  <c r="CPW1" i="10"/>
  <c r="CPV1" i="10"/>
  <c r="CPU1" i="10"/>
  <c r="CPT1" i="10"/>
  <c r="CPS1" i="10"/>
  <c r="CPR1" i="10"/>
  <c r="CPQ1" i="10"/>
  <c r="CPP1" i="10"/>
  <c r="CPO1" i="10"/>
  <c r="CPN1" i="10"/>
  <c r="CPM1" i="10"/>
  <c r="CPL1" i="10"/>
  <c r="CPK1" i="10"/>
  <c r="CPJ1" i="10"/>
  <c r="CPI1" i="10"/>
  <c r="CPH1" i="10"/>
  <c r="CPG1" i="10"/>
  <c r="CPF1" i="10"/>
  <c r="CPE1" i="10"/>
  <c r="CPD1" i="10"/>
  <c r="CPC1" i="10"/>
  <c r="CPB1" i="10"/>
  <c r="CPA1" i="10"/>
  <c r="COZ1" i="10"/>
  <c r="COY1" i="10"/>
  <c r="COX1" i="10"/>
  <c r="COW1" i="10"/>
  <c r="COV1" i="10"/>
  <c r="COU1" i="10"/>
  <c r="COT1" i="10"/>
  <c r="COS1" i="10"/>
  <c r="COR1" i="10"/>
  <c r="COQ1" i="10"/>
  <c r="COP1" i="10"/>
  <c r="COO1" i="10"/>
  <c r="CON1" i="10"/>
  <c r="COM1" i="10"/>
  <c r="COL1" i="10"/>
  <c r="COK1" i="10"/>
  <c r="COJ1" i="10"/>
  <c r="COI1" i="10"/>
  <c r="COH1" i="10"/>
  <c r="COG1" i="10"/>
  <c r="COF1" i="10"/>
  <c r="COE1" i="10"/>
  <c r="COD1" i="10"/>
  <c r="COC1" i="10"/>
  <c r="COB1" i="10"/>
  <c r="COA1" i="10"/>
  <c r="CNZ1" i="10"/>
  <c r="CNY1" i="10"/>
  <c r="CNX1" i="10"/>
  <c r="CNW1" i="10"/>
  <c r="CNV1" i="10"/>
  <c r="CNU1" i="10"/>
  <c r="CNT1" i="10"/>
  <c r="CNS1" i="10"/>
  <c r="CNR1" i="10"/>
  <c r="CNQ1" i="10"/>
  <c r="CNP1" i="10"/>
  <c r="CNO1" i="10"/>
  <c r="CNN1" i="10"/>
  <c r="CNM1" i="10"/>
  <c r="CNL1" i="10"/>
  <c r="CNK1" i="10"/>
  <c r="CNJ1" i="10"/>
  <c r="CNI1" i="10"/>
  <c r="CNH1" i="10"/>
  <c r="CNG1" i="10"/>
  <c r="CNF1" i="10"/>
  <c r="CNE1" i="10"/>
  <c r="CND1" i="10"/>
  <c r="CNC1" i="10"/>
  <c r="CNB1" i="10"/>
  <c r="CNA1" i="10"/>
  <c r="CMZ1" i="10"/>
  <c r="CMY1" i="10"/>
  <c r="CMX1" i="10"/>
  <c r="CMW1" i="10"/>
  <c r="CMV1" i="10"/>
  <c r="CMU1" i="10"/>
  <c r="CMT1" i="10"/>
  <c r="CMS1" i="10"/>
  <c r="CMR1" i="10"/>
  <c r="CMQ1" i="10"/>
  <c r="CMP1" i="10"/>
  <c r="CMO1" i="10"/>
  <c r="CMN1" i="10"/>
  <c r="CMM1" i="10"/>
  <c r="CML1" i="10"/>
  <c r="CMK1" i="10"/>
  <c r="CMJ1" i="10"/>
  <c r="CMI1" i="10"/>
  <c r="CMH1" i="10"/>
  <c r="CMG1" i="10"/>
  <c r="CMF1" i="10"/>
  <c r="CME1" i="10"/>
  <c r="CMD1" i="10"/>
  <c r="CMC1" i="10"/>
  <c r="CMB1" i="10"/>
  <c r="CMA1" i="10"/>
  <c r="CLZ1" i="10"/>
  <c r="CLY1" i="10"/>
  <c r="CLX1" i="10"/>
  <c r="CLW1" i="10"/>
  <c r="CLV1" i="10"/>
  <c r="CLU1" i="10"/>
  <c r="CLT1" i="10"/>
  <c r="CLS1" i="10"/>
  <c r="CLR1" i="10"/>
  <c r="CLQ1" i="10"/>
  <c r="CLP1" i="10"/>
  <c r="CLO1" i="10"/>
  <c r="CLN1" i="10"/>
  <c r="CLM1" i="10"/>
  <c r="CLL1" i="10"/>
  <c r="CLK1" i="10"/>
  <c r="CLJ1" i="10"/>
  <c r="CLI1" i="10"/>
  <c r="CLH1" i="10"/>
  <c r="CLG1" i="10"/>
  <c r="CLF1" i="10"/>
  <c r="CLE1" i="10"/>
  <c r="CLD1" i="10"/>
  <c r="CLC1" i="10"/>
  <c r="CLB1" i="10"/>
  <c r="CLA1" i="10"/>
  <c r="CKZ1" i="10"/>
  <c r="CKY1" i="10"/>
  <c r="CKX1" i="10"/>
  <c r="CKW1" i="10"/>
  <c r="CKV1" i="10"/>
  <c r="CKU1" i="10"/>
  <c r="CKT1" i="10"/>
  <c r="CKS1" i="10"/>
  <c r="CKR1" i="10"/>
  <c r="CKQ1" i="10"/>
  <c r="CKP1" i="10"/>
  <c r="CKO1" i="10"/>
  <c r="CKN1" i="10"/>
  <c r="CKM1" i="10"/>
  <c r="CKL1" i="10"/>
  <c r="CKK1" i="10"/>
  <c r="CKJ1" i="10"/>
  <c r="CKI1" i="10"/>
  <c r="CKH1" i="10"/>
  <c r="CKG1" i="10"/>
  <c r="CKF1" i="10"/>
  <c r="CKE1" i="10"/>
  <c r="CKD1" i="10"/>
  <c r="CKC1" i="10"/>
  <c r="CKB1" i="10"/>
  <c r="CKA1" i="10"/>
  <c r="CJZ1" i="10"/>
  <c r="CJY1" i="10"/>
  <c r="CJX1" i="10"/>
  <c r="CJW1" i="10"/>
  <c r="CJV1" i="10"/>
  <c r="CJU1" i="10"/>
  <c r="CJT1" i="10"/>
  <c r="CJS1" i="10"/>
  <c r="CJR1" i="10"/>
  <c r="CJQ1" i="10"/>
  <c r="CJP1" i="10"/>
  <c r="CJO1" i="10"/>
  <c r="CJN1" i="10"/>
  <c r="CJM1" i="10"/>
  <c r="CJL1" i="10"/>
  <c r="CJK1" i="10"/>
  <c r="CJJ1" i="10"/>
  <c r="CJI1" i="10"/>
  <c r="CJH1" i="10"/>
  <c r="CJG1" i="10"/>
  <c r="CJF1" i="10"/>
  <c r="CJE1" i="10"/>
  <c r="CJD1" i="10"/>
  <c r="CJC1" i="10"/>
  <c r="CJB1" i="10"/>
  <c r="CJA1" i="10"/>
  <c r="CIZ1" i="10"/>
  <c r="CIY1" i="10"/>
  <c r="CIX1" i="10"/>
  <c r="CIW1" i="10"/>
  <c r="CIV1" i="10"/>
  <c r="CIU1" i="10"/>
  <c r="CIT1" i="10"/>
  <c r="CIS1" i="10"/>
  <c r="CIR1" i="10"/>
  <c r="CIQ1" i="10"/>
  <c r="CIP1" i="10"/>
  <c r="CIO1" i="10"/>
  <c r="CIN1" i="10"/>
  <c r="CIM1" i="10"/>
  <c r="CIL1" i="10"/>
  <c r="CIK1" i="10"/>
  <c r="CIJ1" i="10"/>
  <c r="CII1" i="10"/>
  <c r="CIH1" i="10"/>
  <c r="CIG1" i="10"/>
  <c r="CIF1" i="10"/>
  <c r="CIE1" i="10"/>
  <c r="CID1" i="10"/>
  <c r="CIC1" i="10"/>
  <c r="CIB1" i="10"/>
  <c r="CIA1" i="10"/>
  <c r="CHZ1" i="10"/>
  <c r="CHY1" i="10"/>
  <c r="CHX1" i="10"/>
  <c r="CHW1" i="10"/>
  <c r="CHV1" i="10"/>
  <c r="CHU1" i="10"/>
  <c r="CHT1" i="10"/>
  <c r="CHS1" i="10"/>
  <c r="CHR1" i="10"/>
  <c r="CHQ1" i="10"/>
  <c r="CHP1" i="10"/>
  <c r="CHO1" i="10"/>
  <c r="CHN1" i="10"/>
  <c r="CHM1" i="10"/>
  <c r="CHL1" i="10"/>
  <c r="CHK1" i="10"/>
  <c r="CHJ1" i="10"/>
  <c r="CHI1" i="10"/>
  <c r="CHH1" i="10"/>
  <c r="CHG1" i="10"/>
  <c r="CHF1" i="10"/>
  <c r="CHE1" i="10"/>
  <c r="CHD1" i="10"/>
  <c r="CHC1" i="10"/>
  <c r="CHB1" i="10"/>
  <c r="CHA1" i="10"/>
  <c r="CGZ1" i="10"/>
  <c r="CGY1" i="10"/>
  <c r="CGX1" i="10"/>
  <c r="CGW1" i="10"/>
  <c r="CGV1" i="10"/>
  <c r="CGU1" i="10"/>
  <c r="CGT1" i="10"/>
  <c r="CGS1" i="10"/>
  <c r="CGR1" i="10"/>
  <c r="CGQ1" i="10"/>
  <c r="CGP1" i="10"/>
  <c r="CGO1" i="10"/>
  <c r="CGN1" i="10"/>
  <c r="CGM1" i="10"/>
  <c r="CGL1" i="10"/>
  <c r="CGK1" i="10"/>
  <c r="CGJ1" i="10"/>
  <c r="CGI1" i="10"/>
  <c r="CGH1" i="10"/>
  <c r="CGG1" i="10"/>
  <c r="CGF1" i="10"/>
  <c r="CGE1" i="10"/>
  <c r="CGD1" i="10"/>
  <c r="CGC1" i="10"/>
  <c r="CGB1" i="10"/>
  <c r="CGA1" i="10"/>
  <c r="CFZ1" i="10"/>
  <c r="CFY1" i="10"/>
  <c r="CFX1" i="10"/>
  <c r="CFW1" i="10"/>
  <c r="CFV1" i="10"/>
  <c r="CFU1" i="10"/>
  <c r="CFT1" i="10"/>
  <c r="CFS1" i="10"/>
  <c r="CFR1" i="10"/>
  <c r="CFQ1" i="10"/>
  <c r="CFP1" i="10"/>
  <c r="CFO1" i="10"/>
  <c r="CFN1" i="10"/>
  <c r="CFM1" i="10"/>
  <c r="CFL1" i="10"/>
  <c r="CFK1" i="10"/>
  <c r="CFJ1" i="10"/>
  <c r="CFI1" i="10"/>
  <c r="CFH1" i="10"/>
  <c r="CFG1" i="10"/>
  <c r="CFF1" i="10"/>
  <c r="CFE1" i="10"/>
  <c r="CFD1" i="10"/>
  <c r="CFC1" i="10"/>
  <c r="CFB1" i="10"/>
  <c r="CFA1" i="10"/>
  <c r="CEZ1" i="10"/>
  <c r="CEY1" i="10"/>
  <c r="CEX1" i="10"/>
  <c r="CEW1" i="10"/>
  <c r="CEV1" i="10"/>
  <c r="CEU1" i="10"/>
  <c r="CET1" i="10"/>
  <c r="CES1" i="10"/>
  <c r="CER1" i="10"/>
  <c r="CEQ1" i="10"/>
  <c r="CEP1" i="10"/>
  <c r="CEO1" i="10"/>
  <c r="CEN1" i="10"/>
  <c r="CEM1" i="10"/>
  <c r="CEL1" i="10"/>
  <c r="CEK1" i="10"/>
  <c r="CEJ1" i="10"/>
  <c r="CEI1" i="10"/>
  <c r="CEH1" i="10"/>
  <c r="CEG1" i="10"/>
  <c r="CEF1" i="10"/>
  <c r="CEE1" i="10"/>
  <c r="CED1" i="10"/>
  <c r="CEC1" i="10"/>
  <c r="CEB1" i="10"/>
  <c r="CEA1" i="10"/>
  <c r="CDZ1" i="10"/>
  <c r="CDY1" i="10"/>
  <c r="CDX1" i="10"/>
  <c r="CDW1" i="10"/>
  <c r="CDV1" i="10"/>
  <c r="CDU1" i="10"/>
  <c r="CDT1" i="10"/>
  <c r="CDS1" i="10"/>
  <c r="CDR1" i="10"/>
  <c r="CDQ1" i="10"/>
  <c r="CDP1" i="10"/>
  <c r="CDO1" i="10"/>
  <c r="CDN1" i="10"/>
  <c r="CDM1" i="10"/>
  <c r="CDL1" i="10"/>
  <c r="CDK1" i="10"/>
  <c r="CDJ1" i="10"/>
  <c r="CDI1" i="10"/>
  <c r="CDH1" i="10"/>
  <c r="CDG1" i="10"/>
  <c r="CDF1" i="10"/>
  <c r="CDE1" i="10"/>
  <c r="CDD1" i="10"/>
  <c r="CDC1" i="10"/>
  <c r="CDB1" i="10"/>
  <c r="CDA1" i="10"/>
  <c r="CCZ1" i="10"/>
  <c r="CCY1" i="10"/>
  <c r="CCX1" i="10"/>
  <c r="CCW1" i="10"/>
  <c r="CCV1" i="10"/>
  <c r="CCU1" i="10"/>
  <c r="CCT1" i="10"/>
  <c r="CCS1" i="10"/>
  <c r="CCR1" i="10"/>
  <c r="CCQ1" i="10"/>
  <c r="CCP1" i="10"/>
  <c r="CCO1" i="10"/>
  <c r="CCN1" i="10"/>
  <c r="CCM1" i="10"/>
  <c r="CCL1" i="10"/>
  <c r="CCK1" i="10"/>
  <c r="CCJ1" i="10"/>
  <c r="CCI1" i="10"/>
  <c r="CCH1" i="10"/>
  <c r="CCG1" i="10"/>
  <c r="CCF1" i="10"/>
  <c r="CCE1" i="10"/>
  <c r="CCD1" i="10"/>
  <c r="CCC1" i="10"/>
  <c r="CCB1" i="10"/>
  <c r="CCA1" i="10"/>
  <c r="CBZ1" i="10"/>
  <c r="CBY1" i="10"/>
  <c r="CBX1" i="10"/>
  <c r="CBW1" i="10"/>
  <c r="CBV1" i="10"/>
  <c r="CBU1" i="10"/>
  <c r="CBT1" i="10"/>
  <c r="CBS1" i="10"/>
  <c r="CBR1" i="10"/>
  <c r="CBQ1" i="10"/>
  <c r="CBP1" i="10"/>
  <c r="CBO1" i="10"/>
  <c r="CBN1" i="10"/>
  <c r="CBM1" i="10"/>
  <c r="CBL1" i="10"/>
  <c r="CBK1" i="10"/>
  <c r="CBJ1" i="10"/>
  <c r="CBI1" i="10"/>
  <c r="CBH1" i="10"/>
  <c r="CBG1" i="10"/>
  <c r="CBF1" i="10"/>
  <c r="CBE1" i="10"/>
  <c r="CBD1" i="10"/>
  <c r="CBC1" i="10"/>
  <c r="CBB1" i="10"/>
  <c r="CBA1" i="10"/>
  <c r="CAZ1" i="10"/>
  <c r="CAY1" i="10"/>
  <c r="CAX1" i="10"/>
  <c r="CAW1" i="10"/>
  <c r="CAV1" i="10"/>
  <c r="CAU1" i="10"/>
  <c r="CAT1" i="10"/>
  <c r="CAS1" i="10"/>
  <c r="CAR1" i="10"/>
  <c r="CAQ1" i="10"/>
  <c r="CAP1" i="10"/>
  <c r="CAO1" i="10"/>
  <c r="CAN1" i="10"/>
  <c r="CAM1" i="10"/>
  <c r="CAL1" i="10"/>
  <c r="CAK1" i="10"/>
  <c r="CAJ1" i="10"/>
  <c r="CAI1" i="10"/>
  <c r="CAH1" i="10"/>
  <c r="CAG1" i="10"/>
  <c r="CAF1" i="10"/>
  <c r="CAE1" i="10"/>
  <c r="CAD1" i="10"/>
  <c r="CAC1" i="10"/>
  <c r="CAB1" i="10"/>
  <c r="CAA1" i="10"/>
  <c r="BZZ1" i="10"/>
  <c r="BZY1" i="10"/>
  <c r="BZX1" i="10"/>
  <c r="BZW1" i="10"/>
  <c r="BZV1" i="10"/>
  <c r="BZU1" i="10"/>
  <c r="BZT1" i="10"/>
  <c r="BZS1" i="10"/>
  <c r="BZR1" i="10"/>
  <c r="BZQ1" i="10"/>
  <c r="BZP1" i="10"/>
  <c r="BZO1" i="10"/>
  <c r="BZN1" i="10"/>
  <c r="BZM1" i="10"/>
  <c r="BZL1" i="10"/>
  <c r="BZK1" i="10"/>
  <c r="BZJ1" i="10"/>
  <c r="BZI1" i="10"/>
  <c r="BZH1" i="10"/>
  <c r="BZG1" i="10"/>
  <c r="BZF1" i="10"/>
  <c r="BZE1" i="10"/>
  <c r="BZD1" i="10"/>
  <c r="BZC1" i="10"/>
  <c r="BZB1" i="10"/>
  <c r="BZA1" i="10"/>
  <c r="BYZ1" i="10"/>
  <c r="BYY1" i="10"/>
  <c r="BYX1" i="10"/>
  <c r="BYW1" i="10"/>
  <c r="BYV1" i="10"/>
  <c r="BYU1" i="10"/>
  <c r="BYT1" i="10"/>
  <c r="BYS1" i="10"/>
  <c r="BYR1" i="10"/>
  <c r="BYQ1" i="10"/>
  <c r="BYP1" i="10"/>
  <c r="BYO1" i="10"/>
  <c r="BYN1" i="10"/>
  <c r="BYM1" i="10"/>
  <c r="BYL1" i="10"/>
  <c r="BYK1" i="10"/>
  <c r="BYJ1" i="10"/>
  <c r="BYI1" i="10"/>
  <c r="BYH1" i="10"/>
  <c r="BYG1" i="10"/>
  <c r="BYF1" i="10"/>
  <c r="BYE1" i="10"/>
  <c r="BYD1" i="10"/>
  <c r="BYC1" i="10"/>
  <c r="BYB1" i="10"/>
  <c r="BYA1" i="10"/>
  <c r="BXZ1" i="10"/>
  <c r="BXY1" i="10"/>
  <c r="BXX1" i="10"/>
  <c r="BXW1" i="10"/>
  <c r="BXV1" i="10"/>
  <c r="BXU1" i="10"/>
  <c r="BXT1" i="10"/>
  <c r="BXS1" i="10"/>
  <c r="BXR1" i="10"/>
  <c r="BXQ1" i="10"/>
  <c r="BXP1" i="10"/>
  <c r="BXO1" i="10"/>
  <c r="BXN1" i="10"/>
  <c r="BXM1" i="10"/>
  <c r="BXL1" i="10"/>
  <c r="BXK1" i="10"/>
  <c r="BXJ1" i="10"/>
  <c r="BXI1" i="10"/>
  <c r="BXH1" i="10"/>
  <c r="BXG1" i="10"/>
  <c r="BXF1" i="10"/>
  <c r="BXE1" i="10"/>
  <c r="BXD1" i="10"/>
  <c r="BXC1" i="10"/>
  <c r="BXB1" i="10"/>
  <c r="BXA1" i="10"/>
  <c r="BWZ1" i="10"/>
  <c r="BWY1" i="10"/>
  <c r="BWX1" i="10"/>
  <c r="BWW1" i="10"/>
  <c r="BWV1" i="10"/>
  <c r="BWU1" i="10"/>
  <c r="BWT1" i="10"/>
  <c r="BWS1" i="10"/>
  <c r="BWR1" i="10"/>
  <c r="BWQ1" i="10"/>
  <c r="BWP1" i="10"/>
  <c r="BWO1" i="10"/>
  <c r="BWN1" i="10"/>
  <c r="BWM1" i="10"/>
  <c r="BWL1" i="10"/>
  <c r="BWK1" i="10"/>
  <c r="BWJ1" i="10"/>
  <c r="BWI1" i="10"/>
  <c r="BWH1" i="10"/>
  <c r="BWG1" i="10"/>
  <c r="BWF1" i="10"/>
  <c r="BWE1" i="10"/>
  <c r="BWD1" i="10"/>
  <c r="BWC1" i="10"/>
  <c r="BWB1" i="10"/>
  <c r="BWA1" i="10"/>
  <c r="BVZ1" i="10"/>
  <c r="BVY1" i="10"/>
  <c r="BVX1" i="10"/>
  <c r="BVW1" i="10"/>
  <c r="BVV1" i="10"/>
  <c r="BVU1" i="10"/>
  <c r="BVT1" i="10"/>
  <c r="BVS1" i="10"/>
  <c r="BVR1" i="10"/>
  <c r="BVQ1" i="10"/>
  <c r="BVP1" i="10"/>
  <c r="BVO1" i="10"/>
  <c r="BVN1" i="10"/>
  <c r="BVM1" i="10"/>
  <c r="BVL1" i="10"/>
  <c r="BVK1" i="10"/>
  <c r="BVJ1" i="10"/>
  <c r="BVI1" i="10"/>
  <c r="BVH1" i="10"/>
  <c r="BVG1" i="10"/>
  <c r="BVF1" i="10"/>
  <c r="BVE1" i="10"/>
  <c r="BVD1" i="10"/>
  <c r="BVC1" i="10"/>
  <c r="BVB1" i="10"/>
  <c r="BVA1" i="10"/>
  <c r="BUZ1" i="10"/>
  <c r="BUY1" i="10"/>
  <c r="BUX1" i="10"/>
  <c r="BUW1" i="10"/>
  <c r="BUV1" i="10"/>
  <c r="BUU1" i="10"/>
  <c r="BUT1" i="10"/>
  <c r="BUS1" i="10"/>
  <c r="BUR1" i="10"/>
  <c r="BUQ1" i="10"/>
  <c r="BUP1" i="10"/>
  <c r="BUO1" i="10"/>
  <c r="BUN1" i="10"/>
  <c r="BUM1" i="10"/>
  <c r="BUL1" i="10"/>
  <c r="BUK1" i="10"/>
  <c r="BUJ1" i="10"/>
  <c r="BUI1" i="10"/>
  <c r="BUH1" i="10"/>
  <c r="BUG1" i="10"/>
  <c r="BUF1" i="10"/>
  <c r="BUE1" i="10"/>
  <c r="BUD1" i="10"/>
  <c r="BUC1" i="10"/>
  <c r="BUB1" i="10"/>
  <c r="BUA1" i="10"/>
  <c r="BTZ1" i="10"/>
  <c r="BTY1" i="10"/>
  <c r="BTX1" i="10"/>
  <c r="BTW1" i="10"/>
  <c r="BTV1" i="10"/>
  <c r="BTU1" i="10"/>
  <c r="BTT1" i="10"/>
  <c r="BTS1" i="10"/>
  <c r="BTR1" i="10"/>
  <c r="BTQ1" i="10"/>
  <c r="BTP1" i="10"/>
  <c r="BTO1" i="10"/>
  <c r="BTN1" i="10"/>
  <c r="BTM1" i="10"/>
  <c r="BTL1" i="10"/>
  <c r="BTK1" i="10"/>
  <c r="BTJ1" i="10"/>
  <c r="BTI1" i="10"/>
  <c r="BTH1" i="10"/>
  <c r="BTG1" i="10"/>
  <c r="BTF1" i="10"/>
  <c r="BTE1" i="10"/>
  <c r="BTD1" i="10"/>
  <c r="BTC1" i="10"/>
  <c r="BTB1" i="10"/>
  <c r="BTA1" i="10"/>
  <c r="BSZ1" i="10"/>
  <c r="BSY1" i="10"/>
  <c r="BSX1" i="10"/>
  <c r="BSW1" i="10"/>
  <c r="BSV1" i="10"/>
  <c r="BSU1" i="10"/>
  <c r="BST1" i="10"/>
  <c r="BSS1" i="10"/>
  <c r="BSR1" i="10"/>
  <c r="BSQ1" i="10"/>
  <c r="BSP1" i="10"/>
  <c r="BSO1" i="10"/>
  <c r="BSN1" i="10"/>
  <c r="BSM1" i="10"/>
  <c r="BSL1" i="10"/>
  <c r="BSK1" i="10"/>
  <c r="BSJ1" i="10"/>
  <c r="BSI1" i="10"/>
  <c r="BSH1" i="10"/>
  <c r="BSG1" i="10"/>
  <c r="BSF1" i="10"/>
  <c r="BSE1" i="10"/>
  <c r="BSD1" i="10"/>
  <c r="BSC1" i="10"/>
  <c r="BSB1" i="10"/>
  <c r="BSA1" i="10"/>
  <c r="BRZ1" i="10"/>
  <c r="BRY1" i="10"/>
  <c r="BRX1" i="10"/>
  <c r="BRW1" i="10"/>
  <c r="BRV1" i="10"/>
  <c r="BRU1" i="10"/>
  <c r="BRT1" i="10"/>
  <c r="BRS1" i="10"/>
  <c r="BRR1" i="10"/>
  <c r="BRQ1" i="10"/>
  <c r="BRP1" i="10"/>
  <c r="BRO1" i="10"/>
  <c r="BRN1" i="10"/>
  <c r="BRM1" i="10"/>
  <c r="BRL1" i="10"/>
  <c r="BRK1" i="10"/>
  <c r="BRJ1" i="10"/>
  <c r="BRI1" i="10"/>
  <c r="BRH1" i="10"/>
  <c r="BRG1" i="10"/>
  <c r="BRF1" i="10"/>
  <c r="BRE1" i="10"/>
  <c r="BRD1" i="10"/>
  <c r="BRC1" i="10"/>
  <c r="BRB1" i="10"/>
  <c r="BRA1" i="10"/>
  <c r="BQZ1" i="10"/>
  <c r="BQY1" i="10"/>
  <c r="BQX1" i="10"/>
  <c r="BQW1" i="10"/>
  <c r="BQV1" i="10"/>
  <c r="BQU1" i="10"/>
  <c r="BQT1" i="10"/>
  <c r="BQS1" i="10"/>
  <c r="BQR1" i="10"/>
  <c r="BQQ1" i="10"/>
  <c r="BQP1" i="10"/>
  <c r="BQO1" i="10"/>
  <c r="BQN1" i="10"/>
  <c r="BQM1" i="10"/>
  <c r="BQL1" i="10"/>
  <c r="BQK1" i="10"/>
  <c r="BQJ1" i="10"/>
  <c r="BQI1" i="10"/>
  <c r="BQH1" i="10"/>
  <c r="BQG1" i="10"/>
  <c r="BQF1" i="10"/>
  <c r="BQE1" i="10"/>
  <c r="BQD1" i="10"/>
  <c r="BQC1" i="10"/>
  <c r="BQB1" i="10"/>
  <c r="BQA1" i="10"/>
  <c r="BPZ1" i="10"/>
  <c r="BPY1" i="10"/>
  <c r="BPX1" i="10"/>
  <c r="BPW1" i="10"/>
  <c r="BPV1" i="10"/>
  <c r="BPU1" i="10"/>
  <c r="BPT1" i="10"/>
  <c r="BPS1" i="10"/>
  <c r="BPR1" i="10"/>
  <c r="BPQ1" i="10"/>
  <c r="BPP1" i="10"/>
  <c r="BPO1" i="10"/>
  <c r="BPN1" i="10"/>
  <c r="BPM1" i="10"/>
  <c r="BPL1" i="10"/>
  <c r="BPK1" i="10"/>
  <c r="BPJ1" i="10"/>
  <c r="BPI1" i="10"/>
  <c r="BPH1" i="10"/>
  <c r="BPG1" i="10"/>
  <c r="BPF1" i="10"/>
  <c r="BPE1" i="10"/>
  <c r="BPD1" i="10"/>
  <c r="BPC1" i="10"/>
  <c r="BPB1" i="10"/>
  <c r="BPA1" i="10"/>
  <c r="BOZ1" i="10"/>
  <c r="BOY1" i="10"/>
  <c r="BOX1" i="10"/>
  <c r="BOW1" i="10"/>
  <c r="BOV1" i="10"/>
  <c r="BOU1" i="10"/>
  <c r="BOT1" i="10"/>
  <c r="BOS1" i="10"/>
  <c r="BOR1" i="10"/>
  <c r="BOQ1" i="10"/>
  <c r="BOP1" i="10"/>
  <c r="BOO1" i="10"/>
  <c r="BON1" i="10"/>
  <c r="BOM1" i="10"/>
  <c r="BOL1" i="10"/>
  <c r="BOK1" i="10"/>
  <c r="BOJ1" i="10"/>
  <c r="BOI1" i="10"/>
  <c r="BOH1" i="10"/>
  <c r="BOG1" i="10"/>
  <c r="BOF1" i="10"/>
  <c r="BOE1" i="10"/>
  <c r="BOD1" i="10"/>
  <c r="BOC1" i="10"/>
  <c r="BOB1" i="10"/>
  <c r="BOA1" i="10"/>
  <c r="BNZ1" i="10"/>
  <c r="BNY1" i="10"/>
  <c r="BNX1" i="10"/>
  <c r="BNW1" i="10"/>
  <c r="BNV1" i="10"/>
  <c r="BNU1" i="10"/>
  <c r="BNT1" i="10"/>
  <c r="BNS1" i="10"/>
  <c r="BNR1" i="10"/>
  <c r="BNQ1" i="10"/>
  <c r="BNP1" i="10"/>
  <c r="BNO1" i="10"/>
  <c r="BNN1" i="10"/>
  <c r="BNM1" i="10"/>
  <c r="BNL1" i="10"/>
  <c r="BNK1" i="10"/>
  <c r="BNJ1" i="10"/>
  <c r="BNI1" i="10"/>
  <c r="BNH1" i="10"/>
  <c r="BNG1" i="10"/>
  <c r="BNF1" i="10"/>
  <c r="BNE1" i="10"/>
  <c r="BND1" i="10"/>
  <c r="BNC1" i="10"/>
  <c r="BNB1" i="10"/>
  <c r="BNA1" i="10"/>
  <c r="BMZ1" i="10"/>
  <c r="BMY1" i="10"/>
  <c r="BMX1" i="10"/>
  <c r="BMW1" i="10"/>
  <c r="BMV1" i="10"/>
  <c r="BMU1" i="10"/>
  <c r="BMT1" i="10"/>
  <c r="BMS1" i="10"/>
  <c r="BMR1" i="10"/>
  <c r="BMQ1" i="10"/>
  <c r="BMP1" i="10"/>
  <c r="BMO1" i="10"/>
  <c r="BMN1" i="10"/>
  <c r="BMM1" i="10"/>
  <c r="BML1" i="10"/>
  <c r="BMK1" i="10"/>
  <c r="BMJ1" i="10"/>
  <c r="BMI1" i="10"/>
  <c r="BMH1" i="10"/>
  <c r="BMG1" i="10"/>
  <c r="BMF1" i="10"/>
  <c r="BME1" i="10"/>
  <c r="BMD1" i="10"/>
  <c r="BMC1" i="10"/>
  <c r="BMB1" i="10"/>
  <c r="BMA1" i="10"/>
  <c r="BLZ1" i="10"/>
  <c r="BLY1" i="10"/>
  <c r="BLX1" i="10"/>
  <c r="BLW1" i="10"/>
  <c r="BLV1" i="10"/>
  <c r="BLU1" i="10"/>
  <c r="BLT1" i="10"/>
  <c r="BLS1" i="10"/>
  <c r="BLR1" i="10"/>
  <c r="BLQ1" i="10"/>
  <c r="BLP1" i="10"/>
  <c r="BLO1" i="10"/>
  <c r="BLN1" i="10"/>
  <c r="BLM1" i="10"/>
  <c r="BLL1" i="10"/>
  <c r="BLK1" i="10"/>
  <c r="BLJ1" i="10"/>
  <c r="BLI1" i="10"/>
  <c r="BLH1" i="10"/>
  <c r="BLG1" i="10"/>
  <c r="BLF1" i="10"/>
  <c r="BLE1" i="10"/>
  <c r="BLD1" i="10"/>
  <c r="BLC1" i="10"/>
  <c r="BLB1" i="10"/>
  <c r="BLA1" i="10"/>
  <c r="BKZ1" i="10"/>
  <c r="BKY1" i="10"/>
  <c r="BKX1" i="10"/>
  <c r="BKW1" i="10"/>
  <c r="BKV1" i="10"/>
  <c r="BKU1" i="10"/>
  <c r="BKT1" i="10"/>
  <c r="BKS1" i="10"/>
  <c r="BKR1" i="10"/>
  <c r="BKQ1" i="10"/>
  <c r="BKP1" i="10"/>
  <c r="BKO1" i="10"/>
  <c r="BKN1" i="10"/>
  <c r="BKM1" i="10"/>
  <c r="BKL1" i="10"/>
  <c r="BKK1" i="10"/>
  <c r="BKJ1" i="10"/>
  <c r="BKI1" i="10"/>
  <c r="BKH1" i="10"/>
  <c r="BKG1" i="10"/>
  <c r="BKF1" i="10"/>
  <c r="BKE1" i="10"/>
  <c r="BKD1" i="10"/>
  <c r="BKC1" i="10"/>
  <c r="BKB1" i="10"/>
  <c r="BKA1" i="10"/>
  <c r="BJZ1" i="10"/>
  <c r="BJY1" i="10"/>
  <c r="BJX1" i="10"/>
  <c r="BJW1" i="10"/>
  <c r="BJV1" i="10"/>
  <c r="BJU1" i="10"/>
  <c r="BJT1" i="10"/>
  <c r="BJS1" i="10"/>
  <c r="BJR1" i="10"/>
  <c r="BJQ1" i="10"/>
  <c r="BJP1" i="10"/>
  <c r="BJO1" i="10"/>
  <c r="BJN1" i="10"/>
  <c r="BJM1" i="10"/>
  <c r="BJL1" i="10"/>
  <c r="BJK1" i="10"/>
  <c r="BJJ1" i="10"/>
  <c r="BJI1" i="10"/>
  <c r="BJH1" i="10"/>
  <c r="BJG1" i="10"/>
  <c r="BJF1" i="10"/>
  <c r="BJE1" i="10"/>
  <c r="BJD1" i="10"/>
  <c r="BJC1" i="10"/>
  <c r="BJB1" i="10"/>
  <c r="BJA1" i="10"/>
  <c r="BIZ1" i="10"/>
  <c r="BIY1" i="10"/>
  <c r="BIX1" i="10"/>
  <c r="BIW1" i="10"/>
  <c r="BIV1" i="10"/>
  <c r="BIU1" i="10"/>
  <c r="BIT1" i="10"/>
  <c r="BIS1" i="10"/>
  <c r="BIR1" i="10"/>
  <c r="BIQ1" i="10"/>
  <c r="BIP1" i="10"/>
  <c r="BIO1" i="10"/>
  <c r="BIN1" i="10"/>
  <c r="BIM1" i="10"/>
  <c r="BIL1" i="10"/>
  <c r="BIK1" i="10"/>
  <c r="BIJ1" i="10"/>
  <c r="BII1" i="10"/>
  <c r="BIH1" i="10"/>
  <c r="BIG1" i="10"/>
  <c r="BIF1" i="10"/>
  <c r="BIE1" i="10"/>
  <c r="BID1" i="10"/>
  <c r="BIC1" i="10"/>
  <c r="BIB1" i="10"/>
  <c r="BIA1" i="10"/>
  <c r="BHZ1" i="10"/>
  <c r="BHY1" i="10"/>
  <c r="BHX1" i="10"/>
  <c r="BHW1" i="10"/>
  <c r="BHV1" i="10"/>
  <c r="BHU1" i="10"/>
  <c r="BHT1" i="10"/>
  <c r="BHS1" i="10"/>
  <c r="BHR1" i="10"/>
  <c r="BHQ1" i="10"/>
  <c r="BHP1" i="10"/>
  <c r="BHO1" i="10"/>
  <c r="BHN1" i="10"/>
  <c r="BHM1" i="10"/>
  <c r="BHL1" i="10"/>
  <c r="BHK1" i="10"/>
  <c r="BHJ1" i="10"/>
  <c r="BHI1" i="10"/>
  <c r="BHH1" i="10"/>
  <c r="BHG1" i="10"/>
  <c r="BHF1" i="10"/>
  <c r="BHE1" i="10"/>
  <c r="BHD1" i="10"/>
  <c r="BHC1" i="10"/>
  <c r="BHB1" i="10"/>
  <c r="BHA1" i="10"/>
  <c r="BGZ1" i="10"/>
  <c r="BGY1" i="10"/>
  <c r="BGX1" i="10"/>
  <c r="BGW1" i="10"/>
  <c r="BGV1" i="10"/>
  <c r="BGU1" i="10"/>
  <c r="BGT1" i="10"/>
  <c r="BGS1" i="10"/>
  <c r="BGR1" i="10"/>
  <c r="BGQ1" i="10"/>
  <c r="BGP1" i="10"/>
  <c r="BGO1" i="10"/>
  <c r="BGN1" i="10"/>
  <c r="BGM1" i="10"/>
  <c r="BGL1" i="10"/>
  <c r="BGK1" i="10"/>
  <c r="BGJ1" i="10"/>
  <c r="BGI1" i="10"/>
  <c r="BGH1" i="10"/>
  <c r="BGG1" i="10"/>
  <c r="BGF1" i="10"/>
  <c r="BGE1" i="10"/>
  <c r="BGD1" i="10"/>
  <c r="BGC1" i="10"/>
  <c r="BGB1" i="10"/>
  <c r="BGA1" i="10"/>
  <c r="BFZ1" i="10"/>
  <c r="BFY1" i="10"/>
  <c r="BFX1" i="10"/>
  <c r="BFW1" i="10"/>
  <c r="BFV1" i="10"/>
  <c r="BFU1" i="10"/>
  <c r="BFT1" i="10"/>
  <c r="BFS1" i="10"/>
  <c r="BFR1" i="10"/>
  <c r="BFQ1" i="10"/>
  <c r="BFP1" i="10"/>
  <c r="BFO1" i="10"/>
  <c r="BFN1" i="10"/>
  <c r="BFM1" i="10"/>
  <c r="BFL1" i="10"/>
  <c r="BFK1" i="10"/>
  <c r="BFJ1" i="10"/>
  <c r="BFI1" i="10"/>
  <c r="BFH1" i="10"/>
  <c r="BFG1" i="10"/>
  <c r="BFF1" i="10"/>
  <c r="BFE1" i="10"/>
  <c r="BFD1" i="10"/>
  <c r="BFC1" i="10"/>
  <c r="BFB1" i="10"/>
  <c r="BFA1" i="10"/>
  <c r="BEZ1" i="10"/>
  <c r="BEY1" i="10"/>
  <c r="BEX1" i="10"/>
  <c r="BEW1" i="10"/>
  <c r="BEV1" i="10"/>
  <c r="BEU1" i="10"/>
  <c r="BET1" i="10"/>
  <c r="BES1" i="10"/>
  <c r="BER1" i="10"/>
  <c r="BEQ1" i="10"/>
  <c r="BEP1" i="10"/>
  <c r="BEO1" i="10"/>
  <c r="BEN1" i="10"/>
  <c r="BEM1" i="10"/>
  <c r="BEL1" i="10"/>
  <c r="BEK1" i="10"/>
  <c r="BEJ1" i="10"/>
  <c r="BEI1" i="10"/>
  <c r="BEH1" i="10"/>
  <c r="BEG1" i="10"/>
  <c r="BEF1" i="10"/>
  <c r="BEE1" i="10"/>
  <c r="BED1" i="10"/>
  <c r="BEC1" i="10"/>
  <c r="BEB1" i="10"/>
  <c r="BEA1" i="10"/>
  <c r="BDZ1" i="10"/>
  <c r="BDY1" i="10"/>
  <c r="BDX1" i="10"/>
  <c r="BDW1" i="10"/>
  <c r="BDV1" i="10"/>
  <c r="BDU1" i="10"/>
  <c r="BDT1" i="10"/>
  <c r="BDS1" i="10"/>
  <c r="BDR1" i="10"/>
  <c r="BDQ1" i="10"/>
  <c r="BDP1" i="10"/>
  <c r="BDO1" i="10"/>
  <c r="BDN1" i="10"/>
  <c r="BDM1" i="10"/>
  <c r="BDL1" i="10"/>
  <c r="BDK1" i="10"/>
  <c r="BDJ1" i="10"/>
  <c r="BDI1" i="10"/>
  <c r="BDH1" i="10"/>
  <c r="BDG1" i="10"/>
  <c r="BDF1" i="10"/>
  <c r="BDE1" i="10"/>
  <c r="BDD1" i="10"/>
  <c r="BDC1" i="10"/>
  <c r="BDB1" i="10"/>
  <c r="BDA1" i="10"/>
  <c r="BCZ1" i="10"/>
  <c r="BCY1" i="10"/>
  <c r="BCX1" i="10"/>
  <c r="BCW1" i="10"/>
  <c r="BCV1" i="10"/>
  <c r="BCU1" i="10"/>
  <c r="BCT1" i="10"/>
  <c r="BCS1" i="10"/>
  <c r="BCR1" i="10"/>
  <c r="BCQ1" i="10"/>
  <c r="BCP1" i="10"/>
  <c r="BCO1" i="10"/>
  <c r="BCN1" i="10"/>
  <c r="BCM1" i="10"/>
  <c r="BCL1" i="10"/>
  <c r="BCK1" i="10"/>
  <c r="BCJ1" i="10"/>
  <c r="BCI1" i="10"/>
  <c r="BCH1" i="10"/>
  <c r="BCG1" i="10"/>
  <c r="BCF1" i="10"/>
  <c r="BCE1" i="10"/>
  <c r="BCD1" i="10"/>
  <c r="BCC1" i="10"/>
  <c r="BCB1" i="10"/>
  <c r="BCA1" i="10"/>
  <c r="BBZ1" i="10"/>
  <c r="BBY1" i="10"/>
  <c r="BBX1" i="10"/>
  <c r="BBW1" i="10"/>
  <c r="BBV1" i="10"/>
  <c r="BBU1" i="10"/>
  <c r="BBT1" i="10"/>
  <c r="BBS1" i="10"/>
  <c r="BBR1" i="10"/>
  <c r="BBQ1" i="10"/>
  <c r="BBP1" i="10"/>
  <c r="BBO1" i="10"/>
  <c r="BBN1" i="10"/>
  <c r="BBM1" i="10"/>
  <c r="BBL1" i="10"/>
  <c r="BBK1" i="10"/>
  <c r="BBJ1" i="10"/>
  <c r="BBI1" i="10"/>
  <c r="BBH1" i="10"/>
  <c r="BBG1" i="10"/>
  <c r="BBF1" i="10"/>
  <c r="BBE1" i="10"/>
  <c r="BBD1" i="10"/>
  <c r="BBC1" i="10"/>
  <c r="BBB1" i="10"/>
  <c r="BBA1" i="10"/>
  <c r="BAZ1" i="10"/>
  <c r="BAY1" i="10"/>
  <c r="BAX1" i="10"/>
  <c r="BAW1" i="10"/>
  <c r="BAV1" i="10"/>
  <c r="BAU1" i="10"/>
  <c r="BAT1" i="10"/>
  <c r="BAS1" i="10"/>
  <c r="BAR1" i="10"/>
  <c r="BAQ1" i="10"/>
  <c r="BAP1" i="10"/>
  <c r="BAO1" i="10"/>
  <c r="BAN1" i="10"/>
  <c r="BAM1" i="10"/>
  <c r="BAL1" i="10"/>
  <c r="BAK1" i="10"/>
  <c r="BAJ1" i="10"/>
  <c r="BAI1" i="10"/>
  <c r="BAH1" i="10"/>
  <c r="BAG1" i="10"/>
  <c r="BAF1" i="10"/>
  <c r="BAE1" i="10"/>
  <c r="BAD1" i="10"/>
  <c r="BAC1" i="10"/>
  <c r="BAB1" i="10"/>
  <c r="BAA1" i="10"/>
  <c r="AZZ1" i="10"/>
  <c r="AZY1" i="10"/>
  <c r="AZX1" i="10"/>
  <c r="AZW1" i="10"/>
  <c r="AZV1" i="10"/>
  <c r="AZU1" i="10"/>
  <c r="AZT1" i="10"/>
  <c r="AZS1" i="10"/>
  <c r="AZR1" i="10"/>
  <c r="AZQ1" i="10"/>
  <c r="AZP1" i="10"/>
  <c r="AZO1" i="10"/>
  <c r="AZN1" i="10"/>
  <c r="AZM1" i="10"/>
  <c r="AZL1" i="10"/>
  <c r="AZK1" i="10"/>
  <c r="AZJ1" i="10"/>
  <c r="AZI1" i="10"/>
  <c r="AZH1" i="10"/>
  <c r="AZG1" i="10"/>
  <c r="AZF1" i="10"/>
  <c r="AZE1" i="10"/>
  <c r="AZD1" i="10"/>
  <c r="AZC1" i="10"/>
  <c r="AZB1" i="10"/>
  <c r="AZA1" i="10"/>
  <c r="AYZ1" i="10"/>
  <c r="AYY1" i="10"/>
  <c r="AYX1" i="10"/>
  <c r="AYW1" i="10"/>
  <c r="AYV1" i="10"/>
  <c r="AYU1" i="10"/>
  <c r="AYT1" i="10"/>
  <c r="AYS1" i="10"/>
  <c r="AYR1" i="10"/>
  <c r="AYQ1" i="10"/>
  <c r="AYP1" i="10"/>
  <c r="AYO1" i="10"/>
  <c r="AYN1" i="10"/>
  <c r="AYM1" i="10"/>
  <c r="AYL1" i="10"/>
  <c r="AYK1" i="10"/>
  <c r="AYJ1" i="10"/>
  <c r="AYI1" i="10"/>
  <c r="AYH1" i="10"/>
  <c r="AYG1" i="10"/>
  <c r="AYF1" i="10"/>
  <c r="AYE1" i="10"/>
  <c r="AYD1" i="10"/>
  <c r="AYC1" i="10"/>
  <c r="AYB1" i="10"/>
  <c r="AYA1" i="10"/>
  <c r="AXZ1" i="10"/>
  <c r="AXY1" i="10"/>
  <c r="AXX1" i="10"/>
  <c r="AXW1" i="10"/>
  <c r="AXV1" i="10"/>
  <c r="AXU1" i="10"/>
  <c r="AXT1" i="10"/>
  <c r="AXS1" i="10"/>
  <c r="AXR1" i="10"/>
  <c r="AXQ1" i="10"/>
  <c r="AXP1" i="10"/>
  <c r="AXO1" i="10"/>
  <c r="AXN1" i="10"/>
  <c r="AXM1" i="10"/>
  <c r="AXL1" i="10"/>
  <c r="AXK1" i="10"/>
  <c r="AXJ1" i="10"/>
  <c r="AXI1" i="10"/>
  <c r="AXH1" i="10"/>
  <c r="AXG1" i="10"/>
  <c r="AXF1" i="10"/>
  <c r="AXE1" i="10"/>
  <c r="AXD1" i="10"/>
  <c r="AXC1" i="10"/>
  <c r="AXB1" i="10"/>
  <c r="AXA1" i="10"/>
  <c r="AWZ1" i="10"/>
  <c r="AWY1" i="10"/>
  <c r="AWX1" i="10"/>
  <c r="AWW1" i="10"/>
  <c r="AWV1" i="10"/>
  <c r="AWU1" i="10"/>
  <c r="AWT1" i="10"/>
  <c r="AWS1" i="10"/>
  <c r="AWR1" i="10"/>
  <c r="AWQ1" i="10"/>
  <c r="AWP1" i="10"/>
  <c r="AWO1" i="10"/>
  <c r="AWN1" i="10"/>
  <c r="AWM1" i="10"/>
  <c r="AWL1" i="10"/>
  <c r="AWK1" i="10"/>
  <c r="AWJ1" i="10"/>
  <c r="AWI1" i="10"/>
  <c r="AWH1" i="10"/>
  <c r="AWG1" i="10"/>
  <c r="AWF1" i="10"/>
  <c r="AWE1" i="10"/>
  <c r="AWD1" i="10"/>
  <c r="AWC1" i="10"/>
  <c r="AWB1" i="10"/>
  <c r="AWA1" i="10"/>
  <c r="AVZ1" i="10"/>
  <c r="AVY1" i="10"/>
  <c r="AVX1" i="10"/>
  <c r="AVW1" i="10"/>
  <c r="AVV1" i="10"/>
  <c r="AVU1" i="10"/>
  <c r="AVT1" i="10"/>
  <c r="AVS1" i="10"/>
  <c r="AVR1" i="10"/>
  <c r="AVQ1" i="10"/>
  <c r="AVP1" i="10"/>
  <c r="AVO1" i="10"/>
  <c r="AVN1" i="10"/>
  <c r="AVM1" i="10"/>
  <c r="AVL1" i="10"/>
  <c r="AVK1" i="10"/>
  <c r="AVJ1" i="10"/>
  <c r="AVI1" i="10"/>
  <c r="AVH1" i="10"/>
  <c r="AVG1" i="10"/>
  <c r="AVF1" i="10"/>
  <c r="AVE1" i="10"/>
  <c r="AVD1" i="10"/>
  <c r="AVC1" i="10"/>
  <c r="AVB1" i="10"/>
  <c r="AVA1" i="10"/>
  <c r="AUZ1" i="10"/>
  <c r="AUY1" i="10"/>
  <c r="AUX1" i="10"/>
  <c r="AUW1" i="10"/>
  <c r="AUV1" i="10"/>
  <c r="AUU1" i="10"/>
  <c r="AUT1" i="10"/>
  <c r="AUS1" i="10"/>
  <c r="AUR1" i="10"/>
  <c r="AUQ1" i="10"/>
  <c r="AUP1" i="10"/>
  <c r="AUO1" i="10"/>
  <c r="AUN1" i="10"/>
  <c r="AUM1" i="10"/>
  <c r="AUL1" i="10"/>
  <c r="AUK1" i="10"/>
  <c r="AUJ1" i="10"/>
  <c r="AUI1" i="10"/>
  <c r="AUH1" i="10"/>
  <c r="AUG1" i="10"/>
  <c r="AUF1" i="10"/>
  <c r="AUE1" i="10"/>
  <c r="AUD1" i="10"/>
  <c r="AUC1" i="10"/>
  <c r="AUB1" i="10"/>
  <c r="AUA1" i="10"/>
  <c r="ATZ1" i="10"/>
  <c r="ATY1" i="10"/>
  <c r="ATX1" i="10"/>
  <c r="ATW1" i="10"/>
  <c r="ATV1" i="10"/>
  <c r="ATU1" i="10"/>
  <c r="ATT1" i="10"/>
  <c r="ATS1" i="10"/>
  <c r="ATR1" i="10"/>
  <c r="ATQ1" i="10"/>
  <c r="ATP1" i="10"/>
  <c r="ATO1" i="10"/>
  <c r="ATN1" i="10"/>
  <c r="ATM1" i="10"/>
  <c r="ATL1" i="10"/>
  <c r="ATK1" i="10"/>
  <c r="ATJ1" i="10"/>
  <c r="ATI1" i="10"/>
  <c r="ATH1" i="10"/>
  <c r="ATG1" i="10"/>
  <c r="ATF1" i="10"/>
  <c r="ATE1" i="10"/>
  <c r="ATD1" i="10"/>
  <c r="ATC1" i="10"/>
  <c r="ATB1" i="10"/>
  <c r="ATA1" i="10"/>
  <c r="ASZ1" i="10"/>
  <c r="ASY1" i="10"/>
  <c r="ASX1" i="10"/>
  <c r="ASW1" i="10"/>
  <c r="ASV1" i="10"/>
  <c r="ASU1" i="10"/>
  <c r="AST1" i="10"/>
  <c r="ASS1" i="10"/>
  <c r="ASR1" i="10"/>
  <c r="ASQ1" i="10"/>
  <c r="ASP1" i="10"/>
  <c r="ASO1" i="10"/>
  <c r="ASN1" i="10"/>
  <c r="ASM1" i="10"/>
  <c r="ASL1" i="10"/>
  <c r="ASK1" i="10"/>
  <c r="ASJ1" i="10"/>
  <c r="ASI1" i="10"/>
  <c r="ASH1" i="10"/>
  <c r="ASG1" i="10"/>
  <c r="ASF1" i="10"/>
  <c r="ASE1" i="10"/>
  <c r="ASD1" i="10"/>
  <c r="ASC1" i="10"/>
  <c r="ASB1" i="10"/>
  <c r="ASA1" i="10"/>
  <c r="ARZ1" i="10"/>
  <c r="ARY1" i="10"/>
  <c r="ARX1" i="10"/>
  <c r="ARW1" i="10"/>
  <c r="ARV1" i="10"/>
  <c r="ARU1" i="10"/>
  <c r="ART1" i="10"/>
  <c r="ARS1" i="10"/>
  <c r="ARR1" i="10"/>
  <c r="ARQ1" i="10"/>
  <c r="ARP1" i="10"/>
  <c r="ARO1" i="10"/>
  <c r="ARN1" i="10"/>
  <c r="ARM1" i="10"/>
  <c r="ARL1" i="10"/>
  <c r="ARK1" i="10"/>
  <c r="ARJ1" i="10"/>
  <c r="ARI1" i="10"/>
  <c r="ARH1" i="10"/>
  <c r="ARG1" i="10"/>
  <c r="ARF1" i="10"/>
  <c r="ARE1" i="10"/>
  <c r="ARD1" i="10"/>
  <c r="ARC1" i="10"/>
  <c r="ARB1" i="10"/>
  <c r="ARA1" i="10"/>
  <c r="AQZ1" i="10"/>
  <c r="AQY1" i="10"/>
  <c r="AQX1" i="10"/>
  <c r="AQW1" i="10"/>
  <c r="AQV1" i="10"/>
  <c r="AQU1" i="10"/>
  <c r="AQT1" i="10"/>
  <c r="AQS1" i="10"/>
  <c r="AQR1" i="10"/>
  <c r="AQQ1" i="10"/>
  <c r="AQP1" i="10"/>
  <c r="AQO1" i="10"/>
  <c r="AQN1" i="10"/>
  <c r="AQM1" i="10"/>
  <c r="AQL1" i="10"/>
  <c r="AQK1" i="10"/>
  <c r="AQJ1" i="10"/>
  <c r="AQI1" i="10"/>
  <c r="AQH1" i="10"/>
  <c r="AQG1" i="10"/>
  <c r="AQF1" i="10"/>
  <c r="AQE1" i="10"/>
  <c r="AQD1" i="10"/>
  <c r="AQC1" i="10"/>
  <c r="AQB1" i="10"/>
  <c r="AQA1" i="10"/>
  <c r="APZ1" i="10"/>
  <c r="APY1" i="10"/>
  <c r="APX1" i="10"/>
  <c r="APW1" i="10"/>
  <c r="APV1" i="10"/>
  <c r="APU1" i="10"/>
  <c r="APT1" i="10"/>
  <c r="APS1" i="10"/>
  <c r="APR1" i="10"/>
  <c r="APQ1" i="10"/>
  <c r="APP1" i="10"/>
  <c r="APO1" i="10"/>
  <c r="APN1" i="10"/>
  <c r="APM1" i="10"/>
  <c r="APL1" i="10"/>
  <c r="APK1" i="10"/>
  <c r="APJ1" i="10"/>
  <c r="API1" i="10"/>
  <c r="APH1" i="10"/>
  <c r="APG1" i="10"/>
  <c r="APF1" i="10"/>
  <c r="APE1" i="10"/>
  <c r="APD1" i="10"/>
  <c r="APC1" i="10"/>
  <c r="APB1" i="10"/>
  <c r="APA1" i="10"/>
  <c r="AOZ1" i="10"/>
  <c r="AOY1" i="10"/>
  <c r="AOX1" i="10"/>
  <c r="AOW1" i="10"/>
  <c r="AOV1" i="10"/>
  <c r="AOU1" i="10"/>
  <c r="AOT1" i="10"/>
  <c r="AOS1" i="10"/>
  <c r="AOR1" i="10"/>
  <c r="AOQ1" i="10"/>
  <c r="AOP1" i="10"/>
  <c r="AOO1" i="10"/>
  <c r="AON1" i="10"/>
  <c r="AOM1" i="10"/>
  <c r="AOL1" i="10"/>
  <c r="AOK1" i="10"/>
  <c r="AOJ1" i="10"/>
  <c r="AOI1" i="10"/>
  <c r="AOH1" i="10"/>
  <c r="AOG1" i="10"/>
  <c r="AOF1" i="10"/>
  <c r="AOE1" i="10"/>
  <c r="AOD1" i="10"/>
  <c r="AOC1" i="10"/>
  <c r="AOB1" i="10"/>
  <c r="AOA1" i="10"/>
  <c r="ANZ1" i="10"/>
  <c r="ANY1" i="10"/>
  <c r="ANX1" i="10"/>
  <c r="ANW1" i="10"/>
  <c r="ANV1" i="10"/>
  <c r="ANU1" i="10"/>
  <c r="ANT1" i="10"/>
  <c r="ANS1" i="10"/>
  <c r="ANR1" i="10"/>
  <c r="ANQ1" i="10"/>
  <c r="ANP1" i="10"/>
  <c r="ANO1" i="10"/>
  <c r="ANN1" i="10"/>
  <c r="ANM1" i="10"/>
  <c r="ANL1" i="10"/>
  <c r="ANK1" i="10"/>
  <c r="ANJ1" i="10"/>
  <c r="ANI1" i="10"/>
  <c r="ANH1" i="10"/>
  <c r="ANG1" i="10"/>
  <c r="ANF1" i="10"/>
  <c r="ANE1" i="10"/>
  <c r="AND1" i="10"/>
  <c r="ANC1" i="10"/>
  <c r="ANB1" i="10"/>
  <c r="ANA1" i="10"/>
  <c r="AMZ1" i="10"/>
  <c r="AMY1" i="10"/>
  <c r="AMX1" i="10"/>
  <c r="AMW1" i="10"/>
  <c r="AMV1" i="10"/>
  <c r="AMU1" i="10"/>
  <c r="AMT1" i="10"/>
  <c r="AMS1" i="10"/>
  <c r="AMR1" i="10"/>
  <c r="AMQ1" i="10"/>
  <c r="AMP1" i="10"/>
  <c r="AMO1" i="10"/>
  <c r="AMN1" i="10"/>
  <c r="AMM1" i="10"/>
  <c r="AML1" i="10"/>
  <c r="AMK1" i="10"/>
  <c r="AMJ1" i="10"/>
  <c r="AMI1" i="10"/>
  <c r="AMH1" i="10"/>
  <c r="AMG1" i="10"/>
  <c r="AMF1" i="10"/>
  <c r="AME1" i="10"/>
  <c r="AMD1" i="10"/>
  <c r="AMC1" i="10"/>
  <c r="AMB1" i="10"/>
  <c r="AMA1" i="10"/>
  <c r="ALZ1" i="10"/>
  <c r="ALY1" i="10"/>
  <c r="ALX1" i="10"/>
  <c r="ALW1" i="10"/>
  <c r="ALV1" i="10"/>
  <c r="ALU1" i="10"/>
  <c r="ALT1" i="10"/>
  <c r="ALS1" i="10"/>
  <c r="ALR1" i="10"/>
  <c r="ALQ1" i="10"/>
  <c r="ALP1" i="10"/>
  <c r="ALO1" i="10"/>
  <c r="ALN1" i="10"/>
  <c r="ALM1" i="10"/>
  <c r="ALL1" i="10"/>
  <c r="ALK1" i="10"/>
  <c r="ALJ1" i="10"/>
  <c r="ALI1" i="10"/>
  <c r="ALH1" i="10"/>
  <c r="ALG1" i="10"/>
  <c r="ALF1" i="10"/>
  <c r="ALE1" i="10"/>
  <c r="ALD1" i="10"/>
  <c r="ALC1" i="10"/>
  <c r="ALB1" i="10"/>
  <c r="ALA1" i="10"/>
  <c r="AKZ1" i="10"/>
  <c r="AKY1" i="10"/>
  <c r="AKX1" i="10"/>
  <c r="AKW1" i="10"/>
  <c r="AKV1" i="10"/>
  <c r="AKU1" i="10"/>
  <c r="AKT1" i="10"/>
  <c r="AKS1" i="10"/>
  <c r="AKR1" i="10"/>
  <c r="AKQ1" i="10"/>
  <c r="AKP1" i="10"/>
  <c r="AKO1" i="10"/>
  <c r="AKN1" i="10"/>
  <c r="AKM1" i="10"/>
  <c r="AKL1" i="10"/>
  <c r="AKK1" i="10"/>
  <c r="AKJ1" i="10"/>
  <c r="AKI1" i="10"/>
  <c r="AKH1" i="10"/>
  <c r="AKG1" i="10"/>
  <c r="AKF1" i="10"/>
  <c r="AKE1" i="10"/>
  <c r="AKD1" i="10"/>
  <c r="AKC1" i="10"/>
  <c r="AKB1" i="10"/>
  <c r="AKA1" i="10"/>
  <c r="AJZ1" i="10"/>
  <c r="AJY1" i="10"/>
  <c r="AJX1" i="10"/>
  <c r="AJW1" i="10"/>
  <c r="AJV1" i="10"/>
  <c r="AJU1" i="10"/>
  <c r="AJT1" i="10"/>
  <c r="AJS1" i="10"/>
  <c r="AJR1" i="10"/>
  <c r="AJQ1" i="10"/>
  <c r="AJP1" i="10"/>
  <c r="AJO1" i="10"/>
  <c r="AJN1" i="10"/>
  <c r="AJM1" i="10"/>
  <c r="AJL1" i="10"/>
  <c r="AJK1" i="10"/>
  <c r="AJJ1" i="10"/>
  <c r="AJI1" i="10"/>
  <c r="AJH1" i="10"/>
  <c r="AJG1" i="10"/>
  <c r="AJF1" i="10"/>
  <c r="AJE1" i="10"/>
  <c r="AJD1" i="10"/>
  <c r="AJC1" i="10"/>
  <c r="AJB1" i="10"/>
  <c r="AJA1" i="10"/>
  <c r="AIZ1" i="10"/>
  <c r="AIY1" i="10"/>
  <c r="AIX1" i="10"/>
  <c r="AIW1" i="10"/>
  <c r="AIV1" i="10"/>
  <c r="AIU1" i="10"/>
  <c r="AIT1" i="10"/>
  <c r="AIS1" i="10"/>
  <c r="AIR1" i="10"/>
  <c r="AIQ1" i="10"/>
  <c r="AIP1" i="10"/>
  <c r="AIO1" i="10"/>
  <c r="AIN1" i="10"/>
  <c r="AIM1" i="10"/>
  <c r="AIL1" i="10"/>
  <c r="AIK1" i="10"/>
  <c r="AIJ1" i="10"/>
  <c r="AII1" i="10"/>
  <c r="AIH1" i="10"/>
  <c r="AIG1" i="10"/>
  <c r="AIF1" i="10"/>
  <c r="AIE1" i="10"/>
  <c r="AID1" i="10"/>
  <c r="AIC1" i="10"/>
  <c r="AIB1" i="10"/>
  <c r="AIA1" i="10"/>
  <c r="AHZ1" i="10"/>
  <c r="AHY1" i="10"/>
  <c r="AHX1" i="10"/>
  <c r="AHW1" i="10"/>
  <c r="AHV1" i="10"/>
  <c r="AHU1" i="10"/>
  <c r="AHT1" i="10"/>
  <c r="AHS1" i="10"/>
  <c r="AHR1" i="10"/>
  <c r="AHQ1" i="10"/>
  <c r="AHP1" i="10"/>
  <c r="AHO1" i="10"/>
  <c r="AHN1" i="10"/>
  <c r="AHM1" i="10"/>
  <c r="AHL1" i="10"/>
  <c r="AHK1" i="10"/>
  <c r="AHJ1" i="10"/>
  <c r="AHI1" i="10"/>
  <c r="AHH1" i="10"/>
  <c r="AHG1" i="10"/>
  <c r="AHF1" i="10"/>
  <c r="AHE1" i="10"/>
  <c r="AHD1" i="10"/>
  <c r="AHC1" i="10"/>
  <c r="AHB1" i="10"/>
  <c r="AHA1" i="10"/>
  <c r="AGZ1" i="10"/>
  <c r="AGY1" i="10"/>
  <c r="AGX1" i="10"/>
  <c r="AGW1" i="10"/>
  <c r="AGV1" i="10"/>
  <c r="AGU1" i="10"/>
  <c r="AGT1" i="10"/>
  <c r="AGS1" i="10"/>
  <c r="AGR1" i="10"/>
  <c r="AGQ1" i="10"/>
  <c r="AGP1" i="10"/>
  <c r="AGO1" i="10"/>
  <c r="AGN1" i="10"/>
  <c r="AGM1" i="10"/>
  <c r="AGL1" i="10"/>
  <c r="AGK1" i="10"/>
  <c r="AGJ1" i="10"/>
  <c r="AGI1" i="10"/>
  <c r="AGH1" i="10"/>
  <c r="AGG1" i="10"/>
  <c r="AGF1" i="10"/>
  <c r="AGE1" i="10"/>
  <c r="AGD1" i="10"/>
  <c r="AGC1" i="10"/>
  <c r="AGB1" i="10"/>
  <c r="AGA1" i="10"/>
  <c r="AFZ1" i="10"/>
  <c r="AFY1" i="10"/>
  <c r="AFX1" i="10"/>
  <c r="AFW1" i="10"/>
  <c r="AFV1" i="10"/>
  <c r="AFU1" i="10"/>
  <c r="AFT1" i="10"/>
  <c r="AFS1" i="10"/>
  <c r="AFR1" i="10"/>
  <c r="AFQ1" i="10"/>
  <c r="AFP1" i="10"/>
  <c r="AFO1" i="10"/>
  <c r="AFN1" i="10"/>
  <c r="AFM1" i="10"/>
  <c r="AFL1" i="10"/>
  <c r="AFK1" i="10"/>
  <c r="AFJ1" i="10"/>
  <c r="AFI1" i="10"/>
  <c r="AFH1" i="10"/>
  <c r="AFG1" i="10"/>
  <c r="AFF1" i="10"/>
  <c r="AFE1" i="10"/>
  <c r="AFD1" i="10"/>
  <c r="AFC1" i="10"/>
  <c r="AFB1" i="10"/>
  <c r="AFA1" i="10"/>
  <c r="AEZ1" i="10"/>
  <c r="AEY1" i="10"/>
  <c r="AEX1" i="10"/>
  <c r="AEW1" i="10"/>
  <c r="AEV1" i="10"/>
  <c r="AEU1" i="10"/>
  <c r="AET1" i="10"/>
  <c r="AES1" i="10"/>
  <c r="AER1" i="10"/>
  <c r="AEQ1" i="10"/>
  <c r="AEP1" i="10"/>
  <c r="AEO1" i="10"/>
  <c r="AEN1" i="10"/>
  <c r="AEM1" i="10"/>
  <c r="AEL1" i="10"/>
  <c r="AEK1" i="10"/>
  <c r="AEJ1" i="10"/>
  <c r="AEI1" i="10"/>
  <c r="AEH1" i="10"/>
  <c r="AEG1" i="10"/>
  <c r="AEF1" i="10"/>
  <c r="AEE1" i="10"/>
  <c r="AED1" i="10"/>
  <c r="AEC1" i="10"/>
  <c r="AEB1" i="10"/>
  <c r="AEA1" i="10"/>
  <c r="ADZ1" i="10"/>
  <c r="ADY1" i="10"/>
  <c r="ADX1" i="10"/>
  <c r="ADW1" i="10"/>
  <c r="ADV1" i="10"/>
  <c r="ADU1" i="10"/>
  <c r="ADT1" i="10"/>
  <c r="ADS1" i="10"/>
  <c r="ADR1" i="10"/>
  <c r="ADQ1" i="10"/>
  <c r="ADP1" i="10"/>
  <c r="ADO1" i="10"/>
  <c r="ADN1" i="10"/>
  <c r="ADM1" i="10"/>
  <c r="ADL1" i="10"/>
  <c r="ADK1" i="10"/>
  <c r="ADJ1" i="10"/>
  <c r="ADI1" i="10"/>
  <c r="ADH1" i="10"/>
  <c r="ADG1" i="10"/>
  <c r="ADF1" i="10"/>
  <c r="ADE1" i="10"/>
  <c r="ADD1" i="10"/>
  <c r="ADC1" i="10"/>
  <c r="ADB1" i="10"/>
  <c r="ADA1" i="10"/>
  <c r="ACZ1" i="10"/>
  <c r="ACY1" i="10"/>
  <c r="ACX1" i="10"/>
  <c r="ACW1" i="10"/>
  <c r="ACV1" i="10"/>
  <c r="ACU1" i="10"/>
  <c r="ACT1" i="10"/>
  <c r="ACS1" i="10"/>
  <c r="ACR1" i="10"/>
  <c r="ACQ1" i="10"/>
  <c r="ACP1" i="10"/>
  <c r="ACO1" i="10"/>
  <c r="ACN1" i="10"/>
  <c r="ACM1" i="10"/>
  <c r="ACL1" i="10"/>
  <c r="ACK1" i="10"/>
  <c r="ACJ1" i="10"/>
  <c r="ACI1" i="10"/>
  <c r="ACH1" i="10"/>
  <c r="ACG1" i="10"/>
  <c r="ACF1" i="10"/>
  <c r="ACE1" i="10"/>
  <c r="ACD1" i="10"/>
  <c r="ACC1" i="10"/>
  <c r="ACB1" i="10"/>
  <c r="ACA1" i="10"/>
  <c r="ABZ1" i="10"/>
  <c r="ABY1" i="10"/>
  <c r="ABX1" i="10"/>
  <c r="ABW1" i="10"/>
  <c r="ABV1" i="10"/>
  <c r="ABU1" i="10"/>
  <c r="ABT1" i="10"/>
  <c r="ABS1" i="10"/>
  <c r="ABR1" i="10"/>
  <c r="ABQ1" i="10"/>
  <c r="ABP1" i="10"/>
  <c r="ABO1" i="10"/>
  <c r="ABN1" i="10"/>
  <c r="ABM1" i="10"/>
  <c r="ABL1" i="10"/>
  <c r="ABK1" i="10"/>
  <c r="ABJ1" i="10"/>
  <c r="ABI1" i="10"/>
  <c r="ABH1" i="10"/>
  <c r="ABG1" i="10"/>
  <c r="ABF1" i="10"/>
  <c r="ABE1" i="10"/>
  <c r="ABD1" i="10"/>
  <c r="ABC1" i="10"/>
  <c r="ABB1" i="10"/>
  <c r="ABA1" i="10"/>
  <c r="AAZ1" i="10"/>
  <c r="AAY1" i="10"/>
  <c r="AAX1" i="10"/>
  <c r="AAW1" i="10"/>
  <c r="AAV1" i="10"/>
  <c r="AAU1" i="10"/>
  <c r="AAT1" i="10"/>
  <c r="AAS1" i="10"/>
  <c r="AAR1" i="10"/>
  <c r="AAQ1" i="10"/>
  <c r="AAP1" i="10"/>
  <c r="AAO1" i="10"/>
  <c r="AAN1" i="10"/>
  <c r="AAM1" i="10"/>
  <c r="AAL1" i="10"/>
  <c r="AAK1" i="10"/>
  <c r="AAJ1" i="10"/>
  <c r="AAI1" i="10"/>
  <c r="AAH1" i="10"/>
  <c r="AAG1" i="10"/>
  <c r="AAF1" i="10"/>
  <c r="AAE1" i="10"/>
  <c r="AAD1" i="10"/>
  <c r="AAC1" i="10"/>
  <c r="AAB1" i="10"/>
  <c r="AAA1" i="10"/>
  <c r="ZZ1" i="10"/>
  <c r="ZY1" i="10"/>
  <c r="ZX1" i="10"/>
  <c r="ZW1" i="10"/>
  <c r="ZV1" i="10"/>
  <c r="ZU1" i="10"/>
  <c r="ZT1" i="10"/>
  <c r="ZS1" i="10"/>
  <c r="ZR1" i="10"/>
  <c r="ZQ1" i="10"/>
  <c r="ZP1" i="10"/>
  <c r="ZO1" i="10"/>
  <c r="ZN1" i="10"/>
  <c r="ZM1" i="10"/>
  <c r="ZL1" i="10"/>
  <c r="ZK1" i="10"/>
  <c r="ZJ1" i="10"/>
  <c r="ZI1" i="10"/>
  <c r="ZH1" i="10"/>
  <c r="ZG1" i="10"/>
  <c r="ZF1" i="10"/>
  <c r="ZE1" i="10"/>
  <c r="ZD1" i="10"/>
  <c r="ZC1" i="10"/>
  <c r="ZB1" i="10"/>
  <c r="ZA1" i="10"/>
  <c r="YZ1" i="10"/>
  <c r="YY1" i="10"/>
  <c r="YX1" i="10"/>
  <c r="YW1" i="10"/>
  <c r="YV1" i="10"/>
  <c r="YU1" i="10"/>
  <c r="YT1" i="10"/>
  <c r="YS1" i="10"/>
  <c r="YR1" i="10"/>
  <c r="YQ1" i="10"/>
  <c r="YP1" i="10"/>
  <c r="YO1" i="10"/>
  <c r="YN1" i="10"/>
  <c r="YM1" i="10"/>
  <c r="YL1" i="10"/>
  <c r="YK1" i="10"/>
  <c r="YJ1" i="10"/>
  <c r="YI1" i="10"/>
  <c r="YH1" i="10"/>
  <c r="YG1" i="10"/>
  <c r="YF1" i="10"/>
  <c r="YE1" i="10"/>
  <c r="YD1" i="10"/>
  <c r="YC1" i="10"/>
  <c r="YB1" i="10"/>
  <c r="YA1" i="10"/>
  <c r="XZ1" i="10"/>
  <c r="XY1" i="10"/>
  <c r="XX1" i="10"/>
  <c r="XW1" i="10"/>
  <c r="XV1" i="10"/>
  <c r="XU1" i="10"/>
  <c r="XT1" i="10"/>
  <c r="XS1" i="10"/>
  <c r="XR1" i="10"/>
  <c r="XQ1" i="10"/>
  <c r="XP1" i="10"/>
  <c r="XO1" i="10"/>
  <c r="XN1" i="10"/>
  <c r="XM1" i="10"/>
  <c r="XL1" i="10"/>
  <c r="XK1" i="10"/>
  <c r="XJ1" i="10"/>
  <c r="XI1" i="10"/>
  <c r="XH1" i="10"/>
  <c r="XG1" i="10"/>
  <c r="XF1" i="10"/>
  <c r="XE1" i="10"/>
  <c r="XD1" i="10"/>
  <c r="XC1" i="10"/>
  <c r="XB1" i="10"/>
  <c r="XA1" i="10"/>
  <c r="WZ1" i="10"/>
  <c r="WY1" i="10"/>
  <c r="WX1" i="10"/>
  <c r="WW1" i="10"/>
  <c r="WV1" i="10"/>
  <c r="WU1" i="10"/>
  <c r="WT1" i="10"/>
  <c r="WS1" i="10"/>
  <c r="WR1" i="10"/>
  <c r="WQ1" i="10"/>
  <c r="WP1" i="10"/>
  <c r="WO1" i="10"/>
  <c r="WN1" i="10"/>
  <c r="WM1" i="10"/>
  <c r="WL1" i="10"/>
  <c r="WK1" i="10"/>
  <c r="WJ1" i="10"/>
  <c r="WI1" i="10"/>
  <c r="WH1" i="10"/>
  <c r="WG1" i="10"/>
  <c r="WF1" i="10"/>
  <c r="WE1" i="10"/>
  <c r="WD1" i="10"/>
  <c r="WC1" i="10"/>
  <c r="WB1" i="10"/>
  <c r="WA1" i="10"/>
  <c r="VZ1" i="10"/>
  <c r="VY1" i="10"/>
  <c r="VX1" i="10"/>
  <c r="VW1" i="10"/>
  <c r="VV1" i="10"/>
  <c r="VU1" i="10"/>
  <c r="VT1" i="10"/>
  <c r="VS1" i="10"/>
  <c r="VR1" i="10"/>
  <c r="VQ1" i="10"/>
  <c r="VP1" i="10"/>
  <c r="VO1" i="10"/>
  <c r="VN1" i="10"/>
  <c r="VM1" i="10"/>
  <c r="VL1" i="10"/>
  <c r="VK1" i="10"/>
  <c r="VJ1" i="10"/>
  <c r="VI1" i="10"/>
  <c r="VH1" i="10"/>
  <c r="VG1" i="10"/>
  <c r="VF1" i="10"/>
  <c r="VE1" i="10"/>
  <c r="VD1" i="10"/>
  <c r="VC1" i="10"/>
  <c r="VB1" i="10"/>
  <c r="VA1" i="10"/>
  <c r="UZ1" i="10"/>
  <c r="UY1" i="10"/>
  <c r="UX1" i="10"/>
  <c r="UW1" i="10"/>
  <c r="UV1" i="10"/>
  <c r="UU1" i="10"/>
  <c r="UT1" i="10"/>
  <c r="US1" i="10"/>
  <c r="UR1" i="10"/>
  <c r="UQ1" i="10"/>
  <c r="UP1" i="10"/>
  <c r="UO1" i="10"/>
  <c r="UN1" i="10"/>
  <c r="UM1" i="10"/>
  <c r="UL1" i="10"/>
  <c r="UK1" i="10"/>
  <c r="UJ1" i="10"/>
  <c r="UI1" i="10"/>
  <c r="UH1" i="10"/>
  <c r="UG1" i="10"/>
  <c r="UF1" i="10"/>
  <c r="UE1" i="10"/>
  <c r="UD1" i="10"/>
  <c r="UC1" i="10"/>
  <c r="UB1" i="10"/>
  <c r="UA1" i="10"/>
  <c r="TZ1" i="10"/>
  <c r="TY1" i="10"/>
  <c r="TX1" i="10"/>
  <c r="TW1" i="10"/>
  <c r="TV1" i="10"/>
  <c r="TU1" i="10"/>
  <c r="TT1" i="10"/>
  <c r="TS1" i="10"/>
  <c r="TR1" i="10"/>
  <c r="TQ1" i="10"/>
  <c r="TP1" i="10"/>
  <c r="TO1" i="10"/>
  <c r="TN1" i="10"/>
  <c r="TM1" i="10"/>
  <c r="TL1" i="10"/>
  <c r="TK1" i="10"/>
  <c r="TJ1" i="10"/>
  <c r="TI1" i="10"/>
  <c r="TH1" i="10"/>
  <c r="TG1" i="10"/>
  <c r="TF1" i="10"/>
  <c r="TE1" i="10"/>
  <c r="TD1" i="10"/>
  <c r="TC1" i="10"/>
  <c r="TB1" i="10"/>
  <c r="TA1" i="10"/>
  <c r="SZ1" i="10"/>
  <c r="SY1" i="10"/>
  <c r="SX1" i="10"/>
  <c r="SW1" i="10"/>
  <c r="SV1" i="10"/>
  <c r="SU1" i="10"/>
  <c r="ST1" i="10"/>
  <c r="SS1" i="10"/>
  <c r="SR1" i="10"/>
  <c r="SQ1" i="10"/>
  <c r="SP1" i="10"/>
  <c r="SO1" i="10"/>
  <c r="SN1" i="10"/>
  <c r="SM1" i="10"/>
  <c r="SL1" i="10"/>
  <c r="SK1" i="10"/>
  <c r="SJ1" i="10"/>
  <c r="SI1" i="10"/>
  <c r="SH1" i="10"/>
  <c r="SG1" i="10"/>
  <c r="SF1" i="10"/>
  <c r="SE1" i="10"/>
  <c r="SD1" i="10"/>
  <c r="SC1" i="10"/>
  <c r="SB1" i="10"/>
  <c r="SA1" i="10"/>
  <c r="RZ1" i="10"/>
  <c r="RY1" i="10"/>
  <c r="RX1" i="10"/>
  <c r="RW1" i="10"/>
  <c r="RV1" i="10"/>
  <c r="RU1" i="10"/>
  <c r="RT1" i="10"/>
  <c r="RS1" i="10"/>
  <c r="RR1" i="10"/>
  <c r="RQ1" i="10"/>
  <c r="RP1" i="10"/>
  <c r="RO1" i="10"/>
  <c r="RN1" i="10"/>
  <c r="RM1" i="10"/>
  <c r="RL1" i="10"/>
  <c r="RK1" i="10"/>
  <c r="RJ1" i="10"/>
  <c r="RI1" i="10"/>
  <c r="RH1" i="10"/>
  <c r="RG1" i="10"/>
  <c r="RF1" i="10"/>
  <c r="RE1" i="10"/>
  <c r="RD1" i="10"/>
  <c r="RC1" i="10"/>
  <c r="RB1" i="10"/>
  <c r="RA1" i="10"/>
  <c r="QZ1" i="10"/>
  <c r="QY1" i="10"/>
  <c r="QX1" i="10"/>
  <c r="QW1" i="10"/>
  <c r="QV1" i="10"/>
  <c r="QU1" i="10"/>
  <c r="QT1" i="10"/>
  <c r="QS1" i="10"/>
  <c r="QR1" i="10"/>
  <c r="QQ1" i="10"/>
  <c r="QP1" i="10"/>
  <c r="QO1" i="10"/>
  <c r="QN1" i="10"/>
  <c r="QM1" i="10"/>
  <c r="QL1" i="10"/>
  <c r="QK1" i="10"/>
  <c r="QJ1" i="10"/>
  <c r="QI1" i="10"/>
  <c r="QH1" i="10"/>
  <c r="QG1" i="10"/>
  <c r="QF1" i="10"/>
  <c r="QE1" i="10"/>
  <c r="QD1" i="10"/>
  <c r="QC1" i="10"/>
  <c r="QB1" i="10"/>
  <c r="QA1" i="10"/>
  <c r="PZ1" i="10"/>
  <c r="PY1" i="10"/>
  <c r="PX1" i="10"/>
  <c r="PW1" i="10"/>
  <c r="PV1" i="10"/>
  <c r="PU1" i="10"/>
  <c r="PT1" i="10"/>
  <c r="PS1" i="10"/>
  <c r="PR1" i="10"/>
  <c r="PQ1" i="10"/>
  <c r="PP1" i="10"/>
  <c r="PO1" i="10"/>
  <c r="PN1" i="10"/>
  <c r="PM1" i="10"/>
  <c r="PL1" i="10"/>
  <c r="PK1" i="10"/>
  <c r="PJ1" i="10"/>
  <c r="PI1" i="10"/>
  <c r="PH1" i="10"/>
  <c r="PG1" i="10"/>
  <c r="PF1" i="10"/>
  <c r="PE1" i="10"/>
  <c r="PD1" i="10"/>
  <c r="PC1" i="10"/>
  <c r="PB1" i="10"/>
  <c r="PA1" i="10"/>
  <c r="OZ1" i="10"/>
  <c r="OY1" i="10"/>
  <c r="OX1" i="10"/>
  <c r="OW1" i="10"/>
  <c r="OV1" i="10"/>
  <c r="OU1" i="10"/>
  <c r="OT1" i="10"/>
  <c r="OS1" i="10"/>
  <c r="OR1" i="10"/>
  <c r="OQ1" i="10"/>
  <c r="OP1" i="10"/>
  <c r="OO1" i="10"/>
  <c r="ON1" i="10"/>
  <c r="OM1" i="10"/>
  <c r="OL1" i="10"/>
  <c r="OK1" i="10"/>
  <c r="OJ1" i="10"/>
  <c r="OI1" i="10"/>
  <c r="OH1" i="10"/>
  <c r="OG1" i="10"/>
  <c r="OF1" i="10"/>
  <c r="OE1" i="10"/>
  <c r="OD1" i="10"/>
  <c r="OC1" i="10"/>
  <c r="OB1" i="10"/>
  <c r="OA1" i="10"/>
  <c r="NZ1" i="10"/>
  <c r="NY1" i="10"/>
  <c r="NX1" i="10"/>
  <c r="NW1" i="10"/>
  <c r="NV1" i="10"/>
  <c r="NU1" i="10"/>
  <c r="NT1" i="10"/>
  <c r="NS1" i="10"/>
  <c r="NR1" i="10"/>
  <c r="NQ1" i="10"/>
  <c r="NP1" i="10"/>
  <c r="NO1" i="10"/>
  <c r="NN1" i="10"/>
  <c r="NM1" i="10"/>
  <c r="NL1" i="10"/>
  <c r="NK1" i="10"/>
  <c r="NJ1" i="10"/>
  <c r="NI1" i="10"/>
  <c r="NH1" i="10"/>
  <c r="NG1" i="10"/>
  <c r="NF1" i="10"/>
  <c r="NE1" i="10"/>
  <c r="ND1" i="10"/>
  <c r="NC1" i="10"/>
  <c r="NB1" i="10"/>
  <c r="NA1" i="10"/>
  <c r="MZ1" i="10"/>
  <c r="MY1" i="10"/>
  <c r="MX1" i="10"/>
  <c r="MW1" i="10"/>
  <c r="MV1" i="10"/>
  <c r="MU1" i="10"/>
  <c r="MT1" i="10"/>
  <c r="MS1" i="10"/>
  <c r="MR1" i="10"/>
  <c r="MQ1" i="10"/>
  <c r="MP1" i="10"/>
  <c r="MO1" i="10"/>
  <c r="MN1" i="10"/>
  <c r="MM1" i="10"/>
  <c r="ML1" i="10"/>
  <c r="MK1" i="10"/>
  <c r="MJ1" i="10"/>
  <c r="MI1" i="10"/>
  <c r="MH1" i="10"/>
  <c r="MG1" i="10"/>
  <c r="MF1" i="10"/>
  <c r="ME1" i="10"/>
  <c r="MD1" i="10"/>
  <c r="MC1" i="10"/>
  <c r="MB1" i="10"/>
  <c r="MA1" i="10"/>
  <c r="LZ1" i="10"/>
  <c r="LY1" i="10"/>
  <c r="LX1" i="10"/>
  <c r="LW1" i="10"/>
  <c r="LV1" i="10"/>
  <c r="LU1" i="10"/>
  <c r="LT1" i="10"/>
  <c r="LS1" i="10"/>
  <c r="LR1" i="10"/>
  <c r="LQ1" i="10"/>
  <c r="LP1" i="10"/>
  <c r="LO1" i="10"/>
  <c r="LN1" i="10"/>
  <c r="LM1" i="10"/>
  <c r="LL1" i="10"/>
  <c r="LK1" i="10"/>
  <c r="LJ1" i="10"/>
  <c r="LI1" i="10"/>
  <c r="LH1" i="10"/>
  <c r="LG1" i="10"/>
  <c r="LF1" i="10"/>
  <c r="LE1" i="10"/>
  <c r="LD1" i="10"/>
  <c r="LC1" i="10"/>
  <c r="LB1" i="10"/>
  <c r="LA1" i="10"/>
  <c r="KZ1" i="10"/>
  <c r="KY1" i="10"/>
  <c r="KX1" i="10"/>
  <c r="KW1" i="10"/>
  <c r="KV1" i="10"/>
  <c r="KU1" i="10"/>
  <c r="KT1" i="10"/>
  <c r="KS1" i="10"/>
  <c r="KR1" i="10"/>
  <c r="KQ1" i="10"/>
  <c r="KP1" i="10"/>
  <c r="KO1" i="10"/>
  <c r="KN1" i="10"/>
  <c r="KM1" i="10"/>
  <c r="KL1" i="10"/>
  <c r="KK1" i="10"/>
  <c r="KJ1" i="10"/>
  <c r="KI1" i="10"/>
  <c r="KH1" i="10"/>
  <c r="KG1" i="10"/>
  <c r="KF1" i="10"/>
  <c r="KE1" i="10"/>
  <c r="KD1" i="10"/>
  <c r="KC1" i="10"/>
  <c r="KB1" i="10"/>
  <c r="KA1" i="10"/>
  <c r="JZ1" i="10"/>
  <c r="JY1" i="10"/>
  <c r="JX1" i="10"/>
  <c r="JW1" i="10"/>
  <c r="JV1" i="10"/>
  <c r="JU1" i="10"/>
  <c r="JT1" i="10"/>
  <c r="JS1" i="10"/>
  <c r="JR1" i="10"/>
  <c r="JQ1" i="10"/>
  <c r="JP1" i="10"/>
  <c r="JO1" i="10"/>
  <c r="JN1" i="10"/>
  <c r="JM1" i="10"/>
  <c r="JL1" i="10"/>
  <c r="JK1" i="10"/>
  <c r="JJ1" i="10"/>
  <c r="JI1" i="10"/>
  <c r="JH1" i="10"/>
  <c r="JG1" i="10"/>
  <c r="JF1" i="10"/>
  <c r="JE1" i="10"/>
  <c r="JD1" i="10"/>
  <c r="JC1" i="10"/>
  <c r="JB1" i="10"/>
  <c r="JA1" i="10"/>
  <c r="IZ1" i="10"/>
  <c r="IY1" i="10"/>
  <c r="IX1" i="10"/>
  <c r="IW1" i="10"/>
  <c r="IV1" i="10"/>
  <c r="IU1" i="10"/>
  <c r="IT1" i="10"/>
  <c r="IS1" i="10"/>
  <c r="IR1" i="10"/>
  <c r="IQ1" i="10"/>
  <c r="IP1" i="10"/>
  <c r="IO1" i="10"/>
  <c r="IN1" i="10"/>
  <c r="IM1" i="10"/>
  <c r="IL1" i="10"/>
  <c r="IK1" i="10"/>
  <c r="IJ1" i="10"/>
  <c r="II1" i="10"/>
  <c r="IH1" i="10"/>
  <c r="IG1" i="10"/>
  <c r="IF1" i="10"/>
  <c r="IE1" i="10"/>
  <c r="ID1" i="10"/>
  <c r="IC1" i="10"/>
  <c r="IB1" i="10"/>
  <c r="IA1" i="10"/>
  <c r="HZ1" i="10"/>
  <c r="HY1" i="10"/>
  <c r="HX1" i="10"/>
  <c r="HW1" i="10"/>
  <c r="HV1" i="10"/>
  <c r="HU1" i="10"/>
  <c r="HT1" i="10"/>
  <c r="HS1" i="10"/>
  <c r="HR1" i="10"/>
  <c r="HQ1" i="10"/>
  <c r="HP1" i="10"/>
  <c r="HO1" i="10"/>
  <c r="HN1" i="10"/>
  <c r="HM1" i="10"/>
  <c r="HL1" i="10"/>
  <c r="HK1" i="10"/>
  <c r="HJ1" i="10"/>
  <c r="HI1" i="10"/>
  <c r="HH1" i="10"/>
  <c r="HG1" i="10"/>
  <c r="HF1" i="10"/>
  <c r="HE1" i="10"/>
  <c r="HD1" i="10"/>
  <c r="HC1" i="10"/>
  <c r="HB1" i="10"/>
  <c r="HA1" i="10"/>
  <c r="GZ1" i="10"/>
  <c r="GY1" i="10"/>
  <c r="GX1" i="10"/>
  <c r="GW1" i="10"/>
  <c r="GV1" i="10"/>
  <c r="GU1" i="10"/>
  <c r="GT1" i="10"/>
  <c r="GS1" i="10"/>
  <c r="GR1" i="10"/>
  <c r="GQ1" i="10"/>
  <c r="GP1" i="10"/>
  <c r="GO1" i="10"/>
  <c r="GN1" i="10"/>
  <c r="GM1" i="10"/>
  <c r="GL1" i="10"/>
  <c r="GK1" i="10"/>
  <c r="GJ1" i="10"/>
  <c r="GI1" i="10"/>
  <c r="GH1" i="10"/>
  <c r="GG1" i="10"/>
  <c r="GF1" i="10"/>
  <c r="GE1" i="10"/>
  <c r="GD1" i="10"/>
  <c r="GC1" i="10"/>
  <c r="GB1" i="10"/>
  <c r="GA1" i="10"/>
  <c r="FZ1" i="10"/>
  <c r="FY1" i="10"/>
  <c r="FX1" i="10"/>
  <c r="FW1" i="10"/>
  <c r="FV1" i="10"/>
  <c r="FU1" i="10"/>
  <c r="FT1" i="10"/>
  <c r="FS1" i="10"/>
  <c r="FR1" i="10"/>
  <c r="FQ1" i="10"/>
  <c r="FP1" i="10"/>
  <c r="FO1" i="10"/>
  <c r="FN1" i="10"/>
  <c r="FM1" i="10"/>
  <c r="FL1" i="10"/>
  <c r="FK1" i="10"/>
  <c r="FJ1" i="10"/>
  <c r="FI1" i="10"/>
  <c r="FH1" i="10"/>
  <c r="FG1" i="10"/>
  <c r="FF1" i="10"/>
  <c r="FE1" i="10"/>
  <c r="FD1" i="10"/>
  <c r="FC1" i="10"/>
  <c r="FB1" i="10"/>
  <c r="FA1" i="10"/>
  <c r="EZ1" i="10"/>
  <c r="EY1" i="10"/>
  <c r="EX1" i="10"/>
  <c r="EW1" i="10"/>
  <c r="EV1" i="10"/>
  <c r="EU1" i="10"/>
  <c r="ET1" i="10"/>
  <c r="ES1" i="10"/>
  <c r="ER1" i="10"/>
  <c r="EQ1" i="10"/>
  <c r="EP1" i="10"/>
  <c r="EO1" i="10"/>
  <c r="EN1" i="10"/>
  <c r="EM1" i="10"/>
  <c r="EL1" i="10"/>
  <c r="EK1" i="10"/>
  <c r="EJ1" i="10"/>
  <c r="EI1" i="10"/>
  <c r="EH1" i="10"/>
  <c r="EG1" i="10"/>
  <c r="EF1" i="10"/>
  <c r="EE1" i="10"/>
  <c r="ED1" i="10"/>
  <c r="EC1" i="10"/>
  <c r="EB1" i="10"/>
  <c r="EA1" i="10"/>
  <c r="DZ1" i="10"/>
  <c r="DY1" i="10"/>
  <c r="DX1" i="10"/>
  <c r="DW1" i="10"/>
  <c r="DV1" i="10"/>
  <c r="DU1" i="10"/>
  <c r="DT1" i="10"/>
  <c r="DS1" i="10"/>
  <c r="DR1" i="10"/>
  <c r="DQ1" i="10"/>
  <c r="DP1" i="10"/>
  <c r="DO1" i="10"/>
  <c r="DN1" i="10"/>
  <c r="DM1" i="10"/>
  <c r="DL1" i="10"/>
  <c r="DK1" i="10"/>
  <c r="DJ1" i="10"/>
  <c r="DI1" i="10"/>
  <c r="DH1" i="10"/>
  <c r="DG1" i="10"/>
  <c r="DF1" i="10"/>
  <c r="DE1" i="10"/>
  <c r="DD1" i="10"/>
  <c r="DC1" i="10"/>
  <c r="DB1" i="10"/>
  <c r="DA1" i="10"/>
  <c r="CZ1" i="10"/>
  <c r="CY1" i="10"/>
  <c r="CX1" i="10"/>
  <c r="CW1" i="10"/>
  <c r="CV1" i="10"/>
  <c r="CU1" i="10"/>
  <c r="CT1" i="10"/>
  <c r="CS1" i="10"/>
  <c r="CR1" i="10"/>
  <c r="CQ1" i="10"/>
  <c r="CP1" i="10"/>
  <c r="CO1" i="10"/>
  <c r="CN1" i="10"/>
  <c r="CM1" i="10"/>
  <c r="CL1" i="10"/>
  <c r="CK1" i="10"/>
  <c r="CJ1" i="10"/>
  <c r="CI1" i="10"/>
  <c r="CH1" i="10"/>
  <c r="CG1" i="10"/>
  <c r="CF1" i="10"/>
  <c r="CE1" i="10"/>
  <c r="CD1" i="10"/>
  <c r="CC1" i="10"/>
  <c r="CB1" i="10"/>
  <c r="CA1" i="10"/>
  <c r="BZ1" i="10"/>
  <c r="BY1" i="10"/>
  <c r="BX1" i="10"/>
  <c r="BW1" i="10"/>
  <c r="BV1" i="10"/>
  <c r="BU1" i="10"/>
  <c r="BT1" i="10"/>
  <c r="BS1" i="10"/>
  <c r="BR1" i="10"/>
  <c r="BQ1" i="10"/>
  <c r="BP1" i="10"/>
  <c r="BO1" i="10"/>
  <c r="BN1" i="10"/>
  <c r="BM1" i="10"/>
  <c r="BL1" i="10"/>
  <c r="BK1" i="10"/>
  <c r="BJ1" i="10"/>
  <c r="BI1" i="10"/>
  <c r="BH1" i="10"/>
  <c r="BG1" i="10"/>
  <c r="BF1" i="10"/>
  <c r="BE1" i="10"/>
  <c r="BD1" i="10"/>
  <c r="BC1" i="10"/>
  <c r="BB1" i="10"/>
  <c r="BA1" i="10"/>
  <c r="AZ1" i="10"/>
  <c r="AY1" i="10"/>
  <c r="AX1" i="10"/>
  <c r="AW1" i="10"/>
  <c r="AV1" i="10"/>
  <c r="AU1" i="10"/>
  <c r="AT1" i="10"/>
  <c r="AS1" i="10"/>
  <c r="AR1" i="10"/>
  <c r="AQ1" i="10"/>
  <c r="AP1" i="10"/>
  <c r="AO1" i="10"/>
  <c r="AN1" i="10"/>
  <c r="AM1" i="10"/>
  <c r="AL1" i="10"/>
  <c r="AK1" i="10"/>
  <c r="AJ1" i="10"/>
  <c r="AI1" i="10"/>
  <c r="AH1" i="10"/>
  <c r="AG1" i="10"/>
  <c r="AF1" i="10"/>
  <c r="AE1" i="10"/>
  <c r="AD1" i="10"/>
  <c r="AC1" i="10"/>
  <c r="AB1" i="10"/>
  <c r="AA1" i="10"/>
  <c r="Z1" i="10"/>
  <c r="Y1" i="10"/>
  <c r="X1" i="10"/>
  <c r="W1" i="10"/>
  <c r="V1" i="10"/>
  <c r="U1" i="10"/>
  <c r="T1" i="10"/>
  <c r="S1" i="10"/>
  <c r="R1" i="10"/>
  <c r="Q1" i="10"/>
  <c r="P1" i="10"/>
  <c r="O1" i="10"/>
  <c r="N1" i="10"/>
  <c r="M1" i="10"/>
  <c r="L1" i="10"/>
  <c r="K1" i="10"/>
  <c r="J1" i="10"/>
  <c r="I1" i="10"/>
  <c r="H1" i="10"/>
  <c r="G1" i="10"/>
  <c r="F1" i="10"/>
  <c r="E1" i="10"/>
  <c r="D1" i="10"/>
  <c r="C1" i="10"/>
  <c r="XFD1" i="9"/>
  <c r="XFC1" i="9"/>
  <c r="XFB1" i="9"/>
  <c r="XFA1" i="9"/>
  <c r="XEZ1" i="9"/>
  <c r="XEY1" i="9"/>
  <c r="XEX1" i="9"/>
  <c r="XEW1" i="9"/>
  <c r="XEV1" i="9"/>
  <c r="XEU1" i="9"/>
  <c r="XET1" i="9"/>
  <c r="XES1" i="9"/>
  <c r="XER1" i="9"/>
  <c r="XEQ1" i="9"/>
  <c r="XEP1" i="9"/>
  <c r="XEO1" i="9"/>
  <c r="XEN1" i="9"/>
  <c r="XEM1" i="9"/>
  <c r="XEL1" i="9"/>
  <c r="XEK1" i="9"/>
  <c r="XEJ1" i="9"/>
  <c r="XEI1" i="9"/>
  <c r="XEH1" i="9"/>
  <c r="XEG1" i="9"/>
  <c r="XEF1" i="9"/>
  <c r="XEE1" i="9"/>
  <c r="XED1" i="9"/>
  <c r="XEC1" i="9"/>
  <c r="XEB1" i="9"/>
  <c r="XEA1" i="9"/>
  <c r="XDZ1" i="9"/>
  <c r="XDY1" i="9"/>
  <c r="XDX1" i="9"/>
  <c r="XDW1" i="9"/>
  <c r="XDV1" i="9"/>
  <c r="XDU1" i="9"/>
  <c r="XDT1" i="9"/>
  <c r="XDS1" i="9"/>
  <c r="XDR1" i="9"/>
  <c r="XDQ1" i="9"/>
  <c r="XDP1" i="9"/>
  <c r="XDO1" i="9"/>
  <c r="XDN1" i="9"/>
  <c r="XDM1" i="9"/>
  <c r="XDL1" i="9"/>
  <c r="XDK1" i="9"/>
  <c r="XDJ1" i="9"/>
  <c r="XDI1" i="9"/>
  <c r="XDH1" i="9"/>
  <c r="XDG1" i="9"/>
  <c r="XDF1" i="9"/>
  <c r="XDE1" i="9"/>
  <c r="XDD1" i="9"/>
  <c r="XDC1" i="9"/>
  <c r="XDB1" i="9"/>
  <c r="XDA1" i="9"/>
  <c r="XCZ1" i="9"/>
  <c r="XCY1" i="9"/>
  <c r="XCX1" i="9"/>
  <c r="XCW1" i="9"/>
  <c r="XCV1" i="9"/>
  <c r="XCU1" i="9"/>
  <c r="XCT1" i="9"/>
  <c r="XCS1" i="9"/>
  <c r="XCR1" i="9"/>
  <c r="XCQ1" i="9"/>
  <c r="XCP1" i="9"/>
  <c r="XCO1" i="9"/>
  <c r="XCN1" i="9"/>
  <c r="XCM1" i="9"/>
  <c r="XCL1" i="9"/>
  <c r="XCK1" i="9"/>
  <c r="XCJ1" i="9"/>
  <c r="XCI1" i="9"/>
  <c r="XCH1" i="9"/>
  <c r="XCG1" i="9"/>
  <c r="XCF1" i="9"/>
  <c r="XCE1" i="9"/>
  <c r="XCD1" i="9"/>
  <c r="XCC1" i="9"/>
  <c r="XCB1" i="9"/>
  <c r="XCA1" i="9"/>
  <c r="XBZ1" i="9"/>
  <c r="XBY1" i="9"/>
  <c r="XBX1" i="9"/>
  <c r="XBW1" i="9"/>
  <c r="XBV1" i="9"/>
  <c r="XBU1" i="9"/>
  <c r="XBT1" i="9"/>
  <c r="XBS1" i="9"/>
  <c r="XBR1" i="9"/>
  <c r="XBQ1" i="9"/>
  <c r="XBP1" i="9"/>
  <c r="XBO1" i="9"/>
  <c r="XBN1" i="9"/>
  <c r="XBM1" i="9"/>
  <c r="XBL1" i="9"/>
  <c r="XBK1" i="9"/>
  <c r="XBJ1" i="9"/>
  <c r="XBI1" i="9"/>
  <c r="XBH1" i="9"/>
  <c r="XBG1" i="9"/>
  <c r="XBF1" i="9"/>
  <c r="XBE1" i="9"/>
  <c r="XBD1" i="9"/>
  <c r="XBC1" i="9"/>
  <c r="XBB1" i="9"/>
  <c r="XBA1" i="9"/>
  <c r="XAZ1" i="9"/>
  <c r="XAY1" i="9"/>
  <c r="XAX1" i="9"/>
  <c r="XAW1" i="9"/>
  <c r="XAV1" i="9"/>
  <c r="XAU1" i="9"/>
  <c r="XAT1" i="9"/>
  <c r="XAS1" i="9"/>
  <c r="XAR1" i="9"/>
  <c r="XAQ1" i="9"/>
  <c r="XAP1" i="9"/>
  <c r="XAO1" i="9"/>
  <c r="XAN1" i="9"/>
  <c r="XAM1" i="9"/>
  <c r="XAL1" i="9"/>
  <c r="XAK1" i="9"/>
  <c r="XAJ1" i="9"/>
  <c r="XAI1" i="9"/>
  <c r="XAH1" i="9"/>
  <c r="XAG1" i="9"/>
  <c r="XAF1" i="9"/>
  <c r="XAE1" i="9"/>
  <c r="XAD1" i="9"/>
  <c r="XAC1" i="9"/>
  <c r="XAB1" i="9"/>
  <c r="XAA1" i="9"/>
  <c r="WZZ1" i="9"/>
  <c r="WZY1" i="9"/>
  <c r="WZX1" i="9"/>
  <c r="WZW1" i="9"/>
  <c r="WZV1" i="9"/>
  <c r="WZU1" i="9"/>
  <c r="WZT1" i="9"/>
  <c r="WZS1" i="9"/>
  <c r="WZR1" i="9"/>
  <c r="WZQ1" i="9"/>
  <c r="WZP1" i="9"/>
  <c r="WZO1" i="9"/>
  <c r="WZN1" i="9"/>
  <c r="WZM1" i="9"/>
  <c r="WZL1" i="9"/>
  <c r="WZK1" i="9"/>
  <c r="WZJ1" i="9"/>
  <c r="WZI1" i="9"/>
  <c r="WZH1" i="9"/>
  <c r="WZG1" i="9"/>
  <c r="WZF1" i="9"/>
  <c r="WZE1" i="9"/>
  <c r="WZD1" i="9"/>
  <c r="WZC1" i="9"/>
  <c r="WZB1" i="9"/>
  <c r="WZA1" i="9"/>
  <c r="WYZ1" i="9"/>
  <c r="WYY1" i="9"/>
  <c r="WYX1" i="9"/>
  <c r="WYW1" i="9"/>
  <c r="WYV1" i="9"/>
  <c r="WYU1" i="9"/>
  <c r="WYT1" i="9"/>
  <c r="WYS1" i="9"/>
  <c r="WYR1" i="9"/>
  <c r="WYQ1" i="9"/>
  <c r="WYP1" i="9"/>
  <c r="WYO1" i="9"/>
  <c r="WYN1" i="9"/>
  <c r="WYM1" i="9"/>
  <c r="WYL1" i="9"/>
  <c r="WYK1" i="9"/>
  <c r="WYJ1" i="9"/>
  <c r="WYI1" i="9"/>
  <c r="WYH1" i="9"/>
  <c r="WYG1" i="9"/>
  <c r="WYF1" i="9"/>
  <c r="WYE1" i="9"/>
  <c r="WYD1" i="9"/>
  <c r="WYC1" i="9"/>
  <c r="WYB1" i="9"/>
  <c r="WYA1" i="9"/>
  <c r="WXZ1" i="9"/>
  <c r="WXY1" i="9"/>
  <c r="WXX1" i="9"/>
  <c r="WXW1" i="9"/>
  <c r="WXV1" i="9"/>
  <c r="WXU1" i="9"/>
  <c r="WXT1" i="9"/>
  <c r="WXS1" i="9"/>
  <c r="WXR1" i="9"/>
  <c r="WXQ1" i="9"/>
  <c r="WXP1" i="9"/>
  <c r="WXO1" i="9"/>
  <c r="WXN1" i="9"/>
  <c r="WXM1" i="9"/>
  <c r="WXL1" i="9"/>
  <c r="WXK1" i="9"/>
  <c r="WXJ1" i="9"/>
  <c r="WXI1" i="9"/>
  <c r="WXH1" i="9"/>
  <c r="WXG1" i="9"/>
  <c r="WXF1" i="9"/>
  <c r="WXE1" i="9"/>
  <c r="WXD1" i="9"/>
  <c r="WXC1" i="9"/>
  <c r="WXB1" i="9"/>
  <c r="WXA1" i="9"/>
  <c r="WWZ1" i="9"/>
  <c r="WWY1" i="9"/>
  <c r="WWX1" i="9"/>
  <c r="WWW1" i="9"/>
  <c r="WWV1" i="9"/>
  <c r="WWU1" i="9"/>
  <c r="WWT1" i="9"/>
  <c r="WWS1" i="9"/>
  <c r="WWR1" i="9"/>
  <c r="WWQ1" i="9"/>
  <c r="WWP1" i="9"/>
  <c r="WWO1" i="9"/>
  <c r="WWN1" i="9"/>
  <c r="WWM1" i="9"/>
  <c r="WWL1" i="9"/>
  <c r="WWK1" i="9"/>
  <c r="WWJ1" i="9"/>
  <c r="WWI1" i="9"/>
  <c r="WWH1" i="9"/>
  <c r="WWG1" i="9"/>
  <c r="WWF1" i="9"/>
  <c r="WWE1" i="9"/>
  <c r="WWD1" i="9"/>
  <c r="WWC1" i="9"/>
  <c r="WWB1" i="9"/>
  <c r="WWA1" i="9"/>
  <c r="WVZ1" i="9"/>
  <c r="WVY1" i="9"/>
  <c r="WVX1" i="9"/>
  <c r="WVW1" i="9"/>
  <c r="WVV1" i="9"/>
  <c r="WVU1" i="9"/>
  <c r="WVT1" i="9"/>
  <c r="WVS1" i="9"/>
  <c r="WVR1" i="9"/>
  <c r="WVQ1" i="9"/>
  <c r="WVP1" i="9"/>
  <c r="WVO1" i="9"/>
  <c r="WVN1" i="9"/>
  <c r="WVM1" i="9"/>
  <c r="WVL1" i="9"/>
  <c r="WVK1" i="9"/>
  <c r="WVJ1" i="9"/>
  <c r="WVI1" i="9"/>
  <c r="WVH1" i="9"/>
  <c r="WVG1" i="9"/>
  <c r="WVF1" i="9"/>
  <c r="WVE1" i="9"/>
  <c r="WVD1" i="9"/>
  <c r="WVC1" i="9"/>
  <c r="WVB1" i="9"/>
  <c r="WVA1" i="9"/>
  <c r="WUZ1" i="9"/>
  <c r="WUY1" i="9"/>
  <c r="WUX1" i="9"/>
  <c r="WUW1" i="9"/>
  <c r="WUV1" i="9"/>
  <c r="WUU1" i="9"/>
  <c r="WUT1" i="9"/>
  <c r="WUS1" i="9"/>
  <c r="WUR1" i="9"/>
  <c r="WUQ1" i="9"/>
  <c r="WUP1" i="9"/>
  <c r="WUO1" i="9"/>
  <c r="WUN1" i="9"/>
  <c r="WUM1" i="9"/>
  <c r="WUL1" i="9"/>
  <c r="WUK1" i="9"/>
  <c r="WUJ1" i="9"/>
  <c r="WUI1" i="9"/>
  <c r="WUH1" i="9"/>
  <c r="WUG1" i="9"/>
  <c r="WUF1" i="9"/>
  <c r="WUE1" i="9"/>
  <c r="WUD1" i="9"/>
  <c r="WUC1" i="9"/>
  <c r="WUB1" i="9"/>
  <c r="WUA1" i="9"/>
  <c r="WTZ1" i="9"/>
  <c r="WTY1" i="9"/>
  <c r="WTX1" i="9"/>
  <c r="WTW1" i="9"/>
  <c r="WTV1" i="9"/>
  <c r="WTU1" i="9"/>
  <c r="WTT1" i="9"/>
  <c r="WTS1" i="9"/>
  <c r="WTR1" i="9"/>
  <c r="WTQ1" i="9"/>
  <c r="WTP1" i="9"/>
  <c r="WTO1" i="9"/>
  <c r="WTN1" i="9"/>
  <c r="WTM1" i="9"/>
  <c r="WTL1" i="9"/>
  <c r="WTK1" i="9"/>
  <c r="WTJ1" i="9"/>
  <c r="WTI1" i="9"/>
  <c r="WTH1" i="9"/>
  <c r="WTG1" i="9"/>
  <c r="WTF1" i="9"/>
  <c r="WTE1" i="9"/>
  <c r="WTD1" i="9"/>
  <c r="WTC1" i="9"/>
  <c r="WTB1" i="9"/>
  <c r="WTA1" i="9"/>
  <c r="WSZ1" i="9"/>
  <c r="WSY1" i="9"/>
  <c r="WSX1" i="9"/>
  <c r="WSW1" i="9"/>
  <c r="WSV1" i="9"/>
  <c r="WSU1" i="9"/>
  <c r="WST1" i="9"/>
  <c r="WSS1" i="9"/>
  <c r="WSR1" i="9"/>
  <c r="WSQ1" i="9"/>
  <c r="WSP1" i="9"/>
  <c r="WSO1" i="9"/>
  <c r="WSN1" i="9"/>
  <c r="WSM1" i="9"/>
  <c r="WSL1" i="9"/>
  <c r="WSK1" i="9"/>
  <c r="WSJ1" i="9"/>
  <c r="WSI1" i="9"/>
  <c r="WSH1" i="9"/>
  <c r="WSG1" i="9"/>
  <c r="WSF1" i="9"/>
  <c r="WSE1" i="9"/>
  <c r="WSD1" i="9"/>
  <c r="WSC1" i="9"/>
  <c r="WSB1" i="9"/>
  <c r="WSA1" i="9"/>
  <c r="WRZ1" i="9"/>
  <c r="WRY1" i="9"/>
  <c r="WRX1" i="9"/>
  <c r="WRW1" i="9"/>
  <c r="WRV1" i="9"/>
  <c r="WRU1" i="9"/>
  <c r="WRT1" i="9"/>
  <c r="WRS1" i="9"/>
  <c r="WRR1" i="9"/>
  <c r="WRQ1" i="9"/>
  <c r="WRP1" i="9"/>
  <c r="WRO1" i="9"/>
  <c r="WRN1" i="9"/>
  <c r="WRM1" i="9"/>
  <c r="WRL1" i="9"/>
  <c r="WRK1" i="9"/>
  <c r="WRJ1" i="9"/>
  <c r="WRI1" i="9"/>
  <c r="WRH1" i="9"/>
  <c r="WRG1" i="9"/>
  <c r="WRF1" i="9"/>
  <c r="WRE1" i="9"/>
  <c r="WRD1" i="9"/>
  <c r="WRC1" i="9"/>
  <c r="WRB1" i="9"/>
  <c r="WRA1" i="9"/>
  <c r="WQZ1" i="9"/>
  <c r="WQY1" i="9"/>
  <c r="WQX1" i="9"/>
  <c r="WQW1" i="9"/>
  <c r="WQV1" i="9"/>
  <c r="WQU1" i="9"/>
  <c r="WQT1" i="9"/>
  <c r="WQS1" i="9"/>
  <c r="WQR1" i="9"/>
  <c r="WQQ1" i="9"/>
  <c r="WQP1" i="9"/>
  <c r="WQO1" i="9"/>
  <c r="WQN1" i="9"/>
  <c r="WQM1" i="9"/>
  <c r="WQL1" i="9"/>
  <c r="WQK1" i="9"/>
  <c r="WQJ1" i="9"/>
  <c r="WQI1" i="9"/>
  <c r="WQH1" i="9"/>
  <c r="WQG1" i="9"/>
  <c r="WQF1" i="9"/>
  <c r="WQE1" i="9"/>
  <c r="WQD1" i="9"/>
  <c r="WQC1" i="9"/>
  <c r="WQB1" i="9"/>
  <c r="WQA1" i="9"/>
  <c r="WPZ1" i="9"/>
  <c r="WPY1" i="9"/>
  <c r="WPX1" i="9"/>
  <c r="WPW1" i="9"/>
  <c r="WPV1" i="9"/>
  <c r="WPU1" i="9"/>
  <c r="WPT1" i="9"/>
  <c r="WPS1" i="9"/>
  <c r="WPR1" i="9"/>
  <c r="WPQ1" i="9"/>
  <c r="WPP1" i="9"/>
  <c r="WPO1" i="9"/>
  <c r="WPN1" i="9"/>
  <c r="WPM1" i="9"/>
  <c r="WPL1" i="9"/>
  <c r="WPK1" i="9"/>
  <c r="WPJ1" i="9"/>
  <c r="WPI1" i="9"/>
  <c r="WPH1" i="9"/>
  <c r="WPG1" i="9"/>
  <c r="WPF1" i="9"/>
  <c r="WPE1" i="9"/>
  <c r="WPD1" i="9"/>
  <c r="WPC1" i="9"/>
  <c r="WPB1" i="9"/>
  <c r="WPA1" i="9"/>
  <c r="WOZ1" i="9"/>
  <c r="WOY1" i="9"/>
  <c r="WOX1" i="9"/>
  <c r="WOW1" i="9"/>
  <c r="WOV1" i="9"/>
  <c r="WOU1" i="9"/>
  <c r="WOT1" i="9"/>
  <c r="WOS1" i="9"/>
  <c r="WOR1" i="9"/>
  <c r="WOQ1" i="9"/>
  <c r="WOP1" i="9"/>
  <c r="WOO1" i="9"/>
  <c r="WON1" i="9"/>
  <c r="WOM1" i="9"/>
  <c r="WOL1" i="9"/>
  <c r="WOK1" i="9"/>
  <c r="WOJ1" i="9"/>
  <c r="WOI1" i="9"/>
  <c r="WOH1" i="9"/>
  <c r="WOG1" i="9"/>
  <c r="WOF1" i="9"/>
  <c r="WOE1" i="9"/>
  <c r="WOD1" i="9"/>
  <c r="WOC1" i="9"/>
  <c r="WOB1" i="9"/>
  <c r="WOA1" i="9"/>
  <c r="WNZ1" i="9"/>
  <c r="WNY1" i="9"/>
  <c r="WNX1" i="9"/>
  <c r="WNW1" i="9"/>
  <c r="WNV1" i="9"/>
  <c r="WNU1" i="9"/>
  <c r="WNT1" i="9"/>
  <c r="WNS1" i="9"/>
  <c r="WNR1" i="9"/>
  <c r="WNQ1" i="9"/>
  <c r="WNP1" i="9"/>
  <c r="WNO1" i="9"/>
  <c r="WNN1" i="9"/>
  <c r="WNM1" i="9"/>
  <c r="WNL1" i="9"/>
  <c r="WNK1" i="9"/>
  <c r="WNJ1" i="9"/>
  <c r="WNI1" i="9"/>
  <c r="WNH1" i="9"/>
  <c r="WNG1" i="9"/>
  <c r="WNF1" i="9"/>
  <c r="WNE1" i="9"/>
  <c r="WND1" i="9"/>
  <c r="WNC1" i="9"/>
  <c r="WNB1" i="9"/>
  <c r="WNA1" i="9"/>
  <c r="WMZ1" i="9"/>
  <c r="WMY1" i="9"/>
  <c r="WMX1" i="9"/>
  <c r="WMW1" i="9"/>
  <c r="WMV1" i="9"/>
  <c r="WMU1" i="9"/>
  <c r="WMT1" i="9"/>
  <c r="WMS1" i="9"/>
  <c r="WMR1" i="9"/>
  <c r="WMQ1" i="9"/>
  <c r="WMP1" i="9"/>
  <c r="WMO1" i="9"/>
  <c r="WMN1" i="9"/>
  <c r="WMM1" i="9"/>
  <c r="WML1" i="9"/>
  <c r="WMK1" i="9"/>
  <c r="WMJ1" i="9"/>
  <c r="WMI1" i="9"/>
  <c r="WMH1" i="9"/>
  <c r="WMG1" i="9"/>
  <c r="WMF1" i="9"/>
  <c r="WME1" i="9"/>
  <c r="WMD1" i="9"/>
  <c r="WMC1" i="9"/>
  <c r="WMB1" i="9"/>
  <c r="WMA1" i="9"/>
  <c r="WLZ1" i="9"/>
  <c r="WLY1" i="9"/>
  <c r="WLX1" i="9"/>
  <c r="WLW1" i="9"/>
  <c r="WLV1" i="9"/>
  <c r="WLU1" i="9"/>
  <c r="WLT1" i="9"/>
  <c r="WLS1" i="9"/>
  <c r="WLR1" i="9"/>
  <c r="WLQ1" i="9"/>
  <c r="WLP1" i="9"/>
  <c r="WLO1" i="9"/>
  <c r="WLN1" i="9"/>
  <c r="WLM1" i="9"/>
  <c r="WLL1" i="9"/>
  <c r="WLK1" i="9"/>
  <c r="WLJ1" i="9"/>
  <c r="WLI1" i="9"/>
  <c r="WLH1" i="9"/>
  <c r="WLG1" i="9"/>
  <c r="WLF1" i="9"/>
  <c r="WLE1" i="9"/>
  <c r="WLD1" i="9"/>
  <c r="WLC1" i="9"/>
  <c r="WLB1" i="9"/>
  <c r="WLA1" i="9"/>
  <c r="WKZ1" i="9"/>
  <c r="WKY1" i="9"/>
  <c r="WKX1" i="9"/>
  <c r="WKW1" i="9"/>
  <c r="WKV1" i="9"/>
  <c r="WKU1" i="9"/>
  <c r="WKT1" i="9"/>
  <c r="WKS1" i="9"/>
  <c r="WKR1" i="9"/>
  <c r="WKQ1" i="9"/>
  <c r="WKP1" i="9"/>
  <c r="WKO1" i="9"/>
  <c r="WKN1" i="9"/>
  <c r="WKM1" i="9"/>
  <c r="WKL1" i="9"/>
  <c r="WKK1" i="9"/>
  <c r="WKJ1" i="9"/>
  <c r="WKI1" i="9"/>
  <c r="WKH1" i="9"/>
  <c r="WKG1" i="9"/>
  <c r="WKF1" i="9"/>
  <c r="WKE1" i="9"/>
  <c r="WKD1" i="9"/>
  <c r="WKC1" i="9"/>
  <c r="WKB1" i="9"/>
  <c r="WKA1" i="9"/>
  <c r="WJZ1" i="9"/>
  <c r="WJY1" i="9"/>
  <c r="WJX1" i="9"/>
  <c r="WJW1" i="9"/>
  <c r="WJV1" i="9"/>
  <c r="WJU1" i="9"/>
  <c r="WJT1" i="9"/>
  <c r="WJS1" i="9"/>
  <c r="WJR1" i="9"/>
  <c r="WJQ1" i="9"/>
  <c r="WJP1" i="9"/>
  <c r="WJO1" i="9"/>
  <c r="WJN1" i="9"/>
  <c r="WJM1" i="9"/>
  <c r="WJL1" i="9"/>
  <c r="WJK1" i="9"/>
  <c r="WJJ1" i="9"/>
  <c r="WJI1" i="9"/>
  <c r="WJH1" i="9"/>
  <c r="WJG1" i="9"/>
  <c r="WJF1" i="9"/>
  <c r="WJE1" i="9"/>
  <c r="WJD1" i="9"/>
  <c r="WJC1" i="9"/>
  <c r="WJB1" i="9"/>
  <c r="WJA1" i="9"/>
  <c r="WIZ1" i="9"/>
  <c r="WIY1" i="9"/>
  <c r="WIX1" i="9"/>
  <c r="WIW1" i="9"/>
  <c r="WIV1" i="9"/>
  <c r="WIU1" i="9"/>
  <c r="WIT1" i="9"/>
  <c r="WIS1" i="9"/>
  <c r="WIR1" i="9"/>
  <c r="WIQ1" i="9"/>
  <c r="WIP1" i="9"/>
  <c r="WIO1" i="9"/>
  <c r="WIN1" i="9"/>
  <c r="WIM1" i="9"/>
  <c r="WIL1" i="9"/>
  <c r="WIK1" i="9"/>
  <c r="WIJ1" i="9"/>
  <c r="WII1" i="9"/>
  <c r="WIH1" i="9"/>
  <c r="WIG1" i="9"/>
  <c r="WIF1" i="9"/>
  <c r="WIE1" i="9"/>
  <c r="WID1" i="9"/>
  <c r="WIC1" i="9"/>
  <c r="WIB1" i="9"/>
  <c r="WIA1" i="9"/>
  <c r="WHZ1" i="9"/>
  <c r="WHY1" i="9"/>
  <c r="WHX1" i="9"/>
  <c r="WHW1" i="9"/>
  <c r="WHV1" i="9"/>
  <c r="WHU1" i="9"/>
  <c r="WHT1" i="9"/>
  <c r="WHS1" i="9"/>
  <c r="WHR1" i="9"/>
  <c r="WHQ1" i="9"/>
  <c r="WHP1" i="9"/>
  <c r="WHO1" i="9"/>
  <c r="WHN1" i="9"/>
  <c r="WHM1" i="9"/>
  <c r="WHL1" i="9"/>
  <c r="WHK1" i="9"/>
  <c r="WHJ1" i="9"/>
  <c r="WHI1" i="9"/>
  <c r="WHH1" i="9"/>
  <c r="WHG1" i="9"/>
  <c r="WHF1" i="9"/>
  <c r="WHE1" i="9"/>
  <c r="WHD1" i="9"/>
  <c r="WHC1" i="9"/>
  <c r="WHB1" i="9"/>
  <c r="WHA1" i="9"/>
  <c r="WGZ1" i="9"/>
  <c r="WGY1" i="9"/>
  <c r="WGX1" i="9"/>
  <c r="WGW1" i="9"/>
  <c r="WGV1" i="9"/>
  <c r="WGU1" i="9"/>
  <c r="WGT1" i="9"/>
  <c r="WGS1" i="9"/>
  <c r="WGR1" i="9"/>
  <c r="WGQ1" i="9"/>
  <c r="WGP1" i="9"/>
  <c r="WGO1" i="9"/>
  <c r="WGN1" i="9"/>
  <c r="WGM1" i="9"/>
  <c r="WGL1" i="9"/>
  <c r="WGK1" i="9"/>
  <c r="WGJ1" i="9"/>
  <c r="WGI1" i="9"/>
  <c r="WGH1" i="9"/>
  <c r="WGG1" i="9"/>
  <c r="WGF1" i="9"/>
  <c r="WGE1" i="9"/>
  <c r="WGD1" i="9"/>
  <c r="WGC1" i="9"/>
  <c r="WGB1" i="9"/>
  <c r="WGA1" i="9"/>
  <c r="WFZ1" i="9"/>
  <c r="WFY1" i="9"/>
  <c r="WFX1" i="9"/>
  <c r="WFW1" i="9"/>
  <c r="WFV1" i="9"/>
  <c r="WFU1" i="9"/>
  <c r="WFT1" i="9"/>
  <c r="WFS1" i="9"/>
  <c r="WFR1" i="9"/>
  <c r="WFQ1" i="9"/>
  <c r="WFP1" i="9"/>
  <c r="WFO1" i="9"/>
  <c r="WFN1" i="9"/>
  <c r="WFM1" i="9"/>
  <c r="WFL1" i="9"/>
  <c r="WFK1" i="9"/>
  <c r="WFJ1" i="9"/>
  <c r="WFI1" i="9"/>
  <c r="WFH1" i="9"/>
  <c r="WFG1" i="9"/>
  <c r="WFF1" i="9"/>
  <c r="WFE1" i="9"/>
  <c r="WFD1" i="9"/>
  <c r="WFC1" i="9"/>
  <c r="WFB1" i="9"/>
  <c r="WFA1" i="9"/>
  <c r="WEZ1" i="9"/>
  <c r="WEY1" i="9"/>
  <c r="WEX1" i="9"/>
  <c r="WEW1" i="9"/>
  <c r="WEV1" i="9"/>
  <c r="WEU1" i="9"/>
  <c r="WET1" i="9"/>
  <c r="WES1" i="9"/>
  <c r="WER1" i="9"/>
  <c r="WEQ1" i="9"/>
  <c r="WEP1" i="9"/>
  <c r="WEO1" i="9"/>
  <c r="WEN1" i="9"/>
  <c r="WEM1" i="9"/>
  <c r="WEL1" i="9"/>
  <c r="WEK1" i="9"/>
  <c r="WEJ1" i="9"/>
  <c r="WEI1" i="9"/>
  <c r="WEH1" i="9"/>
  <c r="WEG1" i="9"/>
  <c r="WEF1" i="9"/>
  <c r="WEE1" i="9"/>
  <c r="WED1" i="9"/>
  <c r="WEC1" i="9"/>
  <c r="WEB1" i="9"/>
  <c r="WEA1" i="9"/>
  <c r="WDZ1" i="9"/>
  <c r="WDY1" i="9"/>
  <c r="WDX1" i="9"/>
  <c r="WDW1" i="9"/>
  <c r="WDV1" i="9"/>
  <c r="WDU1" i="9"/>
  <c r="WDT1" i="9"/>
  <c r="WDS1" i="9"/>
  <c r="WDR1" i="9"/>
  <c r="WDQ1" i="9"/>
  <c r="WDP1" i="9"/>
  <c r="WDO1" i="9"/>
  <c r="WDN1" i="9"/>
  <c r="WDM1" i="9"/>
  <c r="WDL1" i="9"/>
  <c r="WDK1" i="9"/>
  <c r="WDJ1" i="9"/>
  <c r="WDI1" i="9"/>
  <c r="WDH1" i="9"/>
  <c r="WDG1" i="9"/>
  <c r="WDF1" i="9"/>
  <c r="WDE1" i="9"/>
  <c r="WDD1" i="9"/>
  <c r="WDC1" i="9"/>
  <c r="WDB1" i="9"/>
  <c r="WDA1" i="9"/>
  <c r="WCZ1" i="9"/>
  <c r="WCY1" i="9"/>
  <c r="WCX1" i="9"/>
  <c r="WCW1" i="9"/>
  <c r="WCV1" i="9"/>
  <c r="WCU1" i="9"/>
  <c r="WCT1" i="9"/>
  <c r="WCS1" i="9"/>
  <c r="WCR1" i="9"/>
  <c r="WCQ1" i="9"/>
  <c r="WCP1" i="9"/>
  <c r="WCO1" i="9"/>
  <c r="WCN1" i="9"/>
  <c r="WCM1" i="9"/>
  <c r="WCL1" i="9"/>
  <c r="WCK1" i="9"/>
  <c r="WCJ1" i="9"/>
  <c r="WCI1" i="9"/>
  <c r="WCH1" i="9"/>
  <c r="WCG1" i="9"/>
  <c r="WCF1" i="9"/>
  <c r="WCE1" i="9"/>
  <c r="WCD1" i="9"/>
  <c r="WCC1" i="9"/>
  <c r="WCB1" i="9"/>
  <c r="WCA1" i="9"/>
  <c r="WBZ1" i="9"/>
  <c r="WBY1" i="9"/>
  <c r="WBX1" i="9"/>
  <c r="WBW1" i="9"/>
  <c r="WBV1" i="9"/>
  <c r="WBU1" i="9"/>
  <c r="WBT1" i="9"/>
  <c r="WBS1" i="9"/>
  <c r="WBR1" i="9"/>
  <c r="WBQ1" i="9"/>
  <c r="WBP1" i="9"/>
  <c r="WBO1" i="9"/>
  <c r="WBN1" i="9"/>
  <c r="WBM1" i="9"/>
  <c r="WBL1" i="9"/>
  <c r="WBK1" i="9"/>
  <c r="WBJ1" i="9"/>
  <c r="WBI1" i="9"/>
  <c r="WBH1" i="9"/>
  <c r="WBG1" i="9"/>
  <c r="WBF1" i="9"/>
  <c r="WBE1" i="9"/>
  <c r="WBD1" i="9"/>
  <c r="WBC1" i="9"/>
  <c r="WBB1" i="9"/>
  <c r="WBA1" i="9"/>
  <c r="WAZ1" i="9"/>
  <c r="WAY1" i="9"/>
  <c r="WAX1" i="9"/>
  <c r="WAW1" i="9"/>
  <c r="WAV1" i="9"/>
  <c r="WAU1" i="9"/>
  <c r="WAT1" i="9"/>
  <c r="WAS1" i="9"/>
  <c r="WAR1" i="9"/>
  <c r="WAQ1" i="9"/>
  <c r="WAP1" i="9"/>
  <c r="WAO1" i="9"/>
  <c r="WAN1" i="9"/>
  <c r="WAM1" i="9"/>
  <c r="WAL1" i="9"/>
  <c r="WAK1" i="9"/>
  <c r="WAJ1" i="9"/>
  <c r="WAI1" i="9"/>
  <c r="WAH1" i="9"/>
  <c r="WAG1" i="9"/>
  <c r="WAF1" i="9"/>
  <c r="WAE1" i="9"/>
  <c r="WAD1" i="9"/>
  <c r="WAC1" i="9"/>
  <c r="WAB1" i="9"/>
  <c r="WAA1" i="9"/>
  <c r="VZZ1" i="9"/>
  <c r="VZY1" i="9"/>
  <c r="VZX1" i="9"/>
  <c r="VZW1" i="9"/>
  <c r="VZV1" i="9"/>
  <c r="VZU1" i="9"/>
  <c r="VZT1" i="9"/>
  <c r="VZS1" i="9"/>
  <c r="VZR1" i="9"/>
  <c r="VZQ1" i="9"/>
  <c r="VZP1" i="9"/>
  <c r="VZO1" i="9"/>
  <c r="VZN1" i="9"/>
  <c r="VZM1" i="9"/>
  <c r="VZL1" i="9"/>
  <c r="VZK1" i="9"/>
  <c r="VZJ1" i="9"/>
  <c r="VZI1" i="9"/>
  <c r="VZH1" i="9"/>
  <c r="VZG1" i="9"/>
  <c r="VZF1" i="9"/>
  <c r="VZE1" i="9"/>
  <c r="VZD1" i="9"/>
  <c r="VZC1" i="9"/>
  <c r="VZB1" i="9"/>
  <c r="VZA1" i="9"/>
  <c r="VYZ1" i="9"/>
  <c r="VYY1" i="9"/>
  <c r="VYX1" i="9"/>
  <c r="VYW1" i="9"/>
  <c r="VYV1" i="9"/>
  <c r="VYU1" i="9"/>
  <c r="VYT1" i="9"/>
  <c r="VYS1" i="9"/>
  <c r="VYR1" i="9"/>
  <c r="VYQ1" i="9"/>
  <c r="VYP1" i="9"/>
  <c r="VYO1" i="9"/>
  <c r="VYN1" i="9"/>
  <c r="VYM1" i="9"/>
  <c r="VYL1" i="9"/>
  <c r="VYK1" i="9"/>
  <c r="VYJ1" i="9"/>
  <c r="VYI1" i="9"/>
  <c r="VYH1" i="9"/>
  <c r="VYG1" i="9"/>
  <c r="VYF1" i="9"/>
  <c r="VYE1" i="9"/>
  <c r="VYD1" i="9"/>
  <c r="VYC1" i="9"/>
  <c r="VYB1" i="9"/>
  <c r="VYA1" i="9"/>
  <c r="VXZ1" i="9"/>
  <c r="VXY1" i="9"/>
  <c r="VXX1" i="9"/>
  <c r="VXW1" i="9"/>
  <c r="VXV1" i="9"/>
  <c r="VXU1" i="9"/>
  <c r="VXT1" i="9"/>
  <c r="VXS1" i="9"/>
  <c r="VXR1" i="9"/>
  <c r="VXQ1" i="9"/>
  <c r="VXP1" i="9"/>
  <c r="VXO1" i="9"/>
  <c r="VXN1" i="9"/>
  <c r="VXM1" i="9"/>
  <c r="VXL1" i="9"/>
  <c r="VXK1" i="9"/>
  <c r="VXJ1" i="9"/>
  <c r="VXI1" i="9"/>
  <c r="VXH1" i="9"/>
  <c r="VXG1" i="9"/>
  <c r="VXF1" i="9"/>
  <c r="VXE1" i="9"/>
  <c r="VXD1" i="9"/>
  <c r="VXC1" i="9"/>
  <c r="VXB1" i="9"/>
  <c r="VXA1" i="9"/>
  <c r="VWZ1" i="9"/>
  <c r="VWY1" i="9"/>
  <c r="VWX1" i="9"/>
  <c r="VWW1" i="9"/>
  <c r="VWV1" i="9"/>
  <c r="VWU1" i="9"/>
  <c r="VWT1" i="9"/>
  <c r="VWS1" i="9"/>
  <c r="VWR1" i="9"/>
  <c r="VWQ1" i="9"/>
  <c r="VWP1" i="9"/>
  <c r="VWO1" i="9"/>
  <c r="VWN1" i="9"/>
  <c r="VWM1" i="9"/>
  <c r="VWL1" i="9"/>
  <c r="VWK1" i="9"/>
  <c r="VWJ1" i="9"/>
  <c r="VWI1" i="9"/>
  <c r="VWH1" i="9"/>
  <c r="VWG1" i="9"/>
  <c r="VWF1" i="9"/>
  <c r="VWE1" i="9"/>
  <c r="VWD1" i="9"/>
  <c r="VWC1" i="9"/>
  <c r="VWB1" i="9"/>
  <c r="VWA1" i="9"/>
  <c r="VVZ1" i="9"/>
  <c r="VVY1" i="9"/>
  <c r="VVX1" i="9"/>
  <c r="VVW1" i="9"/>
  <c r="VVV1" i="9"/>
  <c r="VVU1" i="9"/>
  <c r="VVT1" i="9"/>
  <c r="VVS1" i="9"/>
  <c r="VVR1" i="9"/>
  <c r="VVQ1" i="9"/>
  <c r="VVP1" i="9"/>
  <c r="VVO1" i="9"/>
  <c r="VVN1" i="9"/>
  <c r="VVM1" i="9"/>
  <c r="VVL1" i="9"/>
  <c r="VVK1" i="9"/>
  <c r="VVJ1" i="9"/>
  <c r="VVI1" i="9"/>
  <c r="VVH1" i="9"/>
  <c r="VVG1" i="9"/>
  <c r="VVF1" i="9"/>
  <c r="VVE1" i="9"/>
  <c r="VVD1" i="9"/>
  <c r="VVC1" i="9"/>
  <c r="VVB1" i="9"/>
  <c r="VVA1" i="9"/>
  <c r="VUZ1" i="9"/>
  <c r="VUY1" i="9"/>
  <c r="VUX1" i="9"/>
  <c r="VUW1" i="9"/>
  <c r="VUV1" i="9"/>
  <c r="VUU1" i="9"/>
  <c r="VUT1" i="9"/>
  <c r="VUS1" i="9"/>
  <c r="VUR1" i="9"/>
  <c r="VUQ1" i="9"/>
  <c r="VUP1" i="9"/>
  <c r="VUO1" i="9"/>
  <c r="VUN1" i="9"/>
  <c r="VUM1" i="9"/>
  <c r="VUL1" i="9"/>
  <c r="VUK1" i="9"/>
  <c r="VUJ1" i="9"/>
  <c r="VUI1" i="9"/>
  <c r="VUH1" i="9"/>
  <c r="VUG1" i="9"/>
  <c r="VUF1" i="9"/>
  <c r="VUE1" i="9"/>
  <c r="VUD1" i="9"/>
  <c r="VUC1" i="9"/>
  <c r="VUB1" i="9"/>
  <c r="VUA1" i="9"/>
  <c r="VTZ1" i="9"/>
  <c r="VTY1" i="9"/>
  <c r="VTX1" i="9"/>
  <c r="VTW1" i="9"/>
  <c r="VTV1" i="9"/>
  <c r="VTU1" i="9"/>
  <c r="VTT1" i="9"/>
  <c r="VTS1" i="9"/>
  <c r="VTR1" i="9"/>
  <c r="VTQ1" i="9"/>
  <c r="VTP1" i="9"/>
  <c r="VTO1" i="9"/>
  <c r="VTN1" i="9"/>
  <c r="VTM1" i="9"/>
  <c r="VTL1" i="9"/>
  <c r="VTK1" i="9"/>
  <c r="VTJ1" i="9"/>
  <c r="VTI1" i="9"/>
  <c r="VTH1" i="9"/>
  <c r="VTG1" i="9"/>
  <c r="VTF1" i="9"/>
  <c r="VTE1" i="9"/>
  <c r="VTD1" i="9"/>
  <c r="VTC1" i="9"/>
  <c r="VTB1" i="9"/>
  <c r="VTA1" i="9"/>
  <c r="VSZ1" i="9"/>
  <c r="VSY1" i="9"/>
  <c r="VSX1" i="9"/>
  <c r="VSW1" i="9"/>
  <c r="VSV1" i="9"/>
  <c r="VSU1" i="9"/>
  <c r="VST1" i="9"/>
  <c r="VSS1" i="9"/>
  <c r="VSR1" i="9"/>
  <c r="VSQ1" i="9"/>
  <c r="VSP1" i="9"/>
  <c r="VSO1" i="9"/>
  <c r="VSN1" i="9"/>
  <c r="VSM1" i="9"/>
  <c r="VSL1" i="9"/>
  <c r="VSK1" i="9"/>
  <c r="VSJ1" i="9"/>
  <c r="VSI1" i="9"/>
  <c r="VSH1" i="9"/>
  <c r="VSG1" i="9"/>
  <c r="VSF1" i="9"/>
  <c r="VSE1" i="9"/>
  <c r="VSD1" i="9"/>
  <c r="VSC1" i="9"/>
  <c r="VSB1" i="9"/>
  <c r="VSA1" i="9"/>
  <c r="VRZ1" i="9"/>
  <c r="VRY1" i="9"/>
  <c r="VRX1" i="9"/>
  <c r="VRW1" i="9"/>
  <c r="VRV1" i="9"/>
  <c r="VRU1" i="9"/>
  <c r="VRT1" i="9"/>
  <c r="VRS1" i="9"/>
  <c r="VRR1" i="9"/>
  <c r="VRQ1" i="9"/>
  <c r="VRP1" i="9"/>
  <c r="VRO1" i="9"/>
  <c r="VRN1" i="9"/>
  <c r="VRM1" i="9"/>
  <c r="VRL1" i="9"/>
  <c r="VRK1" i="9"/>
  <c r="VRJ1" i="9"/>
  <c r="VRI1" i="9"/>
  <c r="VRH1" i="9"/>
  <c r="VRG1" i="9"/>
  <c r="VRF1" i="9"/>
  <c r="VRE1" i="9"/>
  <c r="VRD1" i="9"/>
  <c r="VRC1" i="9"/>
  <c r="VRB1" i="9"/>
  <c r="VRA1" i="9"/>
  <c r="VQZ1" i="9"/>
  <c r="VQY1" i="9"/>
  <c r="VQX1" i="9"/>
  <c r="VQW1" i="9"/>
  <c r="VQV1" i="9"/>
  <c r="VQU1" i="9"/>
  <c r="VQT1" i="9"/>
  <c r="VQS1" i="9"/>
  <c r="VQR1" i="9"/>
  <c r="VQQ1" i="9"/>
  <c r="VQP1" i="9"/>
  <c r="VQO1" i="9"/>
  <c r="VQN1" i="9"/>
  <c r="VQM1" i="9"/>
  <c r="VQL1" i="9"/>
  <c r="VQK1" i="9"/>
  <c r="VQJ1" i="9"/>
  <c r="VQI1" i="9"/>
  <c r="VQH1" i="9"/>
  <c r="VQG1" i="9"/>
  <c r="VQF1" i="9"/>
  <c r="VQE1" i="9"/>
  <c r="VQD1" i="9"/>
  <c r="VQC1" i="9"/>
  <c r="VQB1" i="9"/>
  <c r="VQA1" i="9"/>
  <c r="VPZ1" i="9"/>
  <c r="VPY1" i="9"/>
  <c r="VPX1" i="9"/>
  <c r="VPW1" i="9"/>
  <c r="VPV1" i="9"/>
  <c r="VPU1" i="9"/>
  <c r="VPT1" i="9"/>
  <c r="VPS1" i="9"/>
  <c r="VPR1" i="9"/>
  <c r="VPQ1" i="9"/>
  <c r="VPP1" i="9"/>
  <c r="VPO1" i="9"/>
  <c r="VPN1" i="9"/>
  <c r="VPM1" i="9"/>
  <c r="VPL1" i="9"/>
  <c r="VPK1" i="9"/>
  <c r="VPJ1" i="9"/>
  <c r="VPI1" i="9"/>
  <c r="VPH1" i="9"/>
  <c r="VPG1" i="9"/>
  <c r="VPF1" i="9"/>
  <c r="VPE1" i="9"/>
  <c r="VPD1" i="9"/>
  <c r="VPC1" i="9"/>
  <c r="VPB1" i="9"/>
  <c r="VPA1" i="9"/>
  <c r="VOZ1" i="9"/>
  <c r="VOY1" i="9"/>
  <c r="VOX1" i="9"/>
  <c r="VOW1" i="9"/>
  <c r="VOV1" i="9"/>
  <c r="VOU1" i="9"/>
  <c r="VOT1" i="9"/>
  <c r="VOS1" i="9"/>
  <c r="VOR1" i="9"/>
  <c r="VOQ1" i="9"/>
  <c r="VOP1" i="9"/>
  <c r="VOO1" i="9"/>
  <c r="VON1" i="9"/>
  <c r="VOM1" i="9"/>
  <c r="VOL1" i="9"/>
  <c r="VOK1" i="9"/>
  <c r="VOJ1" i="9"/>
  <c r="VOI1" i="9"/>
  <c r="VOH1" i="9"/>
  <c r="VOG1" i="9"/>
  <c r="VOF1" i="9"/>
  <c r="VOE1" i="9"/>
  <c r="VOD1" i="9"/>
  <c r="VOC1" i="9"/>
  <c r="VOB1" i="9"/>
  <c r="VOA1" i="9"/>
  <c r="VNZ1" i="9"/>
  <c r="VNY1" i="9"/>
  <c r="VNX1" i="9"/>
  <c r="VNW1" i="9"/>
  <c r="VNV1" i="9"/>
  <c r="VNU1" i="9"/>
  <c r="VNT1" i="9"/>
  <c r="VNS1" i="9"/>
  <c r="VNR1" i="9"/>
  <c r="VNQ1" i="9"/>
  <c r="VNP1" i="9"/>
  <c r="VNO1" i="9"/>
  <c r="VNN1" i="9"/>
  <c r="VNM1" i="9"/>
  <c r="VNL1" i="9"/>
  <c r="VNK1" i="9"/>
  <c r="VNJ1" i="9"/>
  <c r="VNI1" i="9"/>
  <c r="VNH1" i="9"/>
  <c r="VNG1" i="9"/>
  <c r="VNF1" i="9"/>
  <c r="VNE1" i="9"/>
  <c r="VND1" i="9"/>
  <c r="VNC1" i="9"/>
  <c r="VNB1" i="9"/>
  <c r="VNA1" i="9"/>
  <c r="VMZ1" i="9"/>
  <c r="VMY1" i="9"/>
  <c r="VMX1" i="9"/>
  <c r="VMW1" i="9"/>
  <c r="VMV1" i="9"/>
  <c r="VMU1" i="9"/>
  <c r="VMT1" i="9"/>
  <c r="VMS1" i="9"/>
  <c r="VMR1" i="9"/>
  <c r="VMQ1" i="9"/>
  <c r="VMP1" i="9"/>
  <c r="VMO1" i="9"/>
  <c r="VMN1" i="9"/>
  <c r="VMM1" i="9"/>
  <c r="VML1" i="9"/>
  <c r="VMK1" i="9"/>
  <c r="VMJ1" i="9"/>
  <c r="VMI1" i="9"/>
  <c r="VMH1" i="9"/>
  <c r="VMG1" i="9"/>
  <c r="VMF1" i="9"/>
  <c r="VME1" i="9"/>
  <c r="VMD1" i="9"/>
  <c r="VMC1" i="9"/>
  <c r="VMB1" i="9"/>
  <c r="VMA1" i="9"/>
  <c r="VLZ1" i="9"/>
  <c r="VLY1" i="9"/>
  <c r="VLX1" i="9"/>
  <c r="VLW1" i="9"/>
  <c r="VLV1" i="9"/>
  <c r="VLU1" i="9"/>
  <c r="VLT1" i="9"/>
  <c r="VLS1" i="9"/>
  <c r="VLR1" i="9"/>
  <c r="VLQ1" i="9"/>
  <c r="VLP1" i="9"/>
  <c r="VLO1" i="9"/>
  <c r="VLN1" i="9"/>
  <c r="VLM1" i="9"/>
  <c r="VLL1" i="9"/>
  <c r="VLK1" i="9"/>
  <c r="VLJ1" i="9"/>
  <c r="VLI1" i="9"/>
  <c r="VLH1" i="9"/>
  <c r="VLG1" i="9"/>
  <c r="VLF1" i="9"/>
  <c r="VLE1" i="9"/>
  <c r="VLD1" i="9"/>
  <c r="VLC1" i="9"/>
  <c r="VLB1" i="9"/>
  <c r="VLA1" i="9"/>
  <c r="VKZ1" i="9"/>
  <c r="VKY1" i="9"/>
  <c r="VKX1" i="9"/>
  <c r="VKW1" i="9"/>
  <c r="VKV1" i="9"/>
  <c r="VKU1" i="9"/>
  <c r="VKT1" i="9"/>
  <c r="VKS1" i="9"/>
  <c r="VKR1" i="9"/>
  <c r="VKQ1" i="9"/>
  <c r="VKP1" i="9"/>
  <c r="VKO1" i="9"/>
  <c r="VKN1" i="9"/>
  <c r="VKM1" i="9"/>
  <c r="VKL1" i="9"/>
  <c r="VKK1" i="9"/>
  <c r="VKJ1" i="9"/>
  <c r="VKI1" i="9"/>
  <c r="VKH1" i="9"/>
  <c r="VKG1" i="9"/>
  <c r="VKF1" i="9"/>
  <c r="VKE1" i="9"/>
  <c r="VKD1" i="9"/>
  <c r="VKC1" i="9"/>
  <c r="VKB1" i="9"/>
  <c r="VKA1" i="9"/>
  <c r="VJZ1" i="9"/>
  <c r="VJY1" i="9"/>
  <c r="VJX1" i="9"/>
  <c r="VJW1" i="9"/>
  <c r="VJV1" i="9"/>
  <c r="VJU1" i="9"/>
  <c r="VJT1" i="9"/>
  <c r="VJS1" i="9"/>
  <c r="VJR1" i="9"/>
  <c r="VJQ1" i="9"/>
  <c r="VJP1" i="9"/>
  <c r="VJO1" i="9"/>
  <c r="VJN1" i="9"/>
  <c r="VJM1" i="9"/>
  <c r="VJL1" i="9"/>
  <c r="VJK1" i="9"/>
  <c r="VJJ1" i="9"/>
  <c r="VJI1" i="9"/>
  <c r="VJH1" i="9"/>
  <c r="VJG1" i="9"/>
  <c r="VJF1" i="9"/>
  <c r="VJE1" i="9"/>
  <c r="VJD1" i="9"/>
  <c r="VJC1" i="9"/>
  <c r="VJB1" i="9"/>
  <c r="VJA1" i="9"/>
  <c r="VIZ1" i="9"/>
  <c r="VIY1" i="9"/>
  <c r="VIX1" i="9"/>
  <c r="VIW1" i="9"/>
  <c r="VIV1" i="9"/>
  <c r="VIU1" i="9"/>
  <c r="VIT1" i="9"/>
  <c r="VIS1" i="9"/>
  <c r="VIR1" i="9"/>
  <c r="VIQ1" i="9"/>
  <c r="VIP1" i="9"/>
  <c r="VIO1" i="9"/>
  <c r="VIN1" i="9"/>
  <c r="VIM1" i="9"/>
  <c r="VIL1" i="9"/>
  <c r="VIK1" i="9"/>
  <c r="VIJ1" i="9"/>
  <c r="VII1" i="9"/>
  <c r="VIH1" i="9"/>
  <c r="VIG1" i="9"/>
  <c r="VIF1" i="9"/>
  <c r="VIE1" i="9"/>
  <c r="VID1" i="9"/>
  <c r="VIC1" i="9"/>
  <c r="VIB1" i="9"/>
  <c r="VIA1" i="9"/>
  <c r="VHZ1" i="9"/>
  <c r="VHY1" i="9"/>
  <c r="VHX1" i="9"/>
  <c r="VHW1" i="9"/>
  <c r="VHV1" i="9"/>
  <c r="VHU1" i="9"/>
  <c r="VHT1" i="9"/>
  <c r="VHS1" i="9"/>
  <c r="VHR1" i="9"/>
  <c r="VHQ1" i="9"/>
  <c r="VHP1" i="9"/>
  <c r="VHO1" i="9"/>
  <c r="VHN1" i="9"/>
  <c r="VHM1" i="9"/>
  <c r="VHL1" i="9"/>
  <c r="VHK1" i="9"/>
  <c r="VHJ1" i="9"/>
  <c r="VHI1" i="9"/>
  <c r="VHH1" i="9"/>
  <c r="VHG1" i="9"/>
  <c r="VHF1" i="9"/>
  <c r="VHE1" i="9"/>
  <c r="VHD1" i="9"/>
  <c r="VHC1" i="9"/>
  <c r="VHB1" i="9"/>
  <c r="VHA1" i="9"/>
  <c r="VGZ1" i="9"/>
  <c r="VGY1" i="9"/>
  <c r="VGX1" i="9"/>
  <c r="VGW1" i="9"/>
  <c r="VGV1" i="9"/>
  <c r="VGU1" i="9"/>
  <c r="VGT1" i="9"/>
  <c r="VGS1" i="9"/>
  <c r="VGR1" i="9"/>
  <c r="VGQ1" i="9"/>
  <c r="VGP1" i="9"/>
  <c r="VGO1" i="9"/>
  <c r="VGN1" i="9"/>
  <c r="VGM1" i="9"/>
  <c r="VGL1" i="9"/>
  <c r="VGK1" i="9"/>
  <c r="VGJ1" i="9"/>
  <c r="VGI1" i="9"/>
  <c r="VGH1" i="9"/>
  <c r="VGG1" i="9"/>
  <c r="VGF1" i="9"/>
  <c r="VGE1" i="9"/>
  <c r="VGD1" i="9"/>
  <c r="VGC1" i="9"/>
  <c r="VGB1" i="9"/>
  <c r="VGA1" i="9"/>
  <c r="VFZ1" i="9"/>
  <c r="VFY1" i="9"/>
  <c r="VFX1" i="9"/>
  <c r="VFW1" i="9"/>
  <c r="VFV1" i="9"/>
  <c r="VFU1" i="9"/>
  <c r="VFT1" i="9"/>
  <c r="VFS1" i="9"/>
  <c r="VFR1" i="9"/>
  <c r="VFQ1" i="9"/>
  <c r="VFP1" i="9"/>
  <c r="VFO1" i="9"/>
  <c r="VFN1" i="9"/>
  <c r="VFM1" i="9"/>
  <c r="VFL1" i="9"/>
  <c r="VFK1" i="9"/>
  <c r="VFJ1" i="9"/>
  <c r="VFI1" i="9"/>
  <c r="VFH1" i="9"/>
  <c r="VFG1" i="9"/>
  <c r="VFF1" i="9"/>
  <c r="VFE1" i="9"/>
  <c r="VFD1" i="9"/>
  <c r="VFC1" i="9"/>
  <c r="VFB1" i="9"/>
  <c r="VFA1" i="9"/>
  <c r="VEZ1" i="9"/>
  <c r="VEY1" i="9"/>
  <c r="VEX1" i="9"/>
  <c r="VEW1" i="9"/>
  <c r="VEV1" i="9"/>
  <c r="VEU1" i="9"/>
  <c r="VET1" i="9"/>
  <c r="VES1" i="9"/>
  <c r="VER1" i="9"/>
  <c r="VEQ1" i="9"/>
  <c r="VEP1" i="9"/>
  <c r="VEO1" i="9"/>
  <c r="VEN1" i="9"/>
  <c r="VEM1" i="9"/>
  <c r="VEL1" i="9"/>
  <c r="VEK1" i="9"/>
  <c r="VEJ1" i="9"/>
  <c r="VEI1" i="9"/>
  <c r="VEH1" i="9"/>
  <c r="VEG1" i="9"/>
  <c r="VEF1" i="9"/>
  <c r="VEE1" i="9"/>
  <c r="VED1" i="9"/>
  <c r="VEC1" i="9"/>
  <c r="VEB1" i="9"/>
  <c r="VEA1" i="9"/>
  <c r="VDZ1" i="9"/>
  <c r="VDY1" i="9"/>
  <c r="VDX1" i="9"/>
  <c r="VDW1" i="9"/>
  <c r="VDV1" i="9"/>
  <c r="VDU1" i="9"/>
  <c r="VDT1" i="9"/>
  <c r="VDS1" i="9"/>
  <c r="VDR1" i="9"/>
  <c r="VDQ1" i="9"/>
  <c r="VDP1" i="9"/>
  <c r="VDO1" i="9"/>
  <c r="VDN1" i="9"/>
  <c r="VDM1" i="9"/>
  <c r="VDL1" i="9"/>
  <c r="VDK1" i="9"/>
  <c r="VDJ1" i="9"/>
  <c r="VDI1" i="9"/>
  <c r="VDH1" i="9"/>
  <c r="VDG1" i="9"/>
  <c r="VDF1" i="9"/>
  <c r="VDE1" i="9"/>
  <c r="VDD1" i="9"/>
  <c r="VDC1" i="9"/>
  <c r="VDB1" i="9"/>
  <c r="VDA1" i="9"/>
  <c r="VCZ1" i="9"/>
  <c r="VCY1" i="9"/>
  <c r="VCX1" i="9"/>
  <c r="VCW1" i="9"/>
  <c r="VCV1" i="9"/>
  <c r="VCU1" i="9"/>
  <c r="VCT1" i="9"/>
  <c r="VCS1" i="9"/>
  <c r="VCR1" i="9"/>
  <c r="VCQ1" i="9"/>
  <c r="VCP1" i="9"/>
  <c r="VCO1" i="9"/>
  <c r="VCN1" i="9"/>
  <c r="VCM1" i="9"/>
  <c r="VCL1" i="9"/>
  <c r="VCK1" i="9"/>
  <c r="VCJ1" i="9"/>
  <c r="VCI1" i="9"/>
  <c r="VCH1" i="9"/>
  <c r="VCG1" i="9"/>
  <c r="VCF1" i="9"/>
  <c r="VCE1" i="9"/>
  <c r="VCD1" i="9"/>
  <c r="VCC1" i="9"/>
  <c r="VCB1" i="9"/>
  <c r="VCA1" i="9"/>
  <c r="VBZ1" i="9"/>
  <c r="VBY1" i="9"/>
  <c r="VBX1" i="9"/>
  <c r="VBW1" i="9"/>
  <c r="VBV1" i="9"/>
  <c r="VBU1" i="9"/>
  <c r="VBT1" i="9"/>
  <c r="VBS1" i="9"/>
  <c r="VBR1" i="9"/>
  <c r="VBQ1" i="9"/>
  <c r="VBP1" i="9"/>
  <c r="VBO1" i="9"/>
  <c r="VBN1" i="9"/>
  <c r="VBM1" i="9"/>
  <c r="VBL1" i="9"/>
  <c r="VBK1" i="9"/>
  <c r="VBJ1" i="9"/>
  <c r="VBI1" i="9"/>
  <c r="VBH1" i="9"/>
  <c r="VBG1" i="9"/>
  <c r="VBF1" i="9"/>
  <c r="VBE1" i="9"/>
  <c r="VBD1" i="9"/>
  <c r="VBC1" i="9"/>
  <c r="VBB1" i="9"/>
  <c r="VBA1" i="9"/>
  <c r="VAZ1" i="9"/>
  <c r="VAY1" i="9"/>
  <c r="VAX1" i="9"/>
  <c r="VAW1" i="9"/>
  <c r="VAV1" i="9"/>
  <c r="VAU1" i="9"/>
  <c r="VAT1" i="9"/>
  <c r="VAS1" i="9"/>
  <c r="VAR1" i="9"/>
  <c r="VAQ1" i="9"/>
  <c r="VAP1" i="9"/>
  <c r="VAO1" i="9"/>
  <c r="VAN1" i="9"/>
  <c r="VAM1" i="9"/>
  <c r="VAL1" i="9"/>
  <c r="VAK1" i="9"/>
  <c r="VAJ1" i="9"/>
  <c r="VAI1" i="9"/>
  <c r="VAH1" i="9"/>
  <c r="VAG1" i="9"/>
  <c r="VAF1" i="9"/>
  <c r="VAE1" i="9"/>
  <c r="VAD1" i="9"/>
  <c r="VAC1" i="9"/>
  <c r="VAB1" i="9"/>
  <c r="VAA1" i="9"/>
  <c r="UZZ1" i="9"/>
  <c r="UZY1" i="9"/>
  <c r="UZX1" i="9"/>
  <c r="UZW1" i="9"/>
  <c r="UZV1" i="9"/>
  <c r="UZU1" i="9"/>
  <c r="UZT1" i="9"/>
  <c r="UZS1" i="9"/>
  <c r="UZR1" i="9"/>
  <c r="UZQ1" i="9"/>
  <c r="UZP1" i="9"/>
  <c r="UZO1" i="9"/>
  <c r="UZN1" i="9"/>
  <c r="UZM1" i="9"/>
  <c r="UZL1" i="9"/>
  <c r="UZK1" i="9"/>
  <c r="UZJ1" i="9"/>
  <c r="UZI1" i="9"/>
  <c r="UZH1" i="9"/>
  <c r="UZG1" i="9"/>
  <c r="UZF1" i="9"/>
  <c r="UZE1" i="9"/>
  <c r="UZD1" i="9"/>
  <c r="UZC1" i="9"/>
  <c r="UZB1" i="9"/>
  <c r="UZA1" i="9"/>
  <c r="UYZ1" i="9"/>
  <c r="UYY1" i="9"/>
  <c r="UYX1" i="9"/>
  <c r="UYW1" i="9"/>
  <c r="UYV1" i="9"/>
  <c r="UYU1" i="9"/>
  <c r="UYT1" i="9"/>
  <c r="UYS1" i="9"/>
  <c r="UYR1" i="9"/>
  <c r="UYQ1" i="9"/>
  <c r="UYP1" i="9"/>
  <c r="UYO1" i="9"/>
  <c r="UYN1" i="9"/>
  <c r="UYM1" i="9"/>
  <c r="UYL1" i="9"/>
  <c r="UYK1" i="9"/>
  <c r="UYJ1" i="9"/>
  <c r="UYI1" i="9"/>
  <c r="UYH1" i="9"/>
  <c r="UYG1" i="9"/>
  <c r="UYF1" i="9"/>
  <c r="UYE1" i="9"/>
  <c r="UYD1" i="9"/>
  <c r="UYC1" i="9"/>
  <c r="UYB1" i="9"/>
  <c r="UYA1" i="9"/>
  <c r="UXZ1" i="9"/>
  <c r="UXY1" i="9"/>
  <c r="UXX1" i="9"/>
  <c r="UXW1" i="9"/>
  <c r="UXV1" i="9"/>
  <c r="UXU1" i="9"/>
  <c r="UXT1" i="9"/>
  <c r="UXS1" i="9"/>
  <c r="UXR1" i="9"/>
  <c r="UXQ1" i="9"/>
  <c r="UXP1" i="9"/>
  <c r="UXO1" i="9"/>
  <c r="UXN1" i="9"/>
  <c r="UXM1" i="9"/>
  <c r="UXL1" i="9"/>
  <c r="UXK1" i="9"/>
  <c r="UXJ1" i="9"/>
  <c r="UXI1" i="9"/>
  <c r="UXH1" i="9"/>
  <c r="UXG1" i="9"/>
  <c r="UXF1" i="9"/>
  <c r="UXE1" i="9"/>
  <c r="UXD1" i="9"/>
  <c r="UXC1" i="9"/>
  <c r="UXB1" i="9"/>
  <c r="UXA1" i="9"/>
  <c r="UWZ1" i="9"/>
  <c r="UWY1" i="9"/>
  <c r="UWX1" i="9"/>
  <c r="UWW1" i="9"/>
  <c r="UWV1" i="9"/>
  <c r="UWU1" i="9"/>
  <c r="UWT1" i="9"/>
  <c r="UWS1" i="9"/>
  <c r="UWR1" i="9"/>
  <c r="UWQ1" i="9"/>
  <c r="UWP1" i="9"/>
  <c r="UWO1" i="9"/>
  <c r="UWN1" i="9"/>
  <c r="UWM1" i="9"/>
  <c r="UWL1" i="9"/>
  <c r="UWK1" i="9"/>
  <c r="UWJ1" i="9"/>
  <c r="UWI1" i="9"/>
  <c r="UWH1" i="9"/>
  <c r="UWG1" i="9"/>
  <c r="UWF1" i="9"/>
  <c r="UWE1" i="9"/>
  <c r="UWD1" i="9"/>
  <c r="UWC1" i="9"/>
  <c r="UWB1" i="9"/>
  <c r="UWA1" i="9"/>
  <c r="UVZ1" i="9"/>
  <c r="UVY1" i="9"/>
  <c r="UVX1" i="9"/>
  <c r="UVW1" i="9"/>
  <c r="UVV1" i="9"/>
  <c r="UVU1" i="9"/>
  <c r="UVT1" i="9"/>
  <c r="UVS1" i="9"/>
  <c r="UVR1" i="9"/>
  <c r="UVQ1" i="9"/>
  <c r="UVP1" i="9"/>
  <c r="UVO1" i="9"/>
  <c r="UVN1" i="9"/>
  <c r="UVM1" i="9"/>
  <c r="UVL1" i="9"/>
  <c r="UVK1" i="9"/>
  <c r="UVJ1" i="9"/>
  <c r="UVI1" i="9"/>
  <c r="UVH1" i="9"/>
  <c r="UVG1" i="9"/>
  <c r="UVF1" i="9"/>
  <c r="UVE1" i="9"/>
  <c r="UVD1" i="9"/>
  <c r="UVC1" i="9"/>
  <c r="UVB1" i="9"/>
  <c r="UVA1" i="9"/>
  <c r="UUZ1" i="9"/>
  <c r="UUY1" i="9"/>
  <c r="UUX1" i="9"/>
  <c r="UUW1" i="9"/>
  <c r="UUV1" i="9"/>
  <c r="UUU1" i="9"/>
  <c r="UUT1" i="9"/>
  <c r="UUS1" i="9"/>
  <c r="UUR1" i="9"/>
  <c r="UUQ1" i="9"/>
  <c r="UUP1" i="9"/>
  <c r="UUO1" i="9"/>
  <c r="UUN1" i="9"/>
  <c r="UUM1" i="9"/>
  <c r="UUL1" i="9"/>
  <c r="UUK1" i="9"/>
  <c r="UUJ1" i="9"/>
  <c r="UUI1" i="9"/>
  <c r="UUH1" i="9"/>
  <c r="UUG1" i="9"/>
  <c r="UUF1" i="9"/>
  <c r="UUE1" i="9"/>
  <c r="UUD1" i="9"/>
  <c r="UUC1" i="9"/>
  <c r="UUB1" i="9"/>
  <c r="UUA1" i="9"/>
  <c r="UTZ1" i="9"/>
  <c r="UTY1" i="9"/>
  <c r="UTX1" i="9"/>
  <c r="UTW1" i="9"/>
  <c r="UTV1" i="9"/>
  <c r="UTU1" i="9"/>
  <c r="UTT1" i="9"/>
  <c r="UTS1" i="9"/>
  <c r="UTR1" i="9"/>
  <c r="UTQ1" i="9"/>
  <c r="UTP1" i="9"/>
  <c r="UTO1" i="9"/>
  <c r="UTN1" i="9"/>
  <c r="UTM1" i="9"/>
  <c r="UTL1" i="9"/>
  <c r="UTK1" i="9"/>
  <c r="UTJ1" i="9"/>
  <c r="UTI1" i="9"/>
  <c r="UTH1" i="9"/>
  <c r="UTG1" i="9"/>
  <c r="UTF1" i="9"/>
  <c r="UTE1" i="9"/>
  <c r="UTD1" i="9"/>
  <c r="UTC1" i="9"/>
  <c r="UTB1" i="9"/>
  <c r="UTA1" i="9"/>
  <c r="USZ1" i="9"/>
  <c r="USY1" i="9"/>
  <c r="USX1" i="9"/>
  <c r="USW1" i="9"/>
  <c r="USV1" i="9"/>
  <c r="USU1" i="9"/>
  <c r="UST1" i="9"/>
  <c r="USS1" i="9"/>
  <c r="USR1" i="9"/>
  <c r="USQ1" i="9"/>
  <c r="USP1" i="9"/>
  <c r="USO1" i="9"/>
  <c r="USN1" i="9"/>
  <c r="USM1" i="9"/>
  <c r="USL1" i="9"/>
  <c r="USK1" i="9"/>
  <c r="USJ1" i="9"/>
  <c r="USI1" i="9"/>
  <c r="USH1" i="9"/>
  <c r="USG1" i="9"/>
  <c r="USF1" i="9"/>
  <c r="USE1" i="9"/>
  <c r="USD1" i="9"/>
  <c r="USC1" i="9"/>
  <c r="USB1" i="9"/>
  <c r="USA1" i="9"/>
  <c r="URZ1" i="9"/>
  <c r="URY1" i="9"/>
  <c r="URX1" i="9"/>
  <c r="URW1" i="9"/>
  <c r="URV1" i="9"/>
  <c r="URU1" i="9"/>
  <c r="URT1" i="9"/>
  <c r="URS1" i="9"/>
  <c r="URR1" i="9"/>
  <c r="URQ1" i="9"/>
  <c r="URP1" i="9"/>
  <c r="URO1" i="9"/>
  <c r="URN1" i="9"/>
  <c r="URM1" i="9"/>
  <c r="URL1" i="9"/>
  <c r="URK1" i="9"/>
  <c r="URJ1" i="9"/>
  <c r="URI1" i="9"/>
  <c r="URH1" i="9"/>
  <c r="URG1" i="9"/>
  <c r="URF1" i="9"/>
  <c r="URE1" i="9"/>
  <c r="URD1" i="9"/>
  <c r="URC1" i="9"/>
  <c r="URB1" i="9"/>
  <c r="URA1" i="9"/>
  <c r="UQZ1" i="9"/>
  <c r="UQY1" i="9"/>
  <c r="UQX1" i="9"/>
  <c r="UQW1" i="9"/>
  <c r="UQV1" i="9"/>
  <c r="UQU1" i="9"/>
  <c r="UQT1" i="9"/>
  <c r="UQS1" i="9"/>
  <c r="UQR1" i="9"/>
  <c r="UQQ1" i="9"/>
  <c r="UQP1" i="9"/>
  <c r="UQO1" i="9"/>
  <c r="UQN1" i="9"/>
  <c r="UQM1" i="9"/>
  <c r="UQL1" i="9"/>
  <c r="UQK1" i="9"/>
  <c r="UQJ1" i="9"/>
  <c r="UQI1" i="9"/>
  <c r="UQH1" i="9"/>
  <c r="UQG1" i="9"/>
  <c r="UQF1" i="9"/>
  <c r="UQE1" i="9"/>
  <c r="UQD1" i="9"/>
  <c r="UQC1" i="9"/>
  <c r="UQB1" i="9"/>
  <c r="UQA1" i="9"/>
  <c r="UPZ1" i="9"/>
  <c r="UPY1" i="9"/>
  <c r="UPX1" i="9"/>
  <c r="UPW1" i="9"/>
  <c r="UPV1" i="9"/>
  <c r="UPU1" i="9"/>
  <c r="UPT1" i="9"/>
  <c r="UPS1" i="9"/>
  <c r="UPR1" i="9"/>
  <c r="UPQ1" i="9"/>
  <c r="UPP1" i="9"/>
  <c r="UPO1" i="9"/>
  <c r="UPN1" i="9"/>
  <c r="UPM1" i="9"/>
  <c r="UPL1" i="9"/>
  <c r="UPK1" i="9"/>
  <c r="UPJ1" i="9"/>
  <c r="UPI1" i="9"/>
  <c r="UPH1" i="9"/>
  <c r="UPG1" i="9"/>
  <c r="UPF1" i="9"/>
  <c r="UPE1" i="9"/>
  <c r="UPD1" i="9"/>
  <c r="UPC1" i="9"/>
  <c r="UPB1" i="9"/>
  <c r="UPA1" i="9"/>
  <c r="UOZ1" i="9"/>
  <c r="UOY1" i="9"/>
  <c r="UOX1" i="9"/>
  <c r="UOW1" i="9"/>
  <c r="UOV1" i="9"/>
  <c r="UOU1" i="9"/>
  <c r="UOT1" i="9"/>
  <c r="UOS1" i="9"/>
  <c r="UOR1" i="9"/>
  <c r="UOQ1" i="9"/>
  <c r="UOP1" i="9"/>
  <c r="UOO1" i="9"/>
  <c r="UON1" i="9"/>
  <c r="UOM1" i="9"/>
  <c r="UOL1" i="9"/>
  <c r="UOK1" i="9"/>
  <c r="UOJ1" i="9"/>
  <c r="UOI1" i="9"/>
  <c r="UOH1" i="9"/>
  <c r="UOG1" i="9"/>
  <c r="UOF1" i="9"/>
  <c r="UOE1" i="9"/>
  <c r="UOD1" i="9"/>
  <c r="UOC1" i="9"/>
  <c r="UOB1" i="9"/>
  <c r="UOA1" i="9"/>
  <c r="UNZ1" i="9"/>
  <c r="UNY1" i="9"/>
  <c r="UNX1" i="9"/>
  <c r="UNW1" i="9"/>
  <c r="UNV1" i="9"/>
  <c r="UNU1" i="9"/>
  <c r="UNT1" i="9"/>
  <c r="UNS1" i="9"/>
  <c r="UNR1" i="9"/>
  <c r="UNQ1" i="9"/>
  <c r="UNP1" i="9"/>
  <c r="UNO1" i="9"/>
  <c r="UNN1" i="9"/>
  <c r="UNM1" i="9"/>
  <c r="UNL1" i="9"/>
  <c r="UNK1" i="9"/>
  <c r="UNJ1" i="9"/>
  <c r="UNI1" i="9"/>
  <c r="UNH1" i="9"/>
  <c r="UNG1" i="9"/>
  <c r="UNF1" i="9"/>
  <c r="UNE1" i="9"/>
  <c r="UND1" i="9"/>
  <c r="UNC1" i="9"/>
  <c r="UNB1" i="9"/>
  <c r="UNA1" i="9"/>
  <c r="UMZ1" i="9"/>
  <c r="UMY1" i="9"/>
  <c r="UMX1" i="9"/>
  <c r="UMW1" i="9"/>
  <c r="UMV1" i="9"/>
  <c r="UMU1" i="9"/>
  <c r="UMT1" i="9"/>
  <c r="UMS1" i="9"/>
  <c r="UMR1" i="9"/>
  <c r="UMQ1" i="9"/>
  <c r="UMP1" i="9"/>
  <c r="UMO1" i="9"/>
  <c r="UMN1" i="9"/>
  <c r="UMM1" i="9"/>
  <c r="UML1" i="9"/>
  <c r="UMK1" i="9"/>
  <c r="UMJ1" i="9"/>
  <c r="UMI1" i="9"/>
  <c r="UMH1" i="9"/>
  <c r="UMG1" i="9"/>
  <c r="UMF1" i="9"/>
  <c r="UME1" i="9"/>
  <c r="UMD1" i="9"/>
  <c r="UMC1" i="9"/>
  <c r="UMB1" i="9"/>
  <c r="UMA1" i="9"/>
  <c r="ULZ1" i="9"/>
  <c r="ULY1" i="9"/>
  <c r="ULX1" i="9"/>
  <c r="ULW1" i="9"/>
  <c r="ULV1" i="9"/>
  <c r="ULU1" i="9"/>
  <c r="ULT1" i="9"/>
  <c r="ULS1" i="9"/>
  <c r="ULR1" i="9"/>
  <c r="ULQ1" i="9"/>
  <c r="ULP1" i="9"/>
  <c r="ULO1" i="9"/>
  <c r="ULN1" i="9"/>
  <c r="ULM1" i="9"/>
  <c r="ULL1" i="9"/>
  <c r="ULK1" i="9"/>
  <c r="ULJ1" i="9"/>
  <c r="ULI1" i="9"/>
  <c r="ULH1" i="9"/>
  <c r="ULG1" i="9"/>
  <c r="ULF1" i="9"/>
  <c r="ULE1" i="9"/>
  <c r="ULD1" i="9"/>
  <c r="ULC1" i="9"/>
  <c r="ULB1" i="9"/>
  <c r="ULA1" i="9"/>
  <c r="UKZ1" i="9"/>
  <c r="UKY1" i="9"/>
  <c r="UKX1" i="9"/>
  <c r="UKW1" i="9"/>
  <c r="UKV1" i="9"/>
  <c r="UKU1" i="9"/>
  <c r="UKT1" i="9"/>
  <c r="UKS1" i="9"/>
  <c r="UKR1" i="9"/>
  <c r="UKQ1" i="9"/>
  <c r="UKP1" i="9"/>
  <c r="UKO1" i="9"/>
  <c r="UKN1" i="9"/>
  <c r="UKM1" i="9"/>
  <c r="UKL1" i="9"/>
  <c r="UKK1" i="9"/>
  <c r="UKJ1" i="9"/>
  <c r="UKI1" i="9"/>
  <c r="UKH1" i="9"/>
  <c r="UKG1" i="9"/>
  <c r="UKF1" i="9"/>
  <c r="UKE1" i="9"/>
  <c r="UKD1" i="9"/>
  <c r="UKC1" i="9"/>
  <c r="UKB1" i="9"/>
  <c r="UKA1" i="9"/>
  <c r="UJZ1" i="9"/>
  <c r="UJY1" i="9"/>
  <c r="UJX1" i="9"/>
  <c r="UJW1" i="9"/>
  <c r="UJV1" i="9"/>
  <c r="UJU1" i="9"/>
  <c r="UJT1" i="9"/>
  <c r="UJS1" i="9"/>
  <c r="UJR1" i="9"/>
  <c r="UJQ1" i="9"/>
  <c r="UJP1" i="9"/>
  <c r="UJO1" i="9"/>
  <c r="UJN1" i="9"/>
  <c r="UJM1" i="9"/>
  <c r="UJL1" i="9"/>
  <c r="UJK1" i="9"/>
  <c r="UJJ1" i="9"/>
  <c r="UJI1" i="9"/>
  <c r="UJH1" i="9"/>
  <c r="UJG1" i="9"/>
  <c r="UJF1" i="9"/>
  <c r="UJE1" i="9"/>
  <c r="UJD1" i="9"/>
  <c r="UJC1" i="9"/>
  <c r="UJB1" i="9"/>
  <c r="UJA1" i="9"/>
  <c r="UIZ1" i="9"/>
  <c r="UIY1" i="9"/>
  <c r="UIX1" i="9"/>
  <c r="UIW1" i="9"/>
  <c r="UIV1" i="9"/>
  <c r="UIU1" i="9"/>
  <c r="UIT1" i="9"/>
  <c r="UIS1" i="9"/>
  <c r="UIR1" i="9"/>
  <c r="UIQ1" i="9"/>
  <c r="UIP1" i="9"/>
  <c r="UIO1" i="9"/>
  <c r="UIN1" i="9"/>
  <c r="UIM1" i="9"/>
  <c r="UIL1" i="9"/>
  <c r="UIK1" i="9"/>
  <c r="UIJ1" i="9"/>
  <c r="UII1" i="9"/>
  <c r="UIH1" i="9"/>
  <c r="UIG1" i="9"/>
  <c r="UIF1" i="9"/>
  <c r="UIE1" i="9"/>
  <c r="UID1" i="9"/>
  <c r="UIC1" i="9"/>
  <c r="UIB1" i="9"/>
  <c r="UIA1" i="9"/>
  <c r="UHZ1" i="9"/>
  <c r="UHY1" i="9"/>
  <c r="UHX1" i="9"/>
  <c r="UHW1" i="9"/>
  <c r="UHV1" i="9"/>
  <c r="UHU1" i="9"/>
  <c r="UHT1" i="9"/>
  <c r="UHS1" i="9"/>
  <c r="UHR1" i="9"/>
  <c r="UHQ1" i="9"/>
  <c r="UHP1" i="9"/>
  <c r="UHO1" i="9"/>
  <c r="UHN1" i="9"/>
  <c r="UHM1" i="9"/>
  <c r="UHL1" i="9"/>
  <c r="UHK1" i="9"/>
  <c r="UHJ1" i="9"/>
  <c r="UHI1" i="9"/>
  <c r="UHH1" i="9"/>
  <c r="UHG1" i="9"/>
  <c r="UHF1" i="9"/>
  <c r="UHE1" i="9"/>
  <c r="UHD1" i="9"/>
  <c r="UHC1" i="9"/>
  <c r="UHB1" i="9"/>
  <c r="UHA1" i="9"/>
  <c r="UGZ1" i="9"/>
  <c r="UGY1" i="9"/>
  <c r="UGX1" i="9"/>
  <c r="UGW1" i="9"/>
  <c r="UGV1" i="9"/>
  <c r="UGU1" i="9"/>
  <c r="UGT1" i="9"/>
  <c r="UGS1" i="9"/>
  <c r="UGR1" i="9"/>
  <c r="UGQ1" i="9"/>
  <c r="UGP1" i="9"/>
  <c r="UGO1" i="9"/>
  <c r="UGN1" i="9"/>
  <c r="UGM1" i="9"/>
  <c r="UGL1" i="9"/>
  <c r="UGK1" i="9"/>
  <c r="UGJ1" i="9"/>
  <c r="UGI1" i="9"/>
  <c r="UGH1" i="9"/>
  <c r="UGG1" i="9"/>
  <c r="UGF1" i="9"/>
  <c r="UGE1" i="9"/>
  <c r="UGD1" i="9"/>
  <c r="UGC1" i="9"/>
  <c r="UGB1" i="9"/>
  <c r="UGA1" i="9"/>
  <c r="UFZ1" i="9"/>
  <c r="UFY1" i="9"/>
  <c r="UFX1" i="9"/>
  <c r="UFW1" i="9"/>
  <c r="UFV1" i="9"/>
  <c r="UFU1" i="9"/>
  <c r="UFT1" i="9"/>
  <c r="UFS1" i="9"/>
  <c r="UFR1" i="9"/>
  <c r="UFQ1" i="9"/>
  <c r="UFP1" i="9"/>
  <c r="UFO1" i="9"/>
  <c r="UFN1" i="9"/>
  <c r="UFM1" i="9"/>
  <c r="UFL1" i="9"/>
  <c r="UFK1" i="9"/>
  <c r="UFJ1" i="9"/>
  <c r="UFI1" i="9"/>
  <c r="UFH1" i="9"/>
  <c r="UFG1" i="9"/>
  <c r="UFF1" i="9"/>
  <c r="UFE1" i="9"/>
  <c r="UFD1" i="9"/>
  <c r="UFC1" i="9"/>
  <c r="UFB1" i="9"/>
  <c r="UFA1" i="9"/>
  <c r="UEZ1" i="9"/>
  <c r="UEY1" i="9"/>
  <c r="UEX1" i="9"/>
  <c r="UEW1" i="9"/>
  <c r="UEV1" i="9"/>
  <c r="UEU1" i="9"/>
  <c r="UET1" i="9"/>
  <c r="UES1" i="9"/>
  <c r="UER1" i="9"/>
  <c r="UEQ1" i="9"/>
  <c r="UEP1" i="9"/>
  <c r="UEO1" i="9"/>
  <c r="UEN1" i="9"/>
  <c r="UEM1" i="9"/>
  <c r="UEL1" i="9"/>
  <c r="UEK1" i="9"/>
  <c r="UEJ1" i="9"/>
  <c r="UEI1" i="9"/>
  <c r="UEH1" i="9"/>
  <c r="UEG1" i="9"/>
  <c r="UEF1" i="9"/>
  <c r="UEE1" i="9"/>
  <c r="UED1" i="9"/>
  <c r="UEC1" i="9"/>
  <c r="UEB1" i="9"/>
  <c r="UEA1" i="9"/>
  <c r="UDZ1" i="9"/>
  <c r="UDY1" i="9"/>
  <c r="UDX1" i="9"/>
  <c r="UDW1" i="9"/>
  <c r="UDV1" i="9"/>
  <c r="UDU1" i="9"/>
  <c r="UDT1" i="9"/>
  <c r="UDS1" i="9"/>
  <c r="UDR1" i="9"/>
  <c r="UDQ1" i="9"/>
  <c r="UDP1" i="9"/>
  <c r="UDO1" i="9"/>
  <c r="UDN1" i="9"/>
  <c r="UDM1" i="9"/>
  <c r="UDL1" i="9"/>
  <c r="UDK1" i="9"/>
  <c r="UDJ1" i="9"/>
  <c r="UDI1" i="9"/>
  <c r="UDH1" i="9"/>
  <c r="UDG1" i="9"/>
  <c r="UDF1" i="9"/>
  <c r="UDE1" i="9"/>
  <c r="UDD1" i="9"/>
  <c r="UDC1" i="9"/>
  <c r="UDB1" i="9"/>
  <c r="UDA1" i="9"/>
  <c r="UCZ1" i="9"/>
  <c r="UCY1" i="9"/>
  <c r="UCX1" i="9"/>
  <c r="UCW1" i="9"/>
  <c r="UCV1" i="9"/>
  <c r="UCU1" i="9"/>
  <c r="UCT1" i="9"/>
  <c r="UCS1" i="9"/>
  <c r="UCR1" i="9"/>
  <c r="UCQ1" i="9"/>
  <c r="UCP1" i="9"/>
  <c r="UCO1" i="9"/>
  <c r="UCN1" i="9"/>
  <c r="UCM1" i="9"/>
  <c r="UCL1" i="9"/>
  <c r="UCK1" i="9"/>
  <c r="UCJ1" i="9"/>
  <c r="UCI1" i="9"/>
  <c r="UCH1" i="9"/>
  <c r="UCG1" i="9"/>
  <c r="UCF1" i="9"/>
  <c r="UCE1" i="9"/>
  <c r="UCD1" i="9"/>
  <c r="UCC1" i="9"/>
  <c r="UCB1" i="9"/>
  <c r="UCA1" i="9"/>
  <c r="UBZ1" i="9"/>
  <c r="UBY1" i="9"/>
  <c r="UBX1" i="9"/>
  <c r="UBW1" i="9"/>
  <c r="UBV1" i="9"/>
  <c r="UBU1" i="9"/>
  <c r="UBT1" i="9"/>
  <c r="UBS1" i="9"/>
  <c r="UBR1" i="9"/>
  <c r="UBQ1" i="9"/>
  <c r="UBP1" i="9"/>
  <c r="UBO1" i="9"/>
  <c r="UBN1" i="9"/>
  <c r="UBM1" i="9"/>
  <c r="UBL1" i="9"/>
  <c r="UBK1" i="9"/>
  <c r="UBJ1" i="9"/>
  <c r="UBI1" i="9"/>
  <c r="UBH1" i="9"/>
  <c r="UBG1" i="9"/>
  <c r="UBF1" i="9"/>
  <c r="UBE1" i="9"/>
  <c r="UBD1" i="9"/>
  <c r="UBC1" i="9"/>
  <c r="UBB1" i="9"/>
  <c r="UBA1" i="9"/>
  <c r="UAZ1" i="9"/>
  <c r="UAY1" i="9"/>
  <c r="UAX1" i="9"/>
  <c r="UAW1" i="9"/>
  <c r="UAV1" i="9"/>
  <c r="UAU1" i="9"/>
  <c r="UAT1" i="9"/>
  <c r="UAS1" i="9"/>
  <c r="UAR1" i="9"/>
  <c r="UAQ1" i="9"/>
  <c r="UAP1" i="9"/>
  <c r="UAO1" i="9"/>
  <c r="UAN1" i="9"/>
  <c r="UAM1" i="9"/>
  <c r="UAL1" i="9"/>
  <c r="UAK1" i="9"/>
  <c r="UAJ1" i="9"/>
  <c r="UAI1" i="9"/>
  <c r="UAH1" i="9"/>
  <c r="UAG1" i="9"/>
  <c r="UAF1" i="9"/>
  <c r="UAE1" i="9"/>
  <c r="UAD1" i="9"/>
  <c r="UAC1" i="9"/>
  <c r="UAB1" i="9"/>
  <c r="UAA1" i="9"/>
  <c r="TZZ1" i="9"/>
  <c r="TZY1" i="9"/>
  <c r="TZX1" i="9"/>
  <c r="TZW1" i="9"/>
  <c r="TZV1" i="9"/>
  <c r="TZU1" i="9"/>
  <c r="TZT1" i="9"/>
  <c r="TZS1" i="9"/>
  <c r="TZR1" i="9"/>
  <c r="TZQ1" i="9"/>
  <c r="TZP1" i="9"/>
  <c r="TZO1" i="9"/>
  <c r="TZN1" i="9"/>
  <c r="TZM1" i="9"/>
  <c r="TZL1" i="9"/>
  <c r="TZK1" i="9"/>
  <c r="TZJ1" i="9"/>
  <c r="TZI1" i="9"/>
  <c r="TZH1" i="9"/>
  <c r="TZG1" i="9"/>
  <c r="TZF1" i="9"/>
  <c r="TZE1" i="9"/>
  <c r="TZD1" i="9"/>
  <c r="TZC1" i="9"/>
  <c r="TZB1" i="9"/>
  <c r="TZA1" i="9"/>
  <c r="TYZ1" i="9"/>
  <c r="TYY1" i="9"/>
  <c r="TYX1" i="9"/>
  <c r="TYW1" i="9"/>
  <c r="TYV1" i="9"/>
  <c r="TYU1" i="9"/>
  <c r="TYT1" i="9"/>
  <c r="TYS1" i="9"/>
  <c r="TYR1" i="9"/>
  <c r="TYQ1" i="9"/>
  <c r="TYP1" i="9"/>
  <c r="TYO1" i="9"/>
  <c r="TYN1" i="9"/>
  <c r="TYM1" i="9"/>
  <c r="TYL1" i="9"/>
  <c r="TYK1" i="9"/>
  <c r="TYJ1" i="9"/>
  <c r="TYI1" i="9"/>
  <c r="TYH1" i="9"/>
  <c r="TYG1" i="9"/>
  <c r="TYF1" i="9"/>
  <c r="TYE1" i="9"/>
  <c r="TYD1" i="9"/>
  <c r="TYC1" i="9"/>
  <c r="TYB1" i="9"/>
  <c r="TYA1" i="9"/>
  <c r="TXZ1" i="9"/>
  <c r="TXY1" i="9"/>
  <c r="TXX1" i="9"/>
  <c r="TXW1" i="9"/>
  <c r="TXV1" i="9"/>
  <c r="TXU1" i="9"/>
  <c r="TXT1" i="9"/>
  <c r="TXS1" i="9"/>
  <c r="TXR1" i="9"/>
  <c r="TXQ1" i="9"/>
  <c r="TXP1" i="9"/>
  <c r="TXO1" i="9"/>
  <c r="TXN1" i="9"/>
  <c r="TXM1" i="9"/>
  <c r="TXL1" i="9"/>
  <c r="TXK1" i="9"/>
  <c r="TXJ1" i="9"/>
  <c r="TXI1" i="9"/>
  <c r="TXH1" i="9"/>
  <c r="TXG1" i="9"/>
  <c r="TXF1" i="9"/>
  <c r="TXE1" i="9"/>
  <c r="TXD1" i="9"/>
  <c r="TXC1" i="9"/>
  <c r="TXB1" i="9"/>
  <c r="TXA1" i="9"/>
  <c r="TWZ1" i="9"/>
  <c r="TWY1" i="9"/>
  <c r="TWX1" i="9"/>
  <c r="TWW1" i="9"/>
  <c r="TWV1" i="9"/>
  <c r="TWU1" i="9"/>
  <c r="TWT1" i="9"/>
  <c r="TWS1" i="9"/>
  <c r="TWR1" i="9"/>
  <c r="TWQ1" i="9"/>
  <c r="TWP1" i="9"/>
  <c r="TWO1" i="9"/>
  <c r="TWN1" i="9"/>
  <c r="TWM1" i="9"/>
  <c r="TWL1" i="9"/>
  <c r="TWK1" i="9"/>
  <c r="TWJ1" i="9"/>
  <c r="TWI1" i="9"/>
  <c r="TWH1" i="9"/>
  <c r="TWG1" i="9"/>
  <c r="TWF1" i="9"/>
  <c r="TWE1" i="9"/>
  <c r="TWD1" i="9"/>
  <c r="TWC1" i="9"/>
  <c r="TWB1" i="9"/>
  <c r="TWA1" i="9"/>
  <c r="TVZ1" i="9"/>
  <c r="TVY1" i="9"/>
  <c r="TVX1" i="9"/>
  <c r="TVW1" i="9"/>
  <c r="TVV1" i="9"/>
  <c r="TVU1" i="9"/>
  <c r="TVT1" i="9"/>
  <c r="TVS1" i="9"/>
  <c r="TVR1" i="9"/>
  <c r="TVQ1" i="9"/>
  <c r="TVP1" i="9"/>
  <c r="TVO1" i="9"/>
  <c r="TVN1" i="9"/>
  <c r="TVM1" i="9"/>
  <c r="TVL1" i="9"/>
  <c r="TVK1" i="9"/>
  <c r="TVJ1" i="9"/>
  <c r="TVI1" i="9"/>
  <c r="TVH1" i="9"/>
  <c r="TVG1" i="9"/>
  <c r="TVF1" i="9"/>
  <c r="TVE1" i="9"/>
  <c r="TVD1" i="9"/>
  <c r="TVC1" i="9"/>
  <c r="TVB1" i="9"/>
  <c r="TVA1" i="9"/>
  <c r="TUZ1" i="9"/>
  <c r="TUY1" i="9"/>
  <c r="TUX1" i="9"/>
  <c r="TUW1" i="9"/>
  <c r="TUV1" i="9"/>
  <c r="TUU1" i="9"/>
  <c r="TUT1" i="9"/>
  <c r="TUS1" i="9"/>
  <c r="TUR1" i="9"/>
  <c r="TUQ1" i="9"/>
  <c r="TUP1" i="9"/>
  <c r="TUO1" i="9"/>
  <c r="TUN1" i="9"/>
  <c r="TUM1" i="9"/>
  <c r="TUL1" i="9"/>
  <c r="TUK1" i="9"/>
  <c r="TUJ1" i="9"/>
  <c r="TUI1" i="9"/>
  <c r="TUH1" i="9"/>
  <c r="TUG1" i="9"/>
  <c r="TUF1" i="9"/>
  <c r="TUE1" i="9"/>
  <c r="TUD1" i="9"/>
  <c r="TUC1" i="9"/>
  <c r="TUB1" i="9"/>
  <c r="TUA1" i="9"/>
  <c r="TTZ1" i="9"/>
  <c r="TTY1" i="9"/>
  <c r="TTX1" i="9"/>
  <c r="TTW1" i="9"/>
  <c r="TTV1" i="9"/>
  <c r="TTU1" i="9"/>
  <c r="TTT1" i="9"/>
  <c r="TTS1" i="9"/>
  <c r="TTR1" i="9"/>
  <c r="TTQ1" i="9"/>
  <c r="TTP1" i="9"/>
  <c r="TTO1" i="9"/>
  <c r="TTN1" i="9"/>
  <c r="TTM1" i="9"/>
  <c r="TTL1" i="9"/>
  <c r="TTK1" i="9"/>
  <c r="TTJ1" i="9"/>
  <c r="TTI1" i="9"/>
  <c r="TTH1" i="9"/>
  <c r="TTG1" i="9"/>
  <c r="TTF1" i="9"/>
  <c r="TTE1" i="9"/>
  <c r="TTD1" i="9"/>
  <c r="TTC1" i="9"/>
  <c r="TTB1" i="9"/>
  <c r="TTA1" i="9"/>
  <c r="TSZ1" i="9"/>
  <c r="TSY1" i="9"/>
  <c r="TSX1" i="9"/>
  <c r="TSW1" i="9"/>
  <c r="TSV1" i="9"/>
  <c r="TSU1" i="9"/>
  <c r="TST1" i="9"/>
  <c r="TSS1" i="9"/>
  <c r="TSR1" i="9"/>
  <c r="TSQ1" i="9"/>
  <c r="TSP1" i="9"/>
  <c r="TSO1" i="9"/>
  <c r="TSN1" i="9"/>
  <c r="TSM1" i="9"/>
  <c r="TSL1" i="9"/>
  <c r="TSK1" i="9"/>
  <c r="TSJ1" i="9"/>
  <c r="TSI1" i="9"/>
  <c r="TSH1" i="9"/>
  <c r="TSG1" i="9"/>
  <c r="TSF1" i="9"/>
  <c r="TSE1" i="9"/>
  <c r="TSD1" i="9"/>
  <c r="TSC1" i="9"/>
  <c r="TSB1" i="9"/>
  <c r="TSA1" i="9"/>
  <c r="TRZ1" i="9"/>
  <c r="TRY1" i="9"/>
  <c r="TRX1" i="9"/>
  <c r="TRW1" i="9"/>
  <c r="TRV1" i="9"/>
  <c r="TRU1" i="9"/>
  <c r="TRT1" i="9"/>
  <c r="TRS1" i="9"/>
  <c r="TRR1" i="9"/>
  <c r="TRQ1" i="9"/>
  <c r="TRP1" i="9"/>
  <c r="TRO1" i="9"/>
  <c r="TRN1" i="9"/>
  <c r="TRM1" i="9"/>
  <c r="TRL1" i="9"/>
  <c r="TRK1" i="9"/>
  <c r="TRJ1" i="9"/>
  <c r="TRI1" i="9"/>
  <c r="TRH1" i="9"/>
  <c r="TRG1" i="9"/>
  <c r="TRF1" i="9"/>
  <c r="TRE1" i="9"/>
  <c r="TRD1" i="9"/>
  <c r="TRC1" i="9"/>
  <c r="TRB1" i="9"/>
  <c r="TRA1" i="9"/>
  <c r="TQZ1" i="9"/>
  <c r="TQY1" i="9"/>
  <c r="TQX1" i="9"/>
  <c r="TQW1" i="9"/>
  <c r="TQV1" i="9"/>
  <c r="TQU1" i="9"/>
  <c r="TQT1" i="9"/>
  <c r="TQS1" i="9"/>
  <c r="TQR1" i="9"/>
  <c r="TQQ1" i="9"/>
  <c r="TQP1" i="9"/>
  <c r="TQO1" i="9"/>
  <c r="TQN1" i="9"/>
  <c r="TQM1" i="9"/>
  <c r="TQL1" i="9"/>
  <c r="TQK1" i="9"/>
  <c r="TQJ1" i="9"/>
  <c r="TQI1" i="9"/>
  <c r="TQH1" i="9"/>
  <c r="TQG1" i="9"/>
  <c r="TQF1" i="9"/>
  <c r="TQE1" i="9"/>
  <c r="TQD1" i="9"/>
  <c r="TQC1" i="9"/>
  <c r="TQB1" i="9"/>
  <c r="TQA1" i="9"/>
  <c r="TPZ1" i="9"/>
  <c r="TPY1" i="9"/>
  <c r="TPX1" i="9"/>
  <c r="TPW1" i="9"/>
  <c r="TPV1" i="9"/>
  <c r="TPU1" i="9"/>
  <c r="TPT1" i="9"/>
  <c r="TPS1" i="9"/>
  <c r="TPR1" i="9"/>
  <c r="TPQ1" i="9"/>
  <c r="TPP1" i="9"/>
  <c r="TPO1" i="9"/>
  <c r="TPN1" i="9"/>
  <c r="TPM1" i="9"/>
  <c r="TPL1" i="9"/>
  <c r="TPK1" i="9"/>
  <c r="TPJ1" i="9"/>
  <c r="TPI1" i="9"/>
  <c r="TPH1" i="9"/>
  <c r="TPG1" i="9"/>
  <c r="TPF1" i="9"/>
  <c r="TPE1" i="9"/>
  <c r="TPD1" i="9"/>
  <c r="TPC1" i="9"/>
  <c r="TPB1" i="9"/>
  <c r="TPA1" i="9"/>
  <c r="TOZ1" i="9"/>
  <c r="TOY1" i="9"/>
  <c r="TOX1" i="9"/>
  <c r="TOW1" i="9"/>
  <c r="TOV1" i="9"/>
  <c r="TOU1" i="9"/>
  <c r="TOT1" i="9"/>
  <c r="TOS1" i="9"/>
  <c r="TOR1" i="9"/>
  <c r="TOQ1" i="9"/>
  <c r="TOP1" i="9"/>
  <c r="TOO1" i="9"/>
  <c r="TON1" i="9"/>
  <c r="TOM1" i="9"/>
  <c r="TOL1" i="9"/>
  <c r="TOK1" i="9"/>
  <c r="TOJ1" i="9"/>
  <c r="TOI1" i="9"/>
  <c r="TOH1" i="9"/>
  <c r="TOG1" i="9"/>
  <c r="TOF1" i="9"/>
  <c r="TOE1" i="9"/>
  <c r="TOD1" i="9"/>
  <c r="TOC1" i="9"/>
  <c r="TOB1" i="9"/>
  <c r="TOA1" i="9"/>
  <c r="TNZ1" i="9"/>
  <c r="TNY1" i="9"/>
  <c r="TNX1" i="9"/>
  <c r="TNW1" i="9"/>
  <c r="TNV1" i="9"/>
  <c r="TNU1" i="9"/>
  <c r="TNT1" i="9"/>
  <c r="TNS1" i="9"/>
  <c r="TNR1" i="9"/>
  <c r="TNQ1" i="9"/>
  <c r="TNP1" i="9"/>
  <c r="TNO1" i="9"/>
  <c r="TNN1" i="9"/>
  <c r="TNM1" i="9"/>
  <c r="TNL1" i="9"/>
  <c r="TNK1" i="9"/>
  <c r="TNJ1" i="9"/>
  <c r="TNI1" i="9"/>
  <c r="TNH1" i="9"/>
  <c r="TNG1" i="9"/>
  <c r="TNF1" i="9"/>
  <c r="TNE1" i="9"/>
  <c r="TND1" i="9"/>
  <c r="TNC1" i="9"/>
  <c r="TNB1" i="9"/>
  <c r="TNA1" i="9"/>
  <c r="TMZ1" i="9"/>
  <c r="TMY1" i="9"/>
  <c r="TMX1" i="9"/>
  <c r="TMW1" i="9"/>
  <c r="TMV1" i="9"/>
  <c r="TMU1" i="9"/>
  <c r="TMT1" i="9"/>
  <c r="TMS1" i="9"/>
  <c r="TMR1" i="9"/>
  <c r="TMQ1" i="9"/>
  <c r="TMP1" i="9"/>
  <c r="TMO1" i="9"/>
  <c r="TMN1" i="9"/>
  <c r="TMM1" i="9"/>
  <c r="TML1" i="9"/>
  <c r="TMK1" i="9"/>
  <c r="TMJ1" i="9"/>
  <c r="TMI1" i="9"/>
  <c r="TMH1" i="9"/>
  <c r="TMG1" i="9"/>
  <c r="TMF1" i="9"/>
  <c r="TME1" i="9"/>
  <c r="TMD1" i="9"/>
  <c r="TMC1" i="9"/>
  <c r="TMB1" i="9"/>
  <c r="TMA1" i="9"/>
  <c r="TLZ1" i="9"/>
  <c r="TLY1" i="9"/>
  <c r="TLX1" i="9"/>
  <c r="TLW1" i="9"/>
  <c r="TLV1" i="9"/>
  <c r="TLU1" i="9"/>
  <c r="TLT1" i="9"/>
  <c r="TLS1" i="9"/>
  <c r="TLR1" i="9"/>
  <c r="TLQ1" i="9"/>
  <c r="TLP1" i="9"/>
  <c r="TLO1" i="9"/>
  <c r="TLN1" i="9"/>
  <c r="TLM1" i="9"/>
  <c r="TLL1" i="9"/>
  <c r="TLK1" i="9"/>
  <c r="TLJ1" i="9"/>
  <c r="TLI1" i="9"/>
  <c r="TLH1" i="9"/>
  <c r="TLG1" i="9"/>
  <c r="TLF1" i="9"/>
  <c r="TLE1" i="9"/>
  <c r="TLD1" i="9"/>
  <c r="TLC1" i="9"/>
  <c r="TLB1" i="9"/>
  <c r="TLA1" i="9"/>
  <c r="TKZ1" i="9"/>
  <c r="TKY1" i="9"/>
  <c r="TKX1" i="9"/>
  <c r="TKW1" i="9"/>
  <c r="TKV1" i="9"/>
  <c r="TKU1" i="9"/>
  <c r="TKT1" i="9"/>
  <c r="TKS1" i="9"/>
  <c r="TKR1" i="9"/>
  <c r="TKQ1" i="9"/>
  <c r="TKP1" i="9"/>
  <c r="TKO1" i="9"/>
  <c r="TKN1" i="9"/>
  <c r="TKM1" i="9"/>
  <c r="TKL1" i="9"/>
  <c r="TKK1" i="9"/>
  <c r="TKJ1" i="9"/>
  <c r="TKI1" i="9"/>
  <c r="TKH1" i="9"/>
  <c r="TKG1" i="9"/>
  <c r="TKF1" i="9"/>
  <c r="TKE1" i="9"/>
  <c r="TKD1" i="9"/>
  <c r="TKC1" i="9"/>
  <c r="TKB1" i="9"/>
  <c r="TKA1" i="9"/>
  <c r="TJZ1" i="9"/>
  <c r="TJY1" i="9"/>
  <c r="TJX1" i="9"/>
  <c r="TJW1" i="9"/>
  <c r="TJV1" i="9"/>
  <c r="TJU1" i="9"/>
  <c r="TJT1" i="9"/>
  <c r="TJS1" i="9"/>
  <c r="TJR1" i="9"/>
  <c r="TJQ1" i="9"/>
  <c r="TJP1" i="9"/>
  <c r="TJO1" i="9"/>
  <c r="TJN1" i="9"/>
  <c r="TJM1" i="9"/>
  <c r="TJL1" i="9"/>
  <c r="TJK1" i="9"/>
  <c r="TJJ1" i="9"/>
  <c r="TJI1" i="9"/>
  <c r="TJH1" i="9"/>
  <c r="TJG1" i="9"/>
  <c r="TJF1" i="9"/>
  <c r="TJE1" i="9"/>
  <c r="TJD1" i="9"/>
  <c r="TJC1" i="9"/>
  <c r="TJB1" i="9"/>
  <c r="TJA1" i="9"/>
  <c r="TIZ1" i="9"/>
  <c r="TIY1" i="9"/>
  <c r="TIX1" i="9"/>
  <c r="TIW1" i="9"/>
  <c r="TIV1" i="9"/>
  <c r="TIU1" i="9"/>
  <c r="TIT1" i="9"/>
  <c r="TIS1" i="9"/>
  <c r="TIR1" i="9"/>
  <c r="TIQ1" i="9"/>
  <c r="TIP1" i="9"/>
  <c r="TIO1" i="9"/>
  <c r="TIN1" i="9"/>
  <c r="TIM1" i="9"/>
  <c r="TIL1" i="9"/>
  <c r="TIK1" i="9"/>
  <c r="TIJ1" i="9"/>
  <c r="TII1" i="9"/>
  <c r="TIH1" i="9"/>
  <c r="TIG1" i="9"/>
  <c r="TIF1" i="9"/>
  <c r="TIE1" i="9"/>
  <c r="TID1" i="9"/>
  <c r="TIC1" i="9"/>
  <c r="TIB1" i="9"/>
  <c r="TIA1" i="9"/>
  <c r="THZ1" i="9"/>
  <c r="THY1" i="9"/>
  <c r="THX1" i="9"/>
  <c r="THW1" i="9"/>
  <c r="THV1" i="9"/>
  <c r="THU1" i="9"/>
  <c r="THT1" i="9"/>
  <c r="THS1" i="9"/>
  <c r="THR1" i="9"/>
  <c r="THQ1" i="9"/>
  <c r="THP1" i="9"/>
  <c r="THO1" i="9"/>
  <c r="THN1" i="9"/>
  <c r="THM1" i="9"/>
  <c r="THL1" i="9"/>
  <c r="THK1" i="9"/>
  <c r="THJ1" i="9"/>
  <c r="THI1" i="9"/>
  <c r="THH1" i="9"/>
  <c r="THG1" i="9"/>
  <c r="THF1" i="9"/>
  <c r="THE1" i="9"/>
  <c r="THD1" i="9"/>
  <c r="THC1" i="9"/>
  <c r="THB1" i="9"/>
  <c r="THA1" i="9"/>
  <c r="TGZ1" i="9"/>
  <c r="TGY1" i="9"/>
  <c r="TGX1" i="9"/>
  <c r="TGW1" i="9"/>
  <c r="TGV1" i="9"/>
  <c r="TGU1" i="9"/>
  <c r="TGT1" i="9"/>
  <c r="TGS1" i="9"/>
  <c r="TGR1" i="9"/>
  <c r="TGQ1" i="9"/>
  <c r="TGP1" i="9"/>
  <c r="TGO1" i="9"/>
  <c r="TGN1" i="9"/>
  <c r="TGM1" i="9"/>
  <c r="TGL1" i="9"/>
  <c r="TGK1" i="9"/>
  <c r="TGJ1" i="9"/>
  <c r="TGI1" i="9"/>
  <c r="TGH1" i="9"/>
  <c r="TGG1" i="9"/>
  <c r="TGF1" i="9"/>
  <c r="TGE1" i="9"/>
  <c r="TGD1" i="9"/>
  <c r="TGC1" i="9"/>
  <c r="TGB1" i="9"/>
  <c r="TGA1" i="9"/>
  <c r="TFZ1" i="9"/>
  <c r="TFY1" i="9"/>
  <c r="TFX1" i="9"/>
  <c r="TFW1" i="9"/>
  <c r="TFV1" i="9"/>
  <c r="TFU1" i="9"/>
  <c r="TFT1" i="9"/>
  <c r="TFS1" i="9"/>
  <c r="TFR1" i="9"/>
  <c r="TFQ1" i="9"/>
  <c r="TFP1" i="9"/>
  <c r="TFO1" i="9"/>
  <c r="TFN1" i="9"/>
  <c r="TFM1" i="9"/>
  <c r="TFL1" i="9"/>
  <c r="TFK1" i="9"/>
  <c r="TFJ1" i="9"/>
  <c r="TFI1" i="9"/>
  <c r="TFH1" i="9"/>
  <c r="TFG1" i="9"/>
  <c r="TFF1" i="9"/>
  <c r="TFE1" i="9"/>
  <c r="TFD1" i="9"/>
  <c r="TFC1" i="9"/>
  <c r="TFB1" i="9"/>
  <c r="TFA1" i="9"/>
  <c r="TEZ1" i="9"/>
  <c r="TEY1" i="9"/>
  <c r="TEX1" i="9"/>
  <c r="TEW1" i="9"/>
  <c r="TEV1" i="9"/>
  <c r="TEU1" i="9"/>
  <c r="TET1" i="9"/>
  <c r="TES1" i="9"/>
  <c r="TER1" i="9"/>
  <c r="TEQ1" i="9"/>
  <c r="TEP1" i="9"/>
  <c r="TEO1" i="9"/>
  <c r="TEN1" i="9"/>
  <c r="TEM1" i="9"/>
  <c r="TEL1" i="9"/>
  <c r="TEK1" i="9"/>
  <c r="TEJ1" i="9"/>
  <c r="TEI1" i="9"/>
  <c r="TEH1" i="9"/>
  <c r="TEG1" i="9"/>
  <c r="TEF1" i="9"/>
  <c r="TEE1" i="9"/>
  <c r="TED1" i="9"/>
  <c r="TEC1" i="9"/>
  <c r="TEB1" i="9"/>
  <c r="TEA1" i="9"/>
  <c r="TDZ1" i="9"/>
  <c r="TDY1" i="9"/>
  <c r="TDX1" i="9"/>
  <c r="TDW1" i="9"/>
  <c r="TDV1" i="9"/>
  <c r="TDU1" i="9"/>
  <c r="TDT1" i="9"/>
  <c r="TDS1" i="9"/>
  <c r="TDR1" i="9"/>
  <c r="TDQ1" i="9"/>
  <c r="TDP1" i="9"/>
  <c r="TDO1" i="9"/>
  <c r="TDN1" i="9"/>
  <c r="TDM1" i="9"/>
  <c r="TDL1" i="9"/>
  <c r="TDK1" i="9"/>
  <c r="TDJ1" i="9"/>
  <c r="TDI1" i="9"/>
  <c r="TDH1" i="9"/>
  <c r="TDG1" i="9"/>
  <c r="TDF1" i="9"/>
  <c r="TDE1" i="9"/>
  <c r="TDD1" i="9"/>
  <c r="TDC1" i="9"/>
  <c r="TDB1" i="9"/>
  <c r="TDA1" i="9"/>
  <c r="TCZ1" i="9"/>
  <c r="TCY1" i="9"/>
  <c r="TCX1" i="9"/>
  <c r="TCW1" i="9"/>
  <c r="TCV1" i="9"/>
  <c r="TCU1" i="9"/>
  <c r="TCT1" i="9"/>
  <c r="TCS1" i="9"/>
  <c r="TCR1" i="9"/>
  <c r="TCQ1" i="9"/>
  <c r="TCP1" i="9"/>
  <c r="TCO1" i="9"/>
  <c r="TCN1" i="9"/>
  <c r="TCM1" i="9"/>
  <c r="TCL1" i="9"/>
  <c r="TCK1" i="9"/>
  <c r="TCJ1" i="9"/>
  <c r="TCI1" i="9"/>
  <c r="TCH1" i="9"/>
  <c r="TCG1" i="9"/>
  <c r="TCF1" i="9"/>
  <c r="TCE1" i="9"/>
  <c r="TCD1" i="9"/>
  <c r="TCC1" i="9"/>
  <c r="TCB1" i="9"/>
  <c r="TCA1" i="9"/>
  <c r="TBZ1" i="9"/>
  <c r="TBY1" i="9"/>
  <c r="TBX1" i="9"/>
  <c r="TBW1" i="9"/>
  <c r="TBV1" i="9"/>
  <c r="TBU1" i="9"/>
  <c r="TBT1" i="9"/>
  <c r="TBS1" i="9"/>
  <c r="TBR1" i="9"/>
  <c r="TBQ1" i="9"/>
  <c r="TBP1" i="9"/>
  <c r="TBO1" i="9"/>
  <c r="TBN1" i="9"/>
  <c r="TBM1" i="9"/>
  <c r="TBL1" i="9"/>
  <c r="TBK1" i="9"/>
  <c r="TBJ1" i="9"/>
  <c r="TBI1" i="9"/>
  <c r="TBH1" i="9"/>
  <c r="TBG1" i="9"/>
  <c r="TBF1" i="9"/>
  <c r="TBE1" i="9"/>
  <c r="TBD1" i="9"/>
  <c r="TBC1" i="9"/>
  <c r="TBB1" i="9"/>
  <c r="TBA1" i="9"/>
  <c r="TAZ1" i="9"/>
  <c r="TAY1" i="9"/>
  <c r="TAX1" i="9"/>
  <c r="TAW1" i="9"/>
  <c r="TAV1" i="9"/>
  <c r="TAU1" i="9"/>
  <c r="TAT1" i="9"/>
  <c r="TAS1" i="9"/>
  <c r="TAR1" i="9"/>
  <c r="TAQ1" i="9"/>
  <c r="TAP1" i="9"/>
  <c r="TAO1" i="9"/>
  <c r="TAN1" i="9"/>
  <c r="TAM1" i="9"/>
  <c r="TAL1" i="9"/>
  <c r="TAK1" i="9"/>
  <c r="TAJ1" i="9"/>
  <c r="TAI1" i="9"/>
  <c r="TAH1" i="9"/>
  <c r="TAG1" i="9"/>
  <c r="TAF1" i="9"/>
  <c r="TAE1" i="9"/>
  <c r="TAD1" i="9"/>
  <c r="TAC1" i="9"/>
  <c r="TAB1" i="9"/>
  <c r="TAA1" i="9"/>
  <c r="SZZ1" i="9"/>
  <c r="SZY1" i="9"/>
  <c r="SZX1" i="9"/>
  <c r="SZW1" i="9"/>
  <c r="SZV1" i="9"/>
  <c r="SZU1" i="9"/>
  <c r="SZT1" i="9"/>
  <c r="SZS1" i="9"/>
  <c r="SZR1" i="9"/>
  <c r="SZQ1" i="9"/>
  <c r="SZP1" i="9"/>
  <c r="SZO1" i="9"/>
  <c r="SZN1" i="9"/>
  <c r="SZM1" i="9"/>
  <c r="SZL1" i="9"/>
  <c r="SZK1" i="9"/>
  <c r="SZJ1" i="9"/>
  <c r="SZI1" i="9"/>
  <c r="SZH1" i="9"/>
  <c r="SZG1" i="9"/>
  <c r="SZF1" i="9"/>
  <c r="SZE1" i="9"/>
  <c r="SZD1" i="9"/>
  <c r="SZC1" i="9"/>
  <c r="SZB1" i="9"/>
  <c r="SZA1" i="9"/>
  <c r="SYZ1" i="9"/>
  <c r="SYY1" i="9"/>
  <c r="SYX1" i="9"/>
  <c r="SYW1" i="9"/>
  <c r="SYV1" i="9"/>
  <c r="SYU1" i="9"/>
  <c r="SYT1" i="9"/>
  <c r="SYS1" i="9"/>
  <c r="SYR1" i="9"/>
  <c r="SYQ1" i="9"/>
  <c r="SYP1" i="9"/>
  <c r="SYO1" i="9"/>
  <c r="SYN1" i="9"/>
  <c r="SYM1" i="9"/>
  <c r="SYL1" i="9"/>
  <c r="SYK1" i="9"/>
  <c r="SYJ1" i="9"/>
  <c r="SYI1" i="9"/>
  <c r="SYH1" i="9"/>
  <c r="SYG1" i="9"/>
  <c r="SYF1" i="9"/>
  <c r="SYE1" i="9"/>
  <c r="SYD1" i="9"/>
  <c r="SYC1" i="9"/>
  <c r="SYB1" i="9"/>
  <c r="SYA1" i="9"/>
  <c r="SXZ1" i="9"/>
  <c r="SXY1" i="9"/>
  <c r="SXX1" i="9"/>
  <c r="SXW1" i="9"/>
  <c r="SXV1" i="9"/>
  <c r="SXU1" i="9"/>
  <c r="SXT1" i="9"/>
  <c r="SXS1" i="9"/>
  <c r="SXR1" i="9"/>
  <c r="SXQ1" i="9"/>
  <c r="SXP1" i="9"/>
  <c r="SXO1" i="9"/>
  <c r="SXN1" i="9"/>
  <c r="SXM1" i="9"/>
  <c r="SXL1" i="9"/>
  <c r="SXK1" i="9"/>
  <c r="SXJ1" i="9"/>
  <c r="SXI1" i="9"/>
  <c r="SXH1" i="9"/>
  <c r="SXG1" i="9"/>
  <c r="SXF1" i="9"/>
  <c r="SXE1" i="9"/>
  <c r="SXD1" i="9"/>
  <c r="SXC1" i="9"/>
  <c r="SXB1" i="9"/>
  <c r="SXA1" i="9"/>
  <c r="SWZ1" i="9"/>
  <c r="SWY1" i="9"/>
  <c r="SWX1" i="9"/>
  <c r="SWW1" i="9"/>
  <c r="SWV1" i="9"/>
  <c r="SWU1" i="9"/>
  <c r="SWT1" i="9"/>
  <c r="SWS1" i="9"/>
  <c r="SWR1" i="9"/>
  <c r="SWQ1" i="9"/>
  <c r="SWP1" i="9"/>
  <c r="SWO1" i="9"/>
  <c r="SWN1" i="9"/>
  <c r="SWM1" i="9"/>
  <c r="SWL1" i="9"/>
  <c r="SWK1" i="9"/>
  <c r="SWJ1" i="9"/>
  <c r="SWI1" i="9"/>
  <c r="SWH1" i="9"/>
  <c r="SWG1" i="9"/>
  <c r="SWF1" i="9"/>
  <c r="SWE1" i="9"/>
  <c r="SWD1" i="9"/>
  <c r="SWC1" i="9"/>
  <c r="SWB1" i="9"/>
  <c r="SWA1" i="9"/>
  <c r="SVZ1" i="9"/>
  <c r="SVY1" i="9"/>
  <c r="SVX1" i="9"/>
  <c r="SVW1" i="9"/>
  <c r="SVV1" i="9"/>
  <c r="SVU1" i="9"/>
  <c r="SVT1" i="9"/>
  <c r="SVS1" i="9"/>
  <c r="SVR1" i="9"/>
  <c r="SVQ1" i="9"/>
  <c r="SVP1" i="9"/>
  <c r="SVO1" i="9"/>
  <c r="SVN1" i="9"/>
  <c r="SVM1" i="9"/>
  <c r="SVL1" i="9"/>
  <c r="SVK1" i="9"/>
  <c r="SVJ1" i="9"/>
  <c r="SVI1" i="9"/>
  <c r="SVH1" i="9"/>
  <c r="SVG1" i="9"/>
  <c r="SVF1" i="9"/>
  <c r="SVE1" i="9"/>
  <c r="SVD1" i="9"/>
  <c r="SVC1" i="9"/>
  <c r="SVB1" i="9"/>
  <c r="SVA1" i="9"/>
  <c r="SUZ1" i="9"/>
  <c r="SUY1" i="9"/>
  <c r="SUX1" i="9"/>
  <c r="SUW1" i="9"/>
  <c r="SUV1" i="9"/>
  <c r="SUU1" i="9"/>
  <c r="SUT1" i="9"/>
  <c r="SUS1" i="9"/>
  <c r="SUR1" i="9"/>
  <c r="SUQ1" i="9"/>
  <c r="SUP1" i="9"/>
  <c r="SUO1" i="9"/>
  <c r="SUN1" i="9"/>
  <c r="SUM1" i="9"/>
  <c r="SUL1" i="9"/>
  <c r="SUK1" i="9"/>
  <c r="SUJ1" i="9"/>
  <c r="SUI1" i="9"/>
  <c r="SUH1" i="9"/>
  <c r="SUG1" i="9"/>
  <c r="SUF1" i="9"/>
  <c r="SUE1" i="9"/>
  <c r="SUD1" i="9"/>
  <c r="SUC1" i="9"/>
  <c r="SUB1" i="9"/>
  <c r="SUA1" i="9"/>
  <c r="STZ1" i="9"/>
  <c r="STY1" i="9"/>
  <c r="STX1" i="9"/>
  <c r="STW1" i="9"/>
  <c r="STV1" i="9"/>
  <c r="STU1" i="9"/>
  <c r="STT1" i="9"/>
  <c r="STS1" i="9"/>
  <c r="STR1" i="9"/>
  <c r="STQ1" i="9"/>
  <c r="STP1" i="9"/>
  <c r="STO1" i="9"/>
  <c r="STN1" i="9"/>
  <c r="STM1" i="9"/>
  <c r="STL1" i="9"/>
  <c r="STK1" i="9"/>
  <c r="STJ1" i="9"/>
  <c r="STI1" i="9"/>
  <c r="STH1" i="9"/>
  <c r="STG1" i="9"/>
  <c r="STF1" i="9"/>
  <c r="STE1" i="9"/>
  <c r="STD1" i="9"/>
  <c r="STC1" i="9"/>
  <c r="STB1" i="9"/>
  <c r="STA1" i="9"/>
  <c r="SSZ1" i="9"/>
  <c r="SSY1" i="9"/>
  <c r="SSX1" i="9"/>
  <c r="SSW1" i="9"/>
  <c r="SSV1" i="9"/>
  <c r="SSU1" i="9"/>
  <c r="SST1" i="9"/>
  <c r="SSS1" i="9"/>
  <c r="SSR1" i="9"/>
  <c r="SSQ1" i="9"/>
  <c r="SSP1" i="9"/>
  <c r="SSO1" i="9"/>
  <c r="SSN1" i="9"/>
  <c r="SSM1" i="9"/>
  <c r="SSL1" i="9"/>
  <c r="SSK1" i="9"/>
  <c r="SSJ1" i="9"/>
  <c r="SSI1" i="9"/>
  <c r="SSH1" i="9"/>
  <c r="SSG1" i="9"/>
  <c r="SSF1" i="9"/>
  <c r="SSE1" i="9"/>
  <c r="SSD1" i="9"/>
  <c r="SSC1" i="9"/>
  <c r="SSB1" i="9"/>
  <c r="SSA1" i="9"/>
  <c r="SRZ1" i="9"/>
  <c r="SRY1" i="9"/>
  <c r="SRX1" i="9"/>
  <c r="SRW1" i="9"/>
  <c r="SRV1" i="9"/>
  <c r="SRU1" i="9"/>
  <c r="SRT1" i="9"/>
  <c r="SRS1" i="9"/>
  <c r="SRR1" i="9"/>
  <c r="SRQ1" i="9"/>
  <c r="SRP1" i="9"/>
  <c r="SRO1" i="9"/>
  <c r="SRN1" i="9"/>
  <c r="SRM1" i="9"/>
  <c r="SRL1" i="9"/>
  <c r="SRK1" i="9"/>
  <c r="SRJ1" i="9"/>
  <c r="SRI1" i="9"/>
  <c r="SRH1" i="9"/>
  <c r="SRG1" i="9"/>
  <c r="SRF1" i="9"/>
  <c r="SRE1" i="9"/>
  <c r="SRD1" i="9"/>
  <c r="SRC1" i="9"/>
  <c r="SRB1" i="9"/>
  <c r="SRA1" i="9"/>
  <c r="SQZ1" i="9"/>
  <c r="SQY1" i="9"/>
  <c r="SQX1" i="9"/>
  <c r="SQW1" i="9"/>
  <c r="SQV1" i="9"/>
  <c r="SQU1" i="9"/>
  <c r="SQT1" i="9"/>
  <c r="SQS1" i="9"/>
  <c r="SQR1" i="9"/>
  <c r="SQQ1" i="9"/>
  <c r="SQP1" i="9"/>
  <c r="SQO1" i="9"/>
  <c r="SQN1" i="9"/>
  <c r="SQM1" i="9"/>
  <c r="SQL1" i="9"/>
  <c r="SQK1" i="9"/>
  <c r="SQJ1" i="9"/>
  <c r="SQI1" i="9"/>
  <c r="SQH1" i="9"/>
  <c r="SQG1" i="9"/>
  <c r="SQF1" i="9"/>
  <c r="SQE1" i="9"/>
  <c r="SQD1" i="9"/>
  <c r="SQC1" i="9"/>
  <c r="SQB1" i="9"/>
  <c r="SQA1" i="9"/>
  <c r="SPZ1" i="9"/>
  <c r="SPY1" i="9"/>
  <c r="SPX1" i="9"/>
  <c r="SPW1" i="9"/>
  <c r="SPV1" i="9"/>
  <c r="SPU1" i="9"/>
  <c r="SPT1" i="9"/>
  <c r="SPS1" i="9"/>
  <c r="SPR1" i="9"/>
  <c r="SPQ1" i="9"/>
  <c r="SPP1" i="9"/>
  <c r="SPO1" i="9"/>
  <c r="SPN1" i="9"/>
  <c r="SPM1" i="9"/>
  <c r="SPL1" i="9"/>
  <c r="SPK1" i="9"/>
  <c r="SPJ1" i="9"/>
  <c r="SPI1" i="9"/>
  <c r="SPH1" i="9"/>
  <c r="SPG1" i="9"/>
  <c r="SPF1" i="9"/>
  <c r="SPE1" i="9"/>
  <c r="SPD1" i="9"/>
  <c r="SPC1" i="9"/>
  <c r="SPB1" i="9"/>
  <c r="SPA1" i="9"/>
  <c r="SOZ1" i="9"/>
  <c r="SOY1" i="9"/>
  <c r="SOX1" i="9"/>
  <c r="SOW1" i="9"/>
  <c r="SOV1" i="9"/>
  <c r="SOU1" i="9"/>
  <c r="SOT1" i="9"/>
  <c r="SOS1" i="9"/>
  <c r="SOR1" i="9"/>
  <c r="SOQ1" i="9"/>
  <c r="SOP1" i="9"/>
  <c r="SOO1" i="9"/>
  <c r="SON1" i="9"/>
  <c r="SOM1" i="9"/>
  <c r="SOL1" i="9"/>
  <c r="SOK1" i="9"/>
  <c r="SOJ1" i="9"/>
  <c r="SOI1" i="9"/>
  <c r="SOH1" i="9"/>
  <c r="SOG1" i="9"/>
  <c r="SOF1" i="9"/>
  <c r="SOE1" i="9"/>
  <c r="SOD1" i="9"/>
  <c r="SOC1" i="9"/>
  <c r="SOB1" i="9"/>
  <c r="SOA1" i="9"/>
  <c r="SNZ1" i="9"/>
  <c r="SNY1" i="9"/>
  <c r="SNX1" i="9"/>
  <c r="SNW1" i="9"/>
  <c r="SNV1" i="9"/>
  <c r="SNU1" i="9"/>
  <c r="SNT1" i="9"/>
  <c r="SNS1" i="9"/>
  <c r="SNR1" i="9"/>
  <c r="SNQ1" i="9"/>
  <c r="SNP1" i="9"/>
  <c r="SNO1" i="9"/>
  <c r="SNN1" i="9"/>
  <c r="SNM1" i="9"/>
  <c r="SNL1" i="9"/>
  <c r="SNK1" i="9"/>
  <c r="SNJ1" i="9"/>
  <c r="SNI1" i="9"/>
  <c r="SNH1" i="9"/>
  <c r="SNG1" i="9"/>
  <c r="SNF1" i="9"/>
  <c r="SNE1" i="9"/>
  <c r="SND1" i="9"/>
  <c r="SNC1" i="9"/>
  <c r="SNB1" i="9"/>
  <c r="SNA1" i="9"/>
  <c r="SMZ1" i="9"/>
  <c r="SMY1" i="9"/>
  <c r="SMX1" i="9"/>
  <c r="SMW1" i="9"/>
  <c r="SMV1" i="9"/>
  <c r="SMU1" i="9"/>
  <c r="SMT1" i="9"/>
  <c r="SMS1" i="9"/>
  <c r="SMR1" i="9"/>
  <c r="SMQ1" i="9"/>
  <c r="SMP1" i="9"/>
  <c r="SMO1" i="9"/>
  <c r="SMN1" i="9"/>
  <c r="SMM1" i="9"/>
  <c r="SML1" i="9"/>
  <c r="SMK1" i="9"/>
  <c r="SMJ1" i="9"/>
  <c r="SMI1" i="9"/>
  <c r="SMH1" i="9"/>
  <c r="SMG1" i="9"/>
  <c r="SMF1" i="9"/>
  <c r="SME1" i="9"/>
  <c r="SMD1" i="9"/>
  <c r="SMC1" i="9"/>
  <c r="SMB1" i="9"/>
  <c r="SMA1" i="9"/>
  <c r="SLZ1" i="9"/>
  <c r="SLY1" i="9"/>
  <c r="SLX1" i="9"/>
  <c r="SLW1" i="9"/>
  <c r="SLV1" i="9"/>
  <c r="SLU1" i="9"/>
  <c r="SLT1" i="9"/>
  <c r="SLS1" i="9"/>
  <c r="SLR1" i="9"/>
  <c r="SLQ1" i="9"/>
  <c r="SLP1" i="9"/>
  <c r="SLO1" i="9"/>
  <c r="SLN1" i="9"/>
  <c r="SLM1" i="9"/>
  <c r="SLL1" i="9"/>
  <c r="SLK1" i="9"/>
  <c r="SLJ1" i="9"/>
  <c r="SLI1" i="9"/>
  <c r="SLH1" i="9"/>
  <c r="SLG1" i="9"/>
  <c r="SLF1" i="9"/>
  <c r="SLE1" i="9"/>
  <c r="SLD1" i="9"/>
  <c r="SLC1" i="9"/>
  <c r="SLB1" i="9"/>
  <c r="SLA1" i="9"/>
  <c r="SKZ1" i="9"/>
  <c r="SKY1" i="9"/>
  <c r="SKX1" i="9"/>
  <c r="SKW1" i="9"/>
  <c r="SKV1" i="9"/>
  <c r="SKU1" i="9"/>
  <c r="SKT1" i="9"/>
  <c r="SKS1" i="9"/>
  <c r="SKR1" i="9"/>
  <c r="SKQ1" i="9"/>
  <c r="SKP1" i="9"/>
  <c r="SKO1" i="9"/>
  <c r="SKN1" i="9"/>
  <c r="SKM1" i="9"/>
  <c r="SKL1" i="9"/>
  <c r="SKK1" i="9"/>
  <c r="SKJ1" i="9"/>
  <c r="SKI1" i="9"/>
  <c r="SKH1" i="9"/>
  <c r="SKG1" i="9"/>
  <c r="SKF1" i="9"/>
  <c r="SKE1" i="9"/>
  <c r="SKD1" i="9"/>
  <c r="SKC1" i="9"/>
  <c r="SKB1" i="9"/>
  <c r="SKA1" i="9"/>
  <c r="SJZ1" i="9"/>
  <c r="SJY1" i="9"/>
  <c r="SJX1" i="9"/>
  <c r="SJW1" i="9"/>
  <c r="SJV1" i="9"/>
  <c r="SJU1" i="9"/>
  <c r="SJT1" i="9"/>
  <c r="SJS1" i="9"/>
  <c r="SJR1" i="9"/>
  <c r="SJQ1" i="9"/>
  <c r="SJP1" i="9"/>
  <c r="SJO1" i="9"/>
  <c r="SJN1" i="9"/>
  <c r="SJM1" i="9"/>
  <c r="SJL1" i="9"/>
  <c r="SJK1" i="9"/>
  <c r="SJJ1" i="9"/>
  <c r="SJI1" i="9"/>
  <c r="SJH1" i="9"/>
  <c r="SJG1" i="9"/>
  <c r="SJF1" i="9"/>
  <c r="SJE1" i="9"/>
  <c r="SJD1" i="9"/>
  <c r="SJC1" i="9"/>
  <c r="SJB1" i="9"/>
  <c r="SJA1" i="9"/>
  <c r="SIZ1" i="9"/>
  <c r="SIY1" i="9"/>
  <c r="SIX1" i="9"/>
  <c r="SIW1" i="9"/>
  <c r="SIV1" i="9"/>
  <c r="SIU1" i="9"/>
  <c r="SIT1" i="9"/>
  <c r="SIS1" i="9"/>
  <c r="SIR1" i="9"/>
  <c r="SIQ1" i="9"/>
  <c r="SIP1" i="9"/>
  <c r="SIO1" i="9"/>
  <c r="SIN1" i="9"/>
  <c r="SIM1" i="9"/>
  <c r="SIL1" i="9"/>
  <c r="SIK1" i="9"/>
  <c r="SIJ1" i="9"/>
  <c r="SII1" i="9"/>
  <c r="SIH1" i="9"/>
  <c r="SIG1" i="9"/>
  <c r="SIF1" i="9"/>
  <c r="SIE1" i="9"/>
  <c r="SID1" i="9"/>
  <c r="SIC1" i="9"/>
  <c r="SIB1" i="9"/>
  <c r="SIA1" i="9"/>
  <c r="SHZ1" i="9"/>
  <c r="SHY1" i="9"/>
  <c r="SHX1" i="9"/>
  <c r="SHW1" i="9"/>
  <c r="SHV1" i="9"/>
  <c r="SHU1" i="9"/>
  <c r="SHT1" i="9"/>
  <c r="SHS1" i="9"/>
  <c r="SHR1" i="9"/>
  <c r="SHQ1" i="9"/>
  <c r="SHP1" i="9"/>
  <c r="SHO1" i="9"/>
  <c r="SHN1" i="9"/>
  <c r="SHM1" i="9"/>
  <c r="SHL1" i="9"/>
  <c r="SHK1" i="9"/>
  <c r="SHJ1" i="9"/>
  <c r="SHI1" i="9"/>
  <c r="SHH1" i="9"/>
  <c r="SHG1" i="9"/>
  <c r="SHF1" i="9"/>
  <c r="SHE1" i="9"/>
  <c r="SHD1" i="9"/>
  <c r="SHC1" i="9"/>
  <c r="SHB1" i="9"/>
  <c r="SHA1" i="9"/>
  <c r="SGZ1" i="9"/>
  <c r="SGY1" i="9"/>
  <c r="SGX1" i="9"/>
  <c r="SGW1" i="9"/>
  <c r="SGV1" i="9"/>
  <c r="SGU1" i="9"/>
  <c r="SGT1" i="9"/>
  <c r="SGS1" i="9"/>
  <c r="SGR1" i="9"/>
  <c r="SGQ1" i="9"/>
  <c r="SGP1" i="9"/>
  <c r="SGO1" i="9"/>
  <c r="SGN1" i="9"/>
  <c r="SGM1" i="9"/>
  <c r="SGL1" i="9"/>
  <c r="SGK1" i="9"/>
  <c r="SGJ1" i="9"/>
  <c r="SGI1" i="9"/>
  <c r="SGH1" i="9"/>
  <c r="SGG1" i="9"/>
  <c r="SGF1" i="9"/>
  <c r="SGE1" i="9"/>
  <c r="SGD1" i="9"/>
  <c r="SGC1" i="9"/>
  <c r="SGB1" i="9"/>
  <c r="SGA1" i="9"/>
  <c r="SFZ1" i="9"/>
  <c r="SFY1" i="9"/>
  <c r="SFX1" i="9"/>
  <c r="SFW1" i="9"/>
  <c r="SFV1" i="9"/>
  <c r="SFU1" i="9"/>
  <c r="SFT1" i="9"/>
  <c r="SFS1" i="9"/>
  <c r="SFR1" i="9"/>
  <c r="SFQ1" i="9"/>
  <c r="SFP1" i="9"/>
  <c r="SFO1" i="9"/>
  <c r="SFN1" i="9"/>
  <c r="SFM1" i="9"/>
  <c r="SFL1" i="9"/>
  <c r="SFK1" i="9"/>
  <c r="SFJ1" i="9"/>
  <c r="SFI1" i="9"/>
  <c r="SFH1" i="9"/>
  <c r="SFG1" i="9"/>
  <c r="SFF1" i="9"/>
  <c r="SFE1" i="9"/>
  <c r="SFD1" i="9"/>
  <c r="SFC1" i="9"/>
  <c r="SFB1" i="9"/>
  <c r="SFA1" i="9"/>
  <c r="SEZ1" i="9"/>
  <c r="SEY1" i="9"/>
  <c r="SEX1" i="9"/>
  <c r="SEW1" i="9"/>
  <c r="SEV1" i="9"/>
  <c r="SEU1" i="9"/>
  <c r="SET1" i="9"/>
  <c r="SES1" i="9"/>
  <c r="SER1" i="9"/>
  <c r="SEQ1" i="9"/>
  <c r="SEP1" i="9"/>
  <c r="SEO1" i="9"/>
  <c r="SEN1" i="9"/>
  <c r="SEM1" i="9"/>
  <c r="SEL1" i="9"/>
  <c r="SEK1" i="9"/>
  <c r="SEJ1" i="9"/>
  <c r="SEI1" i="9"/>
  <c r="SEH1" i="9"/>
  <c r="SEG1" i="9"/>
  <c r="SEF1" i="9"/>
  <c r="SEE1" i="9"/>
  <c r="SED1" i="9"/>
  <c r="SEC1" i="9"/>
  <c r="SEB1" i="9"/>
  <c r="SEA1" i="9"/>
  <c r="SDZ1" i="9"/>
  <c r="SDY1" i="9"/>
  <c r="SDX1" i="9"/>
  <c r="SDW1" i="9"/>
  <c r="SDV1" i="9"/>
  <c r="SDU1" i="9"/>
  <c r="SDT1" i="9"/>
  <c r="SDS1" i="9"/>
  <c r="SDR1" i="9"/>
  <c r="SDQ1" i="9"/>
  <c r="SDP1" i="9"/>
  <c r="SDO1" i="9"/>
  <c r="SDN1" i="9"/>
  <c r="SDM1" i="9"/>
  <c r="SDL1" i="9"/>
  <c r="SDK1" i="9"/>
  <c r="SDJ1" i="9"/>
  <c r="SDI1" i="9"/>
  <c r="SDH1" i="9"/>
  <c r="SDG1" i="9"/>
  <c r="SDF1" i="9"/>
  <c r="SDE1" i="9"/>
  <c r="SDD1" i="9"/>
  <c r="SDC1" i="9"/>
  <c r="SDB1" i="9"/>
  <c r="SDA1" i="9"/>
  <c r="SCZ1" i="9"/>
  <c r="SCY1" i="9"/>
  <c r="SCX1" i="9"/>
  <c r="SCW1" i="9"/>
  <c r="SCV1" i="9"/>
  <c r="SCU1" i="9"/>
  <c r="SCT1" i="9"/>
  <c r="SCS1" i="9"/>
  <c r="SCR1" i="9"/>
  <c r="SCQ1" i="9"/>
  <c r="SCP1" i="9"/>
  <c r="SCO1" i="9"/>
  <c r="SCN1" i="9"/>
  <c r="SCM1" i="9"/>
  <c r="SCL1" i="9"/>
  <c r="SCK1" i="9"/>
  <c r="SCJ1" i="9"/>
  <c r="SCI1" i="9"/>
  <c r="SCH1" i="9"/>
  <c r="SCG1" i="9"/>
  <c r="SCF1" i="9"/>
  <c r="SCE1" i="9"/>
  <c r="SCD1" i="9"/>
  <c r="SCC1" i="9"/>
  <c r="SCB1" i="9"/>
  <c r="SCA1" i="9"/>
  <c r="SBZ1" i="9"/>
  <c r="SBY1" i="9"/>
  <c r="SBX1" i="9"/>
  <c r="SBW1" i="9"/>
  <c r="SBV1" i="9"/>
  <c r="SBU1" i="9"/>
  <c r="SBT1" i="9"/>
  <c r="SBS1" i="9"/>
  <c r="SBR1" i="9"/>
  <c r="SBQ1" i="9"/>
  <c r="SBP1" i="9"/>
  <c r="SBO1" i="9"/>
  <c r="SBN1" i="9"/>
  <c r="SBM1" i="9"/>
  <c r="SBL1" i="9"/>
  <c r="SBK1" i="9"/>
  <c r="SBJ1" i="9"/>
  <c r="SBI1" i="9"/>
  <c r="SBH1" i="9"/>
  <c r="SBG1" i="9"/>
  <c r="SBF1" i="9"/>
  <c r="SBE1" i="9"/>
  <c r="SBD1" i="9"/>
  <c r="SBC1" i="9"/>
  <c r="SBB1" i="9"/>
  <c r="SBA1" i="9"/>
  <c r="SAZ1" i="9"/>
  <c r="SAY1" i="9"/>
  <c r="SAX1" i="9"/>
  <c r="SAW1" i="9"/>
  <c r="SAV1" i="9"/>
  <c r="SAU1" i="9"/>
  <c r="SAT1" i="9"/>
  <c r="SAS1" i="9"/>
  <c r="SAR1" i="9"/>
  <c r="SAQ1" i="9"/>
  <c r="SAP1" i="9"/>
  <c r="SAO1" i="9"/>
  <c r="SAN1" i="9"/>
  <c r="SAM1" i="9"/>
  <c r="SAL1" i="9"/>
  <c r="SAK1" i="9"/>
  <c r="SAJ1" i="9"/>
  <c r="SAI1" i="9"/>
  <c r="SAH1" i="9"/>
  <c r="SAG1" i="9"/>
  <c r="SAF1" i="9"/>
  <c r="SAE1" i="9"/>
  <c r="SAD1" i="9"/>
  <c r="SAC1" i="9"/>
  <c r="SAB1" i="9"/>
  <c r="SAA1" i="9"/>
  <c r="RZZ1" i="9"/>
  <c r="RZY1" i="9"/>
  <c r="RZX1" i="9"/>
  <c r="RZW1" i="9"/>
  <c r="RZV1" i="9"/>
  <c r="RZU1" i="9"/>
  <c r="RZT1" i="9"/>
  <c r="RZS1" i="9"/>
  <c r="RZR1" i="9"/>
  <c r="RZQ1" i="9"/>
  <c r="RZP1" i="9"/>
  <c r="RZO1" i="9"/>
  <c r="RZN1" i="9"/>
  <c r="RZM1" i="9"/>
  <c r="RZL1" i="9"/>
  <c r="RZK1" i="9"/>
  <c r="RZJ1" i="9"/>
  <c r="RZI1" i="9"/>
  <c r="RZH1" i="9"/>
  <c r="RZG1" i="9"/>
  <c r="RZF1" i="9"/>
  <c r="RZE1" i="9"/>
  <c r="RZD1" i="9"/>
  <c r="RZC1" i="9"/>
  <c r="RZB1" i="9"/>
  <c r="RZA1" i="9"/>
  <c r="RYZ1" i="9"/>
  <c r="RYY1" i="9"/>
  <c r="RYX1" i="9"/>
  <c r="RYW1" i="9"/>
  <c r="RYV1" i="9"/>
  <c r="RYU1" i="9"/>
  <c r="RYT1" i="9"/>
  <c r="RYS1" i="9"/>
  <c r="RYR1" i="9"/>
  <c r="RYQ1" i="9"/>
  <c r="RYP1" i="9"/>
  <c r="RYO1" i="9"/>
  <c r="RYN1" i="9"/>
  <c r="RYM1" i="9"/>
  <c r="RYL1" i="9"/>
  <c r="RYK1" i="9"/>
  <c r="RYJ1" i="9"/>
  <c r="RYI1" i="9"/>
  <c r="RYH1" i="9"/>
  <c r="RYG1" i="9"/>
  <c r="RYF1" i="9"/>
  <c r="RYE1" i="9"/>
  <c r="RYD1" i="9"/>
  <c r="RYC1" i="9"/>
  <c r="RYB1" i="9"/>
  <c r="RYA1" i="9"/>
  <c r="RXZ1" i="9"/>
  <c r="RXY1" i="9"/>
  <c r="RXX1" i="9"/>
  <c r="RXW1" i="9"/>
  <c r="RXV1" i="9"/>
  <c r="RXU1" i="9"/>
  <c r="RXT1" i="9"/>
  <c r="RXS1" i="9"/>
  <c r="RXR1" i="9"/>
  <c r="RXQ1" i="9"/>
  <c r="RXP1" i="9"/>
  <c r="RXO1" i="9"/>
  <c r="RXN1" i="9"/>
  <c r="RXM1" i="9"/>
  <c r="RXL1" i="9"/>
  <c r="RXK1" i="9"/>
  <c r="RXJ1" i="9"/>
  <c r="RXI1" i="9"/>
  <c r="RXH1" i="9"/>
  <c r="RXG1" i="9"/>
  <c r="RXF1" i="9"/>
  <c r="RXE1" i="9"/>
  <c r="RXD1" i="9"/>
  <c r="RXC1" i="9"/>
  <c r="RXB1" i="9"/>
  <c r="RXA1" i="9"/>
  <c r="RWZ1" i="9"/>
  <c r="RWY1" i="9"/>
  <c r="RWX1" i="9"/>
  <c r="RWW1" i="9"/>
  <c r="RWV1" i="9"/>
  <c r="RWU1" i="9"/>
  <c r="RWT1" i="9"/>
  <c r="RWS1" i="9"/>
  <c r="RWR1" i="9"/>
  <c r="RWQ1" i="9"/>
  <c r="RWP1" i="9"/>
  <c r="RWO1" i="9"/>
  <c r="RWN1" i="9"/>
  <c r="RWM1" i="9"/>
  <c r="RWL1" i="9"/>
  <c r="RWK1" i="9"/>
  <c r="RWJ1" i="9"/>
  <c r="RWI1" i="9"/>
  <c r="RWH1" i="9"/>
  <c r="RWG1" i="9"/>
  <c r="RWF1" i="9"/>
  <c r="RWE1" i="9"/>
  <c r="RWD1" i="9"/>
  <c r="RWC1" i="9"/>
  <c r="RWB1" i="9"/>
  <c r="RWA1" i="9"/>
  <c r="RVZ1" i="9"/>
  <c r="RVY1" i="9"/>
  <c r="RVX1" i="9"/>
  <c r="RVW1" i="9"/>
  <c r="RVV1" i="9"/>
  <c r="RVU1" i="9"/>
  <c r="RVT1" i="9"/>
  <c r="RVS1" i="9"/>
  <c r="RVR1" i="9"/>
  <c r="RVQ1" i="9"/>
  <c r="RVP1" i="9"/>
  <c r="RVO1" i="9"/>
  <c r="RVN1" i="9"/>
  <c r="RVM1" i="9"/>
  <c r="RVL1" i="9"/>
  <c r="RVK1" i="9"/>
  <c r="RVJ1" i="9"/>
  <c r="RVI1" i="9"/>
  <c r="RVH1" i="9"/>
  <c r="RVG1" i="9"/>
  <c r="RVF1" i="9"/>
  <c r="RVE1" i="9"/>
  <c r="RVD1" i="9"/>
  <c r="RVC1" i="9"/>
  <c r="RVB1" i="9"/>
  <c r="RVA1" i="9"/>
  <c r="RUZ1" i="9"/>
  <c r="RUY1" i="9"/>
  <c r="RUX1" i="9"/>
  <c r="RUW1" i="9"/>
  <c r="RUV1" i="9"/>
  <c r="RUU1" i="9"/>
  <c r="RUT1" i="9"/>
  <c r="RUS1" i="9"/>
  <c r="RUR1" i="9"/>
  <c r="RUQ1" i="9"/>
  <c r="RUP1" i="9"/>
  <c r="RUO1" i="9"/>
  <c r="RUN1" i="9"/>
  <c r="RUM1" i="9"/>
  <c r="RUL1" i="9"/>
  <c r="RUK1" i="9"/>
  <c r="RUJ1" i="9"/>
  <c r="RUI1" i="9"/>
  <c r="RUH1" i="9"/>
  <c r="RUG1" i="9"/>
  <c r="RUF1" i="9"/>
  <c r="RUE1" i="9"/>
  <c r="RUD1" i="9"/>
  <c r="RUC1" i="9"/>
  <c r="RUB1" i="9"/>
  <c r="RUA1" i="9"/>
  <c r="RTZ1" i="9"/>
  <c r="RTY1" i="9"/>
  <c r="RTX1" i="9"/>
  <c r="RTW1" i="9"/>
  <c r="RTV1" i="9"/>
  <c r="RTU1" i="9"/>
  <c r="RTT1" i="9"/>
  <c r="RTS1" i="9"/>
  <c r="RTR1" i="9"/>
  <c r="RTQ1" i="9"/>
  <c r="RTP1" i="9"/>
  <c r="RTO1" i="9"/>
  <c r="RTN1" i="9"/>
  <c r="RTM1" i="9"/>
  <c r="RTL1" i="9"/>
  <c r="RTK1" i="9"/>
  <c r="RTJ1" i="9"/>
  <c r="RTI1" i="9"/>
  <c r="RTH1" i="9"/>
  <c r="RTG1" i="9"/>
  <c r="RTF1" i="9"/>
  <c r="RTE1" i="9"/>
  <c r="RTD1" i="9"/>
  <c r="RTC1" i="9"/>
  <c r="RTB1" i="9"/>
  <c r="RTA1" i="9"/>
  <c r="RSZ1" i="9"/>
  <c r="RSY1" i="9"/>
  <c r="RSX1" i="9"/>
  <c r="RSW1" i="9"/>
  <c r="RSV1" i="9"/>
  <c r="RSU1" i="9"/>
  <c r="RST1" i="9"/>
  <c r="RSS1" i="9"/>
  <c r="RSR1" i="9"/>
  <c r="RSQ1" i="9"/>
  <c r="RSP1" i="9"/>
  <c r="RSO1" i="9"/>
  <c r="RSN1" i="9"/>
  <c r="RSM1" i="9"/>
  <c r="RSL1" i="9"/>
  <c r="RSK1" i="9"/>
  <c r="RSJ1" i="9"/>
  <c r="RSI1" i="9"/>
  <c r="RSH1" i="9"/>
  <c r="RSG1" i="9"/>
  <c r="RSF1" i="9"/>
  <c r="RSE1" i="9"/>
  <c r="RSD1" i="9"/>
  <c r="RSC1" i="9"/>
  <c r="RSB1" i="9"/>
  <c r="RSA1" i="9"/>
  <c r="RRZ1" i="9"/>
  <c r="RRY1" i="9"/>
  <c r="RRX1" i="9"/>
  <c r="RRW1" i="9"/>
  <c r="RRV1" i="9"/>
  <c r="RRU1" i="9"/>
  <c r="RRT1" i="9"/>
  <c r="RRS1" i="9"/>
  <c r="RRR1" i="9"/>
  <c r="RRQ1" i="9"/>
  <c r="RRP1" i="9"/>
  <c r="RRO1" i="9"/>
  <c r="RRN1" i="9"/>
  <c r="RRM1" i="9"/>
  <c r="RRL1" i="9"/>
  <c r="RRK1" i="9"/>
  <c r="RRJ1" i="9"/>
  <c r="RRI1" i="9"/>
  <c r="RRH1" i="9"/>
  <c r="RRG1" i="9"/>
  <c r="RRF1" i="9"/>
  <c r="RRE1" i="9"/>
  <c r="RRD1" i="9"/>
  <c r="RRC1" i="9"/>
  <c r="RRB1" i="9"/>
  <c r="RRA1" i="9"/>
  <c r="RQZ1" i="9"/>
  <c r="RQY1" i="9"/>
  <c r="RQX1" i="9"/>
  <c r="RQW1" i="9"/>
  <c r="RQV1" i="9"/>
  <c r="RQU1" i="9"/>
  <c r="RQT1" i="9"/>
  <c r="RQS1" i="9"/>
  <c r="RQR1" i="9"/>
  <c r="RQQ1" i="9"/>
  <c r="RQP1" i="9"/>
  <c r="RQO1" i="9"/>
  <c r="RQN1" i="9"/>
  <c r="RQM1" i="9"/>
  <c r="RQL1" i="9"/>
  <c r="RQK1" i="9"/>
  <c r="RQJ1" i="9"/>
  <c r="RQI1" i="9"/>
  <c r="RQH1" i="9"/>
  <c r="RQG1" i="9"/>
  <c r="RQF1" i="9"/>
  <c r="RQE1" i="9"/>
  <c r="RQD1" i="9"/>
  <c r="RQC1" i="9"/>
  <c r="RQB1" i="9"/>
  <c r="RQA1" i="9"/>
  <c r="RPZ1" i="9"/>
  <c r="RPY1" i="9"/>
  <c r="RPX1" i="9"/>
  <c r="RPW1" i="9"/>
  <c r="RPV1" i="9"/>
  <c r="RPU1" i="9"/>
  <c r="RPT1" i="9"/>
  <c r="RPS1" i="9"/>
  <c r="RPR1" i="9"/>
  <c r="RPQ1" i="9"/>
  <c r="RPP1" i="9"/>
  <c r="RPO1" i="9"/>
  <c r="RPN1" i="9"/>
  <c r="RPM1" i="9"/>
  <c r="RPL1" i="9"/>
  <c r="RPK1" i="9"/>
  <c r="RPJ1" i="9"/>
  <c r="RPI1" i="9"/>
  <c r="RPH1" i="9"/>
  <c r="RPG1" i="9"/>
  <c r="RPF1" i="9"/>
  <c r="RPE1" i="9"/>
  <c r="RPD1" i="9"/>
  <c r="RPC1" i="9"/>
  <c r="RPB1" i="9"/>
  <c r="RPA1" i="9"/>
  <c r="ROZ1" i="9"/>
  <c r="ROY1" i="9"/>
  <c r="ROX1" i="9"/>
  <c r="ROW1" i="9"/>
  <c r="ROV1" i="9"/>
  <c r="ROU1" i="9"/>
  <c r="ROT1" i="9"/>
  <c r="ROS1" i="9"/>
  <c r="ROR1" i="9"/>
  <c r="ROQ1" i="9"/>
  <c r="ROP1" i="9"/>
  <c r="ROO1" i="9"/>
  <c r="RON1" i="9"/>
  <c r="ROM1" i="9"/>
  <c r="ROL1" i="9"/>
  <c r="ROK1" i="9"/>
  <c r="ROJ1" i="9"/>
  <c r="ROI1" i="9"/>
  <c r="ROH1" i="9"/>
  <c r="ROG1" i="9"/>
  <c r="ROF1" i="9"/>
  <c r="ROE1" i="9"/>
  <c r="ROD1" i="9"/>
  <c r="ROC1" i="9"/>
  <c r="ROB1" i="9"/>
  <c r="ROA1" i="9"/>
  <c r="RNZ1" i="9"/>
  <c r="RNY1" i="9"/>
  <c r="RNX1" i="9"/>
  <c r="RNW1" i="9"/>
  <c r="RNV1" i="9"/>
  <c r="RNU1" i="9"/>
  <c r="RNT1" i="9"/>
  <c r="RNS1" i="9"/>
  <c r="RNR1" i="9"/>
  <c r="RNQ1" i="9"/>
  <c r="RNP1" i="9"/>
  <c r="RNO1" i="9"/>
  <c r="RNN1" i="9"/>
  <c r="RNM1" i="9"/>
  <c r="RNL1" i="9"/>
  <c r="RNK1" i="9"/>
  <c r="RNJ1" i="9"/>
  <c r="RNI1" i="9"/>
  <c r="RNH1" i="9"/>
  <c r="RNG1" i="9"/>
  <c r="RNF1" i="9"/>
  <c r="RNE1" i="9"/>
  <c r="RND1" i="9"/>
  <c r="RNC1" i="9"/>
  <c r="RNB1" i="9"/>
  <c r="RNA1" i="9"/>
  <c r="RMZ1" i="9"/>
  <c r="RMY1" i="9"/>
  <c r="RMX1" i="9"/>
  <c r="RMW1" i="9"/>
  <c r="RMV1" i="9"/>
  <c r="RMU1" i="9"/>
  <c r="RMT1" i="9"/>
  <c r="RMS1" i="9"/>
  <c r="RMR1" i="9"/>
  <c r="RMQ1" i="9"/>
  <c r="RMP1" i="9"/>
  <c r="RMO1" i="9"/>
  <c r="RMN1" i="9"/>
  <c r="RMM1" i="9"/>
  <c r="RML1" i="9"/>
  <c r="RMK1" i="9"/>
  <c r="RMJ1" i="9"/>
  <c r="RMI1" i="9"/>
  <c r="RMH1" i="9"/>
  <c r="RMG1" i="9"/>
  <c r="RMF1" i="9"/>
  <c r="RME1" i="9"/>
  <c r="RMD1" i="9"/>
  <c r="RMC1" i="9"/>
  <c r="RMB1" i="9"/>
  <c r="RMA1" i="9"/>
  <c r="RLZ1" i="9"/>
  <c r="RLY1" i="9"/>
  <c r="RLX1" i="9"/>
  <c r="RLW1" i="9"/>
  <c r="RLV1" i="9"/>
  <c r="RLU1" i="9"/>
  <c r="RLT1" i="9"/>
  <c r="RLS1" i="9"/>
  <c r="RLR1" i="9"/>
  <c r="RLQ1" i="9"/>
  <c r="RLP1" i="9"/>
  <c r="RLO1" i="9"/>
  <c r="RLN1" i="9"/>
  <c r="RLM1" i="9"/>
  <c r="RLL1" i="9"/>
  <c r="RLK1" i="9"/>
  <c r="RLJ1" i="9"/>
  <c r="RLI1" i="9"/>
  <c r="RLH1" i="9"/>
  <c r="RLG1" i="9"/>
  <c r="RLF1" i="9"/>
  <c r="RLE1" i="9"/>
  <c r="RLD1" i="9"/>
  <c r="RLC1" i="9"/>
  <c r="RLB1" i="9"/>
  <c r="RLA1" i="9"/>
  <c r="RKZ1" i="9"/>
  <c r="RKY1" i="9"/>
  <c r="RKX1" i="9"/>
  <c r="RKW1" i="9"/>
  <c r="RKV1" i="9"/>
  <c r="RKU1" i="9"/>
  <c r="RKT1" i="9"/>
  <c r="RKS1" i="9"/>
  <c r="RKR1" i="9"/>
  <c r="RKQ1" i="9"/>
  <c r="RKP1" i="9"/>
  <c r="RKO1" i="9"/>
  <c r="RKN1" i="9"/>
  <c r="RKM1" i="9"/>
  <c r="RKL1" i="9"/>
  <c r="RKK1" i="9"/>
  <c r="RKJ1" i="9"/>
  <c r="RKI1" i="9"/>
  <c r="RKH1" i="9"/>
  <c r="RKG1" i="9"/>
  <c r="RKF1" i="9"/>
  <c r="RKE1" i="9"/>
  <c r="RKD1" i="9"/>
  <c r="RKC1" i="9"/>
  <c r="RKB1" i="9"/>
  <c r="RKA1" i="9"/>
  <c r="RJZ1" i="9"/>
  <c r="RJY1" i="9"/>
  <c r="RJX1" i="9"/>
  <c r="RJW1" i="9"/>
  <c r="RJV1" i="9"/>
  <c r="RJU1" i="9"/>
  <c r="RJT1" i="9"/>
  <c r="RJS1" i="9"/>
  <c r="RJR1" i="9"/>
  <c r="RJQ1" i="9"/>
  <c r="RJP1" i="9"/>
  <c r="RJO1" i="9"/>
  <c r="RJN1" i="9"/>
  <c r="RJM1" i="9"/>
  <c r="RJL1" i="9"/>
  <c r="RJK1" i="9"/>
  <c r="RJJ1" i="9"/>
  <c r="RJI1" i="9"/>
  <c r="RJH1" i="9"/>
  <c r="RJG1" i="9"/>
  <c r="RJF1" i="9"/>
  <c r="RJE1" i="9"/>
  <c r="RJD1" i="9"/>
  <c r="RJC1" i="9"/>
  <c r="RJB1" i="9"/>
  <c r="RJA1" i="9"/>
  <c r="RIZ1" i="9"/>
  <c r="RIY1" i="9"/>
  <c r="RIX1" i="9"/>
  <c r="RIW1" i="9"/>
  <c r="RIV1" i="9"/>
  <c r="RIU1" i="9"/>
  <c r="RIT1" i="9"/>
  <c r="RIS1" i="9"/>
  <c r="RIR1" i="9"/>
  <c r="RIQ1" i="9"/>
  <c r="RIP1" i="9"/>
  <c r="RIO1" i="9"/>
  <c r="RIN1" i="9"/>
  <c r="RIM1" i="9"/>
  <c r="RIL1" i="9"/>
  <c r="RIK1" i="9"/>
  <c r="RIJ1" i="9"/>
  <c r="RII1" i="9"/>
  <c r="RIH1" i="9"/>
  <c r="RIG1" i="9"/>
  <c r="RIF1" i="9"/>
  <c r="RIE1" i="9"/>
  <c r="RID1" i="9"/>
  <c r="RIC1" i="9"/>
  <c r="RIB1" i="9"/>
  <c r="RIA1" i="9"/>
  <c r="RHZ1" i="9"/>
  <c r="RHY1" i="9"/>
  <c r="RHX1" i="9"/>
  <c r="RHW1" i="9"/>
  <c r="RHV1" i="9"/>
  <c r="RHU1" i="9"/>
  <c r="RHT1" i="9"/>
  <c r="RHS1" i="9"/>
  <c r="RHR1" i="9"/>
  <c r="RHQ1" i="9"/>
  <c r="RHP1" i="9"/>
  <c r="RHO1" i="9"/>
  <c r="RHN1" i="9"/>
  <c r="RHM1" i="9"/>
  <c r="RHL1" i="9"/>
  <c r="RHK1" i="9"/>
  <c r="RHJ1" i="9"/>
  <c r="RHI1" i="9"/>
  <c r="RHH1" i="9"/>
  <c r="RHG1" i="9"/>
  <c r="RHF1" i="9"/>
  <c r="RHE1" i="9"/>
  <c r="RHD1" i="9"/>
  <c r="RHC1" i="9"/>
  <c r="RHB1" i="9"/>
  <c r="RHA1" i="9"/>
  <c r="RGZ1" i="9"/>
  <c r="RGY1" i="9"/>
  <c r="RGX1" i="9"/>
  <c r="RGW1" i="9"/>
  <c r="RGV1" i="9"/>
  <c r="RGU1" i="9"/>
  <c r="RGT1" i="9"/>
  <c r="RGS1" i="9"/>
  <c r="RGR1" i="9"/>
  <c r="RGQ1" i="9"/>
  <c r="RGP1" i="9"/>
  <c r="RGO1" i="9"/>
  <c r="RGN1" i="9"/>
  <c r="RGM1" i="9"/>
  <c r="RGL1" i="9"/>
  <c r="RGK1" i="9"/>
  <c r="RGJ1" i="9"/>
  <c r="RGI1" i="9"/>
  <c r="RGH1" i="9"/>
  <c r="RGG1" i="9"/>
  <c r="RGF1" i="9"/>
  <c r="RGE1" i="9"/>
  <c r="RGD1" i="9"/>
  <c r="RGC1" i="9"/>
  <c r="RGB1" i="9"/>
  <c r="RGA1" i="9"/>
  <c r="RFZ1" i="9"/>
  <c r="RFY1" i="9"/>
  <c r="RFX1" i="9"/>
  <c r="RFW1" i="9"/>
  <c r="RFV1" i="9"/>
  <c r="RFU1" i="9"/>
  <c r="RFT1" i="9"/>
  <c r="RFS1" i="9"/>
  <c r="RFR1" i="9"/>
  <c r="RFQ1" i="9"/>
  <c r="RFP1" i="9"/>
  <c r="RFO1" i="9"/>
  <c r="RFN1" i="9"/>
  <c r="RFM1" i="9"/>
  <c r="RFL1" i="9"/>
  <c r="RFK1" i="9"/>
  <c r="RFJ1" i="9"/>
  <c r="RFI1" i="9"/>
  <c r="RFH1" i="9"/>
  <c r="RFG1" i="9"/>
  <c r="RFF1" i="9"/>
  <c r="RFE1" i="9"/>
  <c r="RFD1" i="9"/>
  <c r="RFC1" i="9"/>
  <c r="RFB1" i="9"/>
  <c r="RFA1" i="9"/>
  <c r="REZ1" i="9"/>
  <c r="REY1" i="9"/>
  <c r="REX1" i="9"/>
  <c r="REW1" i="9"/>
  <c r="REV1" i="9"/>
  <c r="REU1" i="9"/>
  <c r="RET1" i="9"/>
  <c r="RES1" i="9"/>
  <c r="RER1" i="9"/>
  <c r="REQ1" i="9"/>
  <c r="REP1" i="9"/>
  <c r="REO1" i="9"/>
  <c r="REN1" i="9"/>
  <c r="REM1" i="9"/>
  <c r="REL1" i="9"/>
  <c r="REK1" i="9"/>
  <c r="REJ1" i="9"/>
  <c r="REI1" i="9"/>
  <c r="REH1" i="9"/>
  <c r="REG1" i="9"/>
  <c r="REF1" i="9"/>
  <c r="REE1" i="9"/>
  <c r="RED1" i="9"/>
  <c r="REC1" i="9"/>
  <c r="REB1" i="9"/>
  <c r="REA1" i="9"/>
  <c r="RDZ1" i="9"/>
  <c r="RDY1" i="9"/>
  <c r="RDX1" i="9"/>
  <c r="RDW1" i="9"/>
  <c r="RDV1" i="9"/>
  <c r="RDU1" i="9"/>
  <c r="RDT1" i="9"/>
  <c r="RDS1" i="9"/>
  <c r="RDR1" i="9"/>
  <c r="RDQ1" i="9"/>
  <c r="RDP1" i="9"/>
  <c r="RDO1" i="9"/>
  <c r="RDN1" i="9"/>
  <c r="RDM1" i="9"/>
  <c r="RDL1" i="9"/>
  <c r="RDK1" i="9"/>
  <c r="RDJ1" i="9"/>
  <c r="RDI1" i="9"/>
  <c r="RDH1" i="9"/>
  <c r="RDG1" i="9"/>
  <c r="RDF1" i="9"/>
  <c r="RDE1" i="9"/>
  <c r="RDD1" i="9"/>
  <c r="RDC1" i="9"/>
  <c r="RDB1" i="9"/>
  <c r="RDA1" i="9"/>
  <c r="RCZ1" i="9"/>
  <c r="RCY1" i="9"/>
  <c r="RCX1" i="9"/>
  <c r="RCW1" i="9"/>
  <c r="RCV1" i="9"/>
  <c r="RCU1" i="9"/>
  <c r="RCT1" i="9"/>
  <c r="RCS1" i="9"/>
  <c r="RCR1" i="9"/>
  <c r="RCQ1" i="9"/>
  <c r="RCP1" i="9"/>
  <c r="RCO1" i="9"/>
  <c r="RCN1" i="9"/>
  <c r="RCM1" i="9"/>
  <c r="RCL1" i="9"/>
  <c r="RCK1" i="9"/>
  <c r="RCJ1" i="9"/>
  <c r="RCI1" i="9"/>
  <c r="RCH1" i="9"/>
  <c r="RCG1" i="9"/>
  <c r="RCF1" i="9"/>
  <c r="RCE1" i="9"/>
  <c r="RCD1" i="9"/>
  <c r="RCC1" i="9"/>
  <c r="RCB1" i="9"/>
  <c r="RCA1" i="9"/>
  <c r="RBZ1" i="9"/>
  <c r="RBY1" i="9"/>
  <c r="RBX1" i="9"/>
  <c r="RBW1" i="9"/>
  <c r="RBV1" i="9"/>
  <c r="RBU1" i="9"/>
  <c r="RBT1" i="9"/>
  <c r="RBS1" i="9"/>
  <c r="RBR1" i="9"/>
  <c r="RBQ1" i="9"/>
  <c r="RBP1" i="9"/>
  <c r="RBO1" i="9"/>
  <c r="RBN1" i="9"/>
  <c r="RBM1" i="9"/>
  <c r="RBL1" i="9"/>
  <c r="RBK1" i="9"/>
  <c r="RBJ1" i="9"/>
  <c r="RBI1" i="9"/>
  <c r="RBH1" i="9"/>
  <c r="RBG1" i="9"/>
  <c r="RBF1" i="9"/>
  <c r="RBE1" i="9"/>
  <c r="RBD1" i="9"/>
  <c r="RBC1" i="9"/>
  <c r="RBB1" i="9"/>
  <c r="RBA1" i="9"/>
  <c r="RAZ1" i="9"/>
  <c r="RAY1" i="9"/>
  <c r="RAX1" i="9"/>
  <c r="RAW1" i="9"/>
  <c r="RAV1" i="9"/>
  <c r="RAU1" i="9"/>
  <c r="RAT1" i="9"/>
  <c r="RAS1" i="9"/>
  <c r="RAR1" i="9"/>
  <c r="RAQ1" i="9"/>
  <c r="RAP1" i="9"/>
  <c r="RAO1" i="9"/>
  <c r="RAN1" i="9"/>
  <c r="RAM1" i="9"/>
  <c r="RAL1" i="9"/>
  <c r="RAK1" i="9"/>
  <c r="RAJ1" i="9"/>
  <c r="RAI1" i="9"/>
  <c r="RAH1" i="9"/>
  <c r="RAG1" i="9"/>
  <c r="RAF1" i="9"/>
  <c r="RAE1" i="9"/>
  <c r="RAD1" i="9"/>
  <c r="RAC1" i="9"/>
  <c r="RAB1" i="9"/>
  <c r="RAA1" i="9"/>
  <c r="QZZ1" i="9"/>
  <c r="QZY1" i="9"/>
  <c r="QZX1" i="9"/>
  <c r="QZW1" i="9"/>
  <c r="QZV1" i="9"/>
  <c r="QZU1" i="9"/>
  <c r="QZT1" i="9"/>
  <c r="QZS1" i="9"/>
  <c r="QZR1" i="9"/>
  <c r="QZQ1" i="9"/>
  <c r="QZP1" i="9"/>
  <c r="QZO1" i="9"/>
  <c r="QZN1" i="9"/>
  <c r="QZM1" i="9"/>
  <c r="QZL1" i="9"/>
  <c r="QZK1" i="9"/>
  <c r="QZJ1" i="9"/>
  <c r="QZI1" i="9"/>
  <c r="QZH1" i="9"/>
  <c r="QZG1" i="9"/>
  <c r="QZF1" i="9"/>
  <c r="QZE1" i="9"/>
  <c r="QZD1" i="9"/>
  <c r="QZC1" i="9"/>
  <c r="QZB1" i="9"/>
  <c r="QZA1" i="9"/>
  <c r="QYZ1" i="9"/>
  <c r="QYY1" i="9"/>
  <c r="QYX1" i="9"/>
  <c r="QYW1" i="9"/>
  <c r="QYV1" i="9"/>
  <c r="QYU1" i="9"/>
  <c r="QYT1" i="9"/>
  <c r="QYS1" i="9"/>
  <c r="QYR1" i="9"/>
  <c r="QYQ1" i="9"/>
  <c r="QYP1" i="9"/>
  <c r="QYO1" i="9"/>
  <c r="QYN1" i="9"/>
  <c r="QYM1" i="9"/>
  <c r="QYL1" i="9"/>
  <c r="QYK1" i="9"/>
  <c r="QYJ1" i="9"/>
  <c r="QYI1" i="9"/>
  <c r="QYH1" i="9"/>
  <c r="QYG1" i="9"/>
  <c r="QYF1" i="9"/>
  <c r="QYE1" i="9"/>
  <c r="QYD1" i="9"/>
  <c r="QYC1" i="9"/>
  <c r="QYB1" i="9"/>
  <c r="QYA1" i="9"/>
  <c r="QXZ1" i="9"/>
  <c r="QXY1" i="9"/>
  <c r="QXX1" i="9"/>
  <c r="QXW1" i="9"/>
  <c r="QXV1" i="9"/>
  <c r="QXU1" i="9"/>
  <c r="QXT1" i="9"/>
  <c r="QXS1" i="9"/>
  <c r="QXR1" i="9"/>
  <c r="QXQ1" i="9"/>
  <c r="QXP1" i="9"/>
  <c r="QXO1" i="9"/>
  <c r="QXN1" i="9"/>
  <c r="QXM1" i="9"/>
  <c r="QXL1" i="9"/>
  <c r="QXK1" i="9"/>
  <c r="QXJ1" i="9"/>
  <c r="QXI1" i="9"/>
  <c r="QXH1" i="9"/>
  <c r="QXG1" i="9"/>
  <c r="QXF1" i="9"/>
  <c r="QXE1" i="9"/>
  <c r="QXD1" i="9"/>
  <c r="QXC1" i="9"/>
  <c r="QXB1" i="9"/>
  <c r="QXA1" i="9"/>
  <c r="QWZ1" i="9"/>
  <c r="QWY1" i="9"/>
  <c r="QWX1" i="9"/>
  <c r="QWW1" i="9"/>
  <c r="QWV1" i="9"/>
  <c r="QWU1" i="9"/>
  <c r="QWT1" i="9"/>
  <c r="QWS1" i="9"/>
  <c r="QWR1" i="9"/>
  <c r="QWQ1" i="9"/>
  <c r="QWP1" i="9"/>
  <c r="QWO1" i="9"/>
  <c r="QWN1" i="9"/>
  <c r="QWM1" i="9"/>
  <c r="QWL1" i="9"/>
  <c r="QWK1" i="9"/>
  <c r="QWJ1" i="9"/>
  <c r="QWI1" i="9"/>
  <c r="QWH1" i="9"/>
  <c r="QWG1" i="9"/>
  <c r="QWF1" i="9"/>
  <c r="QWE1" i="9"/>
  <c r="QWD1" i="9"/>
  <c r="QWC1" i="9"/>
  <c r="QWB1" i="9"/>
  <c r="QWA1" i="9"/>
  <c r="QVZ1" i="9"/>
  <c r="QVY1" i="9"/>
  <c r="QVX1" i="9"/>
  <c r="QVW1" i="9"/>
  <c r="QVV1" i="9"/>
  <c r="QVU1" i="9"/>
  <c r="QVT1" i="9"/>
  <c r="QVS1" i="9"/>
  <c r="QVR1" i="9"/>
  <c r="QVQ1" i="9"/>
  <c r="QVP1" i="9"/>
  <c r="QVO1" i="9"/>
  <c r="QVN1" i="9"/>
  <c r="QVM1" i="9"/>
  <c r="QVL1" i="9"/>
  <c r="QVK1" i="9"/>
  <c r="QVJ1" i="9"/>
  <c r="QVI1" i="9"/>
  <c r="QVH1" i="9"/>
  <c r="QVG1" i="9"/>
  <c r="QVF1" i="9"/>
  <c r="QVE1" i="9"/>
  <c r="QVD1" i="9"/>
  <c r="QVC1" i="9"/>
  <c r="QVB1" i="9"/>
  <c r="QVA1" i="9"/>
  <c r="QUZ1" i="9"/>
  <c r="QUY1" i="9"/>
  <c r="QUX1" i="9"/>
  <c r="QUW1" i="9"/>
  <c r="QUV1" i="9"/>
  <c r="QUU1" i="9"/>
  <c r="QUT1" i="9"/>
  <c r="QUS1" i="9"/>
  <c r="QUR1" i="9"/>
  <c r="QUQ1" i="9"/>
  <c r="QUP1" i="9"/>
  <c r="QUO1" i="9"/>
  <c r="QUN1" i="9"/>
  <c r="QUM1" i="9"/>
  <c r="QUL1" i="9"/>
  <c r="QUK1" i="9"/>
  <c r="QUJ1" i="9"/>
  <c r="QUI1" i="9"/>
  <c r="QUH1" i="9"/>
  <c r="QUG1" i="9"/>
  <c r="QUF1" i="9"/>
  <c r="QUE1" i="9"/>
  <c r="QUD1" i="9"/>
  <c r="QUC1" i="9"/>
  <c r="QUB1" i="9"/>
  <c r="QUA1" i="9"/>
  <c r="QTZ1" i="9"/>
  <c r="QTY1" i="9"/>
  <c r="QTX1" i="9"/>
  <c r="QTW1" i="9"/>
  <c r="QTV1" i="9"/>
  <c r="QTU1" i="9"/>
  <c r="QTT1" i="9"/>
  <c r="QTS1" i="9"/>
  <c r="QTR1" i="9"/>
  <c r="QTQ1" i="9"/>
  <c r="QTP1" i="9"/>
  <c r="QTO1" i="9"/>
  <c r="QTN1" i="9"/>
  <c r="QTM1" i="9"/>
  <c r="QTL1" i="9"/>
  <c r="QTK1" i="9"/>
  <c r="QTJ1" i="9"/>
  <c r="QTI1" i="9"/>
  <c r="QTH1" i="9"/>
  <c r="QTG1" i="9"/>
  <c r="QTF1" i="9"/>
  <c r="QTE1" i="9"/>
  <c r="QTD1" i="9"/>
  <c r="QTC1" i="9"/>
  <c r="QTB1" i="9"/>
  <c r="QTA1" i="9"/>
  <c r="QSZ1" i="9"/>
  <c r="QSY1" i="9"/>
  <c r="QSX1" i="9"/>
  <c r="QSW1" i="9"/>
  <c r="QSV1" i="9"/>
  <c r="QSU1" i="9"/>
  <c r="QST1" i="9"/>
  <c r="QSS1" i="9"/>
  <c r="QSR1" i="9"/>
  <c r="QSQ1" i="9"/>
  <c r="QSP1" i="9"/>
  <c r="QSO1" i="9"/>
  <c r="QSN1" i="9"/>
  <c r="QSM1" i="9"/>
  <c r="QSL1" i="9"/>
  <c r="QSK1" i="9"/>
  <c r="QSJ1" i="9"/>
  <c r="QSI1" i="9"/>
  <c r="QSH1" i="9"/>
  <c r="QSG1" i="9"/>
  <c r="QSF1" i="9"/>
  <c r="QSE1" i="9"/>
  <c r="QSD1" i="9"/>
  <c r="QSC1" i="9"/>
  <c r="QSB1" i="9"/>
  <c r="QSA1" i="9"/>
  <c r="QRZ1" i="9"/>
  <c r="QRY1" i="9"/>
  <c r="QRX1" i="9"/>
  <c r="QRW1" i="9"/>
  <c r="QRV1" i="9"/>
  <c r="QRU1" i="9"/>
  <c r="QRT1" i="9"/>
  <c r="QRS1" i="9"/>
  <c r="QRR1" i="9"/>
  <c r="QRQ1" i="9"/>
  <c r="QRP1" i="9"/>
  <c r="QRO1" i="9"/>
  <c r="QRN1" i="9"/>
  <c r="QRM1" i="9"/>
  <c r="QRL1" i="9"/>
  <c r="QRK1" i="9"/>
  <c r="QRJ1" i="9"/>
  <c r="QRI1" i="9"/>
  <c r="QRH1" i="9"/>
  <c r="QRG1" i="9"/>
  <c r="QRF1" i="9"/>
  <c r="QRE1" i="9"/>
  <c r="QRD1" i="9"/>
  <c r="QRC1" i="9"/>
  <c r="QRB1" i="9"/>
  <c r="QRA1" i="9"/>
  <c r="QQZ1" i="9"/>
  <c r="QQY1" i="9"/>
  <c r="QQX1" i="9"/>
  <c r="QQW1" i="9"/>
  <c r="QQV1" i="9"/>
  <c r="QQU1" i="9"/>
  <c r="QQT1" i="9"/>
  <c r="QQS1" i="9"/>
  <c r="QQR1" i="9"/>
  <c r="QQQ1" i="9"/>
  <c r="QQP1" i="9"/>
  <c r="QQO1" i="9"/>
  <c r="QQN1" i="9"/>
  <c r="QQM1" i="9"/>
  <c r="QQL1" i="9"/>
  <c r="QQK1" i="9"/>
  <c r="QQJ1" i="9"/>
  <c r="QQI1" i="9"/>
  <c r="QQH1" i="9"/>
  <c r="QQG1" i="9"/>
  <c r="QQF1" i="9"/>
  <c r="QQE1" i="9"/>
  <c r="QQD1" i="9"/>
  <c r="QQC1" i="9"/>
  <c r="QQB1" i="9"/>
  <c r="QQA1" i="9"/>
  <c r="QPZ1" i="9"/>
  <c r="QPY1" i="9"/>
  <c r="QPX1" i="9"/>
  <c r="QPW1" i="9"/>
  <c r="QPV1" i="9"/>
  <c r="QPU1" i="9"/>
  <c r="QPT1" i="9"/>
  <c r="QPS1" i="9"/>
  <c r="QPR1" i="9"/>
  <c r="QPQ1" i="9"/>
  <c r="QPP1" i="9"/>
  <c r="QPO1" i="9"/>
  <c r="QPN1" i="9"/>
  <c r="QPM1" i="9"/>
  <c r="QPL1" i="9"/>
  <c r="QPK1" i="9"/>
  <c r="QPJ1" i="9"/>
  <c r="QPI1" i="9"/>
  <c r="QPH1" i="9"/>
  <c r="QPG1" i="9"/>
  <c r="QPF1" i="9"/>
  <c r="QPE1" i="9"/>
  <c r="QPD1" i="9"/>
  <c r="QPC1" i="9"/>
  <c r="QPB1" i="9"/>
  <c r="QPA1" i="9"/>
  <c r="QOZ1" i="9"/>
  <c r="QOY1" i="9"/>
  <c r="QOX1" i="9"/>
  <c r="QOW1" i="9"/>
  <c r="QOV1" i="9"/>
  <c r="QOU1" i="9"/>
  <c r="QOT1" i="9"/>
  <c r="QOS1" i="9"/>
  <c r="QOR1" i="9"/>
  <c r="QOQ1" i="9"/>
  <c r="QOP1" i="9"/>
  <c r="QOO1" i="9"/>
  <c r="QON1" i="9"/>
  <c r="QOM1" i="9"/>
  <c r="QOL1" i="9"/>
  <c r="QOK1" i="9"/>
  <c r="QOJ1" i="9"/>
  <c r="QOI1" i="9"/>
  <c r="QOH1" i="9"/>
  <c r="QOG1" i="9"/>
  <c r="QOF1" i="9"/>
  <c r="QOE1" i="9"/>
  <c r="QOD1" i="9"/>
  <c r="QOC1" i="9"/>
  <c r="QOB1" i="9"/>
  <c r="QOA1" i="9"/>
  <c r="QNZ1" i="9"/>
  <c r="QNY1" i="9"/>
  <c r="QNX1" i="9"/>
  <c r="QNW1" i="9"/>
  <c r="QNV1" i="9"/>
  <c r="QNU1" i="9"/>
  <c r="QNT1" i="9"/>
  <c r="QNS1" i="9"/>
  <c r="QNR1" i="9"/>
  <c r="QNQ1" i="9"/>
  <c r="QNP1" i="9"/>
  <c r="QNO1" i="9"/>
  <c r="QNN1" i="9"/>
  <c r="QNM1" i="9"/>
  <c r="QNL1" i="9"/>
  <c r="QNK1" i="9"/>
  <c r="QNJ1" i="9"/>
  <c r="QNI1" i="9"/>
  <c r="QNH1" i="9"/>
  <c r="QNG1" i="9"/>
  <c r="QNF1" i="9"/>
  <c r="QNE1" i="9"/>
  <c r="QND1" i="9"/>
  <c r="QNC1" i="9"/>
  <c r="QNB1" i="9"/>
  <c r="QNA1" i="9"/>
  <c r="QMZ1" i="9"/>
  <c r="QMY1" i="9"/>
  <c r="QMX1" i="9"/>
  <c r="QMW1" i="9"/>
  <c r="QMV1" i="9"/>
  <c r="QMU1" i="9"/>
  <c r="QMT1" i="9"/>
  <c r="QMS1" i="9"/>
  <c r="QMR1" i="9"/>
  <c r="QMQ1" i="9"/>
  <c r="QMP1" i="9"/>
  <c r="QMO1" i="9"/>
  <c r="QMN1" i="9"/>
  <c r="QMM1" i="9"/>
  <c r="QML1" i="9"/>
  <c r="QMK1" i="9"/>
  <c r="QMJ1" i="9"/>
  <c r="QMI1" i="9"/>
  <c r="QMH1" i="9"/>
  <c r="QMG1" i="9"/>
  <c r="QMF1" i="9"/>
  <c r="QME1" i="9"/>
  <c r="QMD1" i="9"/>
  <c r="QMC1" i="9"/>
  <c r="QMB1" i="9"/>
  <c r="QMA1" i="9"/>
  <c r="QLZ1" i="9"/>
  <c r="QLY1" i="9"/>
  <c r="QLX1" i="9"/>
  <c r="QLW1" i="9"/>
  <c r="QLV1" i="9"/>
  <c r="QLU1" i="9"/>
  <c r="QLT1" i="9"/>
  <c r="QLS1" i="9"/>
  <c r="QLR1" i="9"/>
  <c r="QLQ1" i="9"/>
  <c r="QLP1" i="9"/>
  <c r="QLO1" i="9"/>
  <c r="QLN1" i="9"/>
  <c r="QLM1" i="9"/>
  <c r="QLL1" i="9"/>
  <c r="QLK1" i="9"/>
  <c r="QLJ1" i="9"/>
  <c r="QLI1" i="9"/>
  <c r="QLH1" i="9"/>
  <c r="QLG1" i="9"/>
  <c r="QLF1" i="9"/>
  <c r="QLE1" i="9"/>
  <c r="QLD1" i="9"/>
  <c r="QLC1" i="9"/>
  <c r="QLB1" i="9"/>
  <c r="QLA1" i="9"/>
  <c r="QKZ1" i="9"/>
  <c r="QKY1" i="9"/>
  <c r="QKX1" i="9"/>
  <c r="QKW1" i="9"/>
  <c r="QKV1" i="9"/>
  <c r="QKU1" i="9"/>
  <c r="QKT1" i="9"/>
  <c r="QKS1" i="9"/>
  <c r="QKR1" i="9"/>
  <c r="QKQ1" i="9"/>
  <c r="QKP1" i="9"/>
  <c r="QKO1" i="9"/>
  <c r="QKN1" i="9"/>
  <c r="QKM1" i="9"/>
  <c r="QKL1" i="9"/>
  <c r="QKK1" i="9"/>
  <c r="QKJ1" i="9"/>
  <c r="QKI1" i="9"/>
  <c r="QKH1" i="9"/>
  <c r="QKG1" i="9"/>
  <c r="QKF1" i="9"/>
  <c r="QKE1" i="9"/>
  <c r="QKD1" i="9"/>
  <c r="QKC1" i="9"/>
  <c r="QKB1" i="9"/>
  <c r="QKA1" i="9"/>
  <c r="QJZ1" i="9"/>
  <c r="QJY1" i="9"/>
  <c r="QJX1" i="9"/>
  <c r="QJW1" i="9"/>
  <c r="QJV1" i="9"/>
  <c r="QJU1" i="9"/>
  <c r="QJT1" i="9"/>
  <c r="QJS1" i="9"/>
  <c r="QJR1" i="9"/>
  <c r="QJQ1" i="9"/>
  <c r="QJP1" i="9"/>
  <c r="QJO1" i="9"/>
  <c r="QJN1" i="9"/>
  <c r="QJM1" i="9"/>
  <c r="QJL1" i="9"/>
  <c r="QJK1" i="9"/>
  <c r="QJJ1" i="9"/>
  <c r="QJI1" i="9"/>
  <c r="QJH1" i="9"/>
  <c r="QJG1" i="9"/>
  <c r="QJF1" i="9"/>
  <c r="QJE1" i="9"/>
  <c r="QJD1" i="9"/>
  <c r="QJC1" i="9"/>
  <c r="QJB1" i="9"/>
  <c r="QJA1" i="9"/>
  <c r="QIZ1" i="9"/>
  <c r="QIY1" i="9"/>
  <c r="QIX1" i="9"/>
  <c r="QIW1" i="9"/>
  <c r="QIV1" i="9"/>
  <c r="QIU1" i="9"/>
  <c r="QIT1" i="9"/>
  <c r="QIS1" i="9"/>
  <c r="QIR1" i="9"/>
  <c r="QIQ1" i="9"/>
  <c r="QIP1" i="9"/>
  <c r="QIO1" i="9"/>
  <c r="QIN1" i="9"/>
  <c r="QIM1" i="9"/>
  <c r="QIL1" i="9"/>
  <c r="QIK1" i="9"/>
  <c r="QIJ1" i="9"/>
  <c r="QII1" i="9"/>
  <c r="QIH1" i="9"/>
  <c r="QIG1" i="9"/>
  <c r="QIF1" i="9"/>
  <c r="QIE1" i="9"/>
  <c r="QID1" i="9"/>
  <c r="QIC1" i="9"/>
  <c r="QIB1" i="9"/>
  <c r="QIA1" i="9"/>
  <c r="QHZ1" i="9"/>
  <c r="QHY1" i="9"/>
  <c r="QHX1" i="9"/>
  <c r="QHW1" i="9"/>
  <c r="QHV1" i="9"/>
  <c r="QHU1" i="9"/>
  <c r="QHT1" i="9"/>
  <c r="QHS1" i="9"/>
  <c r="QHR1" i="9"/>
  <c r="QHQ1" i="9"/>
  <c r="QHP1" i="9"/>
  <c r="QHO1" i="9"/>
  <c r="QHN1" i="9"/>
  <c r="QHM1" i="9"/>
  <c r="QHL1" i="9"/>
  <c r="QHK1" i="9"/>
  <c r="QHJ1" i="9"/>
  <c r="QHI1" i="9"/>
  <c r="QHH1" i="9"/>
  <c r="QHG1" i="9"/>
  <c r="QHF1" i="9"/>
  <c r="QHE1" i="9"/>
  <c r="QHD1" i="9"/>
  <c r="QHC1" i="9"/>
  <c r="QHB1" i="9"/>
  <c r="QHA1" i="9"/>
  <c r="QGZ1" i="9"/>
  <c r="QGY1" i="9"/>
  <c r="QGX1" i="9"/>
  <c r="QGW1" i="9"/>
  <c r="QGV1" i="9"/>
  <c r="QGU1" i="9"/>
  <c r="QGT1" i="9"/>
  <c r="QGS1" i="9"/>
  <c r="QGR1" i="9"/>
  <c r="QGQ1" i="9"/>
  <c r="QGP1" i="9"/>
  <c r="QGO1" i="9"/>
  <c r="QGN1" i="9"/>
  <c r="QGM1" i="9"/>
  <c r="QGL1" i="9"/>
  <c r="QGK1" i="9"/>
  <c r="QGJ1" i="9"/>
  <c r="QGI1" i="9"/>
  <c r="QGH1" i="9"/>
  <c r="QGG1" i="9"/>
  <c r="QGF1" i="9"/>
  <c r="QGE1" i="9"/>
  <c r="QGD1" i="9"/>
  <c r="QGC1" i="9"/>
  <c r="QGB1" i="9"/>
  <c r="QGA1" i="9"/>
  <c r="QFZ1" i="9"/>
  <c r="QFY1" i="9"/>
  <c r="QFX1" i="9"/>
  <c r="QFW1" i="9"/>
  <c r="QFV1" i="9"/>
  <c r="QFU1" i="9"/>
  <c r="QFT1" i="9"/>
  <c r="QFS1" i="9"/>
  <c r="QFR1" i="9"/>
  <c r="QFQ1" i="9"/>
  <c r="QFP1" i="9"/>
  <c r="QFO1" i="9"/>
  <c r="QFN1" i="9"/>
  <c r="QFM1" i="9"/>
  <c r="QFL1" i="9"/>
  <c r="QFK1" i="9"/>
  <c r="QFJ1" i="9"/>
  <c r="QFI1" i="9"/>
  <c r="QFH1" i="9"/>
  <c r="QFG1" i="9"/>
  <c r="QFF1" i="9"/>
  <c r="QFE1" i="9"/>
  <c r="QFD1" i="9"/>
  <c r="QFC1" i="9"/>
  <c r="QFB1" i="9"/>
  <c r="QFA1" i="9"/>
  <c r="QEZ1" i="9"/>
  <c r="QEY1" i="9"/>
  <c r="QEX1" i="9"/>
  <c r="QEW1" i="9"/>
  <c r="QEV1" i="9"/>
  <c r="QEU1" i="9"/>
  <c r="QET1" i="9"/>
  <c r="QES1" i="9"/>
  <c r="QER1" i="9"/>
  <c r="QEQ1" i="9"/>
  <c r="QEP1" i="9"/>
  <c r="QEO1" i="9"/>
  <c r="QEN1" i="9"/>
  <c r="QEM1" i="9"/>
  <c r="QEL1" i="9"/>
  <c r="QEK1" i="9"/>
  <c r="QEJ1" i="9"/>
  <c r="QEI1" i="9"/>
  <c r="QEH1" i="9"/>
  <c r="QEG1" i="9"/>
  <c r="QEF1" i="9"/>
  <c r="QEE1" i="9"/>
  <c r="QED1" i="9"/>
  <c r="QEC1" i="9"/>
  <c r="QEB1" i="9"/>
  <c r="QEA1" i="9"/>
  <c r="QDZ1" i="9"/>
  <c r="QDY1" i="9"/>
  <c r="QDX1" i="9"/>
  <c r="QDW1" i="9"/>
  <c r="QDV1" i="9"/>
  <c r="QDU1" i="9"/>
  <c r="QDT1" i="9"/>
  <c r="QDS1" i="9"/>
  <c r="QDR1" i="9"/>
  <c r="QDQ1" i="9"/>
  <c r="QDP1" i="9"/>
  <c r="QDO1" i="9"/>
  <c r="QDN1" i="9"/>
  <c r="QDM1" i="9"/>
  <c r="QDL1" i="9"/>
  <c r="QDK1" i="9"/>
  <c r="QDJ1" i="9"/>
  <c r="QDI1" i="9"/>
  <c r="QDH1" i="9"/>
  <c r="QDG1" i="9"/>
  <c r="QDF1" i="9"/>
  <c r="QDE1" i="9"/>
  <c r="QDD1" i="9"/>
  <c r="QDC1" i="9"/>
  <c r="QDB1" i="9"/>
  <c r="QDA1" i="9"/>
  <c r="QCZ1" i="9"/>
  <c r="QCY1" i="9"/>
  <c r="QCX1" i="9"/>
  <c r="QCW1" i="9"/>
  <c r="QCV1" i="9"/>
  <c r="QCU1" i="9"/>
  <c r="QCT1" i="9"/>
  <c r="QCS1" i="9"/>
  <c r="QCR1" i="9"/>
  <c r="QCQ1" i="9"/>
  <c r="QCP1" i="9"/>
  <c r="QCO1" i="9"/>
  <c r="QCN1" i="9"/>
  <c r="QCM1" i="9"/>
  <c r="QCL1" i="9"/>
  <c r="QCK1" i="9"/>
  <c r="QCJ1" i="9"/>
  <c r="QCI1" i="9"/>
  <c r="QCH1" i="9"/>
  <c r="QCG1" i="9"/>
  <c r="QCF1" i="9"/>
  <c r="QCE1" i="9"/>
  <c r="QCD1" i="9"/>
  <c r="QCC1" i="9"/>
  <c r="QCB1" i="9"/>
  <c r="QCA1" i="9"/>
  <c r="QBZ1" i="9"/>
  <c r="QBY1" i="9"/>
  <c r="QBX1" i="9"/>
  <c r="QBW1" i="9"/>
  <c r="QBV1" i="9"/>
  <c r="QBU1" i="9"/>
  <c r="QBT1" i="9"/>
  <c r="QBS1" i="9"/>
  <c r="QBR1" i="9"/>
  <c r="QBQ1" i="9"/>
  <c r="QBP1" i="9"/>
  <c r="QBO1" i="9"/>
  <c r="QBN1" i="9"/>
  <c r="QBM1" i="9"/>
  <c r="QBL1" i="9"/>
  <c r="QBK1" i="9"/>
  <c r="QBJ1" i="9"/>
  <c r="QBI1" i="9"/>
  <c r="QBH1" i="9"/>
  <c r="QBG1" i="9"/>
  <c r="QBF1" i="9"/>
  <c r="QBE1" i="9"/>
  <c r="QBD1" i="9"/>
  <c r="QBC1" i="9"/>
  <c r="QBB1" i="9"/>
  <c r="QBA1" i="9"/>
  <c r="QAZ1" i="9"/>
  <c r="QAY1" i="9"/>
  <c r="QAX1" i="9"/>
  <c r="QAW1" i="9"/>
  <c r="QAV1" i="9"/>
  <c r="QAU1" i="9"/>
  <c r="QAT1" i="9"/>
  <c r="QAS1" i="9"/>
  <c r="QAR1" i="9"/>
  <c r="QAQ1" i="9"/>
  <c r="QAP1" i="9"/>
  <c r="QAO1" i="9"/>
  <c r="QAN1" i="9"/>
  <c r="QAM1" i="9"/>
  <c r="QAL1" i="9"/>
  <c r="QAK1" i="9"/>
  <c r="QAJ1" i="9"/>
  <c r="QAI1" i="9"/>
  <c r="QAH1" i="9"/>
  <c r="QAG1" i="9"/>
  <c r="QAF1" i="9"/>
  <c r="QAE1" i="9"/>
  <c r="QAD1" i="9"/>
  <c r="QAC1" i="9"/>
  <c r="QAB1" i="9"/>
  <c r="QAA1" i="9"/>
  <c r="PZZ1" i="9"/>
  <c r="PZY1" i="9"/>
  <c r="PZX1" i="9"/>
  <c r="PZW1" i="9"/>
  <c r="PZV1" i="9"/>
  <c r="PZU1" i="9"/>
  <c r="PZT1" i="9"/>
  <c r="PZS1" i="9"/>
  <c r="PZR1" i="9"/>
  <c r="PZQ1" i="9"/>
  <c r="PZP1" i="9"/>
  <c r="PZO1" i="9"/>
  <c r="PZN1" i="9"/>
  <c r="PZM1" i="9"/>
  <c r="PZL1" i="9"/>
  <c r="PZK1" i="9"/>
  <c r="PZJ1" i="9"/>
  <c r="PZI1" i="9"/>
  <c r="PZH1" i="9"/>
  <c r="PZG1" i="9"/>
  <c r="PZF1" i="9"/>
  <c r="PZE1" i="9"/>
  <c r="PZD1" i="9"/>
  <c r="PZC1" i="9"/>
  <c r="PZB1" i="9"/>
  <c r="PZA1" i="9"/>
  <c r="PYZ1" i="9"/>
  <c r="PYY1" i="9"/>
  <c r="PYX1" i="9"/>
  <c r="PYW1" i="9"/>
  <c r="PYV1" i="9"/>
  <c r="PYU1" i="9"/>
  <c r="PYT1" i="9"/>
  <c r="PYS1" i="9"/>
  <c r="PYR1" i="9"/>
  <c r="PYQ1" i="9"/>
  <c r="PYP1" i="9"/>
  <c r="PYO1" i="9"/>
  <c r="PYN1" i="9"/>
  <c r="PYM1" i="9"/>
  <c r="PYL1" i="9"/>
  <c r="PYK1" i="9"/>
  <c r="PYJ1" i="9"/>
  <c r="PYI1" i="9"/>
  <c r="PYH1" i="9"/>
  <c r="PYG1" i="9"/>
  <c r="PYF1" i="9"/>
  <c r="PYE1" i="9"/>
  <c r="PYD1" i="9"/>
  <c r="PYC1" i="9"/>
  <c r="PYB1" i="9"/>
  <c r="PYA1" i="9"/>
  <c r="PXZ1" i="9"/>
  <c r="PXY1" i="9"/>
  <c r="PXX1" i="9"/>
  <c r="PXW1" i="9"/>
  <c r="PXV1" i="9"/>
  <c r="PXU1" i="9"/>
  <c r="PXT1" i="9"/>
  <c r="PXS1" i="9"/>
  <c r="PXR1" i="9"/>
  <c r="PXQ1" i="9"/>
  <c r="PXP1" i="9"/>
  <c r="PXO1" i="9"/>
  <c r="PXN1" i="9"/>
  <c r="PXM1" i="9"/>
  <c r="PXL1" i="9"/>
  <c r="PXK1" i="9"/>
  <c r="PXJ1" i="9"/>
  <c r="PXI1" i="9"/>
  <c r="PXH1" i="9"/>
  <c r="PXG1" i="9"/>
  <c r="PXF1" i="9"/>
  <c r="PXE1" i="9"/>
  <c r="PXD1" i="9"/>
  <c r="PXC1" i="9"/>
  <c r="PXB1" i="9"/>
  <c r="PXA1" i="9"/>
  <c r="PWZ1" i="9"/>
  <c r="PWY1" i="9"/>
  <c r="PWX1" i="9"/>
  <c r="PWW1" i="9"/>
  <c r="PWV1" i="9"/>
  <c r="PWU1" i="9"/>
  <c r="PWT1" i="9"/>
  <c r="PWS1" i="9"/>
  <c r="PWR1" i="9"/>
  <c r="PWQ1" i="9"/>
  <c r="PWP1" i="9"/>
  <c r="PWO1" i="9"/>
  <c r="PWN1" i="9"/>
  <c r="PWM1" i="9"/>
  <c r="PWL1" i="9"/>
  <c r="PWK1" i="9"/>
  <c r="PWJ1" i="9"/>
  <c r="PWI1" i="9"/>
  <c r="PWH1" i="9"/>
  <c r="PWG1" i="9"/>
  <c r="PWF1" i="9"/>
  <c r="PWE1" i="9"/>
  <c r="PWD1" i="9"/>
  <c r="PWC1" i="9"/>
  <c r="PWB1" i="9"/>
  <c r="PWA1" i="9"/>
  <c r="PVZ1" i="9"/>
  <c r="PVY1" i="9"/>
  <c r="PVX1" i="9"/>
  <c r="PVW1" i="9"/>
  <c r="PVV1" i="9"/>
  <c r="PVU1" i="9"/>
  <c r="PVT1" i="9"/>
  <c r="PVS1" i="9"/>
  <c r="PVR1" i="9"/>
  <c r="PVQ1" i="9"/>
  <c r="PVP1" i="9"/>
  <c r="PVO1" i="9"/>
  <c r="PVN1" i="9"/>
  <c r="PVM1" i="9"/>
  <c r="PVL1" i="9"/>
  <c r="PVK1" i="9"/>
  <c r="PVJ1" i="9"/>
  <c r="PVI1" i="9"/>
  <c r="PVH1" i="9"/>
  <c r="PVG1" i="9"/>
  <c r="PVF1" i="9"/>
  <c r="PVE1" i="9"/>
  <c r="PVD1" i="9"/>
  <c r="PVC1" i="9"/>
  <c r="PVB1" i="9"/>
  <c r="PVA1" i="9"/>
  <c r="PUZ1" i="9"/>
  <c r="PUY1" i="9"/>
  <c r="PUX1" i="9"/>
  <c r="PUW1" i="9"/>
  <c r="PUV1" i="9"/>
  <c r="PUU1" i="9"/>
  <c r="PUT1" i="9"/>
  <c r="PUS1" i="9"/>
  <c r="PUR1" i="9"/>
  <c r="PUQ1" i="9"/>
  <c r="PUP1" i="9"/>
  <c r="PUO1" i="9"/>
  <c r="PUN1" i="9"/>
  <c r="PUM1" i="9"/>
  <c r="PUL1" i="9"/>
  <c r="PUK1" i="9"/>
  <c r="PUJ1" i="9"/>
  <c r="PUI1" i="9"/>
  <c r="PUH1" i="9"/>
  <c r="PUG1" i="9"/>
  <c r="PUF1" i="9"/>
  <c r="PUE1" i="9"/>
  <c r="PUD1" i="9"/>
  <c r="PUC1" i="9"/>
  <c r="PUB1" i="9"/>
  <c r="PUA1" i="9"/>
  <c r="PTZ1" i="9"/>
  <c r="PTY1" i="9"/>
  <c r="PTX1" i="9"/>
  <c r="PTW1" i="9"/>
  <c r="PTV1" i="9"/>
  <c r="PTU1" i="9"/>
  <c r="PTT1" i="9"/>
  <c r="PTS1" i="9"/>
  <c r="PTR1" i="9"/>
  <c r="PTQ1" i="9"/>
  <c r="PTP1" i="9"/>
  <c r="PTO1" i="9"/>
  <c r="PTN1" i="9"/>
  <c r="PTM1" i="9"/>
  <c r="PTL1" i="9"/>
  <c r="PTK1" i="9"/>
  <c r="PTJ1" i="9"/>
  <c r="PTI1" i="9"/>
  <c r="PTH1" i="9"/>
  <c r="PTG1" i="9"/>
  <c r="PTF1" i="9"/>
  <c r="PTE1" i="9"/>
  <c r="PTD1" i="9"/>
  <c r="PTC1" i="9"/>
  <c r="PTB1" i="9"/>
  <c r="PTA1" i="9"/>
  <c r="PSZ1" i="9"/>
  <c r="PSY1" i="9"/>
  <c r="PSX1" i="9"/>
  <c r="PSW1" i="9"/>
  <c r="PSV1" i="9"/>
  <c r="PSU1" i="9"/>
  <c r="PST1" i="9"/>
  <c r="PSS1" i="9"/>
  <c r="PSR1" i="9"/>
  <c r="PSQ1" i="9"/>
  <c r="PSP1" i="9"/>
  <c r="PSO1" i="9"/>
  <c r="PSN1" i="9"/>
  <c r="PSM1" i="9"/>
  <c r="PSL1" i="9"/>
  <c r="PSK1" i="9"/>
  <c r="PSJ1" i="9"/>
  <c r="PSI1" i="9"/>
  <c r="PSH1" i="9"/>
  <c r="PSG1" i="9"/>
  <c r="PSF1" i="9"/>
  <c r="PSE1" i="9"/>
  <c r="PSD1" i="9"/>
  <c r="PSC1" i="9"/>
  <c r="PSB1" i="9"/>
  <c r="PSA1" i="9"/>
  <c r="PRZ1" i="9"/>
  <c r="PRY1" i="9"/>
  <c r="PRX1" i="9"/>
  <c r="PRW1" i="9"/>
  <c r="PRV1" i="9"/>
  <c r="PRU1" i="9"/>
  <c r="PRT1" i="9"/>
  <c r="PRS1" i="9"/>
  <c r="PRR1" i="9"/>
  <c r="PRQ1" i="9"/>
  <c r="PRP1" i="9"/>
  <c r="PRO1" i="9"/>
  <c r="PRN1" i="9"/>
  <c r="PRM1" i="9"/>
  <c r="PRL1" i="9"/>
  <c r="PRK1" i="9"/>
  <c r="PRJ1" i="9"/>
  <c r="PRI1" i="9"/>
  <c r="PRH1" i="9"/>
  <c r="PRG1" i="9"/>
  <c r="PRF1" i="9"/>
  <c r="PRE1" i="9"/>
  <c r="PRD1" i="9"/>
  <c r="PRC1" i="9"/>
  <c r="PRB1" i="9"/>
  <c r="PRA1" i="9"/>
  <c r="PQZ1" i="9"/>
  <c r="PQY1" i="9"/>
  <c r="PQX1" i="9"/>
  <c r="PQW1" i="9"/>
  <c r="PQV1" i="9"/>
  <c r="PQU1" i="9"/>
  <c r="PQT1" i="9"/>
  <c r="PQS1" i="9"/>
  <c r="PQR1" i="9"/>
  <c r="PQQ1" i="9"/>
  <c r="PQP1" i="9"/>
  <c r="PQO1" i="9"/>
  <c r="PQN1" i="9"/>
  <c r="PQM1" i="9"/>
  <c r="PQL1" i="9"/>
  <c r="PQK1" i="9"/>
  <c r="PQJ1" i="9"/>
  <c r="PQI1" i="9"/>
  <c r="PQH1" i="9"/>
  <c r="PQG1" i="9"/>
  <c r="PQF1" i="9"/>
  <c r="PQE1" i="9"/>
  <c r="PQD1" i="9"/>
  <c r="PQC1" i="9"/>
  <c r="PQB1" i="9"/>
  <c r="PQA1" i="9"/>
  <c r="PPZ1" i="9"/>
  <c r="PPY1" i="9"/>
  <c r="PPX1" i="9"/>
  <c r="PPW1" i="9"/>
  <c r="PPV1" i="9"/>
  <c r="PPU1" i="9"/>
  <c r="PPT1" i="9"/>
  <c r="PPS1" i="9"/>
  <c r="PPR1" i="9"/>
  <c r="PPQ1" i="9"/>
  <c r="PPP1" i="9"/>
  <c r="PPO1" i="9"/>
  <c r="PPN1" i="9"/>
  <c r="PPM1" i="9"/>
  <c r="PPL1" i="9"/>
  <c r="PPK1" i="9"/>
  <c r="PPJ1" i="9"/>
  <c r="PPI1" i="9"/>
  <c r="PPH1" i="9"/>
  <c r="PPG1" i="9"/>
  <c r="PPF1" i="9"/>
  <c r="PPE1" i="9"/>
  <c r="PPD1" i="9"/>
  <c r="PPC1" i="9"/>
  <c r="PPB1" i="9"/>
  <c r="PPA1" i="9"/>
  <c r="POZ1" i="9"/>
  <c r="POY1" i="9"/>
  <c r="POX1" i="9"/>
  <c r="POW1" i="9"/>
  <c r="POV1" i="9"/>
  <c r="POU1" i="9"/>
  <c r="POT1" i="9"/>
  <c r="POS1" i="9"/>
  <c r="POR1" i="9"/>
  <c r="POQ1" i="9"/>
  <c r="POP1" i="9"/>
  <c r="POO1" i="9"/>
  <c r="PON1" i="9"/>
  <c r="POM1" i="9"/>
  <c r="POL1" i="9"/>
  <c r="POK1" i="9"/>
  <c r="POJ1" i="9"/>
  <c r="POI1" i="9"/>
  <c r="POH1" i="9"/>
  <c r="POG1" i="9"/>
  <c r="POF1" i="9"/>
  <c r="POE1" i="9"/>
  <c r="POD1" i="9"/>
  <c r="POC1" i="9"/>
  <c r="POB1" i="9"/>
  <c r="POA1" i="9"/>
  <c r="PNZ1" i="9"/>
  <c r="PNY1" i="9"/>
  <c r="PNX1" i="9"/>
  <c r="PNW1" i="9"/>
  <c r="PNV1" i="9"/>
  <c r="PNU1" i="9"/>
  <c r="PNT1" i="9"/>
  <c r="PNS1" i="9"/>
  <c r="PNR1" i="9"/>
  <c r="PNQ1" i="9"/>
  <c r="PNP1" i="9"/>
  <c r="PNO1" i="9"/>
  <c r="PNN1" i="9"/>
  <c r="PNM1" i="9"/>
  <c r="PNL1" i="9"/>
  <c r="PNK1" i="9"/>
  <c r="PNJ1" i="9"/>
  <c r="PNI1" i="9"/>
  <c r="PNH1" i="9"/>
  <c r="PNG1" i="9"/>
  <c r="PNF1" i="9"/>
  <c r="PNE1" i="9"/>
  <c r="PND1" i="9"/>
  <c r="PNC1" i="9"/>
  <c r="PNB1" i="9"/>
  <c r="PNA1" i="9"/>
  <c r="PMZ1" i="9"/>
  <c r="PMY1" i="9"/>
  <c r="PMX1" i="9"/>
  <c r="PMW1" i="9"/>
  <c r="PMV1" i="9"/>
  <c r="PMU1" i="9"/>
  <c r="PMT1" i="9"/>
  <c r="PMS1" i="9"/>
  <c r="PMR1" i="9"/>
  <c r="PMQ1" i="9"/>
  <c r="PMP1" i="9"/>
  <c r="PMO1" i="9"/>
  <c r="PMN1" i="9"/>
  <c r="PMM1" i="9"/>
  <c r="PML1" i="9"/>
  <c r="PMK1" i="9"/>
  <c r="PMJ1" i="9"/>
  <c r="PMI1" i="9"/>
  <c r="PMH1" i="9"/>
  <c r="PMG1" i="9"/>
  <c r="PMF1" i="9"/>
  <c r="PME1" i="9"/>
  <c r="PMD1" i="9"/>
  <c r="PMC1" i="9"/>
  <c r="PMB1" i="9"/>
  <c r="PMA1" i="9"/>
  <c r="PLZ1" i="9"/>
  <c r="PLY1" i="9"/>
  <c r="PLX1" i="9"/>
  <c r="PLW1" i="9"/>
  <c r="PLV1" i="9"/>
  <c r="PLU1" i="9"/>
  <c r="PLT1" i="9"/>
  <c r="PLS1" i="9"/>
  <c r="PLR1" i="9"/>
  <c r="PLQ1" i="9"/>
  <c r="PLP1" i="9"/>
  <c r="PLO1" i="9"/>
  <c r="PLN1" i="9"/>
  <c r="PLM1" i="9"/>
  <c r="PLL1" i="9"/>
  <c r="PLK1" i="9"/>
  <c r="PLJ1" i="9"/>
  <c r="PLI1" i="9"/>
  <c r="PLH1" i="9"/>
  <c r="PLG1" i="9"/>
  <c r="PLF1" i="9"/>
  <c r="PLE1" i="9"/>
  <c r="PLD1" i="9"/>
  <c r="PLC1" i="9"/>
  <c r="PLB1" i="9"/>
  <c r="PLA1" i="9"/>
  <c r="PKZ1" i="9"/>
  <c r="PKY1" i="9"/>
  <c r="PKX1" i="9"/>
  <c r="PKW1" i="9"/>
  <c r="PKV1" i="9"/>
  <c r="PKU1" i="9"/>
  <c r="PKT1" i="9"/>
  <c r="PKS1" i="9"/>
  <c r="PKR1" i="9"/>
  <c r="PKQ1" i="9"/>
  <c r="PKP1" i="9"/>
  <c r="PKO1" i="9"/>
  <c r="PKN1" i="9"/>
  <c r="PKM1" i="9"/>
  <c r="PKL1" i="9"/>
  <c r="PKK1" i="9"/>
  <c r="PKJ1" i="9"/>
  <c r="PKI1" i="9"/>
  <c r="PKH1" i="9"/>
  <c r="PKG1" i="9"/>
  <c r="PKF1" i="9"/>
  <c r="PKE1" i="9"/>
  <c r="PKD1" i="9"/>
  <c r="PKC1" i="9"/>
  <c r="PKB1" i="9"/>
  <c r="PKA1" i="9"/>
  <c r="PJZ1" i="9"/>
  <c r="PJY1" i="9"/>
  <c r="PJX1" i="9"/>
  <c r="PJW1" i="9"/>
  <c r="PJV1" i="9"/>
  <c r="PJU1" i="9"/>
  <c r="PJT1" i="9"/>
  <c r="PJS1" i="9"/>
  <c r="PJR1" i="9"/>
  <c r="PJQ1" i="9"/>
  <c r="PJP1" i="9"/>
  <c r="PJO1" i="9"/>
  <c r="PJN1" i="9"/>
  <c r="PJM1" i="9"/>
  <c r="PJL1" i="9"/>
  <c r="PJK1" i="9"/>
  <c r="PJJ1" i="9"/>
  <c r="PJI1" i="9"/>
  <c r="PJH1" i="9"/>
  <c r="PJG1" i="9"/>
  <c r="PJF1" i="9"/>
  <c r="PJE1" i="9"/>
  <c r="PJD1" i="9"/>
  <c r="PJC1" i="9"/>
  <c r="PJB1" i="9"/>
  <c r="PJA1" i="9"/>
  <c r="PIZ1" i="9"/>
  <c r="PIY1" i="9"/>
  <c r="PIX1" i="9"/>
  <c r="PIW1" i="9"/>
  <c r="PIV1" i="9"/>
  <c r="PIU1" i="9"/>
  <c r="PIT1" i="9"/>
  <c r="PIS1" i="9"/>
  <c r="PIR1" i="9"/>
  <c r="PIQ1" i="9"/>
  <c r="PIP1" i="9"/>
  <c r="PIO1" i="9"/>
  <c r="PIN1" i="9"/>
  <c r="PIM1" i="9"/>
  <c r="PIL1" i="9"/>
  <c r="PIK1" i="9"/>
  <c r="PIJ1" i="9"/>
  <c r="PII1" i="9"/>
  <c r="PIH1" i="9"/>
  <c r="PIG1" i="9"/>
  <c r="PIF1" i="9"/>
  <c r="PIE1" i="9"/>
  <c r="PID1" i="9"/>
  <c r="PIC1" i="9"/>
  <c r="PIB1" i="9"/>
  <c r="PIA1" i="9"/>
  <c r="PHZ1" i="9"/>
  <c r="PHY1" i="9"/>
  <c r="PHX1" i="9"/>
  <c r="PHW1" i="9"/>
  <c r="PHV1" i="9"/>
  <c r="PHU1" i="9"/>
  <c r="PHT1" i="9"/>
  <c r="PHS1" i="9"/>
  <c r="PHR1" i="9"/>
  <c r="PHQ1" i="9"/>
  <c r="PHP1" i="9"/>
  <c r="PHO1" i="9"/>
  <c r="PHN1" i="9"/>
  <c r="PHM1" i="9"/>
  <c r="PHL1" i="9"/>
  <c r="PHK1" i="9"/>
  <c r="PHJ1" i="9"/>
  <c r="PHI1" i="9"/>
  <c r="PHH1" i="9"/>
  <c r="PHG1" i="9"/>
  <c r="PHF1" i="9"/>
  <c r="PHE1" i="9"/>
  <c r="PHD1" i="9"/>
  <c r="PHC1" i="9"/>
  <c r="PHB1" i="9"/>
  <c r="PHA1" i="9"/>
  <c r="PGZ1" i="9"/>
  <c r="PGY1" i="9"/>
  <c r="PGX1" i="9"/>
  <c r="PGW1" i="9"/>
  <c r="PGV1" i="9"/>
  <c r="PGU1" i="9"/>
  <c r="PGT1" i="9"/>
  <c r="PGS1" i="9"/>
  <c r="PGR1" i="9"/>
  <c r="PGQ1" i="9"/>
  <c r="PGP1" i="9"/>
  <c r="PGO1" i="9"/>
  <c r="PGN1" i="9"/>
  <c r="PGM1" i="9"/>
  <c r="PGL1" i="9"/>
  <c r="PGK1" i="9"/>
  <c r="PGJ1" i="9"/>
  <c r="PGI1" i="9"/>
  <c r="PGH1" i="9"/>
  <c r="PGG1" i="9"/>
  <c r="PGF1" i="9"/>
  <c r="PGE1" i="9"/>
  <c r="PGD1" i="9"/>
  <c r="PGC1" i="9"/>
  <c r="PGB1" i="9"/>
  <c r="PGA1" i="9"/>
  <c r="PFZ1" i="9"/>
  <c r="PFY1" i="9"/>
  <c r="PFX1" i="9"/>
  <c r="PFW1" i="9"/>
  <c r="PFV1" i="9"/>
  <c r="PFU1" i="9"/>
  <c r="PFT1" i="9"/>
  <c r="PFS1" i="9"/>
  <c r="PFR1" i="9"/>
  <c r="PFQ1" i="9"/>
  <c r="PFP1" i="9"/>
  <c r="PFO1" i="9"/>
  <c r="PFN1" i="9"/>
  <c r="PFM1" i="9"/>
  <c r="PFL1" i="9"/>
  <c r="PFK1" i="9"/>
  <c r="PFJ1" i="9"/>
  <c r="PFI1" i="9"/>
  <c r="PFH1" i="9"/>
  <c r="PFG1" i="9"/>
  <c r="PFF1" i="9"/>
  <c r="PFE1" i="9"/>
  <c r="PFD1" i="9"/>
  <c r="PFC1" i="9"/>
  <c r="PFB1" i="9"/>
  <c r="PFA1" i="9"/>
  <c r="PEZ1" i="9"/>
  <c r="PEY1" i="9"/>
  <c r="PEX1" i="9"/>
  <c r="PEW1" i="9"/>
  <c r="PEV1" i="9"/>
  <c r="PEU1" i="9"/>
  <c r="PET1" i="9"/>
  <c r="PES1" i="9"/>
  <c r="PER1" i="9"/>
  <c r="PEQ1" i="9"/>
  <c r="PEP1" i="9"/>
  <c r="PEO1" i="9"/>
  <c r="PEN1" i="9"/>
  <c r="PEM1" i="9"/>
  <c r="PEL1" i="9"/>
  <c r="PEK1" i="9"/>
  <c r="PEJ1" i="9"/>
  <c r="PEI1" i="9"/>
  <c r="PEH1" i="9"/>
  <c r="PEG1" i="9"/>
  <c r="PEF1" i="9"/>
  <c r="PEE1" i="9"/>
  <c r="PED1" i="9"/>
  <c r="PEC1" i="9"/>
  <c r="PEB1" i="9"/>
  <c r="PEA1" i="9"/>
  <c r="PDZ1" i="9"/>
  <c r="PDY1" i="9"/>
  <c r="PDX1" i="9"/>
  <c r="PDW1" i="9"/>
  <c r="PDV1" i="9"/>
  <c r="PDU1" i="9"/>
  <c r="PDT1" i="9"/>
  <c r="PDS1" i="9"/>
  <c r="PDR1" i="9"/>
  <c r="PDQ1" i="9"/>
  <c r="PDP1" i="9"/>
  <c r="PDO1" i="9"/>
  <c r="PDN1" i="9"/>
  <c r="PDM1" i="9"/>
  <c r="PDL1" i="9"/>
  <c r="PDK1" i="9"/>
  <c r="PDJ1" i="9"/>
  <c r="PDI1" i="9"/>
  <c r="PDH1" i="9"/>
  <c r="PDG1" i="9"/>
  <c r="PDF1" i="9"/>
  <c r="PDE1" i="9"/>
  <c r="PDD1" i="9"/>
  <c r="PDC1" i="9"/>
  <c r="PDB1" i="9"/>
  <c r="PDA1" i="9"/>
  <c r="PCZ1" i="9"/>
  <c r="PCY1" i="9"/>
  <c r="PCX1" i="9"/>
  <c r="PCW1" i="9"/>
  <c r="PCV1" i="9"/>
  <c r="PCU1" i="9"/>
  <c r="PCT1" i="9"/>
  <c r="PCS1" i="9"/>
  <c r="PCR1" i="9"/>
  <c r="PCQ1" i="9"/>
  <c r="PCP1" i="9"/>
  <c r="PCO1" i="9"/>
  <c r="PCN1" i="9"/>
  <c r="PCM1" i="9"/>
  <c r="PCL1" i="9"/>
  <c r="PCK1" i="9"/>
  <c r="PCJ1" i="9"/>
  <c r="PCI1" i="9"/>
  <c r="PCH1" i="9"/>
  <c r="PCG1" i="9"/>
  <c r="PCF1" i="9"/>
  <c r="PCE1" i="9"/>
  <c r="PCD1" i="9"/>
  <c r="PCC1" i="9"/>
  <c r="PCB1" i="9"/>
  <c r="PCA1" i="9"/>
  <c r="PBZ1" i="9"/>
  <c r="PBY1" i="9"/>
  <c r="PBX1" i="9"/>
  <c r="PBW1" i="9"/>
  <c r="PBV1" i="9"/>
  <c r="PBU1" i="9"/>
  <c r="PBT1" i="9"/>
  <c r="PBS1" i="9"/>
  <c r="PBR1" i="9"/>
  <c r="PBQ1" i="9"/>
  <c r="PBP1" i="9"/>
  <c r="PBO1" i="9"/>
  <c r="PBN1" i="9"/>
  <c r="PBM1" i="9"/>
  <c r="PBL1" i="9"/>
  <c r="PBK1" i="9"/>
  <c r="PBJ1" i="9"/>
  <c r="PBI1" i="9"/>
  <c r="PBH1" i="9"/>
  <c r="PBG1" i="9"/>
  <c r="PBF1" i="9"/>
  <c r="PBE1" i="9"/>
  <c r="PBD1" i="9"/>
  <c r="PBC1" i="9"/>
  <c r="PBB1" i="9"/>
  <c r="PBA1" i="9"/>
  <c r="PAZ1" i="9"/>
  <c r="PAY1" i="9"/>
  <c r="PAX1" i="9"/>
  <c r="PAW1" i="9"/>
  <c r="PAV1" i="9"/>
  <c r="PAU1" i="9"/>
  <c r="PAT1" i="9"/>
  <c r="PAS1" i="9"/>
  <c r="PAR1" i="9"/>
  <c r="PAQ1" i="9"/>
  <c r="PAP1" i="9"/>
  <c r="PAO1" i="9"/>
  <c r="PAN1" i="9"/>
  <c r="PAM1" i="9"/>
  <c r="PAL1" i="9"/>
  <c r="PAK1" i="9"/>
  <c r="PAJ1" i="9"/>
  <c r="PAI1" i="9"/>
  <c r="PAH1" i="9"/>
  <c r="PAG1" i="9"/>
  <c r="PAF1" i="9"/>
  <c r="PAE1" i="9"/>
  <c r="PAD1" i="9"/>
  <c r="PAC1" i="9"/>
  <c r="PAB1" i="9"/>
  <c r="PAA1" i="9"/>
  <c r="OZZ1" i="9"/>
  <c r="OZY1" i="9"/>
  <c r="OZX1" i="9"/>
  <c r="OZW1" i="9"/>
  <c r="OZV1" i="9"/>
  <c r="OZU1" i="9"/>
  <c r="OZT1" i="9"/>
  <c r="OZS1" i="9"/>
  <c r="OZR1" i="9"/>
  <c r="OZQ1" i="9"/>
  <c r="OZP1" i="9"/>
  <c r="OZO1" i="9"/>
  <c r="OZN1" i="9"/>
  <c r="OZM1" i="9"/>
  <c r="OZL1" i="9"/>
  <c r="OZK1" i="9"/>
  <c r="OZJ1" i="9"/>
  <c r="OZI1" i="9"/>
  <c r="OZH1" i="9"/>
  <c r="OZG1" i="9"/>
  <c r="OZF1" i="9"/>
  <c r="OZE1" i="9"/>
  <c r="OZD1" i="9"/>
  <c r="OZC1" i="9"/>
  <c r="OZB1" i="9"/>
  <c r="OZA1" i="9"/>
  <c r="OYZ1" i="9"/>
  <c r="OYY1" i="9"/>
  <c r="OYX1" i="9"/>
  <c r="OYW1" i="9"/>
  <c r="OYV1" i="9"/>
  <c r="OYU1" i="9"/>
  <c r="OYT1" i="9"/>
  <c r="OYS1" i="9"/>
  <c r="OYR1" i="9"/>
  <c r="OYQ1" i="9"/>
  <c r="OYP1" i="9"/>
  <c r="OYO1" i="9"/>
  <c r="OYN1" i="9"/>
  <c r="OYM1" i="9"/>
  <c r="OYL1" i="9"/>
  <c r="OYK1" i="9"/>
  <c r="OYJ1" i="9"/>
  <c r="OYI1" i="9"/>
  <c r="OYH1" i="9"/>
  <c r="OYG1" i="9"/>
  <c r="OYF1" i="9"/>
  <c r="OYE1" i="9"/>
  <c r="OYD1" i="9"/>
  <c r="OYC1" i="9"/>
  <c r="OYB1" i="9"/>
  <c r="OYA1" i="9"/>
  <c r="OXZ1" i="9"/>
  <c r="OXY1" i="9"/>
  <c r="OXX1" i="9"/>
  <c r="OXW1" i="9"/>
  <c r="OXV1" i="9"/>
  <c r="OXU1" i="9"/>
  <c r="OXT1" i="9"/>
  <c r="OXS1" i="9"/>
  <c r="OXR1" i="9"/>
  <c r="OXQ1" i="9"/>
  <c r="OXP1" i="9"/>
  <c r="OXO1" i="9"/>
  <c r="OXN1" i="9"/>
  <c r="OXM1" i="9"/>
  <c r="OXL1" i="9"/>
  <c r="OXK1" i="9"/>
  <c r="OXJ1" i="9"/>
  <c r="OXI1" i="9"/>
  <c r="OXH1" i="9"/>
  <c r="OXG1" i="9"/>
  <c r="OXF1" i="9"/>
  <c r="OXE1" i="9"/>
  <c r="OXD1" i="9"/>
  <c r="OXC1" i="9"/>
  <c r="OXB1" i="9"/>
  <c r="OXA1" i="9"/>
  <c r="OWZ1" i="9"/>
  <c r="OWY1" i="9"/>
  <c r="OWX1" i="9"/>
  <c r="OWW1" i="9"/>
  <c r="OWV1" i="9"/>
  <c r="OWU1" i="9"/>
  <c r="OWT1" i="9"/>
  <c r="OWS1" i="9"/>
  <c r="OWR1" i="9"/>
  <c r="OWQ1" i="9"/>
  <c r="OWP1" i="9"/>
  <c r="OWO1" i="9"/>
  <c r="OWN1" i="9"/>
  <c r="OWM1" i="9"/>
  <c r="OWL1" i="9"/>
  <c r="OWK1" i="9"/>
  <c r="OWJ1" i="9"/>
  <c r="OWI1" i="9"/>
  <c r="OWH1" i="9"/>
  <c r="OWG1" i="9"/>
  <c r="OWF1" i="9"/>
  <c r="OWE1" i="9"/>
  <c r="OWD1" i="9"/>
  <c r="OWC1" i="9"/>
  <c r="OWB1" i="9"/>
  <c r="OWA1" i="9"/>
  <c r="OVZ1" i="9"/>
  <c r="OVY1" i="9"/>
  <c r="OVX1" i="9"/>
  <c r="OVW1" i="9"/>
  <c r="OVV1" i="9"/>
  <c r="OVU1" i="9"/>
  <c r="OVT1" i="9"/>
  <c r="OVS1" i="9"/>
  <c r="OVR1" i="9"/>
  <c r="OVQ1" i="9"/>
  <c r="OVP1" i="9"/>
  <c r="OVO1" i="9"/>
  <c r="OVN1" i="9"/>
  <c r="OVM1" i="9"/>
  <c r="OVL1" i="9"/>
  <c r="OVK1" i="9"/>
  <c r="OVJ1" i="9"/>
  <c r="OVI1" i="9"/>
  <c r="OVH1" i="9"/>
  <c r="OVG1" i="9"/>
  <c r="OVF1" i="9"/>
  <c r="OVE1" i="9"/>
  <c r="OVD1" i="9"/>
  <c r="OVC1" i="9"/>
  <c r="OVB1" i="9"/>
  <c r="OVA1" i="9"/>
  <c r="OUZ1" i="9"/>
  <c r="OUY1" i="9"/>
  <c r="OUX1" i="9"/>
  <c r="OUW1" i="9"/>
  <c r="OUV1" i="9"/>
  <c r="OUU1" i="9"/>
  <c r="OUT1" i="9"/>
  <c r="OUS1" i="9"/>
  <c r="OUR1" i="9"/>
  <c r="OUQ1" i="9"/>
  <c r="OUP1" i="9"/>
  <c r="OUO1" i="9"/>
  <c r="OUN1" i="9"/>
  <c r="OUM1" i="9"/>
  <c r="OUL1" i="9"/>
  <c r="OUK1" i="9"/>
  <c r="OUJ1" i="9"/>
  <c r="OUI1" i="9"/>
  <c r="OUH1" i="9"/>
  <c r="OUG1" i="9"/>
  <c r="OUF1" i="9"/>
  <c r="OUE1" i="9"/>
  <c r="OUD1" i="9"/>
  <c r="OUC1" i="9"/>
  <c r="OUB1" i="9"/>
  <c r="OUA1" i="9"/>
  <c r="OTZ1" i="9"/>
  <c r="OTY1" i="9"/>
  <c r="OTX1" i="9"/>
  <c r="OTW1" i="9"/>
  <c r="OTV1" i="9"/>
  <c r="OTU1" i="9"/>
  <c r="OTT1" i="9"/>
  <c r="OTS1" i="9"/>
  <c r="OTR1" i="9"/>
  <c r="OTQ1" i="9"/>
  <c r="OTP1" i="9"/>
  <c r="OTO1" i="9"/>
  <c r="OTN1" i="9"/>
  <c r="OTM1" i="9"/>
  <c r="OTL1" i="9"/>
  <c r="OTK1" i="9"/>
  <c r="OTJ1" i="9"/>
  <c r="OTI1" i="9"/>
  <c r="OTH1" i="9"/>
  <c r="OTG1" i="9"/>
  <c r="OTF1" i="9"/>
  <c r="OTE1" i="9"/>
  <c r="OTD1" i="9"/>
  <c r="OTC1" i="9"/>
  <c r="OTB1" i="9"/>
  <c r="OTA1" i="9"/>
  <c r="OSZ1" i="9"/>
  <c r="OSY1" i="9"/>
  <c r="OSX1" i="9"/>
  <c r="OSW1" i="9"/>
  <c r="OSV1" i="9"/>
  <c r="OSU1" i="9"/>
  <c r="OST1" i="9"/>
  <c r="OSS1" i="9"/>
  <c r="OSR1" i="9"/>
  <c r="OSQ1" i="9"/>
  <c r="OSP1" i="9"/>
  <c r="OSO1" i="9"/>
  <c r="OSN1" i="9"/>
  <c r="OSM1" i="9"/>
  <c r="OSL1" i="9"/>
  <c r="OSK1" i="9"/>
  <c r="OSJ1" i="9"/>
  <c r="OSI1" i="9"/>
  <c r="OSH1" i="9"/>
  <c r="OSG1" i="9"/>
  <c r="OSF1" i="9"/>
  <c r="OSE1" i="9"/>
  <c r="OSD1" i="9"/>
  <c r="OSC1" i="9"/>
  <c r="OSB1" i="9"/>
  <c r="OSA1" i="9"/>
  <c r="ORZ1" i="9"/>
  <c r="ORY1" i="9"/>
  <c r="ORX1" i="9"/>
  <c r="ORW1" i="9"/>
  <c r="ORV1" i="9"/>
  <c r="ORU1" i="9"/>
  <c r="ORT1" i="9"/>
  <c r="ORS1" i="9"/>
  <c r="ORR1" i="9"/>
  <c r="ORQ1" i="9"/>
  <c r="ORP1" i="9"/>
  <c r="ORO1" i="9"/>
  <c r="ORN1" i="9"/>
  <c r="ORM1" i="9"/>
  <c r="ORL1" i="9"/>
  <c r="ORK1" i="9"/>
  <c r="ORJ1" i="9"/>
  <c r="ORI1" i="9"/>
  <c r="ORH1" i="9"/>
  <c r="ORG1" i="9"/>
  <c r="ORF1" i="9"/>
  <c r="ORE1" i="9"/>
  <c r="ORD1" i="9"/>
  <c r="ORC1" i="9"/>
  <c r="ORB1" i="9"/>
  <c r="ORA1" i="9"/>
  <c r="OQZ1" i="9"/>
  <c r="OQY1" i="9"/>
  <c r="OQX1" i="9"/>
  <c r="OQW1" i="9"/>
  <c r="OQV1" i="9"/>
  <c r="OQU1" i="9"/>
  <c r="OQT1" i="9"/>
  <c r="OQS1" i="9"/>
  <c r="OQR1" i="9"/>
  <c r="OQQ1" i="9"/>
  <c r="OQP1" i="9"/>
  <c r="OQO1" i="9"/>
  <c r="OQN1" i="9"/>
  <c r="OQM1" i="9"/>
  <c r="OQL1" i="9"/>
  <c r="OQK1" i="9"/>
  <c r="OQJ1" i="9"/>
  <c r="OQI1" i="9"/>
  <c r="OQH1" i="9"/>
  <c r="OQG1" i="9"/>
  <c r="OQF1" i="9"/>
  <c r="OQE1" i="9"/>
  <c r="OQD1" i="9"/>
  <c r="OQC1" i="9"/>
  <c r="OQB1" i="9"/>
  <c r="OQA1" i="9"/>
  <c r="OPZ1" i="9"/>
  <c r="OPY1" i="9"/>
  <c r="OPX1" i="9"/>
  <c r="OPW1" i="9"/>
  <c r="OPV1" i="9"/>
  <c r="OPU1" i="9"/>
  <c r="OPT1" i="9"/>
  <c r="OPS1" i="9"/>
  <c r="OPR1" i="9"/>
  <c r="OPQ1" i="9"/>
  <c r="OPP1" i="9"/>
  <c r="OPO1" i="9"/>
  <c r="OPN1" i="9"/>
  <c r="OPM1" i="9"/>
  <c r="OPL1" i="9"/>
  <c r="OPK1" i="9"/>
  <c r="OPJ1" i="9"/>
  <c r="OPI1" i="9"/>
  <c r="OPH1" i="9"/>
  <c r="OPG1" i="9"/>
  <c r="OPF1" i="9"/>
  <c r="OPE1" i="9"/>
  <c r="OPD1" i="9"/>
  <c r="OPC1" i="9"/>
  <c r="OPB1" i="9"/>
  <c r="OPA1" i="9"/>
  <c r="OOZ1" i="9"/>
  <c r="OOY1" i="9"/>
  <c r="OOX1" i="9"/>
  <c r="OOW1" i="9"/>
  <c r="OOV1" i="9"/>
  <c r="OOU1" i="9"/>
  <c r="OOT1" i="9"/>
  <c r="OOS1" i="9"/>
  <c r="OOR1" i="9"/>
  <c r="OOQ1" i="9"/>
  <c r="OOP1" i="9"/>
  <c r="OOO1" i="9"/>
  <c r="OON1" i="9"/>
  <c r="OOM1" i="9"/>
  <c r="OOL1" i="9"/>
  <c r="OOK1" i="9"/>
  <c r="OOJ1" i="9"/>
  <c r="OOI1" i="9"/>
  <c r="OOH1" i="9"/>
  <c r="OOG1" i="9"/>
  <c r="OOF1" i="9"/>
  <c r="OOE1" i="9"/>
  <c r="OOD1" i="9"/>
  <c r="OOC1" i="9"/>
  <c r="OOB1" i="9"/>
  <c r="OOA1" i="9"/>
  <c r="ONZ1" i="9"/>
  <c r="ONY1" i="9"/>
  <c r="ONX1" i="9"/>
  <c r="ONW1" i="9"/>
  <c r="ONV1" i="9"/>
  <c r="ONU1" i="9"/>
  <c r="ONT1" i="9"/>
  <c r="ONS1" i="9"/>
  <c r="ONR1" i="9"/>
  <c r="ONQ1" i="9"/>
  <c r="ONP1" i="9"/>
  <c r="ONO1" i="9"/>
  <c r="ONN1" i="9"/>
  <c r="ONM1" i="9"/>
  <c r="ONL1" i="9"/>
  <c r="ONK1" i="9"/>
  <c r="ONJ1" i="9"/>
  <c r="ONI1" i="9"/>
  <c r="ONH1" i="9"/>
  <c r="ONG1" i="9"/>
  <c r="ONF1" i="9"/>
  <c r="ONE1" i="9"/>
  <c r="OND1" i="9"/>
  <c r="ONC1" i="9"/>
  <c r="ONB1" i="9"/>
  <c r="ONA1" i="9"/>
  <c r="OMZ1" i="9"/>
  <c r="OMY1" i="9"/>
  <c r="OMX1" i="9"/>
  <c r="OMW1" i="9"/>
  <c r="OMV1" i="9"/>
  <c r="OMU1" i="9"/>
  <c r="OMT1" i="9"/>
  <c r="OMS1" i="9"/>
  <c r="OMR1" i="9"/>
  <c r="OMQ1" i="9"/>
  <c r="OMP1" i="9"/>
  <c r="OMO1" i="9"/>
  <c r="OMN1" i="9"/>
  <c r="OMM1" i="9"/>
  <c r="OML1" i="9"/>
  <c r="OMK1" i="9"/>
  <c r="OMJ1" i="9"/>
  <c r="OMI1" i="9"/>
  <c r="OMH1" i="9"/>
  <c r="OMG1" i="9"/>
  <c r="OMF1" i="9"/>
  <c r="OME1" i="9"/>
  <c r="OMD1" i="9"/>
  <c r="OMC1" i="9"/>
  <c r="OMB1" i="9"/>
  <c r="OMA1" i="9"/>
  <c r="OLZ1" i="9"/>
  <c r="OLY1" i="9"/>
  <c r="OLX1" i="9"/>
  <c r="OLW1" i="9"/>
  <c r="OLV1" i="9"/>
  <c r="OLU1" i="9"/>
  <c r="OLT1" i="9"/>
  <c r="OLS1" i="9"/>
  <c r="OLR1" i="9"/>
  <c r="OLQ1" i="9"/>
  <c r="OLP1" i="9"/>
  <c r="OLO1" i="9"/>
  <c r="OLN1" i="9"/>
  <c r="OLM1" i="9"/>
  <c r="OLL1" i="9"/>
  <c r="OLK1" i="9"/>
  <c r="OLJ1" i="9"/>
  <c r="OLI1" i="9"/>
  <c r="OLH1" i="9"/>
  <c r="OLG1" i="9"/>
  <c r="OLF1" i="9"/>
  <c r="OLE1" i="9"/>
  <c r="OLD1" i="9"/>
  <c r="OLC1" i="9"/>
  <c r="OLB1" i="9"/>
  <c r="OLA1" i="9"/>
  <c r="OKZ1" i="9"/>
  <c r="OKY1" i="9"/>
  <c r="OKX1" i="9"/>
  <c r="OKW1" i="9"/>
  <c r="OKV1" i="9"/>
  <c r="OKU1" i="9"/>
  <c r="OKT1" i="9"/>
  <c r="OKS1" i="9"/>
  <c r="OKR1" i="9"/>
  <c r="OKQ1" i="9"/>
  <c r="OKP1" i="9"/>
  <c r="OKO1" i="9"/>
  <c r="OKN1" i="9"/>
  <c r="OKM1" i="9"/>
  <c r="OKL1" i="9"/>
  <c r="OKK1" i="9"/>
  <c r="OKJ1" i="9"/>
  <c r="OKI1" i="9"/>
  <c r="OKH1" i="9"/>
  <c r="OKG1" i="9"/>
  <c r="OKF1" i="9"/>
  <c r="OKE1" i="9"/>
  <c r="OKD1" i="9"/>
  <c r="OKC1" i="9"/>
  <c r="OKB1" i="9"/>
  <c r="OKA1" i="9"/>
  <c r="OJZ1" i="9"/>
  <c r="OJY1" i="9"/>
  <c r="OJX1" i="9"/>
  <c r="OJW1" i="9"/>
  <c r="OJV1" i="9"/>
  <c r="OJU1" i="9"/>
  <c r="OJT1" i="9"/>
  <c r="OJS1" i="9"/>
  <c r="OJR1" i="9"/>
  <c r="OJQ1" i="9"/>
  <c r="OJP1" i="9"/>
  <c r="OJO1" i="9"/>
  <c r="OJN1" i="9"/>
  <c r="OJM1" i="9"/>
  <c r="OJL1" i="9"/>
  <c r="OJK1" i="9"/>
  <c r="OJJ1" i="9"/>
  <c r="OJI1" i="9"/>
  <c r="OJH1" i="9"/>
  <c r="OJG1" i="9"/>
  <c r="OJF1" i="9"/>
  <c r="OJE1" i="9"/>
  <c r="OJD1" i="9"/>
  <c r="OJC1" i="9"/>
  <c r="OJB1" i="9"/>
  <c r="OJA1" i="9"/>
  <c r="OIZ1" i="9"/>
  <c r="OIY1" i="9"/>
  <c r="OIX1" i="9"/>
  <c r="OIW1" i="9"/>
  <c r="OIV1" i="9"/>
  <c r="OIU1" i="9"/>
  <c r="OIT1" i="9"/>
  <c r="OIS1" i="9"/>
  <c r="OIR1" i="9"/>
  <c r="OIQ1" i="9"/>
  <c r="OIP1" i="9"/>
  <c r="OIO1" i="9"/>
  <c r="OIN1" i="9"/>
  <c r="OIM1" i="9"/>
  <c r="OIL1" i="9"/>
  <c r="OIK1" i="9"/>
  <c r="OIJ1" i="9"/>
  <c r="OII1" i="9"/>
  <c r="OIH1" i="9"/>
  <c r="OIG1" i="9"/>
  <c r="OIF1" i="9"/>
  <c r="OIE1" i="9"/>
  <c r="OID1" i="9"/>
  <c r="OIC1" i="9"/>
  <c r="OIB1" i="9"/>
  <c r="OIA1" i="9"/>
  <c r="OHZ1" i="9"/>
  <c r="OHY1" i="9"/>
  <c r="OHX1" i="9"/>
  <c r="OHW1" i="9"/>
  <c r="OHV1" i="9"/>
  <c r="OHU1" i="9"/>
  <c r="OHT1" i="9"/>
  <c r="OHS1" i="9"/>
  <c r="OHR1" i="9"/>
  <c r="OHQ1" i="9"/>
  <c r="OHP1" i="9"/>
  <c r="OHO1" i="9"/>
  <c r="OHN1" i="9"/>
  <c r="OHM1" i="9"/>
  <c r="OHL1" i="9"/>
  <c r="OHK1" i="9"/>
  <c r="OHJ1" i="9"/>
  <c r="OHI1" i="9"/>
  <c r="OHH1" i="9"/>
  <c r="OHG1" i="9"/>
  <c r="OHF1" i="9"/>
  <c r="OHE1" i="9"/>
  <c r="OHD1" i="9"/>
  <c r="OHC1" i="9"/>
  <c r="OHB1" i="9"/>
  <c r="OHA1" i="9"/>
  <c r="OGZ1" i="9"/>
  <c r="OGY1" i="9"/>
  <c r="OGX1" i="9"/>
  <c r="OGW1" i="9"/>
  <c r="OGV1" i="9"/>
  <c r="OGU1" i="9"/>
  <c r="OGT1" i="9"/>
  <c r="OGS1" i="9"/>
  <c r="OGR1" i="9"/>
  <c r="OGQ1" i="9"/>
  <c r="OGP1" i="9"/>
  <c r="OGO1" i="9"/>
  <c r="OGN1" i="9"/>
  <c r="OGM1" i="9"/>
  <c r="OGL1" i="9"/>
  <c r="OGK1" i="9"/>
  <c r="OGJ1" i="9"/>
  <c r="OGI1" i="9"/>
  <c r="OGH1" i="9"/>
  <c r="OGG1" i="9"/>
  <c r="OGF1" i="9"/>
  <c r="OGE1" i="9"/>
  <c r="OGD1" i="9"/>
  <c r="OGC1" i="9"/>
  <c r="OGB1" i="9"/>
  <c r="OGA1" i="9"/>
  <c r="OFZ1" i="9"/>
  <c r="OFY1" i="9"/>
  <c r="OFX1" i="9"/>
  <c r="OFW1" i="9"/>
  <c r="OFV1" i="9"/>
  <c r="OFU1" i="9"/>
  <c r="OFT1" i="9"/>
  <c r="OFS1" i="9"/>
  <c r="OFR1" i="9"/>
  <c r="OFQ1" i="9"/>
  <c r="OFP1" i="9"/>
  <c r="OFO1" i="9"/>
  <c r="OFN1" i="9"/>
  <c r="OFM1" i="9"/>
  <c r="OFL1" i="9"/>
  <c r="OFK1" i="9"/>
  <c r="OFJ1" i="9"/>
  <c r="OFI1" i="9"/>
  <c r="OFH1" i="9"/>
  <c r="OFG1" i="9"/>
  <c r="OFF1" i="9"/>
  <c r="OFE1" i="9"/>
  <c r="OFD1" i="9"/>
  <c r="OFC1" i="9"/>
  <c r="OFB1" i="9"/>
  <c r="OFA1" i="9"/>
  <c r="OEZ1" i="9"/>
  <c r="OEY1" i="9"/>
  <c r="OEX1" i="9"/>
  <c r="OEW1" i="9"/>
  <c r="OEV1" i="9"/>
  <c r="OEU1" i="9"/>
  <c r="OET1" i="9"/>
  <c r="OES1" i="9"/>
  <c r="OER1" i="9"/>
  <c r="OEQ1" i="9"/>
  <c r="OEP1" i="9"/>
  <c r="OEO1" i="9"/>
  <c r="OEN1" i="9"/>
  <c r="OEM1" i="9"/>
  <c r="OEL1" i="9"/>
  <c r="OEK1" i="9"/>
  <c r="OEJ1" i="9"/>
  <c r="OEI1" i="9"/>
  <c r="OEH1" i="9"/>
  <c r="OEG1" i="9"/>
  <c r="OEF1" i="9"/>
  <c r="OEE1" i="9"/>
  <c r="OED1" i="9"/>
  <c r="OEC1" i="9"/>
  <c r="OEB1" i="9"/>
  <c r="OEA1" i="9"/>
  <c r="ODZ1" i="9"/>
  <c r="ODY1" i="9"/>
  <c r="ODX1" i="9"/>
  <c r="ODW1" i="9"/>
  <c r="ODV1" i="9"/>
  <c r="ODU1" i="9"/>
  <c r="ODT1" i="9"/>
  <c r="ODS1" i="9"/>
  <c r="ODR1" i="9"/>
  <c r="ODQ1" i="9"/>
  <c r="ODP1" i="9"/>
  <c r="ODO1" i="9"/>
  <c r="ODN1" i="9"/>
  <c r="ODM1" i="9"/>
  <c r="ODL1" i="9"/>
  <c r="ODK1" i="9"/>
  <c r="ODJ1" i="9"/>
  <c r="ODI1" i="9"/>
  <c r="ODH1" i="9"/>
  <c r="ODG1" i="9"/>
  <c r="ODF1" i="9"/>
  <c r="ODE1" i="9"/>
  <c r="ODD1" i="9"/>
  <c r="ODC1" i="9"/>
  <c r="ODB1" i="9"/>
  <c r="ODA1" i="9"/>
  <c r="OCZ1" i="9"/>
  <c r="OCY1" i="9"/>
  <c r="OCX1" i="9"/>
  <c r="OCW1" i="9"/>
  <c r="OCV1" i="9"/>
  <c r="OCU1" i="9"/>
  <c r="OCT1" i="9"/>
  <c r="OCS1" i="9"/>
  <c r="OCR1" i="9"/>
  <c r="OCQ1" i="9"/>
  <c r="OCP1" i="9"/>
  <c r="OCO1" i="9"/>
  <c r="OCN1" i="9"/>
  <c r="OCM1" i="9"/>
  <c r="OCL1" i="9"/>
  <c r="OCK1" i="9"/>
  <c r="OCJ1" i="9"/>
  <c r="OCI1" i="9"/>
  <c r="OCH1" i="9"/>
  <c r="OCG1" i="9"/>
  <c r="OCF1" i="9"/>
  <c r="OCE1" i="9"/>
  <c r="OCD1" i="9"/>
  <c r="OCC1" i="9"/>
  <c r="OCB1" i="9"/>
  <c r="OCA1" i="9"/>
  <c r="OBZ1" i="9"/>
  <c r="OBY1" i="9"/>
  <c r="OBX1" i="9"/>
  <c r="OBW1" i="9"/>
  <c r="OBV1" i="9"/>
  <c r="OBU1" i="9"/>
  <c r="OBT1" i="9"/>
  <c r="OBS1" i="9"/>
  <c r="OBR1" i="9"/>
  <c r="OBQ1" i="9"/>
  <c r="OBP1" i="9"/>
  <c r="OBO1" i="9"/>
  <c r="OBN1" i="9"/>
  <c r="OBM1" i="9"/>
  <c r="OBL1" i="9"/>
  <c r="OBK1" i="9"/>
  <c r="OBJ1" i="9"/>
  <c r="OBI1" i="9"/>
  <c r="OBH1" i="9"/>
  <c r="OBG1" i="9"/>
  <c r="OBF1" i="9"/>
  <c r="OBE1" i="9"/>
  <c r="OBD1" i="9"/>
  <c r="OBC1" i="9"/>
  <c r="OBB1" i="9"/>
  <c r="OBA1" i="9"/>
  <c r="OAZ1" i="9"/>
  <c r="OAY1" i="9"/>
  <c r="OAX1" i="9"/>
  <c r="OAW1" i="9"/>
  <c r="OAV1" i="9"/>
  <c r="OAU1" i="9"/>
  <c r="OAT1" i="9"/>
  <c r="OAS1" i="9"/>
  <c r="OAR1" i="9"/>
  <c r="OAQ1" i="9"/>
  <c r="OAP1" i="9"/>
  <c r="OAO1" i="9"/>
  <c r="OAN1" i="9"/>
  <c r="OAM1" i="9"/>
  <c r="OAL1" i="9"/>
  <c r="OAK1" i="9"/>
  <c r="OAJ1" i="9"/>
  <c r="OAI1" i="9"/>
  <c r="OAH1" i="9"/>
  <c r="OAG1" i="9"/>
  <c r="OAF1" i="9"/>
  <c r="OAE1" i="9"/>
  <c r="OAD1" i="9"/>
  <c r="OAC1" i="9"/>
  <c r="OAB1" i="9"/>
  <c r="OAA1" i="9"/>
  <c r="NZZ1" i="9"/>
  <c r="NZY1" i="9"/>
  <c r="NZX1" i="9"/>
  <c r="NZW1" i="9"/>
  <c r="NZV1" i="9"/>
  <c r="NZU1" i="9"/>
  <c r="NZT1" i="9"/>
  <c r="NZS1" i="9"/>
  <c r="NZR1" i="9"/>
  <c r="NZQ1" i="9"/>
  <c r="NZP1" i="9"/>
  <c r="NZO1" i="9"/>
  <c r="NZN1" i="9"/>
  <c r="NZM1" i="9"/>
  <c r="NZL1" i="9"/>
  <c r="NZK1" i="9"/>
  <c r="NZJ1" i="9"/>
  <c r="NZI1" i="9"/>
  <c r="NZH1" i="9"/>
  <c r="NZG1" i="9"/>
  <c r="NZF1" i="9"/>
  <c r="NZE1" i="9"/>
  <c r="NZD1" i="9"/>
  <c r="NZC1" i="9"/>
  <c r="NZB1" i="9"/>
  <c r="NZA1" i="9"/>
  <c r="NYZ1" i="9"/>
  <c r="NYY1" i="9"/>
  <c r="NYX1" i="9"/>
  <c r="NYW1" i="9"/>
  <c r="NYV1" i="9"/>
  <c r="NYU1" i="9"/>
  <c r="NYT1" i="9"/>
  <c r="NYS1" i="9"/>
  <c r="NYR1" i="9"/>
  <c r="NYQ1" i="9"/>
  <c r="NYP1" i="9"/>
  <c r="NYO1" i="9"/>
  <c r="NYN1" i="9"/>
  <c r="NYM1" i="9"/>
  <c r="NYL1" i="9"/>
  <c r="NYK1" i="9"/>
  <c r="NYJ1" i="9"/>
  <c r="NYI1" i="9"/>
  <c r="NYH1" i="9"/>
  <c r="NYG1" i="9"/>
  <c r="NYF1" i="9"/>
  <c r="NYE1" i="9"/>
  <c r="NYD1" i="9"/>
  <c r="NYC1" i="9"/>
  <c r="NYB1" i="9"/>
  <c r="NYA1" i="9"/>
  <c r="NXZ1" i="9"/>
  <c r="NXY1" i="9"/>
  <c r="NXX1" i="9"/>
  <c r="NXW1" i="9"/>
  <c r="NXV1" i="9"/>
  <c r="NXU1" i="9"/>
  <c r="NXT1" i="9"/>
  <c r="NXS1" i="9"/>
  <c r="NXR1" i="9"/>
  <c r="NXQ1" i="9"/>
  <c r="NXP1" i="9"/>
  <c r="NXO1" i="9"/>
  <c r="NXN1" i="9"/>
  <c r="NXM1" i="9"/>
  <c r="NXL1" i="9"/>
  <c r="NXK1" i="9"/>
  <c r="NXJ1" i="9"/>
  <c r="NXI1" i="9"/>
  <c r="NXH1" i="9"/>
  <c r="NXG1" i="9"/>
  <c r="NXF1" i="9"/>
  <c r="NXE1" i="9"/>
  <c r="NXD1" i="9"/>
  <c r="NXC1" i="9"/>
  <c r="NXB1" i="9"/>
  <c r="NXA1" i="9"/>
  <c r="NWZ1" i="9"/>
  <c r="NWY1" i="9"/>
  <c r="NWX1" i="9"/>
  <c r="NWW1" i="9"/>
  <c r="NWV1" i="9"/>
  <c r="NWU1" i="9"/>
  <c r="NWT1" i="9"/>
  <c r="NWS1" i="9"/>
  <c r="NWR1" i="9"/>
  <c r="NWQ1" i="9"/>
  <c r="NWP1" i="9"/>
  <c r="NWO1" i="9"/>
  <c r="NWN1" i="9"/>
  <c r="NWM1" i="9"/>
  <c r="NWL1" i="9"/>
  <c r="NWK1" i="9"/>
  <c r="NWJ1" i="9"/>
  <c r="NWI1" i="9"/>
  <c r="NWH1" i="9"/>
  <c r="NWG1" i="9"/>
  <c r="NWF1" i="9"/>
  <c r="NWE1" i="9"/>
  <c r="NWD1" i="9"/>
  <c r="NWC1" i="9"/>
  <c r="NWB1" i="9"/>
  <c r="NWA1" i="9"/>
  <c r="NVZ1" i="9"/>
  <c r="NVY1" i="9"/>
  <c r="NVX1" i="9"/>
  <c r="NVW1" i="9"/>
  <c r="NVV1" i="9"/>
  <c r="NVU1" i="9"/>
  <c r="NVT1" i="9"/>
  <c r="NVS1" i="9"/>
  <c r="NVR1" i="9"/>
  <c r="NVQ1" i="9"/>
  <c r="NVP1" i="9"/>
  <c r="NVO1" i="9"/>
  <c r="NVN1" i="9"/>
  <c r="NVM1" i="9"/>
  <c r="NVL1" i="9"/>
  <c r="NVK1" i="9"/>
  <c r="NVJ1" i="9"/>
  <c r="NVI1" i="9"/>
  <c r="NVH1" i="9"/>
  <c r="NVG1" i="9"/>
  <c r="NVF1" i="9"/>
  <c r="NVE1" i="9"/>
  <c r="NVD1" i="9"/>
  <c r="NVC1" i="9"/>
  <c r="NVB1" i="9"/>
  <c r="NVA1" i="9"/>
  <c r="NUZ1" i="9"/>
  <c r="NUY1" i="9"/>
  <c r="NUX1" i="9"/>
  <c r="NUW1" i="9"/>
  <c r="NUV1" i="9"/>
  <c r="NUU1" i="9"/>
  <c r="NUT1" i="9"/>
  <c r="NUS1" i="9"/>
  <c r="NUR1" i="9"/>
  <c r="NUQ1" i="9"/>
  <c r="NUP1" i="9"/>
  <c r="NUO1" i="9"/>
  <c r="NUN1" i="9"/>
  <c r="NUM1" i="9"/>
  <c r="NUL1" i="9"/>
  <c r="NUK1" i="9"/>
  <c r="NUJ1" i="9"/>
  <c r="NUI1" i="9"/>
  <c r="NUH1" i="9"/>
  <c r="NUG1" i="9"/>
  <c r="NUF1" i="9"/>
  <c r="NUE1" i="9"/>
  <c r="NUD1" i="9"/>
  <c r="NUC1" i="9"/>
  <c r="NUB1" i="9"/>
  <c r="NUA1" i="9"/>
  <c r="NTZ1" i="9"/>
  <c r="NTY1" i="9"/>
  <c r="NTX1" i="9"/>
  <c r="NTW1" i="9"/>
  <c r="NTV1" i="9"/>
  <c r="NTU1" i="9"/>
  <c r="NTT1" i="9"/>
  <c r="NTS1" i="9"/>
  <c r="NTR1" i="9"/>
  <c r="NTQ1" i="9"/>
  <c r="NTP1" i="9"/>
  <c r="NTO1" i="9"/>
  <c r="NTN1" i="9"/>
  <c r="NTM1" i="9"/>
  <c r="NTL1" i="9"/>
  <c r="NTK1" i="9"/>
  <c r="NTJ1" i="9"/>
  <c r="NTI1" i="9"/>
  <c r="NTH1" i="9"/>
  <c r="NTG1" i="9"/>
  <c r="NTF1" i="9"/>
  <c r="NTE1" i="9"/>
  <c r="NTD1" i="9"/>
  <c r="NTC1" i="9"/>
  <c r="NTB1" i="9"/>
  <c r="NTA1" i="9"/>
  <c r="NSZ1" i="9"/>
  <c r="NSY1" i="9"/>
  <c r="NSX1" i="9"/>
  <c r="NSW1" i="9"/>
  <c r="NSV1" i="9"/>
  <c r="NSU1" i="9"/>
  <c r="NST1" i="9"/>
  <c r="NSS1" i="9"/>
  <c r="NSR1" i="9"/>
  <c r="NSQ1" i="9"/>
  <c r="NSP1" i="9"/>
  <c r="NSO1" i="9"/>
  <c r="NSN1" i="9"/>
  <c r="NSM1" i="9"/>
  <c r="NSL1" i="9"/>
  <c r="NSK1" i="9"/>
  <c r="NSJ1" i="9"/>
  <c r="NSI1" i="9"/>
  <c r="NSH1" i="9"/>
  <c r="NSG1" i="9"/>
  <c r="NSF1" i="9"/>
  <c r="NSE1" i="9"/>
  <c r="NSD1" i="9"/>
  <c r="NSC1" i="9"/>
  <c r="NSB1" i="9"/>
  <c r="NSA1" i="9"/>
  <c r="NRZ1" i="9"/>
  <c r="NRY1" i="9"/>
  <c r="NRX1" i="9"/>
  <c r="NRW1" i="9"/>
  <c r="NRV1" i="9"/>
  <c r="NRU1" i="9"/>
  <c r="NRT1" i="9"/>
  <c r="NRS1" i="9"/>
  <c r="NRR1" i="9"/>
  <c r="NRQ1" i="9"/>
  <c r="NRP1" i="9"/>
  <c r="NRO1" i="9"/>
  <c r="NRN1" i="9"/>
  <c r="NRM1" i="9"/>
  <c r="NRL1" i="9"/>
  <c r="NRK1" i="9"/>
  <c r="NRJ1" i="9"/>
  <c r="NRI1" i="9"/>
  <c r="NRH1" i="9"/>
  <c r="NRG1" i="9"/>
  <c r="NRF1" i="9"/>
  <c r="NRE1" i="9"/>
  <c r="NRD1" i="9"/>
  <c r="NRC1" i="9"/>
  <c r="NRB1" i="9"/>
  <c r="NRA1" i="9"/>
  <c r="NQZ1" i="9"/>
  <c r="NQY1" i="9"/>
  <c r="NQX1" i="9"/>
  <c r="NQW1" i="9"/>
  <c r="NQV1" i="9"/>
  <c r="NQU1" i="9"/>
  <c r="NQT1" i="9"/>
  <c r="NQS1" i="9"/>
  <c r="NQR1" i="9"/>
  <c r="NQQ1" i="9"/>
  <c r="NQP1" i="9"/>
  <c r="NQO1" i="9"/>
  <c r="NQN1" i="9"/>
  <c r="NQM1" i="9"/>
  <c r="NQL1" i="9"/>
  <c r="NQK1" i="9"/>
  <c r="NQJ1" i="9"/>
  <c r="NQI1" i="9"/>
  <c r="NQH1" i="9"/>
  <c r="NQG1" i="9"/>
  <c r="NQF1" i="9"/>
  <c r="NQE1" i="9"/>
  <c r="NQD1" i="9"/>
  <c r="NQC1" i="9"/>
  <c r="NQB1" i="9"/>
  <c r="NQA1" i="9"/>
  <c r="NPZ1" i="9"/>
  <c r="NPY1" i="9"/>
  <c r="NPX1" i="9"/>
  <c r="NPW1" i="9"/>
  <c r="NPV1" i="9"/>
  <c r="NPU1" i="9"/>
  <c r="NPT1" i="9"/>
  <c r="NPS1" i="9"/>
  <c r="NPR1" i="9"/>
  <c r="NPQ1" i="9"/>
  <c r="NPP1" i="9"/>
  <c r="NPO1" i="9"/>
  <c r="NPN1" i="9"/>
  <c r="NPM1" i="9"/>
  <c r="NPL1" i="9"/>
  <c r="NPK1" i="9"/>
  <c r="NPJ1" i="9"/>
  <c r="NPI1" i="9"/>
  <c r="NPH1" i="9"/>
  <c r="NPG1" i="9"/>
  <c r="NPF1" i="9"/>
  <c r="NPE1" i="9"/>
  <c r="NPD1" i="9"/>
  <c r="NPC1" i="9"/>
  <c r="NPB1" i="9"/>
  <c r="NPA1" i="9"/>
  <c r="NOZ1" i="9"/>
  <c r="NOY1" i="9"/>
  <c r="NOX1" i="9"/>
  <c r="NOW1" i="9"/>
  <c r="NOV1" i="9"/>
  <c r="NOU1" i="9"/>
  <c r="NOT1" i="9"/>
  <c r="NOS1" i="9"/>
  <c r="NOR1" i="9"/>
  <c r="NOQ1" i="9"/>
  <c r="NOP1" i="9"/>
  <c r="NOO1" i="9"/>
  <c r="NON1" i="9"/>
  <c r="NOM1" i="9"/>
  <c r="NOL1" i="9"/>
  <c r="NOK1" i="9"/>
  <c r="NOJ1" i="9"/>
  <c r="NOI1" i="9"/>
  <c r="NOH1" i="9"/>
  <c r="NOG1" i="9"/>
  <c r="NOF1" i="9"/>
  <c r="NOE1" i="9"/>
  <c r="NOD1" i="9"/>
  <c r="NOC1" i="9"/>
  <c r="NOB1" i="9"/>
  <c r="NOA1" i="9"/>
  <c r="NNZ1" i="9"/>
  <c r="NNY1" i="9"/>
  <c r="NNX1" i="9"/>
  <c r="NNW1" i="9"/>
  <c r="NNV1" i="9"/>
  <c r="NNU1" i="9"/>
  <c r="NNT1" i="9"/>
  <c r="NNS1" i="9"/>
  <c r="NNR1" i="9"/>
  <c r="NNQ1" i="9"/>
  <c r="NNP1" i="9"/>
  <c r="NNO1" i="9"/>
  <c r="NNN1" i="9"/>
  <c r="NNM1" i="9"/>
  <c r="NNL1" i="9"/>
  <c r="NNK1" i="9"/>
  <c r="NNJ1" i="9"/>
  <c r="NNI1" i="9"/>
  <c r="NNH1" i="9"/>
  <c r="NNG1" i="9"/>
  <c r="NNF1" i="9"/>
  <c r="NNE1" i="9"/>
  <c r="NND1" i="9"/>
  <c r="NNC1" i="9"/>
  <c r="NNB1" i="9"/>
  <c r="NNA1" i="9"/>
  <c r="NMZ1" i="9"/>
  <c r="NMY1" i="9"/>
  <c r="NMX1" i="9"/>
  <c r="NMW1" i="9"/>
  <c r="NMV1" i="9"/>
  <c r="NMU1" i="9"/>
  <c r="NMT1" i="9"/>
  <c r="NMS1" i="9"/>
  <c r="NMR1" i="9"/>
  <c r="NMQ1" i="9"/>
  <c r="NMP1" i="9"/>
  <c r="NMO1" i="9"/>
  <c r="NMN1" i="9"/>
  <c r="NMM1" i="9"/>
  <c r="NML1" i="9"/>
  <c r="NMK1" i="9"/>
  <c r="NMJ1" i="9"/>
  <c r="NMI1" i="9"/>
  <c r="NMH1" i="9"/>
  <c r="NMG1" i="9"/>
  <c r="NMF1" i="9"/>
  <c r="NME1" i="9"/>
  <c r="NMD1" i="9"/>
  <c r="NMC1" i="9"/>
  <c r="NMB1" i="9"/>
  <c r="NMA1" i="9"/>
  <c r="NLZ1" i="9"/>
  <c r="NLY1" i="9"/>
  <c r="NLX1" i="9"/>
  <c r="NLW1" i="9"/>
  <c r="NLV1" i="9"/>
  <c r="NLU1" i="9"/>
  <c r="NLT1" i="9"/>
  <c r="NLS1" i="9"/>
  <c r="NLR1" i="9"/>
  <c r="NLQ1" i="9"/>
  <c r="NLP1" i="9"/>
  <c r="NLO1" i="9"/>
  <c r="NLN1" i="9"/>
  <c r="NLM1" i="9"/>
  <c r="NLL1" i="9"/>
  <c r="NLK1" i="9"/>
  <c r="NLJ1" i="9"/>
  <c r="NLI1" i="9"/>
  <c r="NLH1" i="9"/>
  <c r="NLG1" i="9"/>
  <c r="NLF1" i="9"/>
  <c r="NLE1" i="9"/>
  <c r="NLD1" i="9"/>
  <c r="NLC1" i="9"/>
  <c r="NLB1" i="9"/>
  <c r="NLA1" i="9"/>
  <c r="NKZ1" i="9"/>
  <c r="NKY1" i="9"/>
  <c r="NKX1" i="9"/>
  <c r="NKW1" i="9"/>
  <c r="NKV1" i="9"/>
  <c r="NKU1" i="9"/>
  <c r="NKT1" i="9"/>
  <c r="NKS1" i="9"/>
  <c r="NKR1" i="9"/>
  <c r="NKQ1" i="9"/>
  <c r="NKP1" i="9"/>
  <c r="NKO1" i="9"/>
  <c r="NKN1" i="9"/>
  <c r="NKM1" i="9"/>
  <c r="NKL1" i="9"/>
  <c r="NKK1" i="9"/>
  <c r="NKJ1" i="9"/>
  <c r="NKI1" i="9"/>
  <c r="NKH1" i="9"/>
  <c r="NKG1" i="9"/>
  <c r="NKF1" i="9"/>
  <c r="NKE1" i="9"/>
  <c r="NKD1" i="9"/>
  <c r="NKC1" i="9"/>
  <c r="NKB1" i="9"/>
  <c r="NKA1" i="9"/>
  <c r="NJZ1" i="9"/>
  <c r="NJY1" i="9"/>
  <c r="NJX1" i="9"/>
  <c r="NJW1" i="9"/>
  <c r="NJV1" i="9"/>
  <c r="NJU1" i="9"/>
  <c r="NJT1" i="9"/>
  <c r="NJS1" i="9"/>
  <c r="NJR1" i="9"/>
  <c r="NJQ1" i="9"/>
  <c r="NJP1" i="9"/>
  <c r="NJO1" i="9"/>
  <c r="NJN1" i="9"/>
  <c r="NJM1" i="9"/>
  <c r="NJL1" i="9"/>
  <c r="NJK1" i="9"/>
  <c r="NJJ1" i="9"/>
  <c r="NJI1" i="9"/>
  <c r="NJH1" i="9"/>
  <c r="NJG1" i="9"/>
  <c r="NJF1" i="9"/>
  <c r="NJE1" i="9"/>
  <c r="NJD1" i="9"/>
  <c r="NJC1" i="9"/>
  <c r="NJB1" i="9"/>
  <c r="NJA1" i="9"/>
  <c r="NIZ1" i="9"/>
  <c r="NIY1" i="9"/>
  <c r="NIX1" i="9"/>
  <c r="NIW1" i="9"/>
  <c r="NIV1" i="9"/>
  <c r="NIU1" i="9"/>
  <c r="NIT1" i="9"/>
  <c r="NIS1" i="9"/>
  <c r="NIR1" i="9"/>
  <c r="NIQ1" i="9"/>
  <c r="NIP1" i="9"/>
  <c r="NIO1" i="9"/>
  <c r="NIN1" i="9"/>
  <c r="NIM1" i="9"/>
  <c r="NIL1" i="9"/>
  <c r="NIK1" i="9"/>
  <c r="NIJ1" i="9"/>
  <c r="NII1" i="9"/>
  <c r="NIH1" i="9"/>
  <c r="NIG1" i="9"/>
  <c r="NIF1" i="9"/>
  <c r="NIE1" i="9"/>
  <c r="NID1" i="9"/>
  <c r="NIC1" i="9"/>
  <c r="NIB1" i="9"/>
  <c r="NIA1" i="9"/>
  <c r="NHZ1" i="9"/>
  <c r="NHY1" i="9"/>
  <c r="NHX1" i="9"/>
  <c r="NHW1" i="9"/>
  <c r="NHV1" i="9"/>
  <c r="NHU1" i="9"/>
  <c r="NHT1" i="9"/>
  <c r="NHS1" i="9"/>
  <c r="NHR1" i="9"/>
  <c r="NHQ1" i="9"/>
  <c r="NHP1" i="9"/>
  <c r="NHO1" i="9"/>
  <c r="NHN1" i="9"/>
  <c r="NHM1" i="9"/>
  <c r="NHL1" i="9"/>
  <c r="NHK1" i="9"/>
  <c r="NHJ1" i="9"/>
  <c r="NHI1" i="9"/>
  <c r="NHH1" i="9"/>
  <c r="NHG1" i="9"/>
  <c r="NHF1" i="9"/>
  <c r="NHE1" i="9"/>
  <c r="NHD1" i="9"/>
  <c r="NHC1" i="9"/>
  <c r="NHB1" i="9"/>
  <c r="NHA1" i="9"/>
  <c r="NGZ1" i="9"/>
  <c r="NGY1" i="9"/>
  <c r="NGX1" i="9"/>
  <c r="NGW1" i="9"/>
  <c r="NGV1" i="9"/>
  <c r="NGU1" i="9"/>
  <c r="NGT1" i="9"/>
  <c r="NGS1" i="9"/>
  <c r="NGR1" i="9"/>
  <c r="NGQ1" i="9"/>
  <c r="NGP1" i="9"/>
  <c r="NGO1" i="9"/>
  <c r="NGN1" i="9"/>
  <c r="NGM1" i="9"/>
  <c r="NGL1" i="9"/>
  <c r="NGK1" i="9"/>
  <c r="NGJ1" i="9"/>
  <c r="NGI1" i="9"/>
  <c r="NGH1" i="9"/>
  <c r="NGG1" i="9"/>
  <c r="NGF1" i="9"/>
  <c r="NGE1" i="9"/>
  <c r="NGD1" i="9"/>
  <c r="NGC1" i="9"/>
  <c r="NGB1" i="9"/>
  <c r="NGA1" i="9"/>
  <c r="NFZ1" i="9"/>
  <c r="NFY1" i="9"/>
  <c r="NFX1" i="9"/>
  <c r="NFW1" i="9"/>
  <c r="NFV1" i="9"/>
  <c r="NFU1" i="9"/>
  <c r="NFT1" i="9"/>
  <c r="NFS1" i="9"/>
  <c r="NFR1" i="9"/>
  <c r="NFQ1" i="9"/>
  <c r="NFP1" i="9"/>
  <c r="NFO1" i="9"/>
  <c r="NFN1" i="9"/>
  <c r="NFM1" i="9"/>
  <c r="NFL1" i="9"/>
  <c r="NFK1" i="9"/>
  <c r="NFJ1" i="9"/>
  <c r="NFI1" i="9"/>
  <c r="NFH1" i="9"/>
  <c r="NFG1" i="9"/>
  <c r="NFF1" i="9"/>
  <c r="NFE1" i="9"/>
  <c r="NFD1" i="9"/>
  <c r="NFC1" i="9"/>
  <c r="NFB1" i="9"/>
  <c r="NFA1" i="9"/>
  <c r="NEZ1" i="9"/>
  <c r="NEY1" i="9"/>
  <c r="NEX1" i="9"/>
  <c r="NEW1" i="9"/>
  <c r="NEV1" i="9"/>
  <c r="NEU1" i="9"/>
  <c r="NET1" i="9"/>
  <c r="NES1" i="9"/>
  <c r="NER1" i="9"/>
  <c r="NEQ1" i="9"/>
  <c r="NEP1" i="9"/>
  <c r="NEO1" i="9"/>
  <c r="NEN1" i="9"/>
  <c r="NEM1" i="9"/>
  <c r="NEL1" i="9"/>
  <c r="NEK1" i="9"/>
  <c r="NEJ1" i="9"/>
  <c r="NEI1" i="9"/>
  <c r="NEH1" i="9"/>
  <c r="NEG1" i="9"/>
  <c r="NEF1" i="9"/>
  <c r="NEE1" i="9"/>
  <c r="NED1" i="9"/>
  <c r="NEC1" i="9"/>
  <c r="NEB1" i="9"/>
  <c r="NEA1" i="9"/>
  <c r="NDZ1" i="9"/>
  <c r="NDY1" i="9"/>
  <c r="NDX1" i="9"/>
  <c r="NDW1" i="9"/>
  <c r="NDV1" i="9"/>
  <c r="NDU1" i="9"/>
  <c r="NDT1" i="9"/>
  <c r="NDS1" i="9"/>
  <c r="NDR1" i="9"/>
  <c r="NDQ1" i="9"/>
  <c r="NDP1" i="9"/>
  <c r="NDO1" i="9"/>
  <c r="NDN1" i="9"/>
  <c r="NDM1" i="9"/>
  <c r="NDL1" i="9"/>
  <c r="NDK1" i="9"/>
  <c r="NDJ1" i="9"/>
  <c r="NDI1" i="9"/>
  <c r="NDH1" i="9"/>
  <c r="NDG1" i="9"/>
  <c r="NDF1" i="9"/>
  <c r="NDE1" i="9"/>
  <c r="NDD1" i="9"/>
  <c r="NDC1" i="9"/>
  <c r="NDB1" i="9"/>
  <c r="NDA1" i="9"/>
  <c r="NCZ1" i="9"/>
  <c r="NCY1" i="9"/>
  <c r="NCX1" i="9"/>
  <c r="NCW1" i="9"/>
  <c r="NCV1" i="9"/>
  <c r="NCU1" i="9"/>
  <c r="NCT1" i="9"/>
  <c r="NCS1" i="9"/>
  <c r="NCR1" i="9"/>
  <c r="NCQ1" i="9"/>
  <c r="NCP1" i="9"/>
  <c r="NCO1" i="9"/>
  <c r="NCN1" i="9"/>
  <c r="NCM1" i="9"/>
  <c r="NCL1" i="9"/>
  <c r="NCK1" i="9"/>
  <c r="NCJ1" i="9"/>
  <c r="NCI1" i="9"/>
  <c r="NCH1" i="9"/>
  <c r="NCG1" i="9"/>
  <c r="NCF1" i="9"/>
  <c r="NCE1" i="9"/>
  <c r="NCD1" i="9"/>
  <c r="NCC1" i="9"/>
  <c r="NCB1" i="9"/>
  <c r="NCA1" i="9"/>
  <c r="NBZ1" i="9"/>
  <c r="NBY1" i="9"/>
  <c r="NBX1" i="9"/>
  <c r="NBW1" i="9"/>
  <c r="NBV1" i="9"/>
  <c r="NBU1" i="9"/>
  <c r="NBT1" i="9"/>
  <c r="NBS1" i="9"/>
  <c r="NBR1" i="9"/>
  <c r="NBQ1" i="9"/>
  <c r="NBP1" i="9"/>
  <c r="NBO1" i="9"/>
  <c r="NBN1" i="9"/>
  <c r="NBM1" i="9"/>
  <c r="NBL1" i="9"/>
  <c r="NBK1" i="9"/>
  <c r="NBJ1" i="9"/>
  <c r="NBI1" i="9"/>
  <c r="NBH1" i="9"/>
  <c r="NBG1" i="9"/>
  <c r="NBF1" i="9"/>
  <c r="NBE1" i="9"/>
  <c r="NBD1" i="9"/>
  <c r="NBC1" i="9"/>
  <c r="NBB1" i="9"/>
  <c r="NBA1" i="9"/>
  <c r="NAZ1" i="9"/>
  <c r="NAY1" i="9"/>
  <c r="NAX1" i="9"/>
  <c r="NAW1" i="9"/>
  <c r="NAV1" i="9"/>
  <c r="NAU1" i="9"/>
  <c r="NAT1" i="9"/>
  <c r="NAS1" i="9"/>
  <c r="NAR1" i="9"/>
  <c r="NAQ1" i="9"/>
  <c r="NAP1" i="9"/>
  <c r="NAO1" i="9"/>
  <c r="NAN1" i="9"/>
  <c r="NAM1" i="9"/>
  <c r="NAL1" i="9"/>
  <c r="NAK1" i="9"/>
  <c r="NAJ1" i="9"/>
  <c r="NAI1" i="9"/>
  <c r="NAH1" i="9"/>
  <c r="NAG1" i="9"/>
  <c r="NAF1" i="9"/>
  <c r="NAE1" i="9"/>
  <c r="NAD1" i="9"/>
  <c r="NAC1" i="9"/>
  <c r="NAB1" i="9"/>
  <c r="NAA1" i="9"/>
  <c r="MZZ1" i="9"/>
  <c r="MZY1" i="9"/>
  <c r="MZX1" i="9"/>
  <c r="MZW1" i="9"/>
  <c r="MZV1" i="9"/>
  <c r="MZU1" i="9"/>
  <c r="MZT1" i="9"/>
  <c r="MZS1" i="9"/>
  <c r="MZR1" i="9"/>
  <c r="MZQ1" i="9"/>
  <c r="MZP1" i="9"/>
  <c r="MZO1" i="9"/>
  <c r="MZN1" i="9"/>
  <c r="MZM1" i="9"/>
  <c r="MZL1" i="9"/>
  <c r="MZK1" i="9"/>
  <c r="MZJ1" i="9"/>
  <c r="MZI1" i="9"/>
  <c r="MZH1" i="9"/>
  <c r="MZG1" i="9"/>
  <c r="MZF1" i="9"/>
  <c r="MZE1" i="9"/>
  <c r="MZD1" i="9"/>
  <c r="MZC1" i="9"/>
  <c r="MZB1" i="9"/>
  <c r="MZA1" i="9"/>
  <c r="MYZ1" i="9"/>
  <c r="MYY1" i="9"/>
  <c r="MYX1" i="9"/>
  <c r="MYW1" i="9"/>
  <c r="MYV1" i="9"/>
  <c r="MYU1" i="9"/>
  <c r="MYT1" i="9"/>
  <c r="MYS1" i="9"/>
  <c r="MYR1" i="9"/>
  <c r="MYQ1" i="9"/>
  <c r="MYP1" i="9"/>
  <c r="MYO1" i="9"/>
  <c r="MYN1" i="9"/>
  <c r="MYM1" i="9"/>
  <c r="MYL1" i="9"/>
  <c r="MYK1" i="9"/>
  <c r="MYJ1" i="9"/>
  <c r="MYI1" i="9"/>
  <c r="MYH1" i="9"/>
  <c r="MYG1" i="9"/>
  <c r="MYF1" i="9"/>
  <c r="MYE1" i="9"/>
  <c r="MYD1" i="9"/>
  <c r="MYC1" i="9"/>
  <c r="MYB1" i="9"/>
  <c r="MYA1" i="9"/>
  <c r="MXZ1" i="9"/>
  <c r="MXY1" i="9"/>
  <c r="MXX1" i="9"/>
  <c r="MXW1" i="9"/>
  <c r="MXV1" i="9"/>
  <c r="MXU1" i="9"/>
  <c r="MXT1" i="9"/>
  <c r="MXS1" i="9"/>
  <c r="MXR1" i="9"/>
  <c r="MXQ1" i="9"/>
  <c r="MXP1" i="9"/>
  <c r="MXO1" i="9"/>
  <c r="MXN1" i="9"/>
  <c r="MXM1" i="9"/>
  <c r="MXL1" i="9"/>
  <c r="MXK1" i="9"/>
  <c r="MXJ1" i="9"/>
  <c r="MXI1" i="9"/>
  <c r="MXH1" i="9"/>
  <c r="MXG1" i="9"/>
  <c r="MXF1" i="9"/>
  <c r="MXE1" i="9"/>
  <c r="MXD1" i="9"/>
  <c r="MXC1" i="9"/>
  <c r="MXB1" i="9"/>
  <c r="MXA1" i="9"/>
  <c r="MWZ1" i="9"/>
  <c r="MWY1" i="9"/>
  <c r="MWX1" i="9"/>
  <c r="MWW1" i="9"/>
  <c r="MWV1" i="9"/>
  <c r="MWU1" i="9"/>
  <c r="MWT1" i="9"/>
  <c r="MWS1" i="9"/>
  <c r="MWR1" i="9"/>
  <c r="MWQ1" i="9"/>
  <c r="MWP1" i="9"/>
  <c r="MWO1" i="9"/>
  <c r="MWN1" i="9"/>
  <c r="MWM1" i="9"/>
  <c r="MWL1" i="9"/>
  <c r="MWK1" i="9"/>
  <c r="MWJ1" i="9"/>
  <c r="MWI1" i="9"/>
  <c r="MWH1" i="9"/>
  <c r="MWG1" i="9"/>
  <c r="MWF1" i="9"/>
  <c r="MWE1" i="9"/>
  <c r="MWD1" i="9"/>
  <c r="MWC1" i="9"/>
  <c r="MWB1" i="9"/>
  <c r="MWA1" i="9"/>
  <c r="MVZ1" i="9"/>
  <c r="MVY1" i="9"/>
  <c r="MVX1" i="9"/>
  <c r="MVW1" i="9"/>
  <c r="MVV1" i="9"/>
  <c r="MVU1" i="9"/>
  <c r="MVT1" i="9"/>
  <c r="MVS1" i="9"/>
  <c r="MVR1" i="9"/>
  <c r="MVQ1" i="9"/>
  <c r="MVP1" i="9"/>
  <c r="MVO1" i="9"/>
  <c r="MVN1" i="9"/>
  <c r="MVM1" i="9"/>
  <c r="MVL1" i="9"/>
  <c r="MVK1" i="9"/>
  <c r="MVJ1" i="9"/>
  <c r="MVI1" i="9"/>
  <c r="MVH1" i="9"/>
  <c r="MVG1" i="9"/>
  <c r="MVF1" i="9"/>
  <c r="MVE1" i="9"/>
  <c r="MVD1" i="9"/>
  <c r="MVC1" i="9"/>
  <c r="MVB1" i="9"/>
  <c r="MVA1" i="9"/>
  <c r="MUZ1" i="9"/>
  <c r="MUY1" i="9"/>
  <c r="MUX1" i="9"/>
  <c r="MUW1" i="9"/>
  <c r="MUV1" i="9"/>
  <c r="MUU1" i="9"/>
  <c r="MUT1" i="9"/>
  <c r="MUS1" i="9"/>
  <c r="MUR1" i="9"/>
  <c r="MUQ1" i="9"/>
  <c r="MUP1" i="9"/>
  <c r="MUO1" i="9"/>
  <c r="MUN1" i="9"/>
  <c r="MUM1" i="9"/>
  <c r="MUL1" i="9"/>
  <c r="MUK1" i="9"/>
  <c r="MUJ1" i="9"/>
  <c r="MUI1" i="9"/>
  <c r="MUH1" i="9"/>
  <c r="MUG1" i="9"/>
  <c r="MUF1" i="9"/>
  <c r="MUE1" i="9"/>
  <c r="MUD1" i="9"/>
  <c r="MUC1" i="9"/>
  <c r="MUB1" i="9"/>
  <c r="MUA1" i="9"/>
  <c r="MTZ1" i="9"/>
  <c r="MTY1" i="9"/>
  <c r="MTX1" i="9"/>
  <c r="MTW1" i="9"/>
  <c r="MTV1" i="9"/>
  <c r="MTU1" i="9"/>
  <c r="MTT1" i="9"/>
  <c r="MTS1" i="9"/>
  <c r="MTR1" i="9"/>
  <c r="MTQ1" i="9"/>
  <c r="MTP1" i="9"/>
  <c r="MTO1" i="9"/>
  <c r="MTN1" i="9"/>
  <c r="MTM1" i="9"/>
  <c r="MTL1" i="9"/>
  <c r="MTK1" i="9"/>
  <c r="MTJ1" i="9"/>
  <c r="MTI1" i="9"/>
  <c r="MTH1" i="9"/>
  <c r="MTG1" i="9"/>
  <c r="MTF1" i="9"/>
  <c r="MTE1" i="9"/>
  <c r="MTD1" i="9"/>
  <c r="MTC1" i="9"/>
  <c r="MTB1" i="9"/>
  <c r="MTA1" i="9"/>
  <c r="MSZ1" i="9"/>
  <c r="MSY1" i="9"/>
  <c r="MSX1" i="9"/>
  <c r="MSW1" i="9"/>
  <c r="MSV1" i="9"/>
  <c r="MSU1" i="9"/>
  <c r="MST1" i="9"/>
  <c r="MSS1" i="9"/>
  <c r="MSR1" i="9"/>
  <c r="MSQ1" i="9"/>
  <c r="MSP1" i="9"/>
  <c r="MSO1" i="9"/>
  <c r="MSN1" i="9"/>
  <c r="MSM1" i="9"/>
  <c r="MSL1" i="9"/>
  <c r="MSK1" i="9"/>
  <c r="MSJ1" i="9"/>
  <c r="MSI1" i="9"/>
  <c r="MSH1" i="9"/>
  <c r="MSG1" i="9"/>
  <c r="MSF1" i="9"/>
  <c r="MSE1" i="9"/>
  <c r="MSD1" i="9"/>
  <c r="MSC1" i="9"/>
  <c r="MSB1" i="9"/>
  <c r="MSA1" i="9"/>
  <c r="MRZ1" i="9"/>
  <c r="MRY1" i="9"/>
  <c r="MRX1" i="9"/>
  <c r="MRW1" i="9"/>
  <c r="MRV1" i="9"/>
  <c r="MRU1" i="9"/>
  <c r="MRT1" i="9"/>
  <c r="MRS1" i="9"/>
  <c r="MRR1" i="9"/>
  <c r="MRQ1" i="9"/>
  <c r="MRP1" i="9"/>
  <c r="MRO1" i="9"/>
  <c r="MRN1" i="9"/>
  <c r="MRM1" i="9"/>
  <c r="MRL1" i="9"/>
  <c r="MRK1" i="9"/>
  <c r="MRJ1" i="9"/>
  <c r="MRI1" i="9"/>
  <c r="MRH1" i="9"/>
  <c r="MRG1" i="9"/>
  <c r="MRF1" i="9"/>
  <c r="MRE1" i="9"/>
  <c r="MRD1" i="9"/>
  <c r="MRC1" i="9"/>
  <c r="MRB1" i="9"/>
  <c r="MRA1" i="9"/>
  <c r="MQZ1" i="9"/>
  <c r="MQY1" i="9"/>
  <c r="MQX1" i="9"/>
  <c r="MQW1" i="9"/>
  <c r="MQV1" i="9"/>
  <c r="MQU1" i="9"/>
  <c r="MQT1" i="9"/>
  <c r="MQS1" i="9"/>
  <c r="MQR1" i="9"/>
  <c r="MQQ1" i="9"/>
  <c r="MQP1" i="9"/>
  <c r="MQO1" i="9"/>
  <c r="MQN1" i="9"/>
  <c r="MQM1" i="9"/>
  <c r="MQL1" i="9"/>
  <c r="MQK1" i="9"/>
  <c r="MQJ1" i="9"/>
  <c r="MQI1" i="9"/>
  <c r="MQH1" i="9"/>
  <c r="MQG1" i="9"/>
  <c r="MQF1" i="9"/>
  <c r="MQE1" i="9"/>
  <c r="MQD1" i="9"/>
  <c r="MQC1" i="9"/>
  <c r="MQB1" i="9"/>
  <c r="MQA1" i="9"/>
  <c r="MPZ1" i="9"/>
  <c r="MPY1" i="9"/>
  <c r="MPX1" i="9"/>
  <c r="MPW1" i="9"/>
  <c r="MPV1" i="9"/>
  <c r="MPU1" i="9"/>
  <c r="MPT1" i="9"/>
  <c r="MPS1" i="9"/>
  <c r="MPR1" i="9"/>
  <c r="MPQ1" i="9"/>
  <c r="MPP1" i="9"/>
  <c r="MPO1" i="9"/>
  <c r="MPN1" i="9"/>
  <c r="MPM1" i="9"/>
  <c r="MPL1" i="9"/>
  <c r="MPK1" i="9"/>
  <c r="MPJ1" i="9"/>
  <c r="MPI1" i="9"/>
  <c r="MPH1" i="9"/>
  <c r="MPG1" i="9"/>
  <c r="MPF1" i="9"/>
  <c r="MPE1" i="9"/>
  <c r="MPD1" i="9"/>
  <c r="MPC1" i="9"/>
  <c r="MPB1" i="9"/>
  <c r="MPA1" i="9"/>
  <c r="MOZ1" i="9"/>
  <c r="MOY1" i="9"/>
  <c r="MOX1" i="9"/>
  <c r="MOW1" i="9"/>
  <c r="MOV1" i="9"/>
  <c r="MOU1" i="9"/>
  <c r="MOT1" i="9"/>
  <c r="MOS1" i="9"/>
  <c r="MOR1" i="9"/>
  <c r="MOQ1" i="9"/>
  <c r="MOP1" i="9"/>
  <c r="MOO1" i="9"/>
  <c r="MON1" i="9"/>
  <c r="MOM1" i="9"/>
  <c r="MOL1" i="9"/>
  <c r="MOK1" i="9"/>
  <c r="MOJ1" i="9"/>
  <c r="MOI1" i="9"/>
  <c r="MOH1" i="9"/>
  <c r="MOG1" i="9"/>
  <c r="MOF1" i="9"/>
  <c r="MOE1" i="9"/>
  <c r="MOD1" i="9"/>
  <c r="MOC1" i="9"/>
  <c r="MOB1" i="9"/>
  <c r="MOA1" i="9"/>
  <c r="MNZ1" i="9"/>
  <c r="MNY1" i="9"/>
  <c r="MNX1" i="9"/>
  <c r="MNW1" i="9"/>
  <c r="MNV1" i="9"/>
  <c r="MNU1" i="9"/>
  <c r="MNT1" i="9"/>
  <c r="MNS1" i="9"/>
  <c r="MNR1" i="9"/>
  <c r="MNQ1" i="9"/>
  <c r="MNP1" i="9"/>
  <c r="MNO1" i="9"/>
  <c r="MNN1" i="9"/>
  <c r="MNM1" i="9"/>
  <c r="MNL1" i="9"/>
  <c r="MNK1" i="9"/>
  <c r="MNJ1" i="9"/>
  <c r="MNI1" i="9"/>
  <c r="MNH1" i="9"/>
  <c r="MNG1" i="9"/>
  <c r="MNF1" i="9"/>
  <c r="MNE1" i="9"/>
  <c r="MND1" i="9"/>
  <c r="MNC1" i="9"/>
  <c r="MNB1" i="9"/>
  <c r="MNA1" i="9"/>
  <c r="MMZ1" i="9"/>
  <c r="MMY1" i="9"/>
  <c r="MMX1" i="9"/>
  <c r="MMW1" i="9"/>
  <c r="MMV1" i="9"/>
  <c r="MMU1" i="9"/>
  <c r="MMT1" i="9"/>
  <c r="MMS1" i="9"/>
  <c r="MMR1" i="9"/>
  <c r="MMQ1" i="9"/>
  <c r="MMP1" i="9"/>
  <c r="MMO1" i="9"/>
  <c r="MMN1" i="9"/>
  <c r="MMM1" i="9"/>
  <c r="MML1" i="9"/>
  <c r="MMK1" i="9"/>
  <c r="MMJ1" i="9"/>
  <c r="MMI1" i="9"/>
  <c r="MMH1" i="9"/>
  <c r="MMG1" i="9"/>
  <c r="MMF1" i="9"/>
  <c r="MME1" i="9"/>
  <c r="MMD1" i="9"/>
  <c r="MMC1" i="9"/>
  <c r="MMB1" i="9"/>
  <c r="MMA1" i="9"/>
  <c r="MLZ1" i="9"/>
  <c r="MLY1" i="9"/>
  <c r="MLX1" i="9"/>
  <c r="MLW1" i="9"/>
  <c r="MLV1" i="9"/>
  <c r="MLU1" i="9"/>
  <c r="MLT1" i="9"/>
  <c r="MLS1" i="9"/>
  <c r="MLR1" i="9"/>
  <c r="MLQ1" i="9"/>
  <c r="MLP1" i="9"/>
  <c r="MLO1" i="9"/>
  <c r="MLN1" i="9"/>
  <c r="MLM1" i="9"/>
  <c r="MLL1" i="9"/>
  <c r="MLK1" i="9"/>
  <c r="MLJ1" i="9"/>
  <c r="MLI1" i="9"/>
  <c r="MLH1" i="9"/>
  <c r="MLG1" i="9"/>
  <c r="MLF1" i="9"/>
  <c r="MLE1" i="9"/>
  <c r="MLD1" i="9"/>
  <c r="MLC1" i="9"/>
  <c r="MLB1" i="9"/>
  <c r="MLA1" i="9"/>
  <c r="MKZ1" i="9"/>
  <c r="MKY1" i="9"/>
  <c r="MKX1" i="9"/>
  <c r="MKW1" i="9"/>
  <c r="MKV1" i="9"/>
  <c r="MKU1" i="9"/>
  <c r="MKT1" i="9"/>
  <c r="MKS1" i="9"/>
  <c r="MKR1" i="9"/>
  <c r="MKQ1" i="9"/>
  <c r="MKP1" i="9"/>
  <c r="MKO1" i="9"/>
  <c r="MKN1" i="9"/>
  <c r="MKM1" i="9"/>
  <c r="MKL1" i="9"/>
  <c r="MKK1" i="9"/>
  <c r="MKJ1" i="9"/>
  <c r="MKI1" i="9"/>
  <c r="MKH1" i="9"/>
  <c r="MKG1" i="9"/>
  <c r="MKF1" i="9"/>
  <c r="MKE1" i="9"/>
  <c r="MKD1" i="9"/>
  <c r="MKC1" i="9"/>
  <c r="MKB1" i="9"/>
  <c r="MKA1" i="9"/>
  <c r="MJZ1" i="9"/>
  <c r="MJY1" i="9"/>
  <c r="MJX1" i="9"/>
  <c r="MJW1" i="9"/>
  <c r="MJV1" i="9"/>
  <c r="MJU1" i="9"/>
  <c r="MJT1" i="9"/>
  <c r="MJS1" i="9"/>
  <c r="MJR1" i="9"/>
  <c r="MJQ1" i="9"/>
  <c r="MJP1" i="9"/>
  <c r="MJO1" i="9"/>
  <c r="MJN1" i="9"/>
  <c r="MJM1" i="9"/>
  <c r="MJL1" i="9"/>
  <c r="MJK1" i="9"/>
  <c r="MJJ1" i="9"/>
  <c r="MJI1" i="9"/>
  <c r="MJH1" i="9"/>
  <c r="MJG1" i="9"/>
  <c r="MJF1" i="9"/>
  <c r="MJE1" i="9"/>
  <c r="MJD1" i="9"/>
  <c r="MJC1" i="9"/>
  <c r="MJB1" i="9"/>
  <c r="MJA1" i="9"/>
  <c r="MIZ1" i="9"/>
  <c r="MIY1" i="9"/>
  <c r="MIX1" i="9"/>
  <c r="MIW1" i="9"/>
  <c r="MIV1" i="9"/>
  <c r="MIU1" i="9"/>
  <c r="MIT1" i="9"/>
  <c r="MIS1" i="9"/>
  <c r="MIR1" i="9"/>
  <c r="MIQ1" i="9"/>
  <c r="MIP1" i="9"/>
  <c r="MIO1" i="9"/>
  <c r="MIN1" i="9"/>
  <c r="MIM1" i="9"/>
  <c r="MIL1" i="9"/>
  <c r="MIK1" i="9"/>
  <c r="MIJ1" i="9"/>
  <c r="MII1" i="9"/>
  <c r="MIH1" i="9"/>
  <c r="MIG1" i="9"/>
  <c r="MIF1" i="9"/>
  <c r="MIE1" i="9"/>
  <c r="MID1" i="9"/>
  <c r="MIC1" i="9"/>
  <c r="MIB1" i="9"/>
  <c r="MIA1" i="9"/>
  <c r="MHZ1" i="9"/>
  <c r="MHY1" i="9"/>
  <c r="MHX1" i="9"/>
  <c r="MHW1" i="9"/>
  <c r="MHV1" i="9"/>
  <c r="MHU1" i="9"/>
  <c r="MHT1" i="9"/>
  <c r="MHS1" i="9"/>
  <c r="MHR1" i="9"/>
  <c r="MHQ1" i="9"/>
  <c r="MHP1" i="9"/>
  <c r="MHO1" i="9"/>
  <c r="MHN1" i="9"/>
  <c r="MHM1" i="9"/>
  <c r="MHL1" i="9"/>
  <c r="MHK1" i="9"/>
  <c r="MHJ1" i="9"/>
  <c r="MHI1" i="9"/>
  <c r="MHH1" i="9"/>
  <c r="MHG1" i="9"/>
  <c r="MHF1" i="9"/>
  <c r="MHE1" i="9"/>
  <c r="MHD1" i="9"/>
  <c r="MHC1" i="9"/>
  <c r="MHB1" i="9"/>
  <c r="MHA1" i="9"/>
  <c r="MGZ1" i="9"/>
  <c r="MGY1" i="9"/>
  <c r="MGX1" i="9"/>
  <c r="MGW1" i="9"/>
  <c r="MGV1" i="9"/>
  <c r="MGU1" i="9"/>
  <c r="MGT1" i="9"/>
  <c r="MGS1" i="9"/>
  <c r="MGR1" i="9"/>
  <c r="MGQ1" i="9"/>
  <c r="MGP1" i="9"/>
  <c r="MGO1" i="9"/>
  <c r="MGN1" i="9"/>
  <c r="MGM1" i="9"/>
  <c r="MGL1" i="9"/>
  <c r="MGK1" i="9"/>
  <c r="MGJ1" i="9"/>
  <c r="MGI1" i="9"/>
  <c r="MGH1" i="9"/>
  <c r="MGG1" i="9"/>
  <c r="MGF1" i="9"/>
  <c r="MGE1" i="9"/>
  <c r="MGD1" i="9"/>
  <c r="MGC1" i="9"/>
  <c r="MGB1" i="9"/>
  <c r="MGA1" i="9"/>
  <c r="MFZ1" i="9"/>
  <c r="MFY1" i="9"/>
  <c r="MFX1" i="9"/>
  <c r="MFW1" i="9"/>
  <c r="MFV1" i="9"/>
  <c r="MFU1" i="9"/>
  <c r="MFT1" i="9"/>
  <c r="MFS1" i="9"/>
  <c r="MFR1" i="9"/>
  <c r="MFQ1" i="9"/>
  <c r="MFP1" i="9"/>
  <c r="MFO1" i="9"/>
  <c r="MFN1" i="9"/>
  <c r="MFM1" i="9"/>
  <c r="MFL1" i="9"/>
  <c r="MFK1" i="9"/>
  <c r="MFJ1" i="9"/>
  <c r="MFI1" i="9"/>
  <c r="MFH1" i="9"/>
  <c r="MFG1" i="9"/>
  <c r="MFF1" i="9"/>
  <c r="MFE1" i="9"/>
  <c r="MFD1" i="9"/>
  <c r="MFC1" i="9"/>
  <c r="MFB1" i="9"/>
  <c r="MFA1" i="9"/>
  <c r="MEZ1" i="9"/>
  <c r="MEY1" i="9"/>
  <c r="MEX1" i="9"/>
  <c r="MEW1" i="9"/>
  <c r="MEV1" i="9"/>
  <c r="MEU1" i="9"/>
  <c r="MET1" i="9"/>
  <c r="MES1" i="9"/>
  <c r="MER1" i="9"/>
  <c r="MEQ1" i="9"/>
  <c r="MEP1" i="9"/>
  <c r="MEO1" i="9"/>
  <c r="MEN1" i="9"/>
  <c r="MEM1" i="9"/>
  <c r="MEL1" i="9"/>
  <c r="MEK1" i="9"/>
  <c r="MEJ1" i="9"/>
  <c r="MEI1" i="9"/>
  <c r="MEH1" i="9"/>
  <c r="MEG1" i="9"/>
  <c r="MEF1" i="9"/>
  <c r="MEE1" i="9"/>
  <c r="MED1" i="9"/>
  <c r="MEC1" i="9"/>
  <c r="MEB1" i="9"/>
  <c r="MEA1" i="9"/>
  <c r="MDZ1" i="9"/>
  <c r="MDY1" i="9"/>
  <c r="MDX1" i="9"/>
  <c r="MDW1" i="9"/>
  <c r="MDV1" i="9"/>
  <c r="MDU1" i="9"/>
  <c r="MDT1" i="9"/>
  <c r="MDS1" i="9"/>
  <c r="MDR1" i="9"/>
  <c r="MDQ1" i="9"/>
  <c r="MDP1" i="9"/>
  <c r="MDO1" i="9"/>
  <c r="MDN1" i="9"/>
  <c r="MDM1" i="9"/>
  <c r="MDL1" i="9"/>
  <c r="MDK1" i="9"/>
  <c r="MDJ1" i="9"/>
  <c r="MDI1" i="9"/>
  <c r="MDH1" i="9"/>
  <c r="MDG1" i="9"/>
  <c r="MDF1" i="9"/>
  <c r="MDE1" i="9"/>
  <c r="MDD1" i="9"/>
  <c r="MDC1" i="9"/>
  <c r="MDB1" i="9"/>
  <c r="MDA1" i="9"/>
  <c r="MCZ1" i="9"/>
  <c r="MCY1" i="9"/>
  <c r="MCX1" i="9"/>
  <c r="MCW1" i="9"/>
  <c r="MCV1" i="9"/>
  <c r="MCU1" i="9"/>
  <c r="MCT1" i="9"/>
  <c r="MCS1" i="9"/>
  <c r="MCR1" i="9"/>
  <c r="MCQ1" i="9"/>
  <c r="MCP1" i="9"/>
  <c r="MCO1" i="9"/>
  <c r="MCN1" i="9"/>
  <c r="MCM1" i="9"/>
  <c r="MCL1" i="9"/>
  <c r="MCK1" i="9"/>
  <c r="MCJ1" i="9"/>
  <c r="MCI1" i="9"/>
  <c r="MCH1" i="9"/>
  <c r="MCG1" i="9"/>
  <c r="MCF1" i="9"/>
  <c r="MCE1" i="9"/>
  <c r="MCD1" i="9"/>
  <c r="MCC1" i="9"/>
  <c r="MCB1" i="9"/>
  <c r="MCA1" i="9"/>
  <c r="MBZ1" i="9"/>
  <c r="MBY1" i="9"/>
  <c r="MBX1" i="9"/>
  <c r="MBW1" i="9"/>
  <c r="MBV1" i="9"/>
  <c r="MBU1" i="9"/>
  <c r="MBT1" i="9"/>
  <c r="MBS1" i="9"/>
  <c r="MBR1" i="9"/>
  <c r="MBQ1" i="9"/>
  <c r="MBP1" i="9"/>
  <c r="MBO1" i="9"/>
  <c r="MBN1" i="9"/>
  <c r="MBM1" i="9"/>
  <c r="MBL1" i="9"/>
  <c r="MBK1" i="9"/>
  <c r="MBJ1" i="9"/>
  <c r="MBI1" i="9"/>
  <c r="MBH1" i="9"/>
  <c r="MBG1" i="9"/>
  <c r="MBF1" i="9"/>
  <c r="MBE1" i="9"/>
  <c r="MBD1" i="9"/>
  <c r="MBC1" i="9"/>
  <c r="MBB1" i="9"/>
  <c r="MBA1" i="9"/>
  <c r="MAZ1" i="9"/>
  <c r="MAY1" i="9"/>
  <c r="MAX1" i="9"/>
  <c r="MAW1" i="9"/>
  <c r="MAV1" i="9"/>
  <c r="MAU1" i="9"/>
  <c r="MAT1" i="9"/>
  <c r="MAS1" i="9"/>
  <c r="MAR1" i="9"/>
  <c r="MAQ1" i="9"/>
  <c r="MAP1" i="9"/>
  <c r="MAO1" i="9"/>
  <c r="MAN1" i="9"/>
  <c r="MAM1" i="9"/>
  <c r="MAL1" i="9"/>
  <c r="MAK1" i="9"/>
  <c r="MAJ1" i="9"/>
  <c r="MAI1" i="9"/>
  <c r="MAH1" i="9"/>
  <c r="MAG1" i="9"/>
  <c r="MAF1" i="9"/>
  <c r="MAE1" i="9"/>
  <c r="MAD1" i="9"/>
  <c r="MAC1" i="9"/>
  <c r="MAB1" i="9"/>
  <c r="MAA1" i="9"/>
  <c r="LZZ1" i="9"/>
  <c r="LZY1" i="9"/>
  <c r="LZX1" i="9"/>
  <c r="LZW1" i="9"/>
  <c r="LZV1" i="9"/>
  <c r="LZU1" i="9"/>
  <c r="LZT1" i="9"/>
  <c r="LZS1" i="9"/>
  <c r="LZR1" i="9"/>
  <c r="LZQ1" i="9"/>
  <c r="LZP1" i="9"/>
  <c r="LZO1" i="9"/>
  <c r="LZN1" i="9"/>
  <c r="LZM1" i="9"/>
  <c r="LZL1" i="9"/>
  <c r="LZK1" i="9"/>
  <c r="LZJ1" i="9"/>
  <c r="LZI1" i="9"/>
  <c r="LZH1" i="9"/>
  <c r="LZG1" i="9"/>
  <c r="LZF1" i="9"/>
  <c r="LZE1" i="9"/>
  <c r="LZD1" i="9"/>
  <c r="LZC1" i="9"/>
  <c r="LZB1" i="9"/>
  <c r="LZA1" i="9"/>
  <c r="LYZ1" i="9"/>
  <c r="LYY1" i="9"/>
  <c r="LYX1" i="9"/>
  <c r="LYW1" i="9"/>
  <c r="LYV1" i="9"/>
  <c r="LYU1" i="9"/>
  <c r="LYT1" i="9"/>
  <c r="LYS1" i="9"/>
  <c r="LYR1" i="9"/>
  <c r="LYQ1" i="9"/>
  <c r="LYP1" i="9"/>
  <c r="LYO1" i="9"/>
  <c r="LYN1" i="9"/>
  <c r="LYM1" i="9"/>
  <c r="LYL1" i="9"/>
  <c r="LYK1" i="9"/>
  <c r="LYJ1" i="9"/>
  <c r="LYI1" i="9"/>
  <c r="LYH1" i="9"/>
  <c r="LYG1" i="9"/>
  <c r="LYF1" i="9"/>
  <c r="LYE1" i="9"/>
  <c r="LYD1" i="9"/>
  <c r="LYC1" i="9"/>
  <c r="LYB1" i="9"/>
  <c r="LYA1" i="9"/>
  <c r="LXZ1" i="9"/>
  <c r="LXY1" i="9"/>
  <c r="LXX1" i="9"/>
  <c r="LXW1" i="9"/>
  <c r="LXV1" i="9"/>
  <c r="LXU1" i="9"/>
  <c r="LXT1" i="9"/>
  <c r="LXS1" i="9"/>
  <c r="LXR1" i="9"/>
  <c r="LXQ1" i="9"/>
  <c r="LXP1" i="9"/>
  <c r="LXO1" i="9"/>
  <c r="LXN1" i="9"/>
  <c r="LXM1" i="9"/>
  <c r="LXL1" i="9"/>
  <c r="LXK1" i="9"/>
  <c r="LXJ1" i="9"/>
  <c r="LXI1" i="9"/>
  <c r="LXH1" i="9"/>
  <c r="LXG1" i="9"/>
  <c r="LXF1" i="9"/>
  <c r="LXE1" i="9"/>
  <c r="LXD1" i="9"/>
  <c r="LXC1" i="9"/>
  <c r="LXB1" i="9"/>
  <c r="LXA1" i="9"/>
  <c r="LWZ1" i="9"/>
  <c r="LWY1" i="9"/>
  <c r="LWX1" i="9"/>
  <c r="LWW1" i="9"/>
  <c r="LWV1" i="9"/>
  <c r="LWU1" i="9"/>
  <c r="LWT1" i="9"/>
  <c r="LWS1" i="9"/>
  <c r="LWR1" i="9"/>
  <c r="LWQ1" i="9"/>
  <c r="LWP1" i="9"/>
  <c r="LWO1" i="9"/>
  <c r="LWN1" i="9"/>
  <c r="LWM1" i="9"/>
  <c r="LWL1" i="9"/>
  <c r="LWK1" i="9"/>
  <c r="LWJ1" i="9"/>
  <c r="LWI1" i="9"/>
  <c r="LWH1" i="9"/>
  <c r="LWG1" i="9"/>
  <c r="LWF1" i="9"/>
  <c r="LWE1" i="9"/>
  <c r="LWD1" i="9"/>
  <c r="LWC1" i="9"/>
  <c r="LWB1" i="9"/>
  <c r="LWA1" i="9"/>
  <c r="LVZ1" i="9"/>
  <c r="LVY1" i="9"/>
  <c r="LVX1" i="9"/>
  <c r="LVW1" i="9"/>
  <c r="LVV1" i="9"/>
  <c r="LVU1" i="9"/>
  <c r="LVT1" i="9"/>
  <c r="LVS1" i="9"/>
  <c r="LVR1" i="9"/>
  <c r="LVQ1" i="9"/>
  <c r="LVP1" i="9"/>
  <c r="LVO1" i="9"/>
  <c r="LVN1" i="9"/>
  <c r="LVM1" i="9"/>
  <c r="LVL1" i="9"/>
  <c r="LVK1" i="9"/>
  <c r="LVJ1" i="9"/>
  <c r="LVI1" i="9"/>
  <c r="LVH1" i="9"/>
  <c r="LVG1" i="9"/>
  <c r="LVF1" i="9"/>
  <c r="LVE1" i="9"/>
  <c r="LVD1" i="9"/>
  <c r="LVC1" i="9"/>
  <c r="LVB1" i="9"/>
  <c r="LVA1" i="9"/>
  <c r="LUZ1" i="9"/>
  <c r="LUY1" i="9"/>
  <c r="LUX1" i="9"/>
  <c r="LUW1" i="9"/>
  <c r="LUV1" i="9"/>
  <c r="LUU1" i="9"/>
  <c r="LUT1" i="9"/>
  <c r="LUS1" i="9"/>
  <c r="LUR1" i="9"/>
  <c r="LUQ1" i="9"/>
  <c r="LUP1" i="9"/>
  <c r="LUO1" i="9"/>
  <c r="LUN1" i="9"/>
  <c r="LUM1" i="9"/>
  <c r="LUL1" i="9"/>
  <c r="LUK1" i="9"/>
  <c r="LUJ1" i="9"/>
  <c r="LUI1" i="9"/>
  <c r="LUH1" i="9"/>
  <c r="LUG1" i="9"/>
  <c r="LUF1" i="9"/>
  <c r="LUE1" i="9"/>
  <c r="LUD1" i="9"/>
  <c r="LUC1" i="9"/>
  <c r="LUB1" i="9"/>
  <c r="LUA1" i="9"/>
  <c r="LTZ1" i="9"/>
  <c r="LTY1" i="9"/>
  <c r="LTX1" i="9"/>
  <c r="LTW1" i="9"/>
  <c r="LTV1" i="9"/>
  <c r="LTU1" i="9"/>
  <c r="LTT1" i="9"/>
  <c r="LTS1" i="9"/>
  <c r="LTR1" i="9"/>
  <c r="LTQ1" i="9"/>
  <c r="LTP1" i="9"/>
  <c r="LTO1" i="9"/>
  <c r="LTN1" i="9"/>
  <c r="LTM1" i="9"/>
  <c r="LTL1" i="9"/>
  <c r="LTK1" i="9"/>
  <c r="LTJ1" i="9"/>
  <c r="LTI1" i="9"/>
  <c r="LTH1" i="9"/>
  <c r="LTG1" i="9"/>
  <c r="LTF1" i="9"/>
  <c r="LTE1" i="9"/>
  <c r="LTD1" i="9"/>
  <c r="LTC1" i="9"/>
  <c r="LTB1" i="9"/>
  <c r="LTA1" i="9"/>
  <c r="LSZ1" i="9"/>
  <c r="LSY1" i="9"/>
  <c r="LSX1" i="9"/>
  <c r="LSW1" i="9"/>
  <c r="LSV1" i="9"/>
  <c r="LSU1" i="9"/>
  <c r="LST1" i="9"/>
  <c r="LSS1" i="9"/>
  <c r="LSR1" i="9"/>
  <c r="LSQ1" i="9"/>
  <c r="LSP1" i="9"/>
  <c r="LSO1" i="9"/>
  <c r="LSN1" i="9"/>
  <c r="LSM1" i="9"/>
  <c r="LSL1" i="9"/>
  <c r="LSK1" i="9"/>
  <c r="LSJ1" i="9"/>
  <c r="LSI1" i="9"/>
  <c r="LSH1" i="9"/>
  <c r="LSG1" i="9"/>
  <c r="LSF1" i="9"/>
  <c r="LSE1" i="9"/>
  <c r="LSD1" i="9"/>
  <c r="LSC1" i="9"/>
  <c r="LSB1" i="9"/>
  <c r="LSA1" i="9"/>
  <c r="LRZ1" i="9"/>
  <c r="LRY1" i="9"/>
  <c r="LRX1" i="9"/>
  <c r="LRW1" i="9"/>
  <c r="LRV1" i="9"/>
  <c r="LRU1" i="9"/>
  <c r="LRT1" i="9"/>
  <c r="LRS1" i="9"/>
  <c r="LRR1" i="9"/>
  <c r="LRQ1" i="9"/>
  <c r="LRP1" i="9"/>
  <c r="LRO1" i="9"/>
  <c r="LRN1" i="9"/>
  <c r="LRM1" i="9"/>
  <c r="LRL1" i="9"/>
  <c r="LRK1" i="9"/>
  <c r="LRJ1" i="9"/>
  <c r="LRI1" i="9"/>
  <c r="LRH1" i="9"/>
  <c r="LRG1" i="9"/>
  <c r="LRF1" i="9"/>
  <c r="LRE1" i="9"/>
  <c r="LRD1" i="9"/>
  <c r="LRC1" i="9"/>
  <c r="LRB1" i="9"/>
  <c r="LRA1" i="9"/>
  <c r="LQZ1" i="9"/>
  <c r="LQY1" i="9"/>
  <c r="LQX1" i="9"/>
  <c r="LQW1" i="9"/>
  <c r="LQV1" i="9"/>
  <c r="LQU1" i="9"/>
  <c r="LQT1" i="9"/>
  <c r="LQS1" i="9"/>
  <c r="LQR1" i="9"/>
  <c r="LQQ1" i="9"/>
  <c r="LQP1" i="9"/>
  <c r="LQO1" i="9"/>
  <c r="LQN1" i="9"/>
  <c r="LQM1" i="9"/>
  <c r="LQL1" i="9"/>
  <c r="LQK1" i="9"/>
  <c r="LQJ1" i="9"/>
  <c r="LQI1" i="9"/>
  <c r="LQH1" i="9"/>
  <c r="LQG1" i="9"/>
  <c r="LQF1" i="9"/>
  <c r="LQE1" i="9"/>
  <c r="LQD1" i="9"/>
  <c r="LQC1" i="9"/>
  <c r="LQB1" i="9"/>
  <c r="LQA1" i="9"/>
  <c r="LPZ1" i="9"/>
  <c r="LPY1" i="9"/>
  <c r="LPX1" i="9"/>
  <c r="LPW1" i="9"/>
  <c r="LPV1" i="9"/>
  <c r="LPU1" i="9"/>
  <c r="LPT1" i="9"/>
  <c r="LPS1" i="9"/>
  <c r="LPR1" i="9"/>
  <c r="LPQ1" i="9"/>
  <c r="LPP1" i="9"/>
  <c r="LPO1" i="9"/>
  <c r="LPN1" i="9"/>
  <c r="LPM1" i="9"/>
  <c r="LPL1" i="9"/>
  <c r="LPK1" i="9"/>
  <c r="LPJ1" i="9"/>
  <c r="LPI1" i="9"/>
  <c r="LPH1" i="9"/>
  <c r="LPG1" i="9"/>
  <c r="LPF1" i="9"/>
  <c r="LPE1" i="9"/>
  <c r="LPD1" i="9"/>
  <c r="LPC1" i="9"/>
  <c r="LPB1" i="9"/>
  <c r="LPA1" i="9"/>
  <c r="LOZ1" i="9"/>
  <c r="LOY1" i="9"/>
  <c r="LOX1" i="9"/>
  <c r="LOW1" i="9"/>
  <c r="LOV1" i="9"/>
  <c r="LOU1" i="9"/>
  <c r="LOT1" i="9"/>
  <c r="LOS1" i="9"/>
  <c r="LOR1" i="9"/>
  <c r="LOQ1" i="9"/>
  <c r="LOP1" i="9"/>
  <c r="LOO1" i="9"/>
  <c r="LON1" i="9"/>
  <c r="LOM1" i="9"/>
  <c r="LOL1" i="9"/>
  <c r="LOK1" i="9"/>
  <c r="LOJ1" i="9"/>
  <c r="LOI1" i="9"/>
  <c r="LOH1" i="9"/>
  <c r="LOG1" i="9"/>
  <c r="LOF1" i="9"/>
  <c r="LOE1" i="9"/>
  <c r="LOD1" i="9"/>
  <c r="LOC1" i="9"/>
  <c r="LOB1" i="9"/>
  <c r="LOA1" i="9"/>
  <c r="LNZ1" i="9"/>
  <c r="LNY1" i="9"/>
  <c r="LNX1" i="9"/>
  <c r="LNW1" i="9"/>
  <c r="LNV1" i="9"/>
  <c r="LNU1" i="9"/>
  <c r="LNT1" i="9"/>
  <c r="LNS1" i="9"/>
  <c r="LNR1" i="9"/>
  <c r="LNQ1" i="9"/>
  <c r="LNP1" i="9"/>
  <c r="LNO1" i="9"/>
  <c r="LNN1" i="9"/>
  <c r="LNM1" i="9"/>
  <c r="LNL1" i="9"/>
  <c r="LNK1" i="9"/>
  <c r="LNJ1" i="9"/>
  <c r="LNI1" i="9"/>
  <c r="LNH1" i="9"/>
  <c r="LNG1" i="9"/>
  <c r="LNF1" i="9"/>
  <c r="LNE1" i="9"/>
  <c r="LND1" i="9"/>
  <c r="LNC1" i="9"/>
  <c r="LNB1" i="9"/>
  <c r="LNA1" i="9"/>
  <c r="LMZ1" i="9"/>
  <c r="LMY1" i="9"/>
  <c r="LMX1" i="9"/>
  <c r="LMW1" i="9"/>
  <c r="LMV1" i="9"/>
  <c r="LMU1" i="9"/>
  <c r="LMT1" i="9"/>
  <c r="LMS1" i="9"/>
  <c r="LMR1" i="9"/>
  <c r="LMQ1" i="9"/>
  <c r="LMP1" i="9"/>
  <c r="LMO1" i="9"/>
  <c r="LMN1" i="9"/>
  <c r="LMM1" i="9"/>
  <c r="LML1" i="9"/>
  <c r="LMK1" i="9"/>
  <c r="LMJ1" i="9"/>
  <c r="LMI1" i="9"/>
  <c r="LMH1" i="9"/>
  <c r="LMG1" i="9"/>
  <c r="LMF1" i="9"/>
  <c r="LME1" i="9"/>
  <c r="LMD1" i="9"/>
  <c r="LMC1" i="9"/>
  <c r="LMB1" i="9"/>
  <c r="LMA1" i="9"/>
  <c r="LLZ1" i="9"/>
  <c r="LLY1" i="9"/>
  <c r="LLX1" i="9"/>
  <c r="LLW1" i="9"/>
  <c r="LLV1" i="9"/>
  <c r="LLU1" i="9"/>
  <c r="LLT1" i="9"/>
  <c r="LLS1" i="9"/>
  <c r="LLR1" i="9"/>
  <c r="LLQ1" i="9"/>
  <c r="LLP1" i="9"/>
  <c r="LLO1" i="9"/>
  <c r="LLN1" i="9"/>
  <c r="LLM1" i="9"/>
  <c r="LLL1" i="9"/>
  <c r="LLK1" i="9"/>
  <c r="LLJ1" i="9"/>
  <c r="LLI1" i="9"/>
  <c r="LLH1" i="9"/>
  <c r="LLG1" i="9"/>
  <c r="LLF1" i="9"/>
  <c r="LLE1" i="9"/>
  <c r="LLD1" i="9"/>
  <c r="LLC1" i="9"/>
  <c r="LLB1" i="9"/>
  <c r="LLA1" i="9"/>
  <c r="LKZ1" i="9"/>
  <c r="LKY1" i="9"/>
  <c r="LKX1" i="9"/>
  <c r="LKW1" i="9"/>
  <c r="LKV1" i="9"/>
  <c r="LKU1" i="9"/>
  <c r="LKT1" i="9"/>
  <c r="LKS1" i="9"/>
  <c r="LKR1" i="9"/>
  <c r="LKQ1" i="9"/>
  <c r="LKP1" i="9"/>
  <c r="LKO1" i="9"/>
  <c r="LKN1" i="9"/>
  <c r="LKM1" i="9"/>
  <c r="LKL1" i="9"/>
  <c r="LKK1" i="9"/>
  <c r="LKJ1" i="9"/>
  <c r="LKI1" i="9"/>
  <c r="LKH1" i="9"/>
  <c r="LKG1" i="9"/>
  <c r="LKF1" i="9"/>
  <c r="LKE1" i="9"/>
  <c r="LKD1" i="9"/>
  <c r="LKC1" i="9"/>
  <c r="LKB1" i="9"/>
  <c r="LKA1" i="9"/>
  <c r="LJZ1" i="9"/>
  <c r="LJY1" i="9"/>
  <c r="LJX1" i="9"/>
  <c r="LJW1" i="9"/>
  <c r="LJV1" i="9"/>
  <c r="LJU1" i="9"/>
  <c r="LJT1" i="9"/>
  <c r="LJS1" i="9"/>
  <c r="LJR1" i="9"/>
  <c r="LJQ1" i="9"/>
  <c r="LJP1" i="9"/>
  <c r="LJO1" i="9"/>
  <c r="LJN1" i="9"/>
  <c r="LJM1" i="9"/>
  <c r="LJL1" i="9"/>
  <c r="LJK1" i="9"/>
  <c r="LJJ1" i="9"/>
  <c r="LJI1" i="9"/>
  <c r="LJH1" i="9"/>
  <c r="LJG1" i="9"/>
  <c r="LJF1" i="9"/>
  <c r="LJE1" i="9"/>
  <c r="LJD1" i="9"/>
  <c r="LJC1" i="9"/>
  <c r="LJB1" i="9"/>
  <c r="LJA1" i="9"/>
  <c r="LIZ1" i="9"/>
  <c r="LIY1" i="9"/>
  <c r="LIX1" i="9"/>
  <c r="LIW1" i="9"/>
  <c r="LIV1" i="9"/>
  <c r="LIU1" i="9"/>
  <c r="LIT1" i="9"/>
  <c r="LIS1" i="9"/>
  <c r="LIR1" i="9"/>
  <c r="LIQ1" i="9"/>
  <c r="LIP1" i="9"/>
  <c r="LIO1" i="9"/>
  <c r="LIN1" i="9"/>
  <c r="LIM1" i="9"/>
  <c r="LIL1" i="9"/>
  <c r="LIK1" i="9"/>
  <c r="LIJ1" i="9"/>
  <c r="LII1" i="9"/>
  <c r="LIH1" i="9"/>
  <c r="LIG1" i="9"/>
  <c r="LIF1" i="9"/>
  <c r="LIE1" i="9"/>
  <c r="LID1" i="9"/>
  <c r="LIC1" i="9"/>
  <c r="LIB1" i="9"/>
  <c r="LIA1" i="9"/>
  <c r="LHZ1" i="9"/>
  <c r="LHY1" i="9"/>
  <c r="LHX1" i="9"/>
  <c r="LHW1" i="9"/>
  <c r="LHV1" i="9"/>
  <c r="LHU1" i="9"/>
  <c r="LHT1" i="9"/>
  <c r="LHS1" i="9"/>
  <c r="LHR1" i="9"/>
  <c r="LHQ1" i="9"/>
  <c r="LHP1" i="9"/>
  <c r="LHO1" i="9"/>
  <c r="LHN1" i="9"/>
  <c r="LHM1" i="9"/>
  <c r="LHL1" i="9"/>
  <c r="LHK1" i="9"/>
  <c r="LHJ1" i="9"/>
  <c r="LHI1" i="9"/>
  <c r="LHH1" i="9"/>
  <c r="LHG1" i="9"/>
  <c r="LHF1" i="9"/>
  <c r="LHE1" i="9"/>
  <c r="LHD1" i="9"/>
  <c r="LHC1" i="9"/>
  <c r="LHB1" i="9"/>
  <c r="LHA1" i="9"/>
  <c r="LGZ1" i="9"/>
  <c r="LGY1" i="9"/>
  <c r="LGX1" i="9"/>
  <c r="LGW1" i="9"/>
  <c r="LGV1" i="9"/>
  <c r="LGU1" i="9"/>
  <c r="LGT1" i="9"/>
  <c r="LGS1" i="9"/>
  <c r="LGR1" i="9"/>
  <c r="LGQ1" i="9"/>
  <c r="LGP1" i="9"/>
  <c r="LGO1" i="9"/>
  <c r="LGN1" i="9"/>
  <c r="LGM1" i="9"/>
  <c r="LGL1" i="9"/>
  <c r="LGK1" i="9"/>
  <c r="LGJ1" i="9"/>
  <c r="LGI1" i="9"/>
  <c r="LGH1" i="9"/>
  <c r="LGG1" i="9"/>
  <c r="LGF1" i="9"/>
  <c r="LGE1" i="9"/>
  <c r="LGD1" i="9"/>
  <c r="LGC1" i="9"/>
  <c r="LGB1" i="9"/>
  <c r="LGA1" i="9"/>
  <c r="LFZ1" i="9"/>
  <c r="LFY1" i="9"/>
  <c r="LFX1" i="9"/>
  <c r="LFW1" i="9"/>
  <c r="LFV1" i="9"/>
  <c r="LFU1" i="9"/>
  <c r="LFT1" i="9"/>
  <c r="LFS1" i="9"/>
  <c r="LFR1" i="9"/>
  <c r="LFQ1" i="9"/>
  <c r="LFP1" i="9"/>
  <c r="LFO1" i="9"/>
  <c r="LFN1" i="9"/>
  <c r="LFM1" i="9"/>
  <c r="LFL1" i="9"/>
  <c r="LFK1" i="9"/>
  <c r="LFJ1" i="9"/>
  <c r="LFI1" i="9"/>
  <c r="LFH1" i="9"/>
  <c r="LFG1" i="9"/>
  <c r="LFF1" i="9"/>
  <c r="LFE1" i="9"/>
  <c r="LFD1" i="9"/>
  <c r="LFC1" i="9"/>
  <c r="LFB1" i="9"/>
  <c r="LFA1" i="9"/>
  <c r="LEZ1" i="9"/>
  <c r="LEY1" i="9"/>
  <c r="LEX1" i="9"/>
  <c r="LEW1" i="9"/>
  <c r="LEV1" i="9"/>
  <c r="LEU1" i="9"/>
  <c r="LET1" i="9"/>
  <c r="LES1" i="9"/>
  <c r="LER1" i="9"/>
  <c r="LEQ1" i="9"/>
  <c r="LEP1" i="9"/>
  <c r="LEO1" i="9"/>
  <c r="LEN1" i="9"/>
  <c r="LEM1" i="9"/>
  <c r="LEL1" i="9"/>
  <c r="LEK1" i="9"/>
  <c r="LEJ1" i="9"/>
  <c r="LEI1" i="9"/>
  <c r="LEH1" i="9"/>
  <c r="LEG1" i="9"/>
  <c r="LEF1" i="9"/>
  <c r="LEE1" i="9"/>
  <c r="LED1" i="9"/>
  <c r="LEC1" i="9"/>
  <c r="LEB1" i="9"/>
  <c r="LEA1" i="9"/>
  <c r="LDZ1" i="9"/>
  <c r="LDY1" i="9"/>
  <c r="LDX1" i="9"/>
  <c r="LDW1" i="9"/>
  <c r="LDV1" i="9"/>
  <c r="LDU1" i="9"/>
  <c r="LDT1" i="9"/>
  <c r="LDS1" i="9"/>
  <c r="LDR1" i="9"/>
  <c r="LDQ1" i="9"/>
  <c r="LDP1" i="9"/>
  <c r="LDO1" i="9"/>
  <c r="LDN1" i="9"/>
  <c r="LDM1" i="9"/>
  <c r="LDL1" i="9"/>
  <c r="LDK1" i="9"/>
  <c r="LDJ1" i="9"/>
  <c r="LDI1" i="9"/>
  <c r="LDH1" i="9"/>
  <c r="LDG1" i="9"/>
  <c r="LDF1" i="9"/>
  <c r="LDE1" i="9"/>
  <c r="LDD1" i="9"/>
  <c r="LDC1" i="9"/>
  <c r="LDB1" i="9"/>
  <c r="LDA1" i="9"/>
  <c r="LCZ1" i="9"/>
  <c r="LCY1" i="9"/>
  <c r="LCX1" i="9"/>
  <c r="LCW1" i="9"/>
  <c r="LCV1" i="9"/>
  <c r="LCU1" i="9"/>
  <c r="LCT1" i="9"/>
  <c r="LCS1" i="9"/>
  <c r="LCR1" i="9"/>
  <c r="LCQ1" i="9"/>
  <c r="LCP1" i="9"/>
  <c r="LCO1" i="9"/>
  <c r="LCN1" i="9"/>
  <c r="LCM1" i="9"/>
  <c r="LCL1" i="9"/>
  <c r="LCK1" i="9"/>
  <c r="LCJ1" i="9"/>
  <c r="LCI1" i="9"/>
  <c r="LCH1" i="9"/>
  <c r="LCG1" i="9"/>
  <c r="LCF1" i="9"/>
  <c r="LCE1" i="9"/>
  <c r="LCD1" i="9"/>
  <c r="LCC1" i="9"/>
  <c r="LCB1" i="9"/>
  <c r="LCA1" i="9"/>
  <c r="LBZ1" i="9"/>
  <c r="LBY1" i="9"/>
  <c r="LBX1" i="9"/>
  <c r="LBW1" i="9"/>
  <c r="LBV1" i="9"/>
  <c r="LBU1" i="9"/>
  <c r="LBT1" i="9"/>
  <c r="LBS1" i="9"/>
  <c r="LBR1" i="9"/>
  <c r="LBQ1" i="9"/>
  <c r="LBP1" i="9"/>
  <c r="LBO1" i="9"/>
  <c r="LBN1" i="9"/>
  <c r="LBM1" i="9"/>
  <c r="LBL1" i="9"/>
  <c r="LBK1" i="9"/>
  <c r="LBJ1" i="9"/>
  <c r="LBI1" i="9"/>
  <c r="LBH1" i="9"/>
  <c r="LBG1" i="9"/>
  <c r="LBF1" i="9"/>
  <c r="LBE1" i="9"/>
  <c r="LBD1" i="9"/>
  <c r="LBC1" i="9"/>
  <c r="LBB1" i="9"/>
  <c r="LBA1" i="9"/>
  <c r="LAZ1" i="9"/>
  <c r="LAY1" i="9"/>
  <c r="LAX1" i="9"/>
  <c r="LAW1" i="9"/>
  <c r="LAV1" i="9"/>
  <c r="LAU1" i="9"/>
  <c r="LAT1" i="9"/>
  <c r="LAS1" i="9"/>
  <c r="LAR1" i="9"/>
  <c r="LAQ1" i="9"/>
  <c r="LAP1" i="9"/>
  <c r="LAO1" i="9"/>
  <c r="LAN1" i="9"/>
  <c r="LAM1" i="9"/>
  <c r="LAL1" i="9"/>
  <c r="LAK1" i="9"/>
  <c r="LAJ1" i="9"/>
  <c r="LAI1" i="9"/>
  <c r="LAH1" i="9"/>
  <c r="LAG1" i="9"/>
  <c r="LAF1" i="9"/>
  <c r="LAE1" i="9"/>
  <c r="LAD1" i="9"/>
  <c r="LAC1" i="9"/>
  <c r="LAB1" i="9"/>
  <c r="LAA1" i="9"/>
  <c r="KZZ1" i="9"/>
  <c r="KZY1" i="9"/>
  <c r="KZX1" i="9"/>
  <c r="KZW1" i="9"/>
  <c r="KZV1" i="9"/>
  <c r="KZU1" i="9"/>
  <c r="KZT1" i="9"/>
  <c r="KZS1" i="9"/>
  <c r="KZR1" i="9"/>
  <c r="KZQ1" i="9"/>
  <c r="KZP1" i="9"/>
  <c r="KZO1" i="9"/>
  <c r="KZN1" i="9"/>
  <c r="KZM1" i="9"/>
  <c r="KZL1" i="9"/>
  <c r="KZK1" i="9"/>
  <c r="KZJ1" i="9"/>
  <c r="KZI1" i="9"/>
  <c r="KZH1" i="9"/>
  <c r="KZG1" i="9"/>
  <c r="KZF1" i="9"/>
  <c r="KZE1" i="9"/>
  <c r="KZD1" i="9"/>
  <c r="KZC1" i="9"/>
  <c r="KZB1" i="9"/>
  <c r="KZA1" i="9"/>
  <c r="KYZ1" i="9"/>
  <c r="KYY1" i="9"/>
  <c r="KYX1" i="9"/>
  <c r="KYW1" i="9"/>
  <c r="KYV1" i="9"/>
  <c r="KYU1" i="9"/>
  <c r="KYT1" i="9"/>
  <c r="KYS1" i="9"/>
  <c r="KYR1" i="9"/>
  <c r="KYQ1" i="9"/>
  <c r="KYP1" i="9"/>
  <c r="KYO1" i="9"/>
  <c r="KYN1" i="9"/>
  <c r="KYM1" i="9"/>
  <c r="KYL1" i="9"/>
  <c r="KYK1" i="9"/>
  <c r="KYJ1" i="9"/>
  <c r="KYI1" i="9"/>
  <c r="KYH1" i="9"/>
  <c r="KYG1" i="9"/>
  <c r="KYF1" i="9"/>
  <c r="KYE1" i="9"/>
  <c r="KYD1" i="9"/>
  <c r="KYC1" i="9"/>
  <c r="KYB1" i="9"/>
  <c r="KYA1" i="9"/>
  <c r="KXZ1" i="9"/>
  <c r="KXY1" i="9"/>
  <c r="KXX1" i="9"/>
  <c r="KXW1" i="9"/>
  <c r="KXV1" i="9"/>
  <c r="KXU1" i="9"/>
  <c r="KXT1" i="9"/>
  <c r="KXS1" i="9"/>
  <c r="KXR1" i="9"/>
  <c r="KXQ1" i="9"/>
  <c r="KXP1" i="9"/>
  <c r="KXO1" i="9"/>
  <c r="KXN1" i="9"/>
  <c r="KXM1" i="9"/>
  <c r="KXL1" i="9"/>
  <c r="KXK1" i="9"/>
  <c r="KXJ1" i="9"/>
  <c r="KXI1" i="9"/>
  <c r="KXH1" i="9"/>
  <c r="KXG1" i="9"/>
  <c r="KXF1" i="9"/>
  <c r="KXE1" i="9"/>
  <c r="KXD1" i="9"/>
  <c r="KXC1" i="9"/>
  <c r="KXB1" i="9"/>
  <c r="KXA1" i="9"/>
  <c r="KWZ1" i="9"/>
  <c r="KWY1" i="9"/>
  <c r="KWX1" i="9"/>
  <c r="KWW1" i="9"/>
  <c r="KWV1" i="9"/>
  <c r="KWU1" i="9"/>
  <c r="KWT1" i="9"/>
  <c r="KWS1" i="9"/>
  <c r="KWR1" i="9"/>
  <c r="KWQ1" i="9"/>
  <c r="KWP1" i="9"/>
  <c r="KWO1" i="9"/>
  <c r="KWN1" i="9"/>
  <c r="KWM1" i="9"/>
  <c r="KWL1" i="9"/>
  <c r="KWK1" i="9"/>
  <c r="KWJ1" i="9"/>
  <c r="KWI1" i="9"/>
  <c r="KWH1" i="9"/>
  <c r="KWG1" i="9"/>
  <c r="KWF1" i="9"/>
  <c r="KWE1" i="9"/>
  <c r="KWD1" i="9"/>
  <c r="KWC1" i="9"/>
  <c r="KWB1" i="9"/>
  <c r="KWA1" i="9"/>
  <c r="KVZ1" i="9"/>
  <c r="KVY1" i="9"/>
  <c r="KVX1" i="9"/>
  <c r="KVW1" i="9"/>
  <c r="KVV1" i="9"/>
  <c r="KVU1" i="9"/>
  <c r="KVT1" i="9"/>
  <c r="KVS1" i="9"/>
  <c r="KVR1" i="9"/>
  <c r="KVQ1" i="9"/>
  <c r="KVP1" i="9"/>
  <c r="KVO1" i="9"/>
  <c r="KVN1" i="9"/>
  <c r="KVM1" i="9"/>
  <c r="KVL1" i="9"/>
  <c r="KVK1" i="9"/>
  <c r="KVJ1" i="9"/>
  <c r="KVI1" i="9"/>
  <c r="KVH1" i="9"/>
  <c r="KVG1" i="9"/>
  <c r="KVF1" i="9"/>
  <c r="KVE1" i="9"/>
  <c r="KVD1" i="9"/>
  <c r="KVC1" i="9"/>
  <c r="KVB1" i="9"/>
  <c r="KVA1" i="9"/>
  <c r="KUZ1" i="9"/>
  <c r="KUY1" i="9"/>
  <c r="KUX1" i="9"/>
  <c r="KUW1" i="9"/>
  <c r="KUV1" i="9"/>
  <c r="KUU1" i="9"/>
  <c r="KUT1" i="9"/>
  <c r="KUS1" i="9"/>
  <c r="KUR1" i="9"/>
  <c r="KUQ1" i="9"/>
  <c r="KUP1" i="9"/>
  <c r="KUO1" i="9"/>
  <c r="KUN1" i="9"/>
  <c r="KUM1" i="9"/>
  <c r="KUL1" i="9"/>
  <c r="KUK1" i="9"/>
  <c r="KUJ1" i="9"/>
  <c r="KUI1" i="9"/>
  <c r="KUH1" i="9"/>
  <c r="KUG1" i="9"/>
  <c r="KUF1" i="9"/>
  <c r="KUE1" i="9"/>
  <c r="KUD1" i="9"/>
  <c r="KUC1" i="9"/>
  <c r="KUB1" i="9"/>
  <c r="KUA1" i="9"/>
  <c r="KTZ1" i="9"/>
  <c r="KTY1" i="9"/>
  <c r="KTX1" i="9"/>
  <c r="KTW1" i="9"/>
  <c r="KTV1" i="9"/>
  <c r="KTU1" i="9"/>
  <c r="KTT1" i="9"/>
  <c r="KTS1" i="9"/>
  <c r="KTR1" i="9"/>
  <c r="KTQ1" i="9"/>
  <c r="KTP1" i="9"/>
  <c r="KTO1" i="9"/>
  <c r="KTN1" i="9"/>
  <c r="KTM1" i="9"/>
  <c r="KTL1" i="9"/>
  <c r="KTK1" i="9"/>
  <c r="KTJ1" i="9"/>
  <c r="KTI1" i="9"/>
  <c r="KTH1" i="9"/>
  <c r="KTG1" i="9"/>
  <c r="KTF1" i="9"/>
  <c r="KTE1" i="9"/>
  <c r="KTD1" i="9"/>
  <c r="KTC1" i="9"/>
  <c r="KTB1" i="9"/>
  <c r="KTA1" i="9"/>
  <c r="KSZ1" i="9"/>
  <c r="KSY1" i="9"/>
  <c r="KSX1" i="9"/>
  <c r="KSW1" i="9"/>
  <c r="KSV1" i="9"/>
  <c r="KSU1" i="9"/>
  <c r="KST1" i="9"/>
  <c r="KSS1" i="9"/>
  <c r="KSR1" i="9"/>
  <c r="KSQ1" i="9"/>
  <c r="KSP1" i="9"/>
  <c r="KSO1" i="9"/>
  <c r="KSN1" i="9"/>
  <c r="KSM1" i="9"/>
  <c r="KSL1" i="9"/>
  <c r="KSK1" i="9"/>
  <c r="KSJ1" i="9"/>
  <c r="KSI1" i="9"/>
  <c r="KSH1" i="9"/>
  <c r="KSG1" i="9"/>
  <c r="KSF1" i="9"/>
  <c r="KSE1" i="9"/>
  <c r="KSD1" i="9"/>
  <c r="KSC1" i="9"/>
  <c r="KSB1" i="9"/>
  <c r="KSA1" i="9"/>
  <c r="KRZ1" i="9"/>
  <c r="KRY1" i="9"/>
  <c r="KRX1" i="9"/>
  <c r="KRW1" i="9"/>
  <c r="KRV1" i="9"/>
  <c r="KRU1" i="9"/>
  <c r="KRT1" i="9"/>
  <c r="KRS1" i="9"/>
  <c r="KRR1" i="9"/>
  <c r="KRQ1" i="9"/>
  <c r="KRP1" i="9"/>
  <c r="KRO1" i="9"/>
  <c r="KRN1" i="9"/>
  <c r="KRM1" i="9"/>
  <c r="KRL1" i="9"/>
  <c r="KRK1" i="9"/>
  <c r="KRJ1" i="9"/>
  <c r="KRI1" i="9"/>
  <c r="KRH1" i="9"/>
  <c r="KRG1" i="9"/>
  <c r="KRF1" i="9"/>
  <c r="KRE1" i="9"/>
  <c r="KRD1" i="9"/>
  <c r="KRC1" i="9"/>
  <c r="KRB1" i="9"/>
  <c r="KRA1" i="9"/>
  <c r="KQZ1" i="9"/>
  <c r="KQY1" i="9"/>
  <c r="KQX1" i="9"/>
  <c r="KQW1" i="9"/>
  <c r="KQV1" i="9"/>
  <c r="KQU1" i="9"/>
  <c r="KQT1" i="9"/>
  <c r="KQS1" i="9"/>
  <c r="KQR1" i="9"/>
  <c r="KQQ1" i="9"/>
  <c r="KQP1" i="9"/>
  <c r="KQO1" i="9"/>
  <c r="KQN1" i="9"/>
  <c r="KQM1" i="9"/>
  <c r="KQL1" i="9"/>
  <c r="KQK1" i="9"/>
  <c r="KQJ1" i="9"/>
  <c r="KQI1" i="9"/>
  <c r="KQH1" i="9"/>
  <c r="KQG1" i="9"/>
  <c r="KQF1" i="9"/>
  <c r="KQE1" i="9"/>
  <c r="KQD1" i="9"/>
  <c r="KQC1" i="9"/>
  <c r="KQB1" i="9"/>
  <c r="KQA1" i="9"/>
  <c r="KPZ1" i="9"/>
  <c r="KPY1" i="9"/>
  <c r="KPX1" i="9"/>
  <c r="KPW1" i="9"/>
  <c r="KPV1" i="9"/>
  <c r="KPU1" i="9"/>
  <c r="KPT1" i="9"/>
  <c r="KPS1" i="9"/>
  <c r="KPR1" i="9"/>
  <c r="KPQ1" i="9"/>
  <c r="KPP1" i="9"/>
  <c r="KPO1" i="9"/>
  <c r="KPN1" i="9"/>
  <c r="KPM1" i="9"/>
  <c r="KPL1" i="9"/>
  <c r="KPK1" i="9"/>
  <c r="KPJ1" i="9"/>
  <c r="KPI1" i="9"/>
  <c r="KPH1" i="9"/>
  <c r="KPG1" i="9"/>
  <c r="KPF1" i="9"/>
  <c r="KPE1" i="9"/>
  <c r="KPD1" i="9"/>
  <c r="KPC1" i="9"/>
  <c r="KPB1" i="9"/>
  <c r="KPA1" i="9"/>
  <c r="KOZ1" i="9"/>
  <c r="KOY1" i="9"/>
  <c r="KOX1" i="9"/>
  <c r="KOW1" i="9"/>
  <c r="KOV1" i="9"/>
  <c r="KOU1" i="9"/>
  <c r="KOT1" i="9"/>
  <c r="KOS1" i="9"/>
  <c r="KOR1" i="9"/>
  <c r="KOQ1" i="9"/>
  <c r="KOP1" i="9"/>
  <c r="KOO1" i="9"/>
  <c r="KON1" i="9"/>
  <c r="KOM1" i="9"/>
  <c r="KOL1" i="9"/>
  <c r="KOK1" i="9"/>
  <c r="KOJ1" i="9"/>
  <c r="KOI1" i="9"/>
  <c r="KOH1" i="9"/>
  <c r="KOG1" i="9"/>
  <c r="KOF1" i="9"/>
  <c r="KOE1" i="9"/>
  <c r="KOD1" i="9"/>
  <c r="KOC1" i="9"/>
  <c r="KOB1" i="9"/>
  <c r="KOA1" i="9"/>
  <c r="KNZ1" i="9"/>
  <c r="KNY1" i="9"/>
  <c r="KNX1" i="9"/>
  <c r="KNW1" i="9"/>
  <c r="KNV1" i="9"/>
  <c r="KNU1" i="9"/>
  <c r="KNT1" i="9"/>
  <c r="KNS1" i="9"/>
  <c r="KNR1" i="9"/>
  <c r="KNQ1" i="9"/>
  <c r="KNP1" i="9"/>
  <c r="KNO1" i="9"/>
  <c r="KNN1" i="9"/>
  <c r="KNM1" i="9"/>
  <c r="KNL1" i="9"/>
  <c r="KNK1" i="9"/>
  <c r="KNJ1" i="9"/>
  <c r="KNI1" i="9"/>
  <c r="KNH1" i="9"/>
  <c r="KNG1" i="9"/>
  <c r="KNF1" i="9"/>
  <c r="KNE1" i="9"/>
  <c r="KND1" i="9"/>
  <c r="KNC1" i="9"/>
  <c r="KNB1" i="9"/>
  <c r="KNA1" i="9"/>
  <c r="KMZ1" i="9"/>
  <c r="KMY1" i="9"/>
  <c r="KMX1" i="9"/>
  <c r="KMW1" i="9"/>
  <c r="KMV1" i="9"/>
  <c r="KMU1" i="9"/>
  <c r="KMT1" i="9"/>
  <c r="KMS1" i="9"/>
  <c r="KMR1" i="9"/>
  <c r="KMQ1" i="9"/>
  <c r="KMP1" i="9"/>
  <c r="KMO1" i="9"/>
  <c r="KMN1" i="9"/>
  <c r="KMM1" i="9"/>
  <c r="KML1" i="9"/>
  <c r="KMK1" i="9"/>
  <c r="KMJ1" i="9"/>
  <c r="KMI1" i="9"/>
  <c r="KMH1" i="9"/>
  <c r="KMG1" i="9"/>
  <c r="KMF1" i="9"/>
  <c r="KME1" i="9"/>
  <c r="KMD1" i="9"/>
  <c r="KMC1" i="9"/>
  <c r="KMB1" i="9"/>
  <c r="KMA1" i="9"/>
  <c r="KLZ1" i="9"/>
  <c r="KLY1" i="9"/>
  <c r="KLX1" i="9"/>
  <c r="KLW1" i="9"/>
  <c r="KLV1" i="9"/>
  <c r="KLU1" i="9"/>
  <c r="KLT1" i="9"/>
  <c r="KLS1" i="9"/>
  <c r="KLR1" i="9"/>
  <c r="KLQ1" i="9"/>
  <c r="KLP1" i="9"/>
  <c r="KLO1" i="9"/>
  <c r="KLN1" i="9"/>
  <c r="KLM1" i="9"/>
  <c r="KLL1" i="9"/>
  <c r="KLK1" i="9"/>
  <c r="KLJ1" i="9"/>
  <c r="KLI1" i="9"/>
  <c r="KLH1" i="9"/>
  <c r="KLG1" i="9"/>
  <c r="KLF1" i="9"/>
  <c r="KLE1" i="9"/>
  <c r="KLD1" i="9"/>
  <c r="KLC1" i="9"/>
  <c r="KLB1" i="9"/>
  <c r="KLA1" i="9"/>
  <c r="KKZ1" i="9"/>
  <c r="KKY1" i="9"/>
  <c r="KKX1" i="9"/>
  <c r="KKW1" i="9"/>
  <c r="KKV1" i="9"/>
  <c r="KKU1" i="9"/>
  <c r="KKT1" i="9"/>
  <c r="KKS1" i="9"/>
  <c r="KKR1" i="9"/>
  <c r="KKQ1" i="9"/>
  <c r="KKP1" i="9"/>
  <c r="KKO1" i="9"/>
  <c r="KKN1" i="9"/>
  <c r="KKM1" i="9"/>
  <c r="KKL1" i="9"/>
  <c r="KKK1" i="9"/>
  <c r="KKJ1" i="9"/>
  <c r="KKI1" i="9"/>
  <c r="KKH1" i="9"/>
  <c r="KKG1" i="9"/>
  <c r="KKF1" i="9"/>
  <c r="KKE1" i="9"/>
  <c r="KKD1" i="9"/>
  <c r="KKC1" i="9"/>
  <c r="KKB1" i="9"/>
  <c r="KKA1" i="9"/>
  <c r="KJZ1" i="9"/>
  <c r="KJY1" i="9"/>
  <c r="KJX1" i="9"/>
  <c r="KJW1" i="9"/>
  <c r="KJV1" i="9"/>
  <c r="KJU1" i="9"/>
  <c r="KJT1" i="9"/>
  <c r="KJS1" i="9"/>
  <c r="KJR1" i="9"/>
  <c r="KJQ1" i="9"/>
  <c r="KJP1" i="9"/>
  <c r="KJO1" i="9"/>
  <c r="KJN1" i="9"/>
  <c r="KJM1" i="9"/>
  <c r="KJL1" i="9"/>
  <c r="KJK1" i="9"/>
  <c r="KJJ1" i="9"/>
  <c r="KJI1" i="9"/>
  <c r="KJH1" i="9"/>
  <c r="KJG1" i="9"/>
  <c r="KJF1" i="9"/>
  <c r="KJE1" i="9"/>
  <c r="KJD1" i="9"/>
  <c r="KJC1" i="9"/>
  <c r="KJB1" i="9"/>
  <c r="KJA1" i="9"/>
  <c r="KIZ1" i="9"/>
  <c r="KIY1" i="9"/>
  <c r="KIX1" i="9"/>
  <c r="KIW1" i="9"/>
  <c r="KIV1" i="9"/>
  <c r="KIU1" i="9"/>
  <c r="KIT1" i="9"/>
  <c r="KIS1" i="9"/>
  <c r="KIR1" i="9"/>
  <c r="KIQ1" i="9"/>
  <c r="KIP1" i="9"/>
  <c r="KIO1" i="9"/>
  <c r="KIN1" i="9"/>
  <c r="KIM1" i="9"/>
  <c r="KIL1" i="9"/>
  <c r="KIK1" i="9"/>
  <c r="KIJ1" i="9"/>
  <c r="KII1" i="9"/>
  <c r="KIH1" i="9"/>
  <c r="KIG1" i="9"/>
  <c r="KIF1" i="9"/>
  <c r="KIE1" i="9"/>
  <c r="KID1" i="9"/>
  <c r="KIC1" i="9"/>
  <c r="KIB1" i="9"/>
  <c r="KIA1" i="9"/>
  <c r="KHZ1" i="9"/>
  <c r="KHY1" i="9"/>
  <c r="KHX1" i="9"/>
  <c r="KHW1" i="9"/>
  <c r="KHV1" i="9"/>
  <c r="KHU1" i="9"/>
  <c r="KHT1" i="9"/>
  <c r="KHS1" i="9"/>
  <c r="KHR1" i="9"/>
  <c r="KHQ1" i="9"/>
  <c r="KHP1" i="9"/>
  <c r="KHO1" i="9"/>
  <c r="KHN1" i="9"/>
  <c r="KHM1" i="9"/>
  <c r="KHL1" i="9"/>
  <c r="KHK1" i="9"/>
  <c r="KHJ1" i="9"/>
  <c r="KHI1" i="9"/>
  <c r="KHH1" i="9"/>
  <c r="KHG1" i="9"/>
  <c r="KHF1" i="9"/>
  <c r="KHE1" i="9"/>
  <c r="KHD1" i="9"/>
  <c r="KHC1" i="9"/>
  <c r="KHB1" i="9"/>
  <c r="KHA1" i="9"/>
  <c r="KGZ1" i="9"/>
  <c r="KGY1" i="9"/>
  <c r="KGX1" i="9"/>
  <c r="KGW1" i="9"/>
  <c r="KGV1" i="9"/>
  <c r="KGU1" i="9"/>
  <c r="KGT1" i="9"/>
  <c r="KGS1" i="9"/>
  <c r="KGR1" i="9"/>
  <c r="KGQ1" i="9"/>
  <c r="KGP1" i="9"/>
  <c r="KGO1" i="9"/>
  <c r="KGN1" i="9"/>
  <c r="KGM1" i="9"/>
  <c r="KGL1" i="9"/>
  <c r="KGK1" i="9"/>
  <c r="KGJ1" i="9"/>
  <c r="KGI1" i="9"/>
  <c r="KGH1" i="9"/>
  <c r="KGG1" i="9"/>
  <c r="KGF1" i="9"/>
  <c r="KGE1" i="9"/>
  <c r="KGD1" i="9"/>
  <c r="KGC1" i="9"/>
  <c r="KGB1" i="9"/>
  <c r="KGA1" i="9"/>
  <c r="KFZ1" i="9"/>
  <c r="KFY1" i="9"/>
  <c r="KFX1" i="9"/>
  <c r="KFW1" i="9"/>
  <c r="KFV1" i="9"/>
  <c r="KFU1" i="9"/>
  <c r="KFT1" i="9"/>
  <c r="KFS1" i="9"/>
  <c r="KFR1" i="9"/>
  <c r="KFQ1" i="9"/>
  <c r="KFP1" i="9"/>
  <c r="KFO1" i="9"/>
  <c r="KFN1" i="9"/>
  <c r="KFM1" i="9"/>
  <c r="KFL1" i="9"/>
  <c r="KFK1" i="9"/>
  <c r="KFJ1" i="9"/>
  <c r="KFI1" i="9"/>
  <c r="KFH1" i="9"/>
  <c r="KFG1" i="9"/>
  <c r="KFF1" i="9"/>
  <c r="KFE1" i="9"/>
  <c r="KFD1" i="9"/>
  <c r="KFC1" i="9"/>
  <c r="KFB1" i="9"/>
  <c r="KFA1" i="9"/>
  <c r="KEZ1" i="9"/>
  <c r="KEY1" i="9"/>
  <c r="KEX1" i="9"/>
  <c r="KEW1" i="9"/>
  <c r="KEV1" i="9"/>
  <c r="KEU1" i="9"/>
  <c r="KET1" i="9"/>
  <c r="KES1" i="9"/>
  <c r="KER1" i="9"/>
  <c r="KEQ1" i="9"/>
  <c r="KEP1" i="9"/>
  <c r="KEO1" i="9"/>
  <c r="KEN1" i="9"/>
  <c r="KEM1" i="9"/>
  <c r="KEL1" i="9"/>
  <c r="KEK1" i="9"/>
  <c r="KEJ1" i="9"/>
  <c r="KEI1" i="9"/>
  <c r="KEH1" i="9"/>
  <c r="KEG1" i="9"/>
  <c r="KEF1" i="9"/>
  <c r="KEE1" i="9"/>
  <c r="KED1" i="9"/>
  <c r="KEC1" i="9"/>
  <c r="KEB1" i="9"/>
  <c r="KEA1" i="9"/>
  <c r="KDZ1" i="9"/>
  <c r="KDY1" i="9"/>
  <c r="KDX1" i="9"/>
  <c r="KDW1" i="9"/>
  <c r="KDV1" i="9"/>
  <c r="KDU1" i="9"/>
  <c r="KDT1" i="9"/>
  <c r="KDS1" i="9"/>
  <c r="KDR1" i="9"/>
  <c r="KDQ1" i="9"/>
  <c r="KDP1" i="9"/>
  <c r="KDO1" i="9"/>
  <c r="KDN1" i="9"/>
  <c r="KDM1" i="9"/>
  <c r="KDL1" i="9"/>
  <c r="KDK1" i="9"/>
  <c r="KDJ1" i="9"/>
  <c r="KDI1" i="9"/>
  <c r="KDH1" i="9"/>
  <c r="KDG1" i="9"/>
  <c r="KDF1" i="9"/>
  <c r="KDE1" i="9"/>
  <c r="KDD1" i="9"/>
  <c r="KDC1" i="9"/>
  <c r="KDB1" i="9"/>
  <c r="KDA1" i="9"/>
  <c r="KCZ1" i="9"/>
  <c r="KCY1" i="9"/>
  <c r="KCX1" i="9"/>
  <c r="KCW1" i="9"/>
  <c r="KCV1" i="9"/>
  <c r="KCU1" i="9"/>
  <c r="KCT1" i="9"/>
  <c r="KCS1" i="9"/>
  <c r="KCR1" i="9"/>
  <c r="KCQ1" i="9"/>
  <c r="KCP1" i="9"/>
  <c r="KCO1" i="9"/>
  <c r="KCN1" i="9"/>
  <c r="KCM1" i="9"/>
  <c r="KCL1" i="9"/>
  <c r="KCK1" i="9"/>
  <c r="KCJ1" i="9"/>
  <c r="KCI1" i="9"/>
  <c r="KCH1" i="9"/>
  <c r="KCG1" i="9"/>
  <c r="KCF1" i="9"/>
  <c r="KCE1" i="9"/>
  <c r="KCD1" i="9"/>
  <c r="KCC1" i="9"/>
  <c r="KCB1" i="9"/>
  <c r="KCA1" i="9"/>
  <c r="KBZ1" i="9"/>
  <c r="KBY1" i="9"/>
  <c r="KBX1" i="9"/>
  <c r="KBW1" i="9"/>
  <c r="KBV1" i="9"/>
  <c r="KBU1" i="9"/>
  <c r="KBT1" i="9"/>
  <c r="KBS1" i="9"/>
  <c r="KBR1" i="9"/>
  <c r="KBQ1" i="9"/>
  <c r="KBP1" i="9"/>
  <c r="KBO1" i="9"/>
  <c r="KBN1" i="9"/>
  <c r="KBM1" i="9"/>
  <c r="KBL1" i="9"/>
  <c r="KBK1" i="9"/>
  <c r="KBJ1" i="9"/>
  <c r="KBI1" i="9"/>
  <c r="KBH1" i="9"/>
  <c r="KBG1" i="9"/>
  <c r="KBF1" i="9"/>
  <c r="KBE1" i="9"/>
  <c r="KBD1" i="9"/>
  <c r="KBC1" i="9"/>
  <c r="KBB1" i="9"/>
  <c r="KBA1" i="9"/>
  <c r="KAZ1" i="9"/>
  <c r="KAY1" i="9"/>
  <c r="KAX1" i="9"/>
  <c r="KAW1" i="9"/>
  <c r="KAV1" i="9"/>
  <c r="KAU1" i="9"/>
  <c r="KAT1" i="9"/>
  <c r="KAS1" i="9"/>
  <c r="KAR1" i="9"/>
  <c r="KAQ1" i="9"/>
  <c r="KAP1" i="9"/>
  <c r="KAO1" i="9"/>
  <c r="KAN1" i="9"/>
  <c r="KAM1" i="9"/>
  <c r="KAL1" i="9"/>
  <c r="KAK1" i="9"/>
  <c r="KAJ1" i="9"/>
  <c r="KAI1" i="9"/>
  <c r="KAH1" i="9"/>
  <c r="KAG1" i="9"/>
  <c r="KAF1" i="9"/>
  <c r="KAE1" i="9"/>
  <c r="KAD1" i="9"/>
  <c r="KAC1" i="9"/>
  <c r="KAB1" i="9"/>
  <c r="KAA1" i="9"/>
  <c r="JZZ1" i="9"/>
  <c r="JZY1" i="9"/>
  <c r="JZX1" i="9"/>
  <c r="JZW1" i="9"/>
  <c r="JZV1" i="9"/>
  <c r="JZU1" i="9"/>
  <c r="JZT1" i="9"/>
  <c r="JZS1" i="9"/>
  <c r="JZR1" i="9"/>
  <c r="JZQ1" i="9"/>
  <c r="JZP1" i="9"/>
  <c r="JZO1" i="9"/>
  <c r="JZN1" i="9"/>
  <c r="JZM1" i="9"/>
  <c r="JZL1" i="9"/>
  <c r="JZK1" i="9"/>
  <c r="JZJ1" i="9"/>
  <c r="JZI1" i="9"/>
  <c r="JZH1" i="9"/>
  <c r="JZG1" i="9"/>
  <c r="JZF1" i="9"/>
  <c r="JZE1" i="9"/>
  <c r="JZD1" i="9"/>
  <c r="JZC1" i="9"/>
  <c r="JZB1" i="9"/>
  <c r="JZA1" i="9"/>
  <c r="JYZ1" i="9"/>
  <c r="JYY1" i="9"/>
  <c r="JYX1" i="9"/>
  <c r="JYW1" i="9"/>
  <c r="JYV1" i="9"/>
  <c r="JYU1" i="9"/>
  <c r="JYT1" i="9"/>
  <c r="JYS1" i="9"/>
  <c r="JYR1" i="9"/>
  <c r="JYQ1" i="9"/>
  <c r="JYP1" i="9"/>
  <c r="JYO1" i="9"/>
  <c r="JYN1" i="9"/>
  <c r="JYM1" i="9"/>
  <c r="JYL1" i="9"/>
  <c r="JYK1" i="9"/>
  <c r="JYJ1" i="9"/>
  <c r="JYI1" i="9"/>
  <c r="JYH1" i="9"/>
  <c r="JYG1" i="9"/>
  <c r="JYF1" i="9"/>
  <c r="JYE1" i="9"/>
  <c r="JYD1" i="9"/>
  <c r="JYC1" i="9"/>
  <c r="JYB1" i="9"/>
  <c r="JYA1" i="9"/>
  <c r="JXZ1" i="9"/>
  <c r="JXY1" i="9"/>
  <c r="JXX1" i="9"/>
  <c r="JXW1" i="9"/>
  <c r="JXV1" i="9"/>
  <c r="JXU1" i="9"/>
  <c r="JXT1" i="9"/>
  <c r="JXS1" i="9"/>
  <c r="JXR1" i="9"/>
  <c r="JXQ1" i="9"/>
  <c r="JXP1" i="9"/>
  <c r="JXO1" i="9"/>
  <c r="JXN1" i="9"/>
  <c r="JXM1" i="9"/>
  <c r="JXL1" i="9"/>
  <c r="JXK1" i="9"/>
  <c r="JXJ1" i="9"/>
  <c r="JXI1" i="9"/>
  <c r="JXH1" i="9"/>
  <c r="JXG1" i="9"/>
  <c r="JXF1" i="9"/>
  <c r="JXE1" i="9"/>
  <c r="JXD1" i="9"/>
  <c r="JXC1" i="9"/>
  <c r="JXB1" i="9"/>
  <c r="JXA1" i="9"/>
  <c r="JWZ1" i="9"/>
  <c r="JWY1" i="9"/>
  <c r="JWX1" i="9"/>
  <c r="JWW1" i="9"/>
  <c r="JWV1" i="9"/>
  <c r="JWU1" i="9"/>
  <c r="JWT1" i="9"/>
  <c r="JWS1" i="9"/>
  <c r="JWR1" i="9"/>
  <c r="JWQ1" i="9"/>
  <c r="JWP1" i="9"/>
  <c r="JWO1" i="9"/>
  <c r="JWN1" i="9"/>
  <c r="JWM1" i="9"/>
  <c r="JWL1" i="9"/>
  <c r="JWK1" i="9"/>
  <c r="JWJ1" i="9"/>
  <c r="JWI1" i="9"/>
  <c r="JWH1" i="9"/>
  <c r="JWG1" i="9"/>
  <c r="JWF1" i="9"/>
  <c r="JWE1" i="9"/>
  <c r="JWD1" i="9"/>
  <c r="JWC1" i="9"/>
  <c r="JWB1" i="9"/>
  <c r="JWA1" i="9"/>
  <c r="JVZ1" i="9"/>
  <c r="JVY1" i="9"/>
  <c r="JVX1" i="9"/>
  <c r="JVW1" i="9"/>
  <c r="JVV1" i="9"/>
  <c r="JVU1" i="9"/>
  <c r="JVT1" i="9"/>
  <c r="JVS1" i="9"/>
  <c r="JVR1" i="9"/>
  <c r="JVQ1" i="9"/>
  <c r="JVP1" i="9"/>
  <c r="JVO1" i="9"/>
  <c r="JVN1" i="9"/>
  <c r="JVM1" i="9"/>
  <c r="JVL1" i="9"/>
  <c r="JVK1" i="9"/>
  <c r="JVJ1" i="9"/>
  <c r="JVI1" i="9"/>
  <c r="JVH1" i="9"/>
  <c r="JVG1" i="9"/>
  <c r="JVF1" i="9"/>
  <c r="JVE1" i="9"/>
  <c r="JVD1" i="9"/>
  <c r="JVC1" i="9"/>
  <c r="JVB1" i="9"/>
  <c r="JVA1" i="9"/>
  <c r="JUZ1" i="9"/>
  <c r="JUY1" i="9"/>
  <c r="JUX1" i="9"/>
  <c r="JUW1" i="9"/>
  <c r="JUV1" i="9"/>
  <c r="JUU1" i="9"/>
  <c r="JUT1" i="9"/>
  <c r="JUS1" i="9"/>
  <c r="JUR1" i="9"/>
  <c r="JUQ1" i="9"/>
  <c r="JUP1" i="9"/>
  <c r="JUO1" i="9"/>
  <c r="JUN1" i="9"/>
  <c r="JUM1" i="9"/>
  <c r="JUL1" i="9"/>
  <c r="JUK1" i="9"/>
  <c r="JUJ1" i="9"/>
  <c r="JUI1" i="9"/>
  <c r="JUH1" i="9"/>
  <c r="JUG1" i="9"/>
  <c r="JUF1" i="9"/>
  <c r="JUE1" i="9"/>
  <c r="JUD1" i="9"/>
  <c r="JUC1" i="9"/>
  <c r="JUB1" i="9"/>
  <c r="JUA1" i="9"/>
  <c r="JTZ1" i="9"/>
  <c r="JTY1" i="9"/>
  <c r="JTX1" i="9"/>
  <c r="JTW1" i="9"/>
  <c r="JTV1" i="9"/>
  <c r="JTU1" i="9"/>
  <c r="JTT1" i="9"/>
  <c r="JTS1" i="9"/>
  <c r="JTR1" i="9"/>
  <c r="JTQ1" i="9"/>
  <c r="JTP1" i="9"/>
  <c r="JTO1" i="9"/>
  <c r="JTN1" i="9"/>
  <c r="JTM1" i="9"/>
  <c r="JTL1" i="9"/>
  <c r="JTK1" i="9"/>
  <c r="JTJ1" i="9"/>
  <c r="JTI1" i="9"/>
  <c r="JTH1" i="9"/>
  <c r="JTG1" i="9"/>
  <c r="JTF1" i="9"/>
  <c r="JTE1" i="9"/>
  <c r="JTD1" i="9"/>
  <c r="JTC1" i="9"/>
  <c r="JTB1" i="9"/>
  <c r="JTA1" i="9"/>
  <c r="JSZ1" i="9"/>
  <c r="JSY1" i="9"/>
  <c r="JSX1" i="9"/>
  <c r="JSW1" i="9"/>
  <c r="JSV1" i="9"/>
  <c r="JSU1" i="9"/>
  <c r="JST1" i="9"/>
  <c r="JSS1" i="9"/>
  <c r="JSR1" i="9"/>
  <c r="JSQ1" i="9"/>
  <c r="JSP1" i="9"/>
  <c r="JSO1" i="9"/>
  <c r="JSN1" i="9"/>
  <c r="JSM1" i="9"/>
  <c r="JSL1" i="9"/>
  <c r="JSK1" i="9"/>
  <c r="JSJ1" i="9"/>
  <c r="JSI1" i="9"/>
  <c r="JSH1" i="9"/>
  <c r="JSG1" i="9"/>
  <c r="JSF1" i="9"/>
  <c r="JSE1" i="9"/>
  <c r="JSD1" i="9"/>
  <c r="JSC1" i="9"/>
  <c r="JSB1" i="9"/>
  <c r="JSA1" i="9"/>
  <c r="JRZ1" i="9"/>
  <c r="JRY1" i="9"/>
  <c r="JRX1" i="9"/>
  <c r="JRW1" i="9"/>
  <c r="JRV1" i="9"/>
  <c r="JRU1" i="9"/>
  <c r="JRT1" i="9"/>
  <c r="JRS1" i="9"/>
  <c r="JRR1" i="9"/>
  <c r="JRQ1" i="9"/>
  <c r="JRP1" i="9"/>
  <c r="JRO1" i="9"/>
  <c r="JRN1" i="9"/>
  <c r="JRM1" i="9"/>
  <c r="JRL1" i="9"/>
  <c r="JRK1" i="9"/>
  <c r="JRJ1" i="9"/>
  <c r="JRI1" i="9"/>
  <c r="JRH1" i="9"/>
  <c r="JRG1" i="9"/>
  <c r="JRF1" i="9"/>
  <c r="JRE1" i="9"/>
  <c r="JRD1" i="9"/>
  <c r="JRC1" i="9"/>
  <c r="JRB1" i="9"/>
  <c r="JRA1" i="9"/>
  <c r="JQZ1" i="9"/>
  <c r="JQY1" i="9"/>
  <c r="JQX1" i="9"/>
  <c r="JQW1" i="9"/>
  <c r="JQV1" i="9"/>
  <c r="JQU1" i="9"/>
  <c r="JQT1" i="9"/>
  <c r="JQS1" i="9"/>
  <c r="JQR1" i="9"/>
  <c r="JQQ1" i="9"/>
  <c r="JQP1" i="9"/>
  <c r="JQO1" i="9"/>
  <c r="JQN1" i="9"/>
  <c r="JQM1" i="9"/>
  <c r="JQL1" i="9"/>
  <c r="JQK1" i="9"/>
  <c r="JQJ1" i="9"/>
  <c r="JQI1" i="9"/>
  <c r="JQH1" i="9"/>
  <c r="JQG1" i="9"/>
  <c r="JQF1" i="9"/>
  <c r="JQE1" i="9"/>
  <c r="JQD1" i="9"/>
  <c r="JQC1" i="9"/>
  <c r="JQB1" i="9"/>
  <c r="JQA1" i="9"/>
  <c r="JPZ1" i="9"/>
  <c r="JPY1" i="9"/>
  <c r="JPX1" i="9"/>
  <c r="JPW1" i="9"/>
  <c r="JPV1" i="9"/>
  <c r="JPU1" i="9"/>
  <c r="JPT1" i="9"/>
  <c r="JPS1" i="9"/>
  <c r="JPR1" i="9"/>
  <c r="JPQ1" i="9"/>
  <c r="JPP1" i="9"/>
  <c r="JPO1" i="9"/>
  <c r="JPN1" i="9"/>
  <c r="JPM1" i="9"/>
  <c r="JPL1" i="9"/>
  <c r="JPK1" i="9"/>
  <c r="JPJ1" i="9"/>
  <c r="JPI1" i="9"/>
  <c r="JPH1" i="9"/>
  <c r="JPG1" i="9"/>
  <c r="JPF1" i="9"/>
  <c r="JPE1" i="9"/>
  <c r="JPD1" i="9"/>
  <c r="JPC1" i="9"/>
  <c r="JPB1" i="9"/>
  <c r="JPA1" i="9"/>
  <c r="JOZ1" i="9"/>
  <c r="JOY1" i="9"/>
  <c r="JOX1" i="9"/>
  <c r="JOW1" i="9"/>
  <c r="JOV1" i="9"/>
  <c r="JOU1" i="9"/>
  <c r="JOT1" i="9"/>
  <c r="JOS1" i="9"/>
  <c r="JOR1" i="9"/>
  <c r="JOQ1" i="9"/>
  <c r="JOP1" i="9"/>
  <c r="JOO1" i="9"/>
  <c r="JON1" i="9"/>
  <c r="JOM1" i="9"/>
  <c r="JOL1" i="9"/>
  <c r="JOK1" i="9"/>
  <c r="JOJ1" i="9"/>
  <c r="JOI1" i="9"/>
  <c r="JOH1" i="9"/>
  <c r="JOG1" i="9"/>
  <c r="JOF1" i="9"/>
  <c r="JOE1" i="9"/>
  <c r="JOD1" i="9"/>
  <c r="JOC1" i="9"/>
  <c r="JOB1" i="9"/>
  <c r="JOA1" i="9"/>
  <c r="JNZ1" i="9"/>
  <c r="JNY1" i="9"/>
  <c r="JNX1" i="9"/>
  <c r="JNW1" i="9"/>
  <c r="JNV1" i="9"/>
  <c r="JNU1" i="9"/>
  <c r="JNT1" i="9"/>
  <c r="JNS1" i="9"/>
  <c r="JNR1" i="9"/>
  <c r="JNQ1" i="9"/>
  <c r="JNP1" i="9"/>
  <c r="JNO1" i="9"/>
  <c r="JNN1" i="9"/>
  <c r="JNM1" i="9"/>
  <c r="JNL1" i="9"/>
  <c r="JNK1" i="9"/>
  <c r="JNJ1" i="9"/>
  <c r="JNI1" i="9"/>
  <c r="JNH1" i="9"/>
  <c r="JNG1" i="9"/>
  <c r="JNF1" i="9"/>
  <c r="JNE1" i="9"/>
  <c r="JND1" i="9"/>
  <c r="JNC1" i="9"/>
  <c r="JNB1" i="9"/>
  <c r="JNA1" i="9"/>
  <c r="JMZ1" i="9"/>
  <c r="JMY1" i="9"/>
  <c r="JMX1" i="9"/>
  <c r="JMW1" i="9"/>
  <c r="JMV1" i="9"/>
  <c r="JMU1" i="9"/>
  <c r="JMT1" i="9"/>
  <c r="JMS1" i="9"/>
  <c r="JMR1" i="9"/>
  <c r="JMQ1" i="9"/>
  <c r="JMP1" i="9"/>
  <c r="JMO1" i="9"/>
  <c r="JMN1" i="9"/>
  <c r="JMM1" i="9"/>
  <c r="JML1" i="9"/>
  <c r="JMK1" i="9"/>
  <c r="JMJ1" i="9"/>
  <c r="JMI1" i="9"/>
  <c r="JMH1" i="9"/>
  <c r="JMG1" i="9"/>
  <c r="JMF1" i="9"/>
  <c r="JME1" i="9"/>
  <c r="JMD1" i="9"/>
  <c r="JMC1" i="9"/>
  <c r="JMB1" i="9"/>
  <c r="JMA1" i="9"/>
  <c r="JLZ1" i="9"/>
  <c r="JLY1" i="9"/>
  <c r="JLX1" i="9"/>
  <c r="JLW1" i="9"/>
  <c r="JLV1" i="9"/>
  <c r="JLU1" i="9"/>
  <c r="JLT1" i="9"/>
  <c r="JLS1" i="9"/>
  <c r="JLR1" i="9"/>
  <c r="JLQ1" i="9"/>
  <c r="JLP1" i="9"/>
  <c r="JLO1" i="9"/>
  <c r="JLN1" i="9"/>
  <c r="JLM1" i="9"/>
  <c r="JLL1" i="9"/>
  <c r="JLK1" i="9"/>
  <c r="JLJ1" i="9"/>
  <c r="JLI1" i="9"/>
  <c r="JLH1" i="9"/>
  <c r="JLG1" i="9"/>
  <c r="JLF1" i="9"/>
  <c r="JLE1" i="9"/>
  <c r="JLD1" i="9"/>
  <c r="JLC1" i="9"/>
  <c r="JLB1" i="9"/>
  <c r="JLA1" i="9"/>
  <c r="JKZ1" i="9"/>
  <c r="JKY1" i="9"/>
  <c r="JKX1" i="9"/>
  <c r="JKW1" i="9"/>
  <c r="JKV1" i="9"/>
  <c r="JKU1" i="9"/>
  <c r="JKT1" i="9"/>
  <c r="JKS1" i="9"/>
  <c r="JKR1" i="9"/>
  <c r="JKQ1" i="9"/>
  <c r="JKP1" i="9"/>
  <c r="JKO1" i="9"/>
  <c r="JKN1" i="9"/>
  <c r="JKM1" i="9"/>
  <c r="JKL1" i="9"/>
  <c r="JKK1" i="9"/>
  <c r="JKJ1" i="9"/>
  <c r="JKI1" i="9"/>
  <c r="JKH1" i="9"/>
  <c r="JKG1" i="9"/>
  <c r="JKF1" i="9"/>
  <c r="JKE1" i="9"/>
  <c r="JKD1" i="9"/>
  <c r="JKC1" i="9"/>
  <c r="JKB1" i="9"/>
  <c r="JKA1" i="9"/>
  <c r="JJZ1" i="9"/>
  <c r="JJY1" i="9"/>
  <c r="JJX1" i="9"/>
  <c r="JJW1" i="9"/>
  <c r="JJV1" i="9"/>
  <c r="JJU1" i="9"/>
  <c r="JJT1" i="9"/>
  <c r="JJS1" i="9"/>
  <c r="JJR1" i="9"/>
  <c r="JJQ1" i="9"/>
  <c r="JJP1" i="9"/>
  <c r="JJO1" i="9"/>
  <c r="JJN1" i="9"/>
  <c r="JJM1" i="9"/>
  <c r="JJL1" i="9"/>
  <c r="JJK1" i="9"/>
  <c r="JJJ1" i="9"/>
  <c r="JJI1" i="9"/>
  <c r="JJH1" i="9"/>
  <c r="JJG1" i="9"/>
  <c r="JJF1" i="9"/>
  <c r="JJE1" i="9"/>
  <c r="JJD1" i="9"/>
  <c r="JJC1" i="9"/>
  <c r="JJB1" i="9"/>
  <c r="JJA1" i="9"/>
  <c r="JIZ1" i="9"/>
  <c r="JIY1" i="9"/>
  <c r="JIX1" i="9"/>
  <c r="JIW1" i="9"/>
  <c r="JIV1" i="9"/>
  <c r="JIU1" i="9"/>
  <c r="JIT1" i="9"/>
  <c r="JIS1" i="9"/>
  <c r="JIR1" i="9"/>
  <c r="JIQ1" i="9"/>
  <c r="JIP1" i="9"/>
  <c r="JIO1" i="9"/>
  <c r="JIN1" i="9"/>
  <c r="JIM1" i="9"/>
  <c r="JIL1" i="9"/>
  <c r="JIK1" i="9"/>
  <c r="JIJ1" i="9"/>
  <c r="JII1" i="9"/>
  <c r="JIH1" i="9"/>
  <c r="JIG1" i="9"/>
  <c r="JIF1" i="9"/>
  <c r="JIE1" i="9"/>
  <c r="JID1" i="9"/>
  <c r="JIC1" i="9"/>
  <c r="JIB1" i="9"/>
  <c r="JIA1" i="9"/>
  <c r="JHZ1" i="9"/>
  <c r="JHY1" i="9"/>
  <c r="JHX1" i="9"/>
  <c r="JHW1" i="9"/>
  <c r="JHV1" i="9"/>
  <c r="JHU1" i="9"/>
  <c r="JHT1" i="9"/>
  <c r="JHS1" i="9"/>
  <c r="JHR1" i="9"/>
  <c r="JHQ1" i="9"/>
  <c r="JHP1" i="9"/>
  <c r="JHO1" i="9"/>
  <c r="JHN1" i="9"/>
  <c r="JHM1" i="9"/>
  <c r="JHL1" i="9"/>
  <c r="JHK1" i="9"/>
  <c r="JHJ1" i="9"/>
  <c r="JHI1" i="9"/>
  <c r="JHH1" i="9"/>
  <c r="JHG1" i="9"/>
  <c r="JHF1" i="9"/>
  <c r="JHE1" i="9"/>
  <c r="JHD1" i="9"/>
  <c r="JHC1" i="9"/>
  <c r="JHB1" i="9"/>
  <c r="JHA1" i="9"/>
  <c r="JGZ1" i="9"/>
  <c r="JGY1" i="9"/>
  <c r="JGX1" i="9"/>
  <c r="JGW1" i="9"/>
  <c r="JGV1" i="9"/>
  <c r="JGU1" i="9"/>
  <c r="JGT1" i="9"/>
  <c r="JGS1" i="9"/>
  <c r="JGR1" i="9"/>
  <c r="JGQ1" i="9"/>
  <c r="JGP1" i="9"/>
  <c r="JGO1" i="9"/>
  <c r="JGN1" i="9"/>
  <c r="JGM1" i="9"/>
  <c r="JGL1" i="9"/>
  <c r="JGK1" i="9"/>
  <c r="JGJ1" i="9"/>
  <c r="JGI1" i="9"/>
  <c r="JGH1" i="9"/>
  <c r="JGG1" i="9"/>
  <c r="JGF1" i="9"/>
  <c r="JGE1" i="9"/>
  <c r="JGD1" i="9"/>
  <c r="JGC1" i="9"/>
  <c r="JGB1" i="9"/>
  <c r="JGA1" i="9"/>
  <c r="JFZ1" i="9"/>
  <c r="JFY1" i="9"/>
  <c r="JFX1" i="9"/>
  <c r="JFW1" i="9"/>
  <c r="JFV1" i="9"/>
  <c r="JFU1" i="9"/>
  <c r="JFT1" i="9"/>
  <c r="JFS1" i="9"/>
  <c r="JFR1" i="9"/>
  <c r="JFQ1" i="9"/>
  <c r="JFP1" i="9"/>
  <c r="JFO1" i="9"/>
  <c r="JFN1" i="9"/>
  <c r="JFM1" i="9"/>
  <c r="JFL1" i="9"/>
  <c r="JFK1" i="9"/>
  <c r="JFJ1" i="9"/>
  <c r="JFI1" i="9"/>
  <c r="JFH1" i="9"/>
  <c r="JFG1" i="9"/>
  <c r="JFF1" i="9"/>
  <c r="JFE1" i="9"/>
  <c r="JFD1" i="9"/>
  <c r="JFC1" i="9"/>
  <c r="JFB1" i="9"/>
  <c r="JFA1" i="9"/>
  <c r="JEZ1" i="9"/>
  <c r="JEY1" i="9"/>
  <c r="JEX1" i="9"/>
  <c r="JEW1" i="9"/>
  <c r="JEV1" i="9"/>
  <c r="JEU1" i="9"/>
  <c r="JET1" i="9"/>
  <c r="JES1" i="9"/>
  <c r="JER1" i="9"/>
  <c r="JEQ1" i="9"/>
  <c r="JEP1" i="9"/>
  <c r="JEO1" i="9"/>
  <c r="JEN1" i="9"/>
  <c r="JEM1" i="9"/>
  <c r="JEL1" i="9"/>
  <c r="JEK1" i="9"/>
  <c r="JEJ1" i="9"/>
  <c r="JEI1" i="9"/>
  <c r="JEH1" i="9"/>
  <c r="JEG1" i="9"/>
  <c r="JEF1" i="9"/>
  <c r="JEE1" i="9"/>
  <c r="JED1" i="9"/>
  <c r="JEC1" i="9"/>
  <c r="JEB1" i="9"/>
  <c r="JEA1" i="9"/>
  <c r="JDZ1" i="9"/>
  <c r="JDY1" i="9"/>
  <c r="JDX1" i="9"/>
  <c r="JDW1" i="9"/>
  <c r="JDV1" i="9"/>
  <c r="JDU1" i="9"/>
  <c r="JDT1" i="9"/>
  <c r="JDS1" i="9"/>
  <c r="JDR1" i="9"/>
  <c r="JDQ1" i="9"/>
  <c r="JDP1" i="9"/>
  <c r="JDO1" i="9"/>
  <c r="JDN1" i="9"/>
  <c r="JDM1" i="9"/>
  <c r="JDL1" i="9"/>
  <c r="JDK1" i="9"/>
  <c r="JDJ1" i="9"/>
  <c r="JDI1" i="9"/>
  <c r="JDH1" i="9"/>
  <c r="JDG1" i="9"/>
  <c r="JDF1" i="9"/>
  <c r="JDE1" i="9"/>
  <c r="JDD1" i="9"/>
  <c r="JDC1" i="9"/>
  <c r="JDB1" i="9"/>
  <c r="JDA1" i="9"/>
  <c r="JCZ1" i="9"/>
  <c r="JCY1" i="9"/>
  <c r="JCX1" i="9"/>
  <c r="JCW1" i="9"/>
  <c r="JCV1" i="9"/>
  <c r="JCU1" i="9"/>
  <c r="JCT1" i="9"/>
  <c r="JCS1" i="9"/>
  <c r="JCR1" i="9"/>
  <c r="JCQ1" i="9"/>
  <c r="JCP1" i="9"/>
  <c r="JCO1" i="9"/>
  <c r="JCN1" i="9"/>
  <c r="JCM1" i="9"/>
  <c r="JCL1" i="9"/>
  <c r="JCK1" i="9"/>
  <c r="JCJ1" i="9"/>
  <c r="JCI1" i="9"/>
  <c r="JCH1" i="9"/>
  <c r="JCG1" i="9"/>
  <c r="JCF1" i="9"/>
  <c r="JCE1" i="9"/>
  <c r="JCD1" i="9"/>
  <c r="JCC1" i="9"/>
  <c r="JCB1" i="9"/>
  <c r="JCA1" i="9"/>
  <c r="JBZ1" i="9"/>
  <c r="JBY1" i="9"/>
  <c r="JBX1" i="9"/>
  <c r="JBW1" i="9"/>
  <c r="JBV1" i="9"/>
  <c r="JBU1" i="9"/>
  <c r="JBT1" i="9"/>
  <c r="JBS1" i="9"/>
  <c r="JBR1" i="9"/>
  <c r="JBQ1" i="9"/>
  <c r="JBP1" i="9"/>
  <c r="JBO1" i="9"/>
  <c r="JBN1" i="9"/>
  <c r="JBM1" i="9"/>
  <c r="JBL1" i="9"/>
  <c r="JBK1" i="9"/>
  <c r="JBJ1" i="9"/>
  <c r="JBI1" i="9"/>
  <c r="JBH1" i="9"/>
  <c r="JBG1" i="9"/>
  <c r="JBF1" i="9"/>
  <c r="JBE1" i="9"/>
  <c r="JBD1" i="9"/>
  <c r="JBC1" i="9"/>
  <c r="JBB1" i="9"/>
  <c r="JBA1" i="9"/>
  <c r="JAZ1" i="9"/>
  <c r="JAY1" i="9"/>
  <c r="JAX1" i="9"/>
  <c r="JAW1" i="9"/>
  <c r="JAV1" i="9"/>
  <c r="JAU1" i="9"/>
  <c r="JAT1" i="9"/>
  <c r="JAS1" i="9"/>
  <c r="JAR1" i="9"/>
  <c r="JAQ1" i="9"/>
  <c r="JAP1" i="9"/>
  <c r="JAO1" i="9"/>
  <c r="JAN1" i="9"/>
  <c r="JAM1" i="9"/>
  <c r="JAL1" i="9"/>
  <c r="JAK1" i="9"/>
  <c r="JAJ1" i="9"/>
  <c r="JAI1" i="9"/>
  <c r="JAH1" i="9"/>
  <c r="JAG1" i="9"/>
  <c r="JAF1" i="9"/>
  <c r="JAE1" i="9"/>
  <c r="JAD1" i="9"/>
  <c r="JAC1" i="9"/>
  <c r="JAB1" i="9"/>
  <c r="JAA1" i="9"/>
  <c r="IZZ1" i="9"/>
  <c r="IZY1" i="9"/>
  <c r="IZX1" i="9"/>
  <c r="IZW1" i="9"/>
  <c r="IZV1" i="9"/>
  <c r="IZU1" i="9"/>
  <c r="IZT1" i="9"/>
  <c r="IZS1" i="9"/>
  <c r="IZR1" i="9"/>
  <c r="IZQ1" i="9"/>
  <c r="IZP1" i="9"/>
  <c r="IZO1" i="9"/>
  <c r="IZN1" i="9"/>
  <c r="IZM1" i="9"/>
  <c r="IZL1" i="9"/>
  <c r="IZK1" i="9"/>
  <c r="IZJ1" i="9"/>
  <c r="IZI1" i="9"/>
  <c r="IZH1" i="9"/>
  <c r="IZG1" i="9"/>
  <c r="IZF1" i="9"/>
  <c r="IZE1" i="9"/>
  <c r="IZD1" i="9"/>
  <c r="IZC1" i="9"/>
  <c r="IZB1" i="9"/>
  <c r="IZA1" i="9"/>
  <c r="IYZ1" i="9"/>
  <c r="IYY1" i="9"/>
  <c r="IYX1" i="9"/>
  <c r="IYW1" i="9"/>
  <c r="IYV1" i="9"/>
  <c r="IYU1" i="9"/>
  <c r="IYT1" i="9"/>
  <c r="IYS1" i="9"/>
  <c r="IYR1" i="9"/>
  <c r="IYQ1" i="9"/>
  <c r="IYP1" i="9"/>
  <c r="IYO1" i="9"/>
  <c r="IYN1" i="9"/>
  <c r="IYM1" i="9"/>
  <c r="IYL1" i="9"/>
  <c r="IYK1" i="9"/>
  <c r="IYJ1" i="9"/>
  <c r="IYI1" i="9"/>
  <c r="IYH1" i="9"/>
  <c r="IYG1" i="9"/>
  <c r="IYF1" i="9"/>
  <c r="IYE1" i="9"/>
  <c r="IYD1" i="9"/>
  <c r="IYC1" i="9"/>
  <c r="IYB1" i="9"/>
  <c r="IYA1" i="9"/>
  <c r="IXZ1" i="9"/>
  <c r="IXY1" i="9"/>
  <c r="IXX1" i="9"/>
  <c r="IXW1" i="9"/>
  <c r="IXV1" i="9"/>
  <c r="IXU1" i="9"/>
  <c r="IXT1" i="9"/>
  <c r="IXS1" i="9"/>
  <c r="IXR1" i="9"/>
  <c r="IXQ1" i="9"/>
  <c r="IXP1" i="9"/>
  <c r="IXO1" i="9"/>
  <c r="IXN1" i="9"/>
  <c r="IXM1" i="9"/>
  <c r="IXL1" i="9"/>
  <c r="IXK1" i="9"/>
  <c r="IXJ1" i="9"/>
  <c r="IXI1" i="9"/>
  <c r="IXH1" i="9"/>
  <c r="IXG1" i="9"/>
  <c r="IXF1" i="9"/>
  <c r="IXE1" i="9"/>
  <c r="IXD1" i="9"/>
  <c r="IXC1" i="9"/>
  <c r="IXB1" i="9"/>
  <c r="IXA1" i="9"/>
  <c r="IWZ1" i="9"/>
  <c r="IWY1" i="9"/>
  <c r="IWX1" i="9"/>
  <c r="IWW1" i="9"/>
  <c r="IWV1" i="9"/>
  <c r="IWU1" i="9"/>
  <c r="IWT1" i="9"/>
  <c r="IWS1" i="9"/>
  <c r="IWR1" i="9"/>
  <c r="IWQ1" i="9"/>
  <c r="IWP1" i="9"/>
  <c r="IWO1" i="9"/>
  <c r="IWN1" i="9"/>
  <c r="IWM1" i="9"/>
  <c r="IWL1" i="9"/>
  <c r="IWK1" i="9"/>
  <c r="IWJ1" i="9"/>
  <c r="IWI1" i="9"/>
  <c r="IWH1" i="9"/>
  <c r="IWG1" i="9"/>
  <c r="IWF1" i="9"/>
  <c r="IWE1" i="9"/>
  <c r="IWD1" i="9"/>
  <c r="IWC1" i="9"/>
  <c r="IWB1" i="9"/>
  <c r="IWA1" i="9"/>
  <c r="IVZ1" i="9"/>
  <c r="IVY1" i="9"/>
  <c r="IVX1" i="9"/>
  <c r="IVW1" i="9"/>
  <c r="IVV1" i="9"/>
  <c r="IVU1" i="9"/>
  <c r="IVT1" i="9"/>
  <c r="IVS1" i="9"/>
  <c r="IVR1" i="9"/>
  <c r="IVQ1" i="9"/>
  <c r="IVP1" i="9"/>
  <c r="IVO1" i="9"/>
  <c r="IVN1" i="9"/>
  <c r="IVM1" i="9"/>
  <c r="IVL1" i="9"/>
  <c r="IVK1" i="9"/>
  <c r="IVJ1" i="9"/>
  <c r="IVI1" i="9"/>
  <c r="IVH1" i="9"/>
  <c r="IVG1" i="9"/>
  <c r="IVF1" i="9"/>
  <c r="IVE1" i="9"/>
  <c r="IVD1" i="9"/>
  <c r="IVC1" i="9"/>
  <c r="IVB1" i="9"/>
  <c r="IVA1" i="9"/>
  <c r="IUZ1" i="9"/>
  <c r="IUY1" i="9"/>
  <c r="IUX1" i="9"/>
  <c r="IUW1" i="9"/>
  <c r="IUV1" i="9"/>
  <c r="IUU1" i="9"/>
  <c r="IUT1" i="9"/>
  <c r="IUS1" i="9"/>
  <c r="IUR1" i="9"/>
  <c r="IUQ1" i="9"/>
  <c r="IUP1" i="9"/>
  <c r="IUO1" i="9"/>
  <c r="IUN1" i="9"/>
  <c r="IUM1" i="9"/>
  <c r="IUL1" i="9"/>
  <c r="IUK1" i="9"/>
  <c r="IUJ1" i="9"/>
  <c r="IUI1" i="9"/>
  <c r="IUH1" i="9"/>
  <c r="IUG1" i="9"/>
  <c r="IUF1" i="9"/>
  <c r="IUE1" i="9"/>
  <c r="IUD1" i="9"/>
  <c r="IUC1" i="9"/>
  <c r="IUB1" i="9"/>
  <c r="IUA1" i="9"/>
  <c r="ITZ1" i="9"/>
  <c r="ITY1" i="9"/>
  <c r="ITX1" i="9"/>
  <c r="ITW1" i="9"/>
  <c r="ITV1" i="9"/>
  <c r="ITU1" i="9"/>
  <c r="ITT1" i="9"/>
  <c r="ITS1" i="9"/>
  <c r="ITR1" i="9"/>
  <c r="ITQ1" i="9"/>
  <c r="ITP1" i="9"/>
  <c r="ITO1" i="9"/>
  <c r="ITN1" i="9"/>
  <c r="ITM1" i="9"/>
  <c r="ITL1" i="9"/>
  <c r="ITK1" i="9"/>
  <c r="ITJ1" i="9"/>
  <c r="ITI1" i="9"/>
  <c r="ITH1" i="9"/>
  <c r="ITG1" i="9"/>
  <c r="ITF1" i="9"/>
  <c r="ITE1" i="9"/>
  <c r="ITD1" i="9"/>
  <c r="ITC1" i="9"/>
  <c r="ITB1" i="9"/>
  <c r="ITA1" i="9"/>
  <c r="ISZ1" i="9"/>
  <c r="ISY1" i="9"/>
  <c r="ISX1" i="9"/>
  <c r="ISW1" i="9"/>
  <c r="ISV1" i="9"/>
  <c r="ISU1" i="9"/>
  <c r="IST1" i="9"/>
  <c r="ISS1" i="9"/>
  <c r="ISR1" i="9"/>
  <c r="ISQ1" i="9"/>
  <c r="ISP1" i="9"/>
  <c r="ISO1" i="9"/>
  <c r="ISN1" i="9"/>
  <c r="ISM1" i="9"/>
  <c r="ISL1" i="9"/>
  <c r="ISK1" i="9"/>
  <c r="ISJ1" i="9"/>
  <c r="ISI1" i="9"/>
  <c r="ISH1" i="9"/>
  <c r="ISG1" i="9"/>
  <c r="ISF1" i="9"/>
  <c r="ISE1" i="9"/>
  <c r="ISD1" i="9"/>
  <c r="ISC1" i="9"/>
  <c r="ISB1" i="9"/>
  <c r="ISA1" i="9"/>
  <c r="IRZ1" i="9"/>
  <c r="IRY1" i="9"/>
  <c r="IRX1" i="9"/>
  <c r="IRW1" i="9"/>
  <c r="IRV1" i="9"/>
  <c r="IRU1" i="9"/>
  <c r="IRT1" i="9"/>
  <c r="IRS1" i="9"/>
  <c r="IRR1" i="9"/>
  <c r="IRQ1" i="9"/>
  <c r="IRP1" i="9"/>
  <c r="IRO1" i="9"/>
  <c r="IRN1" i="9"/>
  <c r="IRM1" i="9"/>
  <c r="IRL1" i="9"/>
  <c r="IRK1" i="9"/>
  <c r="IRJ1" i="9"/>
  <c r="IRI1" i="9"/>
  <c r="IRH1" i="9"/>
  <c r="IRG1" i="9"/>
  <c r="IRF1" i="9"/>
  <c r="IRE1" i="9"/>
  <c r="IRD1" i="9"/>
  <c r="IRC1" i="9"/>
  <c r="IRB1" i="9"/>
  <c r="IRA1" i="9"/>
  <c r="IQZ1" i="9"/>
  <c r="IQY1" i="9"/>
  <c r="IQX1" i="9"/>
  <c r="IQW1" i="9"/>
  <c r="IQV1" i="9"/>
  <c r="IQU1" i="9"/>
  <c r="IQT1" i="9"/>
  <c r="IQS1" i="9"/>
  <c r="IQR1" i="9"/>
  <c r="IQQ1" i="9"/>
  <c r="IQP1" i="9"/>
  <c r="IQO1" i="9"/>
  <c r="IQN1" i="9"/>
  <c r="IQM1" i="9"/>
  <c r="IQL1" i="9"/>
  <c r="IQK1" i="9"/>
  <c r="IQJ1" i="9"/>
  <c r="IQI1" i="9"/>
  <c r="IQH1" i="9"/>
  <c r="IQG1" i="9"/>
  <c r="IQF1" i="9"/>
  <c r="IQE1" i="9"/>
  <c r="IQD1" i="9"/>
  <c r="IQC1" i="9"/>
  <c r="IQB1" i="9"/>
  <c r="IQA1" i="9"/>
  <c r="IPZ1" i="9"/>
  <c r="IPY1" i="9"/>
  <c r="IPX1" i="9"/>
  <c r="IPW1" i="9"/>
  <c r="IPV1" i="9"/>
  <c r="IPU1" i="9"/>
  <c r="IPT1" i="9"/>
  <c r="IPS1" i="9"/>
  <c r="IPR1" i="9"/>
  <c r="IPQ1" i="9"/>
  <c r="IPP1" i="9"/>
  <c r="IPO1" i="9"/>
  <c r="IPN1" i="9"/>
  <c r="IPM1" i="9"/>
  <c r="IPL1" i="9"/>
  <c r="IPK1" i="9"/>
  <c r="IPJ1" i="9"/>
  <c r="IPI1" i="9"/>
  <c r="IPH1" i="9"/>
  <c r="IPG1" i="9"/>
  <c r="IPF1" i="9"/>
  <c r="IPE1" i="9"/>
  <c r="IPD1" i="9"/>
  <c r="IPC1" i="9"/>
  <c r="IPB1" i="9"/>
  <c r="IPA1" i="9"/>
  <c r="IOZ1" i="9"/>
  <c r="IOY1" i="9"/>
  <c r="IOX1" i="9"/>
  <c r="IOW1" i="9"/>
  <c r="IOV1" i="9"/>
  <c r="IOU1" i="9"/>
  <c r="IOT1" i="9"/>
  <c r="IOS1" i="9"/>
  <c r="IOR1" i="9"/>
  <c r="IOQ1" i="9"/>
  <c r="IOP1" i="9"/>
  <c r="IOO1" i="9"/>
  <c r="ION1" i="9"/>
  <c r="IOM1" i="9"/>
  <c r="IOL1" i="9"/>
  <c r="IOK1" i="9"/>
  <c r="IOJ1" i="9"/>
  <c r="IOI1" i="9"/>
  <c r="IOH1" i="9"/>
  <c r="IOG1" i="9"/>
  <c r="IOF1" i="9"/>
  <c r="IOE1" i="9"/>
  <c r="IOD1" i="9"/>
  <c r="IOC1" i="9"/>
  <c r="IOB1" i="9"/>
  <c r="IOA1" i="9"/>
  <c r="INZ1" i="9"/>
  <c r="INY1" i="9"/>
  <c r="INX1" i="9"/>
  <c r="INW1" i="9"/>
  <c r="INV1" i="9"/>
  <c r="INU1" i="9"/>
  <c r="INT1" i="9"/>
  <c r="INS1" i="9"/>
  <c r="INR1" i="9"/>
  <c r="INQ1" i="9"/>
  <c r="INP1" i="9"/>
  <c r="INO1" i="9"/>
  <c r="INN1" i="9"/>
  <c r="INM1" i="9"/>
  <c r="INL1" i="9"/>
  <c r="INK1" i="9"/>
  <c r="INJ1" i="9"/>
  <c r="INI1" i="9"/>
  <c r="INH1" i="9"/>
  <c r="ING1" i="9"/>
  <c r="INF1" i="9"/>
  <c r="INE1" i="9"/>
  <c r="IND1" i="9"/>
  <c r="INC1" i="9"/>
  <c r="INB1" i="9"/>
  <c r="INA1" i="9"/>
  <c r="IMZ1" i="9"/>
  <c r="IMY1" i="9"/>
  <c r="IMX1" i="9"/>
  <c r="IMW1" i="9"/>
  <c r="IMV1" i="9"/>
  <c r="IMU1" i="9"/>
  <c r="IMT1" i="9"/>
  <c r="IMS1" i="9"/>
  <c r="IMR1" i="9"/>
  <c r="IMQ1" i="9"/>
  <c r="IMP1" i="9"/>
  <c r="IMO1" i="9"/>
  <c r="IMN1" i="9"/>
  <c r="IMM1" i="9"/>
  <c r="IML1" i="9"/>
  <c r="IMK1" i="9"/>
  <c r="IMJ1" i="9"/>
  <c r="IMI1" i="9"/>
  <c r="IMH1" i="9"/>
  <c r="IMG1" i="9"/>
  <c r="IMF1" i="9"/>
  <c r="IME1" i="9"/>
  <c r="IMD1" i="9"/>
  <c r="IMC1" i="9"/>
  <c r="IMB1" i="9"/>
  <c r="IMA1" i="9"/>
  <c r="ILZ1" i="9"/>
  <c r="ILY1" i="9"/>
  <c r="ILX1" i="9"/>
  <c r="ILW1" i="9"/>
  <c r="ILV1" i="9"/>
  <c r="ILU1" i="9"/>
  <c r="ILT1" i="9"/>
  <c r="ILS1" i="9"/>
  <c r="ILR1" i="9"/>
  <c r="ILQ1" i="9"/>
  <c r="ILP1" i="9"/>
  <c r="ILO1" i="9"/>
  <c r="ILN1" i="9"/>
  <c r="ILM1" i="9"/>
  <c r="ILL1" i="9"/>
  <c r="ILK1" i="9"/>
  <c r="ILJ1" i="9"/>
  <c r="ILI1" i="9"/>
  <c r="ILH1" i="9"/>
  <c r="ILG1" i="9"/>
  <c r="ILF1" i="9"/>
  <c r="ILE1" i="9"/>
  <c r="ILD1" i="9"/>
  <c r="ILC1" i="9"/>
  <c r="ILB1" i="9"/>
  <c r="ILA1" i="9"/>
  <c r="IKZ1" i="9"/>
  <c r="IKY1" i="9"/>
  <c r="IKX1" i="9"/>
  <c r="IKW1" i="9"/>
  <c r="IKV1" i="9"/>
  <c r="IKU1" i="9"/>
  <c r="IKT1" i="9"/>
  <c r="IKS1" i="9"/>
  <c r="IKR1" i="9"/>
  <c r="IKQ1" i="9"/>
  <c r="IKP1" i="9"/>
  <c r="IKO1" i="9"/>
  <c r="IKN1" i="9"/>
  <c r="IKM1" i="9"/>
  <c r="IKL1" i="9"/>
  <c r="IKK1" i="9"/>
  <c r="IKJ1" i="9"/>
  <c r="IKI1" i="9"/>
  <c r="IKH1" i="9"/>
  <c r="IKG1" i="9"/>
  <c r="IKF1" i="9"/>
  <c r="IKE1" i="9"/>
  <c r="IKD1" i="9"/>
  <c r="IKC1" i="9"/>
  <c r="IKB1" i="9"/>
  <c r="IKA1" i="9"/>
  <c r="IJZ1" i="9"/>
  <c r="IJY1" i="9"/>
  <c r="IJX1" i="9"/>
  <c r="IJW1" i="9"/>
  <c r="IJV1" i="9"/>
  <c r="IJU1" i="9"/>
  <c r="IJT1" i="9"/>
  <c r="IJS1" i="9"/>
  <c r="IJR1" i="9"/>
  <c r="IJQ1" i="9"/>
  <c r="IJP1" i="9"/>
  <c r="IJO1" i="9"/>
  <c r="IJN1" i="9"/>
  <c r="IJM1" i="9"/>
  <c r="IJL1" i="9"/>
  <c r="IJK1" i="9"/>
  <c r="IJJ1" i="9"/>
  <c r="IJI1" i="9"/>
  <c r="IJH1" i="9"/>
  <c r="IJG1" i="9"/>
  <c r="IJF1" i="9"/>
  <c r="IJE1" i="9"/>
  <c r="IJD1" i="9"/>
  <c r="IJC1" i="9"/>
  <c r="IJB1" i="9"/>
  <c r="IJA1" i="9"/>
  <c r="IIZ1" i="9"/>
  <c r="IIY1" i="9"/>
  <c r="IIX1" i="9"/>
  <c r="IIW1" i="9"/>
  <c r="IIV1" i="9"/>
  <c r="IIU1" i="9"/>
  <c r="IIT1" i="9"/>
  <c r="IIS1" i="9"/>
  <c r="IIR1" i="9"/>
  <c r="IIQ1" i="9"/>
  <c r="IIP1" i="9"/>
  <c r="IIO1" i="9"/>
  <c r="IIN1" i="9"/>
  <c r="IIM1" i="9"/>
  <c r="IIL1" i="9"/>
  <c r="IIK1" i="9"/>
  <c r="IIJ1" i="9"/>
  <c r="III1" i="9"/>
  <c r="IIH1" i="9"/>
  <c r="IIG1" i="9"/>
  <c r="IIF1" i="9"/>
  <c r="IIE1" i="9"/>
  <c r="IID1" i="9"/>
  <c r="IIC1" i="9"/>
  <c r="IIB1" i="9"/>
  <c r="IIA1" i="9"/>
  <c r="IHZ1" i="9"/>
  <c r="IHY1" i="9"/>
  <c r="IHX1" i="9"/>
  <c r="IHW1" i="9"/>
  <c r="IHV1" i="9"/>
  <c r="IHU1" i="9"/>
  <c r="IHT1" i="9"/>
  <c r="IHS1" i="9"/>
  <c r="IHR1" i="9"/>
  <c r="IHQ1" i="9"/>
  <c r="IHP1" i="9"/>
  <c r="IHO1" i="9"/>
  <c r="IHN1" i="9"/>
  <c r="IHM1" i="9"/>
  <c r="IHL1" i="9"/>
  <c r="IHK1" i="9"/>
  <c r="IHJ1" i="9"/>
  <c r="IHI1" i="9"/>
  <c r="IHH1" i="9"/>
  <c r="IHG1" i="9"/>
  <c r="IHF1" i="9"/>
  <c r="IHE1" i="9"/>
  <c r="IHD1" i="9"/>
  <c r="IHC1" i="9"/>
  <c r="IHB1" i="9"/>
  <c r="IHA1" i="9"/>
  <c r="IGZ1" i="9"/>
  <c r="IGY1" i="9"/>
  <c r="IGX1" i="9"/>
  <c r="IGW1" i="9"/>
  <c r="IGV1" i="9"/>
  <c r="IGU1" i="9"/>
  <c r="IGT1" i="9"/>
  <c r="IGS1" i="9"/>
  <c r="IGR1" i="9"/>
  <c r="IGQ1" i="9"/>
  <c r="IGP1" i="9"/>
  <c r="IGO1" i="9"/>
  <c r="IGN1" i="9"/>
  <c r="IGM1" i="9"/>
  <c r="IGL1" i="9"/>
  <c r="IGK1" i="9"/>
  <c r="IGJ1" i="9"/>
  <c r="IGI1" i="9"/>
  <c r="IGH1" i="9"/>
  <c r="IGG1" i="9"/>
  <c r="IGF1" i="9"/>
  <c r="IGE1" i="9"/>
  <c r="IGD1" i="9"/>
  <c r="IGC1" i="9"/>
  <c r="IGB1" i="9"/>
  <c r="IGA1" i="9"/>
  <c r="IFZ1" i="9"/>
  <c r="IFY1" i="9"/>
  <c r="IFX1" i="9"/>
  <c r="IFW1" i="9"/>
  <c r="IFV1" i="9"/>
  <c r="IFU1" i="9"/>
  <c r="IFT1" i="9"/>
  <c r="IFS1" i="9"/>
  <c r="IFR1" i="9"/>
  <c r="IFQ1" i="9"/>
  <c r="IFP1" i="9"/>
  <c r="IFO1" i="9"/>
  <c r="IFN1" i="9"/>
  <c r="IFM1" i="9"/>
  <c r="IFL1" i="9"/>
  <c r="IFK1" i="9"/>
  <c r="IFJ1" i="9"/>
  <c r="IFI1" i="9"/>
  <c r="IFH1" i="9"/>
  <c r="IFG1" i="9"/>
  <c r="IFF1" i="9"/>
  <c r="IFE1" i="9"/>
  <c r="IFD1" i="9"/>
  <c r="IFC1" i="9"/>
  <c r="IFB1" i="9"/>
  <c r="IFA1" i="9"/>
  <c r="IEZ1" i="9"/>
  <c r="IEY1" i="9"/>
  <c r="IEX1" i="9"/>
  <c r="IEW1" i="9"/>
  <c r="IEV1" i="9"/>
  <c r="IEU1" i="9"/>
  <c r="IET1" i="9"/>
  <c r="IES1" i="9"/>
  <c r="IER1" i="9"/>
  <c r="IEQ1" i="9"/>
  <c r="IEP1" i="9"/>
  <c r="IEO1" i="9"/>
  <c r="IEN1" i="9"/>
  <c r="IEM1" i="9"/>
  <c r="IEL1" i="9"/>
  <c r="IEK1" i="9"/>
  <c r="IEJ1" i="9"/>
  <c r="IEI1" i="9"/>
  <c r="IEH1" i="9"/>
  <c r="IEG1" i="9"/>
  <c r="IEF1" i="9"/>
  <c r="IEE1" i="9"/>
  <c r="IED1" i="9"/>
  <c r="IEC1" i="9"/>
  <c r="IEB1" i="9"/>
  <c r="IEA1" i="9"/>
  <c r="IDZ1" i="9"/>
  <c r="IDY1" i="9"/>
  <c r="IDX1" i="9"/>
  <c r="IDW1" i="9"/>
  <c r="IDV1" i="9"/>
  <c r="IDU1" i="9"/>
  <c r="IDT1" i="9"/>
  <c r="IDS1" i="9"/>
  <c r="IDR1" i="9"/>
  <c r="IDQ1" i="9"/>
  <c r="IDP1" i="9"/>
  <c r="IDO1" i="9"/>
  <c r="IDN1" i="9"/>
  <c r="IDM1" i="9"/>
  <c r="IDL1" i="9"/>
  <c r="IDK1" i="9"/>
  <c r="IDJ1" i="9"/>
  <c r="IDI1" i="9"/>
  <c r="IDH1" i="9"/>
  <c r="IDG1" i="9"/>
  <c r="IDF1" i="9"/>
  <c r="IDE1" i="9"/>
  <c r="IDD1" i="9"/>
  <c r="IDC1" i="9"/>
  <c r="IDB1" i="9"/>
  <c r="IDA1" i="9"/>
  <c r="ICZ1" i="9"/>
  <c r="ICY1" i="9"/>
  <c r="ICX1" i="9"/>
  <c r="ICW1" i="9"/>
  <c r="ICV1" i="9"/>
  <c r="ICU1" i="9"/>
  <c r="ICT1" i="9"/>
  <c r="ICS1" i="9"/>
  <c r="ICR1" i="9"/>
  <c r="ICQ1" i="9"/>
  <c r="ICP1" i="9"/>
  <c r="ICO1" i="9"/>
  <c r="ICN1" i="9"/>
  <c r="ICM1" i="9"/>
  <c r="ICL1" i="9"/>
  <c r="ICK1" i="9"/>
  <c r="ICJ1" i="9"/>
  <c r="ICI1" i="9"/>
  <c r="ICH1" i="9"/>
  <c r="ICG1" i="9"/>
  <c r="ICF1" i="9"/>
  <c r="ICE1" i="9"/>
  <c r="ICD1" i="9"/>
  <c r="ICC1" i="9"/>
  <c r="ICB1" i="9"/>
  <c r="ICA1" i="9"/>
  <c r="IBZ1" i="9"/>
  <c r="IBY1" i="9"/>
  <c r="IBX1" i="9"/>
  <c r="IBW1" i="9"/>
  <c r="IBV1" i="9"/>
  <c r="IBU1" i="9"/>
  <c r="IBT1" i="9"/>
  <c r="IBS1" i="9"/>
  <c r="IBR1" i="9"/>
  <c r="IBQ1" i="9"/>
  <c r="IBP1" i="9"/>
  <c r="IBO1" i="9"/>
  <c r="IBN1" i="9"/>
  <c r="IBM1" i="9"/>
  <c r="IBL1" i="9"/>
  <c r="IBK1" i="9"/>
  <c r="IBJ1" i="9"/>
  <c r="IBI1" i="9"/>
  <c r="IBH1" i="9"/>
  <c r="IBG1" i="9"/>
  <c r="IBF1" i="9"/>
  <c r="IBE1" i="9"/>
  <c r="IBD1" i="9"/>
  <c r="IBC1" i="9"/>
  <c r="IBB1" i="9"/>
  <c r="IBA1" i="9"/>
  <c r="IAZ1" i="9"/>
  <c r="IAY1" i="9"/>
  <c r="IAX1" i="9"/>
  <c r="IAW1" i="9"/>
  <c r="IAV1" i="9"/>
  <c r="IAU1" i="9"/>
  <c r="IAT1" i="9"/>
  <c r="IAS1" i="9"/>
  <c r="IAR1" i="9"/>
  <c r="IAQ1" i="9"/>
  <c r="IAP1" i="9"/>
  <c r="IAO1" i="9"/>
  <c r="IAN1" i="9"/>
  <c r="IAM1" i="9"/>
  <c r="IAL1" i="9"/>
  <c r="IAK1" i="9"/>
  <c r="IAJ1" i="9"/>
  <c r="IAI1" i="9"/>
  <c r="IAH1" i="9"/>
  <c r="IAG1" i="9"/>
  <c r="IAF1" i="9"/>
  <c r="IAE1" i="9"/>
  <c r="IAD1" i="9"/>
  <c r="IAC1" i="9"/>
  <c r="IAB1" i="9"/>
  <c r="IAA1" i="9"/>
  <c r="HZZ1" i="9"/>
  <c r="HZY1" i="9"/>
  <c r="HZX1" i="9"/>
  <c r="HZW1" i="9"/>
  <c r="HZV1" i="9"/>
  <c r="HZU1" i="9"/>
  <c r="HZT1" i="9"/>
  <c r="HZS1" i="9"/>
  <c r="HZR1" i="9"/>
  <c r="HZQ1" i="9"/>
  <c r="HZP1" i="9"/>
  <c r="HZO1" i="9"/>
  <c r="HZN1" i="9"/>
  <c r="HZM1" i="9"/>
  <c r="HZL1" i="9"/>
  <c r="HZK1" i="9"/>
  <c r="HZJ1" i="9"/>
  <c r="HZI1" i="9"/>
  <c r="HZH1" i="9"/>
  <c r="HZG1" i="9"/>
  <c r="HZF1" i="9"/>
  <c r="HZE1" i="9"/>
  <c r="HZD1" i="9"/>
  <c r="HZC1" i="9"/>
  <c r="HZB1" i="9"/>
  <c r="HZA1" i="9"/>
  <c r="HYZ1" i="9"/>
  <c r="HYY1" i="9"/>
  <c r="HYX1" i="9"/>
  <c r="HYW1" i="9"/>
  <c r="HYV1" i="9"/>
  <c r="HYU1" i="9"/>
  <c r="HYT1" i="9"/>
  <c r="HYS1" i="9"/>
  <c r="HYR1" i="9"/>
  <c r="HYQ1" i="9"/>
  <c r="HYP1" i="9"/>
  <c r="HYO1" i="9"/>
  <c r="HYN1" i="9"/>
  <c r="HYM1" i="9"/>
  <c r="HYL1" i="9"/>
  <c r="HYK1" i="9"/>
  <c r="HYJ1" i="9"/>
  <c r="HYI1" i="9"/>
  <c r="HYH1" i="9"/>
  <c r="HYG1" i="9"/>
  <c r="HYF1" i="9"/>
  <c r="HYE1" i="9"/>
  <c r="HYD1" i="9"/>
  <c r="HYC1" i="9"/>
  <c r="HYB1" i="9"/>
  <c r="HYA1" i="9"/>
  <c r="HXZ1" i="9"/>
  <c r="HXY1" i="9"/>
  <c r="HXX1" i="9"/>
  <c r="HXW1" i="9"/>
  <c r="HXV1" i="9"/>
  <c r="HXU1" i="9"/>
  <c r="HXT1" i="9"/>
  <c r="HXS1" i="9"/>
  <c r="HXR1" i="9"/>
  <c r="HXQ1" i="9"/>
  <c r="HXP1" i="9"/>
  <c r="HXO1" i="9"/>
  <c r="HXN1" i="9"/>
  <c r="HXM1" i="9"/>
  <c r="HXL1" i="9"/>
  <c r="HXK1" i="9"/>
  <c r="HXJ1" i="9"/>
  <c r="HXI1" i="9"/>
  <c r="HXH1" i="9"/>
  <c r="HXG1" i="9"/>
  <c r="HXF1" i="9"/>
  <c r="HXE1" i="9"/>
  <c r="HXD1" i="9"/>
  <c r="HXC1" i="9"/>
  <c r="HXB1" i="9"/>
  <c r="HXA1" i="9"/>
  <c r="HWZ1" i="9"/>
  <c r="HWY1" i="9"/>
  <c r="HWX1" i="9"/>
  <c r="HWW1" i="9"/>
  <c r="HWV1" i="9"/>
  <c r="HWU1" i="9"/>
  <c r="HWT1" i="9"/>
  <c r="HWS1" i="9"/>
  <c r="HWR1" i="9"/>
  <c r="HWQ1" i="9"/>
  <c r="HWP1" i="9"/>
  <c r="HWO1" i="9"/>
  <c r="HWN1" i="9"/>
  <c r="HWM1" i="9"/>
  <c r="HWL1" i="9"/>
  <c r="HWK1" i="9"/>
  <c r="HWJ1" i="9"/>
  <c r="HWI1" i="9"/>
  <c r="HWH1" i="9"/>
  <c r="HWG1" i="9"/>
  <c r="HWF1" i="9"/>
  <c r="HWE1" i="9"/>
  <c r="HWD1" i="9"/>
  <c r="HWC1" i="9"/>
  <c r="HWB1" i="9"/>
  <c r="HWA1" i="9"/>
  <c r="HVZ1" i="9"/>
  <c r="HVY1" i="9"/>
  <c r="HVX1" i="9"/>
  <c r="HVW1" i="9"/>
  <c r="HVV1" i="9"/>
  <c r="HVU1" i="9"/>
  <c r="HVT1" i="9"/>
  <c r="HVS1" i="9"/>
  <c r="HVR1" i="9"/>
  <c r="HVQ1" i="9"/>
  <c r="HVP1" i="9"/>
  <c r="HVO1" i="9"/>
  <c r="HVN1" i="9"/>
  <c r="HVM1" i="9"/>
  <c r="HVL1" i="9"/>
  <c r="HVK1" i="9"/>
  <c r="HVJ1" i="9"/>
  <c r="HVI1" i="9"/>
  <c r="HVH1" i="9"/>
  <c r="HVG1" i="9"/>
  <c r="HVF1" i="9"/>
  <c r="HVE1" i="9"/>
  <c r="HVD1" i="9"/>
  <c r="HVC1" i="9"/>
  <c r="HVB1" i="9"/>
  <c r="HVA1" i="9"/>
  <c r="HUZ1" i="9"/>
  <c r="HUY1" i="9"/>
  <c r="HUX1" i="9"/>
  <c r="HUW1" i="9"/>
  <c r="HUV1" i="9"/>
  <c r="HUU1" i="9"/>
  <c r="HUT1" i="9"/>
  <c r="HUS1" i="9"/>
  <c r="HUR1" i="9"/>
  <c r="HUQ1" i="9"/>
  <c r="HUP1" i="9"/>
  <c r="HUO1" i="9"/>
  <c r="HUN1" i="9"/>
  <c r="HUM1" i="9"/>
  <c r="HUL1" i="9"/>
  <c r="HUK1" i="9"/>
  <c r="HUJ1" i="9"/>
  <c r="HUI1" i="9"/>
  <c r="HUH1" i="9"/>
  <c r="HUG1" i="9"/>
  <c r="HUF1" i="9"/>
  <c r="HUE1" i="9"/>
  <c r="HUD1" i="9"/>
  <c r="HUC1" i="9"/>
  <c r="HUB1" i="9"/>
  <c r="HUA1" i="9"/>
  <c r="HTZ1" i="9"/>
  <c r="HTY1" i="9"/>
  <c r="HTX1" i="9"/>
  <c r="HTW1" i="9"/>
  <c r="HTV1" i="9"/>
  <c r="HTU1" i="9"/>
  <c r="HTT1" i="9"/>
  <c r="HTS1" i="9"/>
  <c r="HTR1" i="9"/>
  <c r="HTQ1" i="9"/>
  <c r="HTP1" i="9"/>
  <c r="HTO1" i="9"/>
  <c r="HTN1" i="9"/>
  <c r="HTM1" i="9"/>
  <c r="HTL1" i="9"/>
  <c r="HTK1" i="9"/>
  <c r="HTJ1" i="9"/>
  <c r="HTI1" i="9"/>
  <c r="HTH1" i="9"/>
  <c r="HTG1" i="9"/>
  <c r="HTF1" i="9"/>
  <c r="HTE1" i="9"/>
  <c r="HTD1" i="9"/>
  <c r="HTC1" i="9"/>
  <c r="HTB1" i="9"/>
  <c r="HTA1" i="9"/>
  <c r="HSZ1" i="9"/>
  <c r="HSY1" i="9"/>
  <c r="HSX1" i="9"/>
  <c r="HSW1" i="9"/>
  <c r="HSV1" i="9"/>
  <c r="HSU1" i="9"/>
  <c r="HST1" i="9"/>
  <c r="HSS1" i="9"/>
  <c r="HSR1" i="9"/>
  <c r="HSQ1" i="9"/>
  <c r="HSP1" i="9"/>
  <c r="HSO1" i="9"/>
  <c r="HSN1" i="9"/>
  <c r="HSM1" i="9"/>
  <c r="HSL1" i="9"/>
  <c r="HSK1" i="9"/>
  <c r="HSJ1" i="9"/>
  <c r="HSI1" i="9"/>
  <c r="HSH1" i="9"/>
  <c r="HSG1" i="9"/>
  <c r="HSF1" i="9"/>
  <c r="HSE1" i="9"/>
  <c r="HSD1" i="9"/>
  <c r="HSC1" i="9"/>
  <c r="HSB1" i="9"/>
  <c r="HSA1" i="9"/>
  <c r="HRZ1" i="9"/>
  <c r="HRY1" i="9"/>
  <c r="HRX1" i="9"/>
  <c r="HRW1" i="9"/>
  <c r="HRV1" i="9"/>
  <c r="HRU1" i="9"/>
  <c r="HRT1" i="9"/>
  <c r="HRS1" i="9"/>
  <c r="HRR1" i="9"/>
  <c r="HRQ1" i="9"/>
  <c r="HRP1" i="9"/>
  <c r="HRO1" i="9"/>
  <c r="HRN1" i="9"/>
  <c r="HRM1" i="9"/>
  <c r="HRL1" i="9"/>
  <c r="HRK1" i="9"/>
  <c r="HRJ1" i="9"/>
  <c r="HRI1" i="9"/>
  <c r="HRH1" i="9"/>
  <c r="HRG1" i="9"/>
  <c r="HRF1" i="9"/>
  <c r="HRE1" i="9"/>
  <c r="HRD1" i="9"/>
  <c r="HRC1" i="9"/>
  <c r="HRB1" i="9"/>
  <c r="HRA1" i="9"/>
  <c r="HQZ1" i="9"/>
  <c r="HQY1" i="9"/>
  <c r="HQX1" i="9"/>
  <c r="HQW1" i="9"/>
  <c r="HQV1" i="9"/>
  <c r="HQU1" i="9"/>
  <c r="HQT1" i="9"/>
  <c r="HQS1" i="9"/>
  <c r="HQR1" i="9"/>
  <c r="HQQ1" i="9"/>
  <c r="HQP1" i="9"/>
  <c r="HQO1" i="9"/>
  <c r="HQN1" i="9"/>
  <c r="HQM1" i="9"/>
  <c r="HQL1" i="9"/>
  <c r="HQK1" i="9"/>
  <c r="HQJ1" i="9"/>
  <c r="HQI1" i="9"/>
  <c r="HQH1" i="9"/>
  <c r="HQG1" i="9"/>
  <c r="HQF1" i="9"/>
  <c r="HQE1" i="9"/>
  <c r="HQD1" i="9"/>
  <c r="HQC1" i="9"/>
  <c r="HQB1" i="9"/>
  <c r="HQA1" i="9"/>
  <c r="HPZ1" i="9"/>
  <c r="HPY1" i="9"/>
  <c r="HPX1" i="9"/>
  <c r="HPW1" i="9"/>
  <c r="HPV1" i="9"/>
  <c r="HPU1" i="9"/>
  <c r="HPT1" i="9"/>
  <c r="HPS1" i="9"/>
  <c r="HPR1" i="9"/>
  <c r="HPQ1" i="9"/>
  <c r="HPP1" i="9"/>
  <c r="HPO1" i="9"/>
  <c r="HPN1" i="9"/>
  <c r="HPM1" i="9"/>
  <c r="HPL1" i="9"/>
  <c r="HPK1" i="9"/>
  <c r="HPJ1" i="9"/>
  <c r="HPI1" i="9"/>
  <c r="HPH1" i="9"/>
  <c r="HPG1" i="9"/>
  <c r="HPF1" i="9"/>
  <c r="HPE1" i="9"/>
  <c r="HPD1" i="9"/>
  <c r="HPC1" i="9"/>
  <c r="HPB1" i="9"/>
  <c r="HPA1" i="9"/>
  <c r="HOZ1" i="9"/>
  <c r="HOY1" i="9"/>
  <c r="HOX1" i="9"/>
  <c r="HOW1" i="9"/>
  <c r="HOV1" i="9"/>
  <c r="HOU1" i="9"/>
  <c r="HOT1" i="9"/>
  <c r="HOS1" i="9"/>
  <c r="HOR1" i="9"/>
  <c r="HOQ1" i="9"/>
  <c r="HOP1" i="9"/>
  <c r="HOO1" i="9"/>
  <c r="HON1" i="9"/>
  <c r="HOM1" i="9"/>
  <c r="HOL1" i="9"/>
  <c r="HOK1" i="9"/>
  <c r="HOJ1" i="9"/>
  <c r="HOI1" i="9"/>
  <c r="HOH1" i="9"/>
  <c r="HOG1" i="9"/>
  <c r="HOF1" i="9"/>
  <c r="HOE1" i="9"/>
  <c r="HOD1" i="9"/>
  <c r="HOC1" i="9"/>
  <c r="HOB1" i="9"/>
  <c r="HOA1" i="9"/>
  <c r="HNZ1" i="9"/>
  <c r="HNY1" i="9"/>
  <c r="HNX1" i="9"/>
  <c r="HNW1" i="9"/>
  <c r="HNV1" i="9"/>
  <c r="HNU1" i="9"/>
  <c r="HNT1" i="9"/>
  <c r="HNS1" i="9"/>
  <c r="HNR1" i="9"/>
  <c r="HNQ1" i="9"/>
  <c r="HNP1" i="9"/>
  <c r="HNO1" i="9"/>
  <c r="HNN1" i="9"/>
  <c r="HNM1" i="9"/>
  <c r="HNL1" i="9"/>
  <c r="HNK1" i="9"/>
  <c r="HNJ1" i="9"/>
  <c r="HNI1" i="9"/>
  <c r="HNH1" i="9"/>
  <c r="HNG1" i="9"/>
  <c r="HNF1" i="9"/>
  <c r="HNE1" i="9"/>
  <c r="HND1" i="9"/>
  <c r="HNC1" i="9"/>
  <c r="HNB1" i="9"/>
  <c r="HNA1" i="9"/>
  <c r="HMZ1" i="9"/>
  <c r="HMY1" i="9"/>
  <c r="HMX1" i="9"/>
  <c r="HMW1" i="9"/>
  <c r="HMV1" i="9"/>
  <c r="HMU1" i="9"/>
  <c r="HMT1" i="9"/>
  <c r="HMS1" i="9"/>
  <c r="HMR1" i="9"/>
  <c r="HMQ1" i="9"/>
  <c r="HMP1" i="9"/>
  <c r="HMO1" i="9"/>
  <c r="HMN1" i="9"/>
  <c r="HMM1" i="9"/>
  <c r="HML1" i="9"/>
  <c r="HMK1" i="9"/>
  <c r="HMJ1" i="9"/>
  <c r="HMI1" i="9"/>
  <c r="HMH1" i="9"/>
  <c r="HMG1" i="9"/>
  <c r="HMF1" i="9"/>
  <c r="HME1" i="9"/>
  <c r="HMD1" i="9"/>
  <c r="HMC1" i="9"/>
  <c r="HMB1" i="9"/>
  <c r="HMA1" i="9"/>
  <c r="HLZ1" i="9"/>
  <c r="HLY1" i="9"/>
  <c r="HLX1" i="9"/>
  <c r="HLW1" i="9"/>
  <c r="HLV1" i="9"/>
  <c r="HLU1" i="9"/>
  <c r="HLT1" i="9"/>
  <c r="HLS1" i="9"/>
  <c r="HLR1" i="9"/>
  <c r="HLQ1" i="9"/>
  <c r="HLP1" i="9"/>
  <c r="HLO1" i="9"/>
  <c r="HLN1" i="9"/>
  <c r="HLM1" i="9"/>
  <c r="HLL1" i="9"/>
  <c r="HLK1" i="9"/>
  <c r="HLJ1" i="9"/>
  <c r="HLI1" i="9"/>
  <c r="HLH1" i="9"/>
  <c r="HLG1" i="9"/>
  <c r="HLF1" i="9"/>
  <c r="HLE1" i="9"/>
  <c r="HLD1" i="9"/>
  <c r="HLC1" i="9"/>
  <c r="HLB1" i="9"/>
  <c r="HLA1" i="9"/>
  <c r="HKZ1" i="9"/>
  <c r="HKY1" i="9"/>
  <c r="HKX1" i="9"/>
  <c r="HKW1" i="9"/>
  <c r="HKV1" i="9"/>
  <c r="HKU1" i="9"/>
  <c r="HKT1" i="9"/>
  <c r="HKS1" i="9"/>
  <c r="HKR1" i="9"/>
  <c r="HKQ1" i="9"/>
  <c r="HKP1" i="9"/>
  <c r="HKO1" i="9"/>
  <c r="HKN1" i="9"/>
  <c r="HKM1" i="9"/>
  <c r="HKL1" i="9"/>
  <c r="HKK1" i="9"/>
  <c r="HKJ1" i="9"/>
  <c r="HKI1" i="9"/>
  <c r="HKH1" i="9"/>
  <c r="HKG1" i="9"/>
  <c r="HKF1" i="9"/>
  <c r="HKE1" i="9"/>
  <c r="HKD1" i="9"/>
  <c r="HKC1" i="9"/>
  <c r="HKB1" i="9"/>
  <c r="HKA1" i="9"/>
  <c r="HJZ1" i="9"/>
  <c r="HJY1" i="9"/>
  <c r="HJX1" i="9"/>
  <c r="HJW1" i="9"/>
  <c r="HJV1" i="9"/>
  <c r="HJU1" i="9"/>
  <c r="HJT1" i="9"/>
  <c r="HJS1" i="9"/>
  <c r="HJR1" i="9"/>
  <c r="HJQ1" i="9"/>
  <c r="HJP1" i="9"/>
  <c r="HJO1" i="9"/>
  <c r="HJN1" i="9"/>
  <c r="HJM1" i="9"/>
  <c r="HJL1" i="9"/>
  <c r="HJK1" i="9"/>
  <c r="HJJ1" i="9"/>
  <c r="HJI1" i="9"/>
  <c r="HJH1" i="9"/>
  <c r="HJG1" i="9"/>
  <c r="HJF1" i="9"/>
  <c r="HJE1" i="9"/>
  <c r="HJD1" i="9"/>
  <c r="HJC1" i="9"/>
  <c r="HJB1" i="9"/>
  <c r="HJA1" i="9"/>
  <c r="HIZ1" i="9"/>
  <c r="HIY1" i="9"/>
  <c r="HIX1" i="9"/>
  <c r="HIW1" i="9"/>
  <c r="HIV1" i="9"/>
  <c r="HIU1" i="9"/>
  <c r="HIT1" i="9"/>
  <c r="HIS1" i="9"/>
  <c r="HIR1" i="9"/>
  <c r="HIQ1" i="9"/>
  <c r="HIP1" i="9"/>
  <c r="HIO1" i="9"/>
  <c r="HIN1" i="9"/>
  <c r="HIM1" i="9"/>
  <c r="HIL1" i="9"/>
  <c r="HIK1" i="9"/>
  <c r="HIJ1" i="9"/>
  <c r="HII1" i="9"/>
  <c r="HIH1" i="9"/>
  <c r="HIG1" i="9"/>
  <c r="HIF1" i="9"/>
  <c r="HIE1" i="9"/>
  <c r="HID1" i="9"/>
  <c r="HIC1" i="9"/>
  <c r="HIB1" i="9"/>
  <c r="HIA1" i="9"/>
  <c r="HHZ1" i="9"/>
  <c r="HHY1" i="9"/>
  <c r="HHX1" i="9"/>
  <c r="HHW1" i="9"/>
  <c r="HHV1" i="9"/>
  <c r="HHU1" i="9"/>
  <c r="HHT1" i="9"/>
  <c r="HHS1" i="9"/>
  <c r="HHR1" i="9"/>
  <c r="HHQ1" i="9"/>
  <c r="HHP1" i="9"/>
  <c r="HHO1" i="9"/>
  <c r="HHN1" i="9"/>
  <c r="HHM1" i="9"/>
  <c r="HHL1" i="9"/>
  <c r="HHK1" i="9"/>
  <c r="HHJ1" i="9"/>
  <c r="HHI1" i="9"/>
  <c r="HHH1" i="9"/>
  <c r="HHG1" i="9"/>
  <c r="HHF1" i="9"/>
  <c r="HHE1" i="9"/>
  <c r="HHD1" i="9"/>
  <c r="HHC1" i="9"/>
  <c r="HHB1" i="9"/>
  <c r="HHA1" i="9"/>
  <c r="HGZ1" i="9"/>
  <c r="HGY1" i="9"/>
  <c r="HGX1" i="9"/>
  <c r="HGW1" i="9"/>
  <c r="HGV1" i="9"/>
  <c r="HGU1" i="9"/>
  <c r="HGT1" i="9"/>
  <c r="HGS1" i="9"/>
  <c r="HGR1" i="9"/>
  <c r="HGQ1" i="9"/>
  <c r="HGP1" i="9"/>
  <c r="HGO1" i="9"/>
  <c r="HGN1" i="9"/>
  <c r="HGM1" i="9"/>
  <c r="HGL1" i="9"/>
  <c r="HGK1" i="9"/>
  <c r="HGJ1" i="9"/>
  <c r="HGI1" i="9"/>
  <c r="HGH1" i="9"/>
  <c r="HGG1" i="9"/>
  <c r="HGF1" i="9"/>
  <c r="HGE1" i="9"/>
  <c r="HGD1" i="9"/>
  <c r="HGC1" i="9"/>
  <c r="HGB1" i="9"/>
  <c r="HGA1" i="9"/>
  <c r="HFZ1" i="9"/>
  <c r="HFY1" i="9"/>
  <c r="HFX1" i="9"/>
  <c r="HFW1" i="9"/>
  <c r="HFV1" i="9"/>
  <c r="HFU1" i="9"/>
  <c r="HFT1" i="9"/>
  <c r="HFS1" i="9"/>
  <c r="HFR1" i="9"/>
  <c r="HFQ1" i="9"/>
  <c r="HFP1" i="9"/>
  <c r="HFO1" i="9"/>
  <c r="HFN1" i="9"/>
  <c r="HFM1" i="9"/>
  <c r="HFL1" i="9"/>
  <c r="HFK1" i="9"/>
  <c r="HFJ1" i="9"/>
  <c r="HFI1" i="9"/>
  <c r="HFH1" i="9"/>
  <c r="HFG1" i="9"/>
  <c r="HFF1" i="9"/>
  <c r="HFE1" i="9"/>
  <c r="HFD1" i="9"/>
  <c r="HFC1" i="9"/>
  <c r="HFB1" i="9"/>
  <c r="HFA1" i="9"/>
  <c r="HEZ1" i="9"/>
  <c r="HEY1" i="9"/>
  <c r="HEX1" i="9"/>
  <c r="HEW1" i="9"/>
  <c r="HEV1" i="9"/>
  <c r="HEU1" i="9"/>
  <c r="HET1" i="9"/>
  <c r="HES1" i="9"/>
  <c r="HER1" i="9"/>
  <c r="HEQ1" i="9"/>
  <c r="HEP1" i="9"/>
  <c r="HEO1" i="9"/>
  <c r="HEN1" i="9"/>
  <c r="HEM1" i="9"/>
  <c r="HEL1" i="9"/>
  <c r="HEK1" i="9"/>
  <c r="HEJ1" i="9"/>
  <c r="HEI1" i="9"/>
  <c r="HEH1" i="9"/>
  <c r="HEG1" i="9"/>
  <c r="HEF1" i="9"/>
  <c r="HEE1" i="9"/>
  <c r="HED1" i="9"/>
  <c r="HEC1" i="9"/>
  <c r="HEB1" i="9"/>
  <c r="HEA1" i="9"/>
  <c r="HDZ1" i="9"/>
  <c r="HDY1" i="9"/>
  <c r="HDX1" i="9"/>
  <c r="HDW1" i="9"/>
  <c r="HDV1" i="9"/>
  <c r="HDU1" i="9"/>
  <c r="HDT1" i="9"/>
  <c r="HDS1" i="9"/>
  <c r="HDR1" i="9"/>
  <c r="HDQ1" i="9"/>
  <c r="HDP1" i="9"/>
  <c r="HDO1" i="9"/>
  <c r="HDN1" i="9"/>
  <c r="HDM1" i="9"/>
  <c r="HDL1" i="9"/>
  <c r="HDK1" i="9"/>
  <c r="HDJ1" i="9"/>
  <c r="HDI1" i="9"/>
  <c r="HDH1" i="9"/>
  <c r="HDG1" i="9"/>
  <c r="HDF1" i="9"/>
  <c r="HDE1" i="9"/>
  <c r="HDD1" i="9"/>
  <c r="HDC1" i="9"/>
  <c r="HDB1" i="9"/>
  <c r="HDA1" i="9"/>
  <c r="HCZ1" i="9"/>
  <c r="HCY1" i="9"/>
  <c r="HCX1" i="9"/>
  <c r="HCW1" i="9"/>
  <c r="HCV1" i="9"/>
  <c r="HCU1" i="9"/>
  <c r="HCT1" i="9"/>
  <c r="HCS1" i="9"/>
  <c r="HCR1" i="9"/>
  <c r="HCQ1" i="9"/>
  <c r="HCP1" i="9"/>
  <c r="HCO1" i="9"/>
  <c r="HCN1" i="9"/>
  <c r="HCM1" i="9"/>
  <c r="HCL1" i="9"/>
  <c r="HCK1" i="9"/>
  <c r="HCJ1" i="9"/>
  <c r="HCI1" i="9"/>
  <c r="HCH1" i="9"/>
  <c r="HCG1" i="9"/>
  <c r="HCF1" i="9"/>
  <c r="HCE1" i="9"/>
  <c r="HCD1" i="9"/>
  <c r="HCC1" i="9"/>
  <c r="HCB1" i="9"/>
  <c r="HCA1" i="9"/>
  <c r="HBZ1" i="9"/>
  <c r="HBY1" i="9"/>
  <c r="HBX1" i="9"/>
  <c r="HBW1" i="9"/>
  <c r="HBV1" i="9"/>
  <c r="HBU1" i="9"/>
  <c r="HBT1" i="9"/>
  <c r="HBS1" i="9"/>
  <c r="HBR1" i="9"/>
  <c r="HBQ1" i="9"/>
  <c r="HBP1" i="9"/>
  <c r="HBO1" i="9"/>
  <c r="HBN1" i="9"/>
  <c r="HBM1" i="9"/>
  <c r="HBL1" i="9"/>
  <c r="HBK1" i="9"/>
  <c r="HBJ1" i="9"/>
  <c r="HBI1" i="9"/>
  <c r="HBH1" i="9"/>
  <c r="HBG1" i="9"/>
  <c r="HBF1" i="9"/>
  <c r="HBE1" i="9"/>
  <c r="HBD1" i="9"/>
  <c r="HBC1" i="9"/>
  <c r="HBB1" i="9"/>
  <c r="HBA1" i="9"/>
  <c r="HAZ1" i="9"/>
  <c r="HAY1" i="9"/>
  <c r="HAX1" i="9"/>
  <c r="HAW1" i="9"/>
  <c r="HAV1" i="9"/>
  <c r="HAU1" i="9"/>
  <c r="HAT1" i="9"/>
  <c r="HAS1" i="9"/>
  <c r="HAR1" i="9"/>
  <c r="HAQ1" i="9"/>
  <c r="HAP1" i="9"/>
  <c r="HAO1" i="9"/>
  <c r="HAN1" i="9"/>
  <c r="HAM1" i="9"/>
  <c r="HAL1" i="9"/>
  <c r="HAK1" i="9"/>
  <c r="HAJ1" i="9"/>
  <c r="HAI1" i="9"/>
  <c r="HAH1" i="9"/>
  <c r="HAG1" i="9"/>
  <c r="HAF1" i="9"/>
  <c r="HAE1" i="9"/>
  <c r="HAD1" i="9"/>
  <c r="HAC1" i="9"/>
  <c r="HAB1" i="9"/>
  <c r="HAA1" i="9"/>
  <c r="GZZ1" i="9"/>
  <c r="GZY1" i="9"/>
  <c r="GZX1" i="9"/>
  <c r="GZW1" i="9"/>
  <c r="GZV1" i="9"/>
  <c r="GZU1" i="9"/>
  <c r="GZT1" i="9"/>
  <c r="GZS1" i="9"/>
  <c r="GZR1" i="9"/>
  <c r="GZQ1" i="9"/>
  <c r="GZP1" i="9"/>
  <c r="GZO1" i="9"/>
  <c r="GZN1" i="9"/>
  <c r="GZM1" i="9"/>
  <c r="GZL1" i="9"/>
  <c r="GZK1" i="9"/>
  <c r="GZJ1" i="9"/>
  <c r="GZI1" i="9"/>
  <c r="GZH1" i="9"/>
  <c r="GZG1" i="9"/>
  <c r="GZF1" i="9"/>
  <c r="GZE1" i="9"/>
  <c r="GZD1" i="9"/>
  <c r="GZC1" i="9"/>
  <c r="GZB1" i="9"/>
  <c r="GZA1" i="9"/>
  <c r="GYZ1" i="9"/>
  <c r="GYY1" i="9"/>
  <c r="GYX1" i="9"/>
  <c r="GYW1" i="9"/>
  <c r="GYV1" i="9"/>
  <c r="GYU1" i="9"/>
  <c r="GYT1" i="9"/>
  <c r="GYS1" i="9"/>
  <c r="GYR1" i="9"/>
  <c r="GYQ1" i="9"/>
  <c r="GYP1" i="9"/>
  <c r="GYO1" i="9"/>
  <c r="GYN1" i="9"/>
  <c r="GYM1" i="9"/>
  <c r="GYL1" i="9"/>
  <c r="GYK1" i="9"/>
  <c r="GYJ1" i="9"/>
  <c r="GYI1" i="9"/>
  <c r="GYH1" i="9"/>
  <c r="GYG1" i="9"/>
  <c r="GYF1" i="9"/>
  <c r="GYE1" i="9"/>
  <c r="GYD1" i="9"/>
  <c r="GYC1" i="9"/>
  <c r="GYB1" i="9"/>
  <c r="GYA1" i="9"/>
  <c r="GXZ1" i="9"/>
  <c r="GXY1" i="9"/>
  <c r="GXX1" i="9"/>
  <c r="GXW1" i="9"/>
  <c r="GXV1" i="9"/>
  <c r="GXU1" i="9"/>
  <c r="GXT1" i="9"/>
  <c r="GXS1" i="9"/>
  <c r="GXR1" i="9"/>
  <c r="GXQ1" i="9"/>
  <c r="GXP1" i="9"/>
  <c r="GXO1" i="9"/>
  <c r="GXN1" i="9"/>
  <c r="GXM1" i="9"/>
  <c r="GXL1" i="9"/>
  <c r="GXK1" i="9"/>
  <c r="GXJ1" i="9"/>
  <c r="GXI1" i="9"/>
  <c r="GXH1" i="9"/>
  <c r="GXG1" i="9"/>
  <c r="GXF1" i="9"/>
  <c r="GXE1" i="9"/>
  <c r="GXD1" i="9"/>
  <c r="GXC1" i="9"/>
  <c r="GXB1" i="9"/>
  <c r="GXA1" i="9"/>
  <c r="GWZ1" i="9"/>
  <c r="GWY1" i="9"/>
  <c r="GWX1" i="9"/>
  <c r="GWW1" i="9"/>
  <c r="GWV1" i="9"/>
  <c r="GWU1" i="9"/>
  <c r="GWT1" i="9"/>
  <c r="GWS1" i="9"/>
  <c r="GWR1" i="9"/>
  <c r="GWQ1" i="9"/>
  <c r="GWP1" i="9"/>
  <c r="GWO1" i="9"/>
  <c r="GWN1" i="9"/>
  <c r="GWM1" i="9"/>
  <c r="GWL1" i="9"/>
  <c r="GWK1" i="9"/>
  <c r="GWJ1" i="9"/>
  <c r="GWI1" i="9"/>
  <c r="GWH1" i="9"/>
  <c r="GWG1" i="9"/>
  <c r="GWF1" i="9"/>
  <c r="GWE1" i="9"/>
  <c r="GWD1" i="9"/>
  <c r="GWC1" i="9"/>
  <c r="GWB1" i="9"/>
  <c r="GWA1" i="9"/>
  <c r="GVZ1" i="9"/>
  <c r="GVY1" i="9"/>
  <c r="GVX1" i="9"/>
  <c r="GVW1" i="9"/>
  <c r="GVV1" i="9"/>
  <c r="GVU1" i="9"/>
  <c r="GVT1" i="9"/>
  <c r="GVS1" i="9"/>
  <c r="GVR1" i="9"/>
  <c r="GVQ1" i="9"/>
  <c r="GVP1" i="9"/>
  <c r="GVO1" i="9"/>
  <c r="GVN1" i="9"/>
  <c r="GVM1" i="9"/>
  <c r="GVL1" i="9"/>
  <c r="GVK1" i="9"/>
  <c r="GVJ1" i="9"/>
  <c r="GVI1" i="9"/>
  <c r="GVH1" i="9"/>
  <c r="GVG1" i="9"/>
  <c r="GVF1" i="9"/>
  <c r="GVE1" i="9"/>
  <c r="GVD1" i="9"/>
  <c r="GVC1" i="9"/>
  <c r="GVB1" i="9"/>
  <c r="GVA1" i="9"/>
  <c r="GUZ1" i="9"/>
  <c r="GUY1" i="9"/>
  <c r="GUX1" i="9"/>
  <c r="GUW1" i="9"/>
  <c r="GUV1" i="9"/>
  <c r="GUU1" i="9"/>
  <c r="GUT1" i="9"/>
  <c r="GUS1" i="9"/>
  <c r="GUR1" i="9"/>
  <c r="GUQ1" i="9"/>
  <c r="GUP1" i="9"/>
  <c r="GUO1" i="9"/>
  <c r="GUN1" i="9"/>
  <c r="GUM1" i="9"/>
  <c r="GUL1" i="9"/>
  <c r="GUK1" i="9"/>
  <c r="GUJ1" i="9"/>
  <c r="GUI1" i="9"/>
  <c r="GUH1" i="9"/>
  <c r="GUG1" i="9"/>
  <c r="GUF1" i="9"/>
  <c r="GUE1" i="9"/>
  <c r="GUD1" i="9"/>
  <c r="GUC1" i="9"/>
  <c r="GUB1" i="9"/>
  <c r="GUA1" i="9"/>
  <c r="GTZ1" i="9"/>
  <c r="GTY1" i="9"/>
  <c r="GTX1" i="9"/>
  <c r="GTW1" i="9"/>
  <c r="GTV1" i="9"/>
  <c r="GTU1" i="9"/>
  <c r="GTT1" i="9"/>
  <c r="GTS1" i="9"/>
  <c r="GTR1" i="9"/>
  <c r="GTQ1" i="9"/>
  <c r="GTP1" i="9"/>
  <c r="GTO1" i="9"/>
  <c r="GTN1" i="9"/>
  <c r="GTM1" i="9"/>
  <c r="GTL1" i="9"/>
  <c r="GTK1" i="9"/>
  <c r="GTJ1" i="9"/>
  <c r="GTI1" i="9"/>
  <c r="GTH1" i="9"/>
  <c r="GTG1" i="9"/>
  <c r="GTF1" i="9"/>
  <c r="GTE1" i="9"/>
  <c r="GTD1" i="9"/>
  <c r="GTC1" i="9"/>
  <c r="GTB1" i="9"/>
  <c r="GTA1" i="9"/>
  <c r="GSZ1" i="9"/>
  <c r="GSY1" i="9"/>
  <c r="GSX1" i="9"/>
  <c r="GSW1" i="9"/>
  <c r="GSV1" i="9"/>
  <c r="GSU1" i="9"/>
  <c r="GST1" i="9"/>
  <c r="GSS1" i="9"/>
  <c r="GSR1" i="9"/>
  <c r="GSQ1" i="9"/>
  <c r="GSP1" i="9"/>
  <c r="GSO1" i="9"/>
  <c r="GSN1" i="9"/>
  <c r="GSM1" i="9"/>
  <c r="GSL1" i="9"/>
  <c r="GSK1" i="9"/>
  <c r="GSJ1" i="9"/>
  <c r="GSI1" i="9"/>
  <c r="GSH1" i="9"/>
  <c r="GSG1" i="9"/>
  <c r="GSF1" i="9"/>
  <c r="GSE1" i="9"/>
  <c r="GSD1" i="9"/>
  <c r="GSC1" i="9"/>
  <c r="GSB1" i="9"/>
  <c r="GSA1" i="9"/>
  <c r="GRZ1" i="9"/>
  <c r="GRY1" i="9"/>
  <c r="GRX1" i="9"/>
  <c r="GRW1" i="9"/>
  <c r="GRV1" i="9"/>
  <c r="GRU1" i="9"/>
  <c r="GRT1" i="9"/>
  <c r="GRS1" i="9"/>
  <c r="GRR1" i="9"/>
  <c r="GRQ1" i="9"/>
  <c r="GRP1" i="9"/>
  <c r="GRO1" i="9"/>
  <c r="GRN1" i="9"/>
  <c r="GRM1" i="9"/>
  <c r="GRL1" i="9"/>
  <c r="GRK1" i="9"/>
  <c r="GRJ1" i="9"/>
  <c r="GRI1" i="9"/>
  <c r="GRH1" i="9"/>
  <c r="GRG1" i="9"/>
  <c r="GRF1" i="9"/>
  <c r="GRE1" i="9"/>
  <c r="GRD1" i="9"/>
  <c r="GRC1" i="9"/>
  <c r="GRB1" i="9"/>
  <c r="GRA1" i="9"/>
  <c r="GQZ1" i="9"/>
  <c r="GQY1" i="9"/>
  <c r="GQX1" i="9"/>
  <c r="GQW1" i="9"/>
  <c r="GQV1" i="9"/>
  <c r="GQU1" i="9"/>
  <c r="GQT1" i="9"/>
  <c r="GQS1" i="9"/>
  <c r="GQR1" i="9"/>
  <c r="GQQ1" i="9"/>
  <c r="GQP1" i="9"/>
  <c r="GQO1" i="9"/>
  <c r="GQN1" i="9"/>
  <c r="GQM1" i="9"/>
  <c r="GQL1" i="9"/>
  <c r="GQK1" i="9"/>
  <c r="GQJ1" i="9"/>
  <c r="GQI1" i="9"/>
  <c r="GQH1" i="9"/>
  <c r="GQG1" i="9"/>
  <c r="GQF1" i="9"/>
  <c r="GQE1" i="9"/>
  <c r="GQD1" i="9"/>
  <c r="GQC1" i="9"/>
  <c r="GQB1" i="9"/>
  <c r="GQA1" i="9"/>
  <c r="GPZ1" i="9"/>
  <c r="GPY1" i="9"/>
  <c r="GPX1" i="9"/>
  <c r="GPW1" i="9"/>
  <c r="GPV1" i="9"/>
  <c r="GPU1" i="9"/>
  <c r="GPT1" i="9"/>
  <c r="GPS1" i="9"/>
  <c r="GPR1" i="9"/>
  <c r="GPQ1" i="9"/>
  <c r="GPP1" i="9"/>
  <c r="GPO1" i="9"/>
  <c r="GPN1" i="9"/>
  <c r="GPM1" i="9"/>
  <c r="GPL1" i="9"/>
  <c r="GPK1" i="9"/>
  <c r="GPJ1" i="9"/>
  <c r="GPI1" i="9"/>
  <c r="GPH1" i="9"/>
  <c r="GPG1" i="9"/>
  <c r="GPF1" i="9"/>
  <c r="GPE1" i="9"/>
  <c r="GPD1" i="9"/>
  <c r="GPC1" i="9"/>
  <c r="GPB1" i="9"/>
  <c r="GPA1" i="9"/>
  <c r="GOZ1" i="9"/>
  <c r="GOY1" i="9"/>
  <c r="GOX1" i="9"/>
  <c r="GOW1" i="9"/>
  <c r="GOV1" i="9"/>
  <c r="GOU1" i="9"/>
  <c r="GOT1" i="9"/>
  <c r="GOS1" i="9"/>
  <c r="GOR1" i="9"/>
  <c r="GOQ1" i="9"/>
  <c r="GOP1" i="9"/>
  <c r="GOO1" i="9"/>
  <c r="GON1" i="9"/>
  <c r="GOM1" i="9"/>
  <c r="GOL1" i="9"/>
  <c r="GOK1" i="9"/>
  <c r="GOJ1" i="9"/>
  <c r="GOI1" i="9"/>
  <c r="GOH1" i="9"/>
  <c r="GOG1" i="9"/>
  <c r="GOF1" i="9"/>
  <c r="GOE1" i="9"/>
  <c r="GOD1" i="9"/>
  <c r="GOC1" i="9"/>
  <c r="GOB1" i="9"/>
  <c r="GOA1" i="9"/>
  <c r="GNZ1" i="9"/>
  <c r="GNY1" i="9"/>
  <c r="GNX1" i="9"/>
  <c r="GNW1" i="9"/>
  <c r="GNV1" i="9"/>
  <c r="GNU1" i="9"/>
  <c r="GNT1" i="9"/>
  <c r="GNS1" i="9"/>
  <c r="GNR1" i="9"/>
  <c r="GNQ1" i="9"/>
  <c r="GNP1" i="9"/>
  <c r="GNO1" i="9"/>
  <c r="GNN1" i="9"/>
  <c r="GNM1" i="9"/>
  <c r="GNL1" i="9"/>
  <c r="GNK1" i="9"/>
  <c r="GNJ1" i="9"/>
  <c r="GNI1" i="9"/>
  <c r="GNH1" i="9"/>
  <c r="GNG1" i="9"/>
  <c r="GNF1" i="9"/>
  <c r="GNE1" i="9"/>
  <c r="GND1" i="9"/>
  <c r="GNC1" i="9"/>
  <c r="GNB1" i="9"/>
  <c r="GNA1" i="9"/>
  <c r="GMZ1" i="9"/>
  <c r="GMY1" i="9"/>
  <c r="GMX1" i="9"/>
  <c r="GMW1" i="9"/>
  <c r="GMV1" i="9"/>
  <c r="GMU1" i="9"/>
  <c r="GMT1" i="9"/>
  <c r="GMS1" i="9"/>
  <c r="GMR1" i="9"/>
  <c r="GMQ1" i="9"/>
  <c r="GMP1" i="9"/>
  <c r="GMO1" i="9"/>
  <c r="GMN1" i="9"/>
  <c r="GMM1" i="9"/>
  <c r="GML1" i="9"/>
  <c r="GMK1" i="9"/>
  <c r="GMJ1" i="9"/>
  <c r="GMI1" i="9"/>
  <c r="GMH1" i="9"/>
  <c r="GMG1" i="9"/>
  <c r="GMF1" i="9"/>
  <c r="GME1" i="9"/>
  <c r="GMD1" i="9"/>
  <c r="GMC1" i="9"/>
  <c r="GMB1" i="9"/>
  <c r="GMA1" i="9"/>
  <c r="GLZ1" i="9"/>
  <c r="GLY1" i="9"/>
  <c r="GLX1" i="9"/>
  <c r="GLW1" i="9"/>
  <c r="GLV1" i="9"/>
  <c r="GLU1" i="9"/>
  <c r="GLT1" i="9"/>
  <c r="GLS1" i="9"/>
  <c r="GLR1" i="9"/>
  <c r="GLQ1" i="9"/>
  <c r="GLP1" i="9"/>
  <c r="GLO1" i="9"/>
  <c r="GLN1" i="9"/>
  <c r="GLM1" i="9"/>
  <c r="GLL1" i="9"/>
  <c r="GLK1" i="9"/>
  <c r="GLJ1" i="9"/>
  <c r="GLI1" i="9"/>
  <c r="GLH1" i="9"/>
  <c r="GLG1" i="9"/>
  <c r="GLF1" i="9"/>
  <c r="GLE1" i="9"/>
  <c r="GLD1" i="9"/>
  <c r="GLC1" i="9"/>
  <c r="GLB1" i="9"/>
  <c r="GLA1" i="9"/>
  <c r="GKZ1" i="9"/>
  <c r="GKY1" i="9"/>
  <c r="GKX1" i="9"/>
  <c r="GKW1" i="9"/>
  <c r="GKV1" i="9"/>
  <c r="GKU1" i="9"/>
  <c r="GKT1" i="9"/>
  <c r="GKS1" i="9"/>
  <c r="GKR1" i="9"/>
  <c r="GKQ1" i="9"/>
  <c r="GKP1" i="9"/>
  <c r="GKO1" i="9"/>
  <c r="GKN1" i="9"/>
  <c r="GKM1" i="9"/>
  <c r="GKL1" i="9"/>
  <c r="GKK1" i="9"/>
  <c r="GKJ1" i="9"/>
  <c r="GKI1" i="9"/>
  <c r="GKH1" i="9"/>
  <c r="GKG1" i="9"/>
  <c r="GKF1" i="9"/>
  <c r="GKE1" i="9"/>
  <c r="GKD1" i="9"/>
  <c r="GKC1" i="9"/>
  <c r="GKB1" i="9"/>
  <c r="GKA1" i="9"/>
  <c r="GJZ1" i="9"/>
  <c r="GJY1" i="9"/>
  <c r="GJX1" i="9"/>
  <c r="GJW1" i="9"/>
  <c r="GJV1" i="9"/>
  <c r="GJU1" i="9"/>
  <c r="GJT1" i="9"/>
  <c r="GJS1" i="9"/>
  <c r="GJR1" i="9"/>
  <c r="GJQ1" i="9"/>
  <c r="GJP1" i="9"/>
  <c r="GJO1" i="9"/>
  <c r="GJN1" i="9"/>
  <c r="GJM1" i="9"/>
  <c r="GJL1" i="9"/>
  <c r="GJK1" i="9"/>
  <c r="GJJ1" i="9"/>
  <c r="GJI1" i="9"/>
  <c r="GJH1" i="9"/>
  <c r="GJG1" i="9"/>
  <c r="GJF1" i="9"/>
  <c r="GJE1" i="9"/>
  <c r="GJD1" i="9"/>
  <c r="GJC1" i="9"/>
  <c r="GJB1" i="9"/>
  <c r="GJA1" i="9"/>
  <c r="GIZ1" i="9"/>
  <c r="GIY1" i="9"/>
  <c r="GIX1" i="9"/>
  <c r="GIW1" i="9"/>
  <c r="GIV1" i="9"/>
  <c r="GIU1" i="9"/>
  <c r="GIT1" i="9"/>
  <c r="GIS1" i="9"/>
  <c r="GIR1" i="9"/>
  <c r="GIQ1" i="9"/>
  <c r="GIP1" i="9"/>
  <c r="GIO1" i="9"/>
  <c r="GIN1" i="9"/>
  <c r="GIM1" i="9"/>
  <c r="GIL1" i="9"/>
  <c r="GIK1" i="9"/>
  <c r="GIJ1" i="9"/>
  <c r="GII1" i="9"/>
  <c r="GIH1" i="9"/>
  <c r="GIG1" i="9"/>
  <c r="GIF1" i="9"/>
  <c r="GIE1" i="9"/>
  <c r="GID1" i="9"/>
  <c r="GIC1" i="9"/>
  <c r="GIB1" i="9"/>
  <c r="GIA1" i="9"/>
  <c r="GHZ1" i="9"/>
  <c r="GHY1" i="9"/>
  <c r="GHX1" i="9"/>
  <c r="GHW1" i="9"/>
  <c r="GHV1" i="9"/>
  <c r="GHU1" i="9"/>
  <c r="GHT1" i="9"/>
  <c r="GHS1" i="9"/>
  <c r="GHR1" i="9"/>
  <c r="GHQ1" i="9"/>
  <c r="GHP1" i="9"/>
  <c r="GHO1" i="9"/>
  <c r="GHN1" i="9"/>
  <c r="GHM1" i="9"/>
  <c r="GHL1" i="9"/>
  <c r="GHK1" i="9"/>
  <c r="GHJ1" i="9"/>
  <c r="GHI1" i="9"/>
  <c r="GHH1" i="9"/>
  <c r="GHG1" i="9"/>
  <c r="GHF1" i="9"/>
  <c r="GHE1" i="9"/>
  <c r="GHD1" i="9"/>
  <c r="GHC1" i="9"/>
  <c r="GHB1" i="9"/>
  <c r="GHA1" i="9"/>
  <c r="GGZ1" i="9"/>
  <c r="GGY1" i="9"/>
  <c r="GGX1" i="9"/>
  <c r="GGW1" i="9"/>
  <c r="GGV1" i="9"/>
  <c r="GGU1" i="9"/>
  <c r="GGT1" i="9"/>
  <c r="GGS1" i="9"/>
  <c r="GGR1" i="9"/>
  <c r="GGQ1" i="9"/>
  <c r="GGP1" i="9"/>
  <c r="GGO1" i="9"/>
  <c r="GGN1" i="9"/>
  <c r="GGM1" i="9"/>
  <c r="GGL1" i="9"/>
  <c r="GGK1" i="9"/>
  <c r="GGJ1" i="9"/>
  <c r="GGI1" i="9"/>
  <c r="GGH1" i="9"/>
  <c r="GGG1" i="9"/>
  <c r="GGF1" i="9"/>
  <c r="GGE1" i="9"/>
  <c r="GGD1" i="9"/>
  <c r="GGC1" i="9"/>
  <c r="GGB1" i="9"/>
  <c r="GGA1" i="9"/>
  <c r="GFZ1" i="9"/>
  <c r="GFY1" i="9"/>
  <c r="GFX1" i="9"/>
  <c r="GFW1" i="9"/>
  <c r="GFV1" i="9"/>
  <c r="GFU1" i="9"/>
  <c r="GFT1" i="9"/>
  <c r="GFS1" i="9"/>
  <c r="GFR1" i="9"/>
  <c r="GFQ1" i="9"/>
  <c r="GFP1" i="9"/>
  <c r="GFO1" i="9"/>
  <c r="GFN1" i="9"/>
  <c r="GFM1" i="9"/>
  <c r="GFL1" i="9"/>
  <c r="GFK1" i="9"/>
  <c r="GFJ1" i="9"/>
  <c r="GFI1" i="9"/>
  <c r="GFH1" i="9"/>
  <c r="GFG1" i="9"/>
  <c r="GFF1" i="9"/>
  <c r="GFE1" i="9"/>
  <c r="GFD1" i="9"/>
  <c r="GFC1" i="9"/>
  <c r="GFB1" i="9"/>
  <c r="GFA1" i="9"/>
  <c r="GEZ1" i="9"/>
  <c r="GEY1" i="9"/>
  <c r="GEX1" i="9"/>
  <c r="GEW1" i="9"/>
  <c r="GEV1" i="9"/>
  <c r="GEU1" i="9"/>
  <c r="GET1" i="9"/>
  <c r="GES1" i="9"/>
  <c r="GER1" i="9"/>
  <c r="GEQ1" i="9"/>
  <c r="GEP1" i="9"/>
  <c r="GEO1" i="9"/>
  <c r="GEN1" i="9"/>
  <c r="GEM1" i="9"/>
  <c r="GEL1" i="9"/>
  <c r="GEK1" i="9"/>
  <c r="GEJ1" i="9"/>
  <c r="GEI1" i="9"/>
  <c r="GEH1" i="9"/>
  <c r="GEG1" i="9"/>
  <c r="GEF1" i="9"/>
  <c r="GEE1" i="9"/>
  <c r="GED1" i="9"/>
  <c r="GEC1" i="9"/>
  <c r="GEB1" i="9"/>
  <c r="GEA1" i="9"/>
  <c r="GDZ1" i="9"/>
  <c r="GDY1" i="9"/>
  <c r="GDX1" i="9"/>
  <c r="GDW1" i="9"/>
  <c r="GDV1" i="9"/>
  <c r="GDU1" i="9"/>
  <c r="GDT1" i="9"/>
  <c r="GDS1" i="9"/>
  <c r="GDR1" i="9"/>
  <c r="GDQ1" i="9"/>
  <c r="GDP1" i="9"/>
  <c r="GDO1" i="9"/>
  <c r="GDN1" i="9"/>
  <c r="GDM1" i="9"/>
  <c r="GDL1" i="9"/>
  <c r="GDK1" i="9"/>
  <c r="GDJ1" i="9"/>
  <c r="GDI1" i="9"/>
  <c r="GDH1" i="9"/>
  <c r="GDG1" i="9"/>
  <c r="GDF1" i="9"/>
  <c r="GDE1" i="9"/>
  <c r="GDD1" i="9"/>
  <c r="GDC1" i="9"/>
  <c r="GDB1" i="9"/>
  <c r="GDA1" i="9"/>
  <c r="GCZ1" i="9"/>
  <c r="GCY1" i="9"/>
  <c r="GCX1" i="9"/>
  <c r="GCW1" i="9"/>
  <c r="GCV1" i="9"/>
  <c r="GCU1" i="9"/>
  <c r="GCT1" i="9"/>
  <c r="GCS1" i="9"/>
  <c r="GCR1" i="9"/>
  <c r="GCQ1" i="9"/>
  <c r="GCP1" i="9"/>
  <c r="GCO1" i="9"/>
  <c r="GCN1" i="9"/>
  <c r="GCM1" i="9"/>
  <c r="GCL1" i="9"/>
  <c r="GCK1" i="9"/>
  <c r="GCJ1" i="9"/>
  <c r="GCI1" i="9"/>
  <c r="GCH1" i="9"/>
  <c r="GCG1" i="9"/>
  <c r="GCF1" i="9"/>
  <c r="GCE1" i="9"/>
  <c r="GCD1" i="9"/>
  <c r="GCC1" i="9"/>
  <c r="GCB1" i="9"/>
  <c r="GCA1" i="9"/>
  <c r="GBZ1" i="9"/>
  <c r="GBY1" i="9"/>
  <c r="GBX1" i="9"/>
  <c r="GBW1" i="9"/>
  <c r="GBV1" i="9"/>
  <c r="GBU1" i="9"/>
  <c r="GBT1" i="9"/>
  <c r="GBS1" i="9"/>
  <c r="GBR1" i="9"/>
  <c r="GBQ1" i="9"/>
  <c r="GBP1" i="9"/>
  <c r="GBO1" i="9"/>
  <c r="GBN1" i="9"/>
  <c r="GBM1" i="9"/>
  <c r="GBL1" i="9"/>
  <c r="GBK1" i="9"/>
  <c r="GBJ1" i="9"/>
  <c r="GBI1" i="9"/>
  <c r="GBH1" i="9"/>
  <c r="GBG1" i="9"/>
  <c r="GBF1" i="9"/>
  <c r="GBE1" i="9"/>
  <c r="GBD1" i="9"/>
  <c r="GBC1" i="9"/>
  <c r="GBB1" i="9"/>
  <c r="GBA1" i="9"/>
  <c r="GAZ1" i="9"/>
  <c r="GAY1" i="9"/>
  <c r="GAX1" i="9"/>
  <c r="GAW1" i="9"/>
  <c r="GAV1" i="9"/>
  <c r="GAU1" i="9"/>
  <c r="GAT1" i="9"/>
  <c r="GAS1" i="9"/>
  <c r="GAR1" i="9"/>
  <c r="GAQ1" i="9"/>
  <c r="GAP1" i="9"/>
  <c r="GAO1" i="9"/>
  <c r="GAN1" i="9"/>
  <c r="GAM1" i="9"/>
  <c r="GAL1" i="9"/>
  <c r="GAK1" i="9"/>
  <c r="GAJ1" i="9"/>
  <c r="GAI1" i="9"/>
  <c r="GAH1" i="9"/>
  <c r="GAG1" i="9"/>
  <c r="GAF1" i="9"/>
  <c r="GAE1" i="9"/>
  <c r="GAD1" i="9"/>
  <c r="GAC1" i="9"/>
  <c r="GAB1" i="9"/>
  <c r="GAA1" i="9"/>
  <c r="FZZ1" i="9"/>
  <c r="FZY1" i="9"/>
  <c r="FZX1" i="9"/>
  <c r="FZW1" i="9"/>
  <c r="FZV1" i="9"/>
  <c r="FZU1" i="9"/>
  <c r="FZT1" i="9"/>
  <c r="FZS1" i="9"/>
  <c r="FZR1" i="9"/>
  <c r="FZQ1" i="9"/>
  <c r="FZP1" i="9"/>
  <c r="FZO1" i="9"/>
  <c r="FZN1" i="9"/>
  <c r="FZM1" i="9"/>
  <c r="FZL1" i="9"/>
  <c r="FZK1" i="9"/>
  <c r="FZJ1" i="9"/>
  <c r="FZI1" i="9"/>
  <c r="FZH1" i="9"/>
  <c r="FZG1" i="9"/>
  <c r="FZF1" i="9"/>
  <c r="FZE1" i="9"/>
  <c r="FZD1" i="9"/>
  <c r="FZC1" i="9"/>
  <c r="FZB1" i="9"/>
  <c r="FZA1" i="9"/>
  <c r="FYZ1" i="9"/>
  <c r="FYY1" i="9"/>
  <c r="FYX1" i="9"/>
  <c r="FYW1" i="9"/>
  <c r="FYV1" i="9"/>
  <c r="FYU1" i="9"/>
  <c r="FYT1" i="9"/>
  <c r="FYS1" i="9"/>
  <c r="FYR1" i="9"/>
  <c r="FYQ1" i="9"/>
  <c r="FYP1" i="9"/>
  <c r="FYO1" i="9"/>
  <c r="FYN1" i="9"/>
  <c r="FYM1" i="9"/>
  <c r="FYL1" i="9"/>
  <c r="FYK1" i="9"/>
  <c r="FYJ1" i="9"/>
  <c r="FYI1" i="9"/>
  <c r="FYH1" i="9"/>
  <c r="FYG1" i="9"/>
  <c r="FYF1" i="9"/>
  <c r="FYE1" i="9"/>
  <c r="FYD1" i="9"/>
  <c r="FYC1" i="9"/>
  <c r="FYB1" i="9"/>
  <c r="FYA1" i="9"/>
  <c r="FXZ1" i="9"/>
  <c r="FXY1" i="9"/>
  <c r="FXX1" i="9"/>
  <c r="FXW1" i="9"/>
  <c r="FXV1" i="9"/>
  <c r="FXU1" i="9"/>
  <c r="FXT1" i="9"/>
  <c r="FXS1" i="9"/>
  <c r="FXR1" i="9"/>
  <c r="FXQ1" i="9"/>
  <c r="FXP1" i="9"/>
  <c r="FXO1" i="9"/>
  <c r="FXN1" i="9"/>
  <c r="FXM1" i="9"/>
  <c r="FXL1" i="9"/>
  <c r="FXK1" i="9"/>
  <c r="FXJ1" i="9"/>
  <c r="FXI1" i="9"/>
  <c r="FXH1" i="9"/>
  <c r="FXG1" i="9"/>
  <c r="FXF1" i="9"/>
  <c r="FXE1" i="9"/>
  <c r="FXD1" i="9"/>
  <c r="FXC1" i="9"/>
  <c r="FXB1" i="9"/>
  <c r="FXA1" i="9"/>
  <c r="FWZ1" i="9"/>
  <c r="FWY1" i="9"/>
  <c r="FWX1" i="9"/>
  <c r="FWW1" i="9"/>
  <c r="FWV1" i="9"/>
  <c r="FWU1" i="9"/>
  <c r="FWT1" i="9"/>
  <c r="FWS1" i="9"/>
  <c r="FWR1" i="9"/>
  <c r="FWQ1" i="9"/>
  <c r="FWP1" i="9"/>
  <c r="FWO1" i="9"/>
  <c r="FWN1" i="9"/>
  <c r="FWM1" i="9"/>
  <c r="FWL1" i="9"/>
  <c r="FWK1" i="9"/>
  <c r="FWJ1" i="9"/>
  <c r="FWI1" i="9"/>
  <c r="FWH1" i="9"/>
  <c r="FWG1" i="9"/>
  <c r="FWF1" i="9"/>
  <c r="FWE1" i="9"/>
  <c r="FWD1" i="9"/>
  <c r="FWC1" i="9"/>
  <c r="FWB1" i="9"/>
  <c r="FWA1" i="9"/>
  <c r="FVZ1" i="9"/>
  <c r="FVY1" i="9"/>
  <c r="FVX1" i="9"/>
  <c r="FVW1" i="9"/>
  <c r="FVV1" i="9"/>
  <c r="FVU1" i="9"/>
  <c r="FVT1" i="9"/>
  <c r="FVS1" i="9"/>
  <c r="FVR1" i="9"/>
  <c r="FVQ1" i="9"/>
  <c r="FVP1" i="9"/>
  <c r="FVO1" i="9"/>
  <c r="FVN1" i="9"/>
  <c r="FVM1" i="9"/>
  <c r="FVL1" i="9"/>
  <c r="FVK1" i="9"/>
  <c r="FVJ1" i="9"/>
  <c r="FVI1" i="9"/>
  <c r="FVH1" i="9"/>
  <c r="FVG1" i="9"/>
  <c r="FVF1" i="9"/>
  <c r="FVE1" i="9"/>
  <c r="FVD1" i="9"/>
  <c r="FVC1" i="9"/>
  <c r="FVB1" i="9"/>
  <c r="FVA1" i="9"/>
  <c r="FUZ1" i="9"/>
  <c r="FUY1" i="9"/>
  <c r="FUX1" i="9"/>
  <c r="FUW1" i="9"/>
  <c r="FUV1" i="9"/>
  <c r="FUU1" i="9"/>
  <c r="FUT1" i="9"/>
  <c r="FUS1" i="9"/>
  <c r="FUR1" i="9"/>
  <c r="FUQ1" i="9"/>
  <c r="FUP1" i="9"/>
  <c r="FUO1" i="9"/>
  <c r="FUN1" i="9"/>
  <c r="FUM1" i="9"/>
  <c r="FUL1" i="9"/>
  <c r="FUK1" i="9"/>
  <c r="FUJ1" i="9"/>
  <c r="FUI1" i="9"/>
  <c r="FUH1" i="9"/>
  <c r="FUG1" i="9"/>
  <c r="FUF1" i="9"/>
  <c r="FUE1" i="9"/>
  <c r="FUD1" i="9"/>
  <c r="FUC1" i="9"/>
  <c r="FUB1" i="9"/>
  <c r="FUA1" i="9"/>
  <c r="FTZ1" i="9"/>
  <c r="FTY1" i="9"/>
  <c r="FTX1" i="9"/>
  <c r="FTW1" i="9"/>
  <c r="FTV1" i="9"/>
  <c r="FTU1" i="9"/>
  <c r="FTT1" i="9"/>
  <c r="FTS1" i="9"/>
  <c r="FTR1" i="9"/>
  <c r="FTQ1" i="9"/>
  <c r="FTP1" i="9"/>
  <c r="FTO1" i="9"/>
  <c r="FTN1" i="9"/>
  <c r="FTM1" i="9"/>
  <c r="FTL1" i="9"/>
  <c r="FTK1" i="9"/>
  <c r="FTJ1" i="9"/>
  <c r="FTI1" i="9"/>
  <c r="FTH1" i="9"/>
  <c r="FTG1" i="9"/>
  <c r="FTF1" i="9"/>
  <c r="FTE1" i="9"/>
  <c r="FTD1" i="9"/>
  <c r="FTC1" i="9"/>
  <c r="FTB1" i="9"/>
  <c r="FTA1" i="9"/>
  <c r="FSZ1" i="9"/>
  <c r="FSY1" i="9"/>
  <c r="FSX1" i="9"/>
  <c r="FSW1" i="9"/>
  <c r="FSV1" i="9"/>
  <c r="FSU1" i="9"/>
  <c r="FST1" i="9"/>
  <c r="FSS1" i="9"/>
  <c r="FSR1" i="9"/>
  <c r="FSQ1" i="9"/>
  <c r="FSP1" i="9"/>
  <c r="FSO1" i="9"/>
  <c r="FSN1" i="9"/>
  <c r="FSM1" i="9"/>
  <c r="FSL1" i="9"/>
  <c r="FSK1" i="9"/>
  <c r="FSJ1" i="9"/>
  <c r="FSI1" i="9"/>
  <c r="FSH1" i="9"/>
  <c r="FSG1" i="9"/>
  <c r="FSF1" i="9"/>
  <c r="FSE1" i="9"/>
  <c r="FSD1" i="9"/>
  <c r="FSC1" i="9"/>
  <c r="FSB1" i="9"/>
  <c r="FSA1" i="9"/>
  <c r="FRZ1" i="9"/>
  <c r="FRY1" i="9"/>
  <c r="FRX1" i="9"/>
  <c r="FRW1" i="9"/>
  <c r="FRV1" i="9"/>
  <c r="FRU1" i="9"/>
  <c r="FRT1" i="9"/>
  <c r="FRS1" i="9"/>
  <c r="FRR1" i="9"/>
  <c r="FRQ1" i="9"/>
  <c r="FRP1" i="9"/>
  <c r="FRO1" i="9"/>
  <c r="FRN1" i="9"/>
  <c r="FRM1" i="9"/>
  <c r="FRL1" i="9"/>
  <c r="FRK1" i="9"/>
  <c r="FRJ1" i="9"/>
  <c r="FRI1" i="9"/>
  <c r="FRH1" i="9"/>
  <c r="FRG1" i="9"/>
  <c r="FRF1" i="9"/>
  <c r="FRE1" i="9"/>
  <c r="FRD1" i="9"/>
  <c r="FRC1" i="9"/>
  <c r="FRB1" i="9"/>
  <c r="FRA1" i="9"/>
  <c r="FQZ1" i="9"/>
  <c r="FQY1" i="9"/>
  <c r="FQX1" i="9"/>
  <c r="FQW1" i="9"/>
  <c r="FQV1" i="9"/>
  <c r="FQU1" i="9"/>
  <c r="FQT1" i="9"/>
  <c r="FQS1" i="9"/>
  <c r="FQR1" i="9"/>
  <c r="FQQ1" i="9"/>
  <c r="FQP1" i="9"/>
  <c r="FQO1" i="9"/>
  <c r="FQN1" i="9"/>
  <c r="FQM1" i="9"/>
  <c r="FQL1" i="9"/>
  <c r="FQK1" i="9"/>
  <c r="FQJ1" i="9"/>
  <c r="FQI1" i="9"/>
  <c r="FQH1" i="9"/>
  <c r="FQG1" i="9"/>
  <c r="FQF1" i="9"/>
  <c r="FQE1" i="9"/>
  <c r="FQD1" i="9"/>
  <c r="FQC1" i="9"/>
  <c r="FQB1" i="9"/>
  <c r="FQA1" i="9"/>
  <c r="FPZ1" i="9"/>
  <c r="FPY1" i="9"/>
  <c r="FPX1" i="9"/>
  <c r="FPW1" i="9"/>
  <c r="FPV1" i="9"/>
  <c r="FPU1" i="9"/>
  <c r="FPT1" i="9"/>
  <c r="FPS1" i="9"/>
  <c r="FPR1" i="9"/>
  <c r="FPQ1" i="9"/>
  <c r="FPP1" i="9"/>
  <c r="FPO1" i="9"/>
  <c r="FPN1" i="9"/>
  <c r="FPM1" i="9"/>
  <c r="FPL1" i="9"/>
  <c r="FPK1" i="9"/>
  <c r="FPJ1" i="9"/>
  <c r="FPI1" i="9"/>
  <c r="FPH1" i="9"/>
  <c r="FPG1" i="9"/>
  <c r="FPF1" i="9"/>
  <c r="FPE1" i="9"/>
  <c r="FPD1" i="9"/>
  <c r="FPC1" i="9"/>
  <c r="FPB1" i="9"/>
  <c r="FPA1" i="9"/>
  <c r="FOZ1" i="9"/>
  <c r="FOY1" i="9"/>
  <c r="FOX1" i="9"/>
  <c r="FOW1" i="9"/>
  <c r="FOV1" i="9"/>
  <c r="FOU1" i="9"/>
  <c r="FOT1" i="9"/>
  <c r="FOS1" i="9"/>
  <c r="FOR1" i="9"/>
  <c r="FOQ1" i="9"/>
  <c r="FOP1" i="9"/>
  <c r="FOO1" i="9"/>
  <c r="FON1" i="9"/>
  <c r="FOM1" i="9"/>
  <c r="FOL1" i="9"/>
  <c r="FOK1" i="9"/>
  <c r="FOJ1" i="9"/>
  <c r="FOI1" i="9"/>
  <c r="FOH1" i="9"/>
  <c r="FOG1" i="9"/>
  <c r="FOF1" i="9"/>
  <c r="FOE1" i="9"/>
  <c r="FOD1" i="9"/>
  <c r="FOC1" i="9"/>
  <c r="FOB1" i="9"/>
  <c r="FOA1" i="9"/>
  <c r="FNZ1" i="9"/>
  <c r="FNY1" i="9"/>
  <c r="FNX1" i="9"/>
  <c r="FNW1" i="9"/>
  <c r="FNV1" i="9"/>
  <c r="FNU1" i="9"/>
  <c r="FNT1" i="9"/>
  <c r="FNS1" i="9"/>
  <c r="FNR1" i="9"/>
  <c r="FNQ1" i="9"/>
  <c r="FNP1" i="9"/>
  <c r="FNO1" i="9"/>
  <c r="FNN1" i="9"/>
  <c r="FNM1" i="9"/>
  <c r="FNL1" i="9"/>
  <c r="FNK1" i="9"/>
  <c r="FNJ1" i="9"/>
  <c r="FNI1" i="9"/>
  <c r="FNH1" i="9"/>
  <c r="FNG1" i="9"/>
  <c r="FNF1" i="9"/>
  <c r="FNE1" i="9"/>
  <c r="FND1" i="9"/>
  <c r="FNC1" i="9"/>
  <c r="FNB1" i="9"/>
  <c r="FNA1" i="9"/>
  <c r="FMZ1" i="9"/>
  <c r="FMY1" i="9"/>
  <c r="FMX1" i="9"/>
  <c r="FMW1" i="9"/>
  <c r="FMV1" i="9"/>
  <c r="FMU1" i="9"/>
  <c r="FMT1" i="9"/>
  <c r="FMS1" i="9"/>
  <c r="FMR1" i="9"/>
  <c r="FMQ1" i="9"/>
  <c r="FMP1" i="9"/>
  <c r="FMO1" i="9"/>
  <c r="FMN1" i="9"/>
  <c r="FMM1" i="9"/>
  <c r="FML1" i="9"/>
  <c r="FMK1" i="9"/>
  <c r="FMJ1" i="9"/>
  <c r="FMI1" i="9"/>
  <c r="FMH1" i="9"/>
  <c r="FMG1" i="9"/>
  <c r="FMF1" i="9"/>
  <c r="FME1" i="9"/>
  <c r="FMD1" i="9"/>
  <c r="FMC1" i="9"/>
  <c r="FMB1" i="9"/>
  <c r="FMA1" i="9"/>
  <c r="FLZ1" i="9"/>
  <c r="FLY1" i="9"/>
  <c r="FLX1" i="9"/>
  <c r="FLW1" i="9"/>
  <c r="FLV1" i="9"/>
  <c r="FLU1" i="9"/>
  <c r="FLT1" i="9"/>
  <c r="FLS1" i="9"/>
  <c r="FLR1" i="9"/>
  <c r="FLQ1" i="9"/>
  <c r="FLP1" i="9"/>
  <c r="FLO1" i="9"/>
  <c r="FLN1" i="9"/>
  <c r="FLM1" i="9"/>
  <c r="FLL1" i="9"/>
  <c r="FLK1" i="9"/>
  <c r="FLJ1" i="9"/>
  <c r="FLI1" i="9"/>
  <c r="FLH1" i="9"/>
  <c r="FLG1" i="9"/>
  <c r="FLF1" i="9"/>
  <c r="FLE1" i="9"/>
  <c r="FLD1" i="9"/>
  <c r="FLC1" i="9"/>
  <c r="FLB1" i="9"/>
  <c r="FLA1" i="9"/>
  <c r="FKZ1" i="9"/>
  <c r="FKY1" i="9"/>
  <c r="FKX1" i="9"/>
  <c r="FKW1" i="9"/>
  <c r="FKV1" i="9"/>
  <c r="FKU1" i="9"/>
  <c r="FKT1" i="9"/>
  <c r="FKS1" i="9"/>
  <c r="FKR1" i="9"/>
  <c r="FKQ1" i="9"/>
  <c r="FKP1" i="9"/>
  <c r="FKO1" i="9"/>
  <c r="FKN1" i="9"/>
  <c r="FKM1" i="9"/>
  <c r="FKL1" i="9"/>
  <c r="FKK1" i="9"/>
  <c r="FKJ1" i="9"/>
  <c r="FKI1" i="9"/>
  <c r="FKH1" i="9"/>
  <c r="FKG1" i="9"/>
  <c r="FKF1" i="9"/>
  <c r="FKE1" i="9"/>
  <c r="FKD1" i="9"/>
  <c r="FKC1" i="9"/>
  <c r="FKB1" i="9"/>
  <c r="FKA1" i="9"/>
  <c r="FJZ1" i="9"/>
  <c r="FJY1" i="9"/>
  <c r="FJX1" i="9"/>
  <c r="FJW1" i="9"/>
  <c r="FJV1" i="9"/>
  <c r="FJU1" i="9"/>
  <c r="FJT1" i="9"/>
  <c r="FJS1" i="9"/>
  <c r="FJR1" i="9"/>
  <c r="FJQ1" i="9"/>
  <c r="FJP1" i="9"/>
  <c r="FJO1" i="9"/>
  <c r="FJN1" i="9"/>
  <c r="FJM1" i="9"/>
  <c r="FJL1" i="9"/>
  <c r="FJK1" i="9"/>
  <c r="FJJ1" i="9"/>
  <c r="FJI1" i="9"/>
  <c r="FJH1" i="9"/>
  <c r="FJG1" i="9"/>
  <c r="FJF1" i="9"/>
  <c r="FJE1" i="9"/>
  <c r="FJD1" i="9"/>
  <c r="FJC1" i="9"/>
  <c r="FJB1" i="9"/>
  <c r="FJA1" i="9"/>
  <c r="FIZ1" i="9"/>
  <c r="FIY1" i="9"/>
  <c r="FIX1" i="9"/>
  <c r="FIW1" i="9"/>
  <c r="FIV1" i="9"/>
  <c r="FIU1" i="9"/>
  <c r="FIT1" i="9"/>
  <c r="FIS1" i="9"/>
  <c r="FIR1" i="9"/>
  <c r="FIQ1" i="9"/>
  <c r="FIP1" i="9"/>
  <c r="FIO1" i="9"/>
  <c r="FIN1" i="9"/>
  <c r="FIM1" i="9"/>
  <c r="FIL1" i="9"/>
  <c r="FIK1" i="9"/>
  <c r="FIJ1" i="9"/>
  <c r="FII1" i="9"/>
  <c r="FIH1" i="9"/>
  <c r="FIG1" i="9"/>
  <c r="FIF1" i="9"/>
  <c r="FIE1" i="9"/>
  <c r="FID1" i="9"/>
  <c r="FIC1" i="9"/>
  <c r="FIB1" i="9"/>
  <c r="FIA1" i="9"/>
  <c r="FHZ1" i="9"/>
  <c r="FHY1" i="9"/>
  <c r="FHX1" i="9"/>
  <c r="FHW1" i="9"/>
  <c r="FHV1" i="9"/>
  <c r="FHU1" i="9"/>
  <c r="FHT1" i="9"/>
  <c r="FHS1" i="9"/>
  <c r="FHR1" i="9"/>
  <c r="FHQ1" i="9"/>
  <c r="FHP1" i="9"/>
  <c r="FHO1" i="9"/>
  <c r="FHN1" i="9"/>
  <c r="FHM1" i="9"/>
  <c r="FHL1" i="9"/>
  <c r="FHK1" i="9"/>
  <c r="FHJ1" i="9"/>
  <c r="FHI1" i="9"/>
  <c r="FHH1" i="9"/>
  <c r="FHG1" i="9"/>
  <c r="FHF1" i="9"/>
  <c r="FHE1" i="9"/>
  <c r="FHD1" i="9"/>
  <c r="FHC1" i="9"/>
  <c r="FHB1" i="9"/>
  <c r="FHA1" i="9"/>
  <c r="FGZ1" i="9"/>
  <c r="FGY1" i="9"/>
  <c r="FGX1" i="9"/>
  <c r="FGW1" i="9"/>
  <c r="FGV1" i="9"/>
  <c r="FGU1" i="9"/>
  <c r="FGT1" i="9"/>
  <c r="FGS1" i="9"/>
  <c r="FGR1" i="9"/>
  <c r="FGQ1" i="9"/>
  <c r="FGP1" i="9"/>
  <c r="FGO1" i="9"/>
  <c r="FGN1" i="9"/>
  <c r="FGM1" i="9"/>
  <c r="FGL1" i="9"/>
  <c r="FGK1" i="9"/>
  <c r="FGJ1" i="9"/>
  <c r="FGI1" i="9"/>
  <c r="FGH1" i="9"/>
  <c r="FGG1" i="9"/>
  <c r="FGF1" i="9"/>
  <c r="FGE1" i="9"/>
  <c r="FGD1" i="9"/>
  <c r="FGC1" i="9"/>
  <c r="FGB1" i="9"/>
  <c r="FGA1" i="9"/>
  <c r="FFZ1" i="9"/>
  <c r="FFY1" i="9"/>
  <c r="FFX1" i="9"/>
  <c r="FFW1" i="9"/>
  <c r="FFV1" i="9"/>
  <c r="FFU1" i="9"/>
  <c r="FFT1" i="9"/>
  <c r="FFS1" i="9"/>
  <c r="FFR1" i="9"/>
  <c r="FFQ1" i="9"/>
  <c r="FFP1" i="9"/>
  <c r="FFO1" i="9"/>
  <c r="FFN1" i="9"/>
  <c r="FFM1" i="9"/>
  <c r="FFL1" i="9"/>
  <c r="FFK1" i="9"/>
  <c r="FFJ1" i="9"/>
  <c r="FFI1" i="9"/>
  <c r="FFH1" i="9"/>
  <c r="FFG1" i="9"/>
  <c r="FFF1" i="9"/>
  <c r="FFE1" i="9"/>
  <c r="FFD1" i="9"/>
  <c r="FFC1" i="9"/>
  <c r="FFB1" i="9"/>
  <c r="FFA1" i="9"/>
  <c r="FEZ1" i="9"/>
  <c r="FEY1" i="9"/>
  <c r="FEX1" i="9"/>
  <c r="FEW1" i="9"/>
  <c r="FEV1" i="9"/>
  <c r="FEU1" i="9"/>
  <c r="FET1" i="9"/>
  <c r="FES1" i="9"/>
  <c r="FER1" i="9"/>
  <c r="FEQ1" i="9"/>
  <c r="FEP1" i="9"/>
  <c r="FEO1" i="9"/>
  <c r="FEN1" i="9"/>
  <c r="FEM1" i="9"/>
  <c r="FEL1" i="9"/>
  <c r="FEK1" i="9"/>
  <c r="FEJ1" i="9"/>
  <c r="FEI1" i="9"/>
  <c r="FEH1" i="9"/>
  <c r="FEG1" i="9"/>
  <c r="FEF1" i="9"/>
  <c r="FEE1" i="9"/>
  <c r="FED1" i="9"/>
  <c r="FEC1" i="9"/>
  <c r="FEB1" i="9"/>
  <c r="FEA1" i="9"/>
  <c r="FDZ1" i="9"/>
  <c r="FDY1" i="9"/>
  <c r="FDX1" i="9"/>
  <c r="FDW1" i="9"/>
  <c r="FDV1" i="9"/>
  <c r="FDU1" i="9"/>
  <c r="FDT1" i="9"/>
  <c r="FDS1" i="9"/>
  <c r="FDR1" i="9"/>
  <c r="FDQ1" i="9"/>
  <c r="FDP1" i="9"/>
  <c r="FDO1" i="9"/>
  <c r="FDN1" i="9"/>
  <c r="FDM1" i="9"/>
  <c r="FDL1" i="9"/>
  <c r="FDK1" i="9"/>
  <c r="FDJ1" i="9"/>
  <c r="FDI1" i="9"/>
  <c r="FDH1" i="9"/>
  <c r="FDG1" i="9"/>
  <c r="FDF1" i="9"/>
  <c r="FDE1" i="9"/>
  <c r="FDD1" i="9"/>
  <c r="FDC1" i="9"/>
  <c r="FDB1" i="9"/>
  <c r="FDA1" i="9"/>
  <c r="FCZ1" i="9"/>
  <c r="FCY1" i="9"/>
  <c r="FCX1" i="9"/>
  <c r="FCW1" i="9"/>
  <c r="FCV1" i="9"/>
  <c r="FCU1" i="9"/>
  <c r="FCT1" i="9"/>
  <c r="FCS1" i="9"/>
  <c r="FCR1" i="9"/>
  <c r="FCQ1" i="9"/>
  <c r="FCP1" i="9"/>
  <c r="FCO1" i="9"/>
  <c r="FCN1" i="9"/>
  <c r="FCM1" i="9"/>
  <c r="FCL1" i="9"/>
  <c r="FCK1" i="9"/>
  <c r="FCJ1" i="9"/>
  <c r="FCI1" i="9"/>
  <c r="FCH1" i="9"/>
  <c r="FCG1" i="9"/>
  <c r="FCF1" i="9"/>
  <c r="FCE1" i="9"/>
  <c r="FCD1" i="9"/>
  <c r="FCC1" i="9"/>
  <c r="FCB1" i="9"/>
  <c r="FCA1" i="9"/>
  <c r="FBZ1" i="9"/>
  <c r="FBY1" i="9"/>
  <c r="FBX1" i="9"/>
  <c r="FBW1" i="9"/>
  <c r="FBV1" i="9"/>
  <c r="FBU1" i="9"/>
  <c r="FBT1" i="9"/>
  <c r="FBS1" i="9"/>
  <c r="FBR1" i="9"/>
  <c r="FBQ1" i="9"/>
  <c r="FBP1" i="9"/>
  <c r="FBO1" i="9"/>
  <c r="FBN1" i="9"/>
  <c r="FBM1" i="9"/>
  <c r="FBL1" i="9"/>
  <c r="FBK1" i="9"/>
  <c r="FBJ1" i="9"/>
  <c r="FBI1" i="9"/>
  <c r="FBH1" i="9"/>
  <c r="FBG1" i="9"/>
  <c r="FBF1" i="9"/>
  <c r="FBE1" i="9"/>
  <c r="FBD1" i="9"/>
  <c r="FBC1" i="9"/>
  <c r="FBB1" i="9"/>
  <c r="FBA1" i="9"/>
  <c r="FAZ1" i="9"/>
  <c r="FAY1" i="9"/>
  <c r="FAX1" i="9"/>
  <c r="FAW1" i="9"/>
  <c r="FAV1" i="9"/>
  <c r="FAU1" i="9"/>
  <c r="FAT1" i="9"/>
  <c r="FAS1" i="9"/>
  <c r="FAR1" i="9"/>
  <c r="FAQ1" i="9"/>
  <c r="FAP1" i="9"/>
  <c r="FAO1" i="9"/>
  <c r="FAN1" i="9"/>
  <c r="FAM1" i="9"/>
  <c r="FAL1" i="9"/>
  <c r="FAK1" i="9"/>
  <c r="FAJ1" i="9"/>
  <c r="FAI1" i="9"/>
  <c r="FAH1" i="9"/>
  <c r="FAG1" i="9"/>
  <c r="FAF1" i="9"/>
  <c r="FAE1" i="9"/>
  <c r="FAD1" i="9"/>
  <c r="FAC1" i="9"/>
  <c r="FAB1" i="9"/>
  <c r="FAA1" i="9"/>
  <c r="EZZ1" i="9"/>
  <c r="EZY1" i="9"/>
  <c r="EZX1" i="9"/>
  <c r="EZW1" i="9"/>
  <c r="EZV1" i="9"/>
  <c r="EZU1" i="9"/>
  <c r="EZT1" i="9"/>
  <c r="EZS1" i="9"/>
  <c r="EZR1" i="9"/>
  <c r="EZQ1" i="9"/>
  <c r="EZP1" i="9"/>
  <c r="EZO1" i="9"/>
  <c r="EZN1" i="9"/>
  <c r="EZM1" i="9"/>
  <c r="EZL1" i="9"/>
  <c r="EZK1" i="9"/>
  <c r="EZJ1" i="9"/>
  <c r="EZI1" i="9"/>
  <c r="EZH1" i="9"/>
  <c r="EZG1" i="9"/>
  <c r="EZF1" i="9"/>
  <c r="EZE1" i="9"/>
  <c r="EZD1" i="9"/>
  <c r="EZC1" i="9"/>
  <c r="EZB1" i="9"/>
  <c r="EZA1" i="9"/>
  <c r="EYZ1" i="9"/>
  <c r="EYY1" i="9"/>
  <c r="EYX1" i="9"/>
  <c r="EYW1" i="9"/>
  <c r="EYV1" i="9"/>
  <c r="EYU1" i="9"/>
  <c r="EYT1" i="9"/>
  <c r="EYS1" i="9"/>
  <c r="EYR1" i="9"/>
  <c r="EYQ1" i="9"/>
  <c r="EYP1" i="9"/>
  <c r="EYO1" i="9"/>
  <c r="EYN1" i="9"/>
  <c r="EYM1" i="9"/>
  <c r="EYL1" i="9"/>
  <c r="EYK1" i="9"/>
  <c r="EYJ1" i="9"/>
  <c r="EYI1" i="9"/>
  <c r="EYH1" i="9"/>
  <c r="EYG1" i="9"/>
  <c r="EYF1" i="9"/>
  <c r="EYE1" i="9"/>
  <c r="EYD1" i="9"/>
  <c r="EYC1" i="9"/>
  <c r="EYB1" i="9"/>
  <c r="EYA1" i="9"/>
  <c r="EXZ1" i="9"/>
  <c r="EXY1" i="9"/>
  <c r="EXX1" i="9"/>
  <c r="EXW1" i="9"/>
  <c r="EXV1" i="9"/>
  <c r="EXU1" i="9"/>
  <c r="EXT1" i="9"/>
  <c r="EXS1" i="9"/>
  <c r="EXR1" i="9"/>
  <c r="EXQ1" i="9"/>
  <c r="EXP1" i="9"/>
  <c r="EXO1" i="9"/>
  <c r="EXN1" i="9"/>
  <c r="EXM1" i="9"/>
  <c r="EXL1" i="9"/>
  <c r="EXK1" i="9"/>
  <c r="EXJ1" i="9"/>
  <c r="EXI1" i="9"/>
  <c r="EXH1" i="9"/>
  <c r="EXG1" i="9"/>
  <c r="EXF1" i="9"/>
  <c r="EXE1" i="9"/>
  <c r="EXD1" i="9"/>
  <c r="EXC1" i="9"/>
  <c r="EXB1" i="9"/>
  <c r="EXA1" i="9"/>
  <c r="EWZ1" i="9"/>
  <c r="EWY1" i="9"/>
  <c r="EWX1" i="9"/>
  <c r="EWW1" i="9"/>
  <c r="EWV1" i="9"/>
  <c r="EWU1" i="9"/>
  <c r="EWT1" i="9"/>
  <c r="EWS1" i="9"/>
  <c r="EWR1" i="9"/>
  <c r="EWQ1" i="9"/>
  <c r="EWP1" i="9"/>
  <c r="EWO1" i="9"/>
  <c r="EWN1" i="9"/>
  <c r="EWM1" i="9"/>
  <c r="EWL1" i="9"/>
  <c r="EWK1" i="9"/>
  <c r="EWJ1" i="9"/>
  <c r="EWI1" i="9"/>
  <c r="EWH1" i="9"/>
  <c r="EWG1" i="9"/>
  <c r="EWF1" i="9"/>
  <c r="EWE1" i="9"/>
  <c r="EWD1" i="9"/>
  <c r="EWC1" i="9"/>
  <c r="EWB1" i="9"/>
  <c r="EWA1" i="9"/>
  <c r="EVZ1" i="9"/>
  <c r="EVY1" i="9"/>
  <c r="EVX1" i="9"/>
  <c r="EVW1" i="9"/>
  <c r="EVV1" i="9"/>
  <c r="EVU1" i="9"/>
  <c r="EVT1" i="9"/>
  <c r="EVS1" i="9"/>
  <c r="EVR1" i="9"/>
  <c r="EVQ1" i="9"/>
  <c r="EVP1" i="9"/>
  <c r="EVO1" i="9"/>
  <c r="EVN1" i="9"/>
  <c r="EVM1" i="9"/>
  <c r="EVL1" i="9"/>
  <c r="EVK1" i="9"/>
  <c r="EVJ1" i="9"/>
  <c r="EVI1" i="9"/>
  <c r="EVH1" i="9"/>
  <c r="EVG1" i="9"/>
  <c r="EVF1" i="9"/>
  <c r="EVE1" i="9"/>
  <c r="EVD1" i="9"/>
  <c r="EVC1" i="9"/>
  <c r="EVB1" i="9"/>
  <c r="EVA1" i="9"/>
  <c r="EUZ1" i="9"/>
  <c r="EUY1" i="9"/>
  <c r="EUX1" i="9"/>
  <c r="EUW1" i="9"/>
  <c r="EUV1" i="9"/>
  <c r="EUU1" i="9"/>
  <c r="EUT1" i="9"/>
  <c r="EUS1" i="9"/>
  <c r="EUR1" i="9"/>
  <c r="EUQ1" i="9"/>
  <c r="EUP1" i="9"/>
  <c r="EUO1" i="9"/>
  <c r="EUN1" i="9"/>
  <c r="EUM1" i="9"/>
  <c r="EUL1" i="9"/>
  <c r="EUK1" i="9"/>
  <c r="EUJ1" i="9"/>
  <c r="EUI1" i="9"/>
  <c r="EUH1" i="9"/>
  <c r="EUG1" i="9"/>
  <c r="EUF1" i="9"/>
  <c r="EUE1" i="9"/>
  <c r="EUD1" i="9"/>
  <c r="EUC1" i="9"/>
  <c r="EUB1" i="9"/>
  <c r="EUA1" i="9"/>
  <c r="ETZ1" i="9"/>
  <c r="ETY1" i="9"/>
  <c r="ETX1" i="9"/>
  <c r="ETW1" i="9"/>
  <c r="ETV1" i="9"/>
  <c r="ETU1" i="9"/>
  <c r="ETT1" i="9"/>
  <c r="ETS1" i="9"/>
  <c r="ETR1" i="9"/>
  <c r="ETQ1" i="9"/>
  <c r="ETP1" i="9"/>
  <c r="ETO1" i="9"/>
  <c r="ETN1" i="9"/>
  <c r="ETM1" i="9"/>
  <c r="ETL1" i="9"/>
  <c r="ETK1" i="9"/>
  <c r="ETJ1" i="9"/>
  <c r="ETI1" i="9"/>
  <c r="ETH1" i="9"/>
  <c r="ETG1" i="9"/>
  <c r="ETF1" i="9"/>
  <c r="ETE1" i="9"/>
  <c r="ETD1" i="9"/>
  <c r="ETC1" i="9"/>
  <c r="ETB1" i="9"/>
  <c r="ETA1" i="9"/>
  <c r="ESZ1" i="9"/>
  <c r="ESY1" i="9"/>
  <c r="ESX1" i="9"/>
  <c r="ESW1" i="9"/>
  <c r="ESV1" i="9"/>
  <c r="ESU1" i="9"/>
  <c r="EST1" i="9"/>
  <c r="ESS1" i="9"/>
  <c r="ESR1" i="9"/>
  <c r="ESQ1" i="9"/>
  <c r="ESP1" i="9"/>
  <c r="ESO1" i="9"/>
  <c r="ESN1" i="9"/>
  <c r="ESM1" i="9"/>
  <c r="ESL1" i="9"/>
  <c r="ESK1" i="9"/>
  <c r="ESJ1" i="9"/>
  <c r="ESI1" i="9"/>
  <c r="ESH1" i="9"/>
  <c r="ESG1" i="9"/>
  <c r="ESF1" i="9"/>
  <c r="ESE1" i="9"/>
  <c r="ESD1" i="9"/>
  <c r="ESC1" i="9"/>
  <c r="ESB1" i="9"/>
  <c r="ESA1" i="9"/>
  <c r="ERZ1" i="9"/>
  <c r="ERY1" i="9"/>
  <c r="ERX1" i="9"/>
  <c r="ERW1" i="9"/>
  <c r="ERV1" i="9"/>
  <c r="ERU1" i="9"/>
  <c r="ERT1" i="9"/>
  <c r="ERS1" i="9"/>
  <c r="ERR1" i="9"/>
  <c r="ERQ1" i="9"/>
  <c r="ERP1" i="9"/>
  <c r="ERO1" i="9"/>
  <c r="ERN1" i="9"/>
  <c r="ERM1" i="9"/>
  <c r="ERL1" i="9"/>
  <c r="ERK1" i="9"/>
  <c r="ERJ1" i="9"/>
  <c r="ERI1" i="9"/>
  <c r="ERH1" i="9"/>
  <c r="ERG1" i="9"/>
  <c r="ERF1" i="9"/>
  <c r="ERE1" i="9"/>
  <c r="ERD1" i="9"/>
  <c r="ERC1" i="9"/>
  <c r="ERB1" i="9"/>
  <c r="ERA1" i="9"/>
  <c r="EQZ1" i="9"/>
  <c r="EQY1" i="9"/>
  <c r="EQX1" i="9"/>
  <c r="EQW1" i="9"/>
  <c r="EQV1" i="9"/>
  <c r="EQU1" i="9"/>
  <c r="EQT1" i="9"/>
  <c r="EQS1" i="9"/>
  <c r="EQR1" i="9"/>
  <c r="EQQ1" i="9"/>
  <c r="EQP1" i="9"/>
  <c r="EQO1" i="9"/>
  <c r="EQN1" i="9"/>
  <c r="EQM1" i="9"/>
  <c r="EQL1" i="9"/>
  <c r="EQK1" i="9"/>
  <c r="EQJ1" i="9"/>
  <c r="EQI1" i="9"/>
  <c r="EQH1" i="9"/>
  <c r="EQG1" i="9"/>
  <c r="EQF1" i="9"/>
  <c r="EQE1" i="9"/>
  <c r="EQD1" i="9"/>
  <c r="EQC1" i="9"/>
  <c r="EQB1" i="9"/>
  <c r="EQA1" i="9"/>
  <c r="EPZ1" i="9"/>
  <c r="EPY1" i="9"/>
  <c r="EPX1" i="9"/>
  <c r="EPW1" i="9"/>
  <c r="EPV1" i="9"/>
  <c r="EPU1" i="9"/>
  <c r="EPT1" i="9"/>
  <c r="EPS1" i="9"/>
  <c r="EPR1" i="9"/>
  <c r="EPQ1" i="9"/>
  <c r="EPP1" i="9"/>
  <c r="EPO1" i="9"/>
  <c r="EPN1" i="9"/>
  <c r="EPM1" i="9"/>
  <c r="EPL1" i="9"/>
  <c r="EPK1" i="9"/>
  <c r="EPJ1" i="9"/>
  <c r="EPI1" i="9"/>
  <c r="EPH1" i="9"/>
  <c r="EPG1" i="9"/>
  <c r="EPF1" i="9"/>
  <c r="EPE1" i="9"/>
  <c r="EPD1" i="9"/>
  <c r="EPC1" i="9"/>
  <c r="EPB1" i="9"/>
  <c r="EPA1" i="9"/>
  <c r="EOZ1" i="9"/>
  <c r="EOY1" i="9"/>
  <c r="EOX1" i="9"/>
  <c r="EOW1" i="9"/>
  <c r="EOV1" i="9"/>
  <c r="EOU1" i="9"/>
  <c r="EOT1" i="9"/>
  <c r="EOS1" i="9"/>
  <c r="EOR1" i="9"/>
  <c r="EOQ1" i="9"/>
  <c r="EOP1" i="9"/>
  <c r="EOO1" i="9"/>
  <c r="EON1" i="9"/>
  <c r="EOM1" i="9"/>
  <c r="EOL1" i="9"/>
  <c r="EOK1" i="9"/>
  <c r="EOJ1" i="9"/>
  <c r="EOI1" i="9"/>
  <c r="EOH1" i="9"/>
  <c r="EOG1" i="9"/>
  <c r="EOF1" i="9"/>
  <c r="EOE1" i="9"/>
  <c r="EOD1" i="9"/>
  <c r="EOC1" i="9"/>
  <c r="EOB1" i="9"/>
  <c r="EOA1" i="9"/>
  <c r="ENZ1" i="9"/>
  <c r="ENY1" i="9"/>
  <c r="ENX1" i="9"/>
  <c r="ENW1" i="9"/>
  <c r="ENV1" i="9"/>
  <c r="ENU1" i="9"/>
  <c r="ENT1" i="9"/>
  <c r="ENS1" i="9"/>
  <c r="ENR1" i="9"/>
  <c r="ENQ1" i="9"/>
  <c r="ENP1" i="9"/>
  <c r="ENO1" i="9"/>
  <c r="ENN1" i="9"/>
  <c r="ENM1" i="9"/>
  <c r="ENL1" i="9"/>
  <c r="ENK1" i="9"/>
  <c r="ENJ1" i="9"/>
  <c r="ENI1" i="9"/>
  <c r="ENH1" i="9"/>
  <c r="ENG1" i="9"/>
  <c r="ENF1" i="9"/>
  <c r="ENE1" i="9"/>
  <c r="END1" i="9"/>
  <c r="ENC1" i="9"/>
  <c r="ENB1" i="9"/>
  <c r="ENA1" i="9"/>
  <c r="EMZ1" i="9"/>
  <c r="EMY1" i="9"/>
  <c r="EMX1" i="9"/>
  <c r="EMW1" i="9"/>
  <c r="EMV1" i="9"/>
  <c r="EMU1" i="9"/>
  <c r="EMT1" i="9"/>
  <c r="EMS1" i="9"/>
  <c r="EMR1" i="9"/>
  <c r="EMQ1" i="9"/>
  <c r="EMP1" i="9"/>
  <c r="EMO1" i="9"/>
  <c r="EMN1" i="9"/>
  <c r="EMM1" i="9"/>
  <c r="EML1" i="9"/>
  <c r="EMK1" i="9"/>
  <c r="EMJ1" i="9"/>
  <c r="EMI1" i="9"/>
  <c r="EMH1" i="9"/>
  <c r="EMG1" i="9"/>
  <c r="EMF1" i="9"/>
  <c r="EME1" i="9"/>
  <c r="EMD1" i="9"/>
  <c r="EMC1" i="9"/>
  <c r="EMB1" i="9"/>
  <c r="EMA1" i="9"/>
  <c r="ELZ1" i="9"/>
  <c r="ELY1" i="9"/>
  <c r="ELX1" i="9"/>
  <c r="ELW1" i="9"/>
  <c r="ELV1" i="9"/>
  <c r="ELU1" i="9"/>
  <c r="ELT1" i="9"/>
  <c r="ELS1" i="9"/>
  <c r="ELR1" i="9"/>
  <c r="ELQ1" i="9"/>
  <c r="ELP1" i="9"/>
  <c r="ELO1" i="9"/>
  <c r="ELN1" i="9"/>
  <c r="ELM1" i="9"/>
  <c r="ELL1" i="9"/>
  <c r="ELK1" i="9"/>
  <c r="ELJ1" i="9"/>
  <c r="ELI1" i="9"/>
  <c r="ELH1" i="9"/>
  <c r="ELG1" i="9"/>
  <c r="ELF1" i="9"/>
  <c r="ELE1" i="9"/>
  <c r="ELD1" i="9"/>
  <c r="ELC1" i="9"/>
  <c r="ELB1" i="9"/>
  <c r="ELA1" i="9"/>
  <c r="EKZ1" i="9"/>
  <c r="EKY1" i="9"/>
  <c r="EKX1" i="9"/>
  <c r="EKW1" i="9"/>
  <c r="EKV1" i="9"/>
  <c r="EKU1" i="9"/>
  <c r="EKT1" i="9"/>
  <c r="EKS1" i="9"/>
  <c r="EKR1" i="9"/>
  <c r="EKQ1" i="9"/>
  <c r="EKP1" i="9"/>
  <c r="EKO1" i="9"/>
  <c r="EKN1" i="9"/>
  <c r="EKM1" i="9"/>
  <c r="EKL1" i="9"/>
  <c r="EKK1" i="9"/>
  <c r="EKJ1" i="9"/>
  <c r="EKI1" i="9"/>
  <c r="EKH1" i="9"/>
  <c r="EKG1" i="9"/>
  <c r="EKF1" i="9"/>
  <c r="EKE1" i="9"/>
  <c r="EKD1" i="9"/>
  <c r="EKC1" i="9"/>
  <c r="EKB1" i="9"/>
  <c r="EKA1" i="9"/>
  <c r="EJZ1" i="9"/>
  <c r="EJY1" i="9"/>
  <c r="EJX1" i="9"/>
  <c r="EJW1" i="9"/>
  <c r="EJV1" i="9"/>
  <c r="EJU1" i="9"/>
  <c r="EJT1" i="9"/>
  <c r="EJS1" i="9"/>
  <c r="EJR1" i="9"/>
  <c r="EJQ1" i="9"/>
  <c r="EJP1" i="9"/>
  <c r="EJO1" i="9"/>
  <c r="EJN1" i="9"/>
  <c r="EJM1" i="9"/>
  <c r="EJL1" i="9"/>
  <c r="EJK1" i="9"/>
  <c r="EJJ1" i="9"/>
  <c r="EJI1" i="9"/>
  <c r="EJH1" i="9"/>
  <c r="EJG1" i="9"/>
  <c r="EJF1" i="9"/>
  <c r="EJE1" i="9"/>
  <c r="EJD1" i="9"/>
  <c r="EJC1" i="9"/>
  <c r="EJB1" i="9"/>
  <c r="EJA1" i="9"/>
  <c r="EIZ1" i="9"/>
  <c r="EIY1" i="9"/>
  <c r="EIX1" i="9"/>
  <c r="EIW1" i="9"/>
  <c r="EIV1" i="9"/>
  <c r="EIU1" i="9"/>
  <c r="EIT1" i="9"/>
  <c r="EIS1" i="9"/>
  <c r="EIR1" i="9"/>
  <c r="EIQ1" i="9"/>
  <c r="EIP1" i="9"/>
  <c r="EIO1" i="9"/>
  <c r="EIN1" i="9"/>
  <c r="EIM1" i="9"/>
  <c r="EIL1" i="9"/>
  <c r="EIK1" i="9"/>
  <c r="EIJ1" i="9"/>
  <c r="EII1" i="9"/>
  <c r="EIH1" i="9"/>
  <c r="EIG1" i="9"/>
  <c r="EIF1" i="9"/>
  <c r="EIE1" i="9"/>
  <c r="EID1" i="9"/>
  <c r="EIC1" i="9"/>
  <c r="EIB1" i="9"/>
  <c r="EIA1" i="9"/>
  <c r="EHZ1" i="9"/>
  <c r="EHY1" i="9"/>
  <c r="EHX1" i="9"/>
  <c r="EHW1" i="9"/>
  <c r="EHV1" i="9"/>
  <c r="EHU1" i="9"/>
  <c r="EHT1" i="9"/>
  <c r="EHS1" i="9"/>
  <c r="EHR1" i="9"/>
  <c r="EHQ1" i="9"/>
  <c r="EHP1" i="9"/>
  <c r="EHO1" i="9"/>
  <c r="EHN1" i="9"/>
  <c r="EHM1" i="9"/>
  <c r="EHL1" i="9"/>
  <c r="EHK1" i="9"/>
  <c r="EHJ1" i="9"/>
  <c r="EHI1" i="9"/>
  <c r="EHH1" i="9"/>
  <c r="EHG1" i="9"/>
  <c r="EHF1" i="9"/>
  <c r="EHE1" i="9"/>
  <c r="EHD1" i="9"/>
  <c r="EHC1" i="9"/>
  <c r="EHB1" i="9"/>
  <c r="EHA1" i="9"/>
  <c r="EGZ1" i="9"/>
  <c r="EGY1" i="9"/>
  <c r="EGX1" i="9"/>
  <c r="EGW1" i="9"/>
  <c r="EGV1" i="9"/>
  <c r="EGU1" i="9"/>
  <c r="EGT1" i="9"/>
  <c r="EGS1" i="9"/>
  <c r="EGR1" i="9"/>
  <c r="EGQ1" i="9"/>
  <c r="EGP1" i="9"/>
  <c r="EGO1" i="9"/>
  <c r="EGN1" i="9"/>
  <c r="EGM1" i="9"/>
  <c r="EGL1" i="9"/>
  <c r="EGK1" i="9"/>
  <c r="EGJ1" i="9"/>
  <c r="EGI1" i="9"/>
  <c r="EGH1" i="9"/>
  <c r="EGG1" i="9"/>
  <c r="EGF1" i="9"/>
  <c r="EGE1" i="9"/>
  <c r="EGD1" i="9"/>
  <c r="EGC1" i="9"/>
  <c r="EGB1" i="9"/>
  <c r="EGA1" i="9"/>
  <c r="EFZ1" i="9"/>
  <c r="EFY1" i="9"/>
  <c r="EFX1" i="9"/>
  <c r="EFW1" i="9"/>
  <c r="EFV1" i="9"/>
  <c r="EFU1" i="9"/>
  <c r="EFT1" i="9"/>
  <c r="EFS1" i="9"/>
  <c r="EFR1" i="9"/>
  <c r="EFQ1" i="9"/>
  <c r="EFP1" i="9"/>
  <c r="EFO1" i="9"/>
  <c r="EFN1" i="9"/>
  <c r="EFM1" i="9"/>
  <c r="EFL1" i="9"/>
  <c r="EFK1" i="9"/>
  <c r="EFJ1" i="9"/>
  <c r="EFI1" i="9"/>
  <c r="EFH1" i="9"/>
  <c r="EFG1" i="9"/>
  <c r="EFF1" i="9"/>
  <c r="EFE1" i="9"/>
  <c r="EFD1" i="9"/>
  <c r="EFC1" i="9"/>
  <c r="EFB1" i="9"/>
  <c r="EFA1" i="9"/>
  <c r="EEZ1" i="9"/>
  <c r="EEY1" i="9"/>
  <c r="EEX1" i="9"/>
  <c r="EEW1" i="9"/>
  <c r="EEV1" i="9"/>
  <c r="EEU1" i="9"/>
  <c r="EET1" i="9"/>
  <c r="EES1" i="9"/>
  <c r="EER1" i="9"/>
  <c r="EEQ1" i="9"/>
  <c r="EEP1" i="9"/>
  <c r="EEO1" i="9"/>
  <c r="EEN1" i="9"/>
  <c r="EEM1" i="9"/>
  <c r="EEL1" i="9"/>
  <c r="EEK1" i="9"/>
  <c r="EEJ1" i="9"/>
  <c r="EEI1" i="9"/>
  <c r="EEH1" i="9"/>
  <c r="EEG1" i="9"/>
  <c r="EEF1" i="9"/>
  <c r="EEE1" i="9"/>
  <c r="EED1" i="9"/>
  <c r="EEC1" i="9"/>
  <c r="EEB1" i="9"/>
  <c r="EEA1" i="9"/>
  <c r="EDZ1" i="9"/>
  <c r="EDY1" i="9"/>
  <c r="EDX1" i="9"/>
  <c r="EDW1" i="9"/>
  <c r="EDV1" i="9"/>
  <c r="EDU1" i="9"/>
  <c r="EDT1" i="9"/>
  <c r="EDS1" i="9"/>
  <c r="EDR1" i="9"/>
  <c r="EDQ1" i="9"/>
  <c r="EDP1" i="9"/>
  <c r="EDO1" i="9"/>
  <c r="EDN1" i="9"/>
  <c r="EDM1" i="9"/>
  <c r="EDL1" i="9"/>
  <c r="EDK1" i="9"/>
  <c r="EDJ1" i="9"/>
  <c r="EDI1" i="9"/>
  <c r="EDH1" i="9"/>
  <c r="EDG1" i="9"/>
  <c r="EDF1" i="9"/>
  <c r="EDE1" i="9"/>
  <c r="EDD1" i="9"/>
  <c r="EDC1" i="9"/>
  <c r="EDB1" i="9"/>
  <c r="EDA1" i="9"/>
  <c r="ECZ1" i="9"/>
  <c r="ECY1" i="9"/>
  <c r="ECX1" i="9"/>
  <c r="ECW1" i="9"/>
  <c r="ECV1" i="9"/>
  <c r="ECU1" i="9"/>
  <c r="ECT1" i="9"/>
  <c r="ECS1" i="9"/>
  <c r="ECR1" i="9"/>
  <c r="ECQ1" i="9"/>
  <c r="ECP1" i="9"/>
  <c r="ECO1" i="9"/>
  <c r="ECN1" i="9"/>
  <c r="ECM1" i="9"/>
  <c r="ECL1" i="9"/>
  <c r="ECK1" i="9"/>
  <c r="ECJ1" i="9"/>
  <c r="ECI1" i="9"/>
  <c r="ECH1" i="9"/>
  <c r="ECG1" i="9"/>
  <c r="ECF1" i="9"/>
  <c r="ECE1" i="9"/>
  <c r="ECD1" i="9"/>
  <c r="ECC1" i="9"/>
  <c r="ECB1" i="9"/>
  <c r="ECA1" i="9"/>
  <c r="EBZ1" i="9"/>
  <c r="EBY1" i="9"/>
  <c r="EBX1" i="9"/>
  <c r="EBW1" i="9"/>
  <c r="EBV1" i="9"/>
  <c r="EBU1" i="9"/>
  <c r="EBT1" i="9"/>
  <c r="EBS1" i="9"/>
  <c r="EBR1" i="9"/>
  <c r="EBQ1" i="9"/>
  <c r="EBP1" i="9"/>
  <c r="EBO1" i="9"/>
  <c r="EBN1" i="9"/>
  <c r="EBM1" i="9"/>
  <c r="EBL1" i="9"/>
  <c r="EBK1" i="9"/>
  <c r="EBJ1" i="9"/>
  <c r="EBI1" i="9"/>
  <c r="EBH1" i="9"/>
  <c r="EBG1" i="9"/>
  <c r="EBF1" i="9"/>
  <c r="EBE1" i="9"/>
  <c r="EBD1" i="9"/>
  <c r="EBC1" i="9"/>
  <c r="EBB1" i="9"/>
  <c r="EBA1" i="9"/>
  <c r="EAZ1" i="9"/>
  <c r="EAY1" i="9"/>
  <c r="EAX1" i="9"/>
  <c r="EAW1" i="9"/>
  <c r="EAV1" i="9"/>
  <c r="EAU1" i="9"/>
  <c r="EAT1" i="9"/>
  <c r="EAS1" i="9"/>
  <c r="EAR1" i="9"/>
  <c r="EAQ1" i="9"/>
  <c r="EAP1" i="9"/>
  <c r="EAO1" i="9"/>
  <c r="EAN1" i="9"/>
  <c r="EAM1" i="9"/>
  <c r="EAL1" i="9"/>
  <c r="EAK1" i="9"/>
  <c r="EAJ1" i="9"/>
  <c r="EAI1" i="9"/>
  <c r="EAH1" i="9"/>
  <c r="EAG1" i="9"/>
  <c r="EAF1" i="9"/>
  <c r="EAE1" i="9"/>
  <c r="EAD1" i="9"/>
  <c r="EAC1" i="9"/>
  <c r="EAB1" i="9"/>
  <c r="EAA1" i="9"/>
  <c r="DZZ1" i="9"/>
  <c r="DZY1" i="9"/>
  <c r="DZX1" i="9"/>
  <c r="DZW1" i="9"/>
  <c r="DZV1" i="9"/>
  <c r="DZU1" i="9"/>
  <c r="DZT1" i="9"/>
  <c r="DZS1" i="9"/>
  <c r="DZR1" i="9"/>
  <c r="DZQ1" i="9"/>
  <c r="DZP1" i="9"/>
  <c r="DZO1" i="9"/>
  <c r="DZN1" i="9"/>
  <c r="DZM1" i="9"/>
  <c r="DZL1" i="9"/>
  <c r="DZK1" i="9"/>
  <c r="DZJ1" i="9"/>
  <c r="DZI1" i="9"/>
  <c r="DZH1" i="9"/>
  <c r="DZG1" i="9"/>
  <c r="DZF1" i="9"/>
  <c r="DZE1" i="9"/>
  <c r="DZD1" i="9"/>
  <c r="DZC1" i="9"/>
  <c r="DZB1" i="9"/>
  <c r="DZA1" i="9"/>
  <c r="DYZ1" i="9"/>
  <c r="DYY1" i="9"/>
  <c r="DYX1" i="9"/>
  <c r="DYW1" i="9"/>
  <c r="DYV1" i="9"/>
  <c r="DYU1" i="9"/>
  <c r="DYT1" i="9"/>
  <c r="DYS1" i="9"/>
  <c r="DYR1" i="9"/>
  <c r="DYQ1" i="9"/>
  <c r="DYP1" i="9"/>
  <c r="DYO1" i="9"/>
  <c r="DYN1" i="9"/>
  <c r="DYM1" i="9"/>
  <c r="DYL1" i="9"/>
  <c r="DYK1" i="9"/>
  <c r="DYJ1" i="9"/>
  <c r="DYI1" i="9"/>
  <c r="DYH1" i="9"/>
  <c r="DYG1" i="9"/>
  <c r="DYF1" i="9"/>
  <c r="DYE1" i="9"/>
  <c r="DYD1" i="9"/>
  <c r="DYC1" i="9"/>
  <c r="DYB1" i="9"/>
  <c r="DYA1" i="9"/>
  <c r="DXZ1" i="9"/>
  <c r="DXY1" i="9"/>
  <c r="DXX1" i="9"/>
  <c r="DXW1" i="9"/>
  <c r="DXV1" i="9"/>
  <c r="DXU1" i="9"/>
  <c r="DXT1" i="9"/>
  <c r="DXS1" i="9"/>
  <c r="DXR1" i="9"/>
  <c r="DXQ1" i="9"/>
  <c r="DXP1" i="9"/>
  <c r="DXO1" i="9"/>
  <c r="DXN1" i="9"/>
  <c r="DXM1" i="9"/>
  <c r="DXL1" i="9"/>
  <c r="DXK1" i="9"/>
  <c r="DXJ1" i="9"/>
  <c r="DXI1" i="9"/>
  <c r="DXH1" i="9"/>
  <c r="DXG1" i="9"/>
  <c r="DXF1" i="9"/>
  <c r="DXE1" i="9"/>
  <c r="DXD1" i="9"/>
  <c r="DXC1" i="9"/>
  <c r="DXB1" i="9"/>
  <c r="DXA1" i="9"/>
  <c r="DWZ1" i="9"/>
  <c r="DWY1" i="9"/>
  <c r="DWX1" i="9"/>
  <c r="DWW1" i="9"/>
  <c r="DWV1" i="9"/>
  <c r="DWU1" i="9"/>
  <c r="DWT1" i="9"/>
  <c r="DWS1" i="9"/>
  <c r="DWR1" i="9"/>
  <c r="DWQ1" i="9"/>
  <c r="DWP1" i="9"/>
  <c r="DWO1" i="9"/>
  <c r="DWN1" i="9"/>
  <c r="DWM1" i="9"/>
  <c r="DWL1" i="9"/>
  <c r="DWK1" i="9"/>
  <c r="DWJ1" i="9"/>
  <c r="DWI1" i="9"/>
  <c r="DWH1" i="9"/>
  <c r="DWG1" i="9"/>
  <c r="DWF1" i="9"/>
  <c r="DWE1" i="9"/>
  <c r="DWD1" i="9"/>
  <c r="DWC1" i="9"/>
  <c r="DWB1" i="9"/>
  <c r="DWA1" i="9"/>
  <c r="DVZ1" i="9"/>
  <c r="DVY1" i="9"/>
  <c r="DVX1" i="9"/>
  <c r="DVW1" i="9"/>
  <c r="DVV1" i="9"/>
  <c r="DVU1" i="9"/>
  <c r="DVT1" i="9"/>
  <c r="DVS1" i="9"/>
  <c r="DVR1" i="9"/>
  <c r="DVQ1" i="9"/>
  <c r="DVP1" i="9"/>
  <c r="DVO1" i="9"/>
  <c r="DVN1" i="9"/>
  <c r="DVM1" i="9"/>
  <c r="DVL1" i="9"/>
  <c r="DVK1" i="9"/>
  <c r="DVJ1" i="9"/>
  <c r="DVI1" i="9"/>
  <c r="DVH1" i="9"/>
  <c r="DVG1" i="9"/>
  <c r="DVF1" i="9"/>
  <c r="DVE1" i="9"/>
  <c r="DVD1" i="9"/>
  <c r="DVC1" i="9"/>
  <c r="DVB1" i="9"/>
  <c r="DVA1" i="9"/>
  <c r="DUZ1" i="9"/>
  <c r="DUY1" i="9"/>
  <c r="DUX1" i="9"/>
  <c r="DUW1" i="9"/>
  <c r="DUV1" i="9"/>
  <c r="DUU1" i="9"/>
  <c r="DUT1" i="9"/>
  <c r="DUS1" i="9"/>
  <c r="DUR1" i="9"/>
  <c r="DUQ1" i="9"/>
  <c r="DUP1" i="9"/>
  <c r="DUO1" i="9"/>
  <c r="DUN1" i="9"/>
  <c r="DUM1" i="9"/>
  <c r="DUL1" i="9"/>
  <c r="DUK1" i="9"/>
  <c r="DUJ1" i="9"/>
  <c r="DUI1" i="9"/>
  <c r="DUH1" i="9"/>
  <c r="DUG1" i="9"/>
  <c r="DUF1" i="9"/>
  <c r="DUE1" i="9"/>
  <c r="DUD1" i="9"/>
  <c r="DUC1" i="9"/>
  <c r="DUB1" i="9"/>
  <c r="DUA1" i="9"/>
  <c r="DTZ1" i="9"/>
  <c r="DTY1" i="9"/>
  <c r="DTX1" i="9"/>
  <c r="DTW1" i="9"/>
  <c r="DTV1" i="9"/>
  <c r="DTU1" i="9"/>
  <c r="DTT1" i="9"/>
  <c r="DTS1" i="9"/>
  <c r="DTR1" i="9"/>
  <c r="DTQ1" i="9"/>
  <c r="DTP1" i="9"/>
  <c r="DTO1" i="9"/>
  <c r="DTN1" i="9"/>
  <c r="DTM1" i="9"/>
  <c r="DTL1" i="9"/>
  <c r="DTK1" i="9"/>
  <c r="DTJ1" i="9"/>
  <c r="DTI1" i="9"/>
  <c r="DTH1" i="9"/>
  <c r="DTG1" i="9"/>
  <c r="DTF1" i="9"/>
  <c r="DTE1" i="9"/>
  <c r="DTD1" i="9"/>
  <c r="DTC1" i="9"/>
  <c r="DTB1" i="9"/>
  <c r="DTA1" i="9"/>
  <c r="DSZ1" i="9"/>
  <c r="DSY1" i="9"/>
  <c r="DSX1" i="9"/>
  <c r="DSW1" i="9"/>
  <c r="DSV1" i="9"/>
  <c r="DSU1" i="9"/>
  <c r="DST1" i="9"/>
  <c r="DSS1" i="9"/>
  <c r="DSR1" i="9"/>
  <c r="DSQ1" i="9"/>
  <c r="DSP1" i="9"/>
  <c r="DSO1" i="9"/>
  <c r="DSN1" i="9"/>
  <c r="DSM1" i="9"/>
  <c r="DSL1" i="9"/>
  <c r="DSK1" i="9"/>
  <c r="DSJ1" i="9"/>
  <c r="DSI1" i="9"/>
  <c r="DSH1" i="9"/>
  <c r="DSG1" i="9"/>
  <c r="DSF1" i="9"/>
  <c r="DSE1" i="9"/>
  <c r="DSD1" i="9"/>
  <c r="DSC1" i="9"/>
  <c r="DSB1" i="9"/>
  <c r="DSA1" i="9"/>
  <c r="DRZ1" i="9"/>
  <c r="DRY1" i="9"/>
  <c r="DRX1" i="9"/>
  <c r="DRW1" i="9"/>
  <c r="DRV1" i="9"/>
  <c r="DRU1" i="9"/>
  <c r="DRT1" i="9"/>
  <c r="DRS1" i="9"/>
  <c r="DRR1" i="9"/>
  <c r="DRQ1" i="9"/>
  <c r="DRP1" i="9"/>
  <c r="DRO1" i="9"/>
  <c r="DRN1" i="9"/>
  <c r="DRM1" i="9"/>
  <c r="DRL1" i="9"/>
  <c r="DRK1" i="9"/>
  <c r="DRJ1" i="9"/>
  <c r="DRI1" i="9"/>
  <c r="DRH1" i="9"/>
  <c r="DRG1" i="9"/>
  <c r="DRF1" i="9"/>
  <c r="DRE1" i="9"/>
  <c r="DRD1" i="9"/>
  <c r="DRC1" i="9"/>
  <c r="DRB1" i="9"/>
  <c r="DRA1" i="9"/>
  <c r="DQZ1" i="9"/>
  <c r="DQY1" i="9"/>
  <c r="DQX1" i="9"/>
  <c r="DQW1" i="9"/>
  <c r="DQV1" i="9"/>
  <c r="DQU1" i="9"/>
  <c r="DQT1" i="9"/>
  <c r="DQS1" i="9"/>
  <c r="DQR1" i="9"/>
  <c r="DQQ1" i="9"/>
  <c r="DQP1" i="9"/>
  <c r="DQO1" i="9"/>
  <c r="DQN1" i="9"/>
  <c r="DQM1" i="9"/>
  <c r="DQL1" i="9"/>
  <c r="DQK1" i="9"/>
  <c r="DQJ1" i="9"/>
  <c r="DQI1" i="9"/>
  <c r="DQH1" i="9"/>
  <c r="DQG1" i="9"/>
  <c r="DQF1" i="9"/>
  <c r="DQE1" i="9"/>
  <c r="DQD1" i="9"/>
  <c r="DQC1" i="9"/>
  <c r="DQB1" i="9"/>
  <c r="DQA1" i="9"/>
  <c r="DPZ1" i="9"/>
  <c r="DPY1" i="9"/>
  <c r="DPX1" i="9"/>
  <c r="DPW1" i="9"/>
  <c r="DPV1" i="9"/>
  <c r="DPU1" i="9"/>
  <c r="DPT1" i="9"/>
  <c r="DPS1" i="9"/>
  <c r="DPR1" i="9"/>
  <c r="DPQ1" i="9"/>
  <c r="DPP1" i="9"/>
  <c r="DPO1" i="9"/>
  <c r="DPN1" i="9"/>
  <c r="DPM1" i="9"/>
  <c r="DPL1" i="9"/>
  <c r="DPK1" i="9"/>
  <c r="DPJ1" i="9"/>
  <c r="DPI1" i="9"/>
  <c r="DPH1" i="9"/>
  <c r="DPG1" i="9"/>
  <c r="DPF1" i="9"/>
  <c r="DPE1" i="9"/>
  <c r="DPD1" i="9"/>
  <c r="DPC1" i="9"/>
  <c r="DPB1" i="9"/>
  <c r="DPA1" i="9"/>
  <c r="DOZ1" i="9"/>
  <c r="DOY1" i="9"/>
  <c r="DOX1" i="9"/>
  <c r="DOW1" i="9"/>
  <c r="DOV1" i="9"/>
  <c r="DOU1" i="9"/>
  <c r="DOT1" i="9"/>
  <c r="DOS1" i="9"/>
  <c r="DOR1" i="9"/>
  <c r="DOQ1" i="9"/>
  <c r="DOP1" i="9"/>
  <c r="DOO1" i="9"/>
  <c r="DON1" i="9"/>
  <c r="DOM1" i="9"/>
  <c r="DOL1" i="9"/>
  <c r="DOK1" i="9"/>
  <c r="DOJ1" i="9"/>
  <c r="DOI1" i="9"/>
  <c r="DOH1" i="9"/>
  <c r="DOG1" i="9"/>
  <c r="DOF1" i="9"/>
  <c r="DOE1" i="9"/>
  <c r="DOD1" i="9"/>
  <c r="DOC1" i="9"/>
  <c r="DOB1" i="9"/>
  <c r="DOA1" i="9"/>
  <c r="DNZ1" i="9"/>
  <c r="DNY1" i="9"/>
  <c r="DNX1" i="9"/>
  <c r="DNW1" i="9"/>
  <c r="DNV1" i="9"/>
  <c r="DNU1" i="9"/>
  <c r="DNT1" i="9"/>
  <c r="DNS1" i="9"/>
  <c r="DNR1" i="9"/>
  <c r="DNQ1" i="9"/>
  <c r="DNP1" i="9"/>
  <c r="DNO1" i="9"/>
  <c r="DNN1" i="9"/>
  <c r="DNM1" i="9"/>
  <c r="DNL1" i="9"/>
  <c r="DNK1" i="9"/>
  <c r="DNJ1" i="9"/>
  <c r="DNI1" i="9"/>
  <c r="DNH1" i="9"/>
  <c r="DNG1" i="9"/>
  <c r="DNF1" i="9"/>
  <c r="DNE1" i="9"/>
  <c r="DND1" i="9"/>
  <c r="DNC1" i="9"/>
  <c r="DNB1" i="9"/>
  <c r="DNA1" i="9"/>
  <c r="DMZ1" i="9"/>
  <c r="DMY1" i="9"/>
  <c r="DMX1" i="9"/>
  <c r="DMW1" i="9"/>
  <c r="DMV1" i="9"/>
  <c r="DMU1" i="9"/>
  <c r="DMT1" i="9"/>
  <c r="DMS1" i="9"/>
  <c r="DMR1" i="9"/>
  <c r="DMQ1" i="9"/>
  <c r="DMP1" i="9"/>
  <c r="DMO1" i="9"/>
  <c r="DMN1" i="9"/>
  <c r="DMM1" i="9"/>
  <c r="DML1" i="9"/>
  <c r="DMK1" i="9"/>
  <c r="DMJ1" i="9"/>
  <c r="DMI1" i="9"/>
  <c r="DMH1" i="9"/>
  <c r="DMG1" i="9"/>
  <c r="DMF1" i="9"/>
  <c r="DME1" i="9"/>
  <c r="DMD1" i="9"/>
  <c r="DMC1" i="9"/>
  <c r="DMB1" i="9"/>
  <c r="DMA1" i="9"/>
  <c r="DLZ1" i="9"/>
  <c r="DLY1" i="9"/>
  <c r="DLX1" i="9"/>
  <c r="DLW1" i="9"/>
  <c r="DLV1" i="9"/>
  <c r="DLU1" i="9"/>
  <c r="DLT1" i="9"/>
  <c r="DLS1" i="9"/>
  <c r="DLR1" i="9"/>
  <c r="DLQ1" i="9"/>
  <c r="DLP1" i="9"/>
  <c r="DLO1" i="9"/>
  <c r="DLN1" i="9"/>
  <c r="DLM1" i="9"/>
  <c r="DLL1" i="9"/>
  <c r="DLK1" i="9"/>
  <c r="DLJ1" i="9"/>
  <c r="DLI1" i="9"/>
  <c r="DLH1" i="9"/>
  <c r="DLG1" i="9"/>
  <c r="DLF1" i="9"/>
  <c r="DLE1" i="9"/>
  <c r="DLD1" i="9"/>
  <c r="DLC1" i="9"/>
  <c r="DLB1" i="9"/>
  <c r="DLA1" i="9"/>
  <c r="DKZ1" i="9"/>
  <c r="DKY1" i="9"/>
  <c r="DKX1" i="9"/>
  <c r="DKW1" i="9"/>
  <c r="DKV1" i="9"/>
  <c r="DKU1" i="9"/>
  <c r="DKT1" i="9"/>
  <c r="DKS1" i="9"/>
  <c r="DKR1" i="9"/>
  <c r="DKQ1" i="9"/>
  <c r="DKP1" i="9"/>
  <c r="DKO1" i="9"/>
  <c r="DKN1" i="9"/>
  <c r="DKM1" i="9"/>
  <c r="DKL1" i="9"/>
  <c r="DKK1" i="9"/>
  <c r="DKJ1" i="9"/>
  <c r="DKI1" i="9"/>
  <c r="DKH1" i="9"/>
  <c r="DKG1" i="9"/>
  <c r="DKF1" i="9"/>
  <c r="DKE1" i="9"/>
  <c r="DKD1" i="9"/>
  <c r="DKC1" i="9"/>
  <c r="DKB1" i="9"/>
  <c r="DKA1" i="9"/>
  <c r="DJZ1" i="9"/>
  <c r="DJY1" i="9"/>
  <c r="DJX1" i="9"/>
  <c r="DJW1" i="9"/>
  <c r="DJV1" i="9"/>
  <c r="DJU1" i="9"/>
  <c r="DJT1" i="9"/>
  <c r="DJS1" i="9"/>
  <c r="DJR1" i="9"/>
  <c r="DJQ1" i="9"/>
  <c r="DJP1" i="9"/>
  <c r="DJO1" i="9"/>
  <c r="DJN1" i="9"/>
  <c r="DJM1" i="9"/>
  <c r="DJL1" i="9"/>
  <c r="DJK1" i="9"/>
  <c r="DJJ1" i="9"/>
  <c r="DJI1" i="9"/>
  <c r="DJH1" i="9"/>
  <c r="DJG1" i="9"/>
  <c r="DJF1" i="9"/>
  <c r="DJE1" i="9"/>
  <c r="DJD1" i="9"/>
  <c r="DJC1" i="9"/>
  <c r="DJB1" i="9"/>
  <c r="DJA1" i="9"/>
  <c r="DIZ1" i="9"/>
  <c r="DIY1" i="9"/>
  <c r="DIX1" i="9"/>
  <c r="DIW1" i="9"/>
  <c r="DIV1" i="9"/>
  <c r="DIU1" i="9"/>
  <c r="DIT1" i="9"/>
  <c r="DIS1" i="9"/>
  <c r="DIR1" i="9"/>
  <c r="DIQ1" i="9"/>
  <c r="DIP1" i="9"/>
  <c r="DIO1" i="9"/>
  <c r="DIN1" i="9"/>
  <c r="DIM1" i="9"/>
  <c r="DIL1" i="9"/>
  <c r="DIK1" i="9"/>
  <c r="DIJ1" i="9"/>
  <c r="DII1" i="9"/>
  <c r="DIH1" i="9"/>
  <c r="DIG1" i="9"/>
  <c r="DIF1" i="9"/>
  <c r="DIE1" i="9"/>
  <c r="DID1" i="9"/>
  <c r="DIC1" i="9"/>
  <c r="DIB1" i="9"/>
  <c r="DIA1" i="9"/>
  <c r="DHZ1" i="9"/>
  <c r="DHY1" i="9"/>
  <c r="DHX1" i="9"/>
  <c r="DHW1" i="9"/>
  <c r="DHV1" i="9"/>
  <c r="DHU1" i="9"/>
  <c r="DHT1" i="9"/>
  <c r="DHS1" i="9"/>
  <c r="DHR1" i="9"/>
  <c r="DHQ1" i="9"/>
  <c r="DHP1" i="9"/>
  <c r="DHO1" i="9"/>
  <c r="DHN1" i="9"/>
  <c r="DHM1" i="9"/>
  <c r="DHL1" i="9"/>
  <c r="DHK1" i="9"/>
  <c r="DHJ1" i="9"/>
  <c r="DHI1" i="9"/>
  <c r="DHH1" i="9"/>
  <c r="DHG1" i="9"/>
  <c r="DHF1" i="9"/>
  <c r="DHE1" i="9"/>
  <c r="DHD1" i="9"/>
  <c r="DHC1" i="9"/>
  <c r="DHB1" i="9"/>
  <c r="DHA1" i="9"/>
  <c r="DGZ1" i="9"/>
  <c r="DGY1" i="9"/>
  <c r="DGX1" i="9"/>
  <c r="DGW1" i="9"/>
  <c r="DGV1" i="9"/>
  <c r="DGU1" i="9"/>
  <c r="DGT1" i="9"/>
  <c r="DGS1" i="9"/>
  <c r="DGR1" i="9"/>
  <c r="DGQ1" i="9"/>
  <c r="DGP1" i="9"/>
  <c r="DGO1" i="9"/>
  <c r="DGN1" i="9"/>
  <c r="DGM1" i="9"/>
  <c r="DGL1" i="9"/>
  <c r="DGK1" i="9"/>
  <c r="DGJ1" i="9"/>
  <c r="DGI1" i="9"/>
  <c r="DGH1" i="9"/>
  <c r="DGG1" i="9"/>
  <c r="DGF1" i="9"/>
  <c r="DGE1" i="9"/>
  <c r="DGD1" i="9"/>
  <c r="DGC1" i="9"/>
  <c r="DGB1" i="9"/>
  <c r="DGA1" i="9"/>
  <c r="DFZ1" i="9"/>
  <c r="DFY1" i="9"/>
  <c r="DFX1" i="9"/>
  <c r="DFW1" i="9"/>
  <c r="DFV1" i="9"/>
  <c r="DFU1" i="9"/>
  <c r="DFT1" i="9"/>
  <c r="DFS1" i="9"/>
  <c r="DFR1" i="9"/>
  <c r="DFQ1" i="9"/>
  <c r="DFP1" i="9"/>
  <c r="DFO1" i="9"/>
  <c r="DFN1" i="9"/>
  <c r="DFM1" i="9"/>
  <c r="DFL1" i="9"/>
  <c r="DFK1" i="9"/>
  <c r="DFJ1" i="9"/>
  <c r="DFI1" i="9"/>
  <c r="DFH1" i="9"/>
  <c r="DFG1" i="9"/>
  <c r="DFF1" i="9"/>
  <c r="DFE1" i="9"/>
  <c r="DFD1" i="9"/>
  <c r="DFC1" i="9"/>
  <c r="DFB1" i="9"/>
  <c r="DFA1" i="9"/>
  <c r="DEZ1" i="9"/>
  <c r="DEY1" i="9"/>
  <c r="DEX1" i="9"/>
  <c r="DEW1" i="9"/>
  <c r="DEV1" i="9"/>
  <c r="DEU1" i="9"/>
  <c r="DET1" i="9"/>
  <c r="DES1" i="9"/>
  <c r="DER1" i="9"/>
  <c r="DEQ1" i="9"/>
  <c r="DEP1" i="9"/>
  <c r="DEO1" i="9"/>
  <c r="DEN1" i="9"/>
  <c r="DEM1" i="9"/>
  <c r="DEL1" i="9"/>
  <c r="DEK1" i="9"/>
  <c r="DEJ1" i="9"/>
  <c r="DEI1" i="9"/>
  <c r="DEH1" i="9"/>
  <c r="DEG1" i="9"/>
  <c r="DEF1" i="9"/>
  <c r="DEE1" i="9"/>
  <c r="DED1" i="9"/>
  <c r="DEC1" i="9"/>
  <c r="DEB1" i="9"/>
  <c r="DEA1" i="9"/>
  <c r="DDZ1" i="9"/>
  <c r="DDY1" i="9"/>
  <c r="DDX1" i="9"/>
  <c r="DDW1" i="9"/>
  <c r="DDV1" i="9"/>
  <c r="DDU1" i="9"/>
  <c r="DDT1" i="9"/>
  <c r="DDS1" i="9"/>
  <c r="DDR1" i="9"/>
  <c r="DDQ1" i="9"/>
  <c r="DDP1" i="9"/>
  <c r="DDO1" i="9"/>
  <c r="DDN1" i="9"/>
  <c r="DDM1" i="9"/>
  <c r="DDL1" i="9"/>
  <c r="DDK1" i="9"/>
  <c r="DDJ1" i="9"/>
  <c r="DDI1" i="9"/>
  <c r="DDH1" i="9"/>
  <c r="DDG1" i="9"/>
  <c r="DDF1" i="9"/>
  <c r="DDE1" i="9"/>
  <c r="DDD1" i="9"/>
  <c r="DDC1" i="9"/>
  <c r="DDB1" i="9"/>
  <c r="DDA1" i="9"/>
  <c r="DCZ1" i="9"/>
  <c r="DCY1" i="9"/>
  <c r="DCX1" i="9"/>
  <c r="DCW1" i="9"/>
  <c r="DCV1" i="9"/>
  <c r="DCU1" i="9"/>
  <c r="DCT1" i="9"/>
  <c r="DCS1" i="9"/>
  <c r="DCR1" i="9"/>
  <c r="DCQ1" i="9"/>
  <c r="DCP1" i="9"/>
  <c r="DCO1" i="9"/>
  <c r="DCN1" i="9"/>
  <c r="DCM1" i="9"/>
  <c r="DCL1" i="9"/>
  <c r="DCK1" i="9"/>
  <c r="DCJ1" i="9"/>
  <c r="DCI1" i="9"/>
  <c r="DCH1" i="9"/>
  <c r="DCG1" i="9"/>
  <c r="DCF1" i="9"/>
  <c r="DCE1" i="9"/>
  <c r="DCD1" i="9"/>
  <c r="DCC1" i="9"/>
  <c r="DCB1" i="9"/>
  <c r="DCA1" i="9"/>
  <c r="DBZ1" i="9"/>
  <c r="DBY1" i="9"/>
  <c r="DBX1" i="9"/>
  <c r="DBW1" i="9"/>
  <c r="DBV1" i="9"/>
  <c r="DBU1" i="9"/>
  <c r="DBT1" i="9"/>
  <c r="DBS1" i="9"/>
  <c r="DBR1" i="9"/>
  <c r="DBQ1" i="9"/>
  <c r="DBP1" i="9"/>
  <c r="DBO1" i="9"/>
  <c r="DBN1" i="9"/>
  <c r="DBM1" i="9"/>
  <c r="DBL1" i="9"/>
  <c r="DBK1" i="9"/>
  <c r="DBJ1" i="9"/>
  <c r="DBI1" i="9"/>
  <c r="DBH1" i="9"/>
  <c r="DBG1" i="9"/>
  <c r="DBF1" i="9"/>
  <c r="DBE1" i="9"/>
  <c r="DBD1" i="9"/>
  <c r="DBC1" i="9"/>
  <c r="DBB1" i="9"/>
  <c r="DBA1" i="9"/>
  <c r="DAZ1" i="9"/>
  <c r="DAY1" i="9"/>
  <c r="DAX1" i="9"/>
  <c r="DAW1" i="9"/>
  <c r="DAV1" i="9"/>
  <c r="DAU1" i="9"/>
  <c r="DAT1" i="9"/>
  <c r="DAS1" i="9"/>
  <c r="DAR1" i="9"/>
  <c r="DAQ1" i="9"/>
  <c r="DAP1" i="9"/>
  <c r="DAO1" i="9"/>
  <c r="DAN1" i="9"/>
  <c r="DAM1" i="9"/>
  <c r="DAL1" i="9"/>
  <c r="DAK1" i="9"/>
  <c r="DAJ1" i="9"/>
  <c r="DAI1" i="9"/>
  <c r="DAH1" i="9"/>
  <c r="DAG1" i="9"/>
  <c r="DAF1" i="9"/>
  <c r="DAE1" i="9"/>
  <c r="DAD1" i="9"/>
  <c r="DAC1" i="9"/>
  <c r="DAB1" i="9"/>
  <c r="DAA1" i="9"/>
  <c r="CZZ1" i="9"/>
  <c r="CZY1" i="9"/>
  <c r="CZX1" i="9"/>
  <c r="CZW1" i="9"/>
  <c r="CZV1" i="9"/>
  <c r="CZU1" i="9"/>
  <c r="CZT1" i="9"/>
  <c r="CZS1" i="9"/>
  <c r="CZR1" i="9"/>
  <c r="CZQ1" i="9"/>
  <c r="CZP1" i="9"/>
  <c r="CZO1" i="9"/>
  <c r="CZN1" i="9"/>
  <c r="CZM1" i="9"/>
  <c r="CZL1" i="9"/>
  <c r="CZK1" i="9"/>
  <c r="CZJ1" i="9"/>
  <c r="CZI1" i="9"/>
  <c r="CZH1" i="9"/>
  <c r="CZG1" i="9"/>
  <c r="CZF1" i="9"/>
  <c r="CZE1" i="9"/>
  <c r="CZD1" i="9"/>
  <c r="CZC1" i="9"/>
  <c r="CZB1" i="9"/>
  <c r="CZA1" i="9"/>
  <c r="CYZ1" i="9"/>
  <c r="CYY1" i="9"/>
  <c r="CYX1" i="9"/>
  <c r="CYW1" i="9"/>
  <c r="CYV1" i="9"/>
  <c r="CYU1" i="9"/>
  <c r="CYT1" i="9"/>
  <c r="CYS1" i="9"/>
  <c r="CYR1" i="9"/>
  <c r="CYQ1" i="9"/>
  <c r="CYP1" i="9"/>
  <c r="CYO1" i="9"/>
  <c r="CYN1" i="9"/>
  <c r="CYM1" i="9"/>
  <c r="CYL1" i="9"/>
  <c r="CYK1" i="9"/>
  <c r="CYJ1" i="9"/>
  <c r="CYI1" i="9"/>
  <c r="CYH1" i="9"/>
  <c r="CYG1" i="9"/>
  <c r="CYF1" i="9"/>
  <c r="CYE1" i="9"/>
  <c r="CYD1" i="9"/>
  <c r="CYC1" i="9"/>
  <c r="CYB1" i="9"/>
  <c r="CYA1" i="9"/>
  <c r="CXZ1" i="9"/>
  <c r="CXY1" i="9"/>
  <c r="CXX1" i="9"/>
  <c r="CXW1" i="9"/>
  <c r="CXV1" i="9"/>
  <c r="CXU1" i="9"/>
  <c r="CXT1" i="9"/>
  <c r="CXS1" i="9"/>
  <c r="CXR1" i="9"/>
  <c r="CXQ1" i="9"/>
  <c r="CXP1" i="9"/>
  <c r="CXO1" i="9"/>
  <c r="CXN1" i="9"/>
  <c r="CXM1" i="9"/>
  <c r="CXL1" i="9"/>
  <c r="CXK1" i="9"/>
  <c r="CXJ1" i="9"/>
  <c r="CXI1" i="9"/>
  <c r="CXH1" i="9"/>
  <c r="CXG1" i="9"/>
  <c r="CXF1" i="9"/>
  <c r="CXE1" i="9"/>
  <c r="CXD1" i="9"/>
  <c r="CXC1" i="9"/>
  <c r="CXB1" i="9"/>
  <c r="CXA1" i="9"/>
  <c r="CWZ1" i="9"/>
  <c r="CWY1" i="9"/>
  <c r="CWX1" i="9"/>
  <c r="CWW1" i="9"/>
  <c r="CWV1" i="9"/>
  <c r="CWU1" i="9"/>
  <c r="CWT1" i="9"/>
  <c r="CWS1" i="9"/>
  <c r="CWR1" i="9"/>
  <c r="CWQ1" i="9"/>
  <c r="CWP1" i="9"/>
  <c r="CWO1" i="9"/>
  <c r="CWN1" i="9"/>
  <c r="CWM1" i="9"/>
  <c r="CWL1" i="9"/>
  <c r="CWK1" i="9"/>
  <c r="CWJ1" i="9"/>
  <c r="CWI1" i="9"/>
  <c r="CWH1" i="9"/>
  <c r="CWG1" i="9"/>
  <c r="CWF1" i="9"/>
  <c r="CWE1" i="9"/>
  <c r="CWD1" i="9"/>
  <c r="CWC1" i="9"/>
  <c r="CWB1" i="9"/>
  <c r="CWA1" i="9"/>
  <c r="CVZ1" i="9"/>
  <c r="CVY1" i="9"/>
  <c r="CVX1" i="9"/>
  <c r="CVW1" i="9"/>
  <c r="CVV1" i="9"/>
  <c r="CVU1" i="9"/>
  <c r="CVT1" i="9"/>
  <c r="CVS1" i="9"/>
  <c r="CVR1" i="9"/>
  <c r="CVQ1" i="9"/>
  <c r="CVP1" i="9"/>
  <c r="CVO1" i="9"/>
  <c r="CVN1" i="9"/>
  <c r="CVM1" i="9"/>
  <c r="CVL1" i="9"/>
  <c r="CVK1" i="9"/>
  <c r="CVJ1" i="9"/>
  <c r="CVI1" i="9"/>
  <c r="CVH1" i="9"/>
  <c r="CVG1" i="9"/>
  <c r="CVF1" i="9"/>
  <c r="CVE1" i="9"/>
  <c r="CVD1" i="9"/>
  <c r="CVC1" i="9"/>
  <c r="CVB1" i="9"/>
  <c r="CVA1" i="9"/>
  <c r="CUZ1" i="9"/>
  <c r="CUY1" i="9"/>
  <c r="CUX1" i="9"/>
  <c r="CUW1" i="9"/>
  <c r="CUV1" i="9"/>
  <c r="CUU1" i="9"/>
  <c r="CUT1" i="9"/>
  <c r="CUS1" i="9"/>
  <c r="CUR1" i="9"/>
  <c r="CUQ1" i="9"/>
  <c r="CUP1" i="9"/>
  <c r="CUO1" i="9"/>
  <c r="CUN1" i="9"/>
  <c r="CUM1" i="9"/>
  <c r="CUL1" i="9"/>
  <c r="CUK1" i="9"/>
  <c r="CUJ1" i="9"/>
  <c r="CUI1" i="9"/>
  <c r="CUH1" i="9"/>
  <c r="CUG1" i="9"/>
  <c r="CUF1" i="9"/>
  <c r="CUE1" i="9"/>
  <c r="CUD1" i="9"/>
  <c r="CUC1" i="9"/>
  <c r="CUB1" i="9"/>
  <c r="CUA1" i="9"/>
  <c r="CTZ1" i="9"/>
  <c r="CTY1" i="9"/>
  <c r="CTX1" i="9"/>
  <c r="CTW1" i="9"/>
  <c r="CTV1" i="9"/>
  <c r="CTU1" i="9"/>
  <c r="CTT1" i="9"/>
  <c r="CTS1" i="9"/>
  <c r="CTR1" i="9"/>
  <c r="CTQ1" i="9"/>
  <c r="CTP1" i="9"/>
  <c r="CTO1" i="9"/>
  <c r="CTN1" i="9"/>
  <c r="CTM1" i="9"/>
  <c r="CTL1" i="9"/>
  <c r="CTK1" i="9"/>
  <c r="CTJ1" i="9"/>
  <c r="CTI1" i="9"/>
  <c r="CTH1" i="9"/>
  <c r="CTG1" i="9"/>
  <c r="CTF1" i="9"/>
  <c r="CTE1" i="9"/>
  <c r="CTD1" i="9"/>
  <c r="CTC1" i="9"/>
  <c r="CTB1" i="9"/>
  <c r="CTA1" i="9"/>
  <c r="CSZ1" i="9"/>
  <c r="CSY1" i="9"/>
  <c r="CSX1" i="9"/>
  <c r="CSW1" i="9"/>
  <c r="CSV1" i="9"/>
  <c r="CSU1" i="9"/>
  <c r="CST1" i="9"/>
  <c r="CSS1" i="9"/>
  <c r="CSR1" i="9"/>
  <c r="CSQ1" i="9"/>
  <c r="CSP1" i="9"/>
  <c r="CSO1" i="9"/>
  <c r="CSN1" i="9"/>
  <c r="CSM1" i="9"/>
  <c r="CSL1" i="9"/>
  <c r="CSK1" i="9"/>
  <c r="CSJ1" i="9"/>
  <c r="CSI1" i="9"/>
  <c r="CSH1" i="9"/>
  <c r="CSG1" i="9"/>
  <c r="CSF1" i="9"/>
  <c r="CSE1" i="9"/>
  <c r="CSD1" i="9"/>
  <c r="CSC1" i="9"/>
  <c r="CSB1" i="9"/>
  <c r="CSA1" i="9"/>
  <c r="CRZ1" i="9"/>
  <c r="CRY1" i="9"/>
  <c r="CRX1" i="9"/>
  <c r="CRW1" i="9"/>
  <c r="CRV1" i="9"/>
  <c r="CRU1" i="9"/>
  <c r="CRT1" i="9"/>
  <c r="CRS1" i="9"/>
  <c r="CRR1" i="9"/>
  <c r="CRQ1" i="9"/>
  <c r="CRP1" i="9"/>
  <c r="CRO1" i="9"/>
  <c r="CRN1" i="9"/>
  <c r="CRM1" i="9"/>
  <c r="CRL1" i="9"/>
  <c r="CRK1" i="9"/>
  <c r="CRJ1" i="9"/>
  <c r="CRI1" i="9"/>
  <c r="CRH1" i="9"/>
  <c r="CRG1" i="9"/>
  <c r="CRF1" i="9"/>
  <c r="CRE1" i="9"/>
  <c r="CRD1" i="9"/>
  <c r="CRC1" i="9"/>
  <c r="CRB1" i="9"/>
  <c r="CRA1" i="9"/>
  <c r="CQZ1" i="9"/>
  <c r="CQY1" i="9"/>
  <c r="CQX1" i="9"/>
  <c r="CQW1" i="9"/>
  <c r="CQV1" i="9"/>
  <c r="CQU1" i="9"/>
  <c r="CQT1" i="9"/>
  <c r="CQS1" i="9"/>
  <c r="CQR1" i="9"/>
  <c r="CQQ1" i="9"/>
  <c r="CQP1" i="9"/>
  <c r="CQO1" i="9"/>
  <c r="CQN1" i="9"/>
  <c r="CQM1" i="9"/>
  <c r="CQL1" i="9"/>
  <c r="CQK1" i="9"/>
  <c r="CQJ1" i="9"/>
  <c r="CQI1" i="9"/>
  <c r="CQH1" i="9"/>
  <c r="CQG1" i="9"/>
  <c r="CQF1" i="9"/>
  <c r="CQE1" i="9"/>
  <c r="CQD1" i="9"/>
  <c r="CQC1" i="9"/>
  <c r="CQB1" i="9"/>
  <c r="CQA1" i="9"/>
  <c r="CPZ1" i="9"/>
  <c r="CPY1" i="9"/>
  <c r="CPX1" i="9"/>
  <c r="CPW1" i="9"/>
  <c r="CPV1" i="9"/>
  <c r="CPU1" i="9"/>
  <c r="CPT1" i="9"/>
  <c r="CPS1" i="9"/>
  <c r="CPR1" i="9"/>
  <c r="CPQ1" i="9"/>
  <c r="CPP1" i="9"/>
  <c r="CPO1" i="9"/>
  <c r="CPN1" i="9"/>
  <c r="CPM1" i="9"/>
  <c r="CPL1" i="9"/>
  <c r="CPK1" i="9"/>
  <c r="CPJ1" i="9"/>
  <c r="CPI1" i="9"/>
  <c r="CPH1" i="9"/>
  <c r="CPG1" i="9"/>
  <c r="CPF1" i="9"/>
  <c r="CPE1" i="9"/>
  <c r="CPD1" i="9"/>
  <c r="CPC1" i="9"/>
  <c r="CPB1" i="9"/>
  <c r="CPA1" i="9"/>
  <c r="COZ1" i="9"/>
  <c r="COY1" i="9"/>
  <c r="COX1" i="9"/>
  <c r="COW1" i="9"/>
  <c r="COV1" i="9"/>
  <c r="COU1" i="9"/>
  <c r="COT1" i="9"/>
  <c r="COS1" i="9"/>
  <c r="COR1" i="9"/>
  <c r="COQ1" i="9"/>
  <c r="COP1" i="9"/>
  <c r="COO1" i="9"/>
  <c r="CON1" i="9"/>
  <c r="COM1" i="9"/>
  <c r="COL1" i="9"/>
  <c r="COK1" i="9"/>
  <c r="COJ1" i="9"/>
  <c r="COI1" i="9"/>
  <c r="COH1" i="9"/>
  <c r="COG1" i="9"/>
  <c r="COF1" i="9"/>
  <c r="COE1" i="9"/>
  <c r="COD1" i="9"/>
  <c r="COC1" i="9"/>
  <c r="COB1" i="9"/>
  <c r="COA1" i="9"/>
  <c r="CNZ1" i="9"/>
  <c r="CNY1" i="9"/>
  <c r="CNX1" i="9"/>
  <c r="CNW1" i="9"/>
  <c r="CNV1" i="9"/>
  <c r="CNU1" i="9"/>
  <c r="CNT1" i="9"/>
  <c r="CNS1" i="9"/>
  <c r="CNR1" i="9"/>
  <c r="CNQ1" i="9"/>
  <c r="CNP1" i="9"/>
  <c r="CNO1" i="9"/>
  <c r="CNN1" i="9"/>
  <c r="CNM1" i="9"/>
  <c r="CNL1" i="9"/>
  <c r="CNK1" i="9"/>
  <c r="CNJ1" i="9"/>
  <c r="CNI1" i="9"/>
  <c r="CNH1" i="9"/>
  <c r="CNG1" i="9"/>
  <c r="CNF1" i="9"/>
  <c r="CNE1" i="9"/>
  <c r="CND1" i="9"/>
  <c r="CNC1" i="9"/>
  <c r="CNB1" i="9"/>
  <c r="CNA1" i="9"/>
  <c r="CMZ1" i="9"/>
  <c r="CMY1" i="9"/>
  <c r="CMX1" i="9"/>
  <c r="CMW1" i="9"/>
  <c r="CMV1" i="9"/>
  <c r="CMU1" i="9"/>
  <c r="CMT1" i="9"/>
  <c r="CMS1" i="9"/>
  <c r="CMR1" i="9"/>
  <c r="CMQ1" i="9"/>
  <c r="CMP1" i="9"/>
  <c r="CMO1" i="9"/>
  <c r="CMN1" i="9"/>
  <c r="CMM1" i="9"/>
  <c r="CML1" i="9"/>
  <c r="CMK1" i="9"/>
  <c r="CMJ1" i="9"/>
  <c r="CMI1" i="9"/>
  <c r="CMH1" i="9"/>
  <c r="CMG1" i="9"/>
  <c r="CMF1" i="9"/>
  <c r="CME1" i="9"/>
  <c r="CMD1" i="9"/>
  <c r="CMC1" i="9"/>
  <c r="CMB1" i="9"/>
  <c r="CMA1" i="9"/>
  <c r="CLZ1" i="9"/>
  <c r="CLY1" i="9"/>
  <c r="CLX1" i="9"/>
  <c r="CLW1" i="9"/>
  <c r="CLV1" i="9"/>
  <c r="CLU1" i="9"/>
  <c r="CLT1" i="9"/>
  <c r="CLS1" i="9"/>
  <c r="CLR1" i="9"/>
  <c r="CLQ1" i="9"/>
  <c r="CLP1" i="9"/>
  <c r="CLO1" i="9"/>
  <c r="CLN1" i="9"/>
  <c r="CLM1" i="9"/>
  <c r="CLL1" i="9"/>
  <c r="CLK1" i="9"/>
  <c r="CLJ1" i="9"/>
  <c r="CLI1" i="9"/>
  <c r="CLH1" i="9"/>
  <c r="CLG1" i="9"/>
  <c r="CLF1" i="9"/>
  <c r="CLE1" i="9"/>
  <c r="CLD1" i="9"/>
  <c r="CLC1" i="9"/>
  <c r="CLB1" i="9"/>
  <c r="CLA1" i="9"/>
  <c r="CKZ1" i="9"/>
  <c r="CKY1" i="9"/>
  <c r="CKX1" i="9"/>
  <c r="CKW1" i="9"/>
  <c r="CKV1" i="9"/>
  <c r="CKU1" i="9"/>
  <c r="CKT1" i="9"/>
  <c r="CKS1" i="9"/>
  <c r="CKR1" i="9"/>
  <c r="CKQ1" i="9"/>
  <c r="CKP1" i="9"/>
  <c r="CKO1" i="9"/>
  <c r="CKN1" i="9"/>
  <c r="CKM1" i="9"/>
  <c r="CKL1" i="9"/>
  <c r="CKK1" i="9"/>
  <c r="CKJ1" i="9"/>
  <c r="CKI1" i="9"/>
  <c r="CKH1" i="9"/>
  <c r="CKG1" i="9"/>
  <c r="CKF1" i="9"/>
  <c r="CKE1" i="9"/>
  <c r="CKD1" i="9"/>
  <c r="CKC1" i="9"/>
  <c r="CKB1" i="9"/>
  <c r="CKA1" i="9"/>
  <c r="CJZ1" i="9"/>
  <c r="CJY1" i="9"/>
  <c r="CJX1" i="9"/>
  <c r="CJW1" i="9"/>
  <c r="CJV1" i="9"/>
  <c r="CJU1" i="9"/>
  <c r="CJT1" i="9"/>
  <c r="CJS1" i="9"/>
  <c r="CJR1" i="9"/>
  <c r="CJQ1" i="9"/>
  <c r="CJP1" i="9"/>
  <c r="CJO1" i="9"/>
  <c r="CJN1" i="9"/>
  <c r="CJM1" i="9"/>
  <c r="CJL1" i="9"/>
  <c r="CJK1" i="9"/>
  <c r="CJJ1" i="9"/>
  <c r="CJI1" i="9"/>
  <c r="CJH1" i="9"/>
  <c r="CJG1" i="9"/>
  <c r="CJF1" i="9"/>
  <c r="CJE1" i="9"/>
  <c r="CJD1" i="9"/>
  <c r="CJC1" i="9"/>
  <c r="CJB1" i="9"/>
  <c r="CJA1" i="9"/>
  <c r="CIZ1" i="9"/>
  <c r="CIY1" i="9"/>
  <c r="CIX1" i="9"/>
  <c r="CIW1" i="9"/>
  <c r="CIV1" i="9"/>
  <c r="CIU1" i="9"/>
  <c r="CIT1" i="9"/>
  <c r="CIS1" i="9"/>
  <c r="CIR1" i="9"/>
  <c r="CIQ1" i="9"/>
  <c r="CIP1" i="9"/>
  <c r="CIO1" i="9"/>
  <c r="CIN1" i="9"/>
  <c r="CIM1" i="9"/>
  <c r="CIL1" i="9"/>
  <c r="CIK1" i="9"/>
  <c r="CIJ1" i="9"/>
  <c r="CII1" i="9"/>
  <c r="CIH1" i="9"/>
  <c r="CIG1" i="9"/>
  <c r="CIF1" i="9"/>
  <c r="CIE1" i="9"/>
  <c r="CID1" i="9"/>
  <c r="CIC1" i="9"/>
  <c r="CIB1" i="9"/>
  <c r="CIA1" i="9"/>
  <c r="CHZ1" i="9"/>
  <c r="CHY1" i="9"/>
  <c r="CHX1" i="9"/>
  <c r="CHW1" i="9"/>
  <c r="CHV1" i="9"/>
  <c r="CHU1" i="9"/>
  <c r="CHT1" i="9"/>
  <c r="CHS1" i="9"/>
  <c r="CHR1" i="9"/>
  <c r="CHQ1" i="9"/>
  <c r="CHP1" i="9"/>
  <c r="CHO1" i="9"/>
  <c r="CHN1" i="9"/>
  <c r="CHM1" i="9"/>
  <c r="CHL1" i="9"/>
  <c r="CHK1" i="9"/>
  <c r="CHJ1" i="9"/>
  <c r="CHI1" i="9"/>
  <c r="CHH1" i="9"/>
  <c r="CHG1" i="9"/>
  <c r="CHF1" i="9"/>
  <c r="CHE1" i="9"/>
  <c r="CHD1" i="9"/>
  <c r="CHC1" i="9"/>
  <c r="CHB1" i="9"/>
  <c r="CHA1" i="9"/>
  <c r="CGZ1" i="9"/>
  <c r="CGY1" i="9"/>
  <c r="CGX1" i="9"/>
  <c r="CGW1" i="9"/>
  <c r="CGV1" i="9"/>
  <c r="CGU1" i="9"/>
  <c r="CGT1" i="9"/>
  <c r="CGS1" i="9"/>
  <c r="CGR1" i="9"/>
  <c r="CGQ1" i="9"/>
  <c r="CGP1" i="9"/>
  <c r="CGO1" i="9"/>
  <c r="CGN1" i="9"/>
  <c r="CGM1" i="9"/>
  <c r="CGL1" i="9"/>
  <c r="CGK1" i="9"/>
  <c r="CGJ1" i="9"/>
  <c r="CGI1" i="9"/>
  <c r="CGH1" i="9"/>
  <c r="CGG1" i="9"/>
  <c r="CGF1" i="9"/>
  <c r="CGE1" i="9"/>
  <c r="CGD1" i="9"/>
  <c r="CGC1" i="9"/>
  <c r="CGB1" i="9"/>
  <c r="CGA1" i="9"/>
  <c r="CFZ1" i="9"/>
  <c r="CFY1" i="9"/>
  <c r="CFX1" i="9"/>
  <c r="CFW1" i="9"/>
  <c r="CFV1" i="9"/>
  <c r="CFU1" i="9"/>
  <c r="CFT1" i="9"/>
  <c r="CFS1" i="9"/>
  <c r="CFR1" i="9"/>
  <c r="CFQ1" i="9"/>
  <c r="CFP1" i="9"/>
  <c r="CFO1" i="9"/>
  <c r="CFN1" i="9"/>
  <c r="CFM1" i="9"/>
  <c r="CFL1" i="9"/>
  <c r="CFK1" i="9"/>
  <c r="CFJ1" i="9"/>
  <c r="CFI1" i="9"/>
  <c r="CFH1" i="9"/>
  <c r="CFG1" i="9"/>
  <c r="CFF1" i="9"/>
  <c r="CFE1" i="9"/>
  <c r="CFD1" i="9"/>
  <c r="CFC1" i="9"/>
  <c r="CFB1" i="9"/>
  <c r="CFA1" i="9"/>
  <c r="CEZ1" i="9"/>
  <c r="CEY1" i="9"/>
  <c r="CEX1" i="9"/>
  <c r="CEW1" i="9"/>
  <c r="CEV1" i="9"/>
  <c r="CEU1" i="9"/>
  <c r="CET1" i="9"/>
  <c r="CES1" i="9"/>
  <c r="CER1" i="9"/>
  <c r="CEQ1" i="9"/>
  <c r="CEP1" i="9"/>
  <c r="CEO1" i="9"/>
  <c r="CEN1" i="9"/>
  <c r="CEM1" i="9"/>
  <c r="CEL1" i="9"/>
  <c r="CEK1" i="9"/>
  <c r="CEJ1" i="9"/>
  <c r="CEI1" i="9"/>
  <c r="CEH1" i="9"/>
  <c r="CEG1" i="9"/>
  <c r="CEF1" i="9"/>
  <c r="CEE1" i="9"/>
  <c r="CED1" i="9"/>
  <c r="CEC1" i="9"/>
  <c r="CEB1" i="9"/>
  <c r="CEA1" i="9"/>
  <c r="CDZ1" i="9"/>
  <c r="CDY1" i="9"/>
  <c r="CDX1" i="9"/>
  <c r="CDW1" i="9"/>
  <c r="CDV1" i="9"/>
  <c r="CDU1" i="9"/>
  <c r="CDT1" i="9"/>
  <c r="CDS1" i="9"/>
  <c r="CDR1" i="9"/>
  <c r="CDQ1" i="9"/>
  <c r="CDP1" i="9"/>
  <c r="CDO1" i="9"/>
  <c r="CDN1" i="9"/>
  <c r="CDM1" i="9"/>
  <c r="CDL1" i="9"/>
  <c r="CDK1" i="9"/>
  <c r="CDJ1" i="9"/>
  <c r="CDI1" i="9"/>
  <c r="CDH1" i="9"/>
  <c r="CDG1" i="9"/>
  <c r="CDF1" i="9"/>
  <c r="CDE1" i="9"/>
  <c r="CDD1" i="9"/>
  <c r="CDC1" i="9"/>
  <c r="CDB1" i="9"/>
  <c r="CDA1" i="9"/>
  <c r="CCZ1" i="9"/>
  <c r="CCY1" i="9"/>
  <c r="CCX1" i="9"/>
  <c r="CCW1" i="9"/>
  <c r="CCV1" i="9"/>
  <c r="CCU1" i="9"/>
  <c r="CCT1" i="9"/>
  <c r="CCS1" i="9"/>
  <c r="CCR1" i="9"/>
  <c r="CCQ1" i="9"/>
  <c r="CCP1" i="9"/>
  <c r="CCO1" i="9"/>
  <c r="CCN1" i="9"/>
  <c r="CCM1" i="9"/>
  <c r="CCL1" i="9"/>
  <c r="CCK1" i="9"/>
  <c r="CCJ1" i="9"/>
  <c r="CCI1" i="9"/>
  <c r="CCH1" i="9"/>
  <c r="CCG1" i="9"/>
  <c r="CCF1" i="9"/>
  <c r="CCE1" i="9"/>
  <c r="CCD1" i="9"/>
  <c r="CCC1" i="9"/>
  <c r="CCB1" i="9"/>
  <c r="CCA1" i="9"/>
  <c r="CBZ1" i="9"/>
  <c r="CBY1" i="9"/>
  <c r="CBX1" i="9"/>
  <c r="CBW1" i="9"/>
  <c r="CBV1" i="9"/>
  <c r="CBU1" i="9"/>
  <c r="CBT1" i="9"/>
  <c r="CBS1" i="9"/>
  <c r="CBR1" i="9"/>
  <c r="CBQ1" i="9"/>
  <c r="CBP1" i="9"/>
  <c r="CBO1" i="9"/>
  <c r="CBN1" i="9"/>
  <c r="CBM1" i="9"/>
  <c r="CBL1" i="9"/>
  <c r="CBK1" i="9"/>
  <c r="CBJ1" i="9"/>
  <c r="CBI1" i="9"/>
  <c r="CBH1" i="9"/>
  <c r="CBG1" i="9"/>
  <c r="CBF1" i="9"/>
  <c r="CBE1" i="9"/>
  <c r="CBD1" i="9"/>
  <c r="CBC1" i="9"/>
  <c r="CBB1" i="9"/>
  <c r="CBA1" i="9"/>
  <c r="CAZ1" i="9"/>
  <c r="CAY1" i="9"/>
  <c r="CAX1" i="9"/>
  <c r="CAW1" i="9"/>
  <c r="CAV1" i="9"/>
  <c r="CAU1" i="9"/>
  <c r="CAT1" i="9"/>
  <c r="CAS1" i="9"/>
  <c r="CAR1" i="9"/>
  <c r="CAQ1" i="9"/>
  <c r="CAP1" i="9"/>
  <c r="CAO1" i="9"/>
  <c r="CAN1" i="9"/>
  <c r="CAM1" i="9"/>
  <c r="CAL1" i="9"/>
  <c r="CAK1" i="9"/>
  <c r="CAJ1" i="9"/>
  <c r="CAI1" i="9"/>
  <c r="CAH1" i="9"/>
  <c r="CAG1" i="9"/>
  <c r="CAF1" i="9"/>
  <c r="CAE1" i="9"/>
  <c r="CAD1" i="9"/>
  <c r="CAC1" i="9"/>
  <c r="CAB1" i="9"/>
  <c r="CAA1" i="9"/>
  <c r="BZZ1" i="9"/>
  <c r="BZY1" i="9"/>
  <c r="BZX1" i="9"/>
  <c r="BZW1" i="9"/>
  <c r="BZV1" i="9"/>
  <c r="BZU1" i="9"/>
  <c r="BZT1" i="9"/>
  <c r="BZS1" i="9"/>
  <c r="BZR1" i="9"/>
  <c r="BZQ1" i="9"/>
  <c r="BZP1" i="9"/>
  <c r="BZO1" i="9"/>
  <c r="BZN1" i="9"/>
  <c r="BZM1" i="9"/>
  <c r="BZL1" i="9"/>
  <c r="BZK1" i="9"/>
  <c r="BZJ1" i="9"/>
  <c r="BZI1" i="9"/>
  <c r="BZH1" i="9"/>
  <c r="BZG1" i="9"/>
  <c r="BZF1" i="9"/>
  <c r="BZE1" i="9"/>
  <c r="BZD1" i="9"/>
  <c r="BZC1" i="9"/>
  <c r="BZB1" i="9"/>
  <c r="BZA1" i="9"/>
  <c r="BYZ1" i="9"/>
  <c r="BYY1" i="9"/>
  <c r="BYX1" i="9"/>
  <c r="BYW1" i="9"/>
  <c r="BYV1" i="9"/>
  <c r="BYU1" i="9"/>
  <c r="BYT1" i="9"/>
  <c r="BYS1" i="9"/>
  <c r="BYR1" i="9"/>
  <c r="BYQ1" i="9"/>
  <c r="BYP1" i="9"/>
  <c r="BYO1" i="9"/>
  <c r="BYN1" i="9"/>
  <c r="BYM1" i="9"/>
  <c r="BYL1" i="9"/>
  <c r="BYK1" i="9"/>
  <c r="BYJ1" i="9"/>
  <c r="BYI1" i="9"/>
  <c r="BYH1" i="9"/>
  <c r="BYG1" i="9"/>
  <c r="BYF1" i="9"/>
  <c r="BYE1" i="9"/>
  <c r="BYD1" i="9"/>
  <c r="BYC1" i="9"/>
  <c r="BYB1" i="9"/>
  <c r="BYA1" i="9"/>
  <c r="BXZ1" i="9"/>
  <c r="BXY1" i="9"/>
  <c r="BXX1" i="9"/>
  <c r="BXW1" i="9"/>
  <c r="BXV1" i="9"/>
  <c r="BXU1" i="9"/>
  <c r="BXT1" i="9"/>
  <c r="BXS1" i="9"/>
  <c r="BXR1" i="9"/>
  <c r="BXQ1" i="9"/>
  <c r="BXP1" i="9"/>
  <c r="BXO1" i="9"/>
  <c r="BXN1" i="9"/>
  <c r="BXM1" i="9"/>
  <c r="BXL1" i="9"/>
  <c r="BXK1" i="9"/>
  <c r="BXJ1" i="9"/>
  <c r="BXI1" i="9"/>
  <c r="BXH1" i="9"/>
  <c r="BXG1" i="9"/>
  <c r="BXF1" i="9"/>
  <c r="BXE1" i="9"/>
  <c r="BXD1" i="9"/>
  <c r="BXC1" i="9"/>
  <c r="BXB1" i="9"/>
  <c r="BXA1" i="9"/>
  <c r="BWZ1" i="9"/>
  <c r="BWY1" i="9"/>
  <c r="BWX1" i="9"/>
  <c r="BWW1" i="9"/>
  <c r="BWV1" i="9"/>
  <c r="BWU1" i="9"/>
  <c r="BWT1" i="9"/>
  <c r="BWS1" i="9"/>
  <c r="BWR1" i="9"/>
  <c r="BWQ1" i="9"/>
  <c r="BWP1" i="9"/>
  <c r="BWO1" i="9"/>
  <c r="BWN1" i="9"/>
  <c r="BWM1" i="9"/>
  <c r="BWL1" i="9"/>
  <c r="BWK1" i="9"/>
  <c r="BWJ1" i="9"/>
  <c r="BWI1" i="9"/>
  <c r="BWH1" i="9"/>
  <c r="BWG1" i="9"/>
  <c r="BWF1" i="9"/>
  <c r="BWE1" i="9"/>
  <c r="BWD1" i="9"/>
  <c r="BWC1" i="9"/>
  <c r="BWB1" i="9"/>
  <c r="BWA1" i="9"/>
  <c r="BVZ1" i="9"/>
  <c r="BVY1" i="9"/>
  <c r="BVX1" i="9"/>
  <c r="BVW1" i="9"/>
  <c r="BVV1" i="9"/>
  <c r="BVU1" i="9"/>
  <c r="BVT1" i="9"/>
  <c r="BVS1" i="9"/>
  <c r="BVR1" i="9"/>
  <c r="BVQ1" i="9"/>
  <c r="BVP1" i="9"/>
  <c r="BVO1" i="9"/>
  <c r="BVN1" i="9"/>
  <c r="BVM1" i="9"/>
  <c r="BVL1" i="9"/>
  <c r="BVK1" i="9"/>
  <c r="BVJ1" i="9"/>
  <c r="BVI1" i="9"/>
  <c r="BVH1" i="9"/>
  <c r="BVG1" i="9"/>
  <c r="BVF1" i="9"/>
  <c r="BVE1" i="9"/>
  <c r="BVD1" i="9"/>
  <c r="BVC1" i="9"/>
  <c r="BVB1" i="9"/>
  <c r="BVA1" i="9"/>
  <c r="BUZ1" i="9"/>
  <c r="BUY1" i="9"/>
  <c r="BUX1" i="9"/>
  <c r="BUW1" i="9"/>
  <c r="BUV1" i="9"/>
  <c r="BUU1" i="9"/>
  <c r="BUT1" i="9"/>
  <c r="BUS1" i="9"/>
  <c r="BUR1" i="9"/>
  <c r="BUQ1" i="9"/>
  <c r="BUP1" i="9"/>
  <c r="BUO1" i="9"/>
  <c r="BUN1" i="9"/>
  <c r="BUM1" i="9"/>
  <c r="BUL1" i="9"/>
  <c r="BUK1" i="9"/>
  <c r="BUJ1" i="9"/>
  <c r="BUI1" i="9"/>
  <c r="BUH1" i="9"/>
  <c r="BUG1" i="9"/>
  <c r="BUF1" i="9"/>
  <c r="BUE1" i="9"/>
  <c r="BUD1" i="9"/>
  <c r="BUC1" i="9"/>
  <c r="BUB1" i="9"/>
  <c r="BUA1" i="9"/>
  <c r="BTZ1" i="9"/>
  <c r="BTY1" i="9"/>
  <c r="BTX1" i="9"/>
  <c r="BTW1" i="9"/>
  <c r="BTV1" i="9"/>
  <c r="BTU1" i="9"/>
  <c r="BTT1" i="9"/>
  <c r="BTS1" i="9"/>
  <c r="BTR1" i="9"/>
  <c r="BTQ1" i="9"/>
  <c r="BTP1" i="9"/>
  <c r="BTO1" i="9"/>
  <c r="BTN1" i="9"/>
  <c r="BTM1" i="9"/>
  <c r="BTL1" i="9"/>
  <c r="BTK1" i="9"/>
  <c r="BTJ1" i="9"/>
  <c r="BTI1" i="9"/>
  <c r="BTH1" i="9"/>
  <c r="BTG1" i="9"/>
  <c r="BTF1" i="9"/>
  <c r="BTE1" i="9"/>
  <c r="BTD1" i="9"/>
  <c r="BTC1" i="9"/>
  <c r="BTB1" i="9"/>
  <c r="BTA1" i="9"/>
  <c r="BSZ1" i="9"/>
  <c r="BSY1" i="9"/>
  <c r="BSX1" i="9"/>
  <c r="BSW1" i="9"/>
  <c r="BSV1" i="9"/>
  <c r="BSU1" i="9"/>
  <c r="BST1" i="9"/>
  <c r="BSS1" i="9"/>
  <c r="BSR1" i="9"/>
  <c r="BSQ1" i="9"/>
  <c r="BSP1" i="9"/>
  <c r="BSO1" i="9"/>
  <c r="BSN1" i="9"/>
  <c r="BSM1" i="9"/>
  <c r="BSL1" i="9"/>
  <c r="BSK1" i="9"/>
  <c r="BSJ1" i="9"/>
  <c r="BSI1" i="9"/>
  <c r="BSH1" i="9"/>
  <c r="BSG1" i="9"/>
  <c r="BSF1" i="9"/>
  <c r="BSE1" i="9"/>
  <c r="BSD1" i="9"/>
  <c r="BSC1" i="9"/>
  <c r="BSB1" i="9"/>
  <c r="BSA1" i="9"/>
  <c r="BRZ1" i="9"/>
  <c r="BRY1" i="9"/>
  <c r="BRX1" i="9"/>
  <c r="BRW1" i="9"/>
  <c r="BRV1" i="9"/>
  <c r="BRU1" i="9"/>
  <c r="BRT1" i="9"/>
  <c r="BRS1" i="9"/>
  <c r="BRR1" i="9"/>
  <c r="BRQ1" i="9"/>
  <c r="BRP1" i="9"/>
  <c r="BRO1" i="9"/>
  <c r="BRN1" i="9"/>
  <c r="BRM1" i="9"/>
  <c r="BRL1" i="9"/>
  <c r="BRK1" i="9"/>
  <c r="BRJ1" i="9"/>
  <c r="BRI1" i="9"/>
  <c r="BRH1" i="9"/>
  <c r="BRG1" i="9"/>
  <c r="BRF1" i="9"/>
  <c r="BRE1" i="9"/>
  <c r="BRD1" i="9"/>
  <c r="BRC1" i="9"/>
  <c r="BRB1" i="9"/>
  <c r="BRA1" i="9"/>
  <c r="BQZ1" i="9"/>
  <c r="BQY1" i="9"/>
  <c r="BQX1" i="9"/>
  <c r="BQW1" i="9"/>
  <c r="BQV1" i="9"/>
  <c r="BQU1" i="9"/>
  <c r="BQT1" i="9"/>
  <c r="BQS1" i="9"/>
  <c r="BQR1" i="9"/>
  <c r="BQQ1" i="9"/>
  <c r="BQP1" i="9"/>
  <c r="BQO1" i="9"/>
  <c r="BQN1" i="9"/>
  <c r="BQM1" i="9"/>
  <c r="BQL1" i="9"/>
  <c r="BQK1" i="9"/>
  <c r="BQJ1" i="9"/>
  <c r="BQI1" i="9"/>
  <c r="BQH1" i="9"/>
  <c r="BQG1" i="9"/>
  <c r="BQF1" i="9"/>
  <c r="BQE1" i="9"/>
  <c r="BQD1" i="9"/>
  <c r="BQC1" i="9"/>
  <c r="BQB1" i="9"/>
  <c r="BQA1" i="9"/>
  <c r="BPZ1" i="9"/>
  <c r="BPY1" i="9"/>
  <c r="BPX1" i="9"/>
  <c r="BPW1" i="9"/>
  <c r="BPV1" i="9"/>
  <c r="BPU1" i="9"/>
  <c r="BPT1" i="9"/>
  <c r="BPS1" i="9"/>
  <c r="BPR1" i="9"/>
  <c r="BPQ1" i="9"/>
  <c r="BPP1" i="9"/>
  <c r="BPO1" i="9"/>
  <c r="BPN1" i="9"/>
  <c r="BPM1" i="9"/>
  <c r="BPL1" i="9"/>
  <c r="BPK1" i="9"/>
  <c r="BPJ1" i="9"/>
  <c r="BPI1" i="9"/>
  <c r="BPH1" i="9"/>
  <c r="BPG1" i="9"/>
  <c r="BPF1" i="9"/>
  <c r="BPE1" i="9"/>
  <c r="BPD1" i="9"/>
  <c r="BPC1" i="9"/>
  <c r="BPB1" i="9"/>
  <c r="BPA1" i="9"/>
  <c r="BOZ1" i="9"/>
  <c r="BOY1" i="9"/>
  <c r="BOX1" i="9"/>
  <c r="BOW1" i="9"/>
  <c r="BOV1" i="9"/>
  <c r="BOU1" i="9"/>
  <c r="BOT1" i="9"/>
  <c r="BOS1" i="9"/>
  <c r="BOR1" i="9"/>
  <c r="BOQ1" i="9"/>
  <c r="BOP1" i="9"/>
  <c r="BOO1" i="9"/>
  <c r="BON1" i="9"/>
  <c r="BOM1" i="9"/>
  <c r="BOL1" i="9"/>
  <c r="BOK1" i="9"/>
  <c r="BOJ1" i="9"/>
  <c r="BOI1" i="9"/>
  <c r="BOH1" i="9"/>
  <c r="BOG1" i="9"/>
  <c r="BOF1" i="9"/>
  <c r="BOE1" i="9"/>
  <c r="BOD1" i="9"/>
  <c r="BOC1" i="9"/>
  <c r="BOB1" i="9"/>
  <c r="BOA1" i="9"/>
  <c r="BNZ1" i="9"/>
  <c r="BNY1" i="9"/>
  <c r="BNX1" i="9"/>
  <c r="BNW1" i="9"/>
  <c r="BNV1" i="9"/>
  <c r="BNU1" i="9"/>
  <c r="BNT1" i="9"/>
  <c r="BNS1" i="9"/>
  <c r="BNR1" i="9"/>
  <c r="BNQ1" i="9"/>
  <c r="BNP1" i="9"/>
  <c r="BNO1" i="9"/>
  <c r="BNN1" i="9"/>
  <c r="BNM1" i="9"/>
  <c r="BNL1" i="9"/>
  <c r="BNK1" i="9"/>
  <c r="BNJ1" i="9"/>
  <c r="BNI1" i="9"/>
  <c r="BNH1" i="9"/>
  <c r="BNG1" i="9"/>
  <c r="BNF1" i="9"/>
  <c r="BNE1" i="9"/>
  <c r="BND1" i="9"/>
  <c r="BNC1" i="9"/>
  <c r="BNB1" i="9"/>
  <c r="BNA1" i="9"/>
  <c r="BMZ1" i="9"/>
  <c r="BMY1" i="9"/>
  <c r="BMX1" i="9"/>
  <c r="BMW1" i="9"/>
  <c r="BMV1" i="9"/>
  <c r="BMU1" i="9"/>
  <c r="BMT1" i="9"/>
  <c r="BMS1" i="9"/>
  <c r="BMR1" i="9"/>
  <c r="BMQ1" i="9"/>
  <c r="BMP1" i="9"/>
  <c r="BMO1" i="9"/>
  <c r="BMN1" i="9"/>
  <c r="BMM1" i="9"/>
  <c r="BML1" i="9"/>
  <c r="BMK1" i="9"/>
  <c r="BMJ1" i="9"/>
  <c r="BMI1" i="9"/>
  <c r="BMH1" i="9"/>
  <c r="BMG1" i="9"/>
  <c r="BMF1" i="9"/>
  <c r="BME1" i="9"/>
  <c r="BMD1" i="9"/>
  <c r="BMC1" i="9"/>
  <c r="BMB1" i="9"/>
  <c r="BMA1" i="9"/>
  <c r="BLZ1" i="9"/>
  <c r="BLY1" i="9"/>
  <c r="BLX1" i="9"/>
  <c r="BLW1" i="9"/>
  <c r="BLV1" i="9"/>
  <c r="BLU1" i="9"/>
  <c r="BLT1" i="9"/>
  <c r="BLS1" i="9"/>
  <c r="BLR1" i="9"/>
  <c r="BLQ1" i="9"/>
  <c r="BLP1" i="9"/>
  <c r="BLO1" i="9"/>
  <c r="BLN1" i="9"/>
  <c r="BLM1" i="9"/>
  <c r="BLL1" i="9"/>
  <c r="BLK1" i="9"/>
  <c r="BLJ1" i="9"/>
  <c r="BLI1" i="9"/>
  <c r="BLH1" i="9"/>
  <c r="BLG1" i="9"/>
  <c r="BLF1" i="9"/>
  <c r="BLE1" i="9"/>
  <c r="BLD1" i="9"/>
  <c r="BLC1" i="9"/>
  <c r="BLB1" i="9"/>
  <c r="BLA1" i="9"/>
  <c r="BKZ1" i="9"/>
  <c r="BKY1" i="9"/>
  <c r="BKX1" i="9"/>
  <c r="BKW1" i="9"/>
  <c r="BKV1" i="9"/>
  <c r="BKU1" i="9"/>
  <c r="BKT1" i="9"/>
  <c r="BKS1" i="9"/>
  <c r="BKR1" i="9"/>
  <c r="BKQ1" i="9"/>
  <c r="BKP1" i="9"/>
  <c r="BKO1" i="9"/>
  <c r="BKN1" i="9"/>
  <c r="BKM1" i="9"/>
  <c r="BKL1" i="9"/>
  <c r="BKK1" i="9"/>
  <c r="BKJ1" i="9"/>
  <c r="BKI1" i="9"/>
  <c r="BKH1" i="9"/>
  <c r="BKG1" i="9"/>
  <c r="BKF1" i="9"/>
  <c r="BKE1" i="9"/>
  <c r="BKD1" i="9"/>
  <c r="BKC1" i="9"/>
  <c r="BKB1" i="9"/>
  <c r="BKA1" i="9"/>
  <c r="BJZ1" i="9"/>
  <c r="BJY1" i="9"/>
  <c r="BJX1" i="9"/>
  <c r="BJW1" i="9"/>
  <c r="BJV1" i="9"/>
  <c r="BJU1" i="9"/>
  <c r="BJT1" i="9"/>
  <c r="BJS1" i="9"/>
  <c r="BJR1" i="9"/>
  <c r="BJQ1" i="9"/>
  <c r="BJP1" i="9"/>
  <c r="BJO1" i="9"/>
  <c r="BJN1" i="9"/>
  <c r="BJM1" i="9"/>
  <c r="BJL1" i="9"/>
  <c r="BJK1" i="9"/>
  <c r="BJJ1" i="9"/>
  <c r="BJI1" i="9"/>
  <c r="BJH1" i="9"/>
  <c r="BJG1" i="9"/>
  <c r="BJF1" i="9"/>
  <c r="BJE1" i="9"/>
  <c r="BJD1" i="9"/>
  <c r="BJC1" i="9"/>
  <c r="BJB1" i="9"/>
  <c r="BJA1" i="9"/>
  <c r="BIZ1" i="9"/>
  <c r="BIY1" i="9"/>
  <c r="BIX1" i="9"/>
  <c r="BIW1" i="9"/>
  <c r="BIV1" i="9"/>
  <c r="BIU1" i="9"/>
  <c r="BIT1" i="9"/>
  <c r="BIS1" i="9"/>
  <c r="BIR1" i="9"/>
  <c r="BIQ1" i="9"/>
  <c r="BIP1" i="9"/>
  <c r="BIO1" i="9"/>
  <c r="BIN1" i="9"/>
  <c r="BIM1" i="9"/>
  <c r="BIL1" i="9"/>
  <c r="BIK1" i="9"/>
  <c r="BIJ1" i="9"/>
  <c r="BII1" i="9"/>
  <c r="BIH1" i="9"/>
  <c r="BIG1" i="9"/>
  <c r="BIF1" i="9"/>
  <c r="BIE1" i="9"/>
  <c r="BID1" i="9"/>
  <c r="BIC1" i="9"/>
  <c r="BIB1" i="9"/>
  <c r="BIA1" i="9"/>
  <c r="BHZ1" i="9"/>
  <c r="BHY1" i="9"/>
  <c r="BHX1" i="9"/>
  <c r="BHW1" i="9"/>
  <c r="BHV1" i="9"/>
  <c r="BHU1" i="9"/>
  <c r="BHT1" i="9"/>
  <c r="BHS1" i="9"/>
  <c r="BHR1" i="9"/>
  <c r="BHQ1" i="9"/>
  <c r="BHP1" i="9"/>
  <c r="BHO1" i="9"/>
  <c r="BHN1" i="9"/>
  <c r="BHM1" i="9"/>
  <c r="BHL1" i="9"/>
  <c r="BHK1" i="9"/>
  <c r="BHJ1" i="9"/>
  <c r="BHI1" i="9"/>
  <c r="BHH1" i="9"/>
  <c r="BHG1" i="9"/>
  <c r="BHF1" i="9"/>
  <c r="BHE1" i="9"/>
  <c r="BHD1" i="9"/>
  <c r="BHC1" i="9"/>
  <c r="BHB1" i="9"/>
  <c r="BHA1" i="9"/>
  <c r="BGZ1" i="9"/>
  <c r="BGY1" i="9"/>
  <c r="BGX1" i="9"/>
  <c r="BGW1" i="9"/>
  <c r="BGV1" i="9"/>
  <c r="BGU1" i="9"/>
  <c r="BGT1" i="9"/>
  <c r="BGS1" i="9"/>
  <c r="BGR1" i="9"/>
  <c r="BGQ1" i="9"/>
  <c r="BGP1" i="9"/>
  <c r="BGO1" i="9"/>
  <c r="BGN1" i="9"/>
  <c r="BGM1" i="9"/>
  <c r="BGL1" i="9"/>
  <c r="BGK1" i="9"/>
  <c r="BGJ1" i="9"/>
  <c r="BGI1" i="9"/>
  <c r="BGH1" i="9"/>
  <c r="BGG1" i="9"/>
  <c r="BGF1" i="9"/>
  <c r="BGE1" i="9"/>
  <c r="BGD1" i="9"/>
  <c r="BGC1" i="9"/>
  <c r="BGB1" i="9"/>
  <c r="BGA1" i="9"/>
  <c r="BFZ1" i="9"/>
  <c r="BFY1" i="9"/>
  <c r="BFX1" i="9"/>
  <c r="BFW1" i="9"/>
  <c r="BFV1" i="9"/>
  <c r="BFU1" i="9"/>
  <c r="BFT1" i="9"/>
  <c r="BFS1" i="9"/>
  <c r="BFR1" i="9"/>
  <c r="BFQ1" i="9"/>
  <c r="BFP1" i="9"/>
  <c r="BFO1" i="9"/>
  <c r="BFN1" i="9"/>
  <c r="BFM1" i="9"/>
  <c r="BFL1" i="9"/>
  <c r="BFK1" i="9"/>
  <c r="BFJ1" i="9"/>
  <c r="BFI1" i="9"/>
  <c r="BFH1" i="9"/>
  <c r="BFG1" i="9"/>
  <c r="BFF1" i="9"/>
  <c r="BFE1" i="9"/>
  <c r="BFD1" i="9"/>
  <c r="BFC1" i="9"/>
  <c r="BFB1" i="9"/>
  <c r="BFA1" i="9"/>
  <c r="BEZ1" i="9"/>
  <c r="BEY1" i="9"/>
  <c r="BEX1" i="9"/>
  <c r="BEW1" i="9"/>
  <c r="BEV1" i="9"/>
  <c r="BEU1" i="9"/>
  <c r="BET1" i="9"/>
  <c r="BES1" i="9"/>
  <c r="BER1" i="9"/>
  <c r="BEQ1" i="9"/>
  <c r="BEP1" i="9"/>
  <c r="BEO1" i="9"/>
  <c r="BEN1" i="9"/>
  <c r="BEM1" i="9"/>
  <c r="BEL1" i="9"/>
  <c r="BEK1" i="9"/>
  <c r="BEJ1" i="9"/>
  <c r="BEI1" i="9"/>
  <c r="BEH1" i="9"/>
  <c r="BEG1" i="9"/>
  <c r="BEF1" i="9"/>
  <c r="BEE1" i="9"/>
  <c r="BED1" i="9"/>
  <c r="BEC1" i="9"/>
  <c r="BEB1" i="9"/>
  <c r="BEA1" i="9"/>
  <c r="BDZ1" i="9"/>
  <c r="BDY1" i="9"/>
  <c r="BDX1" i="9"/>
  <c r="BDW1" i="9"/>
  <c r="BDV1" i="9"/>
  <c r="BDU1" i="9"/>
  <c r="BDT1" i="9"/>
  <c r="BDS1" i="9"/>
  <c r="BDR1" i="9"/>
  <c r="BDQ1" i="9"/>
  <c r="BDP1" i="9"/>
  <c r="BDO1" i="9"/>
  <c r="BDN1" i="9"/>
  <c r="BDM1" i="9"/>
  <c r="BDL1" i="9"/>
  <c r="BDK1" i="9"/>
  <c r="BDJ1" i="9"/>
  <c r="BDI1" i="9"/>
  <c r="BDH1" i="9"/>
  <c r="BDG1" i="9"/>
  <c r="BDF1" i="9"/>
  <c r="BDE1" i="9"/>
  <c r="BDD1" i="9"/>
  <c r="BDC1" i="9"/>
  <c r="BDB1" i="9"/>
  <c r="BDA1" i="9"/>
  <c r="BCZ1" i="9"/>
  <c r="BCY1" i="9"/>
  <c r="BCX1" i="9"/>
  <c r="BCW1" i="9"/>
  <c r="BCV1" i="9"/>
  <c r="BCU1" i="9"/>
  <c r="BCT1" i="9"/>
  <c r="BCS1" i="9"/>
  <c r="BCR1" i="9"/>
  <c r="BCQ1" i="9"/>
  <c r="BCP1" i="9"/>
  <c r="BCO1" i="9"/>
  <c r="BCN1" i="9"/>
  <c r="BCM1" i="9"/>
  <c r="BCL1" i="9"/>
  <c r="BCK1" i="9"/>
  <c r="BCJ1" i="9"/>
  <c r="BCI1" i="9"/>
  <c r="BCH1" i="9"/>
  <c r="BCG1" i="9"/>
  <c r="BCF1" i="9"/>
  <c r="BCE1" i="9"/>
  <c r="BCD1" i="9"/>
  <c r="BCC1" i="9"/>
  <c r="BCB1" i="9"/>
  <c r="BCA1" i="9"/>
  <c r="BBZ1" i="9"/>
  <c r="BBY1" i="9"/>
  <c r="BBX1" i="9"/>
  <c r="BBW1" i="9"/>
  <c r="BBV1" i="9"/>
  <c r="BBU1" i="9"/>
  <c r="BBT1" i="9"/>
  <c r="BBS1" i="9"/>
  <c r="BBR1" i="9"/>
  <c r="BBQ1" i="9"/>
  <c r="BBP1" i="9"/>
  <c r="BBO1" i="9"/>
  <c r="BBN1" i="9"/>
  <c r="BBM1" i="9"/>
  <c r="BBL1" i="9"/>
  <c r="BBK1" i="9"/>
  <c r="BBJ1" i="9"/>
  <c r="BBI1" i="9"/>
  <c r="BBH1" i="9"/>
  <c r="BBG1" i="9"/>
  <c r="BBF1" i="9"/>
  <c r="BBE1" i="9"/>
  <c r="BBD1" i="9"/>
  <c r="BBC1" i="9"/>
  <c r="BBB1" i="9"/>
  <c r="BBA1" i="9"/>
  <c r="BAZ1" i="9"/>
  <c r="BAY1" i="9"/>
  <c r="BAX1" i="9"/>
  <c r="BAW1" i="9"/>
  <c r="BAV1" i="9"/>
  <c r="BAU1" i="9"/>
  <c r="BAT1" i="9"/>
  <c r="BAS1" i="9"/>
  <c r="BAR1" i="9"/>
  <c r="BAQ1" i="9"/>
  <c r="BAP1" i="9"/>
  <c r="BAO1" i="9"/>
  <c r="BAN1" i="9"/>
  <c r="BAM1" i="9"/>
  <c r="BAL1" i="9"/>
  <c r="BAK1" i="9"/>
  <c r="BAJ1" i="9"/>
  <c r="BAI1" i="9"/>
  <c r="BAH1" i="9"/>
  <c r="BAG1" i="9"/>
  <c r="BAF1" i="9"/>
  <c r="BAE1" i="9"/>
  <c r="BAD1" i="9"/>
  <c r="BAC1" i="9"/>
  <c r="BAB1" i="9"/>
  <c r="BAA1" i="9"/>
  <c r="AZZ1" i="9"/>
  <c r="AZY1" i="9"/>
  <c r="AZX1" i="9"/>
  <c r="AZW1" i="9"/>
  <c r="AZV1" i="9"/>
  <c r="AZU1" i="9"/>
  <c r="AZT1" i="9"/>
  <c r="AZS1" i="9"/>
  <c r="AZR1" i="9"/>
  <c r="AZQ1" i="9"/>
  <c r="AZP1" i="9"/>
  <c r="AZO1" i="9"/>
  <c r="AZN1" i="9"/>
  <c r="AZM1" i="9"/>
  <c r="AZL1" i="9"/>
  <c r="AZK1" i="9"/>
  <c r="AZJ1" i="9"/>
  <c r="AZI1" i="9"/>
  <c r="AZH1" i="9"/>
  <c r="AZG1" i="9"/>
  <c r="AZF1" i="9"/>
  <c r="AZE1" i="9"/>
  <c r="AZD1" i="9"/>
  <c r="AZC1" i="9"/>
  <c r="AZB1" i="9"/>
  <c r="AZA1" i="9"/>
  <c r="AYZ1" i="9"/>
  <c r="AYY1" i="9"/>
  <c r="AYX1" i="9"/>
  <c r="AYW1" i="9"/>
  <c r="AYV1" i="9"/>
  <c r="AYU1" i="9"/>
  <c r="AYT1" i="9"/>
  <c r="AYS1" i="9"/>
  <c r="AYR1" i="9"/>
  <c r="AYQ1" i="9"/>
  <c r="AYP1" i="9"/>
  <c r="AYO1" i="9"/>
  <c r="AYN1" i="9"/>
  <c r="AYM1" i="9"/>
  <c r="AYL1" i="9"/>
  <c r="AYK1" i="9"/>
  <c r="AYJ1" i="9"/>
  <c r="AYI1" i="9"/>
  <c r="AYH1" i="9"/>
  <c r="AYG1" i="9"/>
  <c r="AYF1" i="9"/>
  <c r="AYE1" i="9"/>
  <c r="AYD1" i="9"/>
  <c r="AYC1" i="9"/>
  <c r="AYB1" i="9"/>
  <c r="AYA1" i="9"/>
  <c r="AXZ1" i="9"/>
  <c r="AXY1" i="9"/>
  <c r="AXX1" i="9"/>
  <c r="AXW1" i="9"/>
  <c r="AXV1" i="9"/>
  <c r="AXU1" i="9"/>
  <c r="AXT1" i="9"/>
  <c r="AXS1" i="9"/>
  <c r="AXR1" i="9"/>
  <c r="AXQ1" i="9"/>
  <c r="AXP1" i="9"/>
  <c r="AXO1" i="9"/>
  <c r="AXN1" i="9"/>
  <c r="AXM1" i="9"/>
  <c r="AXL1" i="9"/>
  <c r="AXK1" i="9"/>
  <c r="AXJ1" i="9"/>
  <c r="AXI1" i="9"/>
  <c r="AXH1" i="9"/>
  <c r="AXG1" i="9"/>
  <c r="AXF1" i="9"/>
  <c r="AXE1" i="9"/>
  <c r="AXD1" i="9"/>
  <c r="AXC1" i="9"/>
  <c r="AXB1" i="9"/>
  <c r="AXA1" i="9"/>
  <c r="AWZ1" i="9"/>
  <c r="AWY1" i="9"/>
  <c r="AWX1" i="9"/>
  <c r="AWW1" i="9"/>
  <c r="AWV1" i="9"/>
  <c r="AWU1" i="9"/>
  <c r="AWT1" i="9"/>
  <c r="AWS1" i="9"/>
  <c r="AWR1" i="9"/>
  <c r="AWQ1" i="9"/>
  <c r="AWP1" i="9"/>
  <c r="AWO1" i="9"/>
  <c r="AWN1" i="9"/>
  <c r="AWM1" i="9"/>
  <c r="AWL1" i="9"/>
  <c r="AWK1" i="9"/>
  <c r="AWJ1" i="9"/>
  <c r="AWI1" i="9"/>
  <c r="AWH1" i="9"/>
  <c r="AWG1" i="9"/>
  <c r="AWF1" i="9"/>
  <c r="AWE1" i="9"/>
  <c r="AWD1" i="9"/>
  <c r="AWC1" i="9"/>
  <c r="AWB1" i="9"/>
  <c r="AWA1" i="9"/>
  <c r="AVZ1" i="9"/>
  <c r="AVY1" i="9"/>
  <c r="AVX1" i="9"/>
  <c r="AVW1" i="9"/>
  <c r="AVV1" i="9"/>
  <c r="AVU1" i="9"/>
  <c r="AVT1" i="9"/>
  <c r="AVS1" i="9"/>
  <c r="AVR1" i="9"/>
  <c r="AVQ1" i="9"/>
  <c r="AVP1" i="9"/>
  <c r="AVO1" i="9"/>
  <c r="AVN1" i="9"/>
  <c r="AVM1" i="9"/>
  <c r="AVL1" i="9"/>
  <c r="AVK1" i="9"/>
  <c r="AVJ1" i="9"/>
  <c r="AVI1" i="9"/>
  <c r="AVH1" i="9"/>
  <c r="AVG1" i="9"/>
  <c r="AVF1" i="9"/>
  <c r="AVE1" i="9"/>
  <c r="AVD1" i="9"/>
  <c r="AVC1" i="9"/>
  <c r="AVB1" i="9"/>
  <c r="AVA1" i="9"/>
  <c r="AUZ1" i="9"/>
  <c r="AUY1" i="9"/>
  <c r="AUX1" i="9"/>
  <c r="AUW1" i="9"/>
  <c r="AUV1" i="9"/>
  <c r="AUU1" i="9"/>
  <c r="AUT1" i="9"/>
  <c r="AUS1" i="9"/>
  <c r="AUR1" i="9"/>
  <c r="AUQ1" i="9"/>
  <c r="AUP1" i="9"/>
  <c r="AUO1" i="9"/>
  <c r="AUN1" i="9"/>
  <c r="AUM1" i="9"/>
  <c r="AUL1" i="9"/>
  <c r="AUK1" i="9"/>
  <c r="AUJ1" i="9"/>
  <c r="AUI1" i="9"/>
  <c r="AUH1" i="9"/>
  <c r="AUG1" i="9"/>
  <c r="AUF1" i="9"/>
  <c r="AUE1" i="9"/>
  <c r="AUD1" i="9"/>
  <c r="AUC1" i="9"/>
  <c r="AUB1" i="9"/>
  <c r="AUA1" i="9"/>
  <c r="ATZ1" i="9"/>
  <c r="ATY1" i="9"/>
  <c r="ATX1" i="9"/>
  <c r="ATW1" i="9"/>
  <c r="ATV1" i="9"/>
  <c r="ATU1" i="9"/>
  <c r="ATT1" i="9"/>
  <c r="ATS1" i="9"/>
  <c r="ATR1" i="9"/>
  <c r="ATQ1" i="9"/>
  <c r="ATP1" i="9"/>
  <c r="ATO1" i="9"/>
  <c r="ATN1" i="9"/>
  <c r="ATM1" i="9"/>
  <c r="ATL1" i="9"/>
  <c r="ATK1" i="9"/>
  <c r="ATJ1" i="9"/>
  <c r="ATI1" i="9"/>
  <c r="ATH1" i="9"/>
  <c r="ATG1" i="9"/>
  <c r="ATF1" i="9"/>
  <c r="ATE1" i="9"/>
  <c r="ATD1" i="9"/>
  <c r="ATC1" i="9"/>
  <c r="ATB1" i="9"/>
  <c r="ATA1" i="9"/>
  <c r="ASZ1" i="9"/>
  <c r="ASY1" i="9"/>
  <c r="ASX1" i="9"/>
  <c r="ASW1" i="9"/>
  <c r="ASV1" i="9"/>
  <c r="ASU1" i="9"/>
  <c r="AST1" i="9"/>
  <c r="ASS1" i="9"/>
  <c r="ASR1" i="9"/>
  <c r="ASQ1" i="9"/>
  <c r="ASP1" i="9"/>
  <c r="ASO1" i="9"/>
  <c r="ASN1" i="9"/>
  <c r="ASM1" i="9"/>
  <c r="ASL1" i="9"/>
  <c r="ASK1" i="9"/>
  <c r="ASJ1" i="9"/>
  <c r="ASI1" i="9"/>
  <c r="ASH1" i="9"/>
  <c r="ASG1" i="9"/>
  <c r="ASF1" i="9"/>
  <c r="ASE1" i="9"/>
  <c r="ASD1" i="9"/>
  <c r="ASC1" i="9"/>
  <c r="ASB1" i="9"/>
  <c r="ASA1" i="9"/>
  <c r="ARZ1" i="9"/>
  <c r="ARY1" i="9"/>
  <c r="ARX1" i="9"/>
  <c r="ARW1" i="9"/>
  <c r="ARV1" i="9"/>
  <c r="ARU1" i="9"/>
  <c r="ART1" i="9"/>
  <c r="ARS1" i="9"/>
  <c r="ARR1" i="9"/>
  <c r="ARQ1" i="9"/>
  <c r="ARP1" i="9"/>
  <c r="ARO1" i="9"/>
  <c r="ARN1" i="9"/>
  <c r="ARM1" i="9"/>
  <c r="ARL1" i="9"/>
  <c r="ARK1" i="9"/>
  <c r="ARJ1" i="9"/>
  <c r="ARI1" i="9"/>
  <c r="ARH1" i="9"/>
  <c r="ARG1" i="9"/>
  <c r="ARF1" i="9"/>
  <c r="ARE1" i="9"/>
  <c r="ARD1" i="9"/>
  <c r="ARC1" i="9"/>
  <c r="ARB1" i="9"/>
  <c r="ARA1" i="9"/>
  <c r="AQZ1" i="9"/>
  <c r="AQY1" i="9"/>
  <c r="AQX1" i="9"/>
  <c r="AQW1" i="9"/>
  <c r="AQV1" i="9"/>
  <c r="AQU1" i="9"/>
  <c r="AQT1" i="9"/>
  <c r="AQS1" i="9"/>
  <c r="AQR1" i="9"/>
  <c r="AQQ1" i="9"/>
  <c r="AQP1" i="9"/>
  <c r="AQO1" i="9"/>
  <c r="AQN1" i="9"/>
  <c r="AQM1" i="9"/>
  <c r="AQL1" i="9"/>
  <c r="AQK1" i="9"/>
  <c r="AQJ1" i="9"/>
  <c r="AQI1" i="9"/>
  <c r="AQH1" i="9"/>
  <c r="AQG1" i="9"/>
  <c r="AQF1" i="9"/>
  <c r="AQE1" i="9"/>
  <c r="AQD1" i="9"/>
  <c r="AQC1" i="9"/>
  <c r="AQB1" i="9"/>
  <c r="AQA1" i="9"/>
  <c r="APZ1" i="9"/>
  <c r="APY1" i="9"/>
  <c r="APX1" i="9"/>
  <c r="APW1" i="9"/>
  <c r="APV1" i="9"/>
  <c r="APU1" i="9"/>
  <c r="APT1" i="9"/>
  <c r="APS1" i="9"/>
  <c r="APR1" i="9"/>
  <c r="APQ1" i="9"/>
  <c r="APP1" i="9"/>
  <c r="APO1" i="9"/>
  <c r="APN1" i="9"/>
  <c r="APM1" i="9"/>
  <c r="APL1" i="9"/>
  <c r="APK1" i="9"/>
  <c r="APJ1" i="9"/>
  <c r="API1" i="9"/>
  <c r="APH1" i="9"/>
  <c r="APG1" i="9"/>
  <c r="APF1" i="9"/>
  <c r="APE1" i="9"/>
  <c r="APD1" i="9"/>
  <c r="APC1" i="9"/>
  <c r="APB1" i="9"/>
  <c r="APA1" i="9"/>
  <c r="AOZ1" i="9"/>
  <c r="AOY1" i="9"/>
  <c r="AOX1" i="9"/>
  <c r="AOW1" i="9"/>
  <c r="AOV1" i="9"/>
  <c r="AOU1" i="9"/>
  <c r="AOT1" i="9"/>
  <c r="AOS1" i="9"/>
  <c r="AOR1" i="9"/>
  <c r="AOQ1" i="9"/>
  <c r="AOP1" i="9"/>
  <c r="AOO1" i="9"/>
  <c r="AON1" i="9"/>
  <c r="AOM1" i="9"/>
  <c r="AOL1" i="9"/>
  <c r="AOK1" i="9"/>
  <c r="AOJ1" i="9"/>
  <c r="AOI1" i="9"/>
  <c r="AOH1" i="9"/>
  <c r="AOG1" i="9"/>
  <c r="AOF1" i="9"/>
  <c r="AOE1" i="9"/>
  <c r="AOD1" i="9"/>
  <c r="AOC1" i="9"/>
  <c r="AOB1" i="9"/>
  <c r="AOA1" i="9"/>
  <c r="ANZ1" i="9"/>
  <c r="ANY1" i="9"/>
  <c r="ANX1" i="9"/>
  <c r="ANW1" i="9"/>
  <c r="ANV1" i="9"/>
  <c r="ANU1" i="9"/>
  <c r="ANT1" i="9"/>
  <c r="ANS1" i="9"/>
  <c r="ANR1" i="9"/>
  <c r="ANQ1" i="9"/>
  <c r="ANP1" i="9"/>
  <c r="ANO1" i="9"/>
  <c r="ANN1" i="9"/>
  <c r="ANM1" i="9"/>
  <c r="ANL1" i="9"/>
  <c r="ANK1" i="9"/>
  <c r="ANJ1" i="9"/>
  <c r="ANI1" i="9"/>
  <c r="ANH1" i="9"/>
  <c r="ANG1" i="9"/>
  <c r="ANF1" i="9"/>
  <c r="ANE1" i="9"/>
  <c r="AND1" i="9"/>
  <c r="ANC1" i="9"/>
  <c r="ANB1" i="9"/>
  <c r="ANA1" i="9"/>
  <c r="AMZ1" i="9"/>
  <c r="AMY1" i="9"/>
  <c r="AMX1" i="9"/>
  <c r="AMW1" i="9"/>
  <c r="AMV1" i="9"/>
  <c r="AMU1" i="9"/>
  <c r="AMT1" i="9"/>
  <c r="AMS1" i="9"/>
  <c r="AMR1" i="9"/>
  <c r="AMQ1" i="9"/>
  <c r="AMP1" i="9"/>
  <c r="AMO1" i="9"/>
  <c r="AMN1" i="9"/>
  <c r="AMM1" i="9"/>
  <c r="AML1" i="9"/>
  <c r="AMK1" i="9"/>
  <c r="AMJ1" i="9"/>
  <c r="AMI1" i="9"/>
  <c r="AMH1" i="9"/>
  <c r="AMG1" i="9"/>
  <c r="AMF1" i="9"/>
  <c r="AME1" i="9"/>
  <c r="AMD1" i="9"/>
  <c r="AMC1" i="9"/>
  <c r="AMB1" i="9"/>
  <c r="AMA1" i="9"/>
  <c r="ALZ1" i="9"/>
  <c r="ALY1" i="9"/>
  <c r="ALX1" i="9"/>
  <c r="ALW1" i="9"/>
  <c r="ALV1" i="9"/>
  <c r="ALU1" i="9"/>
  <c r="ALT1" i="9"/>
  <c r="ALS1" i="9"/>
  <c r="ALR1" i="9"/>
  <c r="ALQ1" i="9"/>
  <c r="ALP1" i="9"/>
  <c r="ALO1" i="9"/>
  <c r="ALN1" i="9"/>
  <c r="ALM1" i="9"/>
  <c r="ALL1" i="9"/>
  <c r="ALK1" i="9"/>
  <c r="ALJ1" i="9"/>
  <c r="ALI1" i="9"/>
  <c r="ALH1" i="9"/>
  <c r="ALG1" i="9"/>
  <c r="ALF1" i="9"/>
  <c r="ALE1" i="9"/>
  <c r="ALD1" i="9"/>
  <c r="ALC1" i="9"/>
  <c r="ALB1" i="9"/>
  <c r="ALA1" i="9"/>
  <c r="AKZ1" i="9"/>
  <c r="AKY1" i="9"/>
  <c r="AKX1" i="9"/>
  <c r="AKW1" i="9"/>
  <c r="AKV1" i="9"/>
  <c r="AKU1" i="9"/>
  <c r="AKT1" i="9"/>
  <c r="AKS1" i="9"/>
  <c r="AKR1" i="9"/>
  <c r="AKQ1" i="9"/>
  <c r="AKP1" i="9"/>
  <c r="AKO1" i="9"/>
  <c r="AKN1" i="9"/>
  <c r="AKM1" i="9"/>
  <c r="AKL1" i="9"/>
  <c r="AKK1" i="9"/>
  <c r="AKJ1" i="9"/>
  <c r="AKI1" i="9"/>
  <c r="AKH1" i="9"/>
  <c r="AKG1" i="9"/>
  <c r="AKF1" i="9"/>
  <c r="AKE1" i="9"/>
  <c r="AKD1" i="9"/>
  <c r="AKC1" i="9"/>
  <c r="AKB1" i="9"/>
  <c r="AKA1" i="9"/>
  <c r="AJZ1" i="9"/>
  <c r="AJY1" i="9"/>
  <c r="AJX1" i="9"/>
  <c r="AJW1" i="9"/>
  <c r="AJV1" i="9"/>
  <c r="AJU1" i="9"/>
  <c r="AJT1" i="9"/>
  <c r="AJS1" i="9"/>
  <c r="AJR1" i="9"/>
  <c r="AJQ1" i="9"/>
  <c r="AJP1" i="9"/>
  <c r="AJO1" i="9"/>
  <c r="AJN1" i="9"/>
  <c r="AJM1" i="9"/>
  <c r="AJL1" i="9"/>
  <c r="AJK1" i="9"/>
  <c r="AJJ1" i="9"/>
  <c r="AJI1" i="9"/>
  <c r="AJH1" i="9"/>
  <c r="AJG1" i="9"/>
  <c r="AJF1" i="9"/>
  <c r="AJE1" i="9"/>
  <c r="AJD1" i="9"/>
  <c r="AJC1" i="9"/>
  <c r="AJB1" i="9"/>
  <c r="AJA1" i="9"/>
  <c r="AIZ1" i="9"/>
  <c r="AIY1" i="9"/>
  <c r="AIX1" i="9"/>
  <c r="AIW1" i="9"/>
  <c r="AIV1" i="9"/>
  <c r="AIU1" i="9"/>
  <c r="AIT1" i="9"/>
  <c r="AIS1" i="9"/>
  <c r="AIR1" i="9"/>
  <c r="AIQ1" i="9"/>
  <c r="AIP1" i="9"/>
  <c r="AIO1" i="9"/>
  <c r="AIN1" i="9"/>
  <c r="AIM1" i="9"/>
  <c r="AIL1" i="9"/>
  <c r="AIK1" i="9"/>
  <c r="AIJ1" i="9"/>
  <c r="AII1" i="9"/>
  <c r="AIH1" i="9"/>
  <c r="AIG1" i="9"/>
  <c r="AIF1" i="9"/>
  <c r="AIE1" i="9"/>
  <c r="AID1" i="9"/>
  <c r="AIC1" i="9"/>
  <c r="AIB1" i="9"/>
  <c r="AIA1" i="9"/>
  <c r="AHZ1" i="9"/>
  <c r="AHY1" i="9"/>
  <c r="AHX1" i="9"/>
  <c r="AHW1" i="9"/>
  <c r="AHV1" i="9"/>
  <c r="AHU1" i="9"/>
  <c r="AHT1" i="9"/>
  <c r="AHS1" i="9"/>
  <c r="AHR1" i="9"/>
  <c r="AHQ1" i="9"/>
  <c r="AHP1" i="9"/>
  <c r="AHO1" i="9"/>
  <c r="AHN1" i="9"/>
  <c r="AHM1" i="9"/>
  <c r="AHL1" i="9"/>
  <c r="AHK1" i="9"/>
  <c r="AHJ1" i="9"/>
  <c r="AHI1" i="9"/>
  <c r="AHH1" i="9"/>
  <c r="AHG1" i="9"/>
  <c r="AHF1" i="9"/>
  <c r="AHE1" i="9"/>
  <c r="AHD1" i="9"/>
  <c r="AHC1" i="9"/>
  <c r="AHB1" i="9"/>
  <c r="AHA1" i="9"/>
  <c r="AGZ1" i="9"/>
  <c r="AGY1" i="9"/>
  <c r="AGX1" i="9"/>
  <c r="AGW1" i="9"/>
  <c r="AGV1" i="9"/>
  <c r="AGU1" i="9"/>
  <c r="AGT1" i="9"/>
  <c r="AGS1" i="9"/>
  <c r="AGR1" i="9"/>
  <c r="AGQ1" i="9"/>
  <c r="AGP1" i="9"/>
  <c r="AGO1" i="9"/>
  <c r="AGN1" i="9"/>
  <c r="AGM1" i="9"/>
  <c r="AGL1" i="9"/>
  <c r="AGK1" i="9"/>
  <c r="AGJ1" i="9"/>
  <c r="AGI1" i="9"/>
  <c r="AGH1" i="9"/>
  <c r="AGG1" i="9"/>
  <c r="AGF1" i="9"/>
  <c r="AGE1" i="9"/>
  <c r="AGD1" i="9"/>
  <c r="AGC1" i="9"/>
  <c r="AGB1" i="9"/>
  <c r="AGA1" i="9"/>
  <c r="AFZ1" i="9"/>
  <c r="AFY1" i="9"/>
  <c r="AFX1" i="9"/>
  <c r="AFW1" i="9"/>
  <c r="AFV1" i="9"/>
  <c r="AFU1" i="9"/>
  <c r="AFT1" i="9"/>
  <c r="AFS1" i="9"/>
  <c r="AFR1" i="9"/>
  <c r="AFQ1" i="9"/>
  <c r="AFP1" i="9"/>
  <c r="AFO1" i="9"/>
  <c r="AFN1" i="9"/>
  <c r="AFM1" i="9"/>
  <c r="AFL1" i="9"/>
  <c r="AFK1" i="9"/>
  <c r="AFJ1" i="9"/>
  <c r="AFI1" i="9"/>
  <c r="AFH1" i="9"/>
  <c r="AFG1" i="9"/>
  <c r="AFF1" i="9"/>
  <c r="AFE1" i="9"/>
  <c r="AFD1" i="9"/>
  <c r="AFC1" i="9"/>
  <c r="AFB1" i="9"/>
  <c r="AFA1" i="9"/>
  <c r="AEZ1" i="9"/>
  <c r="AEY1" i="9"/>
  <c r="AEX1" i="9"/>
  <c r="AEW1" i="9"/>
  <c r="AEV1" i="9"/>
  <c r="AEU1" i="9"/>
  <c r="AET1" i="9"/>
  <c r="AES1" i="9"/>
  <c r="AER1" i="9"/>
  <c r="AEQ1" i="9"/>
  <c r="AEP1" i="9"/>
  <c r="AEO1" i="9"/>
  <c r="AEN1" i="9"/>
  <c r="AEM1" i="9"/>
  <c r="AEL1" i="9"/>
  <c r="AEK1" i="9"/>
  <c r="AEJ1" i="9"/>
  <c r="AEI1" i="9"/>
  <c r="AEH1" i="9"/>
  <c r="AEG1" i="9"/>
  <c r="AEF1" i="9"/>
  <c r="AEE1" i="9"/>
  <c r="AED1" i="9"/>
  <c r="AEC1" i="9"/>
  <c r="AEB1" i="9"/>
  <c r="AEA1" i="9"/>
  <c r="ADZ1" i="9"/>
  <c r="ADY1" i="9"/>
  <c r="ADX1" i="9"/>
  <c r="ADW1" i="9"/>
  <c r="ADV1" i="9"/>
  <c r="ADU1" i="9"/>
  <c r="ADT1" i="9"/>
  <c r="ADS1" i="9"/>
  <c r="ADR1" i="9"/>
  <c r="ADQ1" i="9"/>
  <c r="ADP1" i="9"/>
  <c r="ADO1" i="9"/>
  <c r="ADN1" i="9"/>
  <c r="ADM1" i="9"/>
  <c r="ADL1" i="9"/>
  <c r="ADK1" i="9"/>
  <c r="ADJ1" i="9"/>
  <c r="ADI1" i="9"/>
  <c r="ADH1" i="9"/>
  <c r="ADG1" i="9"/>
  <c r="ADF1" i="9"/>
  <c r="ADE1" i="9"/>
  <c r="ADD1" i="9"/>
  <c r="ADC1" i="9"/>
  <c r="ADB1" i="9"/>
  <c r="ADA1" i="9"/>
  <c r="ACZ1" i="9"/>
  <c r="ACY1" i="9"/>
  <c r="ACX1" i="9"/>
  <c r="ACW1" i="9"/>
  <c r="ACV1" i="9"/>
  <c r="ACU1" i="9"/>
  <c r="ACT1" i="9"/>
  <c r="ACS1" i="9"/>
  <c r="ACR1" i="9"/>
  <c r="ACQ1" i="9"/>
  <c r="ACP1" i="9"/>
  <c r="ACO1" i="9"/>
  <c r="ACN1" i="9"/>
  <c r="ACM1" i="9"/>
  <c r="ACL1" i="9"/>
  <c r="ACK1" i="9"/>
  <c r="ACJ1" i="9"/>
  <c r="ACI1" i="9"/>
  <c r="ACH1" i="9"/>
  <c r="ACG1" i="9"/>
  <c r="ACF1" i="9"/>
  <c r="ACE1" i="9"/>
  <c r="ACD1" i="9"/>
  <c r="ACC1" i="9"/>
  <c r="ACB1" i="9"/>
  <c r="ACA1" i="9"/>
  <c r="ABZ1" i="9"/>
  <c r="ABY1" i="9"/>
  <c r="ABX1" i="9"/>
  <c r="ABW1" i="9"/>
  <c r="ABV1" i="9"/>
  <c r="ABU1" i="9"/>
  <c r="ABT1" i="9"/>
  <c r="ABS1" i="9"/>
  <c r="ABR1" i="9"/>
  <c r="ABQ1" i="9"/>
  <c r="ABP1" i="9"/>
  <c r="ABO1" i="9"/>
  <c r="ABN1" i="9"/>
  <c r="ABM1" i="9"/>
  <c r="ABL1" i="9"/>
  <c r="ABK1" i="9"/>
  <c r="ABJ1" i="9"/>
  <c r="ABI1" i="9"/>
  <c r="ABH1" i="9"/>
  <c r="ABG1" i="9"/>
  <c r="ABF1" i="9"/>
  <c r="ABE1" i="9"/>
  <c r="ABD1" i="9"/>
  <c r="ABC1" i="9"/>
  <c r="ABB1" i="9"/>
  <c r="ABA1" i="9"/>
  <c r="AAZ1" i="9"/>
  <c r="AAY1" i="9"/>
  <c r="AAX1" i="9"/>
  <c r="AAW1" i="9"/>
  <c r="AAV1" i="9"/>
  <c r="AAU1" i="9"/>
  <c r="AAT1" i="9"/>
  <c r="AAS1" i="9"/>
  <c r="AAR1" i="9"/>
  <c r="AAQ1" i="9"/>
  <c r="AAP1" i="9"/>
  <c r="AAO1" i="9"/>
  <c r="AAN1" i="9"/>
  <c r="AAM1" i="9"/>
  <c r="AAL1" i="9"/>
  <c r="AAK1" i="9"/>
  <c r="AAJ1" i="9"/>
  <c r="AAI1" i="9"/>
  <c r="AAH1" i="9"/>
  <c r="AAG1" i="9"/>
  <c r="AAF1" i="9"/>
  <c r="AAE1" i="9"/>
  <c r="AAD1" i="9"/>
  <c r="AAC1" i="9"/>
  <c r="AAB1" i="9"/>
  <c r="AAA1" i="9"/>
  <c r="ZZ1" i="9"/>
  <c r="ZY1" i="9"/>
  <c r="ZX1" i="9"/>
  <c r="ZW1" i="9"/>
  <c r="ZV1" i="9"/>
  <c r="ZU1" i="9"/>
  <c r="ZT1" i="9"/>
  <c r="ZS1" i="9"/>
  <c r="ZR1" i="9"/>
  <c r="ZQ1" i="9"/>
  <c r="ZP1" i="9"/>
  <c r="ZO1" i="9"/>
  <c r="ZN1" i="9"/>
  <c r="ZM1" i="9"/>
  <c r="ZL1" i="9"/>
  <c r="ZK1" i="9"/>
  <c r="ZJ1" i="9"/>
  <c r="ZI1" i="9"/>
  <c r="ZH1" i="9"/>
  <c r="ZG1" i="9"/>
  <c r="ZF1" i="9"/>
  <c r="ZE1" i="9"/>
  <c r="ZD1" i="9"/>
  <c r="ZC1" i="9"/>
  <c r="ZB1" i="9"/>
  <c r="ZA1" i="9"/>
  <c r="YZ1" i="9"/>
  <c r="YY1" i="9"/>
  <c r="YX1" i="9"/>
  <c r="YW1" i="9"/>
  <c r="YV1" i="9"/>
  <c r="YU1" i="9"/>
  <c r="YT1" i="9"/>
  <c r="YS1" i="9"/>
  <c r="YR1" i="9"/>
  <c r="YQ1" i="9"/>
  <c r="YP1" i="9"/>
  <c r="YO1" i="9"/>
  <c r="YN1" i="9"/>
  <c r="YM1" i="9"/>
  <c r="YL1" i="9"/>
  <c r="YK1" i="9"/>
  <c r="YJ1" i="9"/>
  <c r="YI1" i="9"/>
  <c r="YH1" i="9"/>
  <c r="YG1" i="9"/>
  <c r="YF1" i="9"/>
  <c r="YE1" i="9"/>
  <c r="YD1" i="9"/>
  <c r="YC1" i="9"/>
  <c r="YB1" i="9"/>
  <c r="YA1" i="9"/>
  <c r="XZ1" i="9"/>
  <c r="XY1" i="9"/>
  <c r="XX1" i="9"/>
  <c r="XW1" i="9"/>
  <c r="XV1" i="9"/>
  <c r="XU1" i="9"/>
  <c r="XT1" i="9"/>
  <c r="XS1" i="9"/>
  <c r="XR1" i="9"/>
  <c r="XQ1" i="9"/>
  <c r="XP1" i="9"/>
  <c r="XO1" i="9"/>
  <c r="XN1" i="9"/>
  <c r="XM1" i="9"/>
  <c r="XL1" i="9"/>
  <c r="XK1" i="9"/>
  <c r="XJ1" i="9"/>
  <c r="XI1" i="9"/>
  <c r="XH1" i="9"/>
  <c r="XG1" i="9"/>
  <c r="XF1" i="9"/>
  <c r="XE1" i="9"/>
  <c r="XD1" i="9"/>
  <c r="XC1" i="9"/>
  <c r="XB1" i="9"/>
  <c r="XA1" i="9"/>
  <c r="WZ1" i="9"/>
  <c r="WY1" i="9"/>
  <c r="WX1" i="9"/>
  <c r="WW1" i="9"/>
  <c r="WV1" i="9"/>
  <c r="WU1" i="9"/>
  <c r="WT1" i="9"/>
  <c r="WS1" i="9"/>
  <c r="WR1" i="9"/>
  <c r="WQ1" i="9"/>
  <c r="WP1" i="9"/>
  <c r="WO1" i="9"/>
  <c r="WN1" i="9"/>
  <c r="WM1" i="9"/>
  <c r="WL1" i="9"/>
  <c r="WK1" i="9"/>
  <c r="WJ1" i="9"/>
  <c r="WI1" i="9"/>
  <c r="WH1" i="9"/>
  <c r="WG1" i="9"/>
  <c r="WF1" i="9"/>
  <c r="WE1" i="9"/>
  <c r="WD1" i="9"/>
  <c r="WC1" i="9"/>
  <c r="WB1" i="9"/>
  <c r="WA1" i="9"/>
  <c r="VZ1" i="9"/>
  <c r="VY1" i="9"/>
  <c r="VX1" i="9"/>
  <c r="VW1" i="9"/>
  <c r="VV1" i="9"/>
  <c r="VU1" i="9"/>
  <c r="VT1" i="9"/>
  <c r="VS1" i="9"/>
  <c r="VR1" i="9"/>
  <c r="VQ1" i="9"/>
  <c r="VP1" i="9"/>
  <c r="VO1" i="9"/>
  <c r="VN1" i="9"/>
  <c r="VM1" i="9"/>
  <c r="VL1" i="9"/>
  <c r="VK1" i="9"/>
  <c r="VJ1" i="9"/>
  <c r="VI1" i="9"/>
  <c r="VH1" i="9"/>
  <c r="VG1" i="9"/>
  <c r="VF1" i="9"/>
  <c r="VE1" i="9"/>
  <c r="VD1" i="9"/>
  <c r="VC1" i="9"/>
  <c r="VB1" i="9"/>
  <c r="VA1" i="9"/>
  <c r="UZ1" i="9"/>
  <c r="UY1" i="9"/>
  <c r="UX1" i="9"/>
  <c r="UW1" i="9"/>
  <c r="UV1" i="9"/>
  <c r="UU1" i="9"/>
  <c r="UT1" i="9"/>
  <c r="US1" i="9"/>
  <c r="UR1" i="9"/>
  <c r="UQ1" i="9"/>
  <c r="UP1" i="9"/>
  <c r="UO1" i="9"/>
  <c r="UN1" i="9"/>
  <c r="UM1" i="9"/>
  <c r="UL1" i="9"/>
  <c r="UK1" i="9"/>
  <c r="UJ1" i="9"/>
  <c r="UI1" i="9"/>
  <c r="UH1" i="9"/>
  <c r="UG1" i="9"/>
  <c r="UF1" i="9"/>
  <c r="UE1" i="9"/>
  <c r="UD1" i="9"/>
  <c r="UC1" i="9"/>
  <c r="UB1" i="9"/>
  <c r="UA1" i="9"/>
  <c r="TZ1" i="9"/>
  <c r="TY1" i="9"/>
  <c r="TX1" i="9"/>
  <c r="TW1" i="9"/>
  <c r="TV1" i="9"/>
  <c r="TU1" i="9"/>
  <c r="TT1" i="9"/>
  <c r="TS1" i="9"/>
  <c r="TR1" i="9"/>
  <c r="TQ1" i="9"/>
  <c r="TP1" i="9"/>
  <c r="TO1" i="9"/>
  <c r="TN1" i="9"/>
  <c r="TM1" i="9"/>
  <c r="TL1" i="9"/>
  <c r="TK1" i="9"/>
  <c r="TJ1" i="9"/>
  <c r="TI1" i="9"/>
  <c r="TH1" i="9"/>
  <c r="TG1" i="9"/>
  <c r="TF1" i="9"/>
  <c r="TE1" i="9"/>
  <c r="TD1" i="9"/>
  <c r="TC1" i="9"/>
  <c r="TB1" i="9"/>
  <c r="TA1" i="9"/>
  <c r="SZ1" i="9"/>
  <c r="SY1" i="9"/>
  <c r="SX1" i="9"/>
  <c r="SW1" i="9"/>
  <c r="SV1" i="9"/>
  <c r="SU1" i="9"/>
  <c r="ST1" i="9"/>
  <c r="SS1" i="9"/>
  <c r="SR1" i="9"/>
  <c r="SQ1" i="9"/>
  <c r="SP1" i="9"/>
  <c r="SO1" i="9"/>
  <c r="SN1" i="9"/>
  <c r="SM1" i="9"/>
  <c r="SL1" i="9"/>
  <c r="SK1" i="9"/>
  <c r="SJ1" i="9"/>
  <c r="SI1" i="9"/>
  <c r="SH1" i="9"/>
  <c r="SG1" i="9"/>
  <c r="SF1" i="9"/>
  <c r="SE1" i="9"/>
  <c r="SD1" i="9"/>
  <c r="SC1" i="9"/>
  <c r="SB1" i="9"/>
  <c r="SA1" i="9"/>
  <c r="RZ1" i="9"/>
  <c r="RY1" i="9"/>
  <c r="RX1" i="9"/>
  <c r="RW1" i="9"/>
  <c r="RV1" i="9"/>
  <c r="RU1" i="9"/>
  <c r="RT1" i="9"/>
  <c r="RS1" i="9"/>
  <c r="RR1" i="9"/>
  <c r="RQ1" i="9"/>
  <c r="RP1" i="9"/>
  <c r="RO1" i="9"/>
  <c r="RN1" i="9"/>
  <c r="RM1" i="9"/>
  <c r="RL1" i="9"/>
  <c r="RK1" i="9"/>
  <c r="RJ1" i="9"/>
  <c r="RI1" i="9"/>
  <c r="RH1" i="9"/>
  <c r="RG1" i="9"/>
  <c r="RF1" i="9"/>
  <c r="RE1" i="9"/>
  <c r="RD1" i="9"/>
  <c r="RC1" i="9"/>
  <c r="RB1" i="9"/>
  <c r="RA1" i="9"/>
  <c r="QZ1" i="9"/>
  <c r="QY1" i="9"/>
  <c r="QX1" i="9"/>
  <c r="QW1" i="9"/>
  <c r="QV1" i="9"/>
  <c r="QU1" i="9"/>
  <c r="QT1" i="9"/>
  <c r="QS1" i="9"/>
  <c r="QR1" i="9"/>
  <c r="QQ1" i="9"/>
  <c r="QP1" i="9"/>
  <c r="QO1" i="9"/>
  <c r="QN1" i="9"/>
  <c r="QM1" i="9"/>
  <c r="QL1" i="9"/>
  <c r="QK1" i="9"/>
  <c r="QJ1" i="9"/>
  <c r="QI1" i="9"/>
  <c r="QH1" i="9"/>
  <c r="QG1" i="9"/>
  <c r="QF1" i="9"/>
  <c r="QE1" i="9"/>
  <c r="QD1" i="9"/>
  <c r="QC1" i="9"/>
  <c r="QB1" i="9"/>
  <c r="QA1" i="9"/>
  <c r="PZ1" i="9"/>
  <c r="PY1" i="9"/>
  <c r="PX1" i="9"/>
  <c r="PW1" i="9"/>
  <c r="PV1" i="9"/>
  <c r="PU1" i="9"/>
  <c r="PT1" i="9"/>
  <c r="PS1" i="9"/>
  <c r="PR1" i="9"/>
  <c r="PQ1" i="9"/>
  <c r="PP1" i="9"/>
  <c r="PO1" i="9"/>
  <c r="PN1" i="9"/>
  <c r="PM1" i="9"/>
  <c r="PL1" i="9"/>
  <c r="PK1" i="9"/>
  <c r="PJ1" i="9"/>
  <c r="PI1" i="9"/>
  <c r="PH1" i="9"/>
  <c r="PG1" i="9"/>
  <c r="PF1" i="9"/>
  <c r="PE1" i="9"/>
  <c r="PD1" i="9"/>
  <c r="PC1" i="9"/>
  <c r="PB1" i="9"/>
  <c r="PA1" i="9"/>
  <c r="OZ1" i="9"/>
  <c r="OY1" i="9"/>
  <c r="OX1" i="9"/>
  <c r="OW1" i="9"/>
  <c r="OV1" i="9"/>
  <c r="OU1" i="9"/>
  <c r="OT1" i="9"/>
  <c r="OS1" i="9"/>
  <c r="OR1" i="9"/>
  <c r="OQ1" i="9"/>
  <c r="OP1" i="9"/>
  <c r="OO1" i="9"/>
  <c r="ON1" i="9"/>
  <c r="OM1" i="9"/>
  <c r="OL1" i="9"/>
  <c r="OK1" i="9"/>
  <c r="OJ1" i="9"/>
  <c r="OI1" i="9"/>
  <c r="OH1" i="9"/>
  <c r="OG1" i="9"/>
  <c r="OF1" i="9"/>
  <c r="OE1" i="9"/>
  <c r="OD1" i="9"/>
  <c r="OC1" i="9"/>
  <c r="OB1" i="9"/>
  <c r="OA1" i="9"/>
  <c r="NZ1" i="9"/>
  <c r="NY1" i="9"/>
  <c r="NX1" i="9"/>
  <c r="NW1" i="9"/>
  <c r="NV1" i="9"/>
  <c r="NU1" i="9"/>
  <c r="NT1" i="9"/>
  <c r="NS1" i="9"/>
  <c r="NR1" i="9"/>
  <c r="NQ1" i="9"/>
  <c r="NP1" i="9"/>
  <c r="NO1" i="9"/>
  <c r="NN1" i="9"/>
  <c r="NM1" i="9"/>
  <c r="NL1" i="9"/>
  <c r="NK1" i="9"/>
  <c r="NJ1" i="9"/>
  <c r="NI1" i="9"/>
  <c r="NH1" i="9"/>
  <c r="NG1" i="9"/>
  <c r="NF1" i="9"/>
  <c r="NE1" i="9"/>
  <c r="ND1" i="9"/>
  <c r="NC1" i="9"/>
  <c r="NB1" i="9"/>
  <c r="NA1" i="9"/>
  <c r="MZ1" i="9"/>
  <c r="MY1" i="9"/>
  <c r="MX1" i="9"/>
  <c r="MW1" i="9"/>
  <c r="MV1" i="9"/>
  <c r="MU1" i="9"/>
  <c r="MT1" i="9"/>
  <c r="MS1" i="9"/>
  <c r="MR1" i="9"/>
  <c r="MQ1" i="9"/>
  <c r="MP1" i="9"/>
  <c r="MO1" i="9"/>
  <c r="MN1" i="9"/>
  <c r="MM1" i="9"/>
  <c r="ML1" i="9"/>
  <c r="MK1" i="9"/>
  <c r="MJ1" i="9"/>
  <c r="MI1" i="9"/>
  <c r="MH1" i="9"/>
  <c r="MG1" i="9"/>
  <c r="MF1" i="9"/>
  <c r="ME1" i="9"/>
  <c r="MD1" i="9"/>
  <c r="MC1" i="9"/>
  <c r="MB1" i="9"/>
  <c r="MA1" i="9"/>
  <c r="LZ1" i="9"/>
  <c r="LY1" i="9"/>
  <c r="LX1" i="9"/>
  <c r="LW1" i="9"/>
  <c r="LV1" i="9"/>
  <c r="LU1" i="9"/>
  <c r="LT1" i="9"/>
  <c r="LS1" i="9"/>
  <c r="LR1" i="9"/>
  <c r="LQ1" i="9"/>
  <c r="LP1" i="9"/>
  <c r="LO1" i="9"/>
  <c r="LN1" i="9"/>
  <c r="LM1" i="9"/>
  <c r="LL1" i="9"/>
  <c r="LK1" i="9"/>
  <c r="LJ1" i="9"/>
  <c r="LI1" i="9"/>
  <c r="LH1" i="9"/>
  <c r="LG1" i="9"/>
  <c r="LF1" i="9"/>
  <c r="LE1" i="9"/>
  <c r="LD1" i="9"/>
  <c r="LC1" i="9"/>
  <c r="LB1" i="9"/>
  <c r="LA1" i="9"/>
  <c r="KZ1" i="9"/>
  <c r="KY1" i="9"/>
  <c r="KX1" i="9"/>
  <c r="KW1" i="9"/>
  <c r="KV1" i="9"/>
  <c r="KU1" i="9"/>
  <c r="KT1" i="9"/>
  <c r="KS1" i="9"/>
  <c r="KR1" i="9"/>
  <c r="KQ1" i="9"/>
  <c r="KP1" i="9"/>
  <c r="KO1" i="9"/>
  <c r="KN1" i="9"/>
  <c r="KM1" i="9"/>
  <c r="KL1" i="9"/>
  <c r="KK1" i="9"/>
  <c r="KJ1" i="9"/>
  <c r="KI1" i="9"/>
  <c r="KH1" i="9"/>
  <c r="KG1" i="9"/>
  <c r="KF1" i="9"/>
  <c r="KE1" i="9"/>
  <c r="KD1" i="9"/>
  <c r="KC1" i="9"/>
  <c r="KB1" i="9"/>
  <c r="KA1" i="9"/>
  <c r="JZ1" i="9"/>
  <c r="JY1" i="9"/>
  <c r="JX1" i="9"/>
  <c r="JW1" i="9"/>
  <c r="JV1" i="9"/>
  <c r="JU1" i="9"/>
  <c r="JT1" i="9"/>
  <c r="JS1" i="9"/>
  <c r="JR1" i="9"/>
  <c r="JQ1" i="9"/>
  <c r="JP1" i="9"/>
  <c r="JO1" i="9"/>
  <c r="JN1" i="9"/>
  <c r="JM1" i="9"/>
  <c r="JL1" i="9"/>
  <c r="JK1" i="9"/>
  <c r="JJ1" i="9"/>
  <c r="JI1" i="9"/>
  <c r="JH1" i="9"/>
  <c r="JG1" i="9"/>
  <c r="JF1" i="9"/>
  <c r="JE1" i="9"/>
  <c r="JD1" i="9"/>
  <c r="JC1" i="9"/>
  <c r="JB1" i="9"/>
  <c r="JA1" i="9"/>
  <c r="IZ1" i="9"/>
  <c r="IY1" i="9"/>
  <c r="IX1" i="9"/>
  <c r="IW1" i="9"/>
  <c r="IV1" i="9"/>
  <c r="IU1" i="9"/>
  <c r="IT1" i="9"/>
  <c r="IS1" i="9"/>
  <c r="IR1" i="9"/>
  <c r="IQ1" i="9"/>
  <c r="IP1" i="9"/>
  <c r="IO1" i="9"/>
  <c r="IN1" i="9"/>
  <c r="IM1" i="9"/>
  <c r="IL1" i="9"/>
  <c r="IK1" i="9"/>
  <c r="IJ1" i="9"/>
  <c r="II1" i="9"/>
  <c r="IH1" i="9"/>
  <c r="IG1" i="9"/>
  <c r="IF1" i="9"/>
  <c r="IE1" i="9"/>
  <c r="ID1" i="9"/>
  <c r="IC1" i="9"/>
  <c r="IB1" i="9"/>
  <c r="IA1" i="9"/>
  <c r="HZ1" i="9"/>
  <c r="HY1" i="9"/>
  <c r="HX1" i="9"/>
  <c r="HW1" i="9"/>
  <c r="HV1" i="9"/>
  <c r="HU1" i="9"/>
  <c r="HT1" i="9"/>
  <c r="HS1" i="9"/>
  <c r="HR1" i="9"/>
  <c r="HQ1" i="9"/>
  <c r="HP1" i="9"/>
  <c r="HO1" i="9"/>
  <c r="HN1" i="9"/>
  <c r="HM1" i="9"/>
  <c r="HL1" i="9"/>
  <c r="HK1" i="9"/>
  <c r="HJ1" i="9"/>
  <c r="HI1" i="9"/>
  <c r="HH1" i="9"/>
  <c r="HG1" i="9"/>
  <c r="HF1" i="9"/>
  <c r="HE1" i="9"/>
  <c r="HD1" i="9"/>
  <c r="HC1" i="9"/>
  <c r="HB1" i="9"/>
  <c r="HA1" i="9"/>
  <c r="GZ1" i="9"/>
  <c r="GY1" i="9"/>
  <c r="GX1" i="9"/>
  <c r="GW1" i="9"/>
  <c r="GV1" i="9"/>
  <c r="GU1" i="9"/>
  <c r="GT1" i="9"/>
  <c r="GS1" i="9"/>
  <c r="GR1" i="9"/>
  <c r="GQ1" i="9"/>
  <c r="GP1" i="9"/>
  <c r="GO1" i="9"/>
  <c r="GN1" i="9"/>
  <c r="GM1" i="9"/>
  <c r="GL1" i="9"/>
  <c r="GK1" i="9"/>
  <c r="GJ1" i="9"/>
  <c r="GI1" i="9"/>
  <c r="GH1" i="9"/>
  <c r="GG1" i="9"/>
  <c r="GF1" i="9"/>
  <c r="GE1" i="9"/>
  <c r="GD1" i="9"/>
  <c r="GC1" i="9"/>
  <c r="GB1" i="9"/>
  <c r="GA1" i="9"/>
  <c r="FZ1" i="9"/>
  <c r="FY1" i="9"/>
  <c r="FX1" i="9"/>
  <c r="FW1" i="9"/>
  <c r="FV1" i="9"/>
  <c r="FU1" i="9"/>
  <c r="FT1" i="9"/>
  <c r="FS1" i="9"/>
  <c r="FR1" i="9"/>
  <c r="FQ1" i="9"/>
  <c r="FP1" i="9"/>
  <c r="FO1" i="9"/>
  <c r="FN1" i="9"/>
  <c r="FM1" i="9"/>
  <c r="FL1" i="9"/>
  <c r="FK1" i="9"/>
  <c r="FJ1" i="9"/>
  <c r="FI1" i="9"/>
  <c r="FH1" i="9"/>
  <c r="FG1" i="9"/>
  <c r="FF1" i="9"/>
  <c r="FE1" i="9"/>
  <c r="FD1" i="9"/>
  <c r="FC1" i="9"/>
  <c r="FB1" i="9"/>
  <c r="FA1" i="9"/>
  <c r="EZ1" i="9"/>
  <c r="EY1" i="9"/>
  <c r="EX1" i="9"/>
  <c r="EW1" i="9"/>
  <c r="EV1" i="9"/>
  <c r="EU1" i="9"/>
  <c r="ET1" i="9"/>
  <c r="ES1" i="9"/>
  <c r="ER1" i="9"/>
  <c r="EQ1" i="9"/>
  <c r="EP1" i="9"/>
  <c r="EO1" i="9"/>
  <c r="EN1" i="9"/>
  <c r="EM1" i="9"/>
  <c r="EL1" i="9"/>
  <c r="EK1" i="9"/>
  <c r="EJ1" i="9"/>
  <c r="EI1" i="9"/>
  <c r="EH1" i="9"/>
  <c r="EG1" i="9"/>
  <c r="EF1" i="9"/>
  <c r="EE1" i="9"/>
  <c r="ED1" i="9"/>
  <c r="EC1" i="9"/>
  <c r="EB1" i="9"/>
  <c r="EA1" i="9"/>
  <c r="DZ1" i="9"/>
  <c r="DY1" i="9"/>
  <c r="DX1" i="9"/>
  <c r="DW1" i="9"/>
  <c r="DV1" i="9"/>
  <c r="DU1" i="9"/>
  <c r="DT1" i="9"/>
  <c r="DS1" i="9"/>
  <c r="DR1" i="9"/>
  <c r="DQ1" i="9"/>
  <c r="DP1" i="9"/>
  <c r="DO1" i="9"/>
  <c r="DN1" i="9"/>
  <c r="DM1" i="9"/>
  <c r="DL1" i="9"/>
  <c r="DK1" i="9"/>
  <c r="DJ1" i="9"/>
  <c r="DI1" i="9"/>
  <c r="DH1" i="9"/>
  <c r="DG1" i="9"/>
  <c r="DF1" i="9"/>
  <c r="DE1" i="9"/>
  <c r="DD1" i="9"/>
  <c r="DC1" i="9"/>
  <c r="DB1" i="9"/>
  <c r="DA1" i="9"/>
  <c r="CZ1" i="9"/>
  <c r="CY1" i="9"/>
  <c r="CX1" i="9"/>
  <c r="CW1" i="9"/>
  <c r="CV1" i="9"/>
  <c r="CU1" i="9"/>
  <c r="CT1" i="9"/>
  <c r="CS1" i="9"/>
  <c r="CR1" i="9"/>
  <c r="CQ1" i="9"/>
  <c r="CP1" i="9"/>
  <c r="CO1" i="9"/>
  <c r="CN1" i="9"/>
  <c r="CM1" i="9"/>
  <c r="CL1" i="9"/>
  <c r="CK1" i="9"/>
  <c r="CJ1" i="9"/>
  <c r="CI1" i="9"/>
  <c r="CH1" i="9"/>
  <c r="CG1" i="9"/>
  <c r="CF1" i="9"/>
  <c r="CE1" i="9"/>
  <c r="CD1" i="9"/>
  <c r="CC1" i="9"/>
  <c r="CB1" i="9"/>
  <c r="CA1" i="9"/>
  <c r="BZ1" i="9"/>
  <c r="BY1" i="9"/>
  <c r="BX1" i="9"/>
  <c r="BW1" i="9"/>
  <c r="BV1" i="9"/>
  <c r="BU1" i="9"/>
  <c r="BT1" i="9"/>
  <c r="BS1" i="9"/>
  <c r="BR1" i="9"/>
  <c r="BQ1" i="9"/>
  <c r="BP1" i="9"/>
  <c r="BO1" i="9"/>
  <c r="BN1" i="9"/>
  <c r="BM1" i="9"/>
  <c r="BL1" i="9"/>
  <c r="BK1" i="9"/>
  <c r="BJ1" i="9"/>
  <c r="BI1" i="9"/>
  <c r="BH1" i="9"/>
  <c r="BG1" i="9"/>
  <c r="BF1" i="9"/>
  <c r="BE1" i="9"/>
  <c r="BD1" i="9"/>
  <c r="BC1" i="9"/>
  <c r="BB1" i="9"/>
  <c r="BA1" i="9"/>
  <c r="AZ1" i="9"/>
  <c r="AY1" i="9"/>
  <c r="AX1" i="9"/>
  <c r="AW1" i="9"/>
  <c r="AV1" i="9"/>
  <c r="AU1" i="9"/>
  <c r="AT1" i="9"/>
  <c r="AS1" i="9"/>
  <c r="AR1" i="9"/>
  <c r="AQ1" i="9"/>
  <c r="AP1" i="9"/>
  <c r="AO1" i="9"/>
  <c r="AN1" i="9"/>
  <c r="AM1" i="9"/>
  <c r="AL1" i="9"/>
  <c r="AK1" i="9"/>
  <c r="AJ1" i="9"/>
  <c r="AI1" i="9"/>
  <c r="AH1" i="9"/>
  <c r="AG1" i="9"/>
  <c r="AF1" i="9"/>
  <c r="AE1" i="9"/>
  <c r="AD1" i="9"/>
  <c r="AC1" i="9"/>
  <c r="AB1" i="9"/>
  <c r="AA1" i="9"/>
  <c r="Z1" i="9"/>
  <c r="Y1" i="9"/>
  <c r="X1" i="9"/>
  <c r="W1" i="9"/>
  <c r="V1" i="9"/>
  <c r="U1" i="9"/>
  <c r="T1" i="9"/>
  <c r="S1" i="9"/>
  <c r="R1" i="9"/>
  <c r="Q1" i="9"/>
  <c r="P1" i="9"/>
  <c r="O1" i="9"/>
  <c r="N1" i="9"/>
  <c r="M1" i="9"/>
  <c r="L1" i="9"/>
  <c r="K1" i="9"/>
  <c r="J1" i="9"/>
  <c r="I1" i="9"/>
  <c r="H1" i="9"/>
  <c r="G1" i="9"/>
  <c r="F1" i="9"/>
  <c r="E1" i="9"/>
  <c r="J78" i="15" l="1"/>
  <c r="J79" i="15" s="1"/>
  <c r="J81" i="15"/>
  <c r="J8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Samantha Carter</author>
  </authors>
  <commentList>
    <comment ref="L9" authorId="0" shapeId="0" xr:uid="{00000000-0006-0000-0200-000001000000}">
      <text>
        <r>
          <rPr>
            <b/>
            <sz val="9"/>
            <color indexed="81"/>
            <rFont val="Tahoma"/>
            <family val="2"/>
          </rPr>
          <t>Samantha Carter:</t>
        </r>
        <r>
          <rPr>
            <sz val="9"/>
            <color indexed="81"/>
            <rFont val="Tahoma"/>
            <family val="2"/>
          </rPr>
          <t xml:space="preserve">
Part 2 (Targeting Costs)</t>
        </r>
      </text>
    </comment>
    <comment ref="B10" authorId="0" shapeId="0" xr:uid="{00000000-0006-0000-0200-000002000000}">
      <text>
        <r>
          <rPr>
            <b/>
            <sz val="10"/>
            <color rgb="FF000000"/>
            <rFont val="Tahoma"/>
            <family val="2"/>
          </rPr>
          <t>Samantha Carter:</t>
        </r>
        <r>
          <rPr>
            <sz val="10"/>
            <color rgb="FF000000"/>
            <rFont val="Tahoma"/>
            <family val="2"/>
          </rPr>
          <t xml:space="preserve">
</t>
        </r>
        <r>
          <rPr>
            <sz val="10"/>
            <color rgb="FF000000"/>
            <rFont val="Tahoma"/>
            <family val="2"/>
          </rPr>
          <t>Source: Conversation with Harini, 6/11/19</t>
        </r>
      </text>
    </comment>
    <comment ref="B16" authorId="0" shapeId="0" xr:uid="{00000000-0006-0000-0200-000003000000}">
      <text>
        <r>
          <rPr>
            <b/>
            <sz val="10"/>
            <color rgb="FF000000"/>
            <rFont val="Tahoma"/>
            <family val="2"/>
          </rPr>
          <t>Samantha Carter:</t>
        </r>
        <r>
          <rPr>
            <sz val="10"/>
            <color rgb="FF000000"/>
            <rFont val="Tahoma"/>
            <family val="2"/>
          </rPr>
          <t xml:space="preserve">
</t>
        </r>
        <r>
          <rPr>
            <sz val="10"/>
            <color rgb="FF000000"/>
            <rFont val="Tahoma"/>
            <family val="2"/>
          </rPr>
          <t>Source: World Bank Official Exchange Rate (LCU per US $)</t>
        </r>
      </text>
    </comment>
    <comment ref="B17" authorId="0" shapeId="0" xr:uid="{00000000-0006-0000-0200-000004000000}">
      <text>
        <r>
          <rPr>
            <b/>
            <sz val="10"/>
            <color rgb="FF000000"/>
            <rFont val="Tahoma"/>
            <family val="2"/>
          </rPr>
          <t>Samantha Carter:</t>
        </r>
        <r>
          <rPr>
            <sz val="10"/>
            <color rgb="FF000000"/>
            <rFont val="Tahoma"/>
            <family val="2"/>
          </rPr>
          <t xml:space="preserve">
</t>
        </r>
        <r>
          <rPr>
            <sz val="10"/>
            <color rgb="FF000000"/>
            <rFont val="Tahoma"/>
            <family val="2"/>
          </rPr>
          <t>Source: World Bank Official Exchange Rate (LCU per US $)</t>
        </r>
      </text>
    </comment>
    <comment ref="B18" authorId="0" shapeId="0" xr:uid="{00000000-0006-0000-0200-000005000000}">
      <text>
        <r>
          <rPr>
            <b/>
            <sz val="10"/>
            <color rgb="FF000000"/>
            <rFont val="Tahoma"/>
            <family val="2"/>
          </rPr>
          <t>Samantha Carter:</t>
        </r>
        <r>
          <rPr>
            <sz val="10"/>
            <color rgb="FF000000"/>
            <rFont val="Tahoma"/>
            <family val="2"/>
          </rPr>
          <t xml:space="preserve">
</t>
        </r>
        <r>
          <rPr>
            <sz val="10"/>
            <color rgb="FF000000"/>
            <rFont val="Calibri"/>
            <family val="2"/>
            <scheme val="minor"/>
          </rPr>
          <t xml:space="preserve">Source: OECD Data Exchange Rates
</t>
        </r>
        <r>
          <rPr>
            <sz val="10"/>
            <color rgb="FF000000"/>
            <rFont val="Calibri"/>
            <family val="2"/>
            <scheme val="minor"/>
          </rPr>
          <t xml:space="preserve">https://data.oecd.org/conversion/exchange-rates.htm </t>
        </r>
      </text>
    </comment>
    <comment ref="G19" authorId="0" shapeId="0" xr:uid="{00000000-0006-0000-0200-000006000000}">
      <text>
        <r>
          <rPr>
            <b/>
            <sz val="9"/>
            <color rgb="FF000000"/>
            <rFont val="Tahoma"/>
            <family val="2"/>
          </rPr>
          <t>Samantha Carter:</t>
        </r>
        <r>
          <rPr>
            <sz val="9"/>
            <color rgb="FF000000"/>
            <rFont val="Tahoma"/>
            <family val="2"/>
          </rPr>
          <t xml:space="preserve">
</t>
        </r>
        <r>
          <rPr>
            <sz val="9"/>
            <color rgb="FF000000"/>
            <rFont val="Tahoma"/>
            <family val="2"/>
          </rPr>
          <t>21 monitors + 3 PAs</t>
        </r>
      </text>
    </comment>
    <comment ref="F20" authorId="0" shapeId="0" xr:uid="{00000000-0006-0000-0200-000007000000}">
      <text>
        <r>
          <rPr>
            <b/>
            <sz val="9"/>
            <color rgb="FF000000"/>
            <rFont val="Tahoma"/>
            <family val="2"/>
          </rPr>
          <t>Samantha Carter:</t>
        </r>
        <r>
          <rPr>
            <sz val="9"/>
            <color rgb="FF000000"/>
            <rFont val="Tahoma"/>
            <family val="2"/>
          </rPr>
          <t xml:space="preserve">
</t>
        </r>
        <r>
          <rPr>
            <sz val="9"/>
            <color rgb="FF000000"/>
            <rFont val="Tahoma"/>
            <family val="2"/>
          </rPr>
          <t>Includes materials, pen drives, and certificates.</t>
        </r>
      </text>
    </comment>
    <comment ref="T20" authorId="0" shapeId="0" xr:uid="{00000000-0006-0000-0200-000008000000}">
      <text>
        <r>
          <rPr>
            <b/>
            <sz val="9"/>
            <color indexed="81"/>
            <rFont val="Tahoma"/>
            <family val="2"/>
          </rPr>
          <t>Samantha Carter:</t>
        </r>
        <r>
          <rPr>
            <sz val="9"/>
            <color indexed="81"/>
            <rFont val="Tahoma"/>
            <family val="2"/>
          </rPr>
          <t xml:space="preserve">
Includes Penta 1, 2, and 3</t>
        </r>
      </text>
    </comment>
    <comment ref="B21" authorId="0" shapeId="0" xr:uid="{00000000-0006-0000-0200-000009000000}">
      <text>
        <r>
          <rPr>
            <b/>
            <sz val="10"/>
            <color rgb="FF000000"/>
            <rFont val="Tahoma"/>
            <family val="2"/>
          </rPr>
          <t>Samantha Carter:</t>
        </r>
        <r>
          <rPr>
            <sz val="10"/>
            <color rgb="FF000000"/>
            <rFont val="Tahoma"/>
            <family val="2"/>
          </rPr>
          <t xml:space="preserve">
</t>
        </r>
        <r>
          <rPr>
            <sz val="10"/>
            <color rgb="FF000000"/>
            <rFont val="Tahoma"/>
            <family val="2"/>
          </rPr>
          <t xml:space="preserve">Source: US Bureau of Labor Statistics
</t>
        </r>
        <r>
          <rPr>
            <sz val="10"/>
            <color rgb="FF000000"/>
            <rFont val="Calibri"/>
            <family val="2"/>
          </rPr>
          <t>https://data.bls.gov/pdq/SurveyOutputServlet</t>
        </r>
      </text>
    </comment>
    <comment ref="B22" authorId="0" shapeId="0" xr:uid="{00000000-0006-0000-0200-00000A000000}">
      <text>
        <r>
          <rPr>
            <b/>
            <sz val="10"/>
            <color rgb="FF000000"/>
            <rFont val="Tahoma"/>
            <family val="2"/>
          </rPr>
          <t>Samantha Carter:</t>
        </r>
        <r>
          <rPr>
            <sz val="10"/>
            <color rgb="FF000000"/>
            <rFont val="Tahoma"/>
            <family val="2"/>
          </rPr>
          <t xml:space="preserve">
</t>
        </r>
        <r>
          <rPr>
            <sz val="10"/>
            <color rgb="FF000000"/>
            <rFont val="Tahoma"/>
            <family val="2"/>
          </rPr>
          <t xml:space="preserve">Source: US Bureau of Labor Statistics
</t>
        </r>
        <r>
          <rPr>
            <sz val="10"/>
            <color rgb="FF000000"/>
            <rFont val="Calibri"/>
            <family val="2"/>
          </rPr>
          <t>https://data.bls.gov/pdq/SurveyOutputServlet</t>
        </r>
      </text>
    </comment>
    <comment ref="L22" authorId="0" shapeId="0" xr:uid="{00000000-0006-0000-0200-00000B000000}">
      <text>
        <r>
          <rPr>
            <b/>
            <sz val="9"/>
            <color indexed="81"/>
            <rFont val="Tahoma"/>
            <family val="2"/>
          </rPr>
          <t>Samantha Carter:</t>
        </r>
        <r>
          <rPr>
            <sz val="9"/>
            <color indexed="81"/>
            <rFont val="Tahoma"/>
            <family val="2"/>
          </rPr>
          <t xml:space="preserve">
Include flip covers and protective glass here.</t>
        </r>
      </text>
    </comment>
    <comment ref="A25" authorId="0" shapeId="0" xr:uid="{00000000-0006-0000-0200-00000C000000}">
      <text>
        <r>
          <rPr>
            <b/>
            <sz val="9"/>
            <color rgb="FF000000"/>
            <rFont val="Tahoma"/>
            <family val="2"/>
          </rPr>
          <t>Samantha Carter:</t>
        </r>
        <r>
          <rPr>
            <sz val="9"/>
            <color rgb="FF000000"/>
            <rFont val="Tahoma"/>
            <family val="2"/>
          </rPr>
          <t xml:space="preserve">
</t>
        </r>
        <r>
          <rPr>
            <sz val="9"/>
            <color rgb="FF000000"/>
            <rFont val="Tahoma"/>
            <family val="2"/>
          </rPr>
          <t>Includes cost of rental, bills, and furniture costs.</t>
        </r>
      </text>
    </comment>
    <comment ref="A26" authorId="0" shapeId="0" xr:uid="{00000000-0006-0000-0200-00000D000000}">
      <text>
        <r>
          <rPr>
            <b/>
            <sz val="9"/>
            <color rgb="FF000000"/>
            <rFont val="Tahoma"/>
            <family val="2"/>
          </rPr>
          <t>Samantha Carter:</t>
        </r>
        <r>
          <rPr>
            <sz val="9"/>
            <color rgb="FF000000"/>
            <rFont val="Tahoma"/>
            <family val="2"/>
          </rPr>
          <t xml:space="preserve">
</t>
        </r>
        <r>
          <rPr>
            <sz val="9"/>
            <color rgb="FF000000"/>
            <rFont val="Tahoma"/>
            <family val="2"/>
          </rPr>
          <t>Include salaries and finges for staff used to administer the program.</t>
        </r>
      </text>
    </comment>
    <comment ref="A27" authorId="0" shapeId="0" xr:uid="{00000000-0006-0000-0200-00000E000000}">
      <text>
        <r>
          <rPr>
            <b/>
            <sz val="9"/>
            <color indexed="81"/>
            <rFont val="Tahoma"/>
            <family val="2"/>
          </rPr>
          <t>Samantha Carter:</t>
        </r>
        <r>
          <rPr>
            <sz val="9"/>
            <color indexed="81"/>
            <rFont val="Tahoma"/>
            <family val="2"/>
          </rPr>
          <t xml:space="preserve">
In Part 5C (Implementation Costs - Labor)</t>
        </r>
      </text>
    </comment>
    <comment ref="F29" authorId="0" shapeId="0" xr:uid="{00000000-0006-0000-0200-00000F000000}">
      <text>
        <r>
          <rPr>
            <b/>
            <sz val="9"/>
            <color indexed="81"/>
            <rFont val="Tahoma"/>
            <family val="2"/>
          </rPr>
          <t>Samantha Carter:</t>
        </r>
        <r>
          <rPr>
            <sz val="9"/>
            <color indexed="81"/>
            <rFont val="Tahoma"/>
            <family val="2"/>
          </rPr>
          <t xml:space="preserve">
Cost above cover both Master Trainings. DO NOT DUPLICATE.</t>
        </r>
      </text>
    </comment>
    <comment ref="F36" authorId="0" shapeId="0" xr:uid="{00000000-0006-0000-0200-000010000000}">
      <text>
        <r>
          <rPr>
            <b/>
            <sz val="9"/>
            <color indexed="81"/>
            <rFont val="Tahoma"/>
            <family val="2"/>
          </rPr>
          <t>Samantha Carter:</t>
        </r>
        <r>
          <rPr>
            <sz val="9"/>
            <color indexed="81"/>
            <rFont val="Tahoma"/>
            <family val="2"/>
          </rPr>
          <t xml:space="preserve">
Includes car, lodging, bike, and materials portage.</t>
        </r>
      </text>
    </comment>
    <comment ref="F38" authorId="0" shapeId="0" xr:uid="{00000000-0006-0000-0200-000011000000}">
      <text>
        <r>
          <rPr>
            <b/>
            <sz val="9"/>
            <color rgb="FF000000"/>
            <rFont val="Tahoma"/>
            <family val="2"/>
          </rPr>
          <t>Samantha Carter:</t>
        </r>
        <r>
          <rPr>
            <sz val="9"/>
            <color rgb="FF000000"/>
            <rFont val="Tahoma"/>
            <family val="2"/>
          </rPr>
          <t xml:space="preserve">
</t>
        </r>
        <r>
          <rPr>
            <sz val="9"/>
            <color rgb="FF000000"/>
            <rFont val="Tahoma"/>
            <family val="2"/>
          </rPr>
          <t>Costs above include all 45 trainings. DO NOT MULTIPLY.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Samantha Carter</author>
  </authors>
  <commentList>
    <comment ref="L9" authorId="0" shapeId="0" xr:uid="{00000000-0006-0000-0300-000001000000}">
      <text>
        <r>
          <rPr>
            <b/>
            <sz val="9"/>
            <color rgb="FF000000"/>
            <rFont val="Tahoma"/>
            <family val="2"/>
          </rPr>
          <t>Samantha Carter:</t>
        </r>
        <r>
          <rPr>
            <sz val="9"/>
            <color rgb="FF000000"/>
            <rFont val="Tahoma"/>
            <family val="2"/>
          </rPr>
          <t xml:space="preserve">
</t>
        </r>
        <r>
          <rPr>
            <sz val="9"/>
            <color rgb="FF000000"/>
            <rFont val="Tahoma"/>
            <family val="2"/>
          </rPr>
          <t>Part 2 (Targeting Costs)</t>
        </r>
      </text>
    </comment>
    <comment ref="G19" authorId="0" shapeId="0" xr:uid="{00000000-0006-0000-0300-000002000000}">
      <text>
        <r>
          <rPr>
            <b/>
            <sz val="9"/>
            <color rgb="FF000000"/>
            <rFont val="Tahoma"/>
            <family val="2"/>
          </rPr>
          <t>Samantha Carter:</t>
        </r>
        <r>
          <rPr>
            <sz val="9"/>
            <color rgb="FF000000"/>
            <rFont val="Tahoma"/>
            <family val="2"/>
          </rPr>
          <t xml:space="preserve">
</t>
        </r>
        <r>
          <rPr>
            <sz val="9"/>
            <color rgb="FF000000"/>
            <rFont val="Tahoma"/>
            <family val="2"/>
          </rPr>
          <t>21 monitors + 3 PAs</t>
        </r>
      </text>
    </comment>
    <comment ref="F20" authorId="0" shapeId="0" xr:uid="{00000000-0006-0000-0300-000003000000}">
      <text>
        <r>
          <rPr>
            <b/>
            <sz val="9"/>
            <color rgb="FF000000"/>
            <rFont val="Tahoma"/>
            <family val="2"/>
          </rPr>
          <t>Samantha Carter:</t>
        </r>
        <r>
          <rPr>
            <sz val="9"/>
            <color rgb="FF000000"/>
            <rFont val="Tahoma"/>
            <family val="2"/>
          </rPr>
          <t xml:space="preserve">
</t>
        </r>
        <r>
          <rPr>
            <sz val="9"/>
            <color rgb="FF000000"/>
            <rFont val="Tahoma"/>
            <family val="2"/>
          </rPr>
          <t>Includes materials, pen drives, and certificates.</t>
        </r>
      </text>
    </comment>
    <comment ref="T20" authorId="0" shapeId="0" xr:uid="{00000000-0006-0000-0300-000004000000}">
      <text>
        <r>
          <rPr>
            <b/>
            <sz val="9"/>
            <color rgb="FF000000"/>
            <rFont val="Tahoma"/>
            <family val="2"/>
          </rPr>
          <t>Samantha Carter:</t>
        </r>
        <r>
          <rPr>
            <sz val="9"/>
            <color rgb="FF000000"/>
            <rFont val="Tahoma"/>
            <family val="2"/>
          </rPr>
          <t xml:space="preserve">
</t>
        </r>
        <r>
          <rPr>
            <sz val="9"/>
            <color rgb="FF000000"/>
            <rFont val="Tahoma"/>
            <family val="2"/>
          </rPr>
          <t>Includes Penta 1, 2, and 3</t>
        </r>
      </text>
    </comment>
    <comment ref="L22" authorId="0" shapeId="0" xr:uid="{00000000-0006-0000-0300-000005000000}">
      <text>
        <r>
          <rPr>
            <b/>
            <sz val="9"/>
            <color rgb="FF000000"/>
            <rFont val="Tahoma"/>
            <family val="2"/>
          </rPr>
          <t>Samantha Carter:</t>
        </r>
        <r>
          <rPr>
            <sz val="9"/>
            <color rgb="FF000000"/>
            <rFont val="Tahoma"/>
            <family val="2"/>
          </rPr>
          <t xml:space="preserve">
</t>
        </r>
        <r>
          <rPr>
            <sz val="9"/>
            <color rgb="FF000000"/>
            <rFont val="Tahoma"/>
            <family val="2"/>
          </rPr>
          <t>Include flip covers and protective glass here.</t>
        </r>
      </text>
    </comment>
    <comment ref="T23" authorId="0" shapeId="0" xr:uid="{00000000-0006-0000-0300-000006000000}">
      <text>
        <r>
          <rPr>
            <b/>
            <sz val="10"/>
            <color rgb="FF000000"/>
            <rFont val="Tahoma"/>
            <family val="2"/>
          </rPr>
          <t>Samantha Carter:</t>
        </r>
        <r>
          <rPr>
            <sz val="10"/>
            <color rgb="FF000000"/>
            <rFont val="Tahoma"/>
            <family val="2"/>
          </rPr>
          <t xml:space="preserve">
</t>
        </r>
        <r>
          <rPr>
            <sz val="10"/>
            <color rgb="FF000000"/>
            <rFont val="Calibri"/>
            <family val="2"/>
          </rPr>
          <t xml:space="preserve">According to National Immunization Schedule, Penta 1/2/3 and measles delivered in 0.5 ml syringe. https://mohfw.gov.in/sites/default/files/245453521061489663873.pdf
</t>
        </r>
      </text>
    </comment>
    <comment ref="T24" authorId="0" shapeId="0" xr:uid="{00000000-0006-0000-0300-000007000000}">
      <text>
        <r>
          <rPr>
            <b/>
            <sz val="10"/>
            <color rgb="FF000000"/>
            <rFont val="Tahoma"/>
            <family val="2"/>
          </rPr>
          <t>Samantha Carter:</t>
        </r>
        <r>
          <rPr>
            <sz val="10"/>
            <color rgb="FF000000"/>
            <rFont val="Tahoma"/>
            <family val="2"/>
          </rPr>
          <t xml:space="preserve">
</t>
        </r>
        <r>
          <rPr>
            <sz val="10"/>
            <color rgb="FF000000"/>
            <rFont val="Tahoma"/>
            <family val="2"/>
          </rPr>
          <t xml:space="preserve">According to National Immunization Schedule, BCG delivered in 0.1 ml syringe. </t>
        </r>
        <r>
          <rPr>
            <sz val="10"/>
            <color rgb="FF000000"/>
            <rFont val="Calibri"/>
            <family val="2"/>
            <scheme val="minor"/>
          </rPr>
          <t>https://mohfw.gov.in/sites/default/files/245453521061489663873.pdf</t>
        </r>
      </text>
    </comment>
    <comment ref="B26" authorId="0" shapeId="0" xr:uid="{00000000-0006-0000-0300-000008000000}">
      <text>
        <r>
          <rPr>
            <b/>
            <sz val="10"/>
            <color rgb="FF000000"/>
            <rFont val="Tahoma"/>
            <family val="2"/>
          </rPr>
          <t>Samantha Carter:</t>
        </r>
        <r>
          <rPr>
            <sz val="10"/>
            <color rgb="FF000000"/>
            <rFont val="Tahoma"/>
            <family val="2"/>
          </rPr>
          <t xml:space="preserve">
</t>
        </r>
        <r>
          <rPr>
            <sz val="10"/>
            <color rgb="FF000000"/>
            <rFont val="Tahoma"/>
            <family val="2"/>
          </rPr>
          <t>3ie report</t>
        </r>
      </text>
    </comment>
    <comment ref="A29" authorId="0" shapeId="0" xr:uid="{00000000-0006-0000-0300-000009000000}">
      <text>
        <r>
          <rPr>
            <b/>
            <sz val="9"/>
            <color indexed="81"/>
            <rFont val="Tahoma"/>
            <family val="2"/>
          </rPr>
          <t>Samantha Carter:</t>
        </r>
        <r>
          <rPr>
            <sz val="9"/>
            <color indexed="81"/>
            <rFont val="Tahoma"/>
            <family val="2"/>
          </rPr>
          <t xml:space="preserve">
Include here rental, bills, and furniture costs.</t>
        </r>
      </text>
    </comment>
    <comment ref="F29" authorId="0" shapeId="0" xr:uid="{00000000-0006-0000-0300-00000A000000}">
      <text>
        <r>
          <rPr>
            <b/>
            <sz val="9"/>
            <color rgb="FF000000"/>
            <rFont val="Tahoma"/>
            <family val="2"/>
          </rPr>
          <t>Samantha Carter:</t>
        </r>
        <r>
          <rPr>
            <sz val="9"/>
            <color rgb="FF000000"/>
            <rFont val="Tahoma"/>
            <family val="2"/>
          </rPr>
          <t xml:space="preserve">
</t>
        </r>
        <r>
          <rPr>
            <sz val="9"/>
            <color rgb="FF000000"/>
            <rFont val="Tahoma"/>
            <family val="2"/>
          </rPr>
          <t>Cost above cover both Master Trainings. DO NOT DUPLICATE.</t>
        </r>
      </text>
    </comment>
    <comment ref="A30" authorId="0" shapeId="0" xr:uid="{00000000-0006-0000-0300-00000B000000}">
      <text>
        <r>
          <rPr>
            <b/>
            <sz val="9"/>
            <color indexed="81"/>
            <rFont val="Tahoma"/>
            <family val="2"/>
          </rPr>
          <t>Samantha Carter:</t>
        </r>
        <r>
          <rPr>
            <sz val="9"/>
            <color indexed="81"/>
            <rFont val="Tahoma"/>
            <family val="2"/>
          </rPr>
          <t xml:space="preserve">
Include salaries and finges for staff used to administer the program.</t>
        </r>
      </text>
    </comment>
    <comment ref="A31" authorId="0" shapeId="0" xr:uid="{00000000-0006-0000-0300-00000C000000}">
      <text>
        <r>
          <rPr>
            <b/>
            <sz val="9"/>
            <color indexed="81"/>
            <rFont val="Tahoma"/>
            <family val="2"/>
          </rPr>
          <t>Samantha Carter:</t>
        </r>
        <r>
          <rPr>
            <sz val="9"/>
            <color indexed="81"/>
            <rFont val="Tahoma"/>
            <family val="2"/>
          </rPr>
          <t xml:space="preserve">
In Part 5C (Implementation Costs - Labor)</t>
        </r>
      </text>
    </comment>
    <comment ref="F36" authorId="0" shapeId="0" xr:uid="{00000000-0006-0000-0300-00000D000000}">
      <text>
        <r>
          <rPr>
            <b/>
            <sz val="9"/>
            <color indexed="81"/>
            <rFont val="Tahoma"/>
            <family val="2"/>
          </rPr>
          <t>Samantha Carter:</t>
        </r>
        <r>
          <rPr>
            <sz val="9"/>
            <color indexed="81"/>
            <rFont val="Tahoma"/>
            <family val="2"/>
          </rPr>
          <t xml:space="preserve">
Includes car, lodging, bike, and materials portage.</t>
        </r>
      </text>
    </comment>
    <comment ref="F38" authorId="0" shapeId="0" xr:uid="{00000000-0006-0000-0300-00000E000000}">
      <text>
        <r>
          <rPr>
            <b/>
            <sz val="9"/>
            <color indexed="81"/>
            <rFont val="Tahoma"/>
            <family val="2"/>
          </rPr>
          <t>Samantha Carter:</t>
        </r>
        <r>
          <rPr>
            <sz val="9"/>
            <color indexed="81"/>
            <rFont val="Tahoma"/>
            <family val="2"/>
          </rPr>
          <t xml:space="preserve">
Costs above include all 45 trainings. DO NOT MULTIPLY.</t>
        </r>
      </text>
    </comment>
  </commentList>
</comments>
</file>

<file path=xl/sharedStrings.xml><?xml version="1.0" encoding="utf-8"?>
<sst xmlns="http://schemas.openxmlformats.org/spreadsheetml/2006/main" count="8740" uniqueCount="900">
  <si>
    <t>Discount Rate</t>
  </si>
  <si>
    <t>Year</t>
  </si>
  <si>
    <t>Inflation Rate</t>
  </si>
  <si>
    <t xml:space="preserve"> </t>
  </si>
  <si>
    <t>Study Title</t>
  </si>
  <si>
    <t>Authors</t>
  </si>
  <si>
    <t>Publication Date</t>
  </si>
  <si>
    <t>Location</t>
  </si>
  <si>
    <t>Base Year</t>
  </si>
  <si>
    <t>Demographics</t>
  </si>
  <si>
    <t>Number</t>
  </si>
  <si>
    <t>Unit</t>
  </si>
  <si>
    <t>Intervention Duration</t>
  </si>
  <si>
    <t>Unit Cost</t>
  </si>
  <si>
    <t>Units Req'd    (per year)</t>
  </si>
  <si>
    <t>Total Cost,            Yr of Analysis USD</t>
  </si>
  <si>
    <t>Total Cost/Yr,                   Yr Incurred USD</t>
  </si>
  <si>
    <t>Total Cost/Yr, Local Currency</t>
  </si>
  <si>
    <t>Total Cost/Yr, Base Year USD</t>
  </si>
  <si>
    <t>Year of Analysis</t>
  </si>
  <si>
    <t>Ingredient</t>
  </si>
  <si>
    <t>Currency (Location &amp; Yr)</t>
  </si>
  <si>
    <t>Years Required</t>
  </si>
  <si>
    <t>Rs/USD</t>
  </si>
  <si>
    <t>Outcome Measure</t>
  </si>
  <si>
    <t>I. Details of the Analysis</t>
  </si>
  <si>
    <t>Additional Years of Education Induced, per $100 Spent</t>
  </si>
  <si>
    <t>II. Cost-Effectiveness Results and Sensitivity Analyses</t>
  </si>
  <si>
    <t>Cost-Effectiveness Graph</t>
  </si>
  <si>
    <t>Program</t>
  </si>
  <si>
    <t>Cost per Year of Student Attendance gained (Standard)</t>
  </si>
  <si>
    <t>Student Attendance Years per $100 (Standard)</t>
  </si>
  <si>
    <t>Student Attendance Years per $100 (PPP)</t>
  </si>
  <si>
    <t>III. Inflation and Exchange Rates Used in Calculations</t>
  </si>
  <si>
    <t>United States</t>
  </si>
  <si>
    <t>Standard Exch. Rate</t>
  </si>
  <si>
    <t>PPP Exch.        Rate</t>
  </si>
  <si>
    <t>PPP Exch. Rate</t>
  </si>
  <si>
    <t>Country 1</t>
  </si>
  <si>
    <t>Country 2</t>
  </si>
  <si>
    <t>Country 3</t>
  </si>
  <si>
    <t>Country 4</t>
  </si>
  <si>
    <t>Country 5</t>
  </si>
  <si>
    <t>Country 6</t>
  </si>
  <si>
    <t>Country 7</t>
  </si>
  <si>
    <t>Country 8</t>
  </si>
  <si>
    <t>#</t>
  </si>
  <si>
    <t>Study Name</t>
  </si>
  <si>
    <t>Status</t>
  </si>
  <si>
    <t>Lead</t>
  </si>
  <si>
    <t>First QC</t>
  </si>
  <si>
    <t>Revision</t>
  </si>
  <si>
    <t>Second QC</t>
  </si>
  <si>
    <t>Iteration with PI</t>
  </si>
  <si>
    <t>Checked by Cornerstone</t>
  </si>
  <si>
    <t>Intervention</t>
  </si>
  <si>
    <t>PIs</t>
  </si>
  <si>
    <t>Impact (SD)</t>
  </si>
  <si>
    <t>Test Subjects (bold if significant)</t>
  </si>
  <si>
    <t>Impact source</t>
  </si>
  <si>
    <t>Country</t>
  </si>
  <si>
    <t>Region</t>
  </si>
  <si>
    <t>PI CE Estimates</t>
  </si>
  <si>
    <t>Link to Eval Summary</t>
  </si>
  <si>
    <t>Link To Paper</t>
  </si>
  <si>
    <t>Notes</t>
  </si>
  <si>
    <t>Academic Citation</t>
  </si>
  <si>
    <t>India</t>
  </si>
  <si>
    <t>Kenya</t>
  </si>
  <si>
    <t>Philippines</t>
  </si>
  <si>
    <t>Madagascar</t>
  </si>
  <si>
    <t>Afghanistan</t>
  </si>
  <si>
    <t>Colombia</t>
  </si>
  <si>
    <t>China</t>
  </si>
  <si>
    <t>Nepal</t>
  </si>
  <si>
    <t>Malawi</t>
  </si>
  <si>
    <t>Indonesia</t>
  </si>
  <si>
    <t>Burkina Faso</t>
  </si>
  <si>
    <t>Chile</t>
  </si>
  <si>
    <t>Pakistan</t>
  </si>
  <si>
    <t>Peru</t>
  </si>
  <si>
    <t>Morocco</t>
  </si>
  <si>
    <t>Nicaragua</t>
  </si>
  <si>
    <t>Sierra Leone</t>
  </si>
  <si>
    <t>South Asia</t>
  </si>
  <si>
    <t>Uganda</t>
  </si>
  <si>
    <t>USA</t>
  </si>
  <si>
    <t>France</t>
  </si>
  <si>
    <t>Mexico</t>
  </si>
  <si>
    <t>Not to be used</t>
  </si>
  <si>
    <t>Awaiting PI/RA response</t>
  </si>
  <si>
    <t>Initial calculations complete/In Progress</t>
  </si>
  <si>
    <t>Complete</t>
  </si>
  <si>
    <t>On hold</t>
  </si>
  <si>
    <t>color code:</t>
  </si>
  <si>
    <t>Indicator Name</t>
  </si>
  <si>
    <t>Indicator Code</t>
  </si>
  <si>
    <t>Country Name</t>
  </si>
  <si>
    <t>Country Code</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</si>
  <si>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</si>
  <si>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</si>
  <si>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</si>
  <si>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</si>
  <si>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</si>
  <si>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</si>
  <si>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</si>
  <si>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</si>
  <si>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</si>
  <si>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</si>
  <si>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</si>
  <si>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</si>
  <si>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</si>
  <si>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</si>
  <si>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</si>
  <si>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</si>
  <si>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</si>
  <si>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</si>
  <si>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</si>
  <si>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</si>
  <si>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</si>
  <si>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</si>
  <si>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</si>
  <si>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Inflation, GDP deflator (annual %)</t>
  </si>
  <si>
    <t>NY.GDP.DEFL.KD.ZG</t>
  </si>
  <si>
    <t>AFG</t>
  </si>
  <si>
    <t>..</t>
  </si>
  <si>
    <t>Albania</t>
  </si>
  <si>
    <t>ALB</t>
  </si>
  <si>
    <t>Algeria</t>
  </si>
  <si>
    <t>DZA</t>
  </si>
  <si>
    <t>American Samoa</t>
  </si>
  <si>
    <t>ASM</t>
  </si>
  <si>
    <t>Andorra</t>
  </si>
  <si>
    <t>ADO</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</si>
  <si>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</si>
  <si>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</si>
  <si>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</si>
  <si>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</si>
  <si>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</si>
  <si>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</si>
  <si>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</si>
  <si>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</si>
  <si>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</si>
  <si>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</si>
  <si>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</si>
  <si>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</si>
  <si>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</si>
  <si>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</si>
  <si>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</si>
  <si>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</si>
  <si>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</si>
  <si>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</si>
  <si>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</si>
  <si>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</si>
  <si>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</si>
  <si>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</si>
  <si>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</si>
  <si>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</si>
  <si>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</si>
  <si>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</si>
  <si>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</si>
  <si>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</si>
  <si>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</si>
  <si>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</si>
  <si>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</si>
  <si>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</si>
  <si>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</si>
  <si>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</si>
  <si>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</si>
  <si>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</si>
  <si>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</si>
  <si>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</si>
  <si>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</si>
  <si>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</si>
  <si>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</si>
  <si>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</si>
  <si>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</si>
  <si>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</si>
  <si>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Brunei Darussalam</t>
  </si>
  <si>
    <t>BRN</t>
  </si>
  <si>
    <t>Bulgaria</t>
  </si>
  <si>
    <t>BGR</t>
  </si>
  <si>
    <t>BFA</t>
  </si>
  <si>
    <t>Burundi</t>
  </si>
  <si>
    <t>BDI</t>
  </si>
  <si>
    <t>Cambodia</t>
  </si>
  <si>
    <t>KHM</t>
  </si>
  <si>
    <t>Cameroon</t>
  </si>
  <si>
    <t>CMR</t>
  </si>
  <si>
    <t>Canada</t>
  </si>
  <si>
    <t>CAN</t>
  </si>
  <si>
    <t>Cape Verde</t>
  </si>
  <si>
    <t>CPV</t>
  </si>
  <si>
    <t>Cayman Islands</t>
  </si>
  <si>
    <t>CYM</t>
  </si>
  <si>
    <t>Central African Republic</t>
  </si>
  <si>
    <t>CAF</t>
  </si>
  <si>
    <t>Chad</t>
  </si>
  <si>
    <t>TCD</t>
  </si>
  <si>
    <t>Channel Islands</t>
  </si>
  <si>
    <t>CHI</t>
  </si>
  <si>
    <t>CHL</t>
  </si>
  <si>
    <t>CHN</t>
  </si>
  <si>
    <t>COL</t>
  </si>
  <si>
    <t>Comoros</t>
  </si>
  <si>
    <t>COM</t>
  </si>
  <si>
    <t>Congo, Dem. Rep.</t>
  </si>
  <si>
    <t>ZAR</t>
  </si>
  <si>
    <t>Congo, Rep.</t>
  </si>
  <si>
    <t>COG</t>
  </si>
  <si>
    <t>Costa Rica</t>
  </si>
  <si>
    <t>CRI</t>
  </si>
  <si>
    <t>Cote d'Ivoire</t>
  </si>
  <si>
    <t>CIV</t>
  </si>
  <si>
    <t>Croatia</t>
  </si>
  <si>
    <t>HRV</t>
  </si>
  <si>
    <t>Cuba</t>
  </si>
  <si>
    <t>CUB</t>
  </si>
  <si>
    <t>Curacao</t>
  </si>
  <si>
    <t>CUW</t>
  </si>
  <si>
    <t>Cyprus</t>
  </si>
  <si>
    <t>CYP</t>
  </si>
  <si>
    <t>Czech Republic</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</si>
  <si>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</si>
  <si>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</si>
  <si>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</si>
  <si>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</si>
  <si>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</si>
  <si>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</si>
  <si>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</si>
  <si>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</si>
  <si>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</si>
  <si>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</si>
  <si>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</si>
  <si>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</si>
  <si>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</si>
  <si>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</si>
  <si>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</si>
  <si>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</si>
  <si>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</si>
  <si>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</si>
  <si>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</si>
  <si>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</si>
  <si>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</si>
  <si>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Ethiopia</t>
  </si>
  <si>
    <t>ETH</t>
  </si>
  <si>
    <t>Faeroe Islands</t>
  </si>
  <si>
    <t>FRO</t>
  </si>
  <si>
    <t>Fiji</t>
  </si>
  <si>
    <t>FJI</t>
  </si>
  <si>
    <t>Finland</t>
  </si>
  <si>
    <t>FIN</t>
  </si>
  <si>
    <t>FRA</t>
  </si>
  <si>
    <t>French Polynesia</t>
  </si>
  <si>
    <t>PYF</t>
  </si>
  <si>
    <t>Gabon</t>
  </si>
  <si>
    <t>GAB</t>
  </si>
  <si>
    <t>Gambia, The</t>
  </si>
  <si>
    <t>GMB</t>
  </si>
  <si>
    <t>Georgia</t>
  </si>
  <si>
    <t>GEO</t>
  </si>
  <si>
    <t>Germany</t>
  </si>
  <si>
    <t>DEU</t>
  </si>
  <si>
    <t>Ghana</t>
  </si>
  <si>
    <t>GHA</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</si>
  <si>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</si>
  <si>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</si>
  <si>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</si>
  <si>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</si>
  <si>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</si>
  <si>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</si>
  <si>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</si>
  <si>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</si>
  <si>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</si>
  <si>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</si>
  <si>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</si>
  <si>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</si>
  <si>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</si>
  <si>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</si>
  <si>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</si>
  <si>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</si>
  <si>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</si>
  <si>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</si>
  <si>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</si>
  <si>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</si>
  <si>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</si>
  <si>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</si>
  <si>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</si>
  <si>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</si>
  <si>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</si>
  <si>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</si>
  <si>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t>
  </si>
  <si>
    <t>IDN</t>
  </si>
  <si>
    <t>Iran, Islamic Rep.</t>
  </si>
  <si>
    <t>IRN</t>
  </si>
  <si>
    <t>Iraq</t>
  </si>
  <si>
    <t>IRQ</t>
  </si>
  <si>
    <t>Ireland</t>
  </si>
  <si>
    <t>IRL</t>
  </si>
  <si>
    <t>Isle of Man</t>
  </si>
  <si>
    <t>IMY</t>
  </si>
  <si>
    <t>Israel</t>
  </si>
  <si>
    <t>ISR</t>
  </si>
  <si>
    <t>Italy</t>
  </si>
  <si>
    <t>ITA</t>
  </si>
  <si>
    <t>Jamaica</t>
  </si>
  <si>
    <t>JAM</t>
  </si>
  <si>
    <t>Japan</t>
  </si>
  <si>
    <t>JPN</t>
  </si>
  <si>
    <t>Jordan</t>
  </si>
  <si>
    <t>JOR</t>
  </si>
  <si>
    <t>Kazakhstan</t>
  </si>
  <si>
    <t>KAZ</t>
  </si>
  <si>
    <t>KEN</t>
  </si>
  <si>
    <t>Kiribati</t>
  </si>
  <si>
    <t>KIR</t>
  </si>
  <si>
    <t>Korea, Dem. Rep.</t>
  </si>
  <si>
    <t>PRK</t>
  </si>
  <si>
    <t>Korea, Rep.</t>
  </si>
  <si>
    <t>KOR</t>
  </si>
  <si>
    <t>Kosovo</t>
  </si>
  <si>
    <t>KSV</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</si>
  <si>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</si>
  <si>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</si>
  <si>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</si>
  <si>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</si>
  <si>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</si>
  <si>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</si>
  <si>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</si>
  <si>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</si>
  <si>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</si>
  <si>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</si>
  <si>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</si>
  <si>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</si>
  <si>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</si>
  <si>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</si>
  <si>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</si>
  <si>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</si>
  <si>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</si>
  <si>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</si>
  <si>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</si>
  <si>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</si>
  <si>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</si>
  <si>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</si>
  <si>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</si>
  <si>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</si>
  <si>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Macedonia, FYR</t>
  </si>
  <si>
    <t>MKD</t>
  </si>
  <si>
    <t>MDG</t>
  </si>
  <si>
    <t>MWI</t>
  </si>
  <si>
    <t>Malaysia</t>
  </si>
  <si>
    <t>MYS</t>
  </si>
  <si>
    <t>Maldives</t>
  </si>
  <si>
    <t>MDV</t>
  </si>
  <si>
    <t>Mali</t>
  </si>
  <si>
    <t>MLI</t>
  </si>
  <si>
    <t>Malta</t>
  </si>
  <si>
    <t>MLT</t>
  </si>
  <si>
    <t>Marshall Islands</t>
  </si>
  <si>
    <t>MHL</t>
  </si>
  <si>
    <t>Mauritania</t>
  </si>
  <si>
    <t>MRT</t>
  </si>
  <si>
    <t>Mauritius</t>
  </si>
  <si>
    <t>MUS</t>
  </si>
  <si>
    <t>MEX</t>
  </si>
  <si>
    <t>Micronesia, Fed. Sts.</t>
  </si>
  <si>
    <t>FSM</t>
  </si>
  <si>
    <t>Moldova</t>
  </si>
  <si>
    <t>MDA</t>
  </si>
  <si>
    <t>Monaco</t>
  </si>
  <si>
    <t>MCO</t>
  </si>
  <si>
    <t>Mongolia</t>
  </si>
  <si>
    <t>MNG</t>
  </si>
  <si>
    <t>Montenegro</t>
  </si>
  <si>
    <t>MNE</t>
  </si>
  <si>
    <t>MAR</t>
  </si>
  <si>
    <t>Mozambique</t>
  </si>
  <si>
    <t>MOZ</t>
  </si>
  <si>
    <t>Myanmar</t>
  </si>
  <si>
    <t>MMR</t>
  </si>
  <si>
    <t>Namibia</t>
  </si>
  <si>
    <t>NAM</t>
  </si>
  <si>
    <t>NPL</t>
  </si>
  <si>
    <t>Netherlands</t>
  </si>
  <si>
    <t>NLD</t>
  </si>
  <si>
    <t>New Caledonia</t>
  </si>
  <si>
    <t>NCL</t>
  </si>
  <si>
    <t>New Zealand</t>
  </si>
  <si>
    <t>NZL</t>
  </si>
  <si>
    <t>NIC</t>
  </si>
  <si>
    <t>Niger</t>
  </si>
  <si>
    <t>NER</t>
  </si>
  <si>
    <t>Nigeria</t>
  </si>
  <si>
    <t>NGA</t>
  </si>
  <si>
    <t>Northern Mariana Islands</t>
  </si>
  <si>
    <t>MNP</t>
  </si>
  <si>
    <t>Norway</t>
  </si>
  <si>
    <t>NOR</t>
  </si>
  <si>
    <t>Oman</t>
  </si>
  <si>
    <t>OMN</t>
  </si>
  <si>
    <t>PAK</t>
  </si>
  <si>
    <t>Palau</t>
  </si>
  <si>
    <t>PLW</t>
  </si>
  <si>
    <t>Panama</t>
  </si>
  <si>
    <t>PAN</t>
  </si>
  <si>
    <t>Papua New Guinea</t>
  </si>
  <si>
    <t>PNG</t>
  </si>
  <si>
    <t>Paraguay</t>
  </si>
  <si>
    <t>PRY</t>
  </si>
  <si>
    <t>PER</t>
  </si>
  <si>
    <t>PHL</t>
  </si>
  <si>
    <t>Poland</t>
  </si>
  <si>
    <t>POL</t>
  </si>
  <si>
    <t>Portugal</t>
  </si>
  <si>
    <t>PRT</t>
  </si>
  <si>
    <t>Puerto Rico</t>
  </si>
  <si>
    <t>PRI</t>
  </si>
  <si>
    <t>Qatar</t>
  </si>
  <si>
    <t>QAT</t>
  </si>
  <si>
    <t>Romania</t>
  </si>
  <si>
    <t>ROM</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</si>
  <si>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</si>
  <si>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</si>
  <si>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</si>
  <si>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</si>
  <si>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</si>
  <si>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</si>
  <si>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</si>
  <si>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</si>
  <si>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</si>
  <si>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</si>
  <si>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</si>
  <si>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</si>
  <si>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</si>
  <si>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</si>
  <si>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</si>
  <si>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</si>
  <si>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</si>
  <si>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</si>
  <si>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</si>
  <si>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</si>
  <si>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</si>
  <si>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</si>
  <si>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</si>
  <si>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</si>
  <si>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</si>
  <si>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</si>
  <si>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</si>
  <si>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</si>
  <si>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</si>
  <si>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</si>
  <si>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</si>
  <si>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</si>
  <si>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</si>
  <si>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</si>
  <si>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</si>
  <si>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</si>
  <si>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</si>
  <si>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</si>
  <si>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</si>
  <si>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</si>
  <si>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</si>
  <si>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</si>
  <si>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</si>
  <si>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</si>
  <si>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</si>
  <si>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</si>
  <si>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</si>
  <si>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</si>
  <si>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</si>
  <si>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</si>
  <si>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</si>
  <si>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Swaziland</t>
  </si>
  <si>
    <t>SWZ</t>
  </si>
  <si>
    <t>Sweden</t>
  </si>
  <si>
    <t>SWE</t>
  </si>
  <si>
    <t>Switzerland</t>
  </si>
  <si>
    <t>CHE</t>
  </si>
  <si>
    <t>Syrian Arab Republic</t>
  </si>
  <si>
    <t>SYR</t>
  </si>
  <si>
    <t>Tajikistan</t>
  </si>
  <si>
    <t>TJK</t>
  </si>
  <si>
    <t>Tanzania</t>
  </si>
  <si>
    <t>TZA</t>
  </si>
  <si>
    <t>Thailand</t>
  </si>
  <si>
    <t>THA</t>
  </si>
  <si>
    <t>Timor-Leste</t>
  </si>
  <si>
    <t>TMP</t>
  </si>
  <si>
    <t>Togo</t>
  </si>
  <si>
    <t>TGO</t>
  </si>
  <si>
    <t>Tonga</t>
  </si>
  <si>
    <t>TON</t>
  </si>
  <si>
    <t>Trinidad and Tobago</t>
  </si>
  <si>
    <t>TTO</t>
  </si>
  <si>
    <t>Tunisia</t>
  </si>
  <si>
    <t>TUN</t>
  </si>
  <si>
    <t>Turkey</t>
  </si>
  <si>
    <t>TUR</t>
  </si>
  <si>
    <t>Turkmenistan</t>
  </si>
  <si>
    <t>TKM</t>
  </si>
  <si>
    <t>Turks and Caicos Islands</t>
  </si>
  <si>
    <t>TCA</t>
  </si>
  <si>
    <t>Tuvalu</t>
  </si>
  <si>
    <t>TUV</t>
  </si>
  <si>
    <t>UGA</t>
  </si>
  <si>
    <t>Ukraine</t>
  </si>
  <si>
    <t>UKR</t>
  </si>
  <si>
    <t>United Arab Emirates</t>
  </si>
  <si>
    <t>ARE</t>
  </si>
  <si>
    <t>United Kingdom</t>
  </si>
  <si>
    <t>GBR</t>
  </si>
  <si>
    <t>Uruguay</t>
  </si>
  <si>
    <t>URY</t>
  </si>
  <si>
    <t>Uzbekistan</t>
  </si>
  <si>
    <t>UZB</t>
  </si>
  <si>
    <t>Vanuatu</t>
  </si>
  <si>
    <t>VUT</t>
  </si>
  <si>
    <t>Venezuela, RB</t>
  </si>
  <si>
    <t>VEN</t>
  </si>
  <si>
    <t>Vietnam</t>
  </si>
  <si>
    <t>VNM</t>
  </si>
  <si>
    <t>Virgin Islands (U.S.)</t>
  </si>
  <si>
    <t>VIR</t>
  </si>
  <si>
    <t>West Bank and Gaza</t>
  </si>
  <si>
    <t>WBG</t>
  </si>
  <si>
    <t>Yemen, Rep.</t>
  </si>
  <si>
    <t>YEM</t>
  </si>
  <si>
    <t>Zambia</t>
  </si>
  <si>
    <t>ZMB</t>
  </si>
  <si>
    <t>Zimbabwe</t>
  </si>
  <si>
    <t>ZWE</t>
  </si>
  <si>
    <r>
      <rPr>
        <b/>
        <sz val="11"/>
        <color theme="1"/>
        <rFont val="Calibri"/>
        <family val="2"/>
        <scheme val="minor"/>
      </rPr>
      <t>Indicator</t>
    </r>
    <r>
      <rPr>
        <sz val="11"/>
        <color theme="1"/>
        <rFont val="Calibri"/>
        <family val="2"/>
        <scheme val="minor"/>
      </rPr>
      <t>: Inflation, GDP deflator (annual %), Code: NY.GDP.DEFL.KD.ZG</t>
    </r>
  </si>
  <si>
    <r>
      <rPr>
        <b/>
        <sz val="11"/>
        <color theme="1"/>
        <rFont val="Calibri"/>
        <family val="2"/>
        <scheme val="minor"/>
      </rPr>
      <t>Source</t>
    </r>
    <r>
      <rPr>
        <sz val="11"/>
        <color theme="1"/>
        <rFont val="Calibri"/>
        <family val="2"/>
        <scheme val="minor"/>
      </rPr>
      <t>: World Development Indicators, The World Bank (http://data.worldbank.org/indicator/NY.GDP.DEFL.KD.ZG)</t>
    </r>
  </si>
  <si>
    <r>
      <rPr>
        <b/>
        <sz val="11"/>
        <color theme="1"/>
        <rFont val="Calibri"/>
        <family val="2"/>
        <scheme val="minor"/>
      </rPr>
      <t>Date Accessed</t>
    </r>
    <r>
      <rPr>
        <sz val="11"/>
        <color theme="1"/>
        <rFont val="Calibri"/>
        <family val="2"/>
        <scheme val="minor"/>
      </rPr>
      <t>: July 10, 2014</t>
    </r>
  </si>
  <si>
    <r>
      <rPr>
        <b/>
        <sz val="11"/>
        <color theme="1"/>
        <rFont val="Calibri"/>
        <family val="2"/>
        <scheme val="minor"/>
      </rPr>
      <t>Source Note</t>
    </r>
    <r>
      <rPr>
        <sz val="11"/>
        <color theme="1"/>
        <rFont val="Calibri"/>
        <family val="2"/>
        <scheme val="minor"/>
      </rPr>
      <t>: Inflation as measured by the annual growth rate of the GDP implicit deflator shows the rate of price change in the economy as a whole. The GDP implicit deflator is the ratio of GDP in current local currency to GDP in constant local currency.</t>
    </r>
  </si>
  <si>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</si>
  <si>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</si>
  <si>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</si>
  <si>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</si>
  <si>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</si>
  <si>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</si>
  <si>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</si>
  <si>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</si>
  <si>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</si>
  <si>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</si>
  <si>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</si>
  <si>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</si>
  <si>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</si>
  <si>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</si>
  <si>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</si>
  <si>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</si>
  <si>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</si>
  <si>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</si>
  <si>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</si>
  <si>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</si>
  <si>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</si>
  <si>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</si>
  <si>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</si>
  <si>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</si>
  <si>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</si>
  <si>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</si>
  <si>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</si>
  <si>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</si>
  <si>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</si>
  <si>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</si>
  <si>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AND</t>
  </si>
  <si>
    <t>COD</t>
  </si>
  <si>
    <t>IMN</t>
  </si>
  <si>
    <t>ROU</t>
  </si>
  <si>
    <t>St. Vincent &amp; the Grenadines</t>
  </si>
  <si>
    <t>TLS</t>
  </si>
  <si>
    <t>PSE</t>
  </si>
  <si>
    <r>
      <rPr>
        <b/>
        <sz val="11"/>
        <color theme="1"/>
        <rFont val="Calibri"/>
        <family val="2"/>
        <scheme val="minor"/>
      </rPr>
      <t>Indicator</t>
    </r>
    <r>
      <rPr>
        <sz val="11"/>
        <color theme="1"/>
        <rFont val="Calibri"/>
        <family val="2"/>
        <scheme val="minor"/>
      </rPr>
      <t>: Official exchange rate (LCU per US$, period average), Indicator Code: PA.NUS.FCRF</t>
    </r>
  </si>
  <si>
    <r>
      <rPr>
        <b/>
        <sz val="11"/>
        <color theme="1"/>
        <rFont val="Calibri"/>
        <family val="2"/>
        <scheme val="minor"/>
      </rPr>
      <t>Source</t>
    </r>
    <r>
      <rPr>
        <sz val="11"/>
        <color theme="1"/>
        <rFont val="Calibri"/>
        <family val="2"/>
        <scheme val="minor"/>
      </rPr>
      <t>: World Development Indicators, The World Bank (http://data.worldbank.org/indicator/PA.NUS.FCRF)</t>
    </r>
  </si>
  <si>
    <r>
      <rPr>
        <b/>
        <sz val="11"/>
        <color theme="1"/>
        <rFont val="Calibri"/>
        <family val="2"/>
        <scheme val="minor"/>
      </rPr>
      <t>Date Accessed</t>
    </r>
    <r>
      <rPr>
        <sz val="11"/>
        <color theme="1"/>
        <rFont val="Calibri"/>
        <family val="2"/>
        <scheme val="minor"/>
      </rPr>
      <t>: July 10, 2014</t>
    </r>
  </si>
  <si>
    <r>
      <rPr>
        <b/>
        <sz val="11"/>
        <color theme="1"/>
        <rFont val="Calibri"/>
        <family val="2"/>
        <scheme val="minor"/>
      </rPr>
      <t>Source Note</t>
    </r>
    <r>
      <rPr>
        <sz val="11"/>
        <color theme="1"/>
        <rFont val="Calibri"/>
        <family val="2"/>
        <scheme val="minor"/>
      </rPr>
      <t>: Official exchange rate refers to the exchange rate determined by national authorities or to the rate determined in the legally sanctioned exchange market. It is calculated as an annual average based on monthly averages (local currency units relative to the U.S. dollar).</t>
    </r>
  </si>
  <si>
    <t>Arab World</t>
  </si>
  <si>
    <t>ARB</t>
  </si>
  <si>
    <t>Caribbean small states</t>
  </si>
  <si>
    <t>CSS</t>
  </si>
  <si>
    <t>East Asia &amp; Pacific (all income levels)</t>
  </si>
  <si>
    <t>EAS</t>
  </si>
  <si>
    <t>East Asia &amp; Pacific (developing only)</t>
  </si>
  <si>
    <t>EAP</t>
  </si>
  <si>
    <t>Euro area</t>
  </si>
  <si>
    <t>EMU</t>
  </si>
  <si>
    <t>Europe &amp; Central Asia (all income levels)</t>
  </si>
  <si>
    <t>ECS</t>
  </si>
  <si>
    <t>Europe &amp; Central Asia (developing only)</t>
  </si>
  <si>
    <t>ECA</t>
  </si>
  <si>
    <t>European Union</t>
  </si>
  <si>
    <t>EUU</t>
  </si>
  <si>
    <t>Heavily indebted poor countries (HIPC)</t>
  </si>
  <si>
    <t>HPC</t>
  </si>
  <si>
    <t>High income</t>
  </si>
  <si>
    <t>HIC</t>
  </si>
  <si>
    <t>High income: nonOECD</t>
  </si>
  <si>
    <t>NOC</t>
  </si>
  <si>
    <t>High income: OECD</t>
  </si>
  <si>
    <t>OEC</t>
  </si>
  <si>
    <t>Latin America &amp; Caribbean (all income levels)</t>
  </si>
  <si>
    <t>LCN</t>
  </si>
  <si>
    <t>Latin America &amp; Caribbean (developing only)</t>
  </si>
  <si>
    <t>LAC</t>
  </si>
  <si>
    <t>Least developed countries: UN classification</t>
  </si>
  <si>
    <t>LDC</t>
  </si>
  <si>
    <t>Low &amp; middle income</t>
  </si>
  <si>
    <t>LMY</t>
  </si>
  <si>
    <t>Low income</t>
  </si>
  <si>
    <t>LIC</t>
  </si>
  <si>
    <t>Lower middle income</t>
  </si>
  <si>
    <t>LMC</t>
  </si>
  <si>
    <t>Middle East &amp; North Africa (all income levels)</t>
  </si>
  <si>
    <t>MEA</t>
  </si>
  <si>
    <t>Middle East &amp; North Africa (developing only)</t>
  </si>
  <si>
    <t>MNA</t>
  </si>
  <si>
    <t>Middle income</t>
  </si>
  <si>
    <t>MIC</t>
  </si>
  <si>
    <t>North America</t>
  </si>
  <si>
    <t>NAC</t>
  </si>
  <si>
    <t>Not classified</t>
  </si>
  <si>
    <t>INX</t>
  </si>
  <si>
    <t>OECD members</t>
  </si>
  <si>
    <t>OED</t>
  </si>
  <si>
    <t>Other small states</t>
  </si>
  <si>
    <t>OSS</t>
  </si>
  <si>
    <t>Pacific island small states</t>
  </si>
  <si>
    <t>PSS</t>
  </si>
  <si>
    <t>Small states</t>
  </si>
  <si>
    <t>SST</t>
  </si>
  <si>
    <t>SAS</t>
  </si>
  <si>
    <t>Sub-Saharan Africa (all income levels)</t>
  </si>
  <si>
    <t>SSF</t>
  </si>
  <si>
    <t>Sub-Saharan Africa (developing only)</t>
  </si>
  <si>
    <t>SSA</t>
  </si>
  <si>
    <t>Upper middle income</t>
  </si>
  <si>
    <t>UMC</t>
  </si>
  <si>
    <t>World</t>
  </si>
  <si>
    <t>WLD</t>
  </si>
  <si>
    <r>
      <rPr>
        <b/>
        <sz val="11"/>
        <color theme="1"/>
        <rFont val="Calibri"/>
        <family val="2"/>
        <scheme val="minor"/>
      </rPr>
      <t>Indicator</t>
    </r>
    <r>
      <rPr>
        <sz val="11"/>
        <color theme="1"/>
        <rFont val="Calibri"/>
        <family val="2"/>
        <scheme val="minor"/>
      </rPr>
      <t>: PPP conversion factor, GDP (LCU per international $), Indicator Code: PA.NUS.PPP</t>
    </r>
  </si>
  <si>
    <r>
      <rPr>
        <b/>
        <sz val="11"/>
        <color theme="1"/>
        <rFont val="Calibri"/>
        <family val="2"/>
        <scheme val="minor"/>
      </rPr>
      <t>Source</t>
    </r>
    <r>
      <rPr>
        <sz val="11"/>
        <color theme="1"/>
        <rFont val="Calibri"/>
        <family val="2"/>
        <scheme val="minor"/>
      </rPr>
      <t>: World Development Indicators, The World Bank (http://data.worldbank.org/indicator/PA.NUS.PPP)</t>
    </r>
  </si>
  <si>
    <t>Program Administration</t>
  </si>
  <si>
    <t>Field office rent and costs</t>
  </si>
  <si>
    <t>Staff costs</t>
  </si>
  <si>
    <t>Travel to Gurgaon</t>
  </si>
  <si>
    <t>Lunch and refreshments</t>
  </si>
  <si>
    <t>Travel costs for core staff</t>
  </si>
  <si>
    <t>Targeting Costs</t>
  </si>
  <si>
    <t xml:space="preserve">Gossips Identification </t>
  </si>
  <si>
    <t>Monitors</t>
  </si>
  <si>
    <t xml:space="preserve">Project Associate </t>
  </si>
  <si>
    <t xml:space="preserve">Surveyors </t>
  </si>
  <si>
    <t>Surveyor daily wage</t>
  </si>
  <si>
    <t>Monitors daily wage</t>
  </si>
  <si>
    <t>Project Associate daily wage</t>
  </si>
  <si>
    <t>2017 INR</t>
  </si>
  <si>
    <t>Field Manager daily wage</t>
  </si>
  <si>
    <t>Field Manager</t>
  </si>
  <si>
    <t>Travel</t>
  </si>
  <si>
    <t>IEC (Promotional Materials)</t>
  </si>
  <si>
    <t>Printing</t>
  </si>
  <si>
    <t>J-PAL staff lodging</t>
  </si>
  <si>
    <t>J-PAL staff per-diem</t>
  </si>
  <si>
    <t>J-PAL staff transportation</t>
  </si>
  <si>
    <t>J-PAL trainer lodging</t>
  </si>
  <si>
    <t>J-PAL trainer transportation</t>
  </si>
  <si>
    <t>J-PAL trainer per-diem</t>
  </si>
  <si>
    <t>Master training materials</t>
  </si>
  <si>
    <t>Master training food/bev</t>
  </si>
  <si>
    <t>Master training trainer lodging</t>
  </si>
  <si>
    <t>Master training trainer transport</t>
  </si>
  <si>
    <t>Master training trainer per-diem</t>
  </si>
  <si>
    <t>Master training facilitator per-diem</t>
  </si>
  <si>
    <t>Trainee lodging</t>
  </si>
  <si>
    <t>Trainee transport</t>
  </si>
  <si>
    <t>Trainee per-diem</t>
  </si>
  <si>
    <t>Number of master trainings</t>
  </si>
  <si>
    <t>Number of ANM trainings</t>
  </si>
  <si>
    <t>ANM training materials</t>
  </si>
  <si>
    <t>ANM training food/bev</t>
  </si>
  <si>
    <t>ANM trainer per-diem</t>
  </si>
  <si>
    <t>ANM trainee per-diem</t>
  </si>
  <si>
    <t>ANM training travel + lodging</t>
  </si>
  <si>
    <t>Number of trainers (Master)</t>
  </si>
  <si>
    <t>Number of participants (Master)</t>
  </si>
  <si>
    <t>Number of participants (ANM)</t>
  </si>
  <si>
    <t>Number of trainers (ANM)</t>
  </si>
  <si>
    <t>Number of trainers (Staff)</t>
  </si>
  <si>
    <t>Number of participants (Staff)</t>
  </si>
  <si>
    <t xml:space="preserve">Tablets + covers </t>
  </si>
  <si>
    <t>Number of tablets</t>
  </si>
  <si>
    <t>Bar codes (cost per roll)</t>
  </si>
  <si>
    <t>Number of bar codes</t>
  </si>
  <si>
    <t>ANM posters</t>
  </si>
  <si>
    <t>Trainings</t>
  </si>
  <si>
    <t>SIM cards</t>
  </si>
  <si>
    <t>Number of posters</t>
  </si>
  <si>
    <t>tablets</t>
  </si>
  <si>
    <t>rolls</t>
  </si>
  <si>
    <t>posters</t>
  </si>
  <si>
    <t>man-days</t>
  </si>
  <si>
    <t>trainings</t>
  </si>
  <si>
    <t>people</t>
  </si>
  <si>
    <t>Intern daily salary</t>
  </si>
  <si>
    <t>Number of intern days</t>
  </si>
  <si>
    <t>Mobile recharges</t>
  </si>
  <si>
    <t>Congratulatory SMS</t>
  </si>
  <si>
    <t>Targeted reminder SMS</t>
  </si>
  <si>
    <t>Seeds SMS</t>
  </si>
  <si>
    <t>ANM SMS</t>
  </si>
  <si>
    <t>Voice calls</t>
  </si>
  <si>
    <t>months</t>
  </si>
  <si>
    <t>HIM</t>
  </si>
  <si>
    <t>Banerjee, Chandrashekhar, Duflo, Dalpath, Floretta, Jackson, Kannan, Schrimpf, and Shrestha</t>
  </si>
  <si>
    <t>Haryana, India</t>
  </si>
  <si>
    <t>Additional fully immunized children</t>
  </si>
  <si>
    <t>villages</t>
  </si>
  <si>
    <t>US-Local Exchange Rate, 2017 Standard</t>
  </si>
  <si>
    <t>Villages in entire sample</t>
  </si>
  <si>
    <t>Lodging for meetings (launch + 6-month)</t>
  </si>
  <si>
    <t>Transportation to monthly district meetings</t>
  </si>
  <si>
    <t>Transportation to staet-level meetings</t>
  </si>
  <si>
    <t>Per-diem allowance (high level)</t>
  </si>
  <si>
    <t>Per-diem allowance (low level)</t>
  </si>
  <si>
    <t>Number of high level per-diem allowances</t>
  </si>
  <si>
    <t>Number of low level per-diem allowances</t>
  </si>
  <si>
    <t>Per-diem for launch + 6-month meetings</t>
  </si>
  <si>
    <t>Implementation Costs: Materials</t>
  </si>
  <si>
    <t>Implementation Costs: Phone Stuff</t>
  </si>
  <si>
    <t>Implementation Costs: Meetings</t>
  </si>
  <si>
    <t>SANA software</t>
  </si>
  <si>
    <t>Labor to develop software</t>
  </si>
  <si>
    <t>Implementation Costs: Software</t>
  </si>
  <si>
    <t>Server cost: SANA</t>
  </si>
  <si>
    <t>Exotel</t>
  </si>
  <si>
    <t>Server cost: SurveyCTO</t>
  </si>
  <si>
    <t>Pilot Costs</t>
  </si>
  <si>
    <t>Per-diem allowance</t>
  </si>
  <si>
    <t xml:space="preserve">Food and refreshments </t>
  </si>
  <si>
    <t>Monitoring Costs</t>
  </si>
  <si>
    <t>Cost per tablet</t>
  </si>
  <si>
    <t>Travel (total costs)</t>
  </si>
  <si>
    <t>Government Costs</t>
  </si>
  <si>
    <t>ASHA incentives for mobilization</t>
  </si>
  <si>
    <t>ASHA incentives for FIC</t>
  </si>
  <si>
    <t>AVD</t>
  </si>
  <si>
    <t>Cost per BCG vaccine</t>
  </si>
  <si>
    <t>Cost per Penta vaccines</t>
  </si>
  <si>
    <t>Cost per measles vaccine</t>
  </si>
  <si>
    <t>Cost per 5 mL syringe</t>
  </si>
  <si>
    <t>Cost per 0.5 mL syringe</t>
  </si>
  <si>
    <t>Cost per 0.1 mL syringe</t>
  </si>
  <si>
    <t>Number of BCG vaccines</t>
  </si>
  <si>
    <t>Number of Penta vaccines</t>
  </si>
  <si>
    <t>Number of measles vaccines</t>
  </si>
  <si>
    <t>Number of 5 mL syringes</t>
  </si>
  <si>
    <t>Number of 0.5 mL syringes</t>
  </si>
  <si>
    <t>Number of 0.1 mL syringes</t>
  </si>
  <si>
    <t>syringes</t>
  </si>
  <si>
    <t>vaccines</t>
  </si>
  <si>
    <t>Per-diem for monitors</t>
  </si>
  <si>
    <t>Event space</t>
  </si>
  <si>
    <t>SMS</t>
  </si>
  <si>
    <t>Cost per SMS (regular)</t>
  </si>
  <si>
    <t>Cost per SMS (seed)</t>
  </si>
  <si>
    <t xml:space="preserve">Cost per voice call </t>
  </si>
  <si>
    <t>calls</t>
  </si>
  <si>
    <t>Transportation to state-level meetings</t>
  </si>
  <si>
    <t>allowances</t>
  </si>
  <si>
    <t>PV of Cost Stream, Base Yr USD</t>
  </si>
  <si>
    <t>J-PAL staff training costs</t>
  </si>
  <si>
    <t>Master training costs</t>
  </si>
  <si>
    <t>ANM training costs</t>
  </si>
  <si>
    <t>J-PAL transportation</t>
  </si>
  <si>
    <t>Targeting costs: Gossips identfication</t>
  </si>
  <si>
    <t>Tablets</t>
  </si>
  <si>
    <t>Bar codes</t>
  </si>
  <si>
    <t>Seed SMS</t>
  </si>
  <si>
    <t>Regular SMS</t>
  </si>
  <si>
    <t xml:space="preserve">SANA software development  </t>
  </si>
  <si>
    <t>Software piloting costs</t>
  </si>
  <si>
    <t>incentives</t>
  </si>
  <si>
    <t>Unique # units per arm?</t>
  </si>
  <si>
    <t>No</t>
  </si>
  <si>
    <t>Maybe</t>
  </si>
  <si>
    <t>Yes</t>
  </si>
  <si>
    <t xml:space="preserve">Targeting costs: Advertisting </t>
  </si>
  <si>
    <t>children</t>
  </si>
  <si>
    <t>percent</t>
  </si>
  <si>
    <t>Rate of full immunization at baseline</t>
  </si>
  <si>
    <t xml:space="preserve">Number of fully immunized children at baseline </t>
  </si>
  <si>
    <t>Number of children in package treatment arm</t>
  </si>
  <si>
    <t>Villages in baseline sample</t>
  </si>
  <si>
    <t>Total number of ANMs</t>
  </si>
  <si>
    <t>ANMs</t>
  </si>
  <si>
    <t>Total field office rent and costs</t>
  </si>
  <si>
    <t>US-Local Exchange Rate, 2018, Standard</t>
  </si>
  <si>
    <t>Months in 2017</t>
  </si>
  <si>
    <t>Months in 2018</t>
  </si>
  <si>
    <t>Proportion of costs in 2017</t>
  </si>
  <si>
    <t>US-Local Exchange Rate, 2016 Standard</t>
  </si>
  <si>
    <t>Average US inflation, 2016 to 2017</t>
  </si>
  <si>
    <t>Average US inflation, 2017 to 2018</t>
  </si>
  <si>
    <t>Field office rental, furniture, and utilities - 2017</t>
  </si>
  <si>
    <t>Field office rental, furniture, and utilities - 2018</t>
  </si>
  <si>
    <t>2018 INR</t>
  </si>
  <si>
    <t>Program implementation staff and interns - 2017</t>
  </si>
  <si>
    <t>Program implementation staff and interns - 2018</t>
  </si>
  <si>
    <t>Targeting costs: Advertisting - 2018</t>
  </si>
  <si>
    <t>J-PAL staff training costs - 2018</t>
  </si>
  <si>
    <t>Master training costs - 2018</t>
  </si>
  <si>
    <t>ANM training costs - 2018</t>
  </si>
  <si>
    <t>Mobile recharges - 2018</t>
  </si>
  <si>
    <t>Seed SMS - 2018</t>
  </si>
  <si>
    <t>Regular SMS - 2018</t>
  </si>
  <si>
    <t>Voice calls - 2018</t>
  </si>
  <si>
    <t>Exotel toll-free number service - 2018</t>
  </si>
  <si>
    <t>Meeting costs (transportation, lodging, per-diem) - 2017</t>
  </si>
  <si>
    <t>Meeting costs (transportation, per-diem) - 2018</t>
  </si>
  <si>
    <t>Server for Survey CTO - 2017</t>
  </si>
  <si>
    <t>2016 INR</t>
  </si>
  <si>
    <t>Server for SANA and tablet data - 2017</t>
  </si>
  <si>
    <t>Server for SANA and tablet data - 2018</t>
  </si>
  <si>
    <t>Server for Survey CTO - 2018</t>
  </si>
  <si>
    <t>Monitoring travel - 2018</t>
  </si>
  <si>
    <t>Monitoring travel - 2017</t>
  </si>
  <si>
    <t>Tablets for monitoring - 2017</t>
  </si>
  <si>
    <t>Tablets for monitoring - 2018</t>
  </si>
  <si>
    <t>ASHA incentive for mobilization - 2017</t>
  </si>
  <si>
    <t>ASHA incentive for FIC - 2017</t>
  </si>
  <si>
    <t>AVD - 2017</t>
  </si>
  <si>
    <t>BCG vaccines - 2017</t>
  </si>
  <si>
    <t>Penta vaccines (1, 2, 3) - 2017</t>
  </si>
  <si>
    <t>Measles 1 vaccines - 2017</t>
  </si>
  <si>
    <t>5 mL syringes - 2017</t>
  </si>
  <si>
    <t>0.5 mL syringes - 2017</t>
  </si>
  <si>
    <t>0.1 mL syringes - 2017</t>
  </si>
  <si>
    <t>ASHA incentive for mobilization - 2018</t>
  </si>
  <si>
    <t>ASHA incentive for FIC - 2018</t>
  </si>
  <si>
    <t>AVD - 2018</t>
  </si>
  <si>
    <t>BCG vaccines - 2018</t>
  </si>
  <si>
    <t>Measles 1 vaccines - 2018</t>
  </si>
  <si>
    <t>Penta vaccines (1, 2, 3) - 2018</t>
  </si>
  <si>
    <t>5 mL syringes - 2018</t>
  </si>
  <si>
    <t>0.5 mL syringes - 2018</t>
  </si>
  <si>
    <t>0.1 mL syringes - 2018</t>
  </si>
  <si>
    <t xml:space="preserve">ANM training costs </t>
  </si>
  <si>
    <t>Exotel toll-free number service - 2017</t>
  </si>
  <si>
    <t xml:space="preserve">Mobile Recharges </t>
  </si>
  <si>
    <t>Number of low-slope incentives for BCG</t>
  </si>
  <si>
    <t>Number of low-slope incentives for Penta-1</t>
  </si>
  <si>
    <t>Number of low-slope incentives for Penta-2</t>
  </si>
  <si>
    <t>Number of low-slope incentives for Penta-3</t>
  </si>
  <si>
    <t>Number of low-slope incentives for measls</t>
  </si>
  <si>
    <t>Number of high-slope incentives for BCG</t>
  </si>
  <si>
    <t>Number of high-slope incentives for Penta-1</t>
  </si>
  <si>
    <t>Number of high-slope incentives for Penta-2</t>
  </si>
  <si>
    <t>Number of high-slope incentives for Penta-3</t>
  </si>
  <si>
    <t>Number of high-slope incentives for measls</t>
  </si>
  <si>
    <t>Low slope incentives, vaccine 4</t>
  </si>
  <si>
    <t>Low slope incentives, vaccines 1-3</t>
  </si>
  <si>
    <t>Low slope incentives, vaccine 5</t>
  </si>
  <si>
    <t>High slope incentives, vaccines 1-3</t>
  </si>
  <si>
    <t>High slope incentives, vaccine 4</t>
  </si>
  <si>
    <t>High slope incentives, vaccine 5</t>
  </si>
  <si>
    <t>Penta-1</t>
  </si>
  <si>
    <t>Penta-2</t>
  </si>
  <si>
    <t>Penta-3</t>
  </si>
  <si>
    <t>Average children per village</t>
  </si>
  <si>
    <t>Number of ANMs in package treatment villages</t>
  </si>
  <si>
    <t>Number of gossips per village</t>
  </si>
  <si>
    <t>Useful life of tablet</t>
  </si>
  <si>
    <t>Tablets + covers (rental costs)</t>
  </si>
  <si>
    <t>Average reminder saturation</t>
  </si>
  <si>
    <t>Proportion of costs in 2018</t>
  </si>
  <si>
    <t>Tablets (rental) - 2017</t>
  </si>
  <si>
    <t>Tablets (rental) - 2018</t>
  </si>
  <si>
    <t>Seeds SMS (monthly)</t>
  </si>
  <si>
    <t>Voice calls (monthly)</t>
  </si>
  <si>
    <t>Seed SMS - 2017</t>
  </si>
  <si>
    <t>Average US inflation, 2016 to 2018</t>
  </si>
  <si>
    <t>BCG</t>
  </si>
  <si>
    <t>Penta</t>
  </si>
  <si>
    <t>Measles</t>
  </si>
  <si>
    <t xml:space="preserve">Totals </t>
  </si>
  <si>
    <t>Villages in trusted only treatment</t>
  </si>
  <si>
    <t>Reminder switch</t>
  </si>
  <si>
    <t>Gossip Switch</t>
  </si>
  <si>
    <t>Networks Switch</t>
  </si>
  <si>
    <t>Total fixed cost</t>
  </si>
  <si>
    <t>Total fixed cost per month</t>
  </si>
  <si>
    <t>Experiment Only Cost</t>
  </si>
  <si>
    <t>At scale</t>
  </si>
  <si>
    <t>At scale products</t>
  </si>
  <si>
    <t xml:space="preserve">Total fixed cost at scale </t>
  </si>
  <si>
    <t>Total fixed cost per unit at scale</t>
  </si>
  <si>
    <t>Scaling factor for single village</t>
  </si>
  <si>
    <t>control at scale Fixed cost</t>
  </si>
  <si>
    <t>control at scale fixed cost (USD)</t>
  </si>
  <si>
    <t>control at scaled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</si>
</sst>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quot;* #,##0.00_);_(&quot;$&quot;* \(#,##0.00\);_(&quot;$&quot;* &quot;-&quot;??_);_(@_)"/>
    <numFmt numFmtId="165" formatCode="_(* #,##0.00_);_(* \(#,##0.00\);_(* &quot;-&quot;??_);_(@_)"/>
    <numFmt numFmtId="166" formatCode="0.0000"/>
    <numFmt numFmtId="167" formatCode="&quot;$&quot;#,##0;\-&quot;$&quot;#,##0"/>
    <numFmt numFmtId="168" formatCode="0_)"/>
    <numFmt numFmtId="169" formatCode="_(* #,##0_);_(* \(#,##0\);_(* &quot;-&quot;??_);_(@_)"/>
    <numFmt numFmtId="170" formatCode="_(&quot;$&quot;* #,##0_);_(&quot;$&quot;* \(#,##0\);_(&quot;$&quot;* &quot;-&quot;??_);_(@_)"/>
    <numFmt numFmtId="171" formatCode="_(* #,##0.0_);_(* \(#,##0.0\);_(* &quot;-&quot;??_);_(@_)"/>
    <numFmt numFmtId="172" formatCode="_(* #,##0.0000_);_(* \(#,##0.0000\);_(* &quot;-&quot;??_);_(@_)"/>
    <numFmt numFmtId="173" formatCode="_(* #,##0.000_);_(* \(#,##0.000\);_(* &quot;-&quot;??_);_(@_)"/>
    <numFmt numFmtId="174" formatCode="0.000"/>
    <numFmt numFmtId="175" formatCode="0.0%"/>
  </numFmts>
  <fonts count="35">
    <font>
      <sz val="11"/>
      <color theme="1"/>
      <name val="Calibri"/>
      <family val="2"/>
      <scheme val="minor"/>
    </font>
    <font>
      <sz val="11"/>
      <color theme="1"/>
      <name val="Calibri"/>
      <family val="2"/>
      <scheme val="minor"/>
    </font>
    <font>
      <b/>
      <sz val="11"/>
      <color theme="1"/>
      <name val="Calibri"/>
      <family val="2"/>
      <scheme val="minor"/>
    </font>
    <font>
      <sz val="10"/>
      <name val="Verdana"/>
      <family val="2"/>
    </font>
    <font>
      <sz val="10"/>
      <name val="Arial"/>
      <family val="2"/>
    </font>
    <font>
      <b/>
      <sz val="12"/>
      <name val="Helv"/>
    </font>
    <font>
      <sz val="10"/>
      <name val="Geneva"/>
      <family val="2"/>
    </font>
    <font>
      <sz val="9"/>
      <name val="Helv"/>
    </font>
    <font>
      <b/>
      <i/>
      <sz val="9"/>
      <name val="Helv"/>
    </font>
    <font>
      <b/>
      <sz val="10"/>
      <color theme="1"/>
      <name val="Calibri"/>
      <family val="2"/>
      <scheme val="minor"/>
    </font>
    <font>
      <sz val="11"/>
      <color rgb="FF3F3F76"/>
      <name val="Calibri"/>
      <family val="2"/>
      <scheme val="minor"/>
    </font>
    <font>
      <b/>
      <sz val="11"/>
      <color rgb="FFFA7D00"/>
      <name val="Calibri"/>
      <family val="2"/>
      <scheme val="minor"/>
    </font>
    <font>
      <sz val="10"/>
      <color theme="1"/>
      <name val="Calibri"/>
      <family val="2"/>
      <scheme val="minor"/>
    </font>
    <font>
      <i/>
      <sz val="10"/>
      <color theme="1"/>
      <name val="Calibri"/>
      <family val="2"/>
      <scheme val="minor"/>
    </font>
    <font>
      <sz val="10"/>
      <name val="Calibri"/>
      <family val="2"/>
      <scheme val="minor"/>
    </font>
    <font>
      <b/>
      <sz val="14"/>
      <color theme="1"/>
      <name val="Calibri"/>
      <family val="2"/>
      <scheme val="minor"/>
    </font>
    <font>
      <b/>
      <sz val="10"/>
      <name val="Calibri"/>
      <family val="2"/>
      <scheme val="minor"/>
    </font>
    <font>
      <sz val="11"/>
      <color indexed="8"/>
      <name val="Calibri"/>
      <family val="2"/>
    </font>
    <font>
      <b/>
      <sz val="9"/>
      <color indexed="8"/>
      <name val="Cambria"/>
      <family val="1"/>
      <scheme val="major"/>
    </font>
    <font>
      <b/>
      <sz val="9"/>
      <color indexed="8"/>
      <name val="Calibri"/>
      <family val="2"/>
    </font>
    <font>
      <sz val="9"/>
      <color indexed="8"/>
      <name val="Calibri"/>
      <family val="2"/>
    </font>
    <font>
      <sz val="11"/>
      <color indexed="9"/>
      <name val="Calibri"/>
      <family val="2"/>
    </font>
    <font>
      <sz val="10"/>
      <name val="Calibri"/>
      <family val="2"/>
    </font>
    <font>
      <b/>
      <sz val="18"/>
      <color indexed="56"/>
      <name val="Cambria"/>
      <family val="2"/>
    </font>
    <font>
      <sz val="12"/>
      <name val="Calibri"/>
      <family val="2"/>
      <scheme val="minor"/>
    </font>
    <font>
      <sz val="9"/>
      <color indexed="81"/>
      <name val="Tahoma"/>
      <family val="2"/>
    </font>
    <font>
      <b/>
      <sz val="9"/>
      <color indexed="81"/>
      <name val="Tahoma"/>
      <family val="2"/>
    </font>
    <font>
      <sz val="10"/>
      <color theme="1" tint="0.499984740745262"/>
      <name val="Calibri"/>
      <family val="2"/>
      <scheme val="minor"/>
    </font>
    <font>
      <sz val="10"/>
      <color rgb="FF000000"/>
      <name val="Tahoma"/>
      <family val="2"/>
    </font>
    <font>
      <sz val="10"/>
      <color rgb="FFFFFF00"/>
      <name val="Calibri"/>
      <family val="2"/>
      <scheme val="minor"/>
    </font>
    <font>
      <b/>
      <sz val="9"/>
      <color rgb="FF000000"/>
      <name val="Tahoma"/>
      <family val="2"/>
    </font>
    <font>
      <sz val="9"/>
      <color rgb="FF000000"/>
      <name val="Tahoma"/>
      <family val="2"/>
    </font>
    <font>
      <b/>
      <sz val="10"/>
      <color rgb="FF000000"/>
      <name val="Tahoma"/>
      <family val="2"/>
    </font>
    <font>
      <sz val="10"/>
      <color rgb="FF000000"/>
      <name val="Calibri"/>
      <family val="2"/>
      <scheme val="minor"/>
    </font>
    <font>
      <sz val="10"/>
      <color rgb="FF000000"/>
      <name val="Calibri"/>
      <family val="2"/>
    </font>
  </fonts>
  <fills count="34">
    <fill>
      <patternFill patternType="none"/>
    </fill>
    <fill>
      <patternFill patternType="gray125"/>
    </fill>
    <fill>
      <patternFill patternType="solid">
        <fgColor theme="0" tint="-0.14999847407452621"/>
        <bgColor indexed="64"/>
      </patternFill>
    </fill>
    <fill>
      <patternFill patternType="solid">
        <fgColor rgb="FFFFCC99"/>
      </patternFill>
    </fill>
    <fill>
      <patternFill patternType="solid">
        <fgColor rgb="FFF2F2F2"/>
      </patternFill>
    </fill>
    <fill>
      <patternFill patternType="solid">
        <fgColor rgb="FFFFFF99"/>
        <bgColor rgb="FFFFFF99"/>
      </patternFill>
    </fill>
    <fill>
      <patternFill patternType="solid">
        <fgColor theme="8" tint="0.59999389629810485"/>
        <bgColor indexed="65"/>
      </patternFill>
    </fill>
    <fill>
      <patternFill patternType="solid">
        <fgColor theme="6"/>
        <bgColor indexed="64"/>
      </patternFill>
    </fill>
    <fill>
      <patternFill patternType="solid">
        <fgColor rgb="FFFFFF00"/>
        <bgColor indexed="64"/>
      </patternFill>
    </fill>
    <fill>
      <patternFill patternType="solid">
        <fgColor theme="5"/>
        <bgColor indexed="64"/>
      </patternFill>
    </fill>
    <fill>
      <patternFill patternType="solid">
        <fgColor indexed="11"/>
      </patternFill>
    </fill>
    <fill>
      <patternFill patternType="solid">
        <fgColor theme="7"/>
        <bgColor indexed="64"/>
      </patternFill>
    </fill>
    <fill>
      <patternFill patternType="solid">
        <fgColor indexed="30"/>
      </patternFill>
    </fill>
    <fill>
      <patternFill patternType="solid">
        <fgColor theme="8"/>
        <bgColor indexed="64"/>
      </patternFill>
    </fill>
    <fill>
      <patternFill patternType="solid">
        <fgColor indexed="55"/>
        <bgColor indexed="64"/>
      </patternFill>
    </fill>
    <fill>
      <patternFill patternType="solid">
        <fgColor indexed="31"/>
      </patternFill>
    </fill>
    <fill>
      <patternFill patternType="solid">
        <fgColor indexed="44"/>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46"/>
      </patternFill>
    </fill>
    <fill>
      <patternFill patternType="solid">
        <fgColor indexed="36"/>
      </patternFill>
    </fill>
    <fill>
      <patternFill patternType="solid">
        <fgColor indexed="27"/>
      </patternFill>
    </fill>
    <fill>
      <patternFill patternType="solid">
        <fgColor indexed="26"/>
      </patternFill>
    </fill>
    <fill>
      <patternFill patternType="solid">
        <fgColor indexed="51"/>
      </patternFill>
    </fill>
    <fill>
      <patternFill patternType="solid">
        <fgColor indexed="52"/>
      </patternFill>
    </fill>
    <fill>
      <patternFill patternType="solid">
        <fgColor indexed="31"/>
        <bgColor indexed="64"/>
      </patternFill>
    </fill>
    <fill>
      <patternFill patternType="solid">
        <fgColor indexed="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8"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rgb="FF7F7F7F"/>
      </left>
      <right style="thin">
        <color rgb="FF7F7F7F"/>
      </right>
      <top style="thin">
        <color rgb="FF7F7F7F"/>
      </top>
      <bottom style="thin">
        <color rgb="FF7F7F7F"/>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style="thin">
        <color auto="1"/>
      </bottom>
      <diagonal/>
    </border>
  </borders>
  <cellStyleXfs count="47">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3" fontId="4" fillId="0" borderId="0" applyFont="0" applyFill="0" applyBorder="0" applyAlignment="0" applyProtection="0"/>
    <xf numFmtId="164" fontId="3" fillId="0" borderId="0" applyFont="0" applyFill="0" applyBorder="0" applyAlignment="0" applyProtection="0"/>
    <xf numFmtId="167" fontId="4" fillId="0" borderId="0" applyFont="0" applyFill="0" applyBorder="0" applyAlignment="0" applyProtection="0"/>
    <xf numFmtId="14" fontId="4" fillId="0" borderId="0" applyFont="0" applyFill="0" applyBorder="0" applyAlignment="0" applyProtection="0"/>
    <xf numFmtId="2" fontId="4" fillId="0" borderId="0" applyFont="0" applyFill="0" applyBorder="0" applyAlignment="0" applyProtection="0"/>
    <xf numFmtId="168" fontId="5" fillId="0" borderId="2" applyNumberFormat="0" applyFill="0" applyBorder="0" applyProtection="0">
      <alignment horizontal="left"/>
    </xf>
    <xf numFmtId="0" fontId="6" fillId="0" borderId="0"/>
    <xf numFmtId="0" fontId="3" fillId="0" borderId="0"/>
    <xf numFmtId="0" fontId="3" fillId="0" borderId="0"/>
    <xf numFmtId="9" fontId="3" fillId="0" borderId="0" applyFont="0" applyFill="0" applyBorder="0" applyAlignment="0" applyProtection="0"/>
    <xf numFmtId="168" fontId="7" fillId="0" borderId="2" applyNumberFormat="0" applyFill="0" applyBorder="0" applyProtection="0">
      <alignment horizontal="left"/>
    </xf>
    <xf numFmtId="168" fontId="7" fillId="0" borderId="2" applyNumberFormat="0" applyFill="0" applyBorder="0" applyProtection="0">
      <alignment horizontal="right"/>
    </xf>
    <xf numFmtId="168" fontId="8" fillId="0" borderId="0" applyNumberFormat="0" applyFill="0" applyBorder="0" applyAlignment="0" applyProtection="0">
      <alignment horizontal="left"/>
    </xf>
    <xf numFmtId="0" fontId="10" fillId="3" borderId="11" applyNumberFormat="0" applyAlignment="0" applyProtection="0"/>
    <xf numFmtId="0" fontId="11" fillId="4" borderId="11" applyNumberFormat="0" applyAlignment="0" applyProtection="0"/>
    <xf numFmtId="0" fontId="12" fillId="5" borderId="0"/>
    <xf numFmtId="0" fontId="17" fillId="0" borderId="0"/>
    <xf numFmtId="0" fontId="21" fillId="10" borderId="0" applyNumberFormat="0" applyBorder="0" applyAlignment="0" applyProtection="0"/>
    <xf numFmtId="0" fontId="21" fillId="12"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1" fillId="19" borderId="0" applyNumberFormat="0" applyBorder="0" applyAlignment="0" applyProtection="0"/>
    <xf numFmtId="0" fontId="17" fillId="20" borderId="0" applyNumberFormat="0" applyBorder="0" applyAlignment="0" applyProtection="0"/>
    <xf numFmtId="0" fontId="17" fillId="10"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1" fillId="22" borderId="0" applyNumberFormat="0" applyBorder="0" applyAlignment="0" applyProtection="0"/>
    <xf numFmtId="0" fontId="17" fillId="23" borderId="0" applyNumberFormat="0" applyBorder="0" applyAlignment="0" applyProtection="0"/>
    <xf numFmtId="0" fontId="17" fillId="15" borderId="0" applyNumberFormat="0" applyBorder="0" applyAlignment="0" applyProtection="0"/>
    <xf numFmtId="0" fontId="21" fillId="16"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1" fillId="26" borderId="0" applyNumberFormat="0" applyBorder="0" applyAlignment="0" applyProtection="0"/>
    <xf numFmtId="0" fontId="22" fillId="27" borderId="0" applyNumberFormat="0" applyAlignment="0" applyProtection="0"/>
    <xf numFmtId="0" fontId="22" fillId="28" borderId="0" applyNumberFormat="0" applyAlignment="0" applyProtection="0"/>
    <xf numFmtId="0" fontId="6" fillId="0" borderId="0"/>
    <xf numFmtId="0" fontId="14" fillId="6" borderId="0">
      <alignment horizontal="center"/>
    </xf>
    <xf numFmtId="0" fontId="23" fillId="0" borderId="0" applyNumberFormat="0" applyFill="0" applyBorder="0" applyAlignment="0" applyProtection="0"/>
    <xf numFmtId="0" fontId="24" fillId="6" borderId="16">
      <alignment horizontal="center"/>
    </xf>
    <xf numFmtId="0" fontId="1" fillId="0" borderId="0"/>
  </cellStyleXfs>
  <cellXfs count="232">
    <xf numFmtId="0" fontId="0" fillId="0" borderId="0" xfId="0"/>
    <xf numFmtId="0" fontId="0" fillId="0" borderId="0" xfId="0" applyAlignment="1">
      <alignment horizontal="center"/>
    </xf>
    <xf numFmtId="0" fontId="2" fillId="0" borderId="0" xfId="0" applyFont="1" applyBorder="1" applyAlignment="1">
      <alignment horizontal="center"/>
    </xf>
    <xf numFmtId="10" fontId="0" fillId="0" borderId="0" xfId="3" applyNumberFormat="1" applyFont="1" applyAlignment="1">
      <alignment horizontal="center"/>
    </xf>
    <xf numFmtId="0" fontId="0" fillId="0" borderId="0" xfId="0" applyBorder="1"/>
    <xf numFmtId="0" fontId="2" fillId="0" borderId="0" xfId="0" applyFont="1" applyFill="1" applyBorder="1" applyAlignment="1">
      <alignment horizontal="center"/>
    </xf>
    <xf numFmtId="166" fontId="0" fillId="0" borderId="0" xfId="0" applyNumberFormat="1" applyBorder="1" applyAlignment="1">
      <alignment horizontal="center"/>
    </xf>
    <xf numFmtId="0" fontId="0" fillId="0" borderId="0" xfId="0" applyBorder="1" applyAlignment="1">
      <alignment horizontal="center"/>
    </xf>
    <xf numFmtId="0" fontId="9" fillId="2" borderId="0" xfId="0" applyFont="1" applyFill="1" applyAlignment="1">
      <alignment horizontal="center" wrapText="1" shrinkToFit="1"/>
    </xf>
    <xf numFmtId="0" fontId="9" fillId="0" borderId="0" xfId="0" applyFont="1" applyFill="1" applyAlignment="1">
      <alignment horizontal="center" wrapText="1" shrinkToFit="1"/>
    </xf>
    <xf numFmtId="0" fontId="9" fillId="2" borderId="0" xfId="0" applyFont="1" applyFill="1"/>
    <xf numFmtId="0" fontId="9" fillId="2" borderId="0" xfId="0" applyFont="1" applyFill="1" applyAlignment="1">
      <alignment horizontal="center"/>
    </xf>
    <xf numFmtId="0" fontId="12" fillId="0" borderId="0" xfId="0" applyFont="1" applyFill="1" applyAlignment="1">
      <alignment horizontal="center"/>
    </xf>
    <xf numFmtId="0" fontId="12" fillId="0" borderId="0" xfId="0" applyFont="1"/>
    <xf numFmtId="0" fontId="9" fillId="0" borderId="0" xfId="0" applyFont="1"/>
    <xf numFmtId="0" fontId="12" fillId="0" borderId="0" xfId="0" applyFont="1" applyAlignment="1">
      <alignment horizontal="left"/>
    </xf>
    <xf numFmtId="0" fontId="12" fillId="0" borderId="0" xfId="0" applyFont="1" applyAlignment="1">
      <alignment horizontal="center"/>
    </xf>
    <xf numFmtId="0" fontId="9" fillId="0" borderId="0" xfId="0" applyFont="1" applyFill="1" applyAlignment="1">
      <alignment horizontal="center"/>
    </xf>
    <xf numFmtId="0" fontId="12" fillId="0" borderId="0" xfId="0" applyFont="1" applyFill="1"/>
    <xf numFmtId="0" fontId="12" fillId="0" borderId="0" xfId="0" applyFont="1" applyFill="1" applyAlignment="1">
      <alignment horizontal="left"/>
    </xf>
    <xf numFmtId="9" fontId="12" fillId="0" borderId="0" xfId="3" applyFont="1" applyFill="1" applyAlignment="1">
      <alignment horizontal="center"/>
    </xf>
    <xf numFmtId="169" fontId="12" fillId="0" borderId="0" xfId="1" applyNumberFormat="1" applyFont="1" applyFill="1" applyAlignment="1">
      <alignment horizontal="right"/>
    </xf>
    <xf numFmtId="164" fontId="12" fillId="0" borderId="0" xfId="2" applyFont="1" applyFill="1" applyAlignment="1">
      <alignment horizontal="center"/>
    </xf>
    <xf numFmtId="1" fontId="12" fillId="0" borderId="0" xfId="0" applyNumberFormat="1" applyFont="1" applyFill="1" applyAlignment="1">
      <alignment horizontal="center"/>
    </xf>
    <xf numFmtId="10" fontId="12" fillId="0" borderId="0" xfId="3" applyNumberFormat="1" applyFont="1" applyFill="1" applyAlignment="1">
      <alignment horizontal="center"/>
    </xf>
    <xf numFmtId="2" fontId="12" fillId="0" borderId="0" xfId="0" applyNumberFormat="1" applyFont="1" applyFill="1" applyAlignment="1">
      <alignment horizontal="center"/>
    </xf>
    <xf numFmtId="9" fontId="12" fillId="0" borderId="0" xfId="3" applyFont="1" applyAlignment="1">
      <alignment horizontal="center"/>
    </xf>
    <xf numFmtId="0" fontId="12" fillId="0" borderId="0" xfId="0" applyFont="1" applyAlignment="1">
      <alignment horizontal="center" wrapText="1" shrinkToFit="1"/>
    </xf>
    <xf numFmtId="0" fontId="12" fillId="0" borderId="0" xfId="0" applyFont="1" applyFill="1" applyBorder="1"/>
    <xf numFmtId="169" fontId="12" fillId="0" borderId="0" xfId="1" applyNumberFormat="1" applyFont="1" applyFill="1" applyBorder="1" applyAlignment="1">
      <alignment horizontal="center"/>
    </xf>
    <xf numFmtId="1" fontId="12" fillId="0" borderId="0" xfId="0" applyNumberFormat="1" applyFont="1" applyFill="1" applyBorder="1" applyAlignment="1">
      <alignment horizontal="center"/>
    </xf>
    <xf numFmtId="169" fontId="12" fillId="0" borderId="0" xfId="0" applyNumberFormat="1" applyFont="1" applyAlignment="1">
      <alignment horizontal="center"/>
    </xf>
    <xf numFmtId="170" fontId="12" fillId="0" borderId="0" xfId="2" applyNumberFormat="1" applyFont="1" applyFill="1" applyBorder="1" applyAlignment="1">
      <alignment horizontal="center"/>
    </xf>
    <xf numFmtId="164" fontId="12" fillId="0" borderId="0" xfId="2" applyFont="1" applyAlignment="1">
      <alignment horizontal="center"/>
    </xf>
    <xf numFmtId="164" fontId="12" fillId="0" borderId="0" xfId="0" applyNumberFormat="1" applyFont="1" applyAlignment="1">
      <alignment horizontal="center"/>
    </xf>
    <xf numFmtId="164" fontId="9" fillId="2" borderId="0" xfId="2" applyFont="1" applyFill="1" applyAlignment="1">
      <alignment horizontal="center"/>
    </xf>
    <xf numFmtId="164" fontId="12" fillId="0" borderId="0" xfId="0" applyNumberFormat="1" applyFont="1" applyFill="1" applyAlignment="1">
      <alignment horizontal="center"/>
    </xf>
    <xf numFmtId="165" fontId="12" fillId="0" borderId="0" xfId="1" applyFont="1" applyAlignment="1">
      <alignment horizontal="center"/>
    </xf>
    <xf numFmtId="0" fontId="9" fillId="2" borderId="9" xfId="0" applyFont="1" applyFill="1" applyBorder="1" applyAlignment="1">
      <alignment horizontal="center"/>
    </xf>
    <xf numFmtId="0" fontId="12" fillId="2" borderId="9" xfId="0" applyFont="1" applyFill="1" applyBorder="1" applyAlignment="1">
      <alignment horizontal="center"/>
    </xf>
    <xf numFmtId="0" fontId="9" fillId="2" borderId="8" xfId="0" applyFont="1" applyFill="1" applyBorder="1"/>
    <xf numFmtId="0" fontId="12" fillId="0" borderId="3" xfId="0" applyFont="1" applyBorder="1"/>
    <xf numFmtId="164" fontId="12" fillId="0" borderId="0" xfId="2" applyFont="1" applyBorder="1" applyAlignment="1">
      <alignment horizontal="center"/>
    </xf>
    <xf numFmtId="0" fontId="12" fillId="0" borderId="0" xfId="0" applyFont="1" applyBorder="1" applyAlignment="1">
      <alignment horizontal="left"/>
    </xf>
    <xf numFmtId="0" fontId="12" fillId="0" borderId="4" xfId="0" applyFont="1" applyBorder="1" applyAlignment="1">
      <alignment horizontal="left"/>
    </xf>
    <xf numFmtId="0" fontId="12" fillId="0" borderId="5" xfId="0" applyFont="1" applyBorder="1"/>
    <xf numFmtId="164" fontId="12" fillId="0" borderId="6" xfId="2" applyFont="1" applyBorder="1" applyAlignment="1">
      <alignment horizontal="center"/>
    </xf>
    <xf numFmtId="0" fontId="12" fillId="0" borderId="6" xfId="0" applyFont="1" applyBorder="1" applyAlignment="1">
      <alignment horizontal="left"/>
    </xf>
    <xf numFmtId="164" fontId="12" fillId="0" borderId="0" xfId="0" applyNumberFormat="1" applyFont="1" applyBorder="1" applyAlignment="1">
      <alignment horizontal="center"/>
    </xf>
    <xf numFmtId="0" fontId="12" fillId="0" borderId="0" xfId="0" applyFont="1" applyBorder="1"/>
    <xf numFmtId="0" fontId="9" fillId="2" borderId="9" xfId="0" applyFont="1" applyFill="1" applyBorder="1" applyAlignment="1">
      <alignment horizontal="left"/>
    </xf>
    <xf numFmtId="0" fontId="12" fillId="2" borderId="10" xfId="0" applyFont="1" applyFill="1" applyBorder="1"/>
    <xf numFmtId="0" fontId="9" fillId="0" borderId="3" xfId="0" applyFont="1" applyBorder="1"/>
    <xf numFmtId="0" fontId="12" fillId="0" borderId="4" xfId="0" applyFont="1" applyBorder="1"/>
    <xf numFmtId="17" fontId="12" fillId="0" borderId="0" xfId="0" applyNumberFormat="1" applyFont="1" applyBorder="1" applyAlignment="1">
      <alignment horizontal="left"/>
    </xf>
    <xf numFmtId="17" fontId="12" fillId="0" borderId="0" xfId="0" applyNumberFormat="1" applyFont="1" applyBorder="1" applyAlignment="1">
      <alignment horizontal="center"/>
    </xf>
    <xf numFmtId="0" fontId="13" fillId="0" borderId="0" xfId="0" applyFont="1" applyBorder="1" applyAlignment="1">
      <alignment horizontal="left"/>
    </xf>
    <xf numFmtId="0" fontId="9" fillId="0" borderId="5" xfId="0" applyFont="1" applyBorder="1"/>
    <xf numFmtId="0" fontId="13" fillId="0" borderId="6" xfId="0" applyFont="1" applyBorder="1" applyAlignment="1">
      <alignment horizontal="left"/>
    </xf>
    <xf numFmtId="0" fontId="12" fillId="0" borderId="6" xfId="0" applyFont="1" applyBorder="1" applyAlignment="1">
      <alignment horizontal="center"/>
    </xf>
    <xf numFmtId="0" fontId="12" fillId="0" borderId="7" xfId="0" applyFont="1" applyBorder="1"/>
    <xf numFmtId="0" fontId="14" fillId="0" borderId="0" xfId="18" applyFont="1" applyFill="1" applyBorder="1" applyAlignment="1">
      <alignment horizontal="left"/>
    </xf>
    <xf numFmtId="0" fontId="9" fillId="2" borderId="8" xfId="0" applyFont="1" applyFill="1" applyBorder="1" applyAlignment="1">
      <alignment horizontal="center" vertical="center"/>
    </xf>
    <xf numFmtId="165" fontId="9" fillId="2" borderId="12" xfId="1" applyFont="1" applyFill="1" applyBorder="1" applyAlignment="1">
      <alignment horizontal="center"/>
    </xf>
    <xf numFmtId="0" fontId="9" fillId="2" borderId="12" xfId="0" applyFont="1" applyFill="1" applyBorder="1" applyAlignment="1">
      <alignment horizontal="center"/>
    </xf>
    <xf numFmtId="0" fontId="12" fillId="2" borderId="13" xfId="0" applyFont="1" applyFill="1" applyBorder="1" applyAlignment="1">
      <alignment horizontal="center"/>
    </xf>
    <xf numFmtId="0" fontId="12" fillId="0" borderId="4" xfId="0" applyFont="1" applyBorder="1" applyAlignment="1">
      <alignment horizontal="left" wrapText="1"/>
    </xf>
    <xf numFmtId="0" fontId="12" fillId="0" borderId="0" xfId="0" applyFont="1" applyFill="1" applyBorder="1" applyAlignment="1">
      <alignment horizontal="left"/>
    </xf>
    <xf numFmtId="0" fontId="15" fillId="0" borderId="0" xfId="0" applyFont="1" applyAlignment="1">
      <alignment horizontal="left"/>
    </xf>
    <xf numFmtId="0" fontId="14" fillId="0" borderId="0" xfId="18" applyFont="1" applyFill="1" applyBorder="1"/>
    <xf numFmtId="0" fontId="9" fillId="0" borderId="0" xfId="0" applyFont="1" applyAlignment="1">
      <alignment horizontal="center"/>
    </xf>
    <xf numFmtId="0" fontId="12" fillId="0" borderId="0" xfId="20" applyFill="1"/>
    <xf numFmtId="0" fontId="14" fillId="3" borderId="0" xfId="18" applyFont="1" applyBorder="1" applyAlignment="1">
      <alignment horizontal="center"/>
    </xf>
    <xf numFmtId="0" fontId="14" fillId="0" borderId="0" xfId="19" applyFont="1" applyFill="1" applyBorder="1"/>
    <xf numFmtId="9" fontId="14" fillId="3" borderId="0" xfId="18" applyNumberFormat="1" applyFont="1" applyBorder="1" applyAlignment="1">
      <alignment horizontal="center"/>
    </xf>
    <xf numFmtId="9" fontId="12" fillId="0" borderId="0" xfId="3" applyFont="1" applyFill="1"/>
    <xf numFmtId="0" fontId="9" fillId="0" borderId="0" xfId="0" applyFont="1" applyFill="1" applyBorder="1" applyAlignment="1">
      <alignment horizontal="center"/>
    </xf>
    <xf numFmtId="0" fontId="9" fillId="0" borderId="0" xfId="0" applyFont="1" applyFill="1" applyBorder="1"/>
    <xf numFmtId="166" fontId="12" fillId="0" borderId="0" xfId="0" applyNumberFormat="1" applyFont="1" applyFill="1" applyBorder="1" applyAlignment="1">
      <alignment horizontal="center"/>
    </xf>
    <xf numFmtId="0" fontId="15" fillId="0" borderId="0" xfId="0" applyFont="1" applyFill="1" applyBorder="1" applyAlignment="1">
      <alignment horizontal="left"/>
    </xf>
    <xf numFmtId="0" fontId="9" fillId="0" borderId="8" xfId="0" applyFont="1" applyBorder="1" applyAlignment="1">
      <alignment horizontal="center"/>
    </xf>
    <xf numFmtId="0" fontId="12" fillId="0" borderId="5" xfId="0" applyFont="1" applyBorder="1" applyAlignment="1">
      <alignment horizontal="center" wrapText="1"/>
    </xf>
    <xf numFmtId="0" fontId="12" fillId="0" borderId="7" xfId="0" applyFont="1" applyBorder="1" applyAlignment="1">
      <alignment horizontal="center" wrapText="1"/>
    </xf>
    <xf numFmtId="0" fontId="9" fillId="0" borderId="3" xfId="0" applyFont="1" applyBorder="1" applyAlignment="1">
      <alignment horizontal="center" vertical="center"/>
    </xf>
    <xf numFmtId="0" fontId="12" fillId="0" borderId="3" xfId="0" applyFont="1" applyBorder="1" applyAlignment="1">
      <alignment horizontal="center" wrapText="1"/>
    </xf>
    <xf numFmtId="0" fontId="12" fillId="0" borderId="4" xfId="0" applyFont="1" applyBorder="1" applyAlignment="1">
      <alignment horizontal="center" wrapText="1"/>
    </xf>
    <xf numFmtId="0" fontId="12" fillId="0" borderId="0" xfId="0" applyFont="1" applyBorder="1" applyAlignment="1">
      <alignment horizontal="center" wrapText="1"/>
    </xf>
    <xf numFmtId="2" fontId="12" fillId="0" borderId="3" xfId="0" applyNumberFormat="1" applyFont="1" applyBorder="1" applyAlignment="1">
      <alignment horizontal="center" wrapText="1"/>
    </xf>
    <xf numFmtId="0" fontId="12" fillId="0" borderId="8" xfId="0" applyFont="1" applyBorder="1" applyAlignment="1">
      <alignment horizontal="center" wrapText="1"/>
    </xf>
    <xf numFmtId="0" fontId="12" fillId="0" borderId="10" xfId="0" applyFont="1" applyBorder="1" applyAlignment="1">
      <alignment horizontal="center" wrapText="1"/>
    </xf>
    <xf numFmtId="0" fontId="9" fillId="0" borderId="3" xfId="0" applyFont="1" applyBorder="1" applyAlignment="1">
      <alignment horizontal="center"/>
    </xf>
    <xf numFmtId="10" fontId="12" fillId="0" borderId="3" xfId="0" applyNumberFormat="1" applyFont="1" applyBorder="1" applyAlignment="1">
      <alignment horizontal="center"/>
    </xf>
    <xf numFmtId="2" fontId="12" fillId="0" borderId="3" xfId="0" applyNumberFormat="1" applyFont="1" applyBorder="1" applyAlignment="1">
      <alignment horizontal="center"/>
    </xf>
    <xf numFmtId="2" fontId="12" fillId="0" borderId="4" xfId="0" applyNumberFormat="1" applyFont="1" applyBorder="1" applyAlignment="1">
      <alignment horizontal="center"/>
    </xf>
    <xf numFmtId="2" fontId="12" fillId="0" borderId="0" xfId="0" applyNumberFormat="1" applyFont="1" applyFill="1" applyBorder="1" applyAlignment="1">
      <alignment horizontal="center"/>
    </xf>
    <xf numFmtId="2" fontId="12" fillId="0" borderId="0" xfId="0" applyNumberFormat="1" applyFont="1" applyBorder="1" applyAlignment="1">
      <alignment horizontal="center"/>
    </xf>
    <xf numFmtId="2" fontId="12" fillId="0" borderId="3" xfId="0" applyNumberFormat="1" applyFont="1" applyBorder="1"/>
    <xf numFmtId="2" fontId="12" fillId="0" borderId="4" xfId="0" applyNumberFormat="1" applyFont="1" applyBorder="1"/>
    <xf numFmtId="0" fontId="9" fillId="0" borderId="5" xfId="0" applyFont="1" applyBorder="1" applyAlignment="1">
      <alignment horizontal="center"/>
    </xf>
    <xf numFmtId="0" fontId="12" fillId="0" borderId="5" xfId="0" applyFont="1" applyBorder="1" applyAlignment="1">
      <alignment horizontal="center"/>
    </xf>
    <xf numFmtId="2" fontId="12" fillId="0" borderId="5" xfId="0" applyNumberFormat="1" applyFont="1" applyBorder="1" applyAlignment="1">
      <alignment horizontal="center"/>
    </xf>
    <xf numFmtId="2" fontId="12" fillId="0" borderId="7" xfId="0" applyNumberFormat="1" applyFont="1" applyBorder="1" applyAlignment="1">
      <alignment horizontal="center"/>
    </xf>
    <xf numFmtId="2" fontId="12" fillId="0" borderId="6" xfId="0" applyNumberFormat="1" applyFont="1" applyBorder="1" applyAlignment="1">
      <alignment horizontal="center"/>
    </xf>
    <xf numFmtId="2" fontId="12" fillId="0" borderId="5" xfId="0" applyNumberFormat="1" applyFont="1" applyBorder="1"/>
    <xf numFmtId="2" fontId="12" fillId="0" borderId="7" xfId="0" applyNumberFormat="1" applyFont="1" applyBorder="1"/>
    <xf numFmtId="9" fontId="9" fillId="0" borderId="0" xfId="0" applyNumberFormat="1" applyFont="1" applyFill="1" applyBorder="1" applyAlignment="1">
      <alignment horizontal="center" vertical="center" wrapText="1"/>
    </xf>
    <xf numFmtId="172" fontId="12" fillId="0" borderId="0" xfId="1" applyNumberFormat="1" applyFont="1" applyFill="1" applyBorder="1" applyAlignment="1"/>
    <xf numFmtId="172" fontId="12" fillId="0" borderId="0" xfId="1" applyNumberFormat="1" applyFont="1" applyFill="1" applyBorder="1"/>
    <xf numFmtId="171" fontId="12" fillId="0" borderId="0" xfId="1" applyNumberFormat="1" applyFont="1" applyFill="1" applyBorder="1" applyAlignment="1"/>
    <xf numFmtId="165" fontId="12" fillId="0" borderId="0" xfId="1" applyFont="1" applyFill="1" applyBorder="1" applyAlignment="1"/>
    <xf numFmtId="173" fontId="12" fillId="0" borderId="0" xfId="1" applyNumberFormat="1" applyFont="1" applyFill="1" applyBorder="1" applyAlignment="1"/>
    <xf numFmtId="165" fontId="12" fillId="0" borderId="0" xfId="1" applyNumberFormat="1" applyFont="1" applyFill="1" applyBorder="1" applyAlignment="1"/>
    <xf numFmtId="172" fontId="12" fillId="0" borderId="0" xfId="0" applyNumberFormat="1" applyFont="1" applyFill="1" applyBorder="1"/>
    <xf numFmtId="165" fontId="9" fillId="0" borderId="0" xfId="1" applyFont="1" applyFill="1" applyBorder="1" applyAlignment="1">
      <alignment wrapText="1"/>
    </xf>
    <xf numFmtId="173" fontId="9" fillId="0" borderId="0" xfId="1" applyNumberFormat="1" applyFont="1" applyFill="1" applyBorder="1" applyAlignment="1">
      <alignment wrapText="1"/>
    </xf>
    <xf numFmtId="164" fontId="9" fillId="0" borderId="0" xfId="0" applyNumberFormat="1" applyFont="1" applyFill="1" applyBorder="1" applyAlignment="1">
      <alignment horizontal="center" wrapText="1"/>
    </xf>
    <xf numFmtId="164" fontId="12" fillId="0" borderId="0" xfId="0" applyNumberFormat="1" applyFont="1" applyFill="1" applyBorder="1"/>
    <xf numFmtId="0" fontId="12"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165" fontId="12" fillId="0" borderId="0" xfId="0" applyNumberFormat="1" applyFont="1" applyFill="1" applyBorder="1"/>
    <xf numFmtId="172" fontId="12" fillId="0" borderId="0" xfId="1" applyNumberFormat="1" applyFont="1" applyFill="1" applyBorder="1" applyAlignment="1">
      <alignment horizontal="center"/>
    </xf>
    <xf numFmtId="0" fontId="12" fillId="0" borderId="0" xfId="0" applyFont="1" applyAlignment="1">
      <alignment horizontal="center" vertical="center" wrapText="1"/>
    </xf>
    <xf numFmtId="172" fontId="12" fillId="0" borderId="0" xfId="3" applyNumberFormat="1" applyFont="1" applyFill="1" applyBorder="1" applyAlignment="1">
      <alignment horizontal="center"/>
    </xf>
    <xf numFmtId="10" fontId="12" fillId="0" borderId="0" xfId="3" applyNumberFormat="1" applyFont="1" applyFill="1" applyBorder="1" applyAlignment="1">
      <alignment horizontal="center"/>
    </xf>
    <xf numFmtId="10" fontId="9" fillId="0" borderId="0" xfId="3" applyNumberFormat="1" applyFont="1" applyFill="1" applyBorder="1" applyAlignment="1">
      <alignment horizontal="center" wrapText="1"/>
    </xf>
    <xf numFmtId="0" fontId="9" fillId="0" borderId="1" xfId="0" applyFont="1" applyFill="1" applyBorder="1" applyAlignment="1">
      <alignment horizontal="center"/>
    </xf>
    <xf numFmtId="0" fontId="9" fillId="0" borderId="1" xfId="0" applyFont="1" applyFill="1" applyBorder="1"/>
    <xf numFmtId="164" fontId="12" fillId="0" borderId="1" xfId="0" applyNumberFormat="1" applyFont="1" applyFill="1" applyBorder="1"/>
    <xf numFmtId="171" fontId="12" fillId="0" borderId="1" xfId="1" applyNumberFormat="1" applyFont="1" applyFill="1" applyBorder="1" applyAlignment="1">
      <alignment horizontal="center"/>
    </xf>
    <xf numFmtId="165" fontId="12" fillId="0" borderId="1" xfId="1" applyFont="1" applyFill="1" applyBorder="1" applyAlignment="1">
      <alignment horizontal="left"/>
    </xf>
    <xf numFmtId="165" fontId="12" fillId="0" borderId="1" xfId="1" applyNumberFormat="1" applyFont="1" applyFill="1" applyBorder="1" applyAlignment="1">
      <alignment horizontal="center"/>
    </xf>
    <xf numFmtId="164" fontId="12" fillId="0" borderId="1" xfId="0" applyNumberFormat="1" applyFont="1" applyFill="1" applyBorder="1" applyAlignment="1">
      <alignment horizontal="center"/>
    </xf>
    <xf numFmtId="172" fontId="12" fillId="0" borderId="1" xfId="1" applyNumberFormat="1" applyFont="1" applyFill="1" applyBorder="1" applyAlignment="1">
      <alignment horizontal="center"/>
    </xf>
    <xf numFmtId="0" fontId="16" fillId="0" borderId="1" xfId="0" applyFont="1" applyFill="1" applyBorder="1" applyAlignment="1">
      <alignment horizontal="center"/>
    </xf>
    <xf numFmtId="0" fontId="16" fillId="0" borderId="1" xfId="0" applyFont="1" applyFill="1" applyBorder="1"/>
    <xf numFmtId="164" fontId="9" fillId="0" borderId="1" xfId="0" applyNumberFormat="1" applyFont="1" applyFill="1" applyBorder="1" applyAlignment="1">
      <alignment horizontal="center" wrapText="1"/>
    </xf>
    <xf numFmtId="0" fontId="12" fillId="0" borderId="1" xfId="0" applyFont="1" applyFill="1" applyBorder="1" applyAlignment="1">
      <alignment horizont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2" fillId="0" borderId="6" xfId="0" applyFont="1" applyBorder="1" applyAlignment="1">
      <alignment horizontal="center" wrapText="1"/>
    </xf>
    <xf numFmtId="49" fontId="18" fillId="0" borderId="0" xfId="21" applyNumberFormat="1" applyFont="1" applyAlignment="1">
      <alignment horizontal="center" wrapText="1"/>
    </xf>
    <xf numFmtId="0" fontId="18" fillId="0" borderId="0" xfId="21" applyFont="1" applyAlignment="1">
      <alignment wrapText="1"/>
    </xf>
    <xf numFmtId="0" fontId="18" fillId="0" borderId="0" xfId="21" applyFont="1" applyAlignment="1"/>
    <xf numFmtId="0" fontId="19" fillId="0" borderId="0" xfId="21" applyFont="1" applyAlignment="1">
      <alignment wrapText="1"/>
    </xf>
    <xf numFmtId="0" fontId="20" fillId="0" borderId="0" xfId="21" applyFont="1" applyAlignment="1">
      <alignment wrapText="1"/>
    </xf>
    <xf numFmtId="49" fontId="20" fillId="0" borderId="0" xfId="21" applyNumberFormat="1" applyFont="1" applyAlignment="1">
      <alignment horizontal="center" wrapText="1"/>
    </xf>
    <xf numFmtId="0" fontId="20" fillId="14" borderId="0" xfId="21" applyFont="1" applyFill="1" applyAlignment="1">
      <alignment wrapText="1"/>
    </xf>
    <xf numFmtId="0" fontId="20" fillId="0" borderId="0" xfId="21" applyFont="1" applyAlignment="1"/>
    <xf numFmtId="0" fontId="20" fillId="13" borderId="0" xfId="21" applyFont="1" applyFill="1" applyAlignment="1">
      <alignment wrapText="1"/>
    </xf>
    <xf numFmtId="0" fontId="20" fillId="11" borderId="0" xfId="21" applyFont="1" applyFill="1" applyAlignment="1">
      <alignment wrapText="1"/>
    </xf>
    <xf numFmtId="0" fontId="20" fillId="7" borderId="0" xfId="21" applyFont="1" applyFill="1" applyAlignment="1">
      <alignment wrapText="1"/>
    </xf>
    <xf numFmtId="0" fontId="20" fillId="9" borderId="0" xfId="21" applyFont="1" applyFill="1" applyAlignment="1">
      <alignment wrapText="1"/>
    </xf>
    <xf numFmtId="49" fontId="1" fillId="8" borderId="0" xfId="46" applyNumberFormat="1" applyFill="1"/>
    <xf numFmtId="0" fontId="1" fillId="8" borderId="0" xfId="46" applyFill="1"/>
    <xf numFmtId="0" fontId="1" fillId="8" borderId="0" xfId="46" applyFill="1" applyAlignment="1">
      <alignment horizontal="center"/>
    </xf>
    <xf numFmtId="49" fontId="2" fillId="0" borderId="0" xfId="46" applyNumberFormat="1" applyFont="1"/>
    <xf numFmtId="0" fontId="2" fillId="0" borderId="0" xfId="46" applyFont="1"/>
    <xf numFmtId="174" fontId="2" fillId="0" borderId="0" xfId="46" applyNumberFormat="1" applyFont="1" applyAlignment="1">
      <alignment horizontal="center"/>
    </xf>
    <xf numFmtId="0" fontId="2" fillId="0" borderId="0" xfId="46" applyFont="1" applyAlignment="1">
      <alignment horizontal="center"/>
    </xf>
    <xf numFmtId="49" fontId="1" fillId="0" borderId="0" xfId="46" applyNumberFormat="1"/>
    <xf numFmtId="0" fontId="17" fillId="0" borderId="0" xfId="21"/>
    <xf numFmtId="0" fontId="17" fillId="0" borderId="0" xfId="21" applyAlignment="1">
      <alignment horizontal="center"/>
    </xf>
    <xf numFmtId="0" fontId="1" fillId="0" borderId="0" xfId="46"/>
    <xf numFmtId="174" fontId="1" fillId="0" borderId="0" xfId="46" applyNumberFormat="1" applyAlignment="1">
      <alignment horizontal="center"/>
    </xf>
    <xf numFmtId="0" fontId="1" fillId="0" borderId="0" xfId="46" applyAlignment="1">
      <alignment horizontal="center"/>
    </xf>
    <xf numFmtId="49" fontId="1" fillId="0" borderId="0" xfId="46" applyNumberFormat="1" applyFont="1"/>
    <xf numFmtId="0" fontId="2" fillId="0" borderId="0" xfId="46" applyFont="1" applyAlignment="1">
      <alignment horizontal="center" wrapText="1"/>
    </xf>
    <xf numFmtId="174" fontId="17" fillId="0" borderId="0" xfId="21" applyNumberFormat="1" applyAlignment="1">
      <alignment horizontal="center"/>
    </xf>
    <xf numFmtId="0" fontId="1" fillId="0" borderId="0" xfId="46" applyFont="1"/>
    <xf numFmtId="0" fontId="1" fillId="0" borderId="0" xfId="46" applyAlignment="1">
      <alignment horizontal="left"/>
    </xf>
    <xf numFmtId="0" fontId="12" fillId="0" borderId="0" xfId="0" applyFont="1" applyBorder="1" applyAlignment="1">
      <alignment horizontal="center"/>
    </xf>
    <xf numFmtId="0" fontId="12" fillId="0" borderId="0" xfId="0" applyFont="1" applyFill="1" applyBorder="1" applyAlignment="1">
      <alignment horizontal="center"/>
    </xf>
    <xf numFmtId="0" fontId="12" fillId="0" borderId="0" xfId="3" applyNumberFormat="1" applyFont="1" applyFill="1" applyAlignment="1">
      <alignment horizontal="center"/>
    </xf>
    <xf numFmtId="1" fontId="12" fillId="0" borderId="0" xfId="3" applyNumberFormat="1" applyFont="1" applyFill="1" applyAlignment="1">
      <alignment horizontal="center"/>
    </xf>
    <xf numFmtId="0" fontId="12" fillId="0" borderId="0" xfId="0" applyFont="1" applyAlignment="1">
      <alignment horizontal="left" wrapText="1" shrinkToFit="1"/>
    </xf>
    <xf numFmtId="0" fontId="12" fillId="8" borderId="0" xfId="0" applyFont="1" applyFill="1" applyAlignment="1">
      <alignment horizontal="center"/>
    </xf>
    <xf numFmtId="1" fontId="12" fillId="0" borderId="0" xfId="0" applyNumberFormat="1" applyFont="1" applyAlignment="1">
      <alignment horizontal="center"/>
    </xf>
    <xf numFmtId="0" fontId="27" fillId="0" borderId="0" xfId="0" applyFont="1" applyAlignment="1">
      <alignment horizontal="left"/>
    </xf>
    <xf numFmtId="0" fontId="27" fillId="0" borderId="0" xfId="0" applyFont="1" applyAlignment="1">
      <alignment horizontal="center"/>
    </xf>
    <xf numFmtId="0" fontId="27" fillId="0" borderId="0" xfId="0" applyFont="1" applyFill="1" applyAlignment="1">
      <alignment horizontal="center"/>
    </xf>
    <xf numFmtId="2" fontId="12" fillId="0" borderId="0" xfId="0" applyNumberFormat="1" applyFont="1" applyAlignment="1">
      <alignment horizontal="center"/>
    </xf>
    <xf numFmtId="165" fontId="12" fillId="0" borderId="0" xfId="1" applyNumberFormat="1" applyFont="1" applyFill="1" applyBorder="1" applyAlignment="1">
      <alignment horizontal="center"/>
    </xf>
    <xf numFmtId="1" fontId="12" fillId="8" borderId="0" xfId="0" applyNumberFormat="1" applyFont="1" applyFill="1" applyAlignment="1">
      <alignment horizontal="center"/>
    </xf>
    <xf numFmtId="9" fontId="14" fillId="0" borderId="0" xfId="3" applyNumberFormat="1" applyFont="1" applyAlignment="1">
      <alignment horizontal="center"/>
    </xf>
    <xf numFmtId="170" fontId="12" fillId="0" borderId="0" xfId="2" applyNumberFormat="1" applyFont="1" applyBorder="1" applyAlignment="1">
      <alignment horizontal="center"/>
    </xf>
    <xf numFmtId="1" fontId="14" fillId="0" borderId="0" xfId="3" applyNumberFormat="1" applyFont="1" applyAlignment="1">
      <alignment horizontal="center"/>
    </xf>
    <xf numFmtId="170" fontId="29" fillId="8" borderId="0" xfId="2" applyNumberFormat="1" applyFont="1" applyFill="1" applyBorder="1" applyAlignment="1">
      <alignment horizontal="center"/>
    </xf>
    <xf numFmtId="170" fontId="12" fillId="8" borderId="0" xfId="2" applyNumberFormat="1" applyFont="1" applyFill="1" applyBorder="1" applyAlignment="1">
      <alignment horizontal="center"/>
    </xf>
    <xf numFmtId="1" fontId="29" fillId="8" borderId="0" xfId="0" applyNumberFormat="1" applyFont="1" applyFill="1" applyAlignment="1">
      <alignment horizontal="center"/>
    </xf>
    <xf numFmtId="0" fontId="29" fillId="8" borderId="0" xfId="0" applyFont="1" applyFill="1" applyAlignment="1">
      <alignment horizontal="center"/>
    </xf>
    <xf numFmtId="169" fontId="12" fillId="8" borderId="0" xfId="1" applyNumberFormat="1" applyFont="1" applyFill="1" applyBorder="1" applyAlignment="1">
      <alignment horizontal="center"/>
    </xf>
    <xf numFmtId="175" fontId="12" fillId="0" borderId="0" xfId="3" applyNumberFormat="1" applyFont="1" applyAlignment="1">
      <alignment horizontal="center"/>
    </xf>
    <xf numFmtId="9" fontId="12" fillId="0" borderId="0" xfId="3" applyNumberFormat="1" applyFont="1" applyAlignment="1">
      <alignment horizontal="center"/>
    </xf>
    <xf numFmtId="9" fontId="12" fillId="0" borderId="0" xfId="0" applyNumberFormat="1" applyFont="1" applyAlignment="1">
      <alignment horizontal="center"/>
    </xf>
    <xf numFmtId="164" fontId="12" fillId="0" borderId="0" xfId="2" applyNumberFormat="1" applyFont="1" applyFill="1" applyBorder="1" applyAlignment="1">
      <alignment horizontal="center"/>
    </xf>
    <xf numFmtId="175" fontId="12" fillId="0" borderId="0" xfId="0" applyNumberFormat="1" applyFont="1" applyAlignment="1">
      <alignment horizontal="center"/>
    </xf>
    <xf numFmtId="0" fontId="9" fillId="0" borderId="0" xfId="0" applyFont="1" applyAlignment="1">
      <alignment horizontal="left" wrapText="1" shrinkToFit="1"/>
    </xf>
    <xf numFmtId="0" fontId="12" fillId="8" borderId="0" xfId="0" applyFont="1" applyFill="1"/>
    <xf numFmtId="0" fontId="9" fillId="29" borderId="0" xfId="0" applyFont="1" applyFill="1"/>
    <xf numFmtId="0" fontId="9" fillId="29" borderId="0" xfId="0" applyFont="1" applyFill="1" applyAlignment="1">
      <alignment horizontal="center"/>
    </xf>
    <xf numFmtId="0" fontId="12" fillId="29" borderId="0" xfId="0" applyFont="1" applyFill="1"/>
    <xf numFmtId="1" fontId="12" fillId="29" borderId="0" xfId="0" applyNumberFormat="1" applyFont="1" applyFill="1" applyAlignment="1">
      <alignment horizontal="center"/>
    </xf>
    <xf numFmtId="0" fontId="12" fillId="29" borderId="0" xfId="0" applyFont="1" applyFill="1" applyAlignment="1">
      <alignment horizontal="center"/>
    </xf>
    <xf numFmtId="0" fontId="12" fillId="30" borderId="0" xfId="0" applyFont="1" applyFill="1"/>
    <xf numFmtId="1" fontId="12" fillId="30" borderId="0" xfId="0" applyNumberFormat="1" applyFont="1" applyFill="1" applyAlignment="1">
      <alignment horizontal="center"/>
    </xf>
    <xf numFmtId="0" fontId="12" fillId="30" borderId="0" xfId="0" applyFont="1" applyFill="1" applyAlignment="1">
      <alignment horizontal="center"/>
    </xf>
    <xf numFmtId="0" fontId="12" fillId="31" borderId="0" xfId="0" applyFont="1" applyFill="1"/>
    <xf numFmtId="0" fontId="12" fillId="32" borderId="0" xfId="0" applyFont="1" applyFill="1"/>
    <xf numFmtId="169" fontId="12" fillId="32" borderId="0" xfId="1" applyNumberFormat="1" applyFont="1" applyFill="1" applyBorder="1" applyAlignment="1">
      <alignment horizontal="center"/>
    </xf>
    <xf numFmtId="0" fontId="12" fillId="32" borderId="0" xfId="0" applyFont="1" applyFill="1" applyBorder="1" applyAlignment="1">
      <alignment horizontal="center"/>
    </xf>
    <xf numFmtId="1" fontId="12" fillId="32" borderId="0" xfId="0" applyNumberFormat="1" applyFont="1" applyFill="1" applyAlignment="1">
      <alignment horizontal="center"/>
    </xf>
    <xf numFmtId="0" fontId="12" fillId="32" borderId="0" xfId="0" applyFont="1" applyFill="1" applyAlignment="1">
      <alignment horizontal="center"/>
    </xf>
    <xf numFmtId="169" fontId="12" fillId="32" borderId="0" xfId="0" applyNumberFormat="1" applyFont="1" applyFill="1" applyAlignment="1">
      <alignment horizontal="center"/>
    </xf>
    <xf numFmtId="170" fontId="12" fillId="32" borderId="0" xfId="2" applyNumberFormat="1" applyFont="1" applyFill="1" applyBorder="1" applyAlignment="1">
      <alignment horizontal="center"/>
    </xf>
    <xf numFmtId="0" fontId="12" fillId="32" borderId="0" xfId="0" applyFont="1" applyFill="1" applyBorder="1"/>
    <xf numFmtId="1" fontId="12" fillId="32" borderId="0" xfId="0" applyNumberFormat="1" applyFont="1" applyFill="1" applyBorder="1" applyAlignment="1">
      <alignment horizontal="center"/>
    </xf>
    <xf numFmtId="0" fontId="12" fillId="33" borderId="0" xfId="0" applyFont="1" applyFill="1"/>
    <xf numFmtId="1" fontId="12" fillId="33" borderId="0" xfId="0" applyNumberFormat="1" applyFont="1" applyFill="1" applyAlignment="1">
      <alignment horizontal="center"/>
    </xf>
    <xf numFmtId="0" fontId="12" fillId="33" borderId="0" xfId="0" applyFont="1" applyFill="1" applyAlignment="1">
      <alignment horizontal="center"/>
    </xf>
    <xf numFmtId="165" fontId="12" fillId="32" borderId="0" xfId="1" applyNumberFormat="1" applyFont="1" applyFill="1" applyBorder="1" applyAlignment="1">
      <alignment horizontal="center"/>
    </xf>
    <xf numFmtId="0" fontId="33" fillId="32" borderId="0" xfId="0" applyFont="1" applyFill="1"/>
    <xf numFmtId="170" fontId="12" fillId="0" borderId="0" xfId="0" applyNumberFormat="1" applyFont="1"/>
    <xf numFmtId="170" fontId="12" fillId="0" borderId="0" xfId="0" applyNumberFormat="1" applyFont="1" applyFill="1" applyAlignment="1">
      <alignment horizontal="center"/>
    </xf>
    <xf numFmtId="0" fontId="12" fillId="33" borderId="0" xfId="0" applyFont="1" applyFill="1" applyAlignment="1">
      <alignment horizontal="left"/>
    </xf>
    <xf numFmtId="1" fontId="12" fillId="0" borderId="0" xfId="0" applyNumberFormat="1" applyFont="1"/>
    <xf numFmtId="0" fontId="27" fillId="0" borderId="0" xfId="0" applyFont="1" applyFill="1" applyAlignment="1">
      <alignment horizontal="left"/>
    </xf>
    <xf numFmtId="165" fontId="12" fillId="0" borderId="0" xfId="0" applyNumberFormat="1" applyFont="1"/>
    <xf numFmtId="0" fontId="9" fillId="0" borderId="8" xfId="0" applyFont="1" applyBorder="1" applyAlignment="1">
      <alignment horizontal="center"/>
    </xf>
    <xf numFmtId="0" fontId="9" fillId="0" borderId="10" xfId="0" applyFont="1" applyBorder="1" applyAlignment="1">
      <alignment horizontal="center"/>
    </xf>
    <xf numFmtId="0" fontId="9" fillId="0" borderId="14" xfId="0" applyFont="1" applyBorder="1" applyAlignment="1">
      <alignment horizontal="center" vertical="center"/>
    </xf>
    <xf numFmtId="0" fontId="9" fillId="0" borderId="15" xfId="0" applyFont="1" applyBorder="1" applyAlignment="1">
      <alignment horizontal="center" vertical="center"/>
    </xf>
  </cellXfs>
  <cellStyles count="47">
    <cellStyle name="Accent1 - 20%" xfId="24" xr:uid="{00000000-0005-0000-0000-000000000000}"/>
    <cellStyle name="Accent1 - 40%" xfId="25" xr:uid="{00000000-0005-0000-0000-000001000000}"/>
    <cellStyle name="Accent1 - 60%" xfId="23" xr:uid="{00000000-0005-0000-0000-000002000000}"/>
    <cellStyle name="Accent2 - 20%" xfId="26" xr:uid="{00000000-0005-0000-0000-000003000000}"/>
    <cellStyle name="Accent2 - 40%" xfId="27" xr:uid="{00000000-0005-0000-0000-000004000000}"/>
    <cellStyle name="Accent2 - 60%" xfId="28" xr:uid="{00000000-0005-0000-0000-000005000000}"/>
    <cellStyle name="Accent3 - 20%" xfId="29" xr:uid="{00000000-0005-0000-0000-000006000000}"/>
    <cellStyle name="Accent3 - 40%" xfId="30" xr:uid="{00000000-0005-0000-0000-000007000000}"/>
    <cellStyle name="Accent3 - 60%" xfId="22" xr:uid="{00000000-0005-0000-0000-000008000000}"/>
    <cellStyle name="Accent4 - 20%" xfId="31" xr:uid="{00000000-0005-0000-0000-000009000000}"/>
    <cellStyle name="Accent4 - 40%" xfId="32" xr:uid="{00000000-0005-0000-0000-00000A000000}"/>
    <cellStyle name="Accent4 - 60%" xfId="33" xr:uid="{00000000-0005-0000-0000-00000B000000}"/>
    <cellStyle name="Accent5 - 20%" xfId="34" xr:uid="{00000000-0005-0000-0000-00000C000000}"/>
    <cellStyle name="Accent5 - 40%" xfId="35" xr:uid="{00000000-0005-0000-0000-00000D000000}"/>
    <cellStyle name="Accent5 - 60%" xfId="36" xr:uid="{00000000-0005-0000-0000-00000E000000}"/>
    <cellStyle name="Accent6 - 20%" xfId="37" xr:uid="{00000000-0005-0000-0000-00000F000000}"/>
    <cellStyle name="Accent6 - 40%" xfId="38" xr:uid="{00000000-0005-0000-0000-000010000000}"/>
    <cellStyle name="Accent6 - 60%" xfId="39" xr:uid="{00000000-0005-0000-0000-000011000000}"/>
    <cellStyle name="Calcul" xfId="19" builtinId="22"/>
    <cellStyle name="Calculation 2" xfId="40" xr:uid="{00000000-0005-0000-0000-000013000000}"/>
    <cellStyle name="Comma 2" xfId="4" xr:uid="{00000000-0005-0000-0000-000015000000}"/>
    <cellStyle name="Comma0" xfId="5" xr:uid="{00000000-0005-0000-0000-000016000000}"/>
    <cellStyle name="Currency 2" xfId="6" xr:uid="{00000000-0005-0000-0000-000018000000}"/>
    <cellStyle name="Currency0" xfId="7" xr:uid="{00000000-0005-0000-0000-000019000000}"/>
    <cellStyle name="Date" xfId="8" xr:uid="{00000000-0005-0000-0000-00001A000000}"/>
    <cellStyle name="Dummy Number" xfId="20" xr:uid="{00000000-0005-0000-0000-00001B000000}"/>
    <cellStyle name="Entrée" xfId="18" builtinId="20"/>
    <cellStyle name="Fixed" xfId="9" xr:uid="{00000000-0005-0000-0000-00001C000000}"/>
    <cellStyle name="Heading" xfId="10" xr:uid="{00000000-0005-0000-0000-00001D000000}"/>
    <cellStyle name="Input 2" xfId="41" xr:uid="{00000000-0005-0000-0000-00001F000000}"/>
    <cellStyle name="Microsoft Excel found an error in the formula you entered. Do you want to accept the correction proposed below?_x000a__x000a_|_x000a__x000a_• To accept the correction, click Yes._x000a_• To close this message and correct the formula yourself, click No." xfId="11" xr:uid="{00000000-0005-0000-0000-000020000000}"/>
    <cellStyle name="Microsoft Excel found an error in the formula you entered. Do you want to accept the correction proposed below?_x000d__x000d_|_x000d__x000d_• To accept the correction, click Yes._x000d_• To close this message and correct the formula yourself, click No." xfId="42" xr:uid="{00000000-0005-0000-0000-000021000000}"/>
    <cellStyle name="Milliers" xfId="1" builtinId="3"/>
    <cellStyle name="Monétaire" xfId="2" builtinId="4"/>
    <cellStyle name="Normal" xfId="0" builtinId="0"/>
    <cellStyle name="Normal 2" xfId="12" xr:uid="{00000000-0005-0000-0000-000023000000}"/>
    <cellStyle name="Normal 2 2" xfId="13" xr:uid="{00000000-0005-0000-0000-000024000000}"/>
    <cellStyle name="Normal 3" xfId="21" xr:uid="{00000000-0005-0000-0000-000025000000}"/>
    <cellStyle name="Normal 3 2" xfId="46" xr:uid="{00000000-0005-0000-0000-000026000000}"/>
    <cellStyle name="outside" xfId="43" xr:uid="{00000000-0005-0000-0000-000027000000}"/>
    <cellStyle name="Percent 2" xfId="14" xr:uid="{00000000-0005-0000-0000-000029000000}"/>
    <cellStyle name="Pourcentage" xfId="3" builtinId="5"/>
    <cellStyle name="Sheet Title" xfId="44" xr:uid="{00000000-0005-0000-0000-00002A000000}"/>
    <cellStyle name="Stub" xfId="15" xr:uid="{00000000-0005-0000-0000-00002B000000}"/>
    <cellStyle name="Style 1" xfId="45" xr:uid="{00000000-0005-0000-0000-00002C000000}"/>
    <cellStyle name="Top" xfId="16" xr:uid="{00000000-0005-0000-0000-00002D000000}"/>
    <cellStyle name="Totals" xfId="17" xr:uid="{00000000-0005-0000-0000-00002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drawing1.xml><?xml version="1.0" encoding="utf-8"?>
<xdr:wsDr xmlns:xdr="http://schemas.openxmlformats.org/drawingml/2006/spreadsheetDrawing" xmlns:a="http://schemas.openxmlformats.org/drawingml/2006/main">
  <xdr:twoCellAnchor>
    <xdr:from>
      <xdr:col>5</xdr:col>
      <xdr:colOff>371475</xdr:colOff>
      <xdr:row>43</xdr:row>
      <xdr:rowOff>0</xdr:rowOff>
    </xdr:from>
    <xdr:to>
      <xdr:col>6</xdr:col>
      <xdr:colOff>400050</xdr:colOff>
      <xdr:row>44</xdr:row>
      <xdr:rowOff>143459</xdr:rowOff>
    </xdr:to>
    <xdr:sp macro="" textlink="">
      <xdr:nvSpPr>
        <xdr:cNvPr id="2" name="TextBox 1">
          <a:extLst>
            <a:ext uri="{FF2B5EF4-FFF2-40B4-BE49-F238E27FC236}">
              <a16:creationId xmlns:a16="http://schemas.microsoft.com/office/drawing/2014/main" id="{9AF4A475-24E8-784E-877F-AE053657E060}"/>
            </a:ext>
          </a:extLst>
        </xdr:cNvPr>
        <xdr:cNvSpPr txBox="1"/>
      </xdr:nvSpPr>
      <xdr:spPr>
        <a:xfrm>
          <a:off x="6289675" y="6553200"/>
          <a:ext cx="917575" cy="2958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Exchange</a:t>
          </a:r>
        </a:p>
        <a:p>
          <a:pPr algn="ctr"/>
          <a:r>
            <a:rPr lang="en-US" sz="1600">
              <a:sym typeface="Wingdings"/>
            </a:rPr>
            <a:t></a:t>
          </a:r>
          <a:endParaRPr lang="en-US" sz="1600"/>
        </a:p>
      </xdr:txBody>
    </xdr:sp>
    <xdr:clientData/>
  </xdr:twoCellAnchor>
  <xdr:twoCellAnchor>
    <xdr:from>
      <xdr:col>6</xdr:col>
      <xdr:colOff>400050</xdr:colOff>
      <xdr:row>43</xdr:row>
      <xdr:rowOff>0</xdr:rowOff>
    </xdr:from>
    <xdr:to>
      <xdr:col>7</xdr:col>
      <xdr:colOff>428625</xdr:colOff>
      <xdr:row>44</xdr:row>
      <xdr:rowOff>143458</xdr:rowOff>
    </xdr:to>
    <xdr:sp macro="" textlink="">
      <xdr:nvSpPr>
        <xdr:cNvPr id="3" name="TextBox 2">
          <a:extLst>
            <a:ext uri="{FF2B5EF4-FFF2-40B4-BE49-F238E27FC236}">
              <a16:creationId xmlns:a16="http://schemas.microsoft.com/office/drawing/2014/main" id="{FF73D056-3180-E74D-B2A7-E99CB33E9C82}"/>
            </a:ext>
          </a:extLst>
        </xdr:cNvPr>
        <xdr:cNvSpPr txBox="1"/>
      </xdr:nvSpPr>
      <xdr:spPr>
        <a:xfrm>
          <a:off x="7207250" y="6553200"/>
          <a:ext cx="917575" cy="2958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Deflation</a:t>
          </a:r>
        </a:p>
        <a:p>
          <a:pPr algn="ctr"/>
          <a:r>
            <a:rPr lang="en-US" sz="1600">
              <a:sym typeface="Wingdings"/>
            </a:rPr>
            <a:t></a:t>
          </a:r>
          <a:endParaRPr lang="en-US" sz="1600"/>
        </a:p>
      </xdr:txBody>
    </xdr:sp>
    <xdr:clientData/>
  </xdr:twoCellAnchor>
  <xdr:twoCellAnchor>
    <xdr:from>
      <xdr:col>7</xdr:col>
      <xdr:colOff>314325</xdr:colOff>
      <xdr:row>43</xdr:row>
      <xdr:rowOff>0</xdr:rowOff>
    </xdr:from>
    <xdr:to>
      <xdr:col>8</xdr:col>
      <xdr:colOff>514350</xdr:colOff>
      <xdr:row>44</xdr:row>
      <xdr:rowOff>142875</xdr:rowOff>
    </xdr:to>
    <xdr:sp macro="" textlink="">
      <xdr:nvSpPr>
        <xdr:cNvPr id="4" name="TextBox 3">
          <a:extLst>
            <a:ext uri="{FF2B5EF4-FFF2-40B4-BE49-F238E27FC236}">
              <a16:creationId xmlns:a16="http://schemas.microsoft.com/office/drawing/2014/main" id="{CBBE9E5A-6B51-D548-9D6B-3E8CAF69B1BF}"/>
            </a:ext>
          </a:extLst>
        </xdr:cNvPr>
        <xdr:cNvSpPr txBox="1"/>
      </xdr:nvSpPr>
      <xdr:spPr>
        <a:xfrm>
          <a:off x="8010525" y="6553200"/>
          <a:ext cx="1089025"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Present Value</a:t>
          </a:r>
        </a:p>
        <a:p>
          <a:pPr algn="ctr"/>
          <a:r>
            <a:rPr lang="en-US" sz="1600">
              <a:sym typeface="Wingdings"/>
            </a:rPr>
            <a:t></a:t>
          </a:r>
          <a:endParaRPr lang="en-US" sz="1600"/>
        </a:p>
      </xdr:txBody>
    </xdr:sp>
    <xdr:clientData/>
  </xdr:twoCellAnchor>
  <xdr:twoCellAnchor>
    <xdr:from>
      <xdr:col>8</xdr:col>
      <xdr:colOff>438150</xdr:colOff>
      <xdr:row>43</xdr:row>
      <xdr:rowOff>0</xdr:rowOff>
    </xdr:from>
    <xdr:to>
      <xdr:col>9</xdr:col>
      <xdr:colOff>466725</xdr:colOff>
      <xdr:row>44</xdr:row>
      <xdr:rowOff>142293</xdr:rowOff>
    </xdr:to>
    <xdr:sp macro="" textlink="">
      <xdr:nvSpPr>
        <xdr:cNvPr id="5" name="TextBox 4">
          <a:extLst>
            <a:ext uri="{FF2B5EF4-FFF2-40B4-BE49-F238E27FC236}">
              <a16:creationId xmlns:a16="http://schemas.microsoft.com/office/drawing/2014/main" id="{A3C97826-A787-924B-85EC-39BAFA88713A}"/>
            </a:ext>
          </a:extLst>
        </xdr:cNvPr>
        <xdr:cNvSpPr txBox="1"/>
      </xdr:nvSpPr>
      <xdr:spPr>
        <a:xfrm>
          <a:off x="9023350" y="6553200"/>
          <a:ext cx="917575" cy="2946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Inflation</a:t>
          </a:r>
        </a:p>
        <a:p>
          <a:pPr algn="ctr"/>
          <a:r>
            <a:rPr lang="en-US" sz="1600">
              <a:sym typeface="Wingdings"/>
            </a:rPr>
            <a:t></a:t>
          </a:r>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43</xdr:row>
      <xdr:rowOff>0</xdr:rowOff>
    </xdr:from>
    <xdr:to>
      <xdr:col>6</xdr:col>
      <xdr:colOff>400050</xdr:colOff>
      <xdr:row>44</xdr:row>
      <xdr:rowOff>143459</xdr:rowOff>
    </xdr:to>
    <xdr:sp macro="" textlink="">
      <xdr:nvSpPr>
        <xdr:cNvPr id="2" name="TextBox 1">
          <a:extLst>
            <a:ext uri="{FF2B5EF4-FFF2-40B4-BE49-F238E27FC236}">
              <a16:creationId xmlns:a16="http://schemas.microsoft.com/office/drawing/2014/main" id="{00000000-0008-0000-0200-00000D000000}"/>
            </a:ext>
          </a:extLst>
        </xdr:cNvPr>
        <xdr:cNvSpPr txBox="1"/>
      </xdr:nvSpPr>
      <xdr:spPr>
        <a:xfrm>
          <a:off x="5697855" y="6880860"/>
          <a:ext cx="1514475" cy="3034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Exchange</a:t>
          </a:r>
        </a:p>
        <a:p>
          <a:pPr algn="ctr"/>
          <a:r>
            <a:rPr lang="en-US" sz="1600">
              <a:sym typeface="Wingdings"/>
            </a:rPr>
            <a:t></a:t>
          </a:r>
          <a:endParaRPr lang="en-US" sz="1600"/>
        </a:p>
      </xdr:txBody>
    </xdr:sp>
    <xdr:clientData/>
  </xdr:twoCellAnchor>
  <xdr:twoCellAnchor>
    <xdr:from>
      <xdr:col>6</xdr:col>
      <xdr:colOff>400050</xdr:colOff>
      <xdr:row>43</xdr:row>
      <xdr:rowOff>0</xdr:rowOff>
    </xdr:from>
    <xdr:to>
      <xdr:col>7</xdr:col>
      <xdr:colOff>428625</xdr:colOff>
      <xdr:row>44</xdr:row>
      <xdr:rowOff>143458</xdr:rowOff>
    </xdr:to>
    <xdr:sp macro="" textlink="">
      <xdr:nvSpPr>
        <xdr:cNvPr id="3" name="TextBox 2">
          <a:extLst>
            <a:ext uri="{FF2B5EF4-FFF2-40B4-BE49-F238E27FC236}">
              <a16:creationId xmlns:a16="http://schemas.microsoft.com/office/drawing/2014/main" id="{00000000-0008-0000-0200-00000E000000}"/>
            </a:ext>
          </a:extLst>
        </xdr:cNvPr>
        <xdr:cNvSpPr txBox="1"/>
      </xdr:nvSpPr>
      <xdr:spPr>
        <a:xfrm>
          <a:off x="7212330" y="6880860"/>
          <a:ext cx="828675" cy="3034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Deflation</a:t>
          </a:r>
        </a:p>
        <a:p>
          <a:pPr algn="ctr"/>
          <a:r>
            <a:rPr lang="en-US" sz="1600">
              <a:sym typeface="Wingdings"/>
            </a:rPr>
            <a:t></a:t>
          </a:r>
          <a:endParaRPr lang="en-US" sz="1600"/>
        </a:p>
      </xdr:txBody>
    </xdr:sp>
    <xdr:clientData/>
  </xdr:twoCellAnchor>
  <xdr:twoCellAnchor>
    <xdr:from>
      <xdr:col>7</xdr:col>
      <xdr:colOff>314325</xdr:colOff>
      <xdr:row>43</xdr:row>
      <xdr:rowOff>0</xdr:rowOff>
    </xdr:from>
    <xdr:to>
      <xdr:col>8</xdr:col>
      <xdr:colOff>514350</xdr:colOff>
      <xdr:row>44</xdr:row>
      <xdr:rowOff>142875</xdr:rowOff>
    </xdr:to>
    <xdr:sp macro="" textlink="">
      <xdr:nvSpPr>
        <xdr:cNvPr id="4" name="TextBox 3">
          <a:extLst>
            <a:ext uri="{FF2B5EF4-FFF2-40B4-BE49-F238E27FC236}">
              <a16:creationId xmlns:a16="http://schemas.microsoft.com/office/drawing/2014/main" id="{00000000-0008-0000-0200-00000F000000}"/>
            </a:ext>
          </a:extLst>
        </xdr:cNvPr>
        <xdr:cNvSpPr txBox="1"/>
      </xdr:nvSpPr>
      <xdr:spPr>
        <a:xfrm>
          <a:off x="7926705" y="6880860"/>
          <a:ext cx="1000125" cy="30289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Present Value</a:t>
          </a:r>
        </a:p>
        <a:p>
          <a:pPr algn="ctr"/>
          <a:r>
            <a:rPr lang="en-US" sz="1600">
              <a:sym typeface="Wingdings"/>
            </a:rPr>
            <a:t></a:t>
          </a:r>
          <a:endParaRPr lang="en-US" sz="1600"/>
        </a:p>
      </xdr:txBody>
    </xdr:sp>
    <xdr:clientData/>
  </xdr:twoCellAnchor>
  <xdr:twoCellAnchor>
    <xdr:from>
      <xdr:col>8</xdr:col>
      <xdr:colOff>438150</xdr:colOff>
      <xdr:row>43</xdr:row>
      <xdr:rowOff>0</xdr:rowOff>
    </xdr:from>
    <xdr:to>
      <xdr:col>9</xdr:col>
      <xdr:colOff>466725</xdr:colOff>
      <xdr:row>44</xdr:row>
      <xdr:rowOff>142293</xdr:rowOff>
    </xdr:to>
    <xdr:sp macro="" textlink="">
      <xdr:nvSpPr>
        <xdr:cNvPr id="5" name="TextBox 4">
          <a:extLst>
            <a:ext uri="{FF2B5EF4-FFF2-40B4-BE49-F238E27FC236}">
              <a16:creationId xmlns:a16="http://schemas.microsoft.com/office/drawing/2014/main" id="{00000000-0008-0000-0200-000010000000}"/>
            </a:ext>
          </a:extLst>
        </xdr:cNvPr>
        <xdr:cNvSpPr txBox="1"/>
      </xdr:nvSpPr>
      <xdr:spPr>
        <a:xfrm>
          <a:off x="8850630" y="6880860"/>
          <a:ext cx="828675" cy="3023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t>Inflation</a:t>
          </a:r>
        </a:p>
        <a:p>
          <a:pPr algn="ctr"/>
          <a:r>
            <a:rPr lang="en-US" sz="1600">
              <a:sym typeface="Wingdings"/>
            </a:rPr>
            <a:t></a:t>
          </a:r>
          <a:endParaRPr lang="en-US" sz="16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DATA98/TARGET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who.int/whr/1999/en/excel/popgbdag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TEMP/Estimating%20adult%20mortality/Relational/BaseYearUN/RegionalLifeTabl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Users/kristirasmussen/Downloads/DALY%20CEA/kenya%20budget%20tool_20#C34FE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who.int/whr/1999/en/excel/D95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Volumes/global/Policy%20Outreach/COST-EFFECTIVENESS%20CALCULATIONS/Test%20Scores/Spreadsheets/Test%20Scores-%202015.07.07%20New%20studi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WHR2003/GBD/NBD/Templates%20v2/Italy/DALYs%20country%204180%20year%202002"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C/Estimating%20adult%20mortality/Relational/New%20Stand-WHO/Country/AUSTRIA"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C/country%20consultation%202004/India/DALYs%20country%203100%20year%20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targets"/>
      <sheetName val="under5"/>
      <sheetName val="Sheet1"/>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reg"/>
      <sheetName val="whoregeco"/>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op-inter"/>
      <sheetName val="lx"/>
      <sheetName val="Adj lx"/>
      <sheetName val="DB"/>
      <sheetName val="Sheet1"/>
      <sheetName val="Global"/>
      <sheetName val="EurA"/>
      <sheetName val="EurB"/>
      <sheetName val="EurC"/>
      <sheetName val="AmrA"/>
      <sheetName val="AmrB"/>
      <sheetName val="SearD"/>
      <sheetName val="WprA"/>
      <sheetName val="WprB"/>
      <sheetName val="AmrD"/>
      <sheetName val="EmrB"/>
      <sheetName val="EmrD"/>
      <sheetName val="SearB"/>
      <sheetName val="EurA-M"/>
      <sheetName val="Chart2"/>
      <sheetName val="EurA-F"/>
      <sheetName val="Sheet2"/>
      <sheetName val="Sheet3"/>
      <sheetName val="Sheet3 (2)"/>
    </sheetNames>
    <sheetDataSet>
      <sheetData sheetId="0" refreshError="1">
        <row r="45">
          <cell r="A45">
            <v>3350</v>
          </cell>
          <cell r="B45" t="str">
            <v>SINGAPORE</v>
          </cell>
          <cell r="C45" t="str">
            <v>slope</v>
          </cell>
          <cell r="D45" t="str">
            <v>M</v>
          </cell>
          <cell r="E45">
            <v>0.92907723090646332</v>
          </cell>
          <cell r="F45">
            <v>0.9726291217792149</v>
          </cell>
          <cell r="G45">
            <v>0.94807665791612961</v>
          </cell>
          <cell r="H45">
            <v>0.93923159322195715</v>
          </cell>
          <cell r="I45">
            <v>0.98307654438077763</v>
          </cell>
          <cell r="J45">
            <v>1.0345509019934083</v>
          </cell>
          <cell r="K45">
            <v>1.0264115781044727</v>
          </cell>
          <cell r="L45">
            <v>1.0375525553320615</v>
          </cell>
          <cell r="M45">
            <v>0.99139473843277581</v>
          </cell>
          <cell r="N45">
            <v>1.0150676435807644</v>
          </cell>
          <cell r="O45">
            <v>1.0326143945712434</v>
          </cell>
          <cell r="P45">
            <v>1.0601860528220253</v>
          </cell>
          <cell r="Q45">
            <v>1.0082616749230897</v>
          </cell>
          <cell r="R45">
            <v>1.0737311185184544</v>
          </cell>
          <cell r="S45">
            <v>1.0634108443217154</v>
          </cell>
          <cell r="T45">
            <v>1.0626655849320432</v>
          </cell>
          <cell r="U45">
            <v>1.0562592114062257</v>
          </cell>
          <cell r="V45">
            <v>1.0401280061131593</v>
          </cell>
          <cell r="W45">
            <v>1.0756131198949326</v>
          </cell>
          <cell r="X45">
            <v>1.1195196873331612</v>
          </cell>
          <cell r="Y45">
            <v>1.0572364001947208</v>
          </cell>
          <cell r="Z45">
            <v>1.1161806648123604</v>
          </cell>
          <cell r="AA45">
            <v>1.1044937968777109</v>
          </cell>
          <cell r="AB45">
            <v>1.1156589789809499</v>
          </cell>
          <cell r="AC45">
            <v>1.1373970370876185</v>
          </cell>
          <cell r="AD45">
            <v>1.1281482122827089</v>
          </cell>
          <cell r="AE45">
            <v>1.1489790388558383</v>
          </cell>
          <cell r="AF45">
            <v>1.1152291079741574</v>
          </cell>
          <cell r="AG45" t="str">
            <v/>
          </cell>
        </row>
        <row r="46">
          <cell r="A46">
            <v>3350</v>
          </cell>
          <cell r="B46" t="str">
            <v>SINGAPORE</v>
          </cell>
          <cell r="C46" t="str">
            <v>intercept</v>
          </cell>
          <cell r="D46" t="str">
            <v>M</v>
          </cell>
          <cell r="E46">
            <v>0.48822078638460709</v>
          </cell>
          <cell r="F46">
            <v>0.53465310115286635</v>
          </cell>
          <cell r="G46">
            <v>0.48391656620727552</v>
          </cell>
          <cell r="H46">
            <v>0.48085810577519439</v>
          </cell>
          <cell r="I46">
            <v>0.48028861196330097</v>
          </cell>
          <cell r="J46">
            <v>0.51430865574765572</v>
          </cell>
          <cell r="K46">
            <v>0.47871725747371308</v>
          </cell>
          <cell r="L46">
            <v>0.472813105791279</v>
          </cell>
          <cell r="M46">
            <v>0.42280594531848892</v>
          </cell>
          <cell r="N46">
            <v>0.42342479940472844</v>
          </cell>
          <cell r="O46">
            <v>0.43803257698906162</v>
          </cell>
          <cell r="P46">
            <v>0.46412064042382495</v>
          </cell>
          <cell r="Q46">
            <v>0.40200301601480359</v>
          </cell>
          <cell r="R46">
            <v>0.44701940116006722</v>
          </cell>
          <cell r="S46">
            <v>0.43247464566239358</v>
          </cell>
          <cell r="T46">
            <v>0.39648868976386709</v>
          </cell>
          <cell r="U46">
            <v>0.34848308055124222</v>
          </cell>
          <cell r="V46">
            <v>0.31066971609285066</v>
          </cell>
          <cell r="W46">
            <v>0.34343637926589299</v>
          </cell>
          <cell r="X46">
            <v>0.38637933019703197</v>
          </cell>
          <cell r="Y46">
            <v>0.29982125460255649</v>
          </cell>
          <cell r="Z46">
            <v>0.33971474154837944</v>
          </cell>
          <cell r="AA46">
            <v>0.33365550585674497</v>
          </cell>
          <cell r="AB46">
            <v>0.31210207020634084</v>
          </cell>
          <cell r="AC46">
            <v>0.3470551975406917</v>
          </cell>
          <cell r="AD46">
            <v>0.32772299104861013</v>
          </cell>
          <cell r="AE46">
            <v>0.3418503400499262</v>
          </cell>
          <cell r="AF46">
            <v>0.27654006494243011</v>
          </cell>
          <cell r="AG46" t="str">
            <v/>
          </cell>
        </row>
        <row r="47">
          <cell r="A47">
            <v>3350</v>
          </cell>
          <cell r="B47" t="str">
            <v>SINGAPORE</v>
          </cell>
          <cell r="C47" t="str">
            <v>slope</v>
          </cell>
          <cell r="D47" t="str">
            <v>F</v>
          </cell>
          <cell r="E47">
            <v>0.90053210931392869</v>
          </cell>
          <cell r="F47">
            <v>0.95901062940412485</v>
          </cell>
          <cell r="G47">
            <v>0.97621557152946037</v>
          </cell>
          <cell r="H47">
            <v>0.96662212736929121</v>
          </cell>
          <cell r="I47">
            <v>1.0100005099199116</v>
          </cell>
          <cell r="J47">
            <v>1.0391160543129312</v>
          </cell>
          <cell r="K47">
            <v>1.0764834383618378</v>
          </cell>
          <cell r="L47">
            <v>1.0941255343910061</v>
          </cell>
          <cell r="M47">
            <v>1.0595686980705281</v>
          </cell>
          <cell r="N47">
            <v>1.0172091108974974</v>
          </cell>
          <cell r="O47">
            <v>0.99601859736581255</v>
          </cell>
          <cell r="P47">
            <v>1.0626442300840344</v>
          </cell>
          <cell r="Q47">
            <v>1.0754185135592416</v>
          </cell>
          <cell r="R47">
            <v>1.0731642188692434</v>
          </cell>
          <cell r="S47">
            <v>1.0547151017279017</v>
          </cell>
          <cell r="T47">
            <v>1.0877195180102848</v>
          </cell>
          <cell r="U47">
            <v>1.0771444071546934</v>
          </cell>
          <cell r="V47">
            <v>1.1187449944104657</v>
          </cell>
          <cell r="W47">
            <v>1.0727970543655949</v>
          </cell>
          <cell r="X47">
            <v>1.1262822839870867</v>
          </cell>
          <cell r="Y47">
            <v>1.1099578085691246</v>
          </cell>
          <cell r="Z47">
            <v>1.1453166675783055</v>
          </cell>
          <cell r="AA47">
            <v>1.155800275632777</v>
          </cell>
          <cell r="AB47">
            <v>1.170349105509745</v>
          </cell>
          <cell r="AC47">
            <v>1.1732623719009996</v>
          </cell>
          <cell r="AD47">
            <v>1.2078011431317033</v>
          </cell>
          <cell r="AE47">
            <v>1.1657625064633219</v>
          </cell>
          <cell r="AF47">
            <v>1.2182581200282534</v>
          </cell>
          <cell r="AG47" t="str">
            <v/>
          </cell>
        </row>
        <row r="48">
          <cell r="A48">
            <v>3350</v>
          </cell>
          <cell r="B48" t="str">
            <v>SINGAPORE</v>
          </cell>
          <cell r="C48" t="str">
            <v>intercept</v>
          </cell>
          <cell r="D48" t="str">
            <v>F</v>
          </cell>
          <cell r="E48">
            <v>0.47863718975290293</v>
          </cell>
          <cell r="F48">
            <v>0.54862855998066995</v>
          </cell>
          <cell r="G48">
            <v>0.54938517012214394</v>
          </cell>
          <cell r="H48">
            <v>0.52879530370292227</v>
          </cell>
          <cell r="I48">
            <v>0.55541440141446774</v>
          </cell>
          <cell r="J48">
            <v>0.558096583302925</v>
          </cell>
          <cell r="K48">
            <v>0.57776790476960826</v>
          </cell>
          <cell r="L48">
            <v>0.60960304867675141</v>
          </cell>
          <cell r="M48">
            <v>0.55924564117177322</v>
          </cell>
          <cell r="N48">
            <v>0.50976798999590223</v>
          </cell>
          <cell r="O48">
            <v>0.46833625463318884</v>
          </cell>
          <cell r="P48">
            <v>0.54911775209368474</v>
          </cell>
          <cell r="Q48">
            <v>0.5262423670441565</v>
          </cell>
          <cell r="R48">
            <v>0.51340840937526422</v>
          </cell>
          <cell r="S48">
            <v>0.46377726005992992</v>
          </cell>
          <cell r="T48">
            <v>0.50522080275526604</v>
          </cell>
          <cell r="U48">
            <v>0.45602643878312521</v>
          </cell>
          <cell r="V48">
            <v>0.51406527227909971</v>
          </cell>
          <cell r="W48">
            <v>0.45248314082031893</v>
          </cell>
          <cell r="X48">
            <v>0.49396062432154464</v>
          </cell>
          <cell r="Y48">
            <v>0.45665235545638194</v>
          </cell>
          <cell r="Z48">
            <v>0.47089656871161667</v>
          </cell>
          <cell r="AA48">
            <v>0.46741420779840759</v>
          </cell>
          <cell r="AB48">
            <v>0.47425052449810434</v>
          </cell>
          <cell r="AC48">
            <v>0.46522097475741031</v>
          </cell>
          <cell r="AD48">
            <v>0.5007598572543368</v>
          </cell>
          <cell r="AE48">
            <v>0.42553008334550579</v>
          </cell>
          <cell r="AF48">
            <v>0.47278848198392787</v>
          </cell>
          <cell r="AG48" t="str">
            <v/>
          </cell>
        </row>
      </sheetData>
      <sheetData sheetId="1" refreshError="1">
        <row r="1788">
          <cell r="D1788" t="str">
            <v>MALES</v>
          </cell>
          <cell r="E1788">
            <v>0</v>
          </cell>
        </row>
        <row r="1789">
          <cell r="D1789" t="str">
            <v>MALES</v>
          </cell>
          <cell r="E1789">
            <v>1</v>
          </cell>
        </row>
        <row r="1790">
          <cell r="D1790" t="str">
            <v>MALES</v>
          </cell>
          <cell r="E1790">
            <v>5</v>
          </cell>
        </row>
        <row r="1791">
          <cell r="D1791" t="str">
            <v>MALES</v>
          </cell>
          <cell r="E1791">
            <v>10</v>
          </cell>
        </row>
        <row r="1792">
          <cell r="D1792" t="str">
            <v>MALES</v>
          </cell>
          <cell r="E1792">
            <v>15</v>
          </cell>
        </row>
        <row r="1793">
          <cell r="D1793" t="str">
            <v>MALES</v>
          </cell>
          <cell r="E1793">
            <v>20</v>
          </cell>
        </row>
        <row r="1794">
          <cell r="D1794" t="str">
            <v>MALES</v>
          </cell>
          <cell r="E1794">
            <v>25</v>
          </cell>
        </row>
        <row r="1795">
          <cell r="D1795" t="str">
            <v>MALES</v>
          </cell>
          <cell r="E1795">
            <v>30</v>
          </cell>
        </row>
        <row r="1796">
          <cell r="D1796" t="str">
            <v>MALES</v>
          </cell>
          <cell r="E1796">
            <v>35</v>
          </cell>
        </row>
        <row r="1797">
          <cell r="D1797" t="str">
            <v>MALES</v>
          </cell>
          <cell r="E1797">
            <v>40</v>
          </cell>
        </row>
        <row r="1798">
          <cell r="D1798" t="str">
            <v>MALES</v>
          </cell>
          <cell r="E1798">
            <v>45</v>
          </cell>
        </row>
        <row r="1799">
          <cell r="D1799" t="str">
            <v>MALES</v>
          </cell>
          <cell r="E1799">
            <v>50</v>
          </cell>
        </row>
        <row r="1800">
          <cell r="D1800" t="str">
            <v>MALES</v>
          </cell>
          <cell r="E1800">
            <v>55</v>
          </cell>
        </row>
        <row r="1801">
          <cell r="D1801" t="str">
            <v>MALES</v>
          </cell>
          <cell r="E1801">
            <v>60</v>
          </cell>
        </row>
        <row r="1802">
          <cell r="D1802" t="str">
            <v>MALES</v>
          </cell>
          <cell r="E1802">
            <v>65</v>
          </cell>
        </row>
        <row r="1803">
          <cell r="D1803" t="str">
            <v>MALES</v>
          </cell>
          <cell r="E1803">
            <v>70</v>
          </cell>
        </row>
        <row r="1804">
          <cell r="D1804" t="str">
            <v>MALES</v>
          </cell>
          <cell r="E1804">
            <v>75</v>
          </cell>
        </row>
        <row r="1805">
          <cell r="D1805" t="str">
            <v>MALES</v>
          </cell>
          <cell r="E1805">
            <v>80</v>
          </cell>
        </row>
        <row r="1806">
          <cell r="D1806" t="str">
            <v>MALES</v>
          </cell>
          <cell r="E1806">
            <v>85</v>
          </cell>
        </row>
        <row r="1807">
          <cell r="D1807" t="str">
            <v>FEMALES</v>
          </cell>
          <cell r="E1807">
            <v>0</v>
          </cell>
        </row>
        <row r="1808">
          <cell r="D1808" t="str">
            <v>FEMALES</v>
          </cell>
          <cell r="E1808">
            <v>1</v>
          </cell>
        </row>
        <row r="1809">
          <cell r="D1809" t="str">
            <v>FEMALES</v>
          </cell>
          <cell r="E1809">
            <v>5</v>
          </cell>
        </row>
        <row r="1810">
          <cell r="D1810" t="str">
            <v>FEMALES</v>
          </cell>
          <cell r="E1810">
            <v>10</v>
          </cell>
        </row>
        <row r="1811">
          <cell r="D1811" t="str">
            <v>FEMALES</v>
          </cell>
          <cell r="E1811">
            <v>15</v>
          </cell>
        </row>
        <row r="1812">
          <cell r="D1812" t="str">
            <v>FEMALES</v>
          </cell>
          <cell r="E1812">
            <v>20</v>
          </cell>
        </row>
        <row r="1813">
          <cell r="D1813" t="str">
            <v>FEMALES</v>
          </cell>
          <cell r="E1813">
            <v>25</v>
          </cell>
        </row>
        <row r="1814">
          <cell r="D1814" t="str">
            <v>FEMALES</v>
          </cell>
          <cell r="E1814">
            <v>30</v>
          </cell>
        </row>
        <row r="1815">
          <cell r="D1815" t="str">
            <v>FEMALES</v>
          </cell>
          <cell r="E1815">
            <v>35</v>
          </cell>
        </row>
        <row r="1816">
          <cell r="D1816" t="str">
            <v>FEMALES</v>
          </cell>
          <cell r="E1816">
            <v>40</v>
          </cell>
        </row>
        <row r="1817">
          <cell r="D1817" t="str">
            <v>FEMALES</v>
          </cell>
          <cell r="E1817">
            <v>45</v>
          </cell>
        </row>
        <row r="1818">
          <cell r="D1818" t="str">
            <v>FEMALES</v>
          </cell>
          <cell r="E1818">
            <v>50</v>
          </cell>
        </row>
        <row r="1819">
          <cell r="D1819" t="str">
            <v>FEMALES</v>
          </cell>
          <cell r="E1819">
            <v>55</v>
          </cell>
        </row>
        <row r="1820">
          <cell r="D1820" t="str">
            <v>FEMALES</v>
          </cell>
          <cell r="E1820">
            <v>60</v>
          </cell>
        </row>
        <row r="1821">
          <cell r="D1821" t="str">
            <v>FEMALES</v>
          </cell>
          <cell r="E1821">
            <v>65</v>
          </cell>
        </row>
        <row r="1822">
          <cell r="D1822" t="str">
            <v>FEMALES</v>
          </cell>
          <cell r="E1822">
            <v>70</v>
          </cell>
        </row>
        <row r="1823">
          <cell r="D1823" t="str">
            <v>FEMALES</v>
          </cell>
          <cell r="E1823">
            <v>75</v>
          </cell>
        </row>
        <row r="1824">
          <cell r="D1824" t="str">
            <v>FEMALES</v>
          </cell>
          <cell r="E1824">
            <v>80</v>
          </cell>
        </row>
        <row r="1825">
          <cell r="D1825" t="str">
            <v>FEMALES</v>
          </cell>
          <cell r="E1825">
            <v>85</v>
          </cell>
        </row>
      </sheetData>
      <sheetData sheetId="2">
        <row r="45">
          <cell r="A45">
            <v>3350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ct Level Variabl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aths"/>
    </sheetNames>
    <sheetDataSet>
      <sheetData sheetId="0" refreshError="1">
        <row r="1">
          <cell r="A1" t="str">
            <v>seq_s98</v>
          </cell>
          <cell r="B1" t="str">
            <v>UN CODs</v>
          </cell>
          <cell r="C1" t="str">
            <v>UN NAME_98</v>
          </cell>
          <cell r="D1" t="str">
            <v>MS_98</v>
          </cell>
          <cell r="E1" t="str">
            <v>REG_nb</v>
          </cell>
          <cell r="F1" t="str">
            <v>REG</v>
          </cell>
          <cell r="G1" t="str">
            <v>GBD_nb</v>
          </cell>
          <cell r="H1" t="str">
            <v>GBD</v>
          </cell>
          <cell r="I1" t="str">
            <v>WHR99, eco n</v>
          </cell>
          <cell r="J1" t="str">
            <v>WHR99, eco</v>
          </cell>
          <cell r="K1" t="str">
            <v>sex</v>
          </cell>
          <cell r="L1" t="str">
            <v>Period</v>
          </cell>
          <cell r="M1" t="str">
            <v>Total</v>
          </cell>
          <cell r="N1" t="str">
            <v>0-4</v>
          </cell>
          <cell r="O1" t="str">
            <v>5-14</v>
          </cell>
          <cell r="P1" t="str">
            <v>15-29</v>
          </cell>
          <cell r="Q1" t="str">
            <v>30-44</v>
          </cell>
          <cell r="R1" t="str">
            <v>45-59</v>
          </cell>
          <cell r="S1" t="str">
            <v>60-69</v>
          </cell>
          <cell r="T1" t="str">
            <v>70+</v>
          </cell>
        </row>
        <row r="2">
          <cell r="A2">
            <v>74</v>
          </cell>
          <cell r="B2">
            <v>4</v>
          </cell>
          <cell r="C2" t="str">
            <v>Afghanistan</v>
          </cell>
          <cell r="D2">
            <v>0</v>
          </cell>
          <cell r="E2">
            <v>3</v>
          </cell>
          <cell r="F2" t="str">
            <v>Emro</v>
          </cell>
          <cell r="G2">
            <v>8</v>
          </cell>
          <cell r="H2" t="str">
            <v>mec</v>
          </cell>
          <cell r="I2">
            <v>1</v>
          </cell>
          <cell r="J2" t="str">
            <v>low and middle</v>
          </cell>
          <cell r="K2" t="str">
            <v>both sexes</v>
          </cell>
          <cell r="L2" t="str">
            <v>1995-2000</v>
          </cell>
          <cell r="M2">
            <v>2177.4299999999998</v>
          </cell>
          <cell r="N2">
            <v>1311.1790000000001</v>
          </cell>
          <cell r="O2">
            <v>113.756</v>
          </cell>
          <cell r="P2">
            <v>160.30199999999999</v>
          </cell>
          <cell r="Q2">
            <v>132</v>
          </cell>
          <cell r="R2">
            <v>146.99700000000001</v>
          </cell>
          <cell r="S2">
            <v>134.68299999999999</v>
          </cell>
          <cell r="T2">
            <v>178.51300000000001</v>
          </cell>
        </row>
        <row r="3">
          <cell r="A3">
            <v>143</v>
          </cell>
          <cell r="B3">
            <v>8</v>
          </cell>
          <cell r="C3" t="str">
            <v>Albania</v>
          </cell>
          <cell r="D3">
            <v>0</v>
          </cell>
          <cell r="E3">
            <v>4</v>
          </cell>
          <cell r="F3" t="str">
            <v>Euro</v>
          </cell>
          <cell r="G3">
            <v>2</v>
          </cell>
          <cell r="H3" t="str">
            <v>fse</v>
          </cell>
          <cell r="I3">
            <v>1</v>
          </cell>
          <cell r="J3" t="str">
            <v>low and middle</v>
          </cell>
          <cell r="K3" t="str">
            <v>both sexes</v>
          </cell>
          <cell r="L3" t="str">
            <v>1995-2000</v>
          </cell>
          <cell r="M3">
            <v>87.087000000000003</v>
          </cell>
          <cell r="N3">
            <v>13.597</v>
          </cell>
          <cell r="O3">
            <v>1.827</v>
          </cell>
          <cell r="P3">
            <v>2.9370000000000003</v>
          </cell>
          <cell r="Q3">
            <v>3.9449999999999998</v>
          </cell>
          <cell r="R3">
            <v>8.7629999999999999</v>
          </cell>
          <cell r="S3">
            <v>14.305</v>
          </cell>
          <cell r="T3">
            <v>41.713000000000001</v>
          </cell>
        </row>
        <row r="4">
          <cell r="A4">
            <v>34</v>
          </cell>
          <cell r="B4">
            <v>12</v>
          </cell>
          <cell r="C4" t="str">
            <v>Algeria</v>
          </cell>
          <cell r="D4">
            <v>0</v>
          </cell>
          <cell r="E4">
            <v>1</v>
          </cell>
          <cell r="F4" t="str">
            <v>Afro</v>
          </cell>
          <cell r="G4">
            <v>8</v>
          </cell>
          <cell r="H4" t="str">
            <v>mec</v>
          </cell>
          <cell r="I4">
            <v>1</v>
          </cell>
          <cell r="J4" t="str">
            <v>low and middle</v>
          </cell>
          <cell r="K4" t="str">
            <v>both sexes</v>
          </cell>
          <cell r="L4" t="str">
            <v>1995-2000</v>
          </cell>
          <cell r="M4">
            <v>832.15</v>
          </cell>
          <cell r="N4">
            <v>223.05799999999999</v>
          </cell>
          <cell r="O4">
            <v>29.783000000000001</v>
          </cell>
          <cell r="P4">
            <v>48.436</v>
          </cell>
          <cell r="Q4">
            <v>52.965000000000003</v>
          </cell>
          <cell r="R4">
            <v>74.546999999999997</v>
          </cell>
          <cell r="S4">
            <v>113.395</v>
          </cell>
          <cell r="T4">
            <v>289.96600000000007</v>
          </cell>
        </row>
        <row r="5">
          <cell r="A5">
            <v>25</v>
          </cell>
          <cell r="B5">
            <v>24</v>
          </cell>
          <cell r="C5" t="str">
            <v>Angola</v>
          </cell>
          <cell r="D5">
            <v>0</v>
          </cell>
          <cell r="E5">
            <v>1</v>
          </cell>
          <cell r="F5" t="str">
            <v>Afro</v>
          </cell>
          <cell r="G5">
            <v>6</v>
          </cell>
          <cell r="H5" t="str">
            <v>ssa</v>
          </cell>
          <cell r="I5">
            <v>1</v>
          </cell>
          <cell r="J5" t="str">
            <v>low and middle</v>
          </cell>
          <cell r="K5" t="str">
            <v>both sexes</v>
          </cell>
          <cell r="L5" t="str">
            <v>1995-2000</v>
          </cell>
          <cell r="M5">
            <v>1118.31</v>
          </cell>
          <cell r="N5">
            <v>602.28399999999999</v>
          </cell>
          <cell r="O5">
            <v>104.325</v>
          </cell>
          <cell r="P5">
            <v>93.799000000000007</v>
          </cell>
          <cell r="Q5">
            <v>77.826999999999998</v>
          </cell>
          <cell r="R5">
            <v>76.793999999999997</v>
          </cell>
          <cell r="S5">
            <v>65.759</v>
          </cell>
          <cell r="T5">
            <v>97.521999999999991</v>
          </cell>
        </row>
        <row r="6">
          <cell r="A6">
            <v>102</v>
          </cell>
          <cell r="B6">
            <v>31</v>
          </cell>
          <cell r="C6" t="str">
            <v>Azerbaijan</v>
          </cell>
          <cell r="D6">
            <v>0</v>
          </cell>
          <cell r="E6">
            <v>4</v>
          </cell>
          <cell r="F6" t="str">
            <v>Euro</v>
          </cell>
          <cell r="G6">
            <v>8</v>
          </cell>
          <cell r="H6" t="str">
            <v>mec</v>
          </cell>
          <cell r="I6">
            <v>1</v>
          </cell>
          <cell r="J6" t="str">
            <v>low and middle</v>
          </cell>
          <cell r="K6" t="str">
            <v>both sexes</v>
          </cell>
          <cell r="L6" t="str">
            <v>1995-2000</v>
          </cell>
          <cell r="M6">
            <v>257.23099999999999</v>
          </cell>
          <cell r="N6">
            <v>32.682000000000002</v>
          </cell>
          <cell r="O6">
            <v>5.1100000000000003</v>
          </cell>
          <cell r="P6">
            <v>10.056000000000001</v>
          </cell>
          <cell r="Q6">
            <v>22.314</v>
          </cell>
          <cell r="R6">
            <v>35.090000000000003</v>
          </cell>
          <cell r="S6">
            <v>56.853999999999999</v>
          </cell>
          <cell r="T6">
            <v>95.125</v>
          </cell>
        </row>
        <row r="7">
          <cell r="A7">
            <v>185</v>
          </cell>
          <cell r="B7">
            <v>32</v>
          </cell>
          <cell r="C7" t="str">
            <v>Argentina</v>
          </cell>
          <cell r="D7">
            <v>0</v>
          </cell>
          <cell r="E7">
            <v>2</v>
          </cell>
          <cell r="F7" t="str">
            <v>Amro</v>
          </cell>
          <cell r="G7">
            <v>7</v>
          </cell>
          <cell r="H7" t="str">
            <v>lac</v>
          </cell>
          <cell r="I7">
            <v>1</v>
          </cell>
          <cell r="J7" t="str">
            <v>low and middle</v>
          </cell>
          <cell r="K7" t="str">
            <v>both sexes</v>
          </cell>
          <cell r="L7" t="str">
            <v>1995-2000</v>
          </cell>
          <cell r="M7">
            <v>1426.0920000000001</v>
          </cell>
          <cell r="N7">
            <v>91.304000000000002</v>
          </cell>
          <cell r="O7">
            <v>10.260999999999999</v>
          </cell>
          <cell r="P7">
            <v>37.046999999999997</v>
          </cell>
          <cell r="Q7">
            <v>66.525999999999996</v>
          </cell>
          <cell r="R7">
            <v>178.81299999999999</v>
          </cell>
          <cell r="S7">
            <v>236.25700000000001</v>
          </cell>
          <cell r="T7">
            <v>805.88400000000001</v>
          </cell>
        </row>
        <row r="8">
          <cell r="A8">
            <v>202</v>
          </cell>
          <cell r="B8">
            <v>36</v>
          </cell>
          <cell r="C8" t="str">
            <v>Australia (13)</v>
          </cell>
          <cell r="D8">
            <v>0</v>
          </cell>
          <cell r="E8">
            <v>6</v>
          </cell>
          <cell r="F8" t="str">
            <v>Wpro</v>
          </cell>
          <cell r="G8">
            <v>1</v>
          </cell>
          <cell r="H8" t="str">
            <v>eme</v>
          </cell>
          <cell r="I8">
            <v>4</v>
          </cell>
          <cell r="J8" t="str">
            <v>high</v>
          </cell>
          <cell r="K8" t="str">
            <v>both sexes</v>
          </cell>
          <cell r="L8" t="str">
            <v>1995-2000</v>
          </cell>
          <cell r="M8">
            <v>698.71</v>
          </cell>
          <cell r="N8">
            <v>8.7989999999999995</v>
          </cell>
          <cell r="O8">
            <v>2.1120000000000001</v>
          </cell>
          <cell r="P8">
            <v>12.759</v>
          </cell>
          <cell r="Q8">
            <v>23.852</v>
          </cell>
          <cell r="R8">
            <v>59.674999999999997</v>
          </cell>
          <cell r="S8">
            <v>93.140999999999991</v>
          </cell>
          <cell r="T8">
            <v>498.37200000000001</v>
          </cell>
        </row>
        <row r="9">
          <cell r="A9">
            <v>155</v>
          </cell>
          <cell r="B9">
            <v>40</v>
          </cell>
          <cell r="C9" t="str">
            <v>Austria</v>
          </cell>
          <cell r="D9">
            <v>0</v>
          </cell>
          <cell r="E9">
            <v>4</v>
          </cell>
          <cell r="F9" t="str">
            <v>Euro</v>
          </cell>
          <cell r="G9">
            <v>1</v>
          </cell>
          <cell r="H9" t="str">
            <v>eme</v>
          </cell>
          <cell r="I9">
            <v>4</v>
          </cell>
          <cell r="J9" t="str">
            <v>high</v>
          </cell>
          <cell r="K9" t="str">
            <v>both sexes</v>
          </cell>
          <cell r="L9" t="str">
            <v>1995-2000</v>
          </cell>
          <cell r="M9">
            <v>405.363</v>
          </cell>
          <cell r="N9">
            <v>3.2719999999999998</v>
          </cell>
          <cell r="O9">
            <v>0.74399999999999999</v>
          </cell>
          <cell r="P9">
            <v>5.6539999999999999</v>
          </cell>
          <cell r="Q9">
            <v>12.847999999999999</v>
          </cell>
          <cell r="R9">
            <v>36.653000000000006</v>
          </cell>
          <cell r="S9">
            <v>55.228999999999999</v>
          </cell>
          <cell r="T9">
            <v>290.96299999999997</v>
          </cell>
        </row>
        <row r="10">
          <cell r="A10">
            <v>164</v>
          </cell>
          <cell r="B10">
            <v>44</v>
          </cell>
          <cell r="C10" t="str">
            <v>Bahamas</v>
          </cell>
          <cell r="D10">
            <v>0</v>
          </cell>
          <cell r="E10">
            <v>2</v>
          </cell>
          <cell r="F10" t="str">
            <v>Amro</v>
          </cell>
          <cell r="G10">
            <v>7</v>
          </cell>
          <cell r="H10" t="str">
            <v>lac</v>
          </cell>
          <cell r="I10">
            <v>4</v>
          </cell>
          <cell r="J10" t="str">
            <v>high</v>
          </cell>
          <cell r="K10" t="str">
            <v>both sexes</v>
          </cell>
          <cell r="L10" t="str">
            <v>1995-2000</v>
          </cell>
          <cell r="M10">
            <v>7.2549999999999999</v>
          </cell>
          <cell r="N10">
            <v>0.6</v>
          </cell>
          <cell r="O10">
            <v>7.3999999999999996E-2</v>
          </cell>
          <cell r="P10">
            <v>0.40899999999999997</v>
          </cell>
          <cell r="Q10">
            <v>0.89800000000000013</v>
          </cell>
          <cell r="R10">
            <v>1.2610000000000001</v>
          </cell>
          <cell r="S10">
            <v>1.1560000000000001</v>
          </cell>
          <cell r="T10">
            <v>2.8569999999999998</v>
          </cell>
        </row>
        <row r="11">
          <cell r="A11">
            <v>103</v>
          </cell>
          <cell r="B11">
            <v>48</v>
          </cell>
          <cell r="C11" t="str">
            <v>Bahrain</v>
          </cell>
          <cell r="D11">
            <v>0</v>
          </cell>
          <cell r="E11">
            <v>3</v>
          </cell>
          <cell r="F11" t="str">
            <v>Emro</v>
          </cell>
          <cell r="G11">
            <v>8</v>
          </cell>
          <cell r="H11" t="str">
            <v>mec</v>
          </cell>
          <cell r="I11">
            <v>1</v>
          </cell>
          <cell r="J11" t="str">
            <v>low and middle</v>
          </cell>
          <cell r="K11" t="str">
            <v>both sexes</v>
          </cell>
          <cell r="L11" t="str">
            <v>1995-2000</v>
          </cell>
          <cell r="M11">
            <v>10.502000000000001</v>
          </cell>
          <cell r="N11">
            <v>1.3420000000000001</v>
          </cell>
          <cell r="O11">
            <v>0.16699999999999998</v>
          </cell>
          <cell r="P11">
            <v>0.48</v>
          </cell>
          <cell r="Q11">
            <v>1.337</v>
          </cell>
          <cell r="R11">
            <v>2.0459999999999998</v>
          </cell>
          <cell r="S11">
            <v>1.754</v>
          </cell>
          <cell r="T11">
            <v>3.3760000000000003</v>
          </cell>
        </row>
        <row r="12">
          <cell r="A12">
            <v>75</v>
          </cell>
          <cell r="B12">
            <v>50</v>
          </cell>
          <cell r="C12" t="str">
            <v>Bangladesh</v>
          </cell>
          <cell r="D12">
            <v>0</v>
          </cell>
          <cell r="E12">
            <v>5</v>
          </cell>
          <cell r="F12" t="str">
            <v>Searo</v>
          </cell>
          <cell r="G12">
            <v>5</v>
          </cell>
          <cell r="H12" t="str">
            <v>oai</v>
          </cell>
          <cell r="I12">
            <v>1</v>
          </cell>
          <cell r="J12" t="str">
            <v>low and middle</v>
          </cell>
          <cell r="K12" t="str">
            <v>both sexes</v>
          </cell>
          <cell r="L12" t="str">
            <v>1995-2000</v>
          </cell>
          <cell r="M12">
            <v>5940.4089999999997</v>
          </cell>
          <cell r="N12">
            <v>1878.85</v>
          </cell>
          <cell r="O12">
            <v>309.23400000000004</v>
          </cell>
          <cell r="P12">
            <v>649.97800000000007</v>
          </cell>
          <cell r="Q12">
            <v>586.03300000000002</v>
          </cell>
          <cell r="R12">
            <v>729.726</v>
          </cell>
          <cell r="S12">
            <v>644.74300000000005</v>
          </cell>
          <cell r="T12">
            <v>1141.845</v>
          </cell>
        </row>
        <row r="13">
          <cell r="A13">
            <v>101</v>
          </cell>
          <cell r="B13">
            <v>51</v>
          </cell>
          <cell r="C13" t="str">
            <v>Armenia</v>
          </cell>
          <cell r="D13">
            <v>0</v>
          </cell>
          <cell r="E13">
            <v>4</v>
          </cell>
          <cell r="F13" t="str">
            <v>Euro</v>
          </cell>
          <cell r="G13">
            <v>8</v>
          </cell>
          <cell r="H13" t="str">
            <v>mec</v>
          </cell>
          <cell r="I13">
            <v>1</v>
          </cell>
          <cell r="J13" t="str">
            <v>low and middle</v>
          </cell>
          <cell r="K13" t="str">
            <v>both sexes</v>
          </cell>
          <cell r="L13" t="str">
            <v>1995-2000</v>
          </cell>
          <cell r="M13">
            <v>135.547</v>
          </cell>
          <cell r="N13">
            <v>7.8949999999999996</v>
          </cell>
          <cell r="O13">
            <v>1.3940000000000001</v>
          </cell>
          <cell r="P13">
            <v>4.1059999999999999</v>
          </cell>
          <cell r="Q13">
            <v>11.193000000000001</v>
          </cell>
          <cell r="R13">
            <v>18.588999999999999</v>
          </cell>
          <cell r="S13">
            <v>32.867999999999995</v>
          </cell>
          <cell r="T13">
            <v>59.502000000000002</v>
          </cell>
        </row>
        <row r="14">
          <cell r="A14">
            <v>165</v>
          </cell>
          <cell r="B14">
            <v>52</v>
          </cell>
          <cell r="C14" t="str">
            <v>Barbados</v>
          </cell>
          <cell r="D14">
            <v>0</v>
          </cell>
          <cell r="E14">
            <v>2</v>
          </cell>
          <cell r="F14" t="str">
            <v>Amro</v>
          </cell>
          <cell r="G14">
            <v>7</v>
          </cell>
          <cell r="H14" t="str">
            <v>lac</v>
          </cell>
          <cell r="I14">
            <v>1</v>
          </cell>
          <cell r="J14" t="str">
            <v>low and middle</v>
          </cell>
          <cell r="K14" t="str">
            <v>both sexes</v>
          </cell>
          <cell r="L14" t="str">
            <v>1995-2000</v>
          </cell>
          <cell r="M14">
            <v>10.987</v>
          </cell>
          <cell r="N14">
            <v>0.249</v>
          </cell>
          <cell r="O14">
            <v>3.9E-2</v>
          </cell>
          <cell r="P14">
            <v>0.157</v>
          </cell>
          <cell r="Q14">
            <v>0.4</v>
          </cell>
          <cell r="R14">
            <v>0.88500000000000001</v>
          </cell>
          <cell r="S14">
            <v>1.278</v>
          </cell>
          <cell r="T14">
            <v>7.9790000000000001</v>
          </cell>
        </row>
        <row r="15">
          <cell r="A15">
            <v>156</v>
          </cell>
          <cell r="B15">
            <v>56</v>
          </cell>
          <cell r="C15" t="str">
            <v>Belgium</v>
          </cell>
          <cell r="D15">
            <v>0</v>
          </cell>
          <cell r="E15">
            <v>4</v>
          </cell>
          <cell r="F15" t="str">
            <v>Euro</v>
          </cell>
          <cell r="G15">
            <v>1</v>
          </cell>
          <cell r="H15" t="str">
            <v>eme</v>
          </cell>
          <cell r="I15">
            <v>4</v>
          </cell>
          <cell r="J15" t="str">
            <v>high</v>
          </cell>
          <cell r="K15" t="str">
            <v>both sexes</v>
          </cell>
          <cell r="L15" t="str">
            <v>1995-2000</v>
          </cell>
          <cell r="M15">
            <v>531.83600000000001</v>
          </cell>
          <cell r="N15">
            <v>4.5970000000000004</v>
          </cell>
          <cell r="O15">
            <v>0.95400000000000007</v>
          </cell>
          <cell r="P15">
            <v>5.8559999999999999</v>
          </cell>
          <cell r="Q15">
            <v>13.807</v>
          </cell>
          <cell r="R15">
            <v>41.387999999999998</v>
          </cell>
          <cell r="S15">
            <v>79.936000000000007</v>
          </cell>
          <cell r="T15">
            <v>385.298</v>
          </cell>
        </row>
        <row r="16">
          <cell r="A16">
            <v>76</v>
          </cell>
          <cell r="B16">
            <v>64</v>
          </cell>
          <cell r="C16" t="str">
            <v>Bhutan</v>
          </cell>
          <cell r="D16">
            <v>0</v>
          </cell>
          <cell r="E16">
            <v>5</v>
          </cell>
          <cell r="F16" t="str">
            <v>Searo</v>
          </cell>
          <cell r="G16">
            <v>5</v>
          </cell>
          <cell r="H16" t="str">
            <v>oai</v>
          </cell>
          <cell r="I16">
            <v>1</v>
          </cell>
          <cell r="J16" t="str">
            <v>low and middle</v>
          </cell>
          <cell r="K16" t="str">
            <v>both sexes</v>
          </cell>
          <cell r="L16" t="str">
            <v>1995-2000</v>
          </cell>
          <cell r="M16">
            <v>97.08</v>
          </cell>
          <cell r="N16">
            <v>36.088999999999999</v>
          </cell>
          <cell r="O16">
            <v>6.4890000000000008</v>
          </cell>
          <cell r="P16">
            <v>8.3979999999999997</v>
          </cell>
          <cell r="Q16">
            <v>7.9109999999999996</v>
          </cell>
          <cell r="R16">
            <v>9.5609999999999999</v>
          </cell>
          <cell r="S16">
            <v>9.7830000000000013</v>
          </cell>
          <cell r="T16">
            <v>18.848999999999997</v>
          </cell>
        </row>
        <row r="17">
          <cell r="A17">
            <v>186</v>
          </cell>
          <cell r="B17">
            <v>68</v>
          </cell>
          <cell r="C17" t="str">
            <v>Bolivia</v>
          </cell>
          <cell r="D17">
            <v>0</v>
          </cell>
          <cell r="E17">
            <v>2</v>
          </cell>
          <cell r="F17" t="str">
            <v>Amro</v>
          </cell>
          <cell r="G17">
            <v>7</v>
          </cell>
          <cell r="H17" t="str">
            <v>lac</v>
          </cell>
          <cell r="I17">
            <v>1</v>
          </cell>
          <cell r="J17" t="str">
            <v>low and middle</v>
          </cell>
          <cell r="K17" t="str">
            <v>both sexes</v>
          </cell>
          <cell r="L17" t="str">
            <v>1995-2000</v>
          </cell>
          <cell r="M17">
            <v>358.38799999999998</v>
          </cell>
          <cell r="N17">
            <v>116.941</v>
          </cell>
          <cell r="O17">
            <v>21.748000000000001</v>
          </cell>
          <cell r="P17">
            <v>31.746000000000002</v>
          </cell>
          <cell r="Q17">
            <v>30.616</v>
          </cell>
          <cell r="R17">
            <v>39.874000000000002</v>
          </cell>
          <cell r="S17">
            <v>40.465999999999994</v>
          </cell>
          <cell r="T17">
            <v>76.996999999999986</v>
          </cell>
        </row>
        <row r="18">
          <cell r="A18">
            <v>144</v>
          </cell>
          <cell r="B18">
            <v>70</v>
          </cell>
          <cell r="C18" t="str">
            <v>Bosnia and Herzegovina</v>
          </cell>
          <cell r="D18">
            <v>0</v>
          </cell>
          <cell r="E18">
            <v>4</v>
          </cell>
          <cell r="F18" t="str">
            <v>Euro</v>
          </cell>
          <cell r="G18">
            <v>2</v>
          </cell>
          <cell r="H18" t="str">
            <v>fse</v>
          </cell>
          <cell r="I18">
            <v>1</v>
          </cell>
          <cell r="J18" t="str">
            <v>low and middle</v>
          </cell>
          <cell r="K18" t="str">
            <v>both sexes</v>
          </cell>
          <cell r="L18" t="str">
            <v>1995-2000</v>
          </cell>
          <cell r="M18">
            <v>136.75700000000001</v>
          </cell>
          <cell r="N18">
            <v>3.5569999999999999</v>
          </cell>
          <cell r="O18">
            <v>0.72099999999999997</v>
          </cell>
          <cell r="P18">
            <v>2.9350000000000001</v>
          </cell>
          <cell r="Q18">
            <v>7.89</v>
          </cell>
          <cell r="R18">
            <v>20.271000000000001</v>
          </cell>
          <cell r="S18">
            <v>35.258000000000003</v>
          </cell>
          <cell r="T18">
            <v>66.125</v>
          </cell>
        </row>
        <row r="19">
          <cell r="A19">
            <v>42</v>
          </cell>
          <cell r="B19">
            <v>72</v>
          </cell>
          <cell r="C19" t="str">
            <v>Botswana</v>
          </cell>
          <cell r="D19">
            <v>0</v>
          </cell>
          <cell r="E19">
            <v>1</v>
          </cell>
          <cell r="F19" t="str">
            <v>Afro</v>
          </cell>
          <cell r="G19">
            <v>6</v>
          </cell>
          <cell r="H19" t="str">
            <v>ssa</v>
          </cell>
          <cell r="I19">
            <v>1</v>
          </cell>
          <cell r="J19" t="str">
            <v>low and middle</v>
          </cell>
          <cell r="K19" t="str">
            <v>both sexes</v>
          </cell>
          <cell r="L19" t="str">
            <v>1995-2000</v>
          </cell>
          <cell r="M19">
            <v>115.024</v>
          </cell>
          <cell r="N19">
            <v>27.532</v>
          </cell>
          <cell r="O19">
            <v>4.7229999999999999</v>
          </cell>
          <cell r="P19">
            <v>13.266</v>
          </cell>
          <cell r="Q19">
            <v>28.175000000000001</v>
          </cell>
          <cell r="R19">
            <v>21.860999999999997</v>
          </cell>
          <cell r="S19">
            <v>8.6229999999999993</v>
          </cell>
          <cell r="T19">
            <v>10.844000000000001</v>
          </cell>
        </row>
        <row r="20">
          <cell r="A20">
            <v>187</v>
          </cell>
          <cell r="B20">
            <v>76</v>
          </cell>
          <cell r="C20" t="str">
            <v>Brazil</v>
          </cell>
          <cell r="D20">
            <v>0</v>
          </cell>
          <cell r="E20">
            <v>2</v>
          </cell>
          <cell r="F20" t="str">
            <v>Amro</v>
          </cell>
          <cell r="G20">
            <v>7</v>
          </cell>
          <cell r="H20" t="str">
            <v>lac</v>
          </cell>
          <cell r="I20">
            <v>1</v>
          </cell>
          <cell r="J20" t="str">
            <v>low and middle</v>
          </cell>
          <cell r="K20" t="str">
            <v>both sexes</v>
          </cell>
          <cell r="L20" t="str">
            <v>1995-2000</v>
          </cell>
          <cell r="M20">
            <v>5951.4369999999999</v>
          </cell>
          <cell r="N20">
            <v>811.96500000000003</v>
          </cell>
          <cell r="O20">
            <v>116.947</v>
          </cell>
          <cell r="P20">
            <v>430.23900000000003</v>
          </cell>
          <cell r="Q20">
            <v>746.69800000000009</v>
          </cell>
          <cell r="R20">
            <v>1018.97</v>
          </cell>
          <cell r="S20">
            <v>898.34500000000003</v>
          </cell>
          <cell r="T20">
            <v>1928.2730000000001</v>
          </cell>
        </row>
        <row r="21">
          <cell r="A21">
            <v>176</v>
          </cell>
          <cell r="B21">
            <v>84</v>
          </cell>
          <cell r="C21" t="str">
            <v>Belize</v>
          </cell>
          <cell r="D21">
            <v>0</v>
          </cell>
          <cell r="E21">
            <v>2</v>
          </cell>
          <cell r="F21" t="str">
            <v>Amro</v>
          </cell>
          <cell r="G21">
            <v>7</v>
          </cell>
          <cell r="H21" t="str">
            <v>lac</v>
          </cell>
          <cell r="I21">
            <v>1</v>
          </cell>
          <cell r="J21" t="str">
            <v>low and middle</v>
          </cell>
          <cell r="K21" t="str">
            <v>both sexes</v>
          </cell>
          <cell r="L21" t="str">
            <v>1995-2000</v>
          </cell>
          <cell r="M21">
            <v>4.78</v>
          </cell>
          <cell r="N21">
            <v>1.3009999999999999</v>
          </cell>
          <cell r="O21">
            <v>0.11599999999999999</v>
          </cell>
          <cell r="P21">
            <v>0.20100000000000001</v>
          </cell>
          <cell r="Q21">
            <v>0.248</v>
          </cell>
          <cell r="R21">
            <v>0.35799999999999998</v>
          </cell>
          <cell r="S21">
            <v>0.58199999999999996</v>
          </cell>
          <cell r="T21">
            <v>1.974</v>
          </cell>
        </row>
        <row r="22">
          <cell r="A22">
            <v>208</v>
          </cell>
          <cell r="B22">
            <v>90</v>
          </cell>
          <cell r="C22" t="str">
            <v>Solomon Islands</v>
          </cell>
          <cell r="D22">
            <v>0</v>
          </cell>
          <cell r="E22">
            <v>6</v>
          </cell>
          <cell r="F22" t="str">
            <v>Wpro</v>
          </cell>
          <cell r="G22">
            <v>5</v>
          </cell>
          <cell r="H22" t="str">
            <v>oai</v>
          </cell>
          <cell r="I22">
            <v>1</v>
          </cell>
          <cell r="J22" t="str">
            <v>low and middle</v>
          </cell>
          <cell r="K22" t="str">
            <v>both sexes</v>
          </cell>
          <cell r="L22" t="str">
            <v>1995-2000</v>
          </cell>
          <cell r="M22">
            <v>8.1940000000000008</v>
          </cell>
          <cell r="N22">
            <v>1.974</v>
          </cell>
          <cell r="O22">
            <v>0.217</v>
          </cell>
          <cell r="P22">
            <v>0.51100000000000001</v>
          </cell>
          <cell r="Q22">
            <v>0.54100000000000004</v>
          </cell>
          <cell r="R22">
            <v>1.0900000000000001</v>
          </cell>
          <cell r="S22">
            <v>1.2889999999999999</v>
          </cell>
          <cell r="T22">
            <v>2.5719999999999996</v>
          </cell>
        </row>
        <row r="23">
          <cell r="A23">
            <v>89</v>
          </cell>
          <cell r="B23">
            <v>96</v>
          </cell>
          <cell r="C23" t="str">
            <v>Brunei Darussalam</v>
          </cell>
          <cell r="D23">
            <v>0</v>
          </cell>
          <cell r="E23">
            <v>6</v>
          </cell>
          <cell r="F23" t="str">
            <v>Wpro</v>
          </cell>
          <cell r="G23">
            <v>5</v>
          </cell>
          <cell r="H23" t="str">
            <v>oai</v>
          </cell>
          <cell r="I23">
            <v>4</v>
          </cell>
          <cell r="J23" t="str">
            <v>high</v>
          </cell>
          <cell r="K23" t="str">
            <v>both sexes</v>
          </cell>
          <cell r="L23" t="str">
            <v>1995-2000</v>
          </cell>
          <cell r="M23">
            <v>4.7539999999999996</v>
          </cell>
          <cell r="N23">
            <v>0.40600000000000003</v>
          </cell>
          <cell r="O23">
            <v>9.8000000000000004E-2</v>
          </cell>
          <cell r="P23">
            <v>0.26800000000000002</v>
          </cell>
          <cell r="Q23">
            <v>0.39500000000000002</v>
          </cell>
          <cell r="R23">
            <v>0.78899999999999992</v>
          </cell>
          <cell r="S23">
            <v>0.8</v>
          </cell>
          <cell r="T23">
            <v>1.998</v>
          </cell>
        </row>
        <row r="24">
          <cell r="A24">
            <v>122</v>
          </cell>
          <cell r="B24">
            <v>100</v>
          </cell>
          <cell r="C24" t="str">
            <v>Bulgaria</v>
          </cell>
          <cell r="D24">
            <v>0</v>
          </cell>
          <cell r="E24">
            <v>4</v>
          </cell>
          <cell r="F24" t="str">
            <v>Euro</v>
          </cell>
          <cell r="G24">
            <v>2</v>
          </cell>
          <cell r="H24" t="str">
            <v>fse</v>
          </cell>
          <cell r="I24">
            <v>1</v>
          </cell>
          <cell r="J24" t="str">
            <v>low and middle</v>
          </cell>
          <cell r="K24" t="str">
            <v>both sexes</v>
          </cell>
          <cell r="L24" t="str">
            <v>1995-2000</v>
          </cell>
          <cell r="M24">
            <v>563.53399999999999</v>
          </cell>
          <cell r="N24">
            <v>7.6470000000000002</v>
          </cell>
          <cell r="O24">
            <v>2.2130000000000001</v>
          </cell>
          <cell r="P24">
            <v>9.0510000000000002</v>
          </cell>
          <cell r="Q24">
            <v>20.573999999999998</v>
          </cell>
          <cell r="R24">
            <v>66.691999999999993</v>
          </cell>
          <cell r="S24">
            <v>112.01599999999999</v>
          </cell>
          <cell r="T24">
            <v>345.34100000000001</v>
          </cell>
        </row>
        <row r="25">
          <cell r="A25">
            <v>95</v>
          </cell>
          <cell r="B25">
            <v>104</v>
          </cell>
          <cell r="C25" t="str">
            <v>Myanmar</v>
          </cell>
          <cell r="D25">
            <v>0</v>
          </cell>
          <cell r="E25">
            <v>5</v>
          </cell>
          <cell r="F25" t="str">
            <v>Searo</v>
          </cell>
          <cell r="G25">
            <v>5</v>
          </cell>
          <cell r="H25" t="str">
            <v>oai</v>
          </cell>
          <cell r="I25">
            <v>1</v>
          </cell>
          <cell r="J25" t="str">
            <v>low and middle</v>
          </cell>
          <cell r="K25" t="str">
            <v>both sexes</v>
          </cell>
          <cell r="L25" t="str">
            <v>1995-2000</v>
          </cell>
          <cell r="M25">
            <v>2068.0259999999998</v>
          </cell>
          <cell r="N25">
            <v>532.68200000000002</v>
          </cell>
          <cell r="O25">
            <v>84.356999999999999</v>
          </cell>
          <cell r="P25">
            <v>124.77200000000001</v>
          </cell>
          <cell r="Q25">
            <v>168.649</v>
          </cell>
          <cell r="R25">
            <v>278.48699999999997</v>
          </cell>
          <cell r="S25">
            <v>349.29500000000002</v>
          </cell>
          <cell r="T25">
            <v>529.78399999999999</v>
          </cell>
        </row>
        <row r="26">
          <cell r="A26">
            <v>7</v>
          </cell>
          <cell r="B26">
            <v>108</v>
          </cell>
          <cell r="C26" t="str">
            <v>Burundi</v>
          </cell>
          <cell r="D26">
            <v>0</v>
          </cell>
          <cell r="E26">
            <v>1</v>
          </cell>
          <cell r="F26" t="str">
            <v>Afro</v>
          </cell>
          <cell r="G26">
            <v>6</v>
          </cell>
          <cell r="H26" t="str">
            <v>ssa</v>
          </cell>
          <cell r="I26">
            <v>1</v>
          </cell>
          <cell r="J26" t="str">
            <v>low and middle</v>
          </cell>
          <cell r="K26" t="str">
            <v>both sexes</v>
          </cell>
          <cell r="L26" t="str">
            <v>1995-2000</v>
          </cell>
          <cell r="M26">
            <v>639.15</v>
          </cell>
          <cell r="N26">
            <v>254.42099999999999</v>
          </cell>
          <cell r="O26">
            <v>68.456999999999994</v>
          </cell>
          <cell r="P26">
            <v>64.546000000000006</v>
          </cell>
          <cell r="Q26">
            <v>91.237000000000009</v>
          </cell>
          <cell r="R26">
            <v>66.533000000000001</v>
          </cell>
          <cell r="S26">
            <v>35.805</v>
          </cell>
          <cell r="T26">
            <v>58.150999999999996</v>
          </cell>
        </row>
        <row r="27">
          <cell r="A27">
            <v>121</v>
          </cell>
          <cell r="B27">
            <v>112</v>
          </cell>
          <cell r="C27" t="str">
            <v>Belarus</v>
          </cell>
          <cell r="D27">
            <v>0</v>
          </cell>
          <cell r="E27">
            <v>4</v>
          </cell>
          <cell r="F27" t="str">
            <v>Euro</v>
          </cell>
          <cell r="G27">
            <v>2</v>
          </cell>
          <cell r="H27" t="str">
            <v>fse</v>
          </cell>
          <cell r="I27">
            <v>1</v>
          </cell>
          <cell r="J27" t="str">
            <v>low and middle</v>
          </cell>
          <cell r="K27" t="str">
            <v>both sexes</v>
          </cell>
          <cell r="L27" t="str">
            <v>1995-2000</v>
          </cell>
          <cell r="M27">
            <v>680.79499999999996</v>
          </cell>
          <cell r="N27">
            <v>15.14</v>
          </cell>
          <cell r="O27">
            <v>4.2649999999999997</v>
          </cell>
          <cell r="P27">
            <v>18.640999999999998</v>
          </cell>
          <cell r="Q27">
            <v>47.058999999999997</v>
          </cell>
          <cell r="R27">
            <v>101.03100000000001</v>
          </cell>
          <cell r="S27">
            <v>146.74799999999999</v>
          </cell>
          <cell r="T27">
            <v>347.911</v>
          </cell>
        </row>
        <row r="28">
          <cell r="A28">
            <v>90</v>
          </cell>
          <cell r="B28">
            <v>116</v>
          </cell>
          <cell r="C28" t="str">
            <v>Cambodia</v>
          </cell>
          <cell r="D28">
            <v>0</v>
          </cell>
          <cell r="E28">
            <v>6</v>
          </cell>
          <cell r="F28" t="str">
            <v>Wpro</v>
          </cell>
          <cell r="G28">
            <v>5</v>
          </cell>
          <cell r="H28" t="str">
            <v>oai</v>
          </cell>
          <cell r="I28">
            <v>1</v>
          </cell>
          <cell r="J28" t="str">
            <v>low and middle</v>
          </cell>
          <cell r="K28" t="str">
            <v>both sexes</v>
          </cell>
          <cell r="L28" t="str">
            <v>1995-2000</v>
          </cell>
          <cell r="M28">
            <v>670.24699999999996</v>
          </cell>
          <cell r="N28">
            <v>252.489</v>
          </cell>
          <cell r="O28">
            <v>48.302</v>
          </cell>
          <cell r="P28">
            <v>59.246000000000002</v>
          </cell>
          <cell r="Q28">
            <v>81.233999999999995</v>
          </cell>
          <cell r="R28">
            <v>81.544000000000011</v>
          </cell>
          <cell r="S28">
            <v>59.23</v>
          </cell>
          <cell r="T28">
            <v>88.201999999999984</v>
          </cell>
        </row>
        <row r="29">
          <cell r="A29">
            <v>26</v>
          </cell>
          <cell r="B29">
            <v>120</v>
          </cell>
          <cell r="C29" t="str">
            <v>Cameroon</v>
          </cell>
          <cell r="D29">
            <v>0</v>
          </cell>
          <cell r="E29">
            <v>1</v>
          </cell>
          <cell r="F29" t="str">
            <v>Afro</v>
          </cell>
          <cell r="G29">
            <v>6</v>
          </cell>
          <cell r="H29" t="str">
            <v>ssa</v>
          </cell>
          <cell r="I29">
            <v>1</v>
          </cell>
          <cell r="J29" t="str">
            <v>low and middle</v>
          </cell>
          <cell r="K29" t="str">
            <v>both sexes</v>
          </cell>
          <cell r="L29" t="str">
            <v>1995-2000</v>
          </cell>
          <cell r="M29">
            <v>878.24300000000005</v>
          </cell>
          <cell r="N29">
            <v>322.75700000000001</v>
          </cell>
          <cell r="O29">
            <v>70.426999999999992</v>
          </cell>
          <cell r="P29">
            <v>82.525000000000006</v>
          </cell>
          <cell r="Q29">
            <v>98.614999999999995</v>
          </cell>
          <cell r="R29">
            <v>96.861999999999995</v>
          </cell>
          <cell r="S29">
            <v>73.863</v>
          </cell>
          <cell r="T29">
            <v>133.19399999999999</v>
          </cell>
        </row>
        <row r="30">
          <cell r="A30">
            <v>198</v>
          </cell>
          <cell r="B30">
            <v>124</v>
          </cell>
          <cell r="C30" t="str">
            <v>Canada</v>
          </cell>
          <cell r="D30">
            <v>0</v>
          </cell>
          <cell r="E30">
            <v>2</v>
          </cell>
          <cell r="F30" t="str">
            <v>Amro</v>
          </cell>
          <cell r="G30">
            <v>1</v>
          </cell>
          <cell r="H30" t="str">
            <v>eme</v>
          </cell>
          <cell r="I30">
            <v>4</v>
          </cell>
          <cell r="J30" t="str">
            <v>high</v>
          </cell>
          <cell r="K30" t="str">
            <v>both sexes</v>
          </cell>
          <cell r="L30" t="str">
            <v>1995-2000</v>
          </cell>
          <cell r="M30">
            <v>1073.499</v>
          </cell>
          <cell r="N30">
            <v>12.964</v>
          </cell>
          <cell r="O30">
            <v>3.3890000000000002</v>
          </cell>
          <cell r="P30">
            <v>18.350000000000001</v>
          </cell>
          <cell r="Q30">
            <v>44.89</v>
          </cell>
          <cell r="R30">
            <v>105.512</v>
          </cell>
          <cell r="S30">
            <v>160.202</v>
          </cell>
          <cell r="T30">
            <v>728.19199999999989</v>
          </cell>
        </row>
        <row r="31">
          <cell r="A31">
            <v>50</v>
          </cell>
          <cell r="B31">
            <v>132</v>
          </cell>
          <cell r="C31" t="str">
            <v>Cape Verde</v>
          </cell>
          <cell r="D31">
            <v>0</v>
          </cell>
          <cell r="E31">
            <v>1</v>
          </cell>
          <cell r="F31" t="str">
            <v>Afro</v>
          </cell>
          <cell r="G31">
            <v>6</v>
          </cell>
          <cell r="H31" t="str">
            <v>ssa</v>
          </cell>
          <cell r="I31">
            <v>1</v>
          </cell>
          <cell r="J31" t="str">
            <v>low and middle</v>
          </cell>
          <cell r="K31" t="str">
            <v>both sexes</v>
          </cell>
          <cell r="L31" t="str">
            <v>1995-2000</v>
          </cell>
          <cell r="M31">
            <v>12.901999999999999</v>
          </cell>
          <cell r="N31">
            <v>4.1280000000000001</v>
          </cell>
          <cell r="O31">
            <v>0.253</v>
          </cell>
          <cell r="P31">
            <v>0.66300000000000003</v>
          </cell>
          <cell r="Q31">
            <v>0.84799999999999998</v>
          </cell>
          <cell r="R31">
            <v>0.72499999999999998</v>
          </cell>
          <cell r="S31">
            <v>1.69</v>
          </cell>
          <cell r="T31">
            <v>4.5949999999999998</v>
          </cell>
        </row>
        <row r="32">
          <cell r="A32">
            <v>27</v>
          </cell>
          <cell r="B32">
            <v>140</v>
          </cell>
          <cell r="C32" t="str">
            <v>Central African Republic</v>
          </cell>
          <cell r="D32">
            <v>0</v>
          </cell>
          <cell r="E32">
            <v>1</v>
          </cell>
          <cell r="F32" t="str">
            <v>Afro</v>
          </cell>
          <cell r="G32">
            <v>6</v>
          </cell>
          <cell r="H32" t="str">
            <v>ssa</v>
          </cell>
          <cell r="I32">
            <v>1</v>
          </cell>
          <cell r="J32" t="str">
            <v>low and middle</v>
          </cell>
          <cell r="K32" t="str">
            <v>both sexes</v>
          </cell>
          <cell r="L32" t="str">
            <v>1995-2000</v>
          </cell>
          <cell r="M32">
            <v>322.44900000000001</v>
          </cell>
          <cell r="N32">
            <v>105.4</v>
          </cell>
          <cell r="O32">
            <v>29.103000000000002</v>
          </cell>
          <cell r="P32">
            <v>32.055</v>
          </cell>
          <cell r="Q32">
            <v>48.18</v>
          </cell>
          <cell r="R32">
            <v>41.764000000000003</v>
          </cell>
          <cell r="S32">
            <v>25.571999999999999</v>
          </cell>
          <cell r="T32">
            <v>40.375</v>
          </cell>
        </row>
        <row r="33">
          <cell r="A33">
            <v>84</v>
          </cell>
          <cell r="B33">
            <v>144</v>
          </cell>
          <cell r="C33" t="str">
            <v>Sri Lanka</v>
          </cell>
          <cell r="D33">
            <v>0</v>
          </cell>
          <cell r="E33">
            <v>5</v>
          </cell>
          <cell r="F33" t="str">
            <v>Searo</v>
          </cell>
          <cell r="G33">
            <v>5</v>
          </cell>
          <cell r="H33" t="str">
            <v>oai</v>
          </cell>
          <cell r="I33">
            <v>1</v>
          </cell>
          <cell r="J33" t="str">
            <v>low and middle</v>
          </cell>
          <cell r="K33" t="str">
            <v>both sexes</v>
          </cell>
          <cell r="L33" t="str">
            <v>1995-2000</v>
          </cell>
          <cell r="M33">
            <v>527.29399999999998</v>
          </cell>
          <cell r="N33">
            <v>34.707000000000001</v>
          </cell>
          <cell r="O33">
            <v>6.173</v>
          </cell>
          <cell r="P33">
            <v>24.677999999999997</v>
          </cell>
          <cell r="Q33">
            <v>35.829000000000001</v>
          </cell>
          <cell r="R33">
            <v>75.338999999999999</v>
          </cell>
          <cell r="S33">
            <v>96.841999999999999</v>
          </cell>
          <cell r="T33">
            <v>253.726</v>
          </cell>
        </row>
        <row r="34">
          <cell r="A34">
            <v>28</v>
          </cell>
          <cell r="B34">
            <v>148</v>
          </cell>
          <cell r="C34" t="str">
            <v>Chad</v>
          </cell>
          <cell r="D34">
            <v>0</v>
          </cell>
          <cell r="E34">
            <v>1</v>
          </cell>
          <cell r="F34" t="str">
            <v>Afro</v>
          </cell>
          <cell r="G34">
            <v>6</v>
          </cell>
          <cell r="H34" t="str">
            <v>ssa</v>
          </cell>
          <cell r="I34">
            <v>1</v>
          </cell>
          <cell r="J34" t="str">
            <v>low and middle</v>
          </cell>
          <cell r="K34" t="str">
            <v>both sexes</v>
          </cell>
          <cell r="L34" t="str">
            <v>1995-2000</v>
          </cell>
          <cell r="M34">
            <v>635.44899999999996</v>
          </cell>
          <cell r="N34">
            <v>282.92</v>
          </cell>
          <cell r="O34">
            <v>65.450999999999993</v>
          </cell>
          <cell r="P34">
            <v>55.186999999999998</v>
          </cell>
          <cell r="Q34">
            <v>60.798000000000002</v>
          </cell>
          <cell r="R34">
            <v>56.838999999999999</v>
          </cell>
          <cell r="S34">
            <v>44.361999999999995</v>
          </cell>
          <cell r="T34">
            <v>69.89200000000001</v>
          </cell>
        </row>
        <row r="35">
          <cell r="A35">
            <v>188</v>
          </cell>
          <cell r="B35">
            <v>152</v>
          </cell>
          <cell r="C35" t="str">
            <v>Chile</v>
          </cell>
          <cell r="D35">
            <v>0</v>
          </cell>
          <cell r="E35">
            <v>2</v>
          </cell>
          <cell r="F35" t="str">
            <v>Amro</v>
          </cell>
          <cell r="G35">
            <v>7</v>
          </cell>
          <cell r="H35" t="str">
            <v>lac</v>
          </cell>
          <cell r="I35">
            <v>1</v>
          </cell>
          <cell r="J35" t="str">
            <v>low and middle</v>
          </cell>
          <cell r="K35" t="str">
            <v>both sexes</v>
          </cell>
          <cell r="L35" t="str">
            <v>1995-2000</v>
          </cell>
          <cell r="M35">
            <v>411.48700000000002</v>
          </cell>
          <cell r="N35">
            <v>22.606999999999999</v>
          </cell>
          <cell r="O35">
            <v>3.8210000000000002</v>
          </cell>
          <cell r="P35">
            <v>15.298000000000002</v>
          </cell>
          <cell r="Q35">
            <v>29.103000000000002</v>
          </cell>
          <cell r="R35">
            <v>56.652999999999992</v>
          </cell>
          <cell r="S35">
            <v>68.819999999999993</v>
          </cell>
          <cell r="T35">
            <v>215.185</v>
          </cell>
        </row>
        <row r="36">
          <cell r="A36">
            <v>66</v>
          </cell>
          <cell r="B36">
            <v>156</v>
          </cell>
          <cell r="C36" t="str">
            <v>China (5)</v>
          </cell>
          <cell r="D36">
            <v>0</v>
          </cell>
          <cell r="E36">
            <v>6</v>
          </cell>
          <cell r="F36" t="str">
            <v>Wpro</v>
          </cell>
          <cell r="G36">
            <v>4</v>
          </cell>
          <cell r="H36" t="str">
            <v>chn</v>
          </cell>
          <cell r="I36">
            <v>5</v>
          </cell>
          <cell r="J36" t="str">
            <v>chn</v>
          </cell>
          <cell r="K36" t="str">
            <v>both sexes</v>
          </cell>
          <cell r="L36" t="str">
            <v>1995-2000</v>
          </cell>
          <cell r="M36">
            <v>43382.82</v>
          </cell>
          <cell r="N36">
            <v>4894.9560000000001</v>
          </cell>
          <cell r="O36">
            <v>541.58100000000002</v>
          </cell>
          <cell r="P36">
            <v>1524.999</v>
          </cell>
          <cell r="Q36">
            <v>2521.2719999999999</v>
          </cell>
          <cell r="R36">
            <v>5590.2880000000005</v>
          </cell>
          <cell r="S36">
            <v>8630.6080000000002</v>
          </cell>
          <cell r="T36">
            <v>19679.115999999998</v>
          </cell>
        </row>
        <row r="37">
          <cell r="A37">
            <v>189</v>
          </cell>
          <cell r="B37">
            <v>170</v>
          </cell>
          <cell r="C37" t="str">
            <v>Colombia</v>
          </cell>
          <cell r="D37">
            <v>0</v>
          </cell>
          <cell r="E37">
            <v>2</v>
          </cell>
          <cell r="F37" t="str">
            <v>Amro</v>
          </cell>
          <cell r="G37">
            <v>7</v>
          </cell>
          <cell r="H37" t="str">
            <v>lac</v>
          </cell>
          <cell r="I37">
            <v>1</v>
          </cell>
          <cell r="J37" t="str">
            <v>low and middle</v>
          </cell>
          <cell r="K37" t="str">
            <v>both sexes</v>
          </cell>
          <cell r="L37" t="str">
            <v>1995-2000</v>
          </cell>
          <cell r="M37">
            <v>1170.528</v>
          </cell>
          <cell r="N37">
            <v>193.184</v>
          </cell>
          <cell r="O37">
            <v>24.021999999999998</v>
          </cell>
          <cell r="P37">
            <v>124.87</v>
          </cell>
          <cell r="Q37">
            <v>126.104</v>
          </cell>
          <cell r="R37">
            <v>143.16899999999998</v>
          </cell>
          <cell r="S37">
            <v>150.108</v>
          </cell>
          <cell r="T37">
            <v>409.07100000000003</v>
          </cell>
        </row>
        <row r="38">
          <cell r="A38">
            <v>8</v>
          </cell>
          <cell r="B38">
            <v>174</v>
          </cell>
          <cell r="C38" t="str">
            <v>Comoros</v>
          </cell>
          <cell r="D38">
            <v>0</v>
          </cell>
          <cell r="E38">
            <v>1</v>
          </cell>
          <cell r="F38" t="str">
            <v>Afro</v>
          </cell>
          <cell r="G38">
            <v>6</v>
          </cell>
          <cell r="H38" t="str">
            <v>ssa</v>
          </cell>
          <cell r="I38">
            <v>1</v>
          </cell>
          <cell r="J38" t="str">
            <v>low and middle</v>
          </cell>
          <cell r="K38" t="str">
            <v>both sexes</v>
          </cell>
          <cell r="L38" t="str">
            <v>1995-2000</v>
          </cell>
          <cell r="M38">
            <v>30.402000000000001</v>
          </cell>
          <cell r="N38">
            <v>12.544</v>
          </cell>
          <cell r="O38">
            <v>1.6579999999999999</v>
          </cell>
          <cell r="P38">
            <v>3.056</v>
          </cell>
          <cell r="Q38">
            <v>2.629</v>
          </cell>
          <cell r="R38">
            <v>3.1470000000000002</v>
          </cell>
          <cell r="S38">
            <v>2.87</v>
          </cell>
          <cell r="T38">
            <v>4.4980000000000002</v>
          </cell>
        </row>
        <row r="39">
          <cell r="A39">
            <v>29</v>
          </cell>
          <cell r="B39">
            <v>178</v>
          </cell>
          <cell r="C39" t="str">
            <v>Congo</v>
          </cell>
          <cell r="D39">
            <v>0</v>
          </cell>
          <cell r="E39">
            <v>1</v>
          </cell>
          <cell r="F39" t="str">
            <v>Afro</v>
          </cell>
          <cell r="G39">
            <v>6</v>
          </cell>
          <cell r="H39" t="str">
            <v>ssa</v>
          </cell>
          <cell r="I39">
            <v>1</v>
          </cell>
          <cell r="J39" t="str">
            <v>low and middle</v>
          </cell>
          <cell r="K39" t="str">
            <v>both sexes</v>
          </cell>
          <cell r="L39" t="str">
            <v>1995-2000</v>
          </cell>
          <cell r="M39">
            <v>217.43600000000001</v>
          </cell>
          <cell r="N39">
            <v>80.656000000000006</v>
          </cell>
          <cell r="O39">
            <v>17.849</v>
          </cell>
          <cell r="P39">
            <v>21.222999999999999</v>
          </cell>
          <cell r="Q39">
            <v>30.654</v>
          </cell>
          <cell r="R39">
            <v>26.080999999999996</v>
          </cell>
          <cell r="S39">
            <v>15.481999999999999</v>
          </cell>
          <cell r="T39">
            <v>25.491000000000003</v>
          </cell>
        </row>
        <row r="40">
          <cell r="A40">
            <v>30</v>
          </cell>
          <cell r="B40">
            <v>180</v>
          </cell>
          <cell r="C40" t="str">
            <v>Dem. Republic of the Congo</v>
          </cell>
          <cell r="D40">
            <v>0</v>
          </cell>
          <cell r="E40">
            <v>1</v>
          </cell>
          <cell r="F40" t="str">
            <v>Afro</v>
          </cell>
          <cell r="G40">
            <v>6</v>
          </cell>
          <cell r="H40" t="str">
            <v>ssa</v>
          </cell>
          <cell r="I40">
            <v>1</v>
          </cell>
          <cell r="J40" t="str">
            <v>low and middle</v>
          </cell>
          <cell r="K40" t="str">
            <v>both sexes</v>
          </cell>
          <cell r="L40" t="str">
            <v>1995-2000</v>
          </cell>
          <cell r="M40">
            <v>3569.25</v>
          </cell>
          <cell r="N40">
            <v>1583.05</v>
          </cell>
          <cell r="O40">
            <v>331.32499999999999</v>
          </cell>
          <cell r="P40">
            <v>321.666</v>
          </cell>
          <cell r="Q40">
            <v>383.53800000000001</v>
          </cell>
          <cell r="R40">
            <v>350.21499999999997</v>
          </cell>
          <cell r="S40">
            <v>237.488</v>
          </cell>
          <cell r="T40">
            <v>361.96800000000007</v>
          </cell>
        </row>
        <row r="41">
          <cell r="A41">
            <v>177</v>
          </cell>
          <cell r="B41">
            <v>188</v>
          </cell>
          <cell r="C41" t="str">
            <v>Costa Rica</v>
          </cell>
          <cell r="D41">
            <v>0</v>
          </cell>
          <cell r="E41">
            <v>2</v>
          </cell>
          <cell r="F41" t="str">
            <v>Amro</v>
          </cell>
          <cell r="G41">
            <v>7</v>
          </cell>
          <cell r="H41" t="str">
            <v>lac</v>
          </cell>
          <cell r="I41">
            <v>1</v>
          </cell>
          <cell r="J41" t="str">
            <v>low and middle</v>
          </cell>
          <cell r="K41" t="str">
            <v>both sexes</v>
          </cell>
          <cell r="L41" t="str">
            <v>1995-2000</v>
          </cell>
          <cell r="M41">
            <v>72.631</v>
          </cell>
          <cell r="N41">
            <v>6.5259999999999998</v>
          </cell>
          <cell r="O41">
            <v>1.1360000000000001</v>
          </cell>
          <cell r="P41">
            <v>3.3709999999999996</v>
          </cell>
          <cell r="Q41">
            <v>5.7089999999999996</v>
          </cell>
          <cell r="R41">
            <v>9.2940000000000005</v>
          </cell>
          <cell r="S41">
            <v>11.147</v>
          </cell>
          <cell r="T41">
            <v>35.448</v>
          </cell>
        </row>
        <row r="42">
          <cell r="A42">
            <v>145</v>
          </cell>
          <cell r="B42">
            <v>191</v>
          </cell>
          <cell r="C42" t="str">
            <v>Croatia</v>
          </cell>
          <cell r="D42">
            <v>0</v>
          </cell>
          <cell r="E42">
            <v>4</v>
          </cell>
          <cell r="F42" t="str">
            <v>Euro</v>
          </cell>
          <cell r="G42">
            <v>2</v>
          </cell>
          <cell r="H42" t="str">
            <v>fse</v>
          </cell>
          <cell r="I42">
            <v>1</v>
          </cell>
          <cell r="J42" t="str">
            <v>low and middle</v>
          </cell>
          <cell r="K42" t="str">
            <v>both sexes</v>
          </cell>
          <cell r="L42" t="str">
            <v>1995-2000</v>
          </cell>
          <cell r="M42">
            <v>257.56200000000001</v>
          </cell>
          <cell r="N42">
            <v>3.0150000000000001</v>
          </cell>
          <cell r="O42">
            <v>0.82200000000000006</v>
          </cell>
          <cell r="P42">
            <v>3.8220000000000001</v>
          </cell>
          <cell r="Q42">
            <v>10.516</v>
          </cell>
          <cell r="R42">
            <v>33.561999999999998</v>
          </cell>
          <cell r="S42">
            <v>55.563000000000002</v>
          </cell>
          <cell r="T42">
            <v>150.26200000000003</v>
          </cell>
        </row>
        <row r="43">
          <cell r="A43">
            <v>166</v>
          </cell>
          <cell r="B43">
            <v>192</v>
          </cell>
          <cell r="C43" t="str">
            <v>Cuba</v>
          </cell>
          <cell r="D43">
            <v>0</v>
          </cell>
          <cell r="E43">
            <v>2</v>
          </cell>
          <cell r="F43" t="str">
            <v>Amro</v>
          </cell>
          <cell r="G43">
            <v>7</v>
          </cell>
          <cell r="H43" t="str">
            <v>lac</v>
          </cell>
          <cell r="I43">
            <v>1</v>
          </cell>
          <cell r="J43" t="str">
            <v>low and middle</v>
          </cell>
          <cell r="K43" t="str">
            <v>both sexes</v>
          </cell>
          <cell r="L43" t="str">
            <v>1995-2000</v>
          </cell>
          <cell r="M43">
            <v>389.76</v>
          </cell>
          <cell r="N43">
            <v>8.8160000000000007</v>
          </cell>
          <cell r="O43">
            <v>3.069</v>
          </cell>
          <cell r="P43">
            <v>14.347</v>
          </cell>
          <cell r="Q43">
            <v>22.85</v>
          </cell>
          <cell r="R43">
            <v>49.567999999999998</v>
          </cell>
          <cell r="S43">
            <v>57.926000000000002</v>
          </cell>
          <cell r="T43">
            <v>233.184</v>
          </cell>
        </row>
        <row r="44">
          <cell r="A44">
            <v>104</v>
          </cell>
          <cell r="B44">
            <v>196</v>
          </cell>
          <cell r="C44" t="str">
            <v>Cyprus</v>
          </cell>
          <cell r="D44">
            <v>0</v>
          </cell>
          <cell r="E44">
            <v>3</v>
          </cell>
          <cell r="F44" t="str">
            <v>Emro</v>
          </cell>
          <cell r="G44">
            <v>8</v>
          </cell>
          <cell r="H44" t="str">
            <v>mec</v>
          </cell>
          <cell r="I44">
            <v>4</v>
          </cell>
          <cell r="J44" t="str">
            <v>high</v>
          </cell>
          <cell r="K44" t="str">
            <v>both sexes</v>
          </cell>
          <cell r="L44" t="str">
            <v>1995-2000</v>
          </cell>
          <cell r="M44">
            <v>27.991</v>
          </cell>
          <cell r="N44">
            <v>0.51900000000000002</v>
          </cell>
          <cell r="O44">
            <v>9.1999999999999998E-2</v>
          </cell>
          <cell r="P44">
            <v>0.65700000000000003</v>
          </cell>
          <cell r="Q44">
            <v>0.96300000000000008</v>
          </cell>
          <cell r="R44">
            <v>2.637</v>
          </cell>
          <cell r="S44">
            <v>3.7989999999999999</v>
          </cell>
          <cell r="T44">
            <v>19.323999999999998</v>
          </cell>
        </row>
        <row r="45">
          <cell r="A45">
            <v>123</v>
          </cell>
          <cell r="B45">
            <v>203</v>
          </cell>
          <cell r="C45" t="str">
            <v>Czech Republic</v>
          </cell>
          <cell r="D45">
            <v>0</v>
          </cell>
          <cell r="E45">
            <v>4</v>
          </cell>
          <cell r="F45" t="str">
            <v>Euro</v>
          </cell>
          <cell r="G45">
            <v>2</v>
          </cell>
          <cell r="H45" t="str">
            <v>fse</v>
          </cell>
          <cell r="I45">
            <v>1</v>
          </cell>
          <cell r="J45" t="str">
            <v>low and middle</v>
          </cell>
          <cell r="K45" t="str">
            <v>both sexes</v>
          </cell>
          <cell r="L45" t="str">
            <v>1995-2000</v>
          </cell>
          <cell r="M45">
            <v>569.48800000000006</v>
          </cell>
          <cell r="N45">
            <v>4.085</v>
          </cell>
          <cell r="O45">
            <v>1.4039999999999999</v>
          </cell>
          <cell r="P45">
            <v>8.0120000000000005</v>
          </cell>
          <cell r="Q45">
            <v>17.771000000000001</v>
          </cell>
          <cell r="R45">
            <v>70.631</v>
          </cell>
          <cell r="S45">
            <v>100.313</v>
          </cell>
          <cell r="T45">
            <v>367.27199999999999</v>
          </cell>
        </row>
        <row r="46">
          <cell r="A46">
            <v>48</v>
          </cell>
          <cell r="B46">
            <v>204</v>
          </cell>
          <cell r="C46" t="str">
            <v>Benin</v>
          </cell>
          <cell r="D46">
            <v>0</v>
          </cell>
          <cell r="E46">
            <v>1</v>
          </cell>
          <cell r="F46" t="str">
            <v>Afro</v>
          </cell>
          <cell r="G46">
            <v>6</v>
          </cell>
          <cell r="H46" t="str">
            <v>ssa</v>
          </cell>
          <cell r="I46">
            <v>1</v>
          </cell>
          <cell r="J46" t="str">
            <v>low and middle</v>
          </cell>
          <cell r="K46" t="str">
            <v>both sexes</v>
          </cell>
          <cell r="L46" t="str">
            <v>1995-2000</v>
          </cell>
          <cell r="M46">
            <v>371.49799999999999</v>
          </cell>
          <cell r="N46">
            <v>161.35</v>
          </cell>
          <cell r="O46">
            <v>38.707999999999998</v>
          </cell>
          <cell r="P46">
            <v>34.244</v>
          </cell>
          <cell r="Q46">
            <v>34.914999999999999</v>
          </cell>
          <cell r="R46">
            <v>30.76</v>
          </cell>
          <cell r="S46">
            <v>23.852</v>
          </cell>
          <cell r="T46">
            <v>47.668999999999997</v>
          </cell>
        </row>
        <row r="47">
          <cell r="A47">
            <v>132</v>
          </cell>
          <cell r="B47">
            <v>208</v>
          </cell>
          <cell r="C47" t="str">
            <v>Denmark</v>
          </cell>
          <cell r="D47">
            <v>0</v>
          </cell>
          <cell r="E47">
            <v>4</v>
          </cell>
          <cell r="F47" t="str">
            <v>Euro</v>
          </cell>
          <cell r="G47">
            <v>1</v>
          </cell>
          <cell r="H47" t="str">
            <v>eme</v>
          </cell>
          <cell r="I47">
            <v>4</v>
          </cell>
          <cell r="J47" t="str">
            <v>high</v>
          </cell>
          <cell r="K47" t="str">
            <v>both sexes</v>
          </cell>
          <cell r="L47" t="str">
            <v>1995-2000</v>
          </cell>
          <cell r="M47">
            <v>307.43200000000002</v>
          </cell>
          <cell r="N47">
            <v>2.8130000000000002</v>
          </cell>
          <cell r="O47">
            <v>0.54500000000000004</v>
          </cell>
          <cell r="P47">
            <v>2.8819999999999997</v>
          </cell>
          <cell r="Q47">
            <v>8.6439999999999984</v>
          </cell>
          <cell r="R47">
            <v>33.134</v>
          </cell>
          <cell r="S47">
            <v>45.231000000000002</v>
          </cell>
          <cell r="T47">
            <v>214.18300000000002</v>
          </cell>
        </row>
        <row r="48">
          <cell r="A48">
            <v>167</v>
          </cell>
          <cell r="B48">
            <v>214</v>
          </cell>
          <cell r="C48" t="str">
            <v>Dominican Republic</v>
          </cell>
          <cell r="D48">
            <v>0</v>
          </cell>
          <cell r="E48">
            <v>2</v>
          </cell>
          <cell r="F48" t="str">
            <v>Amro</v>
          </cell>
          <cell r="G48">
            <v>7</v>
          </cell>
          <cell r="H48" t="str">
            <v>lac</v>
          </cell>
          <cell r="I48">
            <v>1</v>
          </cell>
          <cell r="J48" t="str">
            <v>low and middle</v>
          </cell>
          <cell r="K48" t="str">
            <v>both sexes</v>
          </cell>
          <cell r="L48" t="str">
            <v>1995-2000</v>
          </cell>
          <cell r="M48">
            <v>216.28200000000001</v>
          </cell>
          <cell r="N48">
            <v>45.902999999999999</v>
          </cell>
          <cell r="O48">
            <v>6.3140000000000001</v>
          </cell>
          <cell r="P48">
            <v>13.788</v>
          </cell>
          <cell r="Q48">
            <v>19.905000000000001</v>
          </cell>
          <cell r="R48">
            <v>27.356000000000002</v>
          </cell>
          <cell r="S48">
            <v>30.516000000000002</v>
          </cell>
          <cell r="T48">
            <v>72.5</v>
          </cell>
        </row>
        <row r="49">
          <cell r="A49">
            <v>190</v>
          </cell>
          <cell r="B49">
            <v>218</v>
          </cell>
          <cell r="C49" t="str">
            <v>Ecuador</v>
          </cell>
          <cell r="D49">
            <v>0</v>
          </cell>
          <cell r="E49">
            <v>2</v>
          </cell>
          <cell r="F49" t="str">
            <v>Amro</v>
          </cell>
          <cell r="G49">
            <v>7</v>
          </cell>
          <cell r="H49" t="str">
            <v>lac</v>
          </cell>
          <cell r="I49">
            <v>1</v>
          </cell>
          <cell r="J49" t="str">
            <v>low and middle</v>
          </cell>
          <cell r="K49" t="str">
            <v>both sexes</v>
          </cell>
          <cell r="L49" t="str">
            <v>1995-2000</v>
          </cell>
          <cell r="M49">
            <v>359.47500000000002</v>
          </cell>
          <cell r="N49">
            <v>92.406000000000006</v>
          </cell>
          <cell r="O49">
            <v>10.93</v>
          </cell>
          <cell r="P49">
            <v>25.100999999999999</v>
          </cell>
          <cell r="Q49">
            <v>32.808</v>
          </cell>
          <cell r="R49">
            <v>41.044000000000004</v>
          </cell>
          <cell r="S49">
            <v>41.2</v>
          </cell>
          <cell r="T49">
            <v>115.98599999999999</v>
          </cell>
        </row>
        <row r="50">
          <cell r="A50">
            <v>178</v>
          </cell>
          <cell r="B50">
            <v>222</v>
          </cell>
          <cell r="C50" t="str">
            <v>El Salvador</v>
          </cell>
          <cell r="D50">
            <v>0</v>
          </cell>
          <cell r="E50">
            <v>2</v>
          </cell>
          <cell r="F50" t="str">
            <v>Amro</v>
          </cell>
          <cell r="G50">
            <v>7</v>
          </cell>
          <cell r="H50" t="str">
            <v>lac</v>
          </cell>
          <cell r="I50">
            <v>1</v>
          </cell>
          <cell r="J50" t="str">
            <v>low and middle</v>
          </cell>
          <cell r="K50" t="str">
            <v>both sexes</v>
          </cell>
          <cell r="L50" t="str">
            <v>1995-2000</v>
          </cell>
          <cell r="M50">
            <v>182.595</v>
          </cell>
          <cell r="N50">
            <v>34.28</v>
          </cell>
          <cell r="O50">
            <v>5.2679999999999998</v>
          </cell>
          <cell r="P50">
            <v>17.314</v>
          </cell>
          <cell r="Q50">
            <v>19.227</v>
          </cell>
          <cell r="R50">
            <v>23.541</v>
          </cell>
          <cell r="S50">
            <v>23.21</v>
          </cell>
          <cell r="T50">
            <v>59.755000000000003</v>
          </cell>
        </row>
        <row r="51">
          <cell r="A51">
            <v>31</v>
          </cell>
          <cell r="B51">
            <v>226</v>
          </cell>
          <cell r="C51" t="str">
            <v>Equatorial Guinea</v>
          </cell>
          <cell r="D51">
            <v>0</v>
          </cell>
          <cell r="E51">
            <v>1</v>
          </cell>
          <cell r="F51" t="str">
            <v>Afro</v>
          </cell>
          <cell r="G51">
            <v>6</v>
          </cell>
          <cell r="H51" t="str">
            <v>ssa</v>
          </cell>
          <cell r="I51">
            <v>1</v>
          </cell>
          <cell r="J51" t="str">
            <v>low and middle</v>
          </cell>
          <cell r="K51" t="str">
            <v>both sexes</v>
          </cell>
          <cell r="L51" t="str">
            <v>1995-2000</v>
          </cell>
          <cell r="M51">
            <v>34.652000000000001</v>
          </cell>
          <cell r="N51">
            <v>15.648</v>
          </cell>
          <cell r="O51">
            <v>2.8259999999999996</v>
          </cell>
          <cell r="P51">
            <v>2.9660000000000002</v>
          </cell>
          <cell r="Q51">
            <v>2.726</v>
          </cell>
          <cell r="R51">
            <v>2.867</v>
          </cell>
          <cell r="S51">
            <v>2.7679999999999998</v>
          </cell>
          <cell r="T51">
            <v>4.8510000000000009</v>
          </cell>
        </row>
        <row r="52">
          <cell r="A52">
            <v>11</v>
          </cell>
          <cell r="B52">
            <v>231</v>
          </cell>
          <cell r="C52" t="str">
            <v>Ethiopia</v>
          </cell>
          <cell r="D52">
            <v>0</v>
          </cell>
          <cell r="E52">
            <v>1</v>
          </cell>
          <cell r="F52" t="str">
            <v>Afro</v>
          </cell>
          <cell r="G52">
            <v>6</v>
          </cell>
          <cell r="H52" t="str">
            <v>ssa</v>
          </cell>
          <cell r="I52">
            <v>1</v>
          </cell>
          <cell r="J52" t="str">
            <v>low and middle</v>
          </cell>
          <cell r="K52" t="str">
            <v>both sexes</v>
          </cell>
          <cell r="L52" t="str">
            <v>1995-2000</v>
          </cell>
          <cell r="M52">
            <v>5837.0159999999996</v>
          </cell>
          <cell r="N52">
            <v>2463.846</v>
          </cell>
          <cell r="O52">
            <v>544.69200000000001</v>
          </cell>
          <cell r="P52">
            <v>548.94799999999998</v>
          </cell>
          <cell r="Q52">
            <v>762.21399999999994</v>
          </cell>
          <cell r="R52">
            <v>648.19599999999991</v>
          </cell>
          <cell r="S52">
            <v>370.35699999999997</v>
          </cell>
          <cell r="T52">
            <v>498.76300000000003</v>
          </cell>
        </row>
        <row r="53">
          <cell r="A53">
            <v>10</v>
          </cell>
          <cell r="B53">
            <v>232</v>
          </cell>
          <cell r="C53" t="str">
            <v>Eritrea</v>
          </cell>
          <cell r="D53">
            <v>0</v>
          </cell>
          <cell r="E53">
            <v>1</v>
          </cell>
          <cell r="F53" t="str">
            <v>Afro</v>
          </cell>
          <cell r="G53">
            <v>6</v>
          </cell>
          <cell r="H53" t="str">
            <v>ssa</v>
          </cell>
          <cell r="I53">
            <v>1</v>
          </cell>
          <cell r="J53" t="str">
            <v>low and middle</v>
          </cell>
          <cell r="K53" t="str">
            <v>both sexes</v>
          </cell>
          <cell r="L53" t="str">
            <v>1995-2000</v>
          </cell>
          <cell r="M53">
            <v>253.072</v>
          </cell>
          <cell r="N53">
            <v>106.636</v>
          </cell>
          <cell r="O53">
            <v>21.389000000000003</v>
          </cell>
          <cell r="P53">
            <v>23.951999999999998</v>
          </cell>
          <cell r="Q53">
            <v>27.759</v>
          </cell>
          <cell r="R53">
            <v>27.717000000000002</v>
          </cell>
          <cell r="S53">
            <v>19.574999999999999</v>
          </cell>
          <cell r="T53">
            <v>26.043999999999997</v>
          </cell>
        </row>
        <row r="54">
          <cell r="A54">
            <v>133</v>
          </cell>
          <cell r="B54">
            <v>233</v>
          </cell>
          <cell r="C54" t="str">
            <v>Estonia</v>
          </cell>
          <cell r="D54">
            <v>0</v>
          </cell>
          <cell r="E54">
            <v>4</v>
          </cell>
          <cell r="F54" t="str">
            <v>Euro</v>
          </cell>
          <cell r="G54">
            <v>2</v>
          </cell>
          <cell r="H54" t="str">
            <v>fse</v>
          </cell>
          <cell r="I54">
            <v>1</v>
          </cell>
          <cell r="J54" t="str">
            <v>low and middle</v>
          </cell>
          <cell r="K54" t="str">
            <v>both sexes</v>
          </cell>
          <cell r="L54" t="str">
            <v>1995-2000</v>
          </cell>
          <cell r="M54">
            <v>97.805999999999997</v>
          </cell>
          <cell r="N54">
            <v>1.702</v>
          </cell>
          <cell r="O54">
            <v>0.63200000000000001</v>
          </cell>
          <cell r="P54">
            <v>2.5990000000000002</v>
          </cell>
          <cell r="Q54">
            <v>5.7770000000000001</v>
          </cell>
          <cell r="R54">
            <v>13.933</v>
          </cell>
          <cell r="S54">
            <v>20.331000000000003</v>
          </cell>
          <cell r="T54">
            <v>52.832000000000001</v>
          </cell>
        </row>
        <row r="55">
          <cell r="A55">
            <v>205</v>
          </cell>
          <cell r="B55">
            <v>242</v>
          </cell>
          <cell r="C55" t="str">
            <v>Fiji</v>
          </cell>
          <cell r="D55">
            <v>0</v>
          </cell>
          <cell r="E55">
            <v>6</v>
          </cell>
          <cell r="F55" t="str">
            <v>Wpro</v>
          </cell>
          <cell r="G55">
            <v>5</v>
          </cell>
          <cell r="H55" t="str">
            <v>oai</v>
          </cell>
          <cell r="I55">
            <v>1</v>
          </cell>
          <cell r="J55" t="str">
            <v>low and middle</v>
          </cell>
          <cell r="K55" t="str">
            <v>both sexes</v>
          </cell>
          <cell r="L55" t="str">
            <v>1995-2000</v>
          </cell>
          <cell r="M55">
            <v>17.792000000000002</v>
          </cell>
          <cell r="N55">
            <v>2.0230000000000001</v>
          </cell>
          <cell r="O55">
            <v>0.28800000000000003</v>
          </cell>
          <cell r="P55">
            <v>0.84100000000000008</v>
          </cell>
          <cell r="Q55">
            <v>1.1819999999999999</v>
          </cell>
          <cell r="R55">
            <v>2.87</v>
          </cell>
          <cell r="S55">
            <v>3.53</v>
          </cell>
          <cell r="T55">
            <v>7.0579999999999998</v>
          </cell>
        </row>
        <row r="56">
          <cell r="A56">
            <v>134</v>
          </cell>
          <cell r="B56">
            <v>246</v>
          </cell>
          <cell r="C56" t="str">
            <v>Finland</v>
          </cell>
          <cell r="D56">
            <v>0</v>
          </cell>
          <cell r="E56">
            <v>4</v>
          </cell>
          <cell r="F56" t="str">
            <v>Euro</v>
          </cell>
          <cell r="G56">
            <v>1</v>
          </cell>
          <cell r="H56" t="str">
            <v>eme</v>
          </cell>
          <cell r="I56">
            <v>4</v>
          </cell>
          <cell r="J56" t="str">
            <v>high</v>
          </cell>
          <cell r="K56" t="str">
            <v>both sexes</v>
          </cell>
          <cell r="L56" t="str">
            <v>1995-2000</v>
          </cell>
          <cell r="M56">
            <v>250.08199999999999</v>
          </cell>
          <cell r="N56">
            <v>2.004</v>
          </cell>
          <cell r="O56">
            <v>0.505</v>
          </cell>
          <cell r="P56">
            <v>3.4460000000000002</v>
          </cell>
          <cell r="Q56">
            <v>8.99</v>
          </cell>
          <cell r="R56">
            <v>26.118000000000002</v>
          </cell>
          <cell r="S56">
            <v>37.817999999999998</v>
          </cell>
          <cell r="T56">
            <v>171.20099999999999</v>
          </cell>
        </row>
        <row r="57">
          <cell r="A57">
            <v>157</v>
          </cell>
          <cell r="B57">
            <v>250</v>
          </cell>
          <cell r="C57" t="str">
            <v>France</v>
          </cell>
          <cell r="D57">
            <v>0</v>
          </cell>
          <cell r="E57">
            <v>4</v>
          </cell>
          <cell r="F57" t="str">
            <v>Euro</v>
          </cell>
          <cell r="G57">
            <v>1</v>
          </cell>
          <cell r="H57" t="str">
            <v>eme</v>
          </cell>
          <cell r="I57">
            <v>4</v>
          </cell>
          <cell r="J57" t="str">
            <v>high</v>
          </cell>
          <cell r="K57" t="str">
            <v>both sexes</v>
          </cell>
          <cell r="L57" t="str">
            <v>1995-2000</v>
          </cell>
          <cell r="M57">
            <v>2714.7</v>
          </cell>
          <cell r="N57">
            <v>27.489000000000001</v>
          </cell>
          <cell r="O57">
            <v>6.0259999999999998</v>
          </cell>
          <cell r="P57">
            <v>45.178000000000004</v>
          </cell>
          <cell r="Q57">
            <v>101.39</v>
          </cell>
          <cell r="R57">
            <v>249.32300000000001</v>
          </cell>
          <cell r="S57">
            <v>370.26499999999999</v>
          </cell>
          <cell r="T57">
            <v>1915.029</v>
          </cell>
        </row>
        <row r="58">
          <cell r="A58">
            <v>213</v>
          </cell>
          <cell r="B58">
            <v>258</v>
          </cell>
          <cell r="C58" t="str">
            <v>French Polynesia</v>
          </cell>
          <cell r="G58">
            <v>5</v>
          </cell>
          <cell r="H58" t="str">
            <v>oai</v>
          </cell>
          <cell r="I58">
            <v>4</v>
          </cell>
          <cell r="J58" t="str">
            <v>high</v>
          </cell>
          <cell r="K58" t="str">
            <v>both sexes</v>
          </cell>
          <cell r="L58" t="str">
            <v>1995-2000</v>
          </cell>
          <cell r="M58">
            <v>5.3289999999999997</v>
          </cell>
          <cell r="N58">
            <v>0.38800000000000001</v>
          </cell>
          <cell r="O58">
            <v>8.8999999999999996E-2</v>
          </cell>
          <cell r="P58">
            <v>0.34200000000000003</v>
          </cell>
          <cell r="Q58">
            <v>0.41800000000000004</v>
          </cell>
          <cell r="R58">
            <v>0.99900000000000011</v>
          </cell>
          <cell r="S58">
            <v>1.1830000000000001</v>
          </cell>
          <cell r="T58">
            <v>1.91</v>
          </cell>
        </row>
        <row r="59">
          <cell r="A59">
            <v>9</v>
          </cell>
          <cell r="B59">
            <v>262</v>
          </cell>
          <cell r="C59" t="str">
            <v>Djibouti</v>
          </cell>
          <cell r="D59">
            <v>0</v>
          </cell>
          <cell r="E59">
            <v>3</v>
          </cell>
          <cell r="F59" t="str">
            <v>Emro</v>
          </cell>
          <cell r="G59">
            <v>6</v>
          </cell>
          <cell r="H59" t="str">
            <v>ssa</v>
          </cell>
          <cell r="I59">
            <v>1</v>
          </cell>
          <cell r="J59" t="str">
            <v>low and middle</v>
          </cell>
          <cell r="K59" t="str">
            <v>both sexes</v>
          </cell>
          <cell r="L59" t="str">
            <v>1995-2000</v>
          </cell>
          <cell r="M59">
            <v>45.902999999999999</v>
          </cell>
          <cell r="N59">
            <v>20.187999999999999</v>
          </cell>
          <cell r="O59">
            <v>3.9429999999999996</v>
          </cell>
          <cell r="P59">
            <v>4.516</v>
          </cell>
          <cell r="Q59">
            <v>4.0539999999999994</v>
          </cell>
          <cell r="R59">
            <v>4.3879999999999999</v>
          </cell>
          <cell r="S59">
            <v>3.6480000000000001</v>
          </cell>
          <cell r="T59">
            <v>5.1660000000000013</v>
          </cell>
        </row>
        <row r="60">
          <cell r="A60">
            <v>32</v>
          </cell>
          <cell r="B60">
            <v>266</v>
          </cell>
          <cell r="C60" t="str">
            <v>Gabon</v>
          </cell>
          <cell r="D60">
            <v>0</v>
          </cell>
          <cell r="E60">
            <v>1</v>
          </cell>
          <cell r="F60" t="str">
            <v>Afro</v>
          </cell>
          <cell r="G60">
            <v>6</v>
          </cell>
          <cell r="H60" t="str">
            <v>ssa</v>
          </cell>
          <cell r="I60">
            <v>1</v>
          </cell>
          <cell r="J60" t="str">
            <v>low and middle</v>
          </cell>
          <cell r="K60" t="str">
            <v>both sexes</v>
          </cell>
          <cell r="L60" t="str">
            <v>1995-2000</v>
          </cell>
          <cell r="M60">
            <v>91.844999999999999</v>
          </cell>
          <cell r="N60">
            <v>29.628</v>
          </cell>
          <cell r="O60">
            <v>6.1820000000000004</v>
          </cell>
          <cell r="P60">
            <v>6.86</v>
          </cell>
          <cell r="Q60">
            <v>8.9949999999999992</v>
          </cell>
          <cell r="R60">
            <v>10.814</v>
          </cell>
          <cell r="S60">
            <v>9.5440000000000005</v>
          </cell>
          <cell r="T60">
            <v>19.821999999999996</v>
          </cell>
        </row>
        <row r="61">
          <cell r="A61">
            <v>106</v>
          </cell>
          <cell r="B61">
            <v>268</v>
          </cell>
          <cell r="C61" t="str">
            <v>Georgia</v>
          </cell>
          <cell r="D61">
            <v>0</v>
          </cell>
          <cell r="E61">
            <v>4</v>
          </cell>
          <cell r="F61" t="str">
            <v>Euro</v>
          </cell>
          <cell r="G61">
            <v>8</v>
          </cell>
          <cell r="H61" t="str">
            <v>mec</v>
          </cell>
          <cell r="I61">
            <v>1</v>
          </cell>
          <cell r="J61" t="str">
            <v>low and middle</v>
          </cell>
          <cell r="K61" t="str">
            <v>both sexes</v>
          </cell>
          <cell r="L61" t="str">
            <v>1995-2000</v>
          </cell>
          <cell r="M61">
            <v>238.56899999999999</v>
          </cell>
          <cell r="N61">
            <v>8.3320000000000007</v>
          </cell>
          <cell r="O61">
            <v>1.2970000000000002</v>
          </cell>
          <cell r="P61">
            <v>5.3620000000000001</v>
          </cell>
          <cell r="Q61">
            <v>13.101000000000001</v>
          </cell>
          <cell r="R61">
            <v>29.870999999999999</v>
          </cell>
          <cell r="S61">
            <v>52.040999999999997</v>
          </cell>
          <cell r="T61">
            <v>128.565</v>
          </cell>
        </row>
        <row r="62">
          <cell r="A62">
            <v>52</v>
          </cell>
          <cell r="B62">
            <v>270</v>
          </cell>
          <cell r="C62" t="str">
            <v>Gambia</v>
          </cell>
          <cell r="D62">
            <v>0</v>
          </cell>
          <cell r="E62">
            <v>1</v>
          </cell>
          <cell r="F62" t="str">
            <v>Afro</v>
          </cell>
          <cell r="G62">
            <v>6</v>
          </cell>
          <cell r="H62" t="str">
            <v>ssa</v>
          </cell>
          <cell r="I62">
            <v>1</v>
          </cell>
          <cell r="J62" t="str">
            <v>low and middle</v>
          </cell>
          <cell r="K62" t="str">
            <v>both sexes</v>
          </cell>
          <cell r="L62" t="str">
            <v>1995-2000</v>
          </cell>
          <cell r="M62">
            <v>105.282</v>
          </cell>
          <cell r="N62">
            <v>50.026000000000003</v>
          </cell>
          <cell r="O62">
            <v>8.8650000000000002</v>
          </cell>
          <cell r="P62">
            <v>9.56</v>
          </cell>
          <cell r="Q62">
            <v>10.013999999999999</v>
          </cell>
          <cell r="R62">
            <v>9.6110000000000007</v>
          </cell>
          <cell r="S62">
            <v>7.399</v>
          </cell>
          <cell r="T62">
            <v>9.8070000000000022</v>
          </cell>
        </row>
        <row r="63">
          <cell r="A63">
            <v>105</v>
          </cell>
          <cell r="B63">
            <v>274</v>
          </cell>
          <cell r="C63" t="str">
            <v>Gaza Strip</v>
          </cell>
          <cell r="G63">
            <v>8</v>
          </cell>
          <cell r="H63" t="str">
            <v>mec</v>
          </cell>
          <cell r="I63">
            <v>1</v>
          </cell>
          <cell r="J63" t="str">
            <v>low and middle</v>
          </cell>
          <cell r="K63" t="str">
            <v>both sexes</v>
          </cell>
          <cell r="L63" t="str">
            <v>1995-2000</v>
          </cell>
          <cell r="M63">
            <v>23.219000000000001</v>
          </cell>
          <cell r="N63">
            <v>6.9139999999999997</v>
          </cell>
          <cell r="O63">
            <v>0.623</v>
          </cell>
          <cell r="P63">
            <v>1.222</v>
          </cell>
          <cell r="Q63">
            <v>1.1339999999999999</v>
          </cell>
          <cell r="R63">
            <v>1.9359999999999999</v>
          </cell>
          <cell r="S63">
            <v>2.9530000000000003</v>
          </cell>
          <cell r="T63">
            <v>8.4369999999999994</v>
          </cell>
        </row>
        <row r="64">
          <cell r="A64">
            <v>158</v>
          </cell>
          <cell r="B64">
            <v>276</v>
          </cell>
          <cell r="C64" t="str">
            <v>Germany</v>
          </cell>
          <cell r="D64">
            <v>0</v>
          </cell>
          <cell r="E64">
            <v>4</v>
          </cell>
          <cell r="F64" t="str">
            <v>Euro</v>
          </cell>
          <cell r="G64">
            <v>1</v>
          </cell>
          <cell r="H64" t="str">
            <v>eme</v>
          </cell>
          <cell r="I64">
            <v>4</v>
          </cell>
          <cell r="J64" t="str">
            <v>high</v>
          </cell>
          <cell r="K64" t="str">
            <v>both sexes</v>
          </cell>
          <cell r="L64" t="str">
            <v>1995-2000</v>
          </cell>
          <cell r="M64">
            <v>4411.9530000000004</v>
          </cell>
          <cell r="N64">
            <v>24.347000000000001</v>
          </cell>
          <cell r="O64">
            <v>6.2770000000000001</v>
          </cell>
          <cell r="P64">
            <v>42.991</v>
          </cell>
          <cell r="Q64">
            <v>130.40300000000002</v>
          </cell>
          <cell r="R64">
            <v>409.88</v>
          </cell>
          <cell r="S64">
            <v>698.01400000000001</v>
          </cell>
          <cell r="T64">
            <v>3100.0410000000002</v>
          </cell>
        </row>
        <row r="65">
          <cell r="A65">
            <v>53</v>
          </cell>
          <cell r="B65">
            <v>288</v>
          </cell>
          <cell r="C65" t="str">
            <v>Ghana</v>
          </cell>
          <cell r="D65">
            <v>0</v>
          </cell>
          <cell r="E65">
            <v>1</v>
          </cell>
          <cell r="F65" t="str">
            <v>Afro</v>
          </cell>
          <cell r="G65">
            <v>6</v>
          </cell>
          <cell r="H65" t="str">
            <v>ssa</v>
          </cell>
          <cell r="I65">
            <v>1</v>
          </cell>
          <cell r="J65" t="str">
            <v>low and middle</v>
          </cell>
          <cell r="K65" t="str">
            <v>both sexes</v>
          </cell>
          <cell r="L65" t="str">
            <v>1995-2000</v>
          </cell>
          <cell r="M65">
            <v>892.28899999999999</v>
          </cell>
          <cell r="N65">
            <v>360.87099999999998</v>
          </cell>
          <cell r="O65">
            <v>68.829000000000008</v>
          </cell>
          <cell r="P65">
            <v>87.254999999999995</v>
          </cell>
          <cell r="Q65">
            <v>76.753000000000014</v>
          </cell>
          <cell r="R65">
            <v>82.863</v>
          </cell>
          <cell r="S65">
            <v>75.588999999999999</v>
          </cell>
          <cell r="T65">
            <v>140.12899999999999</v>
          </cell>
        </row>
        <row r="66">
          <cell r="A66">
            <v>146</v>
          </cell>
          <cell r="B66">
            <v>300</v>
          </cell>
          <cell r="C66" t="str">
            <v>Greece</v>
          </cell>
          <cell r="D66">
            <v>0</v>
          </cell>
          <cell r="E66">
            <v>4</v>
          </cell>
          <cell r="F66" t="str">
            <v>Euro</v>
          </cell>
          <cell r="G66">
            <v>1</v>
          </cell>
          <cell r="H66" t="str">
            <v>eme</v>
          </cell>
          <cell r="I66">
            <v>4</v>
          </cell>
          <cell r="J66" t="str">
            <v>high</v>
          </cell>
          <cell r="K66" t="str">
            <v>both sexes</v>
          </cell>
          <cell r="L66" t="str">
            <v>1995-2000</v>
          </cell>
          <cell r="M66">
            <v>508.76600000000002</v>
          </cell>
          <cell r="N66">
            <v>4.524</v>
          </cell>
          <cell r="O66">
            <v>0.83</v>
          </cell>
          <cell r="P66">
            <v>7.32</v>
          </cell>
          <cell r="Q66">
            <v>11.843</v>
          </cell>
          <cell r="R66">
            <v>36.045999999999999</v>
          </cell>
          <cell r="S66">
            <v>77.992000000000004</v>
          </cell>
          <cell r="T66">
            <v>370.21100000000001</v>
          </cell>
        </row>
        <row r="67">
          <cell r="A67">
            <v>168</v>
          </cell>
          <cell r="B67">
            <v>312</v>
          </cell>
          <cell r="C67" t="str">
            <v>Guadeloupe</v>
          </cell>
          <cell r="G67">
            <v>7</v>
          </cell>
          <cell r="H67" t="str">
            <v>lac</v>
          </cell>
          <cell r="I67">
            <v>1</v>
          </cell>
          <cell r="J67" t="str">
            <v>low and middle</v>
          </cell>
          <cell r="K67" t="str">
            <v>both sexes</v>
          </cell>
          <cell r="L67" t="str">
            <v>1995-2000</v>
          </cell>
          <cell r="M67">
            <v>12.709</v>
          </cell>
          <cell r="N67">
            <v>0.39300000000000002</v>
          </cell>
          <cell r="O67">
            <v>6.2E-2</v>
          </cell>
          <cell r="P67">
            <v>0.46</v>
          </cell>
          <cell r="Q67">
            <v>1.052</v>
          </cell>
          <cell r="R67">
            <v>1.44</v>
          </cell>
          <cell r="S67">
            <v>1.845</v>
          </cell>
          <cell r="T67">
            <v>7.4569999999999999</v>
          </cell>
        </row>
        <row r="68">
          <cell r="A68">
            <v>211</v>
          </cell>
          <cell r="B68">
            <v>316</v>
          </cell>
          <cell r="C68" t="str">
            <v>Guam</v>
          </cell>
          <cell r="G68">
            <v>5</v>
          </cell>
          <cell r="H68" t="str">
            <v>oai</v>
          </cell>
          <cell r="I68">
            <v>4</v>
          </cell>
          <cell r="J68" t="str">
            <v>high</v>
          </cell>
          <cell r="K68" t="str">
            <v>both sexes</v>
          </cell>
          <cell r="L68" t="str">
            <v>1995-2000</v>
          </cell>
          <cell r="M68">
            <v>3.4790000000000001</v>
          </cell>
          <cell r="N68">
            <v>0.24199999999999999</v>
          </cell>
          <cell r="O68">
            <v>4.8000000000000001E-2</v>
          </cell>
          <cell r="P68">
            <v>0.19500000000000001</v>
          </cell>
          <cell r="Q68">
            <v>0.35899999999999999</v>
          </cell>
          <cell r="R68">
            <v>0.625</v>
          </cell>
          <cell r="S68">
            <v>0.68900000000000006</v>
          </cell>
          <cell r="T68">
            <v>1.321</v>
          </cell>
        </row>
        <row r="69">
          <cell r="A69">
            <v>179</v>
          </cell>
          <cell r="B69">
            <v>320</v>
          </cell>
          <cell r="C69" t="str">
            <v>Guatemala</v>
          </cell>
          <cell r="D69">
            <v>0</v>
          </cell>
          <cell r="E69">
            <v>2</v>
          </cell>
          <cell r="F69" t="str">
            <v>Amro</v>
          </cell>
          <cell r="G69">
            <v>7</v>
          </cell>
          <cell r="H69" t="str">
            <v>lac</v>
          </cell>
          <cell r="I69">
            <v>1</v>
          </cell>
          <cell r="J69" t="str">
            <v>low and middle</v>
          </cell>
          <cell r="K69" t="str">
            <v>both sexes</v>
          </cell>
          <cell r="L69" t="str">
            <v>1995-2000</v>
          </cell>
          <cell r="M69">
            <v>394.25400000000002</v>
          </cell>
          <cell r="N69">
            <v>118.965</v>
          </cell>
          <cell r="O69">
            <v>15.888999999999999</v>
          </cell>
          <cell r="P69">
            <v>40.332000000000001</v>
          </cell>
          <cell r="Q69">
            <v>43.670999999999999</v>
          </cell>
          <cell r="R69">
            <v>45.98</v>
          </cell>
          <cell r="S69">
            <v>44.933</v>
          </cell>
          <cell r="T69">
            <v>84.483999999999995</v>
          </cell>
        </row>
        <row r="70">
          <cell r="A70">
            <v>54</v>
          </cell>
          <cell r="B70">
            <v>324</v>
          </cell>
          <cell r="C70" t="str">
            <v>Guinea</v>
          </cell>
          <cell r="D70">
            <v>0</v>
          </cell>
          <cell r="E70">
            <v>1</v>
          </cell>
          <cell r="F70" t="str">
            <v>Afro</v>
          </cell>
          <cell r="G70">
            <v>6</v>
          </cell>
          <cell r="H70" t="str">
            <v>ssa</v>
          </cell>
          <cell r="I70">
            <v>1</v>
          </cell>
          <cell r="J70" t="str">
            <v>low and middle</v>
          </cell>
          <cell r="K70" t="str">
            <v>both sexes</v>
          </cell>
          <cell r="L70" t="str">
            <v>1995-2000</v>
          </cell>
          <cell r="M70">
            <v>637.00900000000001</v>
          </cell>
          <cell r="N70">
            <v>317.267</v>
          </cell>
          <cell r="O70">
            <v>62.802</v>
          </cell>
          <cell r="P70">
            <v>61.942999999999998</v>
          </cell>
          <cell r="Q70">
            <v>52.486000000000004</v>
          </cell>
          <cell r="R70">
            <v>47.655999999999999</v>
          </cell>
          <cell r="S70">
            <v>39.195999999999998</v>
          </cell>
          <cell r="T70">
            <v>55.659000000000006</v>
          </cell>
        </row>
        <row r="71">
          <cell r="A71">
            <v>191</v>
          </cell>
          <cell r="B71">
            <v>328</v>
          </cell>
          <cell r="C71" t="str">
            <v>Guyana</v>
          </cell>
          <cell r="D71">
            <v>0</v>
          </cell>
          <cell r="E71">
            <v>2</v>
          </cell>
          <cell r="F71" t="str">
            <v>Amro</v>
          </cell>
          <cell r="G71">
            <v>7</v>
          </cell>
          <cell r="H71" t="str">
            <v>lac</v>
          </cell>
          <cell r="I71">
            <v>1</v>
          </cell>
          <cell r="J71" t="str">
            <v>low and middle</v>
          </cell>
          <cell r="K71" t="str">
            <v>both sexes</v>
          </cell>
          <cell r="L71" t="str">
            <v>1995-2000</v>
          </cell>
          <cell r="M71">
            <v>31.251000000000001</v>
          </cell>
          <cell r="N71">
            <v>7.2480000000000002</v>
          </cell>
          <cell r="O71">
            <v>0.95100000000000007</v>
          </cell>
          <cell r="P71">
            <v>2.157</v>
          </cell>
          <cell r="Q71">
            <v>3.423</v>
          </cell>
          <cell r="R71">
            <v>4.2530000000000001</v>
          </cell>
          <cell r="S71">
            <v>4.4710000000000001</v>
          </cell>
          <cell r="T71">
            <v>8.7480000000000011</v>
          </cell>
        </row>
        <row r="72">
          <cell r="A72">
            <v>169</v>
          </cell>
          <cell r="B72">
            <v>332</v>
          </cell>
          <cell r="C72" t="str">
            <v>Haiti</v>
          </cell>
          <cell r="D72">
            <v>0</v>
          </cell>
          <cell r="E72">
            <v>2</v>
          </cell>
          <cell r="F72" t="str">
            <v>Amro</v>
          </cell>
          <cell r="G72">
            <v>7</v>
          </cell>
          <cell r="H72" t="str">
            <v>lac</v>
          </cell>
          <cell r="I72">
            <v>1</v>
          </cell>
          <cell r="J72" t="str">
            <v>low and middle</v>
          </cell>
          <cell r="K72" t="str">
            <v>both sexes</v>
          </cell>
          <cell r="L72" t="str">
            <v>1995-2000</v>
          </cell>
          <cell r="M72">
            <v>491.01799999999997</v>
          </cell>
          <cell r="N72">
            <v>134.76</v>
          </cell>
          <cell r="O72">
            <v>33.378</v>
          </cell>
          <cell r="P72">
            <v>49.308</v>
          </cell>
          <cell r="Q72">
            <v>66.016000000000005</v>
          </cell>
          <cell r="R72">
            <v>69.727000000000004</v>
          </cell>
          <cell r="S72">
            <v>50.899000000000001</v>
          </cell>
          <cell r="T72">
            <v>86.93</v>
          </cell>
        </row>
        <row r="73">
          <cell r="A73">
            <v>180</v>
          </cell>
          <cell r="B73">
            <v>340</v>
          </cell>
          <cell r="C73" t="str">
            <v>Honduras</v>
          </cell>
          <cell r="D73">
            <v>0</v>
          </cell>
          <cell r="E73">
            <v>2</v>
          </cell>
          <cell r="F73" t="str">
            <v>Amro</v>
          </cell>
          <cell r="G73">
            <v>7</v>
          </cell>
          <cell r="H73" t="str">
            <v>lac</v>
          </cell>
          <cell r="I73">
            <v>1</v>
          </cell>
          <cell r="J73" t="str">
            <v>low and middle</v>
          </cell>
          <cell r="K73" t="str">
            <v>both sexes</v>
          </cell>
          <cell r="L73" t="str">
            <v>1995-2000</v>
          </cell>
          <cell r="M73">
            <v>163.45699999999999</v>
          </cell>
          <cell r="N73">
            <v>50.219000000000001</v>
          </cell>
          <cell r="O73">
            <v>8.23</v>
          </cell>
          <cell r="P73">
            <v>15.472999999999999</v>
          </cell>
          <cell r="Q73">
            <v>17.513000000000002</v>
          </cell>
          <cell r="R73">
            <v>17.350999999999999</v>
          </cell>
          <cell r="S73">
            <v>16.166</v>
          </cell>
          <cell r="T73">
            <v>38.505000000000003</v>
          </cell>
        </row>
        <row r="74">
          <cell r="A74">
            <v>67</v>
          </cell>
          <cell r="B74">
            <v>344</v>
          </cell>
          <cell r="C74" t="str">
            <v>China, Hong Kong SAR (6)</v>
          </cell>
          <cell r="G74">
            <v>5</v>
          </cell>
          <cell r="H74" t="str">
            <v>oai</v>
          </cell>
          <cell r="I74">
            <v>4</v>
          </cell>
          <cell r="J74" t="str">
            <v>high</v>
          </cell>
          <cell r="K74" t="str">
            <v>both sexes</v>
          </cell>
          <cell r="L74" t="str">
            <v>1995-2000</v>
          </cell>
          <cell r="M74">
            <v>190.85300000000001</v>
          </cell>
          <cell r="N74">
            <v>2.4990000000000001</v>
          </cell>
          <cell r="O74">
            <v>0.63200000000000001</v>
          </cell>
          <cell r="P74">
            <v>3.11</v>
          </cell>
          <cell r="Q74">
            <v>9.1750000000000007</v>
          </cell>
          <cell r="R74">
            <v>21.454000000000001</v>
          </cell>
          <cell r="S74">
            <v>36.269000000000005</v>
          </cell>
          <cell r="T74">
            <v>117.71400000000001</v>
          </cell>
        </row>
        <row r="75">
          <cell r="A75">
            <v>124</v>
          </cell>
          <cell r="B75">
            <v>348</v>
          </cell>
          <cell r="C75" t="str">
            <v>Hungary</v>
          </cell>
          <cell r="D75">
            <v>0</v>
          </cell>
          <cell r="E75">
            <v>4</v>
          </cell>
          <cell r="F75" t="str">
            <v>Euro</v>
          </cell>
          <cell r="G75">
            <v>2</v>
          </cell>
          <cell r="H75" t="str">
            <v>fse</v>
          </cell>
          <cell r="I75">
            <v>1</v>
          </cell>
          <cell r="J75" t="str">
            <v>low and middle</v>
          </cell>
          <cell r="K75" t="str">
            <v>both sexes</v>
          </cell>
          <cell r="L75" t="str">
            <v>1995-2000</v>
          </cell>
          <cell r="M75">
            <v>692.76800000000003</v>
          </cell>
          <cell r="N75">
            <v>6.07</v>
          </cell>
          <cell r="O75">
            <v>1.278</v>
          </cell>
          <cell r="P75">
            <v>7.5329999999999995</v>
          </cell>
          <cell r="Q75">
            <v>35.409999999999997</v>
          </cell>
          <cell r="R75">
            <v>108.846</v>
          </cell>
          <cell r="S75">
            <v>133.48500000000001</v>
          </cell>
          <cell r="T75">
            <v>400.14600000000002</v>
          </cell>
        </row>
        <row r="76">
          <cell r="A76">
            <v>135</v>
          </cell>
          <cell r="B76">
            <v>352</v>
          </cell>
          <cell r="C76" t="str">
            <v>Iceland</v>
          </cell>
          <cell r="D76">
            <v>0</v>
          </cell>
          <cell r="E76">
            <v>4</v>
          </cell>
          <cell r="F76" t="str">
            <v>Euro</v>
          </cell>
          <cell r="G76">
            <v>1</v>
          </cell>
          <cell r="H76" t="str">
            <v>eme</v>
          </cell>
          <cell r="I76">
            <v>4</v>
          </cell>
          <cell r="J76" t="str">
            <v>high</v>
          </cell>
          <cell r="K76" t="str">
            <v>both sexes</v>
          </cell>
          <cell r="L76" t="str">
            <v>1995-2000</v>
          </cell>
          <cell r="M76">
            <v>9.1999999999999993</v>
          </cell>
          <cell r="N76">
            <v>0.13500000000000001</v>
          </cell>
          <cell r="O76">
            <v>2.8000000000000001E-2</v>
          </cell>
          <cell r="P76">
            <v>0.16900000000000001</v>
          </cell>
          <cell r="Q76">
            <v>0.26600000000000001</v>
          </cell>
          <cell r="R76">
            <v>0.78400000000000003</v>
          </cell>
          <cell r="S76">
            <v>1.238</v>
          </cell>
          <cell r="T76">
            <v>6.58</v>
          </cell>
        </row>
        <row r="77">
          <cell r="A77">
            <v>77</v>
          </cell>
          <cell r="B77">
            <v>356</v>
          </cell>
          <cell r="C77" t="str">
            <v>India</v>
          </cell>
          <cell r="D77">
            <v>0</v>
          </cell>
          <cell r="E77">
            <v>5</v>
          </cell>
          <cell r="F77" t="str">
            <v>Searo</v>
          </cell>
          <cell r="G77">
            <v>3</v>
          </cell>
          <cell r="H77" t="str">
            <v>ind</v>
          </cell>
          <cell r="I77">
            <v>6</v>
          </cell>
          <cell r="J77" t="str">
            <v>ind</v>
          </cell>
          <cell r="K77" t="str">
            <v>both sexes</v>
          </cell>
          <cell r="L77" t="str">
            <v>1995-2000</v>
          </cell>
          <cell r="M77">
            <v>43222.786999999997</v>
          </cell>
          <cell r="N77">
            <v>11662.937</v>
          </cell>
          <cell r="O77">
            <v>2506.9690000000001</v>
          </cell>
          <cell r="P77">
            <v>2344.665</v>
          </cell>
          <cell r="Q77">
            <v>3030.3649999999998</v>
          </cell>
          <cell r="R77">
            <v>5494.3179999999993</v>
          </cell>
          <cell r="S77">
            <v>6541.6139999999996</v>
          </cell>
          <cell r="T77">
            <v>11641.919</v>
          </cell>
        </row>
        <row r="78">
          <cell r="A78">
            <v>92</v>
          </cell>
          <cell r="B78">
            <v>360</v>
          </cell>
          <cell r="C78" t="str">
            <v>Indonesia</v>
          </cell>
          <cell r="D78">
            <v>0</v>
          </cell>
          <cell r="E78">
            <v>5</v>
          </cell>
          <cell r="F78" t="str">
            <v>Searo</v>
          </cell>
          <cell r="G78">
            <v>5</v>
          </cell>
          <cell r="H78" t="str">
            <v>oai</v>
          </cell>
          <cell r="I78">
            <v>1</v>
          </cell>
          <cell r="J78" t="str">
            <v>low and middle</v>
          </cell>
          <cell r="K78" t="str">
            <v>both sexes</v>
          </cell>
          <cell r="L78" t="str">
            <v>1995-2000</v>
          </cell>
          <cell r="M78">
            <v>7729.5209999999997</v>
          </cell>
          <cell r="N78">
            <v>1475.759</v>
          </cell>
          <cell r="O78">
            <v>218.614</v>
          </cell>
          <cell r="P78">
            <v>604.85500000000002</v>
          </cell>
          <cell r="Q78">
            <v>718.68299999999999</v>
          </cell>
          <cell r="R78">
            <v>1124.143</v>
          </cell>
          <cell r="S78">
            <v>1275.6310000000001</v>
          </cell>
          <cell r="T78">
            <v>2311.8359999999998</v>
          </cell>
        </row>
        <row r="79">
          <cell r="A79">
            <v>78</v>
          </cell>
          <cell r="B79">
            <v>364</v>
          </cell>
          <cell r="C79" t="str">
            <v>Iran (Islamic Republic of)</v>
          </cell>
          <cell r="D79">
            <v>0</v>
          </cell>
          <cell r="E79">
            <v>3</v>
          </cell>
          <cell r="F79" t="str">
            <v>Emro</v>
          </cell>
          <cell r="G79">
            <v>8</v>
          </cell>
          <cell r="H79" t="str">
            <v>mec</v>
          </cell>
          <cell r="I79">
            <v>1</v>
          </cell>
          <cell r="J79" t="str">
            <v>low and middle</v>
          </cell>
          <cell r="K79" t="str">
            <v>both sexes</v>
          </cell>
          <cell r="L79" t="str">
            <v>1995-2000</v>
          </cell>
          <cell r="M79">
            <v>1778.7539999999999</v>
          </cell>
          <cell r="N79">
            <v>395.45</v>
          </cell>
          <cell r="O79">
            <v>90.225999999999999</v>
          </cell>
          <cell r="P79">
            <v>118.72300000000001</v>
          </cell>
          <cell r="Q79">
            <v>116.723</v>
          </cell>
          <cell r="R79">
            <v>200.80599999999998</v>
          </cell>
          <cell r="S79">
            <v>298.524</v>
          </cell>
          <cell r="T79">
            <v>558.30200000000002</v>
          </cell>
        </row>
        <row r="80">
          <cell r="A80">
            <v>107</v>
          </cell>
          <cell r="B80">
            <v>368</v>
          </cell>
          <cell r="C80" t="str">
            <v>Iraq</v>
          </cell>
          <cell r="D80">
            <v>0</v>
          </cell>
          <cell r="E80">
            <v>3</v>
          </cell>
          <cell r="F80" t="str">
            <v>Emro</v>
          </cell>
          <cell r="G80">
            <v>8</v>
          </cell>
          <cell r="H80" t="str">
            <v>mec</v>
          </cell>
          <cell r="I80">
            <v>1</v>
          </cell>
          <cell r="J80" t="str">
            <v>low and middle</v>
          </cell>
          <cell r="K80" t="str">
            <v>both sexes</v>
          </cell>
          <cell r="L80" t="str">
            <v>1995-2000</v>
          </cell>
          <cell r="M80">
            <v>916.28800000000001</v>
          </cell>
          <cell r="N80">
            <v>443.92700000000002</v>
          </cell>
          <cell r="O80">
            <v>30.6</v>
          </cell>
          <cell r="P80">
            <v>52.146000000000001</v>
          </cell>
          <cell r="Q80">
            <v>62.474000000000004</v>
          </cell>
          <cell r="R80">
            <v>96.27600000000001</v>
          </cell>
          <cell r="S80">
            <v>87.24</v>
          </cell>
          <cell r="T80">
            <v>143.625</v>
          </cell>
        </row>
        <row r="81">
          <cell r="A81">
            <v>136</v>
          </cell>
          <cell r="B81">
            <v>372</v>
          </cell>
          <cell r="C81" t="str">
            <v>Ireland</v>
          </cell>
          <cell r="D81">
            <v>0</v>
          </cell>
          <cell r="E81">
            <v>4</v>
          </cell>
          <cell r="F81" t="str">
            <v>Euro</v>
          </cell>
          <cell r="G81">
            <v>1</v>
          </cell>
          <cell r="H81" t="str">
            <v>eme</v>
          </cell>
          <cell r="I81">
            <v>4</v>
          </cell>
          <cell r="J81" t="str">
            <v>high</v>
          </cell>
          <cell r="K81" t="str">
            <v>both sexes</v>
          </cell>
          <cell r="L81" t="str">
            <v>1995-2000</v>
          </cell>
          <cell r="M81">
            <v>154.721</v>
          </cell>
          <cell r="N81">
            <v>2.2309999999999999</v>
          </cell>
          <cell r="O81">
            <v>0.432</v>
          </cell>
          <cell r="P81">
            <v>2.3540000000000001</v>
          </cell>
          <cell r="Q81">
            <v>3.661</v>
          </cell>
          <cell r="R81">
            <v>13.58</v>
          </cell>
          <cell r="S81">
            <v>23.754999999999999</v>
          </cell>
          <cell r="T81">
            <v>108.708</v>
          </cell>
        </row>
        <row r="82">
          <cell r="A82">
            <v>108</v>
          </cell>
          <cell r="B82">
            <v>376</v>
          </cell>
          <cell r="C82" t="str">
            <v>Israel</v>
          </cell>
          <cell r="D82">
            <v>0</v>
          </cell>
          <cell r="E82">
            <v>4</v>
          </cell>
          <cell r="F82" t="str">
            <v>Euro</v>
          </cell>
          <cell r="G82">
            <v>8</v>
          </cell>
          <cell r="H82" t="str">
            <v>mec</v>
          </cell>
          <cell r="I82">
            <v>4</v>
          </cell>
          <cell r="J82" t="str">
            <v>high</v>
          </cell>
          <cell r="K82" t="str">
            <v>both sexes</v>
          </cell>
          <cell r="L82" t="str">
            <v>1995-2000</v>
          </cell>
          <cell r="M82">
            <v>181.416</v>
          </cell>
          <cell r="N82">
            <v>6.069</v>
          </cell>
          <cell r="O82">
            <v>0.95499999999999996</v>
          </cell>
          <cell r="P82">
            <v>3.3230000000000004</v>
          </cell>
          <cell r="Q82">
            <v>5.4939999999999998</v>
          </cell>
          <cell r="R82">
            <v>15.863000000000001</v>
          </cell>
          <cell r="S82">
            <v>27.654000000000003</v>
          </cell>
          <cell r="T82">
            <v>122.05799999999999</v>
          </cell>
        </row>
        <row r="83">
          <cell r="A83">
            <v>147</v>
          </cell>
          <cell r="B83">
            <v>380</v>
          </cell>
          <cell r="C83" t="str">
            <v>Italy</v>
          </cell>
          <cell r="D83">
            <v>0</v>
          </cell>
          <cell r="E83">
            <v>4</v>
          </cell>
          <cell r="F83" t="str">
            <v>Euro</v>
          </cell>
          <cell r="G83">
            <v>1</v>
          </cell>
          <cell r="H83" t="str">
            <v>eme</v>
          </cell>
          <cell r="I83">
            <v>4</v>
          </cell>
          <cell r="J83" t="str">
            <v>high</v>
          </cell>
          <cell r="K83" t="str">
            <v>both sexes</v>
          </cell>
          <cell r="L83" t="str">
            <v>1995-2000</v>
          </cell>
          <cell r="M83">
            <v>2976.5729999999999</v>
          </cell>
          <cell r="N83">
            <v>22.439</v>
          </cell>
          <cell r="O83">
            <v>5.1870000000000003</v>
          </cell>
          <cell r="P83">
            <v>31.869</v>
          </cell>
          <cell r="Q83">
            <v>62.069000000000003</v>
          </cell>
          <cell r="R83">
            <v>222.86699999999999</v>
          </cell>
          <cell r="S83">
            <v>446.60400000000004</v>
          </cell>
          <cell r="T83">
            <v>2185.538</v>
          </cell>
        </row>
        <row r="84">
          <cell r="A84">
            <v>51</v>
          </cell>
          <cell r="B84">
            <v>384</v>
          </cell>
          <cell r="C84" t="str">
            <v>Cote d'Ivoire</v>
          </cell>
          <cell r="D84">
            <v>0</v>
          </cell>
          <cell r="E84">
            <v>1</v>
          </cell>
          <cell r="F84" t="str">
            <v>Afro</v>
          </cell>
          <cell r="G84">
            <v>6</v>
          </cell>
          <cell r="H84" t="str">
            <v>ssa</v>
          </cell>
          <cell r="I84">
            <v>1</v>
          </cell>
          <cell r="J84" t="str">
            <v>low and middle</v>
          </cell>
          <cell r="K84" t="str">
            <v>both sexes</v>
          </cell>
          <cell r="L84" t="str">
            <v>1995-2000</v>
          </cell>
          <cell r="M84">
            <v>1142.9110000000001</v>
          </cell>
          <cell r="N84">
            <v>369.91300000000001</v>
          </cell>
          <cell r="O84">
            <v>97.823999999999998</v>
          </cell>
          <cell r="P84">
            <v>125.295</v>
          </cell>
          <cell r="Q84">
            <v>191.649</v>
          </cell>
          <cell r="R84">
            <v>160.80500000000001</v>
          </cell>
          <cell r="S84">
            <v>86.872</v>
          </cell>
          <cell r="T84">
            <v>110.553</v>
          </cell>
        </row>
        <row r="85">
          <cell r="A85">
            <v>170</v>
          </cell>
          <cell r="B85">
            <v>388</v>
          </cell>
          <cell r="C85" t="str">
            <v>Jamaica</v>
          </cell>
          <cell r="D85">
            <v>0</v>
          </cell>
          <cell r="E85">
            <v>2</v>
          </cell>
          <cell r="F85" t="str">
            <v>Amro</v>
          </cell>
          <cell r="G85">
            <v>7</v>
          </cell>
          <cell r="H85" t="str">
            <v>lac</v>
          </cell>
          <cell r="I85">
            <v>1</v>
          </cell>
          <cell r="J85" t="str">
            <v>low and middle</v>
          </cell>
          <cell r="K85" t="str">
            <v>both sexes</v>
          </cell>
          <cell r="L85" t="str">
            <v>1995-2000</v>
          </cell>
          <cell r="M85">
            <v>74.876000000000005</v>
          </cell>
          <cell r="N85">
            <v>7.52</v>
          </cell>
          <cell r="O85">
            <v>0.98199999999999998</v>
          </cell>
          <cell r="P85">
            <v>2.2930000000000001</v>
          </cell>
          <cell r="Q85">
            <v>3.52</v>
          </cell>
          <cell r="R85">
            <v>6.3879999999999999</v>
          </cell>
          <cell r="S85">
            <v>9.411999999999999</v>
          </cell>
          <cell r="T85">
            <v>44.760999999999996</v>
          </cell>
        </row>
        <row r="86">
          <cell r="A86">
            <v>69</v>
          </cell>
          <cell r="B86">
            <v>392</v>
          </cell>
          <cell r="C86" t="str">
            <v>Japan</v>
          </cell>
          <cell r="D86">
            <v>0</v>
          </cell>
          <cell r="E86">
            <v>6</v>
          </cell>
          <cell r="F86" t="str">
            <v>Wpro</v>
          </cell>
          <cell r="G86">
            <v>1</v>
          </cell>
          <cell r="H86" t="str">
            <v>eme</v>
          </cell>
          <cell r="I86">
            <v>4</v>
          </cell>
          <cell r="J86" t="str">
            <v>high</v>
          </cell>
          <cell r="K86" t="str">
            <v>both sexes</v>
          </cell>
          <cell r="L86" t="str">
            <v>1995-2000</v>
          </cell>
          <cell r="M86">
            <v>5026.9279999999999</v>
          </cell>
          <cell r="N86">
            <v>37.021000000000001</v>
          </cell>
          <cell r="O86">
            <v>9.86</v>
          </cell>
          <cell r="P86">
            <v>60.429000000000002</v>
          </cell>
          <cell r="Q86">
            <v>118.708</v>
          </cell>
          <cell r="R86">
            <v>513.89</v>
          </cell>
          <cell r="S86">
            <v>803.88499999999999</v>
          </cell>
          <cell r="T86">
            <v>3483.1350000000002</v>
          </cell>
        </row>
        <row r="87">
          <cell r="A87">
            <v>79</v>
          </cell>
          <cell r="B87">
            <v>398</v>
          </cell>
          <cell r="C87" t="str">
            <v>Kazakhstan</v>
          </cell>
          <cell r="D87">
            <v>0</v>
          </cell>
          <cell r="E87">
            <v>4</v>
          </cell>
          <cell r="F87" t="str">
            <v>Euro</v>
          </cell>
          <cell r="G87">
            <v>8</v>
          </cell>
          <cell r="H87" t="str">
            <v>mec</v>
          </cell>
          <cell r="I87">
            <v>1</v>
          </cell>
          <cell r="J87" t="str">
            <v>low and middle</v>
          </cell>
          <cell r="K87" t="str">
            <v>both sexes</v>
          </cell>
          <cell r="L87" t="str">
            <v>1995-2000</v>
          </cell>
          <cell r="M87">
            <v>697.66399999999999</v>
          </cell>
          <cell r="N87">
            <v>62.820999999999998</v>
          </cell>
          <cell r="O87">
            <v>9.7650000000000006</v>
          </cell>
          <cell r="P87">
            <v>32.725000000000001</v>
          </cell>
          <cell r="Q87">
            <v>64.596000000000004</v>
          </cell>
          <cell r="R87">
            <v>116.738</v>
          </cell>
          <cell r="S87">
            <v>140.459</v>
          </cell>
          <cell r="T87">
            <v>270.56</v>
          </cell>
        </row>
        <row r="88">
          <cell r="A88">
            <v>109</v>
          </cell>
          <cell r="B88">
            <v>400</v>
          </cell>
          <cell r="C88" t="str">
            <v>Jordan</v>
          </cell>
          <cell r="D88">
            <v>0</v>
          </cell>
          <cell r="E88">
            <v>3</v>
          </cell>
          <cell r="F88" t="str">
            <v>Emro</v>
          </cell>
          <cell r="G88">
            <v>8</v>
          </cell>
          <cell r="H88" t="str">
            <v>mec</v>
          </cell>
          <cell r="I88">
            <v>1</v>
          </cell>
          <cell r="J88" t="str">
            <v>low and middle</v>
          </cell>
          <cell r="K88" t="str">
            <v>both sexes</v>
          </cell>
          <cell r="L88" t="str">
            <v>1995-2000</v>
          </cell>
          <cell r="M88">
            <v>142.655</v>
          </cell>
          <cell r="N88">
            <v>33.677999999999997</v>
          </cell>
          <cell r="O88">
            <v>4.1399999999999997</v>
          </cell>
          <cell r="P88">
            <v>10.079000000000001</v>
          </cell>
          <cell r="Q88">
            <v>11.106999999999999</v>
          </cell>
          <cell r="R88">
            <v>18.37</v>
          </cell>
          <cell r="S88">
            <v>20.672000000000001</v>
          </cell>
          <cell r="T88">
            <v>44.609000000000002</v>
          </cell>
        </row>
        <row r="89">
          <cell r="A89">
            <v>12</v>
          </cell>
          <cell r="B89">
            <v>404</v>
          </cell>
          <cell r="C89" t="str">
            <v>Kenya</v>
          </cell>
          <cell r="D89">
            <v>0</v>
          </cell>
          <cell r="E89">
            <v>1</v>
          </cell>
          <cell r="F89" t="str">
            <v>Afro</v>
          </cell>
          <cell r="G89">
            <v>6</v>
          </cell>
          <cell r="H89" t="str">
            <v>ssa</v>
          </cell>
          <cell r="I89">
            <v>1</v>
          </cell>
          <cell r="J89" t="str">
            <v>low and middle</v>
          </cell>
          <cell r="K89" t="str">
            <v>both sexes</v>
          </cell>
          <cell r="L89" t="str">
            <v>1995-2000</v>
          </cell>
          <cell r="M89">
            <v>1748.837</v>
          </cell>
          <cell r="N89">
            <v>520.94100000000003</v>
          </cell>
          <cell r="O89">
            <v>138.983</v>
          </cell>
          <cell r="P89">
            <v>194.88800000000001</v>
          </cell>
          <cell r="Q89">
            <v>305.548</v>
          </cell>
          <cell r="R89">
            <v>234.30699999999999</v>
          </cell>
          <cell r="S89">
            <v>123.943</v>
          </cell>
          <cell r="T89">
            <v>230.227</v>
          </cell>
        </row>
        <row r="90">
          <cell r="A90">
            <v>68</v>
          </cell>
          <cell r="B90">
            <v>408</v>
          </cell>
          <cell r="C90" t="str">
            <v>Dem. People's Rep. of Korea</v>
          </cell>
          <cell r="D90">
            <v>0</v>
          </cell>
          <cell r="E90">
            <v>5</v>
          </cell>
          <cell r="F90" t="str">
            <v>Searo</v>
          </cell>
          <cell r="G90">
            <v>5</v>
          </cell>
          <cell r="H90" t="str">
            <v>oai</v>
          </cell>
          <cell r="I90">
            <v>1</v>
          </cell>
          <cell r="J90" t="str">
            <v>low and middle</v>
          </cell>
          <cell r="K90" t="str">
            <v>both sexes</v>
          </cell>
          <cell r="L90" t="str">
            <v>1995-2000</v>
          </cell>
          <cell r="M90">
            <v>620.03599999999994</v>
          </cell>
          <cell r="N90">
            <v>62.155999999999999</v>
          </cell>
          <cell r="O90">
            <v>5.798</v>
          </cell>
          <cell r="P90">
            <v>23.387</v>
          </cell>
          <cell r="Q90">
            <v>49.505000000000003</v>
          </cell>
          <cell r="R90">
            <v>107.874</v>
          </cell>
          <cell r="S90">
            <v>127.82300000000001</v>
          </cell>
          <cell r="T90">
            <v>243.49299999999999</v>
          </cell>
        </row>
        <row r="91">
          <cell r="A91">
            <v>72</v>
          </cell>
          <cell r="B91">
            <v>410</v>
          </cell>
          <cell r="C91" t="str">
            <v>Republic of Korea</v>
          </cell>
          <cell r="D91">
            <v>0</v>
          </cell>
          <cell r="E91">
            <v>6</v>
          </cell>
          <cell r="F91" t="str">
            <v>Wpro</v>
          </cell>
          <cell r="G91">
            <v>5</v>
          </cell>
          <cell r="H91" t="str">
            <v>oai</v>
          </cell>
          <cell r="I91">
            <v>4</v>
          </cell>
          <cell r="J91" t="str">
            <v>high</v>
          </cell>
          <cell r="K91" t="str">
            <v>both sexes</v>
          </cell>
          <cell r="L91" t="str">
            <v>1995-2000</v>
          </cell>
          <cell r="M91">
            <v>1430.037</v>
          </cell>
          <cell r="N91">
            <v>47.128</v>
          </cell>
          <cell r="O91">
            <v>13.994</v>
          </cell>
          <cell r="P91">
            <v>56.11</v>
          </cell>
          <cell r="Q91">
            <v>124.53100000000001</v>
          </cell>
          <cell r="R91">
            <v>261.63900000000001</v>
          </cell>
          <cell r="S91">
            <v>303.30200000000002</v>
          </cell>
          <cell r="T91">
            <v>623.33299999999997</v>
          </cell>
        </row>
        <row r="92">
          <cell r="A92">
            <v>110</v>
          </cell>
          <cell r="B92">
            <v>414</v>
          </cell>
          <cell r="C92" t="str">
            <v>Kuwait</v>
          </cell>
          <cell r="D92">
            <v>0</v>
          </cell>
          <cell r="E92">
            <v>3</v>
          </cell>
          <cell r="F92" t="str">
            <v>Emro</v>
          </cell>
          <cell r="G92">
            <v>8</v>
          </cell>
          <cell r="H92" t="str">
            <v>mec</v>
          </cell>
          <cell r="I92">
            <v>4</v>
          </cell>
          <cell r="J92" t="str">
            <v>high</v>
          </cell>
          <cell r="K92" t="str">
            <v>both sexes</v>
          </cell>
          <cell r="L92" t="str">
            <v>1995-2000</v>
          </cell>
          <cell r="M92">
            <v>20.335999999999999</v>
          </cell>
          <cell r="N92">
            <v>3.1320000000000001</v>
          </cell>
          <cell r="O92">
            <v>0.55100000000000005</v>
          </cell>
          <cell r="P92">
            <v>0.92899999999999994</v>
          </cell>
          <cell r="Q92">
            <v>1.651</v>
          </cell>
          <cell r="R92">
            <v>4.0229999999999997</v>
          </cell>
          <cell r="S92">
            <v>3.5880000000000001</v>
          </cell>
          <cell r="T92">
            <v>6.4620000000000006</v>
          </cell>
        </row>
        <row r="93">
          <cell r="A93">
            <v>80</v>
          </cell>
          <cell r="B93">
            <v>417</v>
          </cell>
          <cell r="C93" t="str">
            <v>Kyrgyzstan</v>
          </cell>
          <cell r="D93">
            <v>0</v>
          </cell>
          <cell r="E93">
            <v>4</v>
          </cell>
          <cell r="F93" t="str">
            <v>Euro</v>
          </cell>
          <cell r="G93">
            <v>8</v>
          </cell>
          <cell r="H93" t="str">
            <v>mec</v>
          </cell>
          <cell r="I93">
            <v>1</v>
          </cell>
          <cell r="J93" t="str">
            <v>low and middle</v>
          </cell>
          <cell r="K93" t="str">
            <v>both sexes</v>
          </cell>
          <cell r="L93" t="str">
            <v>1995-2000</v>
          </cell>
          <cell r="M93">
            <v>170.679</v>
          </cell>
          <cell r="N93">
            <v>29.507999999999999</v>
          </cell>
          <cell r="O93">
            <v>3.5439999999999996</v>
          </cell>
          <cell r="P93">
            <v>8.8640000000000008</v>
          </cell>
          <cell r="Q93">
            <v>16.451999999999998</v>
          </cell>
          <cell r="R93">
            <v>21.507999999999999</v>
          </cell>
          <cell r="S93">
            <v>29.423999999999999</v>
          </cell>
          <cell r="T93">
            <v>61.379000000000005</v>
          </cell>
        </row>
        <row r="94">
          <cell r="A94">
            <v>93</v>
          </cell>
          <cell r="B94">
            <v>418</v>
          </cell>
          <cell r="C94" t="str">
            <v>Lao People's Dem. Republic</v>
          </cell>
          <cell r="D94">
            <v>0</v>
          </cell>
          <cell r="E94">
            <v>6</v>
          </cell>
          <cell r="F94" t="str">
            <v>Wpro</v>
          </cell>
          <cell r="G94">
            <v>5</v>
          </cell>
          <cell r="H94" t="str">
            <v>oai</v>
          </cell>
          <cell r="I94">
            <v>1</v>
          </cell>
          <cell r="J94" t="str">
            <v>low and middle</v>
          </cell>
          <cell r="K94" t="str">
            <v>both sexes</v>
          </cell>
          <cell r="L94" t="str">
            <v>1995-2000</v>
          </cell>
          <cell r="M94">
            <v>342.92700000000002</v>
          </cell>
          <cell r="N94">
            <v>154.27699999999999</v>
          </cell>
          <cell r="O94">
            <v>28.971000000000004</v>
          </cell>
          <cell r="P94">
            <v>30.974</v>
          </cell>
          <cell r="Q94">
            <v>29.021000000000001</v>
          </cell>
          <cell r="R94">
            <v>30.622999999999998</v>
          </cell>
          <cell r="S94">
            <v>26.832999999999998</v>
          </cell>
          <cell r="T94">
            <v>42.228000000000002</v>
          </cell>
        </row>
        <row r="95">
          <cell r="A95">
            <v>111</v>
          </cell>
          <cell r="B95">
            <v>422</v>
          </cell>
          <cell r="C95" t="str">
            <v>Lebanon</v>
          </cell>
          <cell r="D95">
            <v>0</v>
          </cell>
          <cell r="E95">
            <v>3</v>
          </cell>
          <cell r="F95" t="str">
            <v>Emro</v>
          </cell>
          <cell r="G95">
            <v>8</v>
          </cell>
          <cell r="H95" t="str">
            <v>mec</v>
          </cell>
          <cell r="I95">
            <v>1</v>
          </cell>
          <cell r="J95" t="str">
            <v>low and middle</v>
          </cell>
          <cell r="K95" t="str">
            <v>both sexes</v>
          </cell>
          <cell r="L95" t="str">
            <v>1995-2000</v>
          </cell>
          <cell r="M95">
            <v>100.962</v>
          </cell>
          <cell r="N95">
            <v>13.458</v>
          </cell>
          <cell r="O95">
            <v>1.796</v>
          </cell>
          <cell r="P95">
            <v>5.3070000000000004</v>
          </cell>
          <cell r="Q95">
            <v>6.609</v>
          </cell>
          <cell r="R95">
            <v>11.187000000000001</v>
          </cell>
          <cell r="S95">
            <v>18.393000000000001</v>
          </cell>
          <cell r="T95">
            <v>44.211999999999996</v>
          </cell>
        </row>
        <row r="96">
          <cell r="A96">
            <v>43</v>
          </cell>
          <cell r="B96">
            <v>426</v>
          </cell>
          <cell r="C96" t="str">
            <v>Lesotho</v>
          </cell>
          <cell r="D96">
            <v>0</v>
          </cell>
          <cell r="E96">
            <v>1</v>
          </cell>
          <cell r="F96" t="str">
            <v>Afro</v>
          </cell>
          <cell r="G96">
            <v>6</v>
          </cell>
          <cell r="H96" t="str">
            <v>ssa</v>
          </cell>
          <cell r="I96">
            <v>1</v>
          </cell>
          <cell r="J96" t="str">
            <v>low and middle</v>
          </cell>
          <cell r="K96" t="str">
            <v>both sexes</v>
          </cell>
          <cell r="L96" t="str">
            <v>1995-2000</v>
          </cell>
          <cell r="M96">
            <v>123.357</v>
          </cell>
          <cell r="N96">
            <v>46.664999999999999</v>
          </cell>
          <cell r="O96">
            <v>5.7330000000000005</v>
          </cell>
          <cell r="P96">
            <v>8.2680000000000007</v>
          </cell>
          <cell r="Q96">
            <v>13.98</v>
          </cell>
          <cell r="R96">
            <v>14.964000000000002</v>
          </cell>
          <cell r="S96">
            <v>11.609</v>
          </cell>
          <cell r="T96">
            <v>22.138000000000002</v>
          </cell>
        </row>
        <row r="97">
          <cell r="A97">
            <v>137</v>
          </cell>
          <cell r="B97">
            <v>428</v>
          </cell>
          <cell r="C97" t="str">
            <v>Latvia</v>
          </cell>
          <cell r="D97">
            <v>0</v>
          </cell>
          <cell r="E97">
            <v>4</v>
          </cell>
          <cell r="F97" t="str">
            <v>Euro</v>
          </cell>
          <cell r="G97">
            <v>2</v>
          </cell>
          <cell r="H97" t="str">
            <v>fse</v>
          </cell>
          <cell r="I97">
            <v>1</v>
          </cell>
          <cell r="J97" t="str">
            <v>low and middle</v>
          </cell>
          <cell r="K97" t="str">
            <v>both sexes</v>
          </cell>
          <cell r="L97" t="str">
            <v>1995-2000</v>
          </cell>
          <cell r="M97">
            <v>171.28299999999999</v>
          </cell>
          <cell r="N97">
            <v>2.7909999999999999</v>
          </cell>
          <cell r="O97">
            <v>1.173</v>
          </cell>
          <cell r="P97">
            <v>4.2939999999999996</v>
          </cell>
          <cell r="Q97">
            <v>10.257000000000001</v>
          </cell>
          <cell r="R97">
            <v>25.722000000000001</v>
          </cell>
          <cell r="S97">
            <v>34.840000000000003</v>
          </cell>
          <cell r="T97">
            <v>92.206000000000003</v>
          </cell>
        </row>
        <row r="98">
          <cell r="A98">
            <v>56</v>
          </cell>
          <cell r="B98">
            <v>430</v>
          </cell>
          <cell r="C98" t="str">
            <v>Liberia</v>
          </cell>
          <cell r="D98">
            <v>0</v>
          </cell>
          <cell r="E98">
            <v>1</v>
          </cell>
          <cell r="F98" t="str">
            <v>Afro</v>
          </cell>
          <cell r="G98">
            <v>6</v>
          </cell>
          <cell r="H98" t="str">
            <v>ssa</v>
          </cell>
          <cell r="I98">
            <v>1</v>
          </cell>
          <cell r="J98" t="str">
            <v>low and middle</v>
          </cell>
          <cell r="K98" t="str">
            <v>both sexes</v>
          </cell>
          <cell r="L98" t="str">
            <v>1995-2000</v>
          </cell>
          <cell r="M98">
            <v>216.126</v>
          </cell>
          <cell r="N98">
            <v>99.167000000000002</v>
          </cell>
          <cell r="O98">
            <v>17.030999999999999</v>
          </cell>
          <cell r="P98">
            <v>21.070999999999998</v>
          </cell>
          <cell r="Q98">
            <v>18.498999999999999</v>
          </cell>
          <cell r="R98">
            <v>21.818999999999999</v>
          </cell>
          <cell r="S98">
            <v>16.366</v>
          </cell>
          <cell r="T98">
            <v>22.172999999999998</v>
          </cell>
        </row>
        <row r="99">
          <cell r="A99">
            <v>36</v>
          </cell>
          <cell r="B99">
            <v>434</v>
          </cell>
          <cell r="C99" t="str">
            <v>Libyan Arab Jamahiriya</v>
          </cell>
          <cell r="D99">
            <v>0</v>
          </cell>
          <cell r="E99">
            <v>3</v>
          </cell>
          <cell r="F99" t="str">
            <v>Emro</v>
          </cell>
          <cell r="G99">
            <v>8</v>
          </cell>
          <cell r="H99" t="str">
            <v>mec</v>
          </cell>
          <cell r="I99">
            <v>1</v>
          </cell>
          <cell r="J99" t="str">
            <v>low and middle</v>
          </cell>
          <cell r="K99" t="str">
            <v>both sexes</v>
          </cell>
          <cell r="L99" t="str">
            <v>1995-2000</v>
          </cell>
          <cell r="M99">
            <v>121.569</v>
          </cell>
          <cell r="N99">
            <v>24.251999999999999</v>
          </cell>
          <cell r="O99">
            <v>2.448</v>
          </cell>
          <cell r="P99">
            <v>6.4850000000000003</v>
          </cell>
          <cell r="Q99">
            <v>8.92</v>
          </cell>
          <cell r="R99">
            <v>22.225999999999999</v>
          </cell>
          <cell r="S99">
            <v>23.774999999999999</v>
          </cell>
          <cell r="T99">
            <v>33.462999999999994</v>
          </cell>
        </row>
        <row r="100">
          <cell r="A100">
            <v>138</v>
          </cell>
          <cell r="B100">
            <v>440</v>
          </cell>
          <cell r="C100" t="str">
            <v>Lithuania</v>
          </cell>
          <cell r="D100">
            <v>0</v>
          </cell>
          <cell r="E100">
            <v>4</v>
          </cell>
          <cell r="F100" t="str">
            <v>Euro</v>
          </cell>
          <cell r="G100">
            <v>2</v>
          </cell>
          <cell r="H100" t="str">
            <v>fse</v>
          </cell>
          <cell r="I100">
            <v>1</v>
          </cell>
          <cell r="J100" t="str">
            <v>low and middle</v>
          </cell>
          <cell r="K100" t="str">
            <v>both sexes</v>
          </cell>
          <cell r="L100" t="str">
            <v>1995-2000</v>
          </cell>
          <cell r="M100">
            <v>220.39699999999999</v>
          </cell>
          <cell r="N100">
            <v>4.7080000000000002</v>
          </cell>
          <cell r="O100">
            <v>1.3479999999999999</v>
          </cell>
          <cell r="P100">
            <v>5.6849999999999996</v>
          </cell>
          <cell r="Q100">
            <v>15.932000000000002</v>
          </cell>
          <cell r="R100">
            <v>32.957999999999998</v>
          </cell>
          <cell r="S100">
            <v>43.063000000000002</v>
          </cell>
          <cell r="T100">
            <v>116.70299999999997</v>
          </cell>
        </row>
        <row r="101">
          <cell r="A101">
            <v>159</v>
          </cell>
          <cell r="B101">
            <v>442</v>
          </cell>
          <cell r="C101" t="str">
            <v>Luxembourg</v>
          </cell>
          <cell r="D101">
            <v>0</v>
          </cell>
          <cell r="E101">
            <v>4</v>
          </cell>
          <cell r="F101" t="str">
            <v>Euro</v>
          </cell>
          <cell r="G101">
            <v>1</v>
          </cell>
          <cell r="H101" t="str">
            <v>eme</v>
          </cell>
          <cell r="I101">
            <v>4</v>
          </cell>
          <cell r="J101" t="str">
            <v>high</v>
          </cell>
          <cell r="K101" t="str">
            <v>both sexes</v>
          </cell>
          <cell r="L101" t="str">
            <v>1995-2000</v>
          </cell>
          <cell r="M101">
            <v>20.108000000000001</v>
          </cell>
          <cell r="N101">
            <v>0.216</v>
          </cell>
          <cell r="O101">
            <v>3.6999999999999998E-2</v>
          </cell>
          <cell r="P101">
            <v>0.255</v>
          </cell>
          <cell r="Q101">
            <v>0.53</v>
          </cell>
          <cell r="R101">
            <v>1.9319999999999999</v>
          </cell>
          <cell r="S101">
            <v>3.1740000000000004</v>
          </cell>
          <cell r="T101">
            <v>13.963999999999999</v>
          </cell>
        </row>
        <row r="102">
          <cell r="A102">
            <v>70</v>
          </cell>
          <cell r="B102">
            <v>446</v>
          </cell>
          <cell r="C102" t="str">
            <v>Macau</v>
          </cell>
          <cell r="G102">
            <v>5</v>
          </cell>
          <cell r="H102" t="str">
            <v>oai</v>
          </cell>
          <cell r="I102">
            <v>4</v>
          </cell>
          <cell r="J102" t="str">
            <v>high</v>
          </cell>
          <cell r="K102" t="str">
            <v>both sexes</v>
          </cell>
          <cell r="L102" t="str">
            <v>1995-2000</v>
          </cell>
          <cell r="M102">
            <v>10.157</v>
          </cell>
          <cell r="N102">
            <v>0.33900000000000002</v>
          </cell>
          <cell r="O102">
            <v>0.05</v>
          </cell>
          <cell r="P102">
            <v>0.17299999999999999</v>
          </cell>
          <cell r="Q102">
            <v>0.53300000000000003</v>
          </cell>
          <cell r="R102">
            <v>1.1399999999999999</v>
          </cell>
          <cell r="S102">
            <v>1.552</v>
          </cell>
          <cell r="T102">
            <v>6.37</v>
          </cell>
        </row>
        <row r="103">
          <cell r="A103">
            <v>13</v>
          </cell>
          <cell r="B103">
            <v>450</v>
          </cell>
          <cell r="C103" t="str">
            <v>Madagascar</v>
          </cell>
          <cell r="D103">
            <v>0</v>
          </cell>
          <cell r="E103">
            <v>1</v>
          </cell>
          <cell r="F103" t="str">
            <v>Afro</v>
          </cell>
          <cell r="G103">
            <v>6</v>
          </cell>
          <cell r="H103" t="str">
            <v>ssa</v>
          </cell>
          <cell r="I103">
            <v>1</v>
          </cell>
          <cell r="J103" t="str">
            <v>low and middle</v>
          </cell>
          <cell r="K103" t="str">
            <v>both sexes</v>
          </cell>
          <cell r="L103" t="str">
            <v>1995-2000</v>
          </cell>
          <cell r="M103">
            <v>802.33199999999999</v>
          </cell>
          <cell r="N103">
            <v>349.60599999999999</v>
          </cell>
          <cell r="O103">
            <v>39.989000000000004</v>
          </cell>
          <cell r="P103">
            <v>69.885000000000005</v>
          </cell>
          <cell r="Q103">
            <v>70.861999999999995</v>
          </cell>
          <cell r="R103">
            <v>76.171999999999997</v>
          </cell>
          <cell r="S103">
            <v>69.430000000000007</v>
          </cell>
          <cell r="T103">
            <v>126.38799999999999</v>
          </cell>
        </row>
        <row r="104">
          <cell r="A104">
            <v>14</v>
          </cell>
          <cell r="B104">
            <v>454</v>
          </cell>
          <cell r="C104" t="str">
            <v>Malawi</v>
          </cell>
          <cell r="D104">
            <v>0</v>
          </cell>
          <cell r="E104">
            <v>1</v>
          </cell>
          <cell r="F104" t="str">
            <v>Afro</v>
          </cell>
          <cell r="G104">
            <v>6</v>
          </cell>
          <cell r="H104" t="str">
            <v>ssa</v>
          </cell>
          <cell r="I104">
            <v>1</v>
          </cell>
          <cell r="J104" t="str">
            <v>low and middle</v>
          </cell>
          <cell r="K104" t="str">
            <v>both sexes</v>
          </cell>
          <cell r="L104" t="str">
            <v>1995-2000</v>
          </cell>
          <cell r="M104">
            <v>1194.501</v>
          </cell>
          <cell r="N104">
            <v>549.01499999999999</v>
          </cell>
          <cell r="O104">
            <v>116.154</v>
          </cell>
          <cell r="P104">
            <v>96.59</v>
          </cell>
          <cell r="Q104">
            <v>160.27100000000002</v>
          </cell>
          <cell r="R104">
            <v>129.31</v>
          </cell>
          <cell r="S104">
            <v>62.695</v>
          </cell>
          <cell r="T104">
            <v>80.466000000000008</v>
          </cell>
        </row>
        <row r="105">
          <cell r="A105">
            <v>94</v>
          </cell>
          <cell r="B105">
            <v>458</v>
          </cell>
          <cell r="C105" t="str">
            <v>Malaysia</v>
          </cell>
          <cell r="D105">
            <v>0</v>
          </cell>
          <cell r="E105">
            <v>6</v>
          </cell>
          <cell r="F105" t="str">
            <v>Wpro</v>
          </cell>
          <cell r="G105">
            <v>5</v>
          </cell>
          <cell r="H105" t="str">
            <v>oai</v>
          </cell>
          <cell r="I105">
            <v>1</v>
          </cell>
          <cell r="J105" t="str">
            <v>low and middle</v>
          </cell>
          <cell r="K105" t="str">
            <v>both sexes</v>
          </cell>
          <cell r="L105" t="str">
            <v>1995-2000</v>
          </cell>
          <cell r="M105">
            <v>506.15800000000002</v>
          </cell>
          <cell r="N105">
            <v>40.015999999999998</v>
          </cell>
          <cell r="O105">
            <v>9.0229999999999997</v>
          </cell>
          <cell r="P105">
            <v>28.378</v>
          </cell>
          <cell r="Q105">
            <v>41.915999999999997</v>
          </cell>
          <cell r="R105">
            <v>81.676999999999992</v>
          </cell>
          <cell r="S105">
            <v>101.239</v>
          </cell>
          <cell r="T105">
            <v>203.90900000000002</v>
          </cell>
        </row>
        <row r="106">
          <cell r="A106">
            <v>81</v>
          </cell>
          <cell r="B106">
            <v>462</v>
          </cell>
          <cell r="C106" t="str">
            <v>Maldives</v>
          </cell>
          <cell r="D106">
            <v>0</v>
          </cell>
          <cell r="E106">
            <v>5</v>
          </cell>
          <cell r="F106" t="str">
            <v>Searo</v>
          </cell>
          <cell r="G106">
            <v>5</v>
          </cell>
          <cell r="H106" t="str">
            <v>oai</v>
          </cell>
          <cell r="I106">
            <v>1</v>
          </cell>
          <cell r="J106" t="str">
            <v>low and middle</v>
          </cell>
          <cell r="K106" t="str">
            <v>both sexes</v>
          </cell>
          <cell r="L106" t="str">
            <v>1995-2000</v>
          </cell>
          <cell r="M106">
            <v>9.6270000000000007</v>
          </cell>
          <cell r="N106">
            <v>3.097</v>
          </cell>
          <cell r="O106">
            <v>0.42300000000000004</v>
          </cell>
          <cell r="P106">
            <v>0.75800000000000001</v>
          </cell>
          <cell r="Q106">
            <v>0.745</v>
          </cell>
          <cell r="R106">
            <v>1.0149999999999999</v>
          </cell>
          <cell r="S106">
            <v>1.2649999999999999</v>
          </cell>
          <cell r="T106">
            <v>2.3239999999999994</v>
          </cell>
        </row>
        <row r="107">
          <cell r="A107">
            <v>57</v>
          </cell>
          <cell r="B107">
            <v>466</v>
          </cell>
          <cell r="C107" t="str">
            <v>Mali</v>
          </cell>
          <cell r="D107">
            <v>0</v>
          </cell>
          <cell r="E107">
            <v>1</v>
          </cell>
          <cell r="F107" t="str">
            <v>Afro</v>
          </cell>
          <cell r="G107">
            <v>6</v>
          </cell>
          <cell r="H107" t="str">
            <v>ssa</v>
          </cell>
          <cell r="I107">
            <v>1</v>
          </cell>
          <cell r="J107" t="str">
            <v>low and middle</v>
          </cell>
          <cell r="K107" t="str">
            <v>both sexes</v>
          </cell>
          <cell r="L107" t="str">
            <v>1995-2000</v>
          </cell>
          <cell r="M107">
            <v>844.51300000000003</v>
          </cell>
          <cell r="N107">
            <v>568.279</v>
          </cell>
          <cell r="O107">
            <v>56.680999999999997</v>
          </cell>
          <cell r="P107">
            <v>52.546999999999997</v>
          </cell>
          <cell r="Q107">
            <v>36.048000000000002</v>
          </cell>
          <cell r="R107">
            <v>33.033999999999999</v>
          </cell>
          <cell r="S107">
            <v>31.802999999999997</v>
          </cell>
          <cell r="T107">
            <v>66.120999999999995</v>
          </cell>
        </row>
        <row r="108">
          <cell r="A108">
            <v>148</v>
          </cell>
          <cell r="B108">
            <v>470</v>
          </cell>
          <cell r="C108" t="str">
            <v>Malta</v>
          </cell>
          <cell r="D108">
            <v>0</v>
          </cell>
          <cell r="E108">
            <v>4</v>
          </cell>
          <cell r="F108" t="str">
            <v>Euro</v>
          </cell>
          <cell r="G108">
            <v>8</v>
          </cell>
          <cell r="H108" t="str">
            <v>mec</v>
          </cell>
          <cell r="I108">
            <v>1</v>
          </cell>
          <cell r="J108" t="str">
            <v>low and middle</v>
          </cell>
          <cell r="K108" t="str">
            <v>both sexes</v>
          </cell>
          <cell r="L108" t="str">
            <v>1995-2000</v>
          </cell>
          <cell r="M108">
            <v>14.689</v>
          </cell>
          <cell r="N108">
            <v>0.23499999999999999</v>
          </cell>
          <cell r="O108">
            <v>3.9E-2</v>
          </cell>
          <cell r="P108">
            <v>0.157</v>
          </cell>
          <cell r="Q108">
            <v>0.30599999999999999</v>
          </cell>
          <cell r="R108">
            <v>1.3439999999999999</v>
          </cell>
          <cell r="S108">
            <v>2.38</v>
          </cell>
          <cell r="T108">
            <v>10.228000000000002</v>
          </cell>
        </row>
        <row r="109">
          <cell r="A109">
            <v>171</v>
          </cell>
          <cell r="B109">
            <v>474</v>
          </cell>
          <cell r="C109" t="str">
            <v>Martinique</v>
          </cell>
          <cell r="G109">
            <v>7</v>
          </cell>
          <cell r="H109" t="str">
            <v>lac</v>
          </cell>
          <cell r="I109">
            <v>4</v>
          </cell>
          <cell r="J109" t="str">
            <v>high</v>
          </cell>
          <cell r="K109" t="str">
            <v>both sexes</v>
          </cell>
          <cell r="L109" t="str">
            <v>1995-2000</v>
          </cell>
          <cell r="M109">
            <v>12.038</v>
          </cell>
          <cell r="N109">
            <v>0.26</v>
          </cell>
          <cell r="O109">
            <v>4.7E-2</v>
          </cell>
          <cell r="P109">
            <v>0.33900000000000002</v>
          </cell>
          <cell r="Q109">
            <v>0.61899999999999999</v>
          </cell>
          <cell r="R109">
            <v>1.214</v>
          </cell>
          <cell r="S109">
            <v>1.9010000000000002</v>
          </cell>
          <cell r="T109">
            <v>7.6579999999999986</v>
          </cell>
        </row>
        <row r="110">
          <cell r="A110">
            <v>58</v>
          </cell>
          <cell r="B110">
            <v>478</v>
          </cell>
          <cell r="C110" t="str">
            <v>Mauritania</v>
          </cell>
          <cell r="D110">
            <v>0</v>
          </cell>
          <cell r="E110">
            <v>1</v>
          </cell>
          <cell r="F110" t="str">
            <v>Afro</v>
          </cell>
          <cell r="G110">
            <v>6</v>
          </cell>
          <cell r="H110" t="str">
            <v>ssa</v>
          </cell>
          <cell r="I110">
            <v>1</v>
          </cell>
          <cell r="J110" t="str">
            <v>low and middle</v>
          </cell>
          <cell r="K110" t="str">
            <v>both sexes</v>
          </cell>
          <cell r="L110" t="str">
            <v>1995-2000</v>
          </cell>
          <cell r="M110">
            <v>165.83</v>
          </cell>
          <cell r="N110">
            <v>75.510000000000005</v>
          </cell>
          <cell r="O110">
            <v>13.754</v>
          </cell>
          <cell r="P110">
            <v>15.864000000000001</v>
          </cell>
          <cell r="Q110">
            <v>13.773</v>
          </cell>
          <cell r="R110">
            <v>13.443999999999999</v>
          </cell>
          <cell r="S110">
            <v>12.263</v>
          </cell>
          <cell r="T110">
            <v>21.221999999999998</v>
          </cell>
        </row>
        <row r="111">
          <cell r="A111">
            <v>15</v>
          </cell>
          <cell r="B111">
            <v>480</v>
          </cell>
          <cell r="C111" t="str">
            <v>Mauritius (2)</v>
          </cell>
          <cell r="D111">
            <v>0</v>
          </cell>
          <cell r="E111">
            <v>1</v>
          </cell>
          <cell r="F111" t="str">
            <v>Afro</v>
          </cell>
          <cell r="G111">
            <v>5</v>
          </cell>
          <cell r="H111" t="str">
            <v>oai</v>
          </cell>
          <cell r="I111">
            <v>1</v>
          </cell>
          <cell r="J111" t="str">
            <v>low and middle</v>
          </cell>
          <cell r="K111" t="str">
            <v>both sexes</v>
          </cell>
          <cell r="L111" t="str">
            <v>1995-2000</v>
          </cell>
          <cell r="M111">
            <v>36.654000000000003</v>
          </cell>
          <cell r="N111">
            <v>1.671</v>
          </cell>
          <cell r="O111">
            <v>0.23799999999999999</v>
          </cell>
          <cell r="P111">
            <v>1.1819999999999999</v>
          </cell>
          <cell r="Q111">
            <v>3.1269999999999998</v>
          </cell>
          <cell r="R111">
            <v>6.5389999999999997</v>
          </cell>
          <cell r="S111">
            <v>7.3770000000000007</v>
          </cell>
          <cell r="T111">
            <v>16.52</v>
          </cell>
        </row>
        <row r="112">
          <cell r="A112">
            <v>181</v>
          </cell>
          <cell r="B112">
            <v>484</v>
          </cell>
          <cell r="C112" t="str">
            <v>Mexico</v>
          </cell>
          <cell r="D112">
            <v>0</v>
          </cell>
          <cell r="E112">
            <v>2</v>
          </cell>
          <cell r="F112" t="str">
            <v>Amro</v>
          </cell>
          <cell r="G112">
            <v>7</v>
          </cell>
          <cell r="H112" t="str">
            <v>lac</v>
          </cell>
          <cell r="I112">
            <v>1</v>
          </cell>
          <cell r="J112" t="str">
            <v>low and middle</v>
          </cell>
          <cell r="K112" t="str">
            <v>both sexes</v>
          </cell>
          <cell r="L112" t="str">
            <v>1995-2000</v>
          </cell>
          <cell r="M112">
            <v>2405.5639999999999</v>
          </cell>
          <cell r="N112">
            <v>445.69</v>
          </cell>
          <cell r="O112">
            <v>52.277000000000001</v>
          </cell>
          <cell r="P112">
            <v>182.58199999999999</v>
          </cell>
          <cell r="Q112">
            <v>228.74299999999999</v>
          </cell>
          <cell r="R112">
            <v>325.04899999999998</v>
          </cell>
          <cell r="S112">
            <v>319.97800000000001</v>
          </cell>
          <cell r="T112">
            <v>851.245</v>
          </cell>
        </row>
        <row r="113">
          <cell r="A113">
            <v>71</v>
          </cell>
          <cell r="B113">
            <v>496</v>
          </cell>
          <cell r="C113" t="str">
            <v>Mongolia</v>
          </cell>
          <cell r="D113">
            <v>0</v>
          </cell>
          <cell r="E113">
            <v>6</v>
          </cell>
          <cell r="F113" t="str">
            <v>Wpro</v>
          </cell>
          <cell r="G113">
            <v>5</v>
          </cell>
          <cell r="H113" t="str">
            <v>oai</v>
          </cell>
          <cell r="I113">
            <v>1</v>
          </cell>
          <cell r="J113" t="str">
            <v>low and middle</v>
          </cell>
          <cell r="K113" t="str">
            <v>both sexes</v>
          </cell>
          <cell r="L113" t="str">
            <v>1995-2000</v>
          </cell>
          <cell r="M113">
            <v>83.557000000000002</v>
          </cell>
          <cell r="N113">
            <v>21.440999999999999</v>
          </cell>
          <cell r="O113">
            <v>2.165</v>
          </cell>
          <cell r="P113">
            <v>3.7830000000000004</v>
          </cell>
          <cell r="Q113">
            <v>6.4290000000000003</v>
          </cell>
          <cell r="R113">
            <v>10.612</v>
          </cell>
          <cell r="S113">
            <v>12.282</v>
          </cell>
          <cell r="T113">
            <v>26.844999999999999</v>
          </cell>
        </row>
        <row r="114">
          <cell r="A114">
            <v>126</v>
          </cell>
          <cell r="B114">
            <v>498</v>
          </cell>
          <cell r="C114" t="str">
            <v>Republic of Moldova</v>
          </cell>
          <cell r="D114">
            <v>0</v>
          </cell>
          <cell r="E114">
            <v>4</v>
          </cell>
          <cell r="F114" t="str">
            <v>Euro</v>
          </cell>
          <cell r="G114">
            <v>2</v>
          </cell>
          <cell r="H114" t="str">
            <v>fse</v>
          </cell>
          <cell r="I114">
            <v>1</v>
          </cell>
          <cell r="J114" t="str">
            <v>low and middle</v>
          </cell>
          <cell r="K114" t="str">
            <v>both sexes</v>
          </cell>
          <cell r="L114" t="str">
            <v>1995-2000</v>
          </cell>
          <cell r="M114">
            <v>235.42599999999999</v>
          </cell>
          <cell r="N114">
            <v>9.8469999999999995</v>
          </cell>
          <cell r="O114">
            <v>2.0249999999999999</v>
          </cell>
          <cell r="P114">
            <v>7.59</v>
          </cell>
          <cell r="Q114">
            <v>17.364999999999998</v>
          </cell>
          <cell r="R114">
            <v>39.396000000000001</v>
          </cell>
          <cell r="S114">
            <v>50.424999999999997</v>
          </cell>
          <cell r="T114">
            <v>108.77799999999999</v>
          </cell>
        </row>
        <row r="115">
          <cell r="A115">
            <v>37</v>
          </cell>
          <cell r="B115">
            <v>504</v>
          </cell>
          <cell r="C115" t="str">
            <v>Morocco</v>
          </cell>
          <cell r="D115">
            <v>0</v>
          </cell>
          <cell r="E115">
            <v>3</v>
          </cell>
          <cell r="F115" t="str">
            <v>Emro</v>
          </cell>
          <cell r="G115">
            <v>8</v>
          </cell>
          <cell r="H115" t="str">
            <v>mec</v>
          </cell>
          <cell r="I115">
            <v>1</v>
          </cell>
          <cell r="J115" t="str">
            <v>low and middle</v>
          </cell>
          <cell r="K115" t="str">
            <v>both sexes</v>
          </cell>
          <cell r="L115" t="str">
            <v>1995-2000</v>
          </cell>
          <cell r="M115">
            <v>913.93899999999996</v>
          </cell>
          <cell r="N115">
            <v>232.54499999999999</v>
          </cell>
          <cell r="O115">
            <v>26.429000000000002</v>
          </cell>
          <cell r="P115">
            <v>63.009</v>
          </cell>
          <cell r="Q115">
            <v>68.768000000000001</v>
          </cell>
          <cell r="R115">
            <v>96.575000000000003</v>
          </cell>
          <cell r="S115">
            <v>129.55799999999999</v>
          </cell>
          <cell r="T115">
            <v>297.05500000000001</v>
          </cell>
        </row>
        <row r="116">
          <cell r="A116">
            <v>16</v>
          </cell>
          <cell r="B116">
            <v>508</v>
          </cell>
          <cell r="C116" t="str">
            <v>Mozambique</v>
          </cell>
          <cell r="D116">
            <v>0</v>
          </cell>
          <cell r="E116">
            <v>1</v>
          </cell>
          <cell r="F116" t="str">
            <v>Afro</v>
          </cell>
          <cell r="G116">
            <v>6</v>
          </cell>
          <cell r="H116" t="str">
            <v>ssa</v>
          </cell>
          <cell r="I116">
            <v>1</v>
          </cell>
          <cell r="J116" t="str">
            <v>low and middle</v>
          </cell>
          <cell r="K116" t="str">
            <v>both sexes</v>
          </cell>
          <cell r="L116" t="str">
            <v>1995-2000</v>
          </cell>
          <cell r="M116">
            <v>1740.3</v>
          </cell>
          <cell r="N116">
            <v>752.51800000000003</v>
          </cell>
          <cell r="O116">
            <v>159.05200000000002</v>
          </cell>
          <cell r="P116">
            <v>155.37899999999999</v>
          </cell>
          <cell r="Q116">
            <v>201.274</v>
          </cell>
          <cell r="R116">
            <v>181.46899999999999</v>
          </cell>
          <cell r="S116">
            <v>119.241</v>
          </cell>
          <cell r="T116">
            <v>171.36699999999996</v>
          </cell>
        </row>
        <row r="117">
          <cell r="A117">
            <v>112</v>
          </cell>
          <cell r="B117">
            <v>512</v>
          </cell>
          <cell r="C117" t="str">
            <v>Oman</v>
          </cell>
          <cell r="D117">
            <v>0</v>
          </cell>
          <cell r="E117">
            <v>3</v>
          </cell>
          <cell r="F117" t="str">
            <v>Emro</v>
          </cell>
          <cell r="G117">
            <v>8</v>
          </cell>
          <cell r="H117" t="str">
            <v>mec</v>
          </cell>
          <cell r="I117">
            <v>1</v>
          </cell>
          <cell r="J117" t="str">
            <v>low and middle</v>
          </cell>
          <cell r="K117" t="str">
            <v>both sexes</v>
          </cell>
          <cell r="L117" t="str">
            <v>1995-2000</v>
          </cell>
          <cell r="M117">
            <v>48.433</v>
          </cell>
          <cell r="N117">
            <v>12.542</v>
          </cell>
          <cell r="O117">
            <v>1.4460000000000002</v>
          </cell>
          <cell r="P117">
            <v>2.8580000000000001</v>
          </cell>
          <cell r="Q117">
            <v>3.7110000000000003</v>
          </cell>
          <cell r="R117">
            <v>7.7750000000000004</v>
          </cell>
          <cell r="S117">
            <v>6.6739999999999995</v>
          </cell>
          <cell r="T117">
            <v>13.427</v>
          </cell>
        </row>
        <row r="118">
          <cell r="A118">
            <v>44</v>
          </cell>
          <cell r="B118">
            <v>516</v>
          </cell>
          <cell r="C118" t="str">
            <v>Namibia</v>
          </cell>
          <cell r="D118">
            <v>0</v>
          </cell>
          <cell r="E118">
            <v>1</v>
          </cell>
          <cell r="F118" t="str">
            <v>Afro</v>
          </cell>
          <cell r="G118">
            <v>6</v>
          </cell>
          <cell r="H118" t="str">
            <v>ssa</v>
          </cell>
          <cell r="I118">
            <v>1</v>
          </cell>
          <cell r="J118" t="str">
            <v>low and middle</v>
          </cell>
          <cell r="K118" t="str">
            <v>both sexes</v>
          </cell>
          <cell r="L118" t="str">
            <v>1995-2000</v>
          </cell>
          <cell r="M118">
            <v>110.66500000000001</v>
          </cell>
          <cell r="N118">
            <v>35.366</v>
          </cell>
          <cell r="O118">
            <v>7.26</v>
          </cell>
          <cell r="P118">
            <v>10.431000000000001</v>
          </cell>
          <cell r="Q118">
            <v>16.632999999999999</v>
          </cell>
          <cell r="R118">
            <v>15.147</v>
          </cell>
          <cell r="S118">
            <v>9.6129999999999995</v>
          </cell>
          <cell r="T118">
            <v>16.215</v>
          </cell>
        </row>
        <row r="119">
          <cell r="A119">
            <v>82</v>
          </cell>
          <cell r="B119">
            <v>524</v>
          </cell>
          <cell r="C119" t="str">
            <v>Nepal</v>
          </cell>
          <cell r="D119">
            <v>0</v>
          </cell>
          <cell r="E119">
            <v>5</v>
          </cell>
          <cell r="F119" t="str">
            <v>Searo</v>
          </cell>
          <cell r="G119">
            <v>5</v>
          </cell>
          <cell r="H119" t="str">
            <v>oai</v>
          </cell>
          <cell r="I119">
            <v>1</v>
          </cell>
          <cell r="J119" t="str">
            <v>low and middle</v>
          </cell>
          <cell r="K119" t="str">
            <v>both sexes</v>
          </cell>
          <cell r="L119" t="str">
            <v>1995-2000</v>
          </cell>
          <cell r="M119">
            <v>1234.203</v>
          </cell>
          <cell r="N119">
            <v>455.76799999999997</v>
          </cell>
          <cell r="O119">
            <v>62.441000000000003</v>
          </cell>
          <cell r="P119">
            <v>108.196</v>
          </cell>
          <cell r="Q119">
            <v>106.78399999999999</v>
          </cell>
          <cell r="R119">
            <v>140.33800000000002</v>
          </cell>
          <cell r="S119">
            <v>133.87</v>
          </cell>
          <cell r="T119">
            <v>226.80599999999998</v>
          </cell>
        </row>
        <row r="120">
          <cell r="A120">
            <v>160</v>
          </cell>
          <cell r="B120">
            <v>528</v>
          </cell>
          <cell r="C120" t="str">
            <v>Netherlands</v>
          </cell>
          <cell r="D120">
            <v>0</v>
          </cell>
          <cell r="E120">
            <v>4</v>
          </cell>
          <cell r="F120" t="str">
            <v>Euro</v>
          </cell>
          <cell r="G120">
            <v>1</v>
          </cell>
          <cell r="H120" t="str">
            <v>eme</v>
          </cell>
          <cell r="I120">
            <v>4</v>
          </cell>
          <cell r="J120" t="str">
            <v>high</v>
          </cell>
          <cell r="K120" t="str">
            <v>both sexes</v>
          </cell>
          <cell r="L120" t="str">
            <v>1995-2000</v>
          </cell>
          <cell r="M120">
            <v>680.26900000000001</v>
          </cell>
          <cell r="N120">
            <v>7.3150000000000004</v>
          </cell>
          <cell r="O120">
            <v>1.657</v>
          </cell>
          <cell r="P120">
            <v>7.09</v>
          </cell>
          <cell r="Q120">
            <v>19.13</v>
          </cell>
          <cell r="R120">
            <v>61.571999999999996</v>
          </cell>
          <cell r="S120">
            <v>99.38</v>
          </cell>
          <cell r="T120">
            <v>484.125</v>
          </cell>
        </row>
        <row r="121">
          <cell r="A121">
            <v>172</v>
          </cell>
          <cell r="B121">
            <v>530</v>
          </cell>
          <cell r="C121" t="str">
            <v>Netherlands Antilles</v>
          </cell>
          <cell r="G121">
            <v>7</v>
          </cell>
          <cell r="H121" t="str">
            <v>lac</v>
          </cell>
          <cell r="I121">
            <v>4</v>
          </cell>
          <cell r="J121" t="str">
            <v>high</v>
          </cell>
          <cell r="K121" t="str">
            <v>both sexes</v>
          </cell>
          <cell r="L121" t="str">
            <v>1995-2000</v>
          </cell>
          <cell r="M121">
            <v>6.4459999999999997</v>
          </cell>
          <cell r="N121">
            <v>0.29699999999999999</v>
          </cell>
          <cell r="O121">
            <v>3.7999999999999999E-2</v>
          </cell>
          <cell r="P121">
            <v>0.129</v>
          </cell>
          <cell r="Q121">
            <v>0.28000000000000003</v>
          </cell>
          <cell r="R121">
            <v>0.81899999999999995</v>
          </cell>
          <cell r="S121">
            <v>1.079</v>
          </cell>
          <cell r="T121">
            <v>3.8039999999999998</v>
          </cell>
        </row>
        <row r="122">
          <cell r="A122">
            <v>206</v>
          </cell>
          <cell r="B122">
            <v>540</v>
          </cell>
          <cell r="C122" t="str">
            <v>New Caledonia</v>
          </cell>
          <cell r="G122">
            <v>5</v>
          </cell>
          <cell r="H122" t="str">
            <v>oai</v>
          </cell>
          <cell r="I122">
            <v>4</v>
          </cell>
          <cell r="J122" t="str">
            <v>high</v>
          </cell>
          <cell r="K122" t="str">
            <v>both sexes</v>
          </cell>
          <cell r="L122" t="str">
            <v>1995-2000</v>
          </cell>
          <cell r="M122">
            <v>5.4980000000000002</v>
          </cell>
          <cell r="N122">
            <v>0.36499999999999999</v>
          </cell>
          <cell r="O122">
            <v>7.3000000000000009E-2</v>
          </cell>
          <cell r="P122">
            <v>0.36099999999999999</v>
          </cell>
          <cell r="Q122">
            <v>0.41600000000000004</v>
          </cell>
          <cell r="R122">
            <v>0.96199999999999997</v>
          </cell>
          <cell r="S122">
            <v>1.093</v>
          </cell>
          <cell r="T122">
            <v>2.2279999999999998</v>
          </cell>
        </row>
        <row r="123">
          <cell r="A123">
            <v>209</v>
          </cell>
          <cell r="B123">
            <v>548</v>
          </cell>
          <cell r="C123" t="str">
            <v>Vanuatu</v>
          </cell>
          <cell r="D123">
            <v>0</v>
          </cell>
          <cell r="E123">
            <v>6</v>
          </cell>
          <cell r="F123" t="str">
            <v>Wpro</v>
          </cell>
          <cell r="G123">
            <v>5</v>
          </cell>
          <cell r="H123" t="str">
            <v>oai</v>
          </cell>
          <cell r="I123">
            <v>1</v>
          </cell>
          <cell r="J123" t="str">
            <v>low and middle</v>
          </cell>
          <cell r="K123" t="str">
            <v>both sexes</v>
          </cell>
          <cell r="L123" t="str">
            <v>1995-2000</v>
          </cell>
          <cell r="M123">
            <v>5.4859999999999998</v>
          </cell>
          <cell r="N123">
            <v>1.4119999999999999</v>
          </cell>
          <cell r="O123">
            <v>0.18099999999999999</v>
          </cell>
          <cell r="P123">
            <v>0.36299999999999999</v>
          </cell>
          <cell r="Q123">
            <v>0.42700000000000005</v>
          </cell>
          <cell r="R123">
            <v>0.69700000000000006</v>
          </cell>
          <cell r="S123">
            <v>0.69</v>
          </cell>
          <cell r="T123">
            <v>1.716</v>
          </cell>
        </row>
        <row r="124">
          <cell r="A124">
            <v>203</v>
          </cell>
          <cell r="B124">
            <v>554</v>
          </cell>
          <cell r="C124" t="str">
            <v>New Zealand</v>
          </cell>
          <cell r="D124">
            <v>0</v>
          </cell>
          <cell r="E124">
            <v>6</v>
          </cell>
          <cell r="F124" t="str">
            <v>Wpro</v>
          </cell>
          <cell r="G124">
            <v>1</v>
          </cell>
          <cell r="H124" t="str">
            <v>eme</v>
          </cell>
          <cell r="I124">
            <v>4</v>
          </cell>
          <cell r="J124" t="str">
            <v>high</v>
          </cell>
          <cell r="K124" t="str">
            <v>both sexes</v>
          </cell>
          <cell r="L124" t="str">
            <v>1995-2000</v>
          </cell>
          <cell r="M124">
            <v>147.745</v>
          </cell>
          <cell r="N124">
            <v>2.4649999999999999</v>
          </cell>
          <cell r="O124">
            <v>0.56900000000000006</v>
          </cell>
          <cell r="P124">
            <v>3.802</v>
          </cell>
          <cell r="Q124">
            <v>5.3820000000000006</v>
          </cell>
          <cell r="R124">
            <v>14.816000000000001</v>
          </cell>
          <cell r="S124">
            <v>21.683</v>
          </cell>
          <cell r="T124">
            <v>99.028000000000006</v>
          </cell>
        </row>
        <row r="125">
          <cell r="A125">
            <v>182</v>
          </cell>
          <cell r="B125">
            <v>558</v>
          </cell>
          <cell r="C125" t="str">
            <v>Nicaragua</v>
          </cell>
          <cell r="D125">
            <v>0</v>
          </cell>
          <cell r="E125">
            <v>2</v>
          </cell>
          <cell r="F125" t="str">
            <v>Amro</v>
          </cell>
          <cell r="G125">
            <v>7</v>
          </cell>
          <cell r="H125" t="str">
            <v>lac</v>
          </cell>
          <cell r="I125">
            <v>1</v>
          </cell>
          <cell r="J125" t="str">
            <v>low and middle</v>
          </cell>
          <cell r="K125" t="str">
            <v>both sexes</v>
          </cell>
          <cell r="L125" t="str">
            <v>1995-2000</v>
          </cell>
          <cell r="M125">
            <v>139.006</v>
          </cell>
          <cell r="N125">
            <v>50.264000000000003</v>
          </cell>
          <cell r="O125">
            <v>6.8879999999999999</v>
          </cell>
          <cell r="P125">
            <v>12.913999999999998</v>
          </cell>
          <cell r="Q125">
            <v>12.773</v>
          </cell>
          <cell r="R125">
            <v>13.818</v>
          </cell>
          <cell r="S125">
            <v>13.048</v>
          </cell>
          <cell r="T125">
            <v>29.301000000000002</v>
          </cell>
        </row>
        <row r="126">
          <cell r="A126">
            <v>59</v>
          </cell>
          <cell r="B126">
            <v>562</v>
          </cell>
          <cell r="C126" t="str">
            <v>Niger</v>
          </cell>
          <cell r="D126">
            <v>0</v>
          </cell>
          <cell r="E126">
            <v>1</v>
          </cell>
          <cell r="F126" t="str">
            <v>Afro</v>
          </cell>
          <cell r="G126">
            <v>6</v>
          </cell>
          <cell r="H126" t="str">
            <v>ssa</v>
          </cell>
          <cell r="I126">
            <v>1</v>
          </cell>
          <cell r="J126" t="str">
            <v>low and middle</v>
          </cell>
          <cell r="K126" t="str">
            <v>both sexes</v>
          </cell>
          <cell r="L126" t="str">
            <v>1995-2000</v>
          </cell>
          <cell r="M126">
            <v>841.84900000000005</v>
          </cell>
          <cell r="N126">
            <v>461.12299999999999</v>
          </cell>
          <cell r="O126">
            <v>78.728000000000009</v>
          </cell>
          <cell r="P126">
            <v>73.978999999999999</v>
          </cell>
          <cell r="Q126">
            <v>60.867000000000004</v>
          </cell>
          <cell r="R126">
            <v>55.835000000000001</v>
          </cell>
          <cell r="S126">
            <v>45.596000000000004</v>
          </cell>
          <cell r="T126">
            <v>65.721000000000004</v>
          </cell>
        </row>
        <row r="127">
          <cell r="A127">
            <v>60</v>
          </cell>
          <cell r="B127">
            <v>566</v>
          </cell>
          <cell r="C127" t="str">
            <v>Nigeria</v>
          </cell>
          <cell r="D127">
            <v>0</v>
          </cell>
          <cell r="E127">
            <v>1</v>
          </cell>
          <cell r="F127" t="str">
            <v>Afro</v>
          </cell>
          <cell r="G127">
            <v>6</v>
          </cell>
          <cell r="H127" t="str">
            <v>ssa</v>
          </cell>
          <cell r="I127">
            <v>1</v>
          </cell>
          <cell r="J127" t="str">
            <v>low and middle</v>
          </cell>
          <cell r="K127" t="str">
            <v>both sexes</v>
          </cell>
          <cell r="L127" t="str">
            <v>1995-2000</v>
          </cell>
          <cell r="M127">
            <v>7734.4629999999997</v>
          </cell>
          <cell r="N127">
            <v>3077.9459999999999</v>
          </cell>
          <cell r="O127">
            <v>863.33900000000006</v>
          </cell>
          <cell r="P127">
            <v>789.25199999999995</v>
          </cell>
          <cell r="Q127">
            <v>819.48500000000001</v>
          </cell>
          <cell r="R127">
            <v>789.00700000000006</v>
          </cell>
          <cell r="S127">
            <v>572.07000000000005</v>
          </cell>
          <cell r="T127">
            <v>823.36399999999992</v>
          </cell>
        </row>
        <row r="128">
          <cell r="A128">
            <v>139</v>
          </cell>
          <cell r="B128">
            <v>578</v>
          </cell>
          <cell r="C128" t="str">
            <v>Norway</v>
          </cell>
          <cell r="D128">
            <v>0</v>
          </cell>
          <cell r="E128">
            <v>4</v>
          </cell>
          <cell r="F128" t="str">
            <v>Euro</v>
          </cell>
          <cell r="G128">
            <v>1</v>
          </cell>
          <cell r="H128" t="str">
            <v>eme</v>
          </cell>
          <cell r="I128">
            <v>4</v>
          </cell>
          <cell r="J128" t="str">
            <v>high</v>
          </cell>
          <cell r="K128" t="str">
            <v>both sexes</v>
          </cell>
          <cell r="L128" t="str">
            <v>1995-2000</v>
          </cell>
          <cell r="M128">
            <v>224.166</v>
          </cell>
          <cell r="N128">
            <v>1.8320000000000001</v>
          </cell>
          <cell r="O128">
            <v>0.40600000000000003</v>
          </cell>
          <cell r="P128">
            <v>2.2469999999999999</v>
          </cell>
          <cell r="Q128">
            <v>5.37</v>
          </cell>
          <cell r="R128">
            <v>15.949000000000002</v>
          </cell>
          <cell r="S128">
            <v>26.312999999999999</v>
          </cell>
          <cell r="T128">
            <v>172.04899999999998</v>
          </cell>
        </row>
        <row r="129">
          <cell r="A129">
            <v>83</v>
          </cell>
          <cell r="B129">
            <v>586</v>
          </cell>
          <cell r="C129" t="str">
            <v>Pakistan</v>
          </cell>
          <cell r="D129">
            <v>0</v>
          </cell>
          <cell r="E129">
            <v>3</v>
          </cell>
          <cell r="F129" t="str">
            <v>Emro</v>
          </cell>
          <cell r="G129">
            <v>8</v>
          </cell>
          <cell r="H129" t="str">
            <v>mec</v>
          </cell>
          <cell r="I129">
            <v>1</v>
          </cell>
          <cell r="J129" t="str">
            <v>low and middle</v>
          </cell>
          <cell r="K129" t="str">
            <v>both sexes</v>
          </cell>
          <cell r="L129" t="str">
            <v>1995-2000</v>
          </cell>
          <cell r="M129">
            <v>5681.9480000000003</v>
          </cell>
          <cell r="N129">
            <v>2753.5639999999999</v>
          </cell>
          <cell r="O129">
            <v>236.84399999999999</v>
          </cell>
          <cell r="P129">
            <v>203.70400000000001</v>
          </cell>
          <cell r="Q129">
            <v>291.685</v>
          </cell>
          <cell r="R129">
            <v>516.19899999999996</v>
          </cell>
          <cell r="S129">
            <v>622.28399999999999</v>
          </cell>
          <cell r="T129">
            <v>1057.6679999999999</v>
          </cell>
        </row>
        <row r="130">
          <cell r="A130">
            <v>183</v>
          </cell>
          <cell r="B130">
            <v>591</v>
          </cell>
          <cell r="C130" t="str">
            <v>Panama</v>
          </cell>
          <cell r="D130">
            <v>0</v>
          </cell>
          <cell r="E130">
            <v>2</v>
          </cell>
          <cell r="F130" t="str">
            <v>Amro</v>
          </cell>
          <cell r="G130">
            <v>7</v>
          </cell>
          <cell r="H130" t="str">
            <v>lac</v>
          </cell>
          <cell r="I130">
            <v>1</v>
          </cell>
          <cell r="J130" t="str">
            <v>low and middle</v>
          </cell>
          <cell r="K130" t="str">
            <v>both sexes</v>
          </cell>
          <cell r="L130" t="str">
            <v>1995-2000</v>
          </cell>
          <cell r="M130">
            <v>70.183000000000007</v>
          </cell>
          <cell r="N130">
            <v>8.6780000000000008</v>
          </cell>
          <cell r="O130">
            <v>1.363</v>
          </cell>
          <cell r="P130">
            <v>4.1159999999999997</v>
          </cell>
          <cell r="Q130">
            <v>5.2670000000000003</v>
          </cell>
          <cell r="R130">
            <v>8.5210000000000008</v>
          </cell>
          <cell r="S130">
            <v>9.6269999999999989</v>
          </cell>
          <cell r="T130">
            <v>32.610999999999997</v>
          </cell>
        </row>
        <row r="131">
          <cell r="A131">
            <v>207</v>
          </cell>
          <cell r="B131">
            <v>598</v>
          </cell>
          <cell r="C131" t="str">
            <v>Papua New Guinea</v>
          </cell>
          <cell r="D131">
            <v>0</v>
          </cell>
          <cell r="E131">
            <v>6</v>
          </cell>
          <cell r="F131" t="str">
            <v>Wpro</v>
          </cell>
          <cell r="G131">
            <v>5</v>
          </cell>
          <cell r="H131" t="str">
            <v>oai</v>
          </cell>
          <cell r="I131">
            <v>1</v>
          </cell>
          <cell r="J131" t="str">
            <v>low and middle</v>
          </cell>
          <cell r="K131" t="str">
            <v>both sexes</v>
          </cell>
          <cell r="L131" t="str">
            <v>1995-2000</v>
          </cell>
          <cell r="M131">
            <v>223.81</v>
          </cell>
          <cell r="N131">
            <v>60.515000000000001</v>
          </cell>
          <cell r="O131">
            <v>8.25</v>
          </cell>
          <cell r="P131">
            <v>20.972999999999999</v>
          </cell>
          <cell r="Q131">
            <v>25.391000000000002</v>
          </cell>
          <cell r="R131">
            <v>38.999000000000002</v>
          </cell>
          <cell r="S131">
            <v>34.701000000000001</v>
          </cell>
          <cell r="T131">
            <v>34.981000000000009</v>
          </cell>
        </row>
        <row r="132">
          <cell r="A132">
            <v>192</v>
          </cell>
          <cell r="B132">
            <v>600</v>
          </cell>
          <cell r="C132" t="str">
            <v>Paraguay</v>
          </cell>
          <cell r="D132">
            <v>0</v>
          </cell>
          <cell r="E132">
            <v>2</v>
          </cell>
          <cell r="F132" t="str">
            <v>Amro</v>
          </cell>
          <cell r="G132">
            <v>7</v>
          </cell>
          <cell r="H132" t="str">
            <v>lac</v>
          </cell>
          <cell r="I132">
            <v>1</v>
          </cell>
          <cell r="J132" t="str">
            <v>low and middle</v>
          </cell>
          <cell r="K132" t="str">
            <v>both sexes</v>
          </cell>
          <cell r="L132" t="str">
            <v>1995-2000</v>
          </cell>
          <cell r="M132">
            <v>140.12899999999999</v>
          </cell>
          <cell r="N132">
            <v>39.24</v>
          </cell>
          <cell r="O132">
            <v>4.258</v>
          </cell>
          <cell r="P132">
            <v>7.5129999999999999</v>
          </cell>
          <cell r="Q132">
            <v>10.022</v>
          </cell>
          <cell r="R132">
            <v>15.85</v>
          </cell>
          <cell r="S132">
            <v>16.834</v>
          </cell>
          <cell r="T132">
            <v>46.411999999999999</v>
          </cell>
        </row>
        <row r="133">
          <cell r="A133">
            <v>193</v>
          </cell>
          <cell r="B133">
            <v>604</v>
          </cell>
          <cell r="C133" t="str">
            <v>Peru</v>
          </cell>
          <cell r="D133">
            <v>0</v>
          </cell>
          <cell r="E133">
            <v>2</v>
          </cell>
          <cell r="F133" t="str">
            <v>Amro</v>
          </cell>
          <cell r="G133">
            <v>7</v>
          </cell>
          <cell r="H133" t="str">
            <v>lac</v>
          </cell>
          <cell r="I133">
            <v>1</v>
          </cell>
          <cell r="J133" t="str">
            <v>low and middle</v>
          </cell>
          <cell r="K133" t="str">
            <v>both sexes</v>
          </cell>
          <cell r="L133" t="str">
            <v>1995-2000</v>
          </cell>
          <cell r="M133">
            <v>792.60900000000004</v>
          </cell>
          <cell r="N133">
            <v>200.053</v>
          </cell>
          <cell r="O133">
            <v>27.962000000000003</v>
          </cell>
          <cell r="P133">
            <v>48.685000000000002</v>
          </cell>
          <cell r="Q133">
            <v>64.647999999999996</v>
          </cell>
          <cell r="R133">
            <v>98.568000000000012</v>
          </cell>
          <cell r="S133">
            <v>109.755</v>
          </cell>
          <cell r="T133">
            <v>242.93799999999999</v>
          </cell>
        </row>
        <row r="134">
          <cell r="A134">
            <v>96</v>
          </cell>
          <cell r="B134">
            <v>608</v>
          </cell>
          <cell r="C134" t="str">
            <v>Philippines</v>
          </cell>
          <cell r="D134">
            <v>0</v>
          </cell>
          <cell r="E134">
            <v>6</v>
          </cell>
          <cell r="F134" t="str">
            <v>Wpro</v>
          </cell>
          <cell r="G134">
            <v>5</v>
          </cell>
          <cell r="H134" t="str">
            <v>oai</v>
          </cell>
          <cell r="I134">
            <v>1</v>
          </cell>
          <cell r="J134" t="str">
            <v>low and middle</v>
          </cell>
          <cell r="K134" t="str">
            <v>both sexes</v>
          </cell>
          <cell r="L134" t="str">
            <v>1995-2000</v>
          </cell>
          <cell r="M134">
            <v>2091.3739999999998</v>
          </cell>
          <cell r="N134">
            <v>451.45400000000001</v>
          </cell>
          <cell r="O134">
            <v>59.670999999999999</v>
          </cell>
          <cell r="P134">
            <v>143.822</v>
          </cell>
          <cell r="Q134">
            <v>176.34800000000001</v>
          </cell>
          <cell r="R134">
            <v>290.3</v>
          </cell>
          <cell r="S134">
            <v>307.86099999999999</v>
          </cell>
          <cell r="T134">
            <v>661.91800000000001</v>
          </cell>
        </row>
        <row r="135">
          <cell r="A135">
            <v>125</v>
          </cell>
          <cell r="B135">
            <v>616</v>
          </cell>
          <cell r="C135" t="str">
            <v>Poland</v>
          </cell>
          <cell r="D135">
            <v>0</v>
          </cell>
          <cell r="E135">
            <v>4</v>
          </cell>
          <cell r="F135" t="str">
            <v>Euro</v>
          </cell>
          <cell r="G135">
            <v>2</v>
          </cell>
          <cell r="H135" t="str">
            <v>fse</v>
          </cell>
          <cell r="I135">
            <v>1</v>
          </cell>
          <cell r="J135" t="str">
            <v>low and middle</v>
          </cell>
          <cell r="K135" t="str">
            <v>both sexes</v>
          </cell>
          <cell r="L135" t="str">
            <v>1995-2000</v>
          </cell>
          <cell r="M135">
            <v>1906.8050000000001</v>
          </cell>
          <cell r="N135">
            <v>36.326000000000001</v>
          </cell>
          <cell r="O135">
            <v>6.8260000000000005</v>
          </cell>
          <cell r="P135">
            <v>32.753</v>
          </cell>
          <cell r="Q135">
            <v>96.340999999999994</v>
          </cell>
          <cell r="R135">
            <v>262.01</v>
          </cell>
          <cell r="S135">
            <v>382.09800000000001</v>
          </cell>
          <cell r="T135">
            <v>1090.451</v>
          </cell>
        </row>
        <row r="136">
          <cell r="A136">
            <v>149</v>
          </cell>
          <cell r="B136">
            <v>620</v>
          </cell>
          <cell r="C136" t="str">
            <v>Portugal</v>
          </cell>
          <cell r="D136">
            <v>0</v>
          </cell>
          <cell r="E136">
            <v>4</v>
          </cell>
          <cell r="F136" t="str">
            <v>Euro</v>
          </cell>
          <cell r="G136">
            <v>1</v>
          </cell>
          <cell r="H136" t="str">
            <v>eme</v>
          </cell>
          <cell r="I136">
            <v>4</v>
          </cell>
          <cell r="J136" t="str">
            <v>high</v>
          </cell>
          <cell r="K136" t="str">
            <v>both sexes</v>
          </cell>
          <cell r="L136" t="str">
            <v>1995-2000</v>
          </cell>
          <cell r="M136">
            <v>526.39599999999996</v>
          </cell>
          <cell r="N136">
            <v>5.9779999999999998</v>
          </cell>
          <cell r="O136">
            <v>1.7610000000000001</v>
          </cell>
          <cell r="P136">
            <v>10.271000000000001</v>
          </cell>
          <cell r="Q136">
            <v>16.870999999999999</v>
          </cell>
          <cell r="R136">
            <v>47.200999999999993</v>
          </cell>
          <cell r="S136">
            <v>83.808999999999997</v>
          </cell>
          <cell r="T136">
            <v>360.505</v>
          </cell>
        </row>
        <row r="137">
          <cell r="A137">
            <v>55</v>
          </cell>
          <cell r="B137">
            <v>624</v>
          </cell>
          <cell r="C137" t="str">
            <v>Guinea-Bissau</v>
          </cell>
          <cell r="D137">
            <v>0</v>
          </cell>
          <cell r="E137">
            <v>1</v>
          </cell>
          <cell r="F137" t="str">
            <v>Afro</v>
          </cell>
          <cell r="G137">
            <v>6</v>
          </cell>
          <cell r="H137" t="str">
            <v>ssa</v>
          </cell>
          <cell r="I137">
            <v>1</v>
          </cell>
          <cell r="J137" t="str">
            <v>low and middle</v>
          </cell>
          <cell r="K137" t="str">
            <v>both sexes</v>
          </cell>
          <cell r="L137" t="str">
            <v>1995-2000</v>
          </cell>
          <cell r="M137">
            <v>114.468</v>
          </cell>
          <cell r="N137">
            <v>50.576000000000001</v>
          </cell>
          <cell r="O137">
            <v>11.946999999999999</v>
          </cell>
          <cell r="P137">
            <v>9.2970000000000006</v>
          </cell>
          <cell r="Q137">
            <v>9.6880000000000006</v>
          </cell>
          <cell r="R137">
            <v>10.508000000000001</v>
          </cell>
          <cell r="S137">
            <v>8.8990000000000009</v>
          </cell>
          <cell r="T137">
            <v>13.552999999999999</v>
          </cell>
        </row>
        <row r="138">
          <cell r="A138">
            <v>91</v>
          </cell>
          <cell r="B138">
            <v>626</v>
          </cell>
          <cell r="C138" t="str">
            <v>East Timor</v>
          </cell>
          <cell r="K138" t="str">
            <v>both sexes</v>
          </cell>
          <cell r="L138" t="str">
            <v>1995-2000</v>
          </cell>
          <cell r="M138">
            <v>63.994999999999997</v>
          </cell>
          <cell r="N138">
            <v>27.39</v>
          </cell>
          <cell r="O138">
            <v>4.3390000000000004</v>
          </cell>
          <cell r="P138">
            <v>6.4979999999999993</v>
          </cell>
          <cell r="Q138">
            <v>7.7859999999999996</v>
          </cell>
          <cell r="R138">
            <v>7.3879999999999999</v>
          </cell>
          <cell r="S138">
            <v>5.069</v>
          </cell>
          <cell r="T138">
            <v>5.5250000000000004</v>
          </cell>
        </row>
        <row r="139">
          <cell r="A139">
            <v>173</v>
          </cell>
          <cell r="B139">
            <v>630</v>
          </cell>
          <cell r="C139" t="str">
            <v>Puerto Rico</v>
          </cell>
          <cell r="G139">
            <v>7</v>
          </cell>
          <cell r="H139" t="str">
            <v>lac</v>
          </cell>
          <cell r="I139">
            <v>1</v>
          </cell>
          <cell r="J139" t="str">
            <v>low and middle</v>
          </cell>
          <cell r="K139" t="str">
            <v>both sexes</v>
          </cell>
          <cell r="L139" t="str">
            <v>1995-2000</v>
          </cell>
          <cell r="M139">
            <v>152.911</v>
          </cell>
          <cell r="N139">
            <v>4.5759999999999996</v>
          </cell>
          <cell r="O139">
            <v>0.59799999999999998</v>
          </cell>
          <cell r="P139">
            <v>7.242</v>
          </cell>
          <cell r="Q139">
            <v>13.768000000000001</v>
          </cell>
          <cell r="R139">
            <v>20.43</v>
          </cell>
          <cell r="S139">
            <v>21.893999999999998</v>
          </cell>
          <cell r="T139">
            <v>84.402999999999992</v>
          </cell>
        </row>
        <row r="140">
          <cell r="A140">
            <v>113</v>
          </cell>
          <cell r="B140">
            <v>634</v>
          </cell>
          <cell r="C140" t="str">
            <v>Qatar</v>
          </cell>
          <cell r="D140">
            <v>0</v>
          </cell>
          <cell r="E140">
            <v>3</v>
          </cell>
          <cell r="F140" t="str">
            <v>Emro</v>
          </cell>
          <cell r="G140">
            <v>8</v>
          </cell>
          <cell r="H140" t="str">
            <v>mec</v>
          </cell>
          <cell r="I140">
            <v>4</v>
          </cell>
          <cell r="J140" t="str">
            <v>high</v>
          </cell>
          <cell r="K140" t="str">
            <v>both sexes</v>
          </cell>
          <cell r="L140" t="str">
            <v>1995-2000</v>
          </cell>
          <cell r="M140">
            <v>10.592000000000001</v>
          </cell>
          <cell r="N140">
            <v>1.216</v>
          </cell>
          <cell r="O140">
            <v>0.17</v>
          </cell>
          <cell r="P140">
            <v>0.38100000000000001</v>
          </cell>
          <cell r="Q140">
            <v>1.45</v>
          </cell>
          <cell r="R140">
            <v>3.4350000000000001</v>
          </cell>
          <cell r="S140">
            <v>2.2360000000000002</v>
          </cell>
          <cell r="T140">
            <v>1.704</v>
          </cell>
        </row>
        <row r="141">
          <cell r="A141">
            <v>17</v>
          </cell>
          <cell r="B141">
            <v>638</v>
          </cell>
          <cell r="C141" t="str">
            <v>Reunion</v>
          </cell>
          <cell r="G141">
            <v>5</v>
          </cell>
          <cell r="H141" t="str">
            <v>oai</v>
          </cell>
          <cell r="I141">
            <v>4</v>
          </cell>
          <cell r="J141" t="str">
            <v>high</v>
          </cell>
          <cell r="K141" t="str">
            <v>both sexes</v>
          </cell>
          <cell r="L141" t="str">
            <v>1995-2000</v>
          </cell>
          <cell r="M141">
            <v>17.302</v>
          </cell>
          <cell r="N141">
            <v>0.64600000000000002</v>
          </cell>
          <cell r="O141">
            <v>9.7000000000000003E-2</v>
          </cell>
          <cell r="P141">
            <v>0.57499999999999996</v>
          </cell>
          <cell r="Q141">
            <v>1.419</v>
          </cell>
          <cell r="R141">
            <v>2.7930000000000001</v>
          </cell>
          <cell r="S141">
            <v>3.4409999999999998</v>
          </cell>
          <cell r="T141">
            <v>8.3309999999999995</v>
          </cell>
        </row>
        <row r="142">
          <cell r="A142">
            <v>127</v>
          </cell>
          <cell r="B142">
            <v>642</v>
          </cell>
          <cell r="C142" t="str">
            <v>Romania</v>
          </cell>
          <cell r="D142">
            <v>0</v>
          </cell>
          <cell r="E142">
            <v>4</v>
          </cell>
          <cell r="F142" t="str">
            <v>Euro</v>
          </cell>
          <cell r="G142">
            <v>2</v>
          </cell>
          <cell r="H142" t="str">
            <v>fse</v>
          </cell>
          <cell r="I142">
            <v>1</v>
          </cell>
          <cell r="J142" t="str">
            <v>low and middle</v>
          </cell>
          <cell r="K142" t="str">
            <v>both sexes</v>
          </cell>
          <cell r="L142" t="str">
            <v>1995-2000</v>
          </cell>
          <cell r="M142">
            <v>1290.3900000000001</v>
          </cell>
          <cell r="N142">
            <v>35.481999999999999</v>
          </cell>
          <cell r="O142">
            <v>7.827</v>
          </cell>
          <cell r="P142">
            <v>27.876000000000001</v>
          </cell>
          <cell r="Q142">
            <v>65.611000000000004</v>
          </cell>
          <cell r="R142">
            <v>172.66800000000001</v>
          </cell>
          <cell r="S142">
            <v>264.56600000000003</v>
          </cell>
          <cell r="T142">
            <v>716.36</v>
          </cell>
        </row>
        <row r="143">
          <cell r="A143">
            <v>128</v>
          </cell>
          <cell r="B143">
            <v>643</v>
          </cell>
          <cell r="C143" t="str">
            <v>Russian Federation</v>
          </cell>
          <cell r="D143">
            <v>0</v>
          </cell>
          <cell r="E143">
            <v>4</v>
          </cell>
          <cell r="F143" t="str">
            <v>Euro</v>
          </cell>
          <cell r="G143">
            <v>2</v>
          </cell>
          <cell r="H143" t="str">
            <v>fse</v>
          </cell>
          <cell r="I143">
            <v>1</v>
          </cell>
          <cell r="J143" t="str">
            <v>low and middle</v>
          </cell>
          <cell r="K143" t="str">
            <v>both sexes</v>
          </cell>
          <cell r="L143" t="str">
            <v>1995-2000</v>
          </cell>
          <cell r="M143">
            <v>10238.894</v>
          </cell>
          <cell r="N143">
            <v>163.43</v>
          </cell>
          <cell r="O143">
            <v>57.83</v>
          </cell>
          <cell r="P143">
            <v>326.90199999999999</v>
          </cell>
          <cell r="Q143">
            <v>949.90800000000013</v>
          </cell>
          <cell r="R143">
            <v>1757.04</v>
          </cell>
          <cell r="S143">
            <v>2239.864</v>
          </cell>
          <cell r="T143">
            <v>4743.92</v>
          </cell>
        </row>
        <row r="144">
          <cell r="A144">
            <v>18</v>
          </cell>
          <cell r="B144">
            <v>646</v>
          </cell>
          <cell r="C144" t="str">
            <v>Rwanda</v>
          </cell>
          <cell r="D144">
            <v>0</v>
          </cell>
          <cell r="E144">
            <v>1</v>
          </cell>
          <cell r="F144" t="str">
            <v>Afro</v>
          </cell>
          <cell r="G144">
            <v>6</v>
          </cell>
          <cell r="H144" t="str">
            <v>ssa</v>
          </cell>
          <cell r="I144">
            <v>1</v>
          </cell>
          <cell r="J144" t="str">
            <v>low and middle</v>
          </cell>
          <cell r="K144" t="str">
            <v>both sexes</v>
          </cell>
          <cell r="L144" t="str">
            <v>1995-2000</v>
          </cell>
          <cell r="M144">
            <v>680.86</v>
          </cell>
          <cell r="N144">
            <v>299.16500000000002</v>
          </cell>
          <cell r="O144">
            <v>71.260999999999996</v>
          </cell>
          <cell r="P144">
            <v>68.152999999999992</v>
          </cell>
          <cell r="Q144">
            <v>90.292000000000002</v>
          </cell>
          <cell r="R144">
            <v>73.265000000000001</v>
          </cell>
          <cell r="S144">
            <v>37.225999999999999</v>
          </cell>
          <cell r="T144">
            <v>41.498000000000012</v>
          </cell>
        </row>
        <row r="145">
          <cell r="A145">
            <v>114</v>
          </cell>
          <cell r="B145">
            <v>682</v>
          </cell>
          <cell r="C145" t="str">
            <v>Saudi Arabia</v>
          </cell>
          <cell r="D145">
            <v>0</v>
          </cell>
          <cell r="E145">
            <v>3</v>
          </cell>
          <cell r="F145" t="str">
            <v>Emro</v>
          </cell>
          <cell r="G145">
            <v>8</v>
          </cell>
          <cell r="H145" t="str">
            <v>mec</v>
          </cell>
          <cell r="I145">
            <v>1</v>
          </cell>
          <cell r="J145" t="str">
            <v>low and middle</v>
          </cell>
          <cell r="K145" t="str">
            <v>both sexes</v>
          </cell>
          <cell r="L145" t="str">
            <v>1995-2000</v>
          </cell>
          <cell r="M145">
            <v>412.18400000000003</v>
          </cell>
          <cell r="N145">
            <v>92.486999999999995</v>
          </cell>
          <cell r="O145">
            <v>9.9130000000000003</v>
          </cell>
          <cell r="P145">
            <v>22.387999999999998</v>
          </cell>
          <cell r="Q145">
            <v>34.871000000000002</v>
          </cell>
          <cell r="R145">
            <v>66.158000000000001</v>
          </cell>
          <cell r="S145">
            <v>62.271000000000001</v>
          </cell>
          <cell r="T145">
            <v>124.09599999999999</v>
          </cell>
        </row>
        <row r="146">
          <cell r="A146">
            <v>61</v>
          </cell>
          <cell r="B146">
            <v>686</v>
          </cell>
          <cell r="C146" t="str">
            <v>Senegal</v>
          </cell>
          <cell r="D146">
            <v>0</v>
          </cell>
          <cell r="E146">
            <v>1</v>
          </cell>
          <cell r="F146" t="str">
            <v>Afro</v>
          </cell>
          <cell r="G146">
            <v>6</v>
          </cell>
          <cell r="H146" t="str">
            <v>ssa</v>
          </cell>
          <cell r="I146">
            <v>1</v>
          </cell>
          <cell r="J146" t="str">
            <v>low and middle</v>
          </cell>
          <cell r="K146" t="str">
            <v>both sexes</v>
          </cell>
          <cell r="L146" t="str">
            <v>1995-2000</v>
          </cell>
          <cell r="M146">
            <v>580.04499999999996</v>
          </cell>
          <cell r="N146">
            <v>208.04400000000001</v>
          </cell>
          <cell r="O146">
            <v>58.747999999999998</v>
          </cell>
          <cell r="P146">
            <v>65.616</v>
          </cell>
          <cell r="Q146">
            <v>56.725999999999999</v>
          </cell>
          <cell r="R146">
            <v>58.641000000000005</v>
          </cell>
          <cell r="S146">
            <v>52.89</v>
          </cell>
          <cell r="T146">
            <v>79.38</v>
          </cell>
        </row>
        <row r="147">
          <cell r="A147">
            <v>62</v>
          </cell>
          <cell r="B147">
            <v>694</v>
          </cell>
          <cell r="C147" t="str">
            <v>Sierra Leone</v>
          </cell>
          <cell r="D147">
            <v>0</v>
          </cell>
          <cell r="E147">
            <v>1</v>
          </cell>
          <cell r="F147" t="str">
            <v>Afro</v>
          </cell>
          <cell r="G147">
            <v>6</v>
          </cell>
          <cell r="H147" t="str">
            <v>ssa</v>
          </cell>
          <cell r="I147">
            <v>1</v>
          </cell>
          <cell r="J147" t="str">
            <v>low and middle</v>
          </cell>
          <cell r="K147" t="str">
            <v>both sexes</v>
          </cell>
          <cell r="L147" t="str">
            <v>1995-2000</v>
          </cell>
          <cell r="M147">
            <v>586.19100000000003</v>
          </cell>
          <cell r="N147">
            <v>286.76299999999998</v>
          </cell>
          <cell r="O147">
            <v>65.450999999999993</v>
          </cell>
          <cell r="P147">
            <v>51.793999999999997</v>
          </cell>
          <cell r="Q147">
            <v>55.142000000000003</v>
          </cell>
          <cell r="R147">
            <v>49.686</v>
          </cell>
          <cell r="S147">
            <v>35.255000000000003</v>
          </cell>
          <cell r="T147">
            <v>42.1</v>
          </cell>
        </row>
        <row r="148">
          <cell r="A148">
            <v>97</v>
          </cell>
          <cell r="B148">
            <v>702</v>
          </cell>
          <cell r="C148" t="str">
            <v>Singapore</v>
          </cell>
          <cell r="D148">
            <v>0</v>
          </cell>
          <cell r="E148">
            <v>6</v>
          </cell>
          <cell r="F148" t="str">
            <v>Wpro</v>
          </cell>
          <cell r="G148">
            <v>5</v>
          </cell>
          <cell r="H148" t="str">
            <v>oai</v>
          </cell>
          <cell r="I148">
            <v>4</v>
          </cell>
          <cell r="J148" t="str">
            <v>high</v>
          </cell>
          <cell r="K148" t="str">
            <v>both sexes</v>
          </cell>
          <cell r="L148" t="str">
            <v>1995-2000</v>
          </cell>
          <cell r="M148">
            <v>84.608999999999995</v>
          </cell>
          <cell r="N148">
            <v>1.6259999999999999</v>
          </cell>
          <cell r="O148">
            <v>0.46300000000000002</v>
          </cell>
          <cell r="P148">
            <v>1.8190000000000002</v>
          </cell>
          <cell r="Q148">
            <v>5.0440000000000005</v>
          </cell>
          <cell r="R148">
            <v>13.353999999999999</v>
          </cell>
          <cell r="S148">
            <v>17.97</v>
          </cell>
          <cell r="T148">
            <v>44.333000000000006</v>
          </cell>
        </row>
        <row r="149">
          <cell r="A149">
            <v>129</v>
          </cell>
          <cell r="B149">
            <v>703</v>
          </cell>
          <cell r="C149" t="str">
            <v>Slovakia</v>
          </cell>
          <cell r="D149">
            <v>0</v>
          </cell>
          <cell r="E149">
            <v>4</v>
          </cell>
          <cell r="F149" t="str">
            <v>Euro</v>
          </cell>
          <cell r="G149">
            <v>2</v>
          </cell>
          <cell r="H149" t="str">
            <v>fse</v>
          </cell>
          <cell r="I149">
            <v>1</v>
          </cell>
          <cell r="J149" t="str">
            <v>low and middle</v>
          </cell>
          <cell r="K149" t="str">
            <v>both sexes</v>
          </cell>
          <cell r="L149" t="str">
            <v>1995-2000</v>
          </cell>
          <cell r="M149">
            <v>258.512</v>
          </cell>
          <cell r="N149">
            <v>3.851</v>
          </cell>
          <cell r="O149">
            <v>0.81600000000000006</v>
          </cell>
          <cell r="P149">
            <v>3.8940000000000001</v>
          </cell>
          <cell r="Q149">
            <v>11.628</v>
          </cell>
          <cell r="R149">
            <v>35.926000000000002</v>
          </cell>
          <cell r="S149">
            <v>49.733999999999995</v>
          </cell>
          <cell r="T149">
            <v>152.66300000000001</v>
          </cell>
        </row>
        <row r="150">
          <cell r="A150">
            <v>99</v>
          </cell>
          <cell r="B150">
            <v>704</v>
          </cell>
          <cell r="C150" t="str">
            <v>Viet Nam</v>
          </cell>
          <cell r="D150">
            <v>0</v>
          </cell>
          <cell r="E150">
            <v>6</v>
          </cell>
          <cell r="F150" t="str">
            <v>Wpro</v>
          </cell>
          <cell r="G150">
            <v>5</v>
          </cell>
          <cell r="H150" t="str">
            <v>oai</v>
          </cell>
          <cell r="I150">
            <v>1</v>
          </cell>
          <cell r="J150" t="str">
            <v>low and middle</v>
          </cell>
          <cell r="K150" t="str">
            <v>both sexes</v>
          </cell>
          <cell r="L150" t="str">
            <v>1995-2000</v>
          </cell>
          <cell r="M150">
            <v>2623.8319999999999</v>
          </cell>
          <cell r="N150">
            <v>503.67899999999997</v>
          </cell>
          <cell r="O150">
            <v>132.95400000000001</v>
          </cell>
          <cell r="P150">
            <v>194.27600000000001</v>
          </cell>
          <cell r="Q150">
            <v>208.773</v>
          </cell>
          <cell r="R150">
            <v>267.30200000000002</v>
          </cell>
          <cell r="S150">
            <v>380.46</v>
          </cell>
          <cell r="T150">
            <v>936.38799999999992</v>
          </cell>
        </row>
        <row r="151">
          <cell r="A151">
            <v>150</v>
          </cell>
          <cell r="B151">
            <v>705</v>
          </cell>
          <cell r="C151" t="str">
            <v>Slovenia</v>
          </cell>
          <cell r="D151">
            <v>0</v>
          </cell>
          <cell r="E151">
            <v>4</v>
          </cell>
          <cell r="F151" t="str">
            <v>Euro</v>
          </cell>
          <cell r="G151">
            <v>2</v>
          </cell>
          <cell r="H151" t="str">
            <v>fse</v>
          </cell>
          <cell r="I151">
            <v>1</v>
          </cell>
          <cell r="J151" t="str">
            <v>low and middle</v>
          </cell>
          <cell r="K151" t="str">
            <v>both sexes</v>
          </cell>
          <cell r="L151" t="str">
            <v>1995-2000</v>
          </cell>
          <cell r="M151">
            <v>101.30200000000001</v>
          </cell>
          <cell r="N151">
            <v>0.81299999999999994</v>
          </cell>
          <cell r="O151">
            <v>0.22</v>
          </cell>
          <cell r="P151">
            <v>1.907</v>
          </cell>
          <cell r="Q151">
            <v>4.4320000000000004</v>
          </cell>
          <cell r="R151">
            <v>12.744</v>
          </cell>
          <cell r="S151">
            <v>19.204999999999998</v>
          </cell>
          <cell r="T151">
            <v>61.981000000000009</v>
          </cell>
        </row>
        <row r="152">
          <cell r="A152">
            <v>19</v>
          </cell>
          <cell r="B152">
            <v>706</v>
          </cell>
          <cell r="C152" t="str">
            <v>Somalia</v>
          </cell>
          <cell r="D152">
            <v>0</v>
          </cell>
          <cell r="E152">
            <v>3</v>
          </cell>
          <cell r="F152" t="str">
            <v>Emro</v>
          </cell>
          <cell r="G152">
            <v>6</v>
          </cell>
          <cell r="H152" t="str">
            <v>ssa</v>
          </cell>
          <cell r="I152">
            <v>1</v>
          </cell>
          <cell r="J152" t="str">
            <v>low and middle</v>
          </cell>
          <cell r="K152" t="str">
            <v>both sexes</v>
          </cell>
          <cell r="L152" t="str">
            <v>1995-2000</v>
          </cell>
          <cell r="M152">
            <v>843.74400000000003</v>
          </cell>
          <cell r="N152">
            <v>476.06799999999998</v>
          </cell>
          <cell r="O152">
            <v>76.62</v>
          </cell>
          <cell r="P152">
            <v>73.040000000000006</v>
          </cell>
          <cell r="Q152">
            <v>59.521000000000001</v>
          </cell>
          <cell r="R152">
            <v>52.421999999999997</v>
          </cell>
          <cell r="S152">
            <v>42.48</v>
          </cell>
          <cell r="T152">
            <v>63.592999999999989</v>
          </cell>
        </row>
        <row r="153">
          <cell r="A153">
            <v>45</v>
          </cell>
          <cell r="B153">
            <v>710</v>
          </cell>
          <cell r="C153" t="str">
            <v>South Africa</v>
          </cell>
          <cell r="D153">
            <v>0</v>
          </cell>
          <cell r="E153">
            <v>1</v>
          </cell>
          <cell r="F153" t="str">
            <v>Afro</v>
          </cell>
          <cell r="G153">
            <v>6</v>
          </cell>
          <cell r="H153" t="str">
            <v>ssa</v>
          </cell>
          <cell r="I153">
            <v>1</v>
          </cell>
          <cell r="J153" t="str">
            <v>low and middle</v>
          </cell>
          <cell r="K153" t="str">
            <v>both sexes</v>
          </cell>
          <cell r="L153" t="str">
            <v>1995-2000</v>
          </cell>
          <cell r="M153">
            <v>2381.1280000000002</v>
          </cell>
          <cell r="N153">
            <v>459.94200000000001</v>
          </cell>
          <cell r="O153">
            <v>72.849000000000004</v>
          </cell>
          <cell r="P153">
            <v>204.62900000000002</v>
          </cell>
          <cell r="Q153">
            <v>436.14</v>
          </cell>
          <cell r="R153">
            <v>492.108</v>
          </cell>
          <cell r="S153">
            <v>321.01499999999999</v>
          </cell>
          <cell r="T153">
            <v>394.44499999999999</v>
          </cell>
        </row>
        <row r="154">
          <cell r="A154">
            <v>23</v>
          </cell>
          <cell r="B154">
            <v>716</v>
          </cell>
          <cell r="C154" t="str">
            <v>Zimbabwe</v>
          </cell>
          <cell r="D154">
            <v>0</v>
          </cell>
          <cell r="E154">
            <v>1</v>
          </cell>
          <cell r="F154" t="str">
            <v>Afro</v>
          </cell>
          <cell r="G154">
            <v>6</v>
          </cell>
          <cell r="H154" t="str">
            <v>ssa</v>
          </cell>
          <cell r="I154">
            <v>1</v>
          </cell>
          <cell r="J154" t="str">
            <v>low and middle</v>
          </cell>
          <cell r="K154" t="str">
            <v>both sexes</v>
          </cell>
          <cell r="L154" t="str">
            <v>1995-2000</v>
          </cell>
          <cell r="M154">
            <v>978.39599999999996</v>
          </cell>
          <cell r="N154">
            <v>212.02500000000001</v>
          </cell>
          <cell r="O154">
            <v>51.164000000000001</v>
          </cell>
          <cell r="P154">
            <v>118.902</v>
          </cell>
          <cell r="Q154">
            <v>243.44399999999999</v>
          </cell>
          <cell r="R154">
            <v>177.92399999999998</v>
          </cell>
          <cell r="S154">
            <v>74.700999999999993</v>
          </cell>
          <cell r="T154">
            <v>100.236</v>
          </cell>
        </row>
        <row r="155">
          <cell r="A155">
            <v>151</v>
          </cell>
          <cell r="B155">
            <v>724</v>
          </cell>
          <cell r="C155" t="str">
            <v>Spain</v>
          </cell>
          <cell r="D155">
            <v>0</v>
          </cell>
          <cell r="E155">
            <v>4</v>
          </cell>
          <cell r="F155" t="str">
            <v>Euro</v>
          </cell>
          <cell r="G155">
            <v>1</v>
          </cell>
          <cell r="H155" t="str">
            <v>eme</v>
          </cell>
          <cell r="I155">
            <v>4</v>
          </cell>
          <cell r="J155" t="str">
            <v>high</v>
          </cell>
          <cell r="K155" t="str">
            <v>both sexes</v>
          </cell>
          <cell r="L155" t="str">
            <v>1995-2000</v>
          </cell>
          <cell r="M155">
            <v>1850.0250000000001</v>
          </cell>
          <cell r="N155">
            <v>14.78</v>
          </cell>
          <cell r="O155">
            <v>4.109</v>
          </cell>
          <cell r="P155">
            <v>37.197000000000003</v>
          </cell>
          <cell r="Q155">
            <v>55.689</v>
          </cell>
          <cell r="R155">
            <v>144.095</v>
          </cell>
          <cell r="S155">
            <v>265.91300000000001</v>
          </cell>
          <cell r="T155">
            <v>1328.242</v>
          </cell>
        </row>
        <row r="156">
          <cell r="A156">
            <v>40</v>
          </cell>
          <cell r="B156">
            <v>732</v>
          </cell>
          <cell r="C156" t="str">
            <v>Western Sahara</v>
          </cell>
          <cell r="G156">
            <v>8</v>
          </cell>
          <cell r="H156" t="str">
            <v>mec</v>
          </cell>
          <cell r="K156" t="str">
            <v>both sexes</v>
          </cell>
          <cell r="L156" t="str">
            <v>1995-2000</v>
          </cell>
          <cell r="M156">
            <v>11.622999999999999</v>
          </cell>
          <cell r="N156">
            <v>3.7669999999999999</v>
          </cell>
          <cell r="O156">
            <v>0.49399999999999999</v>
          </cell>
          <cell r="P156">
            <v>1.0620000000000001</v>
          </cell>
          <cell r="Q156">
            <v>1.0569999999999999</v>
          </cell>
          <cell r="R156">
            <v>1.4450000000000001</v>
          </cell>
          <cell r="S156">
            <v>1.41</v>
          </cell>
          <cell r="T156">
            <v>2.3880000000000003</v>
          </cell>
        </row>
        <row r="157">
          <cell r="A157">
            <v>38</v>
          </cell>
          <cell r="B157">
            <v>736</v>
          </cell>
          <cell r="C157" t="str">
            <v>Sudan</v>
          </cell>
          <cell r="D157">
            <v>0</v>
          </cell>
          <cell r="E157">
            <v>3</v>
          </cell>
          <cell r="F157" t="str">
            <v>Emro</v>
          </cell>
          <cell r="G157">
            <v>6</v>
          </cell>
          <cell r="H157" t="str">
            <v>ssa</v>
          </cell>
          <cell r="I157">
            <v>1</v>
          </cell>
          <cell r="J157" t="str">
            <v>low and middle</v>
          </cell>
          <cell r="K157" t="str">
            <v>both sexes</v>
          </cell>
          <cell r="L157" t="str">
            <v>1995-2000</v>
          </cell>
          <cell r="M157">
            <v>1619.8150000000001</v>
          </cell>
          <cell r="N157">
            <v>541.65300000000002</v>
          </cell>
          <cell r="O157">
            <v>157.33500000000001</v>
          </cell>
          <cell r="P157">
            <v>194.18700000000001</v>
          </cell>
          <cell r="Q157">
            <v>176.709</v>
          </cell>
          <cell r="R157">
            <v>180.00200000000001</v>
          </cell>
          <cell r="S157">
            <v>150.172</v>
          </cell>
          <cell r="T157">
            <v>219.75700000000001</v>
          </cell>
        </row>
        <row r="158">
          <cell r="A158">
            <v>194</v>
          </cell>
          <cell r="B158">
            <v>740</v>
          </cell>
          <cell r="C158" t="str">
            <v>Suriname</v>
          </cell>
          <cell r="D158">
            <v>0</v>
          </cell>
          <cell r="E158">
            <v>2</v>
          </cell>
          <cell r="F158" t="str">
            <v>Amro</v>
          </cell>
          <cell r="G158">
            <v>7</v>
          </cell>
          <cell r="H158" t="str">
            <v>lac</v>
          </cell>
          <cell r="I158">
            <v>1</v>
          </cell>
          <cell r="J158" t="str">
            <v>low and middle</v>
          </cell>
          <cell r="K158" t="str">
            <v>both sexes</v>
          </cell>
          <cell r="L158" t="str">
            <v>1995-2000</v>
          </cell>
          <cell r="M158">
            <v>12.397</v>
          </cell>
          <cell r="N158">
            <v>1.4079999999999999</v>
          </cell>
          <cell r="O158">
            <v>0.17499999999999999</v>
          </cell>
          <cell r="P158">
            <v>0.67900000000000005</v>
          </cell>
          <cell r="Q158">
            <v>1.0090000000000001</v>
          </cell>
          <cell r="R158">
            <v>1.516</v>
          </cell>
          <cell r="S158">
            <v>2.4950000000000001</v>
          </cell>
          <cell r="T158">
            <v>5.1150000000000002</v>
          </cell>
        </row>
        <row r="159">
          <cell r="A159">
            <v>46</v>
          </cell>
          <cell r="B159">
            <v>748</v>
          </cell>
          <cell r="C159" t="str">
            <v>Swaziland</v>
          </cell>
          <cell r="D159">
            <v>0</v>
          </cell>
          <cell r="E159">
            <v>1</v>
          </cell>
          <cell r="F159" t="str">
            <v>Afro</v>
          </cell>
          <cell r="G159">
            <v>6</v>
          </cell>
          <cell r="H159" t="str">
            <v>ssa</v>
          </cell>
          <cell r="I159">
            <v>1</v>
          </cell>
          <cell r="J159" t="str">
            <v>low and middle</v>
          </cell>
          <cell r="K159" t="str">
            <v>both sexes</v>
          </cell>
          <cell r="L159" t="str">
            <v>1995-2000</v>
          </cell>
          <cell r="M159">
            <v>43.313000000000002</v>
          </cell>
          <cell r="N159">
            <v>17.966999999999999</v>
          </cell>
          <cell r="O159">
            <v>3.29</v>
          </cell>
          <cell r="P159">
            <v>4.6399999999999997</v>
          </cell>
          <cell r="Q159">
            <v>3.6139999999999999</v>
          </cell>
          <cell r="R159">
            <v>3.7040000000000002</v>
          </cell>
          <cell r="S159">
            <v>3.278</v>
          </cell>
          <cell r="T159">
            <v>6.82</v>
          </cell>
        </row>
        <row r="160">
          <cell r="A160">
            <v>140</v>
          </cell>
          <cell r="B160">
            <v>752</v>
          </cell>
          <cell r="C160" t="str">
            <v>Sweden</v>
          </cell>
          <cell r="D160">
            <v>0</v>
          </cell>
          <cell r="E160">
            <v>4</v>
          </cell>
          <cell r="F160" t="str">
            <v>Euro</v>
          </cell>
          <cell r="G160">
            <v>1</v>
          </cell>
          <cell r="H160" t="str">
            <v>eme</v>
          </cell>
          <cell r="I160">
            <v>4</v>
          </cell>
          <cell r="J160" t="str">
            <v>high</v>
          </cell>
          <cell r="K160" t="str">
            <v>both sexes</v>
          </cell>
          <cell r="L160" t="str">
            <v>1995-2000</v>
          </cell>
          <cell r="M160">
            <v>493.37099999999998</v>
          </cell>
          <cell r="N160">
            <v>3.0019999999999998</v>
          </cell>
          <cell r="O160">
            <v>0.67399999999999993</v>
          </cell>
          <cell r="P160">
            <v>3.919</v>
          </cell>
          <cell r="Q160">
            <v>9.6059999999999999</v>
          </cell>
          <cell r="R160">
            <v>34.765000000000001</v>
          </cell>
          <cell r="S160">
            <v>54.628</v>
          </cell>
          <cell r="T160">
            <v>386.77699999999999</v>
          </cell>
        </row>
        <row r="161">
          <cell r="A161">
            <v>161</v>
          </cell>
          <cell r="B161">
            <v>756</v>
          </cell>
          <cell r="C161" t="str">
            <v>Switzerland</v>
          </cell>
          <cell r="D161">
            <v>0</v>
          </cell>
          <cell r="E161">
            <v>4</v>
          </cell>
          <cell r="F161" t="str">
            <v>Euro</v>
          </cell>
          <cell r="G161">
            <v>1</v>
          </cell>
          <cell r="H161" t="str">
            <v>eme</v>
          </cell>
          <cell r="I161">
            <v>4</v>
          </cell>
          <cell r="J161" t="str">
            <v>high</v>
          </cell>
          <cell r="K161" t="str">
            <v>both sexes</v>
          </cell>
          <cell r="L161" t="str">
            <v>1995-2000</v>
          </cell>
          <cell r="M161">
            <v>318.22899999999998</v>
          </cell>
          <cell r="N161">
            <v>3.5590000000000002</v>
          </cell>
          <cell r="O161">
            <v>0.998</v>
          </cell>
          <cell r="P161">
            <v>5.6790000000000003</v>
          </cell>
          <cell r="Q161">
            <v>11.849</v>
          </cell>
          <cell r="R161">
            <v>26.677</v>
          </cell>
          <cell r="S161">
            <v>38.661000000000001</v>
          </cell>
          <cell r="T161">
            <v>230.80599999999998</v>
          </cell>
        </row>
        <row r="162">
          <cell r="A162">
            <v>115</v>
          </cell>
          <cell r="B162">
            <v>760</v>
          </cell>
          <cell r="C162" t="str">
            <v>Syrian Arab Republic</v>
          </cell>
          <cell r="D162">
            <v>0</v>
          </cell>
          <cell r="E162">
            <v>3</v>
          </cell>
          <cell r="F162" t="str">
            <v>Emro</v>
          </cell>
          <cell r="G162">
            <v>8</v>
          </cell>
          <cell r="H162" t="str">
            <v>mec</v>
          </cell>
          <cell r="I162">
            <v>1</v>
          </cell>
          <cell r="J162" t="str">
            <v>low and middle</v>
          </cell>
          <cell r="K162" t="str">
            <v>both sexes</v>
          </cell>
          <cell r="L162" t="str">
            <v>1995-2000</v>
          </cell>
          <cell r="M162">
            <v>368.70400000000001</v>
          </cell>
          <cell r="N162">
            <v>93.822000000000003</v>
          </cell>
          <cell r="O162">
            <v>13.189</v>
          </cell>
          <cell r="P162">
            <v>28.991999999999997</v>
          </cell>
          <cell r="Q162">
            <v>28.731000000000002</v>
          </cell>
          <cell r="R162">
            <v>41.563000000000002</v>
          </cell>
          <cell r="S162">
            <v>54.094000000000001</v>
          </cell>
          <cell r="T162">
            <v>108.313</v>
          </cell>
        </row>
        <row r="163">
          <cell r="A163">
            <v>85</v>
          </cell>
          <cell r="B163">
            <v>762</v>
          </cell>
          <cell r="C163" t="str">
            <v>Tajikistan</v>
          </cell>
          <cell r="D163">
            <v>0</v>
          </cell>
          <cell r="E163">
            <v>4</v>
          </cell>
          <cell r="F163" t="str">
            <v>Euro</v>
          </cell>
          <cell r="G163">
            <v>8</v>
          </cell>
          <cell r="H163" t="str">
            <v>mec</v>
          </cell>
          <cell r="I163">
            <v>1</v>
          </cell>
          <cell r="J163" t="str">
            <v>low and middle</v>
          </cell>
          <cell r="K163" t="str">
            <v>both sexes</v>
          </cell>
          <cell r="L163" t="str">
            <v>1995-2000</v>
          </cell>
          <cell r="M163">
            <v>205.32499999999999</v>
          </cell>
          <cell r="N163">
            <v>74.105999999999995</v>
          </cell>
          <cell r="O163">
            <v>6.5340000000000007</v>
          </cell>
          <cell r="P163">
            <v>9.4039999999999999</v>
          </cell>
          <cell r="Q163">
            <v>15.305999999999999</v>
          </cell>
          <cell r="R163">
            <v>19.27</v>
          </cell>
          <cell r="S163">
            <v>26.887</v>
          </cell>
          <cell r="T163">
            <v>53.817999999999998</v>
          </cell>
        </row>
        <row r="164">
          <cell r="A164">
            <v>98</v>
          </cell>
          <cell r="B164">
            <v>764</v>
          </cell>
          <cell r="C164" t="str">
            <v>Thailand</v>
          </cell>
          <cell r="D164">
            <v>0</v>
          </cell>
          <cell r="E164">
            <v>5</v>
          </cell>
          <cell r="F164" t="str">
            <v>Searo</v>
          </cell>
          <cell r="G164">
            <v>5</v>
          </cell>
          <cell r="H164" t="str">
            <v>oai</v>
          </cell>
          <cell r="I164">
            <v>1</v>
          </cell>
          <cell r="J164" t="str">
            <v>low and middle</v>
          </cell>
          <cell r="K164" t="str">
            <v>both sexes</v>
          </cell>
          <cell r="L164" t="str">
            <v>1995-2000</v>
          </cell>
          <cell r="M164">
            <v>2007.7270000000001</v>
          </cell>
          <cell r="N164">
            <v>181.24</v>
          </cell>
          <cell r="O164">
            <v>50.99</v>
          </cell>
          <cell r="P164">
            <v>156.41399999999999</v>
          </cell>
          <cell r="Q164">
            <v>307.09799999999996</v>
          </cell>
          <cell r="R164">
            <v>369.65600000000001</v>
          </cell>
          <cell r="S164">
            <v>292.84699999999998</v>
          </cell>
          <cell r="T164">
            <v>649.48200000000008</v>
          </cell>
        </row>
        <row r="165">
          <cell r="A165">
            <v>63</v>
          </cell>
          <cell r="B165">
            <v>768</v>
          </cell>
          <cell r="C165" t="str">
            <v>Togo</v>
          </cell>
          <cell r="D165">
            <v>0</v>
          </cell>
          <cell r="E165">
            <v>1</v>
          </cell>
          <cell r="F165" t="str">
            <v>Afro</v>
          </cell>
          <cell r="G165">
            <v>6</v>
          </cell>
          <cell r="H165" t="str">
            <v>ssa</v>
          </cell>
          <cell r="I165">
            <v>1</v>
          </cell>
          <cell r="J165" t="str">
            <v>low and middle</v>
          </cell>
          <cell r="K165" t="str">
            <v>both sexes</v>
          </cell>
          <cell r="L165" t="str">
            <v>1995-2000</v>
          </cell>
          <cell r="M165">
            <v>334.83499999999998</v>
          </cell>
          <cell r="N165">
            <v>119.37</v>
          </cell>
          <cell r="O165">
            <v>28.497</v>
          </cell>
          <cell r="P165">
            <v>32.887</v>
          </cell>
          <cell r="Q165">
            <v>49.075000000000003</v>
          </cell>
          <cell r="R165">
            <v>42.24</v>
          </cell>
          <cell r="S165">
            <v>24.735999999999997</v>
          </cell>
          <cell r="T165">
            <v>38.03</v>
          </cell>
        </row>
        <row r="166">
          <cell r="A166">
            <v>174</v>
          </cell>
          <cell r="B166">
            <v>780</v>
          </cell>
          <cell r="C166" t="str">
            <v>Trinidad and Tobago</v>
          </cell>
          <cell r="D166">
            <v>0</v>
          </cell>
          <cell r="E166">
            <v>2</v>
          </cell>
          <cell r="F166" t="str">
            <v>Amro</v>
          </cell>
          <cell r="G166">
            <v>7</v>
          </cell>
          <cell r="H166" t="str">
            <v>lac</v>
          </cell>
          <cell r="I166">
            <v>1</v>
          </cell>
          <cell r="J166" t="str">
            <v>low and middle</v>
          </cell>
          <cell r="K166" t="str">
            <v>both sexes</v>
          </cell>
          <cell r="L166" t="str">
            <v>1995-2000</v>
          </cell>
          <cell r="M166">
            <v>37.737000000000002</v>
          </cell>
          <cell r="N166">
            <v>1.482</v>
          </cell>
          <cell r="O166">
            <v>0.26400000000000001</v>
          </cell>
          <cell r="P166">
            <v>1.2530000000000001</v>
          </cell>
          <cell r="Q166">
            <v>2.1920000000000002</v>
          </cell>
          <cell r="R166">
            <v>5.6839999999999993</v>
          </cell>
          <cell r="S166">
            <v>6.4559999999999995</v>
          </cell>
          <cell r="T166">
            <v>20.405999999999999</v>
          </cell>
        </row>
        <row r="167">
          <cell r="A167">
            <v>117</v>
          </cell>
          <cell r="B167">
            <v>784</v>
          </cell>
          <cell r="C167" t="str">
            <v>United Arab Emirates</v>
          </cell>
          <cell r="D167">
            <v>0</v>
          </cell>
          <cell r="E167">
            <v>3</v>
          </cell>
          <cell r="F167" t="str">
            <v>Emro</v>
          </cell>
          <cell r="G167">
            <v>8</v>
          </cell>
          <cell r="H167" t="str">
            <v>mec</v>
          </cell>
          <cell r="I167">
            <v>4</v>
          </cell>
          <cell r="J167" t="str">
            <v>high</v>
          </cell>
          <cell r="K167" t="str">
            <v>both sexes</v>
          </cell>
          <cell r="L167" t="str">
            <v>1995-2000</v>
          </cell>
          <cell r="M167">
            <v>33.463999999999999</v>
          </cell>
          <cell r="N167">
            <v>4.29</v>
          </cell>
          <cell r="O167">
            <v>0.41199999999999998</v>
          </cell>
          <cell r="P167">
            <v>0.63700000000000001</v>
          </cell>
          <cell r="Q167">
            <v>2.8380000000000001</v>
          </cell>
          <cell r="R167">
            <v>9.1300000000000008</v>
          </cell>
          <cell r="S167">
            <v>7.0049999999999999</v>
          </cell>
          <cell r="T167">
            <v>9.152000000000001</v>
          </cell>
        </row>
        <row r="168">
          <cell r="A168">
            <v>39</v>
          </cell>
          <cell r="B168">
            <v>788</v>
          </cell>
          <cell r="C168" t="str">
            <v>Tunisia</v>
          </cell>
          <cell r="D168">
            <v>0</v>
          </cell>
          <cell r="E168">
            <v>3</v>
          </cell>
          <cell r="F168" t="str">
            <v>Emro</v>
          </cell>
          <cell r="G168">
            <v>8</v>
          </cell>
          <cell r="H168" t="str">
            <v>mec</v>
          </cell>
          <cell r="I168">
            <v>1</v>
          </cell>
          <cell r="J168" t="str">
            <v>low and middle</v>
          </cell>
          <cell r="K168" t="str">
            <v>both sexes</v>
          </cell>
          <cell r="L168" t="str">
            <v>1995-2000</v>
          </cell>
          <cell r="M168">
            <v>311.714</v>
          </cell>
          <cell r="N168">
            <v>35.834000000000003</v>
          </cell>
          <cell r="O168">
            <v>5.6749999999999998</v>
          </cell>
          <cell r="P168">
            <v>16.355</v>
          </cell>
          <cell r="Q168">
            <v>21.042000000000002</v>
          </cell>
          <cell r="R168">
            <v>35.826000000000001</v>
          </cell>
          <cell r="S168">
            <v>54.537000000000006</v>
          </cell>
          <cell r="T168">
            <v>142.44499999999999</v>
          </cell>
        </row>
        <row r="169">
          <cell r="A169">
            <v>116</v>
          </cell>
          <cell r="B169">
            <v>792</v>
          </cell>
          <cell r="C169" t="str">
            <v>Turkey</v>
          </cell>
          <cell r="D169">
            <v>0</v>
          </cell>
          <cell r="E169">
            <v>4</v>
          </cell>
          <cell r="F169" t="str">
            <v>Euro</v>
          </cell>
          <cell r="G169">
            <v>8</v>
          </cell>
          <cell r="H169" t="str">
            <v>mec</v>
          </cell>
          <cell r="I169">
            <v>1</v>
          </cell>
          <cell r="J169" t="str">
            <v>low and middle</v>
          </cell>
          <cell r="K169" t="str">
            <v>both sexes</v>
          </cell>
          <cell r="L169" t="str">
            <v>1995-2000</v>
          </cell>
          <cell r="M169">
            <v>2057.3339999999998</v>
          </cell>
          <cell r="N169">
            <v>428.96600000000001</v>
          </cell>
          <cell r="O169">
            <v>44.274000000000001</v>
          </cell>
          <cell r="P169">
            <v>94.192999999999998</v>
          </cell>
          <cell r="Q169">
            <v>123.83700000000002</v>
          </cell>
          <cell r="R169">
            <v>254.62099999999998</v>
          </cell>
          <cell r="S169">
            <v>357.24</v>
          </cell>
          <cell r="T169">
            <v>754.20299999999997</v>
          </cell>
        </row>
        <row r="170">
          <cell r="A170">
            <v>86</v>
          </cell>
          <cell r="B170">
            <v>795</v>
          </cell>
          <cell r="C170" t="str">
            <v>Turkmenistan</v>
          </cell>
          <cell r="D170">
            <v>0</v>
          </cell>
          <cell r="E170">
            <v>4</v>
          </cell>
          <cell r="F170" t="str">
            <v>Euro</v>
          </cell>
          <cell r="G170">
            <v>8</v>
          </cell>
          <cell r="H170" t="str">
            <v>mec</v>
          </cell>
          <cell r="I170">
            <v>1</v>
          </cell>
          <cell r="J170" t="str">
            <v>low and middle</v>
          </cell>
          <cell r="K170" t="str">
            <v>both sexes</v>
          </cell>
          <cell r="L170" t="str">
            <v>1995-2000</v>
          </cell>
          <cell r="M170">
            <v>154.65700000000001</v>
          </cell>
          <cell r="N170">
            <v>46.19</v>
          </cell>
          <cell r="O170">
            <v>4.0830000000000002</v>
          </cell>
          <cell r="P170">
            <v>7.8109999999999999</v>
          </cell>
          <cell r="Q170">
            <v>12.757</v>
          </cell>
          <cell r="R170">
            <v>18.364000000000001</v>
          </cell>
          <cell r="S170">
            <v>23.832000000000001</v>
          </cell>
          <cell r="T170">
            <v>41.62</v>
          </cell>
        </row>
        <row r="171">
          <cell r="A171">
            <v>20</v>
          </cell>
          <cell r="B171">
            <v>800</v>
          </cell>
          <cell r="C171" t="str">
            <v>Uganda</v>
          </cell>
          <cell r="D171">
            <v>0</v>
          </cell>
          <cell r="E171">
            <v>1</v>
          </cell>
          <cell r="F171" t="str">
            <v>Afro</v>
          </cell>
          <cell r="G171">
            <v>6</v>
          </cell>
          <cell r="H171" t="str">
            <v>ssa</v>
          </cell>
          <cell r="I171">
            <v>1</v>
          </cell>
          <cell r="J171" t="str">
            <v>low and middle</v>
          </cell>
          <cell r="K171" t="str">
            <v>both sexes</v>
          </cell>
          <cell r="L171" t="str">
            <v>1995-2000</v>
          </cell>
          <cell r="M171">
            <v>2203.6799999999998</v>
          </cell>
          <cell r="N171">
            <v>901.87400000000002</v>
          </cell>
          <cell r="O171">
            <v>202.14699999999999</v>
          </cell>
          <cell r="P171">
            <v>235.869</v>
          </cell>
          <cell r="Q171">
            <v>356.97800000000001</v>
          </cell>
          <cell r="R171">
            <v>250.98099999999999</v>
          </cell>
          <cell r="S171">
            <v>114.06899999999999</v>
          </cell>
          <cell r="T171">
            <v>141.76199999999997</v>
          </cell>
        </row>
        <row r="172">
          <cell r="A172">
            <v>130</v>
          </cell>
          <cell r="B172">
            <v>804</v>
          </cell>
          <cell r="C172" t="str">
            <v>Ukraine</v>
          </cell>
          <cell r="D172">
            <v>0</v>
          </cell>
          <cell r="E172">
            <v>4</v>
          </cell>
          <cell r="F172" t="str">
            <v>Euro</v>
          </cell>
          <cell r="G172">
            <v>2</v>
          </cell>
          <cell r="H172" t="str">
            <v>fse</v>
          </cell>
          <cell r="I172">
            <v>1</v>
          </cell>
          <cell r="J172" t="str">
            <v>low and middle</v>
          </cell>
          <cell r="K172" t="str">
            <v>both sexes</v>
          </cell>
          <cell r="L172" t="str">
            <v>1995-2000</v>
          </cell>
          <cell r="M172">
            <v>3562.884</v>
          </cell>
          <cell r="N172">
            <v>63.966000000000001</v>
          </cell>
          <cell r="O172">
            <v>17.818000000000001</v>
          </cell>
          <cell r="P172">
            <v>81.652000000000001</v>
          </cell>
          <cell r="Q172">
            <v>202.40199999999999</v>
          </cell>
          <cell r="R172">
            <v>512.851</v>
          </cell>
          <cell r="S172">
            <v>734.36799999999994</v>
          </cell>
          <cell r="T172">
            <v>1949.8269999999998</v>
          </cell>
        </row>
        <row r="173">
          <cell r="A173">
            <v>152</v>
          </cell>
          <cell r="B173">
            <v>807</v>
          </cell>
          <cell r="C173" t="str">
            <v>TFYR Macedonia</v>
          </cell>
          <cell r="D173">
            <v>0</v>
          </cell>
          <cell r="E173">
            <v>4</v>
          </cell>
          <cell r="F173" t="str">
            <v>Euro</v>
          </cell>
          <cell r="G173">
            <v>2</v>
          </cell>
          <cell r="H173" t="str">
            <v>fse</v>
          </cell>
          <cell r="I173">
            <v>1</v>
          </cell>
          <cell r="J173" t="str">
            <v>low and middle</v>
          </cell>
          <cell r="K173" t="str">
            <v>both sexes</v>
          </cell>
          <cell r="L173" t="str">
            <v>1995-2000</v>
          </cell>
          <cell r="M173">
            <v>77.055000000000007</v>
          </cell>
          <cell r="N173">
            <v>4.1289999999999996</v>
          </cell>
          <cell r="O173">
            <v>0.46299999999999997</v>
          </cell>
          <cell r="P173">
            <v>1.46</v>
          </cell>
          <cell r="Q173">
            <v>3.0640000000000001</v>
          </cell>
          <cell r="R173">
            <v>9.4110000000000014</v>
          </cell>
          <cell r="S173">
            <v>16.021000000000001</v>
          </cell>
          <cell r="T173">
            <v>42.506999999999998</v>
          </cell>
        </row>
        <row r="174">
          <cell r="A174">
            <v>35</v>
          </cell>
          <cell r="B174">
            <v>818</v>
          </cell>
          <cell r="C174" t="str">
            <v>Egypt</v>
          </cell>
          <cell r="D174">
            <v>0</v>
          </cell>
          <cell r="E174">
            <v>3</v>
          </cell>
          <cell r="F174" t="str">
            <v>Emro</v>
          </cell>
          <cell r="G174">
            <v>8</v>
          </cell>
          <cell r="H174" t="str">
            <v>mec</v>
          </cell>
          <cell r="I174">
            <v>1</v>
          </cell>
          <cell r="J174" t="str">
            <v>low and middle</v>
          </cell>
          <cell r="K174" t="str">
            <v>both sexes</v>
          </cell>
          <cell r="L174" t="str">
            <v>1995-2000</v>
          </cell>
          <cell r="M174">
            <v>2219.3470000000002</v>
          </cell>
          <cell r="N174">
            <v>555.51700000000005</v>
          </cell>
          <cell r="O174">
            <v>59.58</v>
          </cell>
          <cell r="P174">
            <v>88.504999999999995</v>
          </cell>
          <cell r="Q174">
            <v>143.06299999999999</v>
          </cell>
          <cell r="R174">
            <v>281.60599999999999</v>
          </cell>
          <cell r="S174">
            <v>386.80500000000001</v>
          </cell>
          <cell r="T174">
            <v>704.27099999999996</v>
          </cell>
        </row>
        <row r="175">
          <cell r="A175">
            <v>141</v>
          </cell>
          <cell r="B175">
            <v>826</v>
          </cell>
          <cell r="C175" t="str">
            <v>United Kingdom</v>
          </cell>
          <cell r="D175">
            <v>0</v>
          </cell>
          <cell r="E175">
            <v>4</v>
          </cell>
          <cell r="F175" t="str">
            <v>Euro</v>
          </cell>
          <cell r="G175">
            <v>1</v>
          </cell>
          <cell r="H175" t="str">
            <v>eme</v>
          </cell>
          <cell r="I175">
            <v>4</v>
          </cell>
          <cell r="J175" t="str">
            <v>high</v>
          </cell>
          <cell r="K175" t="str">
            <v>both sexes</v>
          </cell>
          <cell r="L175" t="str">
            <v>1995-2000</v>
          </cell>
          <cell r="M175">
            <v>3160.9960000000001</v>
          </cell>
          <cell r="N175">
            <v>29.122</v>
          </cell>
          <cell r="O175">
            <v>5.5659999999999998</v>
          </cell>
          <cell r="P175">
            <v>28.831000000000003</v>
          </cell>
          <cell r="Q175">
            <v>65.11</v>
          </cell>
          <cell r="R175">
            <v>246.745</v>
          </cell>
          <cell r="S175">
            <v>473.654</v>
          </cell>
          <cell r="T175">
            <v>2311.9680000000003</v>
          </cell>
        </row>
        <row r="176">
          <cell r="A176">
            <v>21</v>
          </cell>
          <cell r="B176">
            <v>834</v>
          </cell>
          <cell r="C176" t="str">
            <v>United Rep. of Tanzania</v>
          </cell>
          <cell r="D176">
            <v>0</v>
          </cell>
          <cell r="E176">
            <v>1</v>
          </cell>
          <cell r="F176" t="str">
            <v>Afro</v>
          </cell>
          <cell r="G176">
            <v>6</v>
          </cell>
          <cell r="H176" t="str">
            <v>ssa</v>
          </cell>
          <cell r="I176">
            <v>1</v>
          </cell>
          <cell r="J176" t="str">
            <v>low and middle</v>
          </cell>
          <cell r="K176" t="str">
            <v>both sexes</v>
          </cell>
          <cell r="L176" t="str">
            <v>1995-2000</v>
          </cell>
          <cell r="M176">
            <v>2426.6309999999999</v>
          </cell>
          <cell r="N176">
            <v>864.12099999999998</v>
          </cell>
          <cell r="O176">
            <v>214.03399999999999</v>
          </cell>
          <cell r="P176">
            <v>259.92899999999997</v>
          </cell>
          <cell r="Q176">
            <v>382.82799999999997</v>
          </cell>
          <cell r="R176">
            <v>318.61500000000001</v>
          </cell>
          <cell r="S176">
            <v>165.81200000000001</v>
          </cell>
          <cell r="T176">
            <v>221.29200000000003</v>
          </cell>
        </row>
        <row r="177">
          <cell r="A177">
            <v>199</v>
          </cell>
          <cell r="B177">
            <v>840</v>
          </cell>
          <cell r="C177" t="str">
            <v>United States of America</v>
          </cell>
          <cell r="D177">
            <v>0</v>
          </cell>
          <cell r="E177">
            <v>2</v>
          </cell>
          <cell r="F177" t="str">
            <v>Amro</v>
          </cell>
          <cell r="G177">
            <v>1</v>
          </cell>
          <cell r="H177" t="str">
            <v>eme</v>
          </cell>
          <cell r="I177">
            <v>4</v>
          </cell>
          <cell r="J177" t="str">
            <v>high</v>
          </cell>
          <cell r="K177" t="str">
            <v>both sexes</v>
          </cell>
          <cell r="L177" t="str">
            <v>1995-2000</v>
          </cell>
          <cell r="M177">
            <v>11562.737999999999</v>
          </cell>
          <cell r="N177">
            <v>166.53800000000001</v>
          </cell>
          <cell r="O177">
            <v>39.142000000000003</v>
          </cell>
          <cell r="P177">
            <v>245.99200000000002</v>
          </cell>
          <cell r="Q177">
            <v>602.13800000000003</v>
          </cell>
          <cell r="R177">
            <v>1230.6320000000001</v>
          </cell>
          <cell r="S177">
            <v>1629.5430000000001</v>
          </cell>
          <cell r="T177">
            <v>7648.7529999999997</v>
          </cell>
        </row>
        <row r="178">
          <cell r="A178">
            <v>49</v>
          </cell>
          <cell r="B178">
            <v>854</v>
          </cell>
          <cell r="C178" t="str">
            <v>Burkina Faso</v>
          </cell>
          <cell r="D178">
            <v>0</v>
          </cell>
          <cell r="E178">
            <v>1</v>
          </cell>
          <cell r="F178" t="str">
            <v>Afro</v>
          </cell>
          <cell r="G178">
            <v>6</v>
          </cell>
          <cell r="H178" t="str">
            <v>ssa</v>
          </cell>
          <cell r="I178">
            <v>1</v>
          </cell>
          <cell r="J178" t="str">
            <v>low and middle</v>
          </cell>
          <cell r="K178" t="str">
            <v>both sexes</v>
          </cell>
          <cell r="L178" t="str">
            <v>1995-2000</v>
          </cell>
          <cell r="M178">
            <v>1038.6969999999999</v>
          </cell>
          <cell r="N178">
            <v>445.12599999999998</v>
          </cell>
          <cell r="O178">
            <v>101.96</v>
          </cell>
          <cell r="P178">
            <v>100.96799999999999</v>
          </cell>
          <cell r="Q178">
            <v>128.19900000000001</v>
          </cell>
          <cell r="R178">
            <v>110.178</v>
          </cell>
          <cell r="S178">
            <v>65.117999999999995</v>
          </cell>
          <cell r="T178">
            <v>87.147999999999996</v>
          </cell>
        </row>
        <row r="179">
          <cell r="A179">
            <v>195</v>
          </cell>
          <cell r="B179">
            <v>858</v>
          </cell>
          <cell r="C179" t="str">
            <v>Uruguay</v>
          </cell>
          <cell r="D179">
            <v>0</v>
          </cell>
          <cell r="E179">
            <v>2</v>
          </cell>
          <cell r="F179" t="str">
            <v>Amro</v>
          </cell>
          <cell r="G179">
            <v>7</v>
          </cell>
          <cell r="H179" t="str">
            <v>lac</v>
          </cell>
          <cell r="I179">
            <v>1</v>
          </cell>
          <cell r="J179" t="str">
            <v>low and middle</v>
          </cell>
          <cell r="K179" t="str">
            <v>both sexes</v>
          </cell>
          <cell r="L179" t="str">
            <v>1995-2000</v>
          </cell>
          <cell r="M179">
            <v>154.345</v>
          </cell>
          <cell r="N179">
            <v>5.851</v>
          </cell>
          <cell r="O179">
            <v>0.80400000000000005</v>
          </cell>
          <cell r="P179">
            <v>3.4530000000000003</v>
          </cell>
          <cell r="Q179">
            <v>5.758</v>
          </cell>
          <cell r="R179">
            <v>16.876000000000001</v>
          </cell>
          <cell r="S179">
            <v>27.457999999999998</v>
          </cell>
          <cell r="T179">
            <v>94.144999999999996</v>
          </cell>
        </row>
        <row r="180">
          <cell r="A180">
            <v>87</v>
          </cell>
          <cell r="B180">
            <v>860</v>
          </cell>
          <cell r="C180" t="str">
            <v>Uzbekistan</v>
          </cell>
          <cell r="D180">
            <v>0</v>
          </cell>
          <cell r="E180">
            <v>4</v>
          </cell>
          <cell r="F180" t="str">
            <v>Euro</v>
          </cell>
          <cell r="G180">
            <v>8</v>
          </cell>
          <cell r="H180" t="str">
            <v>mec</v>
          </cell>
          <cell r="I180">
            <v>1</v>
          </cell>
          <cell r="J180" t="str">
            <v>low and middle</v>
          </cell>
          <cell r="K180" t="str">
            <v>both sexes</v>
          </cell>
          <cell r="L180" t="str">
            <v>1995-2000</v>
          </cell>
          <cell r="M180">
            <v>773.66600000000005</v>
          </cell>
          <cell r="N180">
            <v>203.01599999999999</v>
          </cell>
          <cell r="O180">
            <v>20.398000000000003</v>
          </cell>
          <cell r="P180">
            <v>40.006</v>
          </cell>
          <cell r="Q180">
            <v>66.962999999999994</v>
          </cell>
          <cell r="R180">
            <v>91.19</v>
          </cell>
          <cell r="S180">
            <v>117.092</v>
          </cell>
          <cell r="T180">
            <v>235.00100000000003</v>
          </cell>
        </row>
        <row r="181">
          <cell r="A181">
            <v>196</v>
          </cell>
          <cell r="B181">
            <v>862</v>
          </cell>
          <cell r="C181" t="str">
            <v>Venezuela</v>
          </cell>
          <cell r="D181">
            <v>0</v>
          </cell>
          <cell r="E181">
            <v>2</v>
          </cell>
          <cell r="F181" t="str">
            <v>Amro</v>
          </cell>
          <cell r="G181">
            <v>7</v>
          </cell>
          <cell r="H181" t="str">
            <v>lac</v>
          </cell>
          <cell r="I181">
            <v>1</v>
          </cell>
          <cell r="J181" t="str">
            <v>low and middle</v>
          </cell>
          <cell r="K181" t="str">
            <v>both sexes</v>
          </cell>
          <cell r="L181" t="str">
            <v>1995-2000</v>
          </cell>
          <cell r="M181">
            <v>535.66099999999994</v>
          </cell>
          <cell r="N181">
            <v>71.962000000000003</v>
          </cell>
          <cell r="O181">
            <v>11.492999999999999</v>
          </cell>
          <cell r="P181">
            <v>38.381</v>
          </cell>
          <cell r="Q181">
            <v>49.116</v>
          </cell>
          <cell r="R181">
            <v>81.652000000000001</v>
          </cell>
          <cell r="S181">
            <v>82.097000000000008</v>
          </cell>
          <cell r="T181">
            <v>200.96</v>
          </cell>
        </row>
        <row r="182">
          <cell r="A182">
            <v>214</v>
          </cell>
          <cell r="B182">
            <v>882</v>
          </cell>
          <cell r="C182" t="str">
            <v>Samoa</v>
          </cell>
          <cell r="D182">
            <v>0</v>
          </cell>
          <cell r="E182">
            <v>6</v>
          </cell>
          <cell r="F182" t="str">
            <v>Wpro</v>
          </cell>
          <cell r="G182">
            <v>5</v>
          </cell>
          <cell r="H182" t="str">
            <v>oai</v>
          </cell>
          <cell r="I182">
            <v>1</v>
          </cell>
          <cell r="J182" t="str">
            <v>low and middle</v>
          </cell>
          <cell r="K182" t="str">
            <v>both sexes</v>
          </cell>
          <cell r="L182" t="str">
            <v>1995-2000</v>
          </cell>
          <cell r="M182">
            <v>4.3120000000000003</v>
          </cell>
          <cell r="N182">
            <v>0.66500000000000004</v>
          </cell>
          <cell r="O182">
            <v>6.8000000000000005E-2</v>
          </cell>
          <cell r="P182">
            <v>0.193</v>
          </cell>
          <cell r="Q182">
            <v>0.24700000000000003</v>
          </cell>
          <cell r="R182">
            <v>0.57499999999999996</v>
          </cell>
          <cell r="S182">
            <v>0.85199999999999998</v>
          </cell>
          <cell r="T182">
            <v>1.712</v>
          </cell>
        </row>
        <row r="183">
          <cell r="A183">
            <v>118</v>
          </cell>
          <cell r="B183">
            <v>887</v>
          </cell>
          <cell r="C183" t="str">
            <v>Yemen</v>
          </cell>
          <cell r="D183">
            <v>0</v>
          </cell>
          <cell r="E183">
            <v>3</v>
          </cell>
          <cell r="F183" t="str">
            <v>Emro</v>
          </cell>
          <cell r="G183">
            <v>8</v>
          </cell>
          <cell r="H183" t="str">
            <v>mec</v>
          </cell>
          <cell r="I183">
            <v>1</v>
          </cell>
          <cell r="J183" t="str">
            <v>low and middle</v>
          </cell>
          <cell r="K183" t="str">
            <v>both sexes</v>
          </cell>
          <cell r="L183" t="str">
            <v>1995-2000</v>
          </cell>
          <cell r="M183">
            <v>864.005</v>
          </cell>
          <cell r="N183">
            <v>435.839</v>
          </cell>
          <cell r="O183">
            <v>46.686</v>
          </cell>
          <cell r="P183">
            <v>78.207999999999998</v>
          </cell>
          <cell r="Q183">
            <v>65.153999999999996</v>
          </cell>
          <cell r="R183">
            <v>67.046999999999997</v>
          </cell>
          <cell r="S183">
            <v>67.156000000000006</v>
          </cell>
          <cell r="T183">
            <v>103.91500000000001</v>
          </cell>
        </row>
        <row r="184">
          <cell r="A184">
            <v>153</v>
          </cell>
          <cell r="B184">
            <v>891</v>
          </cell>
          <cell r="C184" t="str">
            <v>Yugoslavia</v>
          </cell>
          <cell r="D184">
            <v>0</v>
          </cell>
          <cell r="E184">
            <v>4</v>
          </cell>
          <cell r="F184" t="str">
            <v>Euro</v>
          </cell>
          <cell r="G184">
            <v>2</v>
          </cell>
          <cell r="H184" t="str">
            <v>fse</v>
          </cell>
          <cell r="I184">
            <v>1</v>
          </cell>
          <cell r="J184" t="str">
            <v>low and middle</v>
          </cell>
          <cell r="K184" t="str">
            <v>both sexes</v>
          </cell>
          <cell r="L184" t="str">
            <v>1995-2000</v>
          </cell>
          <cell r="M184">
            <v>510.36500000000001</v>
          </cell>
          <cell r="N184">
            <v>17.783000000000001</v>
          </cell>
          <cell r="O184">
            <v>1.865</v>
          </cell>
          <cell r="P184">
            <v>6.7729999999999997</v>
          </cell>
          <cell r="Q184">
            <v>16.542000000000002</v>
          </cell>
          <cell r="R184">
            <v>56.697000000000003</v>
          </cell>
          <cell r="S184">
            <v>112.197</v>
          </cell>
          <cell r="T184">
            <v>298.50799999999998</v>
          </cell>
        </row>
        <row r="185">
          <cell r="A185">
            <v>22</v>
          </cell>
          <cell r="B185">
            <v>894</v>
          </cell>
          <cell r="C185" t="str">
            <v>Zambia</v>
          </cell>
          <cell r="D185">
            <v>0</v>
          </cell>
          <cell r="E185">
            <v>1</v>
          </cell>
          <cell r="F185" t="str">
            <v>Afro</v>
          </cell>
          <cell r="G185">
            <v>6</v>
          </cell>
          <cell r="H185" t="str">
            <v>ssa</v>
          </cell>
          <cell r="I185">
            <v>1</v>
          </cell>
          <cell r="J185" t="str">
            <v>low and middle</v>
          </cell>
          <cell r="K185" t="str">
            <v>both sexes</v>
          </cell>
          <cell r="L185" t="str">
            <v>1995-2000</v>
          </cell>
          <cell r="M185">
            <v>870.50400000000002</v>
          </cell>
          <cell r="N185">
            <v>271.416</v>
          </cell>
          <cell r="O185">
            <v>64.881</v>
          </cell>
          <cell r="P185">
            <v>102.86</v>
          </cell>
          <cell r="Q185">
            <v>180.619</v>
          </cell>
          <cell r="R185">
            <v>130.13399999999999</v>
          </cell>
          <cell r="S185">
            <v>54.843000000000004</v>
          </cell>
          <cell r="T185">
            <v>65.751000000000005</v>
          </cell>
        </row>
        <row r="186">
          <cell r="A186">
            <v>1</v>
          </cell>
          <cell r="B186">
            <v>900</v>
          </cell>
          <cell r="C186" t="str">
            <v>World total</v>
          </cell>
          <cell r="K186" t="str">
            <v>both sexes</v>
          </cell>
          <cell r="L186" t="str">
            <v>1995-2000</v>
          </cell>
          <cell r="M186">
            <v>260361.421</v>
          </cell>
          <cell r="N186">
            <v>52610.093999999997</v>
          </cell>
          <cell r="O186">
            <v>9678.2209999999995</v>
          </cell>
          <cell r="P186">
            <v>14133.927</v>
          </cell>
          <cell r="Q186">
            <v>20121.925999999999</v>
          </cell>
          <cell r="R186">
            <v>31908.811000000002</v>
          </cell>
          <cell r="S186">
            <v>38227.51</v>
          </cell>
          <cell r="T186">
            <v>93680.932000000001</v>
          </cell>
        </row>
        <row r="187">
          <cell r="A187">
            <v>2</v>
          </cell>
          <cell r="B187">
            <v>901</v>
          </cell>
          <cell r="C187" t="str">
            <v>More developed regions (*)</v>
          </cell>
          <cell r="K187" t="str">
            <v>both sexes</v>
          </cell>
          <cell r="L187" t="str">
            <v>1995-2000</v>
          </cell>
          <cell r="M187">
            <v>59757.167999999998</v>
          </cell>
          <cell r="N187">
            <v>786.005</v>
          </cell>
          <cell r="O187">
            <v>203.32</v>
          </cell>
          <cell r="P187">
            <v>1141.577</v>
          </cell>
          <cell r="Q187">
            <v>2877.2</v>
          </cell>
          <cell r="R187">
            <v>6919.1540000000005</v>
          </cell>
          <cell r="S187">
            <v>10161.875</v>
          </cell>
          <cell r="T187">
            <v>37668.036999999997</v>
          </cell>
        </row>
        <row r="188">
          <cell r="A188">
            <v>3</v>
          </cell>
          <cell r="B188">
            <v>902</v>
          </cell>
          <cell r="C188" t="str">
            <v>Less developed regions (+)</v>
          </cell>
          <cell r="K188" t="str">
            <v>both sexes</v>
          </cell>
          <cell r="L188" t="str">
            <v>1995-2000</v>
          </cell>
          <cell r="M188">
            <v>200604.25200000001</v>
          </cell>
          <cell r="N188">
            <v>51824.088000000003</v>
          </cell>
          <cell r="O188">
            <v>9474.9009999999998</v>
          </cell>
          <cell r="P188">
            <v>12992.35</v>
          </cell>
          <cell r="Q188">
            <v>17244.726000000002</v>
          </cell>
          <cell r="R188">
            <v>24989.656999999999</v>
          </cell>
          <cell r="S188">
            <v>28065.634999999998</v>
          </cell>
          <cell r="T188">
            <v>56012.894999999997</v>
          </cell>
        </row>
        <row r="189">
          <cell r="A189">
            <v>5</v>
          </cell>
          <cell r="B189">
            <v>903</v>
          </cell>
          <cell r="C189" t="str">
            <v>Africa</v>
          </cell>
          <cell r="K189" t="str">
            <v>both sexes</v>
          </cell>
          <cell r="L189" t="str">
            <v>1995-2000</v>
          </cell>
          <cell r="M189">
            <v>51657.258999999998</v>
          </cell>
          <cell r="N189">
            <v>19946.133000000002</v>
          </cell>
          <cell r="O189">
            <v>4352.866</v>
          </cell>
          <cell r="P189">
            <v>4831.7219999999998</v>
          </cell>
          <cell r="Q189">
            <v>6242.7549999999992</v>
          </cell>
          <cell r="R189">
            <v>5804.8239999999996</v>
          </cell>
          <cell r="S189">
            <v>4096.9340000000002</v>
          </cell>
          <cell r="T189">
            <v>6382.0250000000005</v>
          </cell>
        </row>
        <row r="190">
          <cell r="A190">
            <v>162</v>
          </cell>
          <cell r="B190">
            <v>904</v>
          </cell>
          <cell r="C190" t="str">
            <v>Latin America and the Caribbean</v>
          </cell>
          <cell r="K190" t="str">
            <v>both sexes</v>
          </cell>
          <cell r="L190" t="str">
            <v>1995-2000</v>
          </cell>
          <cell r="M190">
            <v>16225.326999999999</v>
          </cell>
          <cell r="N190">
            <v>2580.3270000000002</v>
          </cell>
          <cell r="O190">
            <v>370.517</v>
          </cell>
          <cell r="P190">
            <v>1133.5730000000001</v>
          </cell>
          <cell r="Q190">
            <v>1633.9849999999999</v>
          </cell>
          <cell r="R190">
            <v>2330.875</v>
          </cell>
          <cell r="S190">
            <v>2306.2930000000001</v>
          </cell>
          <cell r="T190">
            <v>5869.7569999999987</v>
          </cell>
        </row>
        <row r="191">
          <cell r="A191">
            <v>197</v>
          </cell>
          <cell r="B191">
            <v>905</v>
          </cell>
          <cell r="C191" t="str">
            <v>Northern America (12)</v>
          </cell>
          <cell r="K191" t="str">
            <v>both sexes</v>
          </cell>
          <cell r="L191" t="str">
            <v>1995-2000</v>
          </cell>
          <cell r="M191">
            <v>12641.482</v>
          </cell>
          <cell r="N191">
            <v>179.577</v>
          </cell>
          <cell r="O191">
            <v>42.548999999999999</v>
          </cell>
          <cell r="P191">
            <v>264.452</v>
          </cell>
          <cell r="Q191">
            <v>647.29600000000005</v>
          </cell>
          <cell r="R191">
            <v>1336.6990000000001</v>
          </cell>
          <cell r="S191">
            <v>1790.4880000000001</v>
          </cell>
          <cell r="T191">
            <v>8380.4210000000003</v>
          </cell>
        </row>
        <row r="192">
          <cell r="A192">
            <v>65</v>
          </cell>
          <cell r="B192">
            <v>906</v>
          </cell>
          <cell r="C192" t="str">
            <v>Eastern Asia</v>
          </cell>
          <cell r="K192" t="str">
            <v>both sexes</v>
          </cell>
          <cell r="L192" t="str">
            <v>1995-2000</v>
          </cell>
          <cell r="M192">
            <v>50744.387999999999</v>
          </cell>
          <cell r="N192">
            <v>5065.54</v>
          </cell>
          <cell r="O192">
            <v>574.08000000000004</v>
          </cell>
          <cell r="P192">
            <v>1671.991</v>
          </cell>
          <cell r="Q192">
            <v>2830.1530000000002</v>
          </cell>
          <cell r="R192">
            <v>6506.8970000000008</v>
          </cell>
          <cell r="S192">
            <v>9915.7210000000014</v>
          </cell>
          <cell r="T192">
            <v>24180.006000000001</v>
          </cell>
        </row>
        <row r="193">
          <cell r="A193">
            <v>119</v>
          </cell>
          <cell r="B193">
            <v>908</v>
          </cell>
          <cell r="C193" t="str">
            <v>Europe</v>
          </cell>
          <cell r="K193" t="str">
            <v>both sexes</v>
          </cell>
          <cell r="L193" t="str">
            <v>1995-2000</v>
          </cell>
          <cell r="M193">
            <v>41241.917000000001</v>
          </cell>
          <cell r="N193">
            <v>558.077</v>
          </cell>
          <cell r="O193">
            <v>148.203</v>
          </cell>
          <cell r="P193">
            <v>799.97700000000009</v>
          </cell>
          <cell r="Q193">
            <v>2081.46</v>
          </cell>
          <cell r="R193">
            <v>4993.2849999999999</v>
          </cell>
          <cell r="S193">
            <v>7452.0319999999992</v>
          </cell>
          <cell r="T193">
            <v>25208.882999999998</v>
          </cell>
        </row>
        <row r="194">
          <cell r="A194">
            <v>200</v>
          </cell>
          <cell r="B194">
            <v>909</v>
          </cell>
          <cell r="C194" t="str">
            <v>Oceania</v>
          </cell>
          <cell r="K194" t="str">
            <v>both sexes</v>
          </cell>
          <cell r="L194" t="str">
            <v>1995-2000</v>
          </cell>
          <cell r="M194">
            <v>1135.0999999999999</v>
          </cell>
          <cell r="N194">
            <v>82.593999999999994</v>
          </cell>
          <cell r="O194">
            <v>12.382999999999999</v>
          </cell>
          <cell r="P194">
            <v>41.585000000000001</v>
          </cell>
          <cell r="Q194">
            <v>59.412999999999997</v>
          </cell>
          <cell r="R194">
            <v>123.191</v>
          </cell>
          <cell r="S194">
            <v>160.97300000000001</v>
          </cell>
          <cell r="T194">
            <v>654.9609999999999</v>
          </cell>
        </row>
        <row r="195">
          <cell r="A195">
            <v>6</v>
          </cell>
          <cell r="B195">
            <v>910</v>
          </cell>
          <cell r="C195" t="str">
            <v>Eastern Africa (1)</v>
          </cell>
          <cell r="K195" t="str">
            <v>both sexes</v>
          </cell>
          <cell r="L195" t="str">
            <v>1995-2000</v>
          </cell>
          <cell r="M195">
            <v>20355.901999999998</v>
          </cell>
          <cell r="N195">
            <v>8059.3209999999999</v>
          </cell>
          <cell r="O195">
            <v>1775.337</v>
          </cell>
          <cell r="P195">
            <v>2022.9270000000001</v>
          </cell>
          <cell r="Q195">
            <v>2945.0329999999999</v>
          </cell>
          <cell r="R195">
            <v>2384.6880000000001</v>
          </cell>
          <cell r="S195">
            <v>1307.9390000000001</v>
          </cell>
          <cell r="T195">
            <v>1860.6569999999999</v>
          </cell>
        </row>
        <row r="196">
          <cell r="A196">
            <v>24</v>
          </cell>
          <cell r="B196">
            <v>911</v>
          </cell>
          <cell r="C196" t="str">
            <v>Middle Africa (3)</v>
          </cell>
          <cell r="K196" t="str">
            <v>both sexes</v>
          </cell>
          <cell r="L196" t="str">
            <v>1995-2000</v>
          </cell>
          <cell r="M196">
            <v>6878.3429999999998</v>
          </cell>
          <cell r="N196">
            <v>3027.0569999999998</v>
          </cell>
          <cell r="O196">
            <v>628.4670000000001</v>
          </cell>
          <cell r="P196">
            <v>617.24200000000008</v>
          </cell>
          <cell r="Q196">
            <v>712.44200000000001</v>
          </cell>
          <cell r="R196">
            <v>663.26800000000003</v>
          </cell>
          <cell r="S196">
            <v>475.57799999999997</v>
          </cell>
          <cell r="T196">
            <v>754.28899999999999</v>
          </cell>
        </row>
        <row r="197">
          <cell r="A197">
            <v>33</v>
          </cell>
          <cell r="B197">
            <v>912</v>
          </cell>
          <cell r="C197" t="str">
            <v>Northern Africa</v>
          </cell>
          <cell r="K197" t="str">
            <v>both sexes</v>
          </cell>
          <cell r="L197" t="str">
            <v>1995-2000</v>
          </cell>
          <cell r="M197">
            <v>6030.1570000000002</v>
          </cell>
          <cell r="N197">
            <v>1616.626</v>
          </cell>
          <cell r="O197">
            <v>281.74400000000003</v>
          </cell>
          <cell r="P197">
            <v>418.03899999999999</v>
          </cell>
          <cell r="Q197">
            <v>472.524</v>
          </cell>
          <cell r="R197">
            <v>692.22700000000009</v>
          </cell>
          <cell r="S197">
            <v>859.65200000000004</v>
          </cell>
          <cell r="T197">
            <v>1689.345</v>
          </cell>
        </row>
        <row r="198">
          <cell r="A198">
            <v>41</v>
          </cell>
          <cell r="B198">
            <v>913</v>
          </cell>
          <cell r="C198" t="str">
            <v>Southern Africa</v>
          </cell>
          <cell r="K198" t="str">
            <v>both sexes</v>
          </cell>
          <cell r="L198" t="str">
            <v>1995-2000</v>
          </cell>
          <cell r="M198">
            <v>2773.4870000000001</v>
          </cell>
          <cell r="N198">
            <v>587.47199999999998</v>
          </cell>
          <cell r="O198">
            <v>93.855000000000004</v>
          </cell>
          <cell r="P198">
            <v>241.23399999999998</v>
          </cell>
          <cell r="Q198">
            <v>498.54200000000003</v>
          </cell>
          <cell r="R198">
            <v>547.78399999999999</v>
          </cell>
          <cell r="S198">
            <v>354.13800000000003</v>
          </cell>
          <cell r="T198">
            <v>450.46199999999999</v>
          </cell>
        </row>
        <row r="199">
          <cell r="A199">
            <v>47</v>
          </cell>
          <cell r="B199">
            <v>914</v>
          </cell>
          <cell r="C199" t="str">
            <v>Western Africa (4)</v>
          </cell>
          <cell r="K199" t="str">
            <v>both sexes</v>
          </cell>
          <cell r="L199" t="str">
            <v>1995-2000</v>
          </cell>
          <cell r="M199">
            <v>15619.37</v>
          </cell>
          <cell r="N199">
            <v>6655.6570000000002</v>
          </cell>
          <cell r="O199">
            <v>1573.4630000000002</v>
          </cell>
          <cell r="P199">
            <v>1532.28</v>
          </cell>
          <cell r="Q199">
            <v>1614.2139999999999</v>
          </cell>
          <cell r="R199">
            <v>1516.857</v>
          </cell>
          <cell r="S199">
            <v>1099.627</v>
          </cell>
          <cell r="T199">
            <v>1627.2720000000004</v>
          </cell>
        </row>
        <row r="200">
          <cell r="A200">
            <v>163</v>
          </cell>
          <cell r="B200">
            <v>915</v>
          </cell>
          <cell r="C200" t="str">
            <v>Caribbean (10)</v>
          </cell>
          <cell r="K200" t="str">
            <v>both sexes</v>
          </cell>
          <cell r="L200" t="str">
            <v>1995-2000</v>
          </cell>
          <cell r="M200">
            <v>1443.394</v>
          </cell>
          <cell r="N200">
            <v>209.40799999999999</v>
          </cell>
          <cell r="O200">
            <v>45.861999999999995</v>
          </cell>
          <cell r="P200">
            <v>91.718999999999994</v>
          </cell>
          <cell r="Q200">
            <v>134.422</v>
          </cell>
          <cell r="R200">
            <v>188.87700000000001</v>
          </cell>
          <cell r="S200">
            <v>188.45800000000003</v>
          </cell>
          <cell r="T200">
            <v>584.64800000000002</v>
          </cell>
        </row>
        <row r="201">
          <cell r="A201">
            <v>175</v>
          </cell>
          <cell r="B201">
            <v>916</v>
          </cell>
          <cell r="C201" t="str">
            <v>Central America</v>
          </cell>
          <cell r="K201" t="str">
            <v>both sexes</v>
          </cell>
          <cell r="L201" t="str">
            <v>1995-2000</v>
          </cell>
          <cell r="M201">
            <v>3432.47</v>
          </cell>
          <cell r="N201">
            <v>715.923</v>
          </cell>
          <cell r="O201">
            <v>91.167000000000002</v>
          </cell>
          <cell r="P201">
            <v>276.303</v>
          </cell>
          <cell r="Q201">
            <v>333.15100000000001</v>
          </cell>
          <cell r="R201">
            <v>443.91200000000003</v>
          </cell>
          <cell r="S201">
            <v>438.69100000000003</v>
          </cell>
          <cell r="T201">
            <v>1133.3229999999999</v>
          </cell>
        </row>
        <row r="202">
          <cell r="A202">
            <v>88</v>
          </cell>
          <cell r="B202">
            <v>920</v>
          </cell>
          <cell r="C202" t="str">
            <v>South-eastern Asia</v>
          </cell>
          <cell r="K202" t="str">
            <v>both sexes</v>
          </cell>
          <cell r="L202" t="str">
            <v>1995-2000</v>
          </cell>
          <cell r="M202">
            <v>18193.169999999998</v>
          </cell>
          <cell r="N202">
            <v>3621.018</v>
          </cell>
          <cell r="O202">
            <v>637.78199999999993</v>
          </cell>
          <cell r="P202">
            <v>1351.3220000000001</v>
          </cell>
          <cell r="Q202">
            <v>1744.9470000000001</v>
          </cell>
          <cell r="R202">
            <v>2545.2629999999999</v>
          </cell>
          <cell r="S202">
            <v>2817.2350000000001</v>
          </cell>
          <cell r="T202">
            <v>5475.6030000000001</v>
          </cell>
        </row>
        <row r="203">
          <cell r="A203">
            <v>73</v>
          </cell>
          <cell r="B203">
            <v>921</v>
          </cell>
          <cell r="C203" t="str">
            <v>South-central Asia</v>
          </cell>
          <cell r="K203" t="str">
            <v>both sexes</v>
          </cell>
          <cell r="L203" t="str">
            <v>1995-2000</v>
          </cell>
          <cell r="M203">
            <v>62671.523000000001</v>
          </cell>
          <cell r="N203">
            <v>18947.281999999999</v>
          </cell>
          <cell r="O203">
            <v>3376.8789999999999</v>
          </cell>
          <cell r="P203">
            <v>3718.2119999999995</v>
          </cell>
          <cell r="Q203">
            <v>4484.1489999999994</v>
          </cell>
          <cell r="R203">
            <v>7581.3689999999988</v>
          </cell>
          <cell r="S203">
            <v>8821.3019999999997</v>
          </cell>
          <cell r="T203">
            <v>15742.33</v>
          </cell>
        </row>
        <row r="204">
          <cell r="A204">
            <v>100</v>
          </cell>
          <cell r="B204">
            <v>922</v>
          </cell>
          <cell r="C204" t="str">
            <v>Western Asia</v>
          </cell>
          <cell r="K204" t="str">
            <v>both sexes</v>
          </cell>
          <cell r="L204" t="str">
            <v>1995-2000</v>
          </cell>
          <cell r="M204">
            <v>5849.4319999999998</v>
          </cell>
          <cell r="N204">
            <v>1627.11</v>
          </cell>
          <cell r="O204">
            <v>162.815</v>
          </cell>
          <cell r="P204">
            <v>321.32400000000001</v>
          </cell>
          <cell r="Q204">
            <v>397.96899999999999</v>
          </cell>
          <cell r="R204">
            <v>685.61699999999996</v>
          </cell>
          <cell r="S204">
            <v>864.49199999999996</v>
          </cell>
          <cell r="T204">
            <v>1790.105</v>
          </cell>
        </row>
        <row r="205">
          <cell r="A205">
            <v>120</v>
          </cell>
          <cell r="B205">
            <v>923</v>
          </cell>
          <cell r="C205" t="str">
            <v>Eastern Europe</v>
          </cell>
          <cell r="K205" t="str">
            <v>both sexes</v>
          </cell>
          <cell r="L205" t="str">
            <v>1995-2000</v>
          </cell>
          <cell r="M205">
            <v>19999.495999999999</v>
          </cell>
          <cell r="N205">
            <v>345.84399999999999</v>
          </cell>
          <cell r="O205">
            <v>102.30199999999999</v>
          </cell>
          <cell r="P205">
            <v>523.904</v>
          </cell>
          <cell r="Q205">
            <v>1464.069</v>
          </cell>
          <cell r="R205">
            <v>3127.0909999999999</v>
          </cell>
          <cell r="S205">
            <v>4213.6170000000002</v>
          </cell>
          <cell r="T205">
            <v>10222.669</v>
          </cell>
        </row>
        <row r="206">
          <cell r="A206">
            <v>131</v>
          </cell>
          <cell r="B206">
            <v>924</v>
          </cell>
          <cell r="C206" t="str">
            <v>Northern Europe (7)</v>
          </cell>
          <cell r="K206" t="str">
            <v>both sexes</v>
          </cell>
          <cell r="L206" t="str">
            <v>1995-2000</v>
          </cell>
          <cell r="M206">
            <v>5104.143</v>
          </cell>
          <cell r="N206">
            <v>50.484999999999999</v>
          </cell>
          <cell r="O206">
            <v>11.341999999999999</v>
          </cell>
          <cell r="P206">
            <v>56.588999999999999</v>
          </cell>
          <cell r="Q206">
            <v>134</v>
          </cell>
          <cell r="R206">
            <v>444.96899999999999</v>
          </cell>
          <cell r="S206">
            <v>763.06700000000001</v>
          </cell>
          <cell r="T206">
            <v>3643.6910000000003</v>
          </cell>
        </row>
        <row r="207">
          <cell r="A207">
            <v>142</v>
          </cell>
          <cell r="B207">
            <v>925</v>
          </cell>
          <cell r="C207" t="str">
            <v>Southern Europe (8)</v>
          </cell>
          <cell r="K207" t="str">
            <v>both sexes</v>
          </cell>
          <cell r="L207" t="str">
            <v>1995-2000</v>
          </cell>
          <cell r="M207">
            <v>7052.6</v>
          </cell>
          <cell r="N207">
            <v>90.927999999999997</v>
          </cell>
          <cell r="O207">
            <v>17.86</v>
          </cell>
          <cell r="P207">
            <v>106.74</v>
          </cell>
          <cell r="Q207">
            <v>193.33100000000002</v>
          </cell>
          <cell r="R207">
            <v>593.50700000000006</v>
          </cell>
          <cell r="S207">
            <v>1130.212</v>
          </cell>
          <cell r="T207">
            <v>4920.0219999999999</v>
          </cell>
        </row>
        <row r="208">
          <cell r="A208">
            <v>154</v>
          </cell>
          <cell r="B208">
            <v>926</v>
          </cell>
          <cell r="C208" t="str">
            <v>Western Europe (9)</v>
          </cell>
          <cell r="K208" t="str">
            <v>both sexes</v>
          </cell>
          <cell r="L208" t="str">
            <v>1995-2000</v>
          </cell>
          <cell r="M208">
            <v>9085.6779999999999</v>
          </cell>
          <cell r="N208">
            <v>70.819999999999993</v>
          </cell>
          <cell r="O208">
            <v>16.698999999999998</v>
          </cell>
          <cell r="P208">
            <v>112.744</v>
          </cell>
          <cell r="Q208">
            <v>290.06</v>
          </cell>
          <cell r="R208">
            <v>827.71800000000007</v>
          </cell>
          <cell r="S208">
            <v>1345.136</v>
          </cell>
          <cell r="T208">
            <v>6422.5009999999993</v>
          </cell>
        </row>
        <row r="209">
          <cell r="A209">
            <v>201</v>
          </cell>
          <cell r="B209">
            <v>927</v>
          </cell>
          <cell r="C209" t="str">
            <v>Australia/New Zealand</v>
          </cell>
          <cell r="K209" t="str">
            <v>both sexes</v>
          </cell>
          <cell r="L209" t="str">
            <v>1995-2000</v>
          </cell>
          <cell r="M209">
            <v>846.45500000000004</v>
          </cell>
          <cell r="N209">
            <v>11.263999999999999</v>
          </cell>
          <cell r="O209">
            <v>2.681</v>
          </cell>
          <cell r="P209">
            <v>16.561</v>
          </cell>
          <cell r="Q209">
            <v>29.234000000000002</v>
          </cell>
          <cell r="R209">
            <v>74.491</v>
          </cell>
          <cell r="S209">
            <v>114.824</v>
          </cell>
          <cell r="T209">
            <v>597.4</v>
          </cell>
        </row>
        <row r="210">
          <cell r="A210">
            <v>204</v>
          </cell>
          <cell r="B210">
            <v>928</v>
          </cell>
          <cell r="C210" t="str">
            <v>Melanesia</v>
          </cell>
          <cell r="K210" t="str">
            <v>both sexes</v>
          </cell>
          <cell r="L210" t="str">
            <v>1995-2000</v>
          </cell>
          <cell r="M210">
            <v>260.77999999999997</v>
          </cell>
          <cell r="N210">
            <v>66.289000000000001</v>
          </cell>
          <cell r="O210">
            <v>9.0090000000000003</v>
          </cell>
          <cell r="P210">
            <v>23.048999999999999</v>
          </cell>
          <cell r="Q210">
            <v>27.957000000000001</v>
          </cell>
          <cell r="R210">
            <v>44.618000000000002</v>
          </cell>
          <cell r="S210">
            <v>41.302999999999997</v>
          </cell>
          <cell r="T210">
            <v>48.555</v>
          </cell>
        </row>
        <row r="211">
          <cell r="A211">
            <v>184</v>
          </cell>
          <cell r="B211">
            <v>931</v>
          </cell>
          <cell r="C211" t="str">
            <v>South America (11)</v>
          </cell>
          <cell r="K211" t="str">
            <v>both sexes</v>
          </cell>
          <cell r="L211" t="str">
            <v>1995-2000</v>
          </cell>
          <cell r="M211">
            <v>11349.463</v>
          </cell>
          <cell r="N211">
            <v>1654.9960000000001</v>
          </cell>
          <cell r="O211">
            <v>233.488</v>
          </cell>
          <cell r="P211">
            <v>765.55099999999993</v>
          </cell>
          <cell r="Q211">
            <v>1166.4119999999998</v>
          </cell>
          <cell r="R211">
            <v>1698.0860000000002</v>
          </cell>
          <cell r="S211">
            <v>1679.144</v>
          </cell>
          <cell r="T211">
            <v>4151.7860000000001</v>
          </cell>
        </row>
        <row r="212">
          <cell r="A212">
            <v>64</v>
          </cell>
          <cell r="B212">
            <v>935</v>
          </cell>
          <cell r="C212" t="str">
            <v>Asia</v>
          </cell>
          <cell r="K212" t="str">
            <v>both sexes</v>
          </cell>
          <cell r="L212" t="str">
            <v>1995-2000</v>
          </cell>
          <cell r="M212">
            <v>137458.51300000001</v>
          </cell>
          <cell r="N212">
            <v>29260.95</v>
          </cell>
          <cell r="O212">
            <v>4751.5559999999996</v>
          </cell>
          <cell r="P212">
            <v>7062.8490000000002</v>
          </cell>
          <cell r="Q212">
            <v>9457.2180000000008</v>
          </cell>
          <cell r="R212">
            <v>17319.146000000001</v>
          </cell>
          <cell r="S212">
            <v>22418.75</v>
          </cell>
          <cell r="T212">
            <v>47188.044000000002</v>
          </cell>
        </row>
        <row r="213">
          <cell r="A213">
            <v>4</v>
          </cell>
          <cell r="B213">
            <v>941</v>
          </cell>
          <cell r="C213" t="str">
            <v>Least developed countries (#)</v>
          </cell>
          <cell r="K213" t="str">
            <v>both sexes</v>
          </cell>
          <cell r="L213" t="str">
            <v>1995-2000</v>
          </cell>
          <cell r="M213">
            <v>44190.324999999997</v>
          </cell>
          <cell r="N213">
            <v>18343.772000000001</v>
          </cell>
          <cell r="O213">
            <v>3500.8850000000002</v>
          </cell>
          <cell r="P213">
            <v>4152.4520000000002</v>
          </cell>
          <cell r="Q213">
            <v>4870.4619999999995</v>
          </cell>
          <cell r="R213">
            <v>4670.491</v>
          </cell>
          <cell r="S213">
            <v>3429.8440000000001</v>
          </cell>
          <cell r="T213">
            <v>5222.4190000000008</v>
          </cell>
        </row>
        <row r="214">
          <cell r="A214">
            <v>210</v>
          </cell>
          <cell r="B214">
            <v>954</v>
          </cell>
          <cell r="C214" t="str">
            <v>Micronesia (14)</v>
          </cell>
          <cell r="K214" t="str">
            <v>both sexes</v>
          </cell>
          <cell r="L214" t="str">
            <v>1995-2000</v>
          </cell>
          <cell r="M214">
            <v>13.191000000000001</v>
          </cell>
          <cell r="N214">
            <v>3.4380000000000002</v>
          </cell>
          <cell r="O214">
            <v>0.45400000000000001</v>
          </cell>
          <cell r="P214">
            <v>1.161</v>
          </cell>
          <cell r="Q214">
            <v>1.21</v>
          </cell>
          <cell r="R214">
            <v>1.6859999999999999</v>
          </cell>
          <cell r="S214">
            <v>1.7490000000000001</v>
          </cell>
          <cell r="T214">
            <v>3.4929999999999999</v>
          </cell>
        </row>
        <row r="215">
          <cell r="A215">
            <v>212</v>
          </cell>
          <cell r="B215">
            <v>957</v>
          </cell>
          <cell r="C215" t="str">
            <v>Polynesia (15)</v>
          </cell>
          <cell r="K215" t="str">
            <v>both sexes</v>
          </cell>
          <cell r="L215" t="str">
            <v>1995-2000</v>
          </cell>
          <cell r="M215">
            <v>14.673999999999999</v>
          </cell>
          <cell r="N215">
            <v>1.603</v>
          </cell>
          <cell r="O215">
            <v>0.23899999999999999</v>
          </cell>
          <cell r="P215">
            <v>0.81400000000000006</v>
          </cell>
          <cell r="Q215">
            <v>1.012</v>
          </cell>
          <cell r="R215">
            <v>2.3959999999999999</v>
          </cell>
          <cell r="S215">
            <v>3.097</v>
          </cell>
          <cell r="T215">
            <v>5.5129999999999999</v>
          </cell>
        </row>
        <row r="216">
          <cell r="A216">
            <v>74</v>
          </cell>
          <cell r="B216">
            <v>4</v>
          </cell>
          <cell r="C216" t="str">
            <v>Afghanistan</v>
          </cell>
          <cell r="D216">
            <v>0</v>
          </cell>
          <cell r="E216">
            <v>3</v>
          </cell>
          <cell r="F216" t="str">
            <v>Emro</v>
          </cell>
          <cell r="G216">
            <v>8</v>
          </cell>
          <cell r="H216" t="str">
            <v>mec</v>
          </cell>
          <cell r="I216">
            <v>1</v>
          </cell>
          <cell r="J216" t="str">
            <v>low and middle</v>
          </cell>
          <cell r="K216" t="str">
            <v>females</v>
          </cell>
          <cell r="L216" t="str">
            <v>1995-2000</v>
          </cell>
          <cell r="M216">
            <v>1047.1890000000001</v>
          </cell>
          <cell r="N216">
            <v>633.95399999999995</v>
          </cell>
          <cell r="O216">
            <v>58.926000000000002</v>
          </cell>
          <cell r="P216">
            <v>78.078000000000003</v>
          </cell>
          <cell r="Q216">
            <v>61.811000000000007</v>
          </cell>
          <cell r="R216">
            <v>61.242000000000004</v>
          </cell>
          <cell r="S216">
            <v>62.536999999999999</v>
          </cell>
          <cell r="T216">
            <v>90.641000000000005</v>
          </cell>
        </row>
        <row r="217">
          <cell r="A217">
            <v>143</v>
          </cell>
          <cell r="B217">
            <v>8</v>
          </cell>
          <cell r="C217" t="str">
            <v>Albania</v>
          </cell>
          <cell r="D217">
            <v>0</v>
          </cell>
          <cell r="E217">
            <v>4</v>
          </cell>
          <cell r="F217" t="str">
            <v>Euro</v>
          </cell>
          <cell r="G217">
            <v>2</v>
          </cell>
          <cell r="H217" t="str">
            <v>fse</v>
          </cell>
          <cell r="I217">
            <v>1</v>
          </cell>
          <cell r="J217" t="str">
            <v>low and middle</v>
          </cell>
          <cell r="K217" t="str">
            <v>females</v>
          </cell>
          <cell r="L217" t="str">
            <v>1995-2000</v>
          </cell>
          <cell r="M217">
            <v>38.027000000000001</v>
          </cell>
          <cell r="N217">
            <v>6.0140000000000002</v>
          </cell>
          <cell r="O217">
            <v>0.71100000000000008</v>
          </cell>
          <cell r="P217">
            <v>0.93300000000000005</v>
          </cell>
          <cell r="Q217">
            <v>1.542</v>
          </cell>
          <cell r="R217">
            <v>2.7359999999999998</v>
          </cell>
          <cell r="S217">
            <v>4.5139999999999993</v>
          </cell>
          <cell r="T217">
            <v>21.576999999999998</v>
          </cell>
        </row>
        <row r="218">
          <cell r="A218">
            <v>34</v>
          </cell>
          <cell r="B218">
            <v>12</v>
          </cell>
          <cell r="C218" t="str">
            <v>Algeria</v>
          </cell>
          <cell r="D218">
            <v>0</v>
          </cell>
          <cell r="E218">
            <v>1</v>
          </cell>
          <cell r="F218" t="str">
            <v>Afro</v>
          </cell>
          <cell r="G218">
            <v>8</v>
          </cell>
          <cell r="H218" t="str">
            <v>mec</v>
          </cell>
          <cell r="I218">
            <v>1</v>
          </cell>
          <cell r="J218" t="str">
            <v>low and middle</v>
          </cell>
          <cell r="K218" t="str">
            <v>females</v>
          </cell>
          <cell r="L218" t="str">
            <v>1995-2000</v>
          </cell>
          <cell r="M218">
            <v>385.00900000000001</v>
          </cell>
          <cell r="N218">
            <v>96.694999999999993</v>
          </cell>
          <cell r="O218">
            <v>11.288</v>
          </cell>
          <cell r="P218">
            <v>19.491</v>
          </cell>
          <cell r="Q218">
            <v>24.192</v>
          </cell>
          <cell r="R218">
            <v>33.774999999999999</v>
          </cell>
          <cell r="S218">
            <v>51.712000000000003</v>
          </cell>
          <cell r="T218">
            <v>147.85599999999999</v>
          </cell>
        </row>
        <row r="219">
          <cell r="A219">
            <v>25</v>
          </cell>
          <cell r="B219">
            <v>24</v>
          </cell>
          <cell r="C219" t="str">
            <v>Angola</v>
          </cell>
          <cell r="D219">
            <v>0</v>
          </cell>
          <cell r="E219">
            <v>1</v>
          </cell>
          <cell r="F219" t="str">
            <v>Afro</v>
          </cell>
          <cell r="G219">
            <v>6</v>
          </cell>
          <cell r="H219" t="str">
            <v>ssa</v>
          </cell>
          <cell r="I219">
            <v>1</v>
          </cell>
          <cell r="J219" t="str">
            <v>low and middle</v>
          </cell>
          <cell r="K219" t="str">
            <v>females</v>
          </cell>
          <cell r="L219" t="str">
            <v>1995-2000</v>
          </cell>
          <cell r="M219">
            <v>534.51499999999999</v>
          </cell>
          <cell r="N219">
            <v>281.101</v>
          </cell>
          <cell r="O219">
            <v>51.77</v>
          </cell>
          <cell r="P219">
            <v>43.082000000000001</v>
          </cell>
          <cell r="Q219">
            <v>37.558</v>
          </cell>
          <cell r="R219">
            <v>35.257000000000005</v>
          </cell>
          <cell r="S219">
            <v>32.622</v>
          </cell>
          <cell r="T219">
            <v>53.125</v>
          </cell>
        </row>
        <row r="220">
          <cell r="A220">
            <v>102</v>
          </cell>
          <cell r="B220">
            <v>31</v>
          </cell>
          <cell r="C220" t="str">
            <v>Azerbaijan</v>
          </cell>
          <cell r="D220">
            <v>0</v>
          </cell>
          <cell r="E220">
            <v>4</v>
          </cell>
          <cell r="F220" t="str">
            <v>Euro</v>
          </cell>
          <cell r="G220">
            <v>8</v>
          </cell>
          <cell r="H220" t="str">
            <v>mec</v>
          </cell>
          <cell r="I220">
            <v>1</v>
          </cell>
          <cell r="J220" t="str">
            <v>low and middle</v>
          </cell>
          <cell r="K220" t="str">
            <v>females</v>
          </cell>
          <cell r="L220" t="str">
            <v>1995-2000</v>
          </cell>
          <cell r="M220">
            <v>116.29</v>
          </cell>
          <cell r="N220">
            <v>13.992000000000001</v>
          </cell>
          <cell r="O220">
            <v>2.0609999999999999</v>
          </cell>
          <cell r="P220">
            <v>2.9480000000000004</v>
          </cell>
          <cell r="Q220">
            <v>6.5679999999999996</v>
          </cell>
          <cell r="R220">
            <v>11.564</v>
          </cell>
          <cell r="S220">
            <v>21.798000000000002</v>
          </cell>
          <cell r="T220">
            <v>57.358999999999995</v>
          </cell>
        </row>
        <row r="221">
          <cell r="A221">
            <v>185</v>
          </cell>
          <cell r="B221">
            <v>32</v>
          </cell>
          <cell r="C221" t="str">
            <v>Argentina</v>
          </cell>
          <cell r="D221">
            <v>0</v>
          </cell>
          <cell r="E221">
            <v>2</v>
          </cell>
          <cell r="F221" t="str">
            <v>Amro</v>
          </cell>
          <cell r="G221">
            <v>7</v>
          </cell>
          <cell r="H221" t="str">
            <v>lac</v>
          </cell>
          <cell r="I221">
            <v>1</v>
          </cell>
          <cell r="J221" t="str">
            <v>low and middle</v>
          </cell>
          <cell r="K221" t="str">
            <v>females</v>
          </cell>
          <cell r="L221" t="str">
            <v>1995-2000</v>
          </cell>
          <cell r="M221">
            <v>657.01099999999997</v>
          </cell>
          <cell r="N221">
            <v>39.414999999999999</v>
          </cell>
          <cell r="O221">
            <v>3.964</v>
          </cell>
          <cell r="P221">
            <v>12.241999999999999</v>
          </cell>
          <cell r="Q221">
            <v>24.704000000000001</v>
          </cell>
          <cell r="R221">
            <v>58.838999999999999</v>
          </cell>
          <cell r="S221">
            <v>83.915000000000006</v>
          </cell>
          <cell r="T221">
            <v>433.93200000000002</v>
          </cell>
        </row>
        <row r="222">
          <cell r="A222">
            <v>202</v>
          </cell>
          <cell r="B222">
            <v>36</v>
          </cell>
          <cell r="C222" t="str">
            <v>Australia (13)</v>
          </cell>
          <cell r="D222">
            <v>0</v>
          </cell>
          <cell r="E222">
            <v>6</v>
          </cell>
          <cell r="F222" t="str">
            <v>Wpro</v>
          </cell>
          <cell r="G222">
            <v>1</v>
          </cell>
          <cell r="H222" t="str">
            <v>eme</v>
          </cell>
          <cell r="I222">
            <v>4</v>
          </cell>
          <cell r="J222" t="str">
            <v>high</v>
          </cell>
          <cell r="K222" t="str">
            <v>females</v>
          </cell>
          <cell r="L222" t="str">
            <v>1995-2000</v>
          </cell>
          <cell r="M222">
            <v>333.61700000000002</v>
          </cell>
          <cell r="N222">
            <v>3.7240000000000002</v>
          </cell>
          <cell r="O222">
            <v>0.80600000000000005</v>
          </cell>
          <cell r="P222">
            <v>3.222</v>
          </cell>
          <cell r="Q222">
            <v>7.7420000000000009</v>
          </cell>
          <cell r="R222">
            <v>21.591999999999999</v>
          </cell>
          <cell r="S222">
            <v>32.203000000000003</v>
          </cell>
          <cell r="T222">
            <v>264.32800000000003</v>
          </cell>
        </row>
        <row r="223">
          <cell r="A223">
            <v>155</v>
          </cell>
          <cell r="B223">
            <v>40</v>
          </cell>
          <cell r="C223" t="str">
            <v>Austria</v>
          </cell>
          <cell r="D223">
            <v>0</v>
          </cell>
          <cell r="E223">
            <v>4</v>
          </cell>
          <cell r="F223" t="str">
            <v>Euro</v>
          </cell>
          <cell r="G223">
            <v>1</v>
          </cell>
          <cell r="H223" t="str">
            <v>eme</v>
          </cell>
          <cell r="I223">
            <v>4</v>
          </cell>
          <cell r="J223" t="str">
            <v>high</v>
          </cell>
          <cell r="K223" t="str">
            <v>females</v>
          </cell>
          <cell r="L223" t="str">
            <v>1995-2000</v>
          </cell>
          <cell r="M223">
            <v>214.83199999999999</v>
          </cell>
          <cell r="N223">
            <v>1.3640000000000001</v>
          </cell>
          <cell r="O223">
            <v>0.22700000000000001</v>
          </cell>
          <cell r="P223">
            <v>1.2030000000000001</v>
          </cell>
          <cell r="Q223">
            <v>3.843</v>
          </cell>
          <cell r="R223">
            <v>11.786999999999999</v>
          </cell>
          <cell r="S223">
            <v>18.786000000000001</v>
          </cell>
          <cell r="T223">
            <v>177.62200000000004</v>
          </cell>
        </row>
        <row r="224">
          <cell r="A224">
            <v>164</v>
          </cell>
          <cell r="B224">
            <v>44</v>
          </cell>
          <cell r="C224" t="str">
            <v>Bahamas</v>
          </cell>
          <cell r="D224">
            <v>0</v>
          </cell>
          <cell r="E224">
            <v>2</v>
          </cell>
          <cell r="F224" t="str">
            <v>Amro</v>
          </cell>
          <cell r="G224">
            <v>7</v>
          </cell>
          <cell r="H224" t="str">
            <v>lac</v>
          </cell>
          <cell r="I224">
            <v>4</v>
          </cell>
          <cell r="J224" t="str">
            <v>high</v>
          </cell>
          <cell r="K224" t="str">
            <v>females</v>
          </cell>
          <cell r="L224" t="str">
            <v>1995-2000</v>
          </cell>
          <cell r="M224">
            <v>3.1309999999999998</v>
          </cell>
          <cell r="N224">
            <v>0.25</v>
          </cell>
          <cell r="O224">
            <v>2.3E-2</v>
          </cell>
          <cell r="P224">
            <v>0.121</v>
          </cell>
          <cell r="Q224">
            <v>0.32100000000000001</v>
          </cell>
          <cell r="R224">
            <v>0.45900000000000002</v>
          </cell>
          <cell r="S224">
            <v>0.45299999999999996</v>
          </cell>
          <cell r="T224">
            <v>1.5039999999999998</v>
          </cell>
        </row>
        <row r="225">
          <cell r="A225">
            <v>103</v>
          </cell>
          <cell r="B225">
            <v>48</v>
          </cell>
          <cell r="C225" t="str">
            <v>Bahrain</v>
          </cell>
          <cell r="D225">
            <v>0</v>
          </cell>
          <cell r="E225">
            <v>3</v>
          </cell>
          <cell r="F225" t="str">
            <v>Emro</v>
          </cell>
          <cell r="G225">
            <v>8</v>
          </cell>
          <cell r="H225" t="str">
            <v>mec</v>
          </cell>
          <cell r="I225">
            <v>1</v>
          </cell>
          <cell r="J225" t="str">
            <v>low and middle</v>
          </cell>
          <cell r="K225" t="str">
            <v>females</v>
          </cell>
          <cell r="L225" t="str">
            <v>1995-2000</v>
          </cell>
          <cell r="M225">
            <v>3.6789999999999998</v>
          </cell>
          <cell r="N225">
            <v>0.505</v>
          </cell>
          <cell r="O225">
            <v>5.5E-2</v>
          </cell>
          <cell r="P225">
            <v>0.14699999999999999</v>
          </cell>
          <cell r="Q225">
            <v>0.373</v>
          </cell>
          <cell r="R225">
            <v>0.51600000000000001</v>
          </cell>
          <cell r="S225">
            <v>0.60499999999999998</v>
          </cell>
          <cell r="T225">
            <v>1.4780000000000002</v>
          </cell>
        </row>
        <row r="226">
          <cell r="A226">
            <v>75</v>
          </cell>
          <cell r="B226">
            <v>50</v>
          </cell>
          <cell r="C226" t="str">
            <v>Bangladesh</v>
          </cell>
          <cell r="D226">
            <v>0</v>
          </cell>
          <cell r="E226">
            <v>5</v>
          </cell>
          <cell r="F226" t="str">
            <v>Searo</v>
          </cell>
          <cell r="G226">
            <v>5</v>
          </cell>
          <cell r="H226" t="str">
            <v>oai</v>
          </cell>
          <cell r="I226">
            <v>1</v>
          </cell>
          <cell r="J226" t="str">
            <v>low and middle</v>
          </cell>
          <cell r="K226" t="str">
            <v>females</v>
          </cell>
          <cell r="L226" t="str">
            <v>1995-2000</v>
          </cell>
          <cell r="M226">
            <v>2909.57</v>
          </cell>
          <cell r="N226">
            <v>954.59</v>
          </cell>
          <cell r="O226">
            <v>166.54400000000001</v>
          </cell>
          <cell r="P226">
            <v>335.584</v>
          </cell>
          <cell r="Q226">
            <v>298.22500000000002</v>
          </cell>
          <cell r="R226">
            <v>310.57399999999996</v>
          </cell>
          <cell r="S226">
            <v>278.98899999999998</v>
          </cell>
          <cell r="T226">
            <v>565.06399999999996</v>
          </cell>
        </row>
        <row r="227">
          <cell r="A227">
            <v>101</v>
          </cell>
          <cell r="B227">
            <v>51</v>
          </cell>
          <cell r="C227" t="str">
            <v>Armenia</v>
          </cell>
          <cell r="D227">
            <v>0</v>
          </cell>
          <cell r="E227">
            <v>4</v>
          </cell>
          <cell r="F227" t="str">
            <v>Euro</v>
          </cell>
          <cell r="G227">
            <v>8</v>
          </cell>
          <cell r="H227" t="str">
            <v>mec</v>
          </cell>
          <cell r="I227">
            <v>1</v>
          </cell>
          <cell r="J227" t="str">
            <v>low and middle</v>
          </cell>
          <cell r="K227" t="str">
            <v>females</v>
          </cell>
          <cell r="L227" t="str">
            <v>1995-2000</v>
          </cell>
          <cell r="M227">
            <v>63.762</v>
          </cell>
          <cell r="N227">
            <v>3.556</v>
          </cell>
          <cell r="O227">
            <v>0.52600000000000002</v>
          </cell>
          <cell r="P227">
            <v>1.2949999999999999</v>
          </cell>
          <cell r="Q227">
            <v>3.8970000000000002</v>
          </cell>
          <cell r="R227">
            <v>6.649</v>
          </cell>
          <cell r="S227">
            <v>13.208</v>
          </cell>
          <cell r="T227">
            <v>34.631</v>
          </cell>
        </row>
        <row r="228">
          <cell r="A228">
            <v>165</v>
          </cell>
          <cell r="B228">
            <v>52</v>
          </cell>
          <cell r="C228" t="str">
            <v>Barbados</v>
          </cell>
          <cell r="D228">
            <v>0</v>
          </cell>
          <cell r="E228">
            <v>2</v>
          </cell>
          <cell r="F228" t="str">
            <v>Amro</v>
          </cell>
          <cell r="G228">
            <v>7</v>
          </cell>
          <cell r="H228" t="str">
            <v>lac</v>
          </cell>
          <cell r="I228">
            <v>1</v>
          </cell>
          <cell r="J228" t="str">
            <v>low and middle</v>
          </cell>
          <cell r="K228" t="str">
            <v>females</v>
          </cell>
          <cell r="L228" t="str">
            <v>1995-2000</v>
          </cell>
          <cell r="M228">
            <v>5.8360000000000003</v>
          </cell>
          <cell r="N228">
            <v>0.124</v>
          </cell>
          <cell r="O228">
            <v>1.4E-2</v>
          </cell>
          <cell r="P228">
            <v>5.5E-2</v>
          </cell>
          <cell r="Q228">
            <v>0.184</v>
          </cell>
          <cell r="R228">
            <v>0.36099999999999999</v>
          </cell>
          <cell r="S228">
            <v>0.57199999999999995</v>
          </cell>
          <cell r="T228">
            <v>4.5259999999999998</v>
          </cell>
        </row>
        <row r="229">
          <cell r="A229">
            <v>156</v>
          </cell>
          <cell r="B229">
            <v>56</v>
          </cell>
          <cell r="C229" t="str">
            <v>Belgium</v>
          </cell>
          <cell r="D229">
            <v>0</v>
          </cell>
          <cell r="E229">
            <v>4</v>
          </cell>
          <cell r="F229" t="str">
            <v>Euro</v>
          </cell>
          <cell r="G229">
            <v>1</v>
          </cell>
          <cell r="H229" t="str">
            <v>eme</v>
          </cell>
          <cell r="I229">
            <v>4</v>
          </cell>
          <cell r="J229" t="str">
            <v>high</v>
          </cell>
          <cell r="K229" t="str">
            <v>females</v>
          </cell>
          <cell r="L229" t="str">
            <v>1995-2000</v>
          </cell>
          <cell r="M229">
            <v>258.84899999999999</v>
          </cell>
          <cell r="N229">
            <v>2.0379999999999998</v>
          </cell>
          <cell r="O229">
            <v>0.38600000000000001</v>
          </cell>
          <cell r="P229">
            <v>1.6559999999999999</v>
          </cell>
          <cell r="Q229">
            <v>5.181</v>
          </cell>
          <cell r="R229">
            <v>14.11</v>
          </cell>
          <cell r="S229">
            <v>26.440999999999999</v>
          </cell>
          <cell r="T229">
            <v>209.03699999999995</v>
          </cell>
        </row>
        <row r="230">
          <cell r="A230">
            <v>76</v>
          </cell>
          <cell r="B230">
            <v>64</v>
          </cell>
          <cell r="C230" t="str">
            <v>Bhutan</v>
          </cell>
          <cell r="D230">
            <v>0</v>
          </cell>
          <cell r="E230">
            <v>5</v>
          </cell>
          <cell r="F230" t="str">
            <v>Searo</v>
          </cell>
          <cell r="G230">
            <v>5</v>
          </cell>
          <cell r="H230" t="str">
            <v>oai</v>
          </cell>
          <cell r="I230">
            <v>1</v>
          </cell>
          <cell r="J230" t="str">
            <v>low and middle</v>
          </cell>
          <cell r="K230" t="str">
            <v>females</v>
          </cell>
          <cell r="L230" t="str">
            <v>1995-2000</v>
          </cell>
          <cell r="M230">
            <v>46.281999999999996</v>
          </cell>
          <cell r="N230">
            <v>17.006</v>
          </cell>
          <cell r="O230">
            <v>3.129</v>
          </cell>
          <cell r="P230">
            <v>3.621</v>
          </cell>
          <cell r="Q230">
            <v>3.6289999999999996</v>
          </cell>
          <cell r="R230">
            <v>4.3010000000000002</v>
          </cell>
          <cell r="S230">
            <v>4.6660000000000004</v>
          </cell>
          <cell r="T230">
            <v>9.93</v>
          </cell>
        </row>
        <row r="231">
          <cell r="A231">
            <v>186</v>
          </cell>
          <cell r="B231">
            <v>68</v>
          </cell>
          <cell r="C231" t="str">
            <v>Bolivia</v>
          </cell>
          <cell r="D231">
            <v>0</v>
          </cell>
          <cell r="E231">
            <v>2</v>
          </cell>
          <cell r="F231" t="str">
            <v>Amro</v>
          </cell>
          <cell r="G231">
            <v>7</v>
          </cell>
          <cell r="H231" t="str">
            <v>lac</v>
          </cell>
          <cell r="I231">
            <v>1</v>
          </cell>
          <cell r="J231" t="str">
            <v>low and middle</v>
          </cell>
          <cell r="K231" t="str">
            <v>females</v>
          </cell>
          <cell r="L231" t="str">
            <v>1995-2000</v>
          </cell>
          <cell r="M231">
            <v>170.453</v>
          </cell>
          <cell r="N231">
            <v>53.981000000000002</v>
          </cell>
          <cell r="O231">
            <v>10.217000000000001</v>
          </cell>
          <cell r="P231">
            <v>14.181000000000001</v>
          </cell>
          <cell r="Q231">
            <v>13.941000000000001</v>
          </cell>
          <cell r="R231">
            <v>18.221</v>
          </cell>
          <cell r="S231">
            <v>18.875</v>
          </cell>
          <cell r="T231">
            <v>41.036999999999992</v>
          </cell>
        </row>
        <row r="232">
          <cell r="A232">
            <v>144</v>
          </cell>
          <cell r="B232">
            <v>70</v>
          </cell>
          <cell r="C232" t="str">
            <v>Bosnia and Herzegovina</v>
          </cell>
          <cell r="D232">
            <v>0</v>
          </cell>
          <cell r="E232">
            <v>4</v>
          </cell>
          <cell r="F232" t="str">
            <v>Euro</v>
          </cell>
          <cell r="G232">
            <v>2</v>
          </cell>
          <cell r="H232" t="str">
            <v>fse</v>
          </cell>
          <cell r="I232">
            <v>1</v>
          </cell>
          <cell r="J232" t="str">
            <v>low and middle</v>
          </cell>
          <cell r="K232" t="str">
            <v>females</v>
          </cell>
          <cell r="L232" t="str">
            <v>1995-2000</v>
          </cell>
          <cell r="M232">
            <v>65.045000000000002</v>
          </cell>
          <cell r="N232">
            <v>1.4990000000000001</v>
          </cell>
          <cell r="O232">
            <v>0.26600000000000001</v>
          </cell>
          <cell r="P232">
            <v>0.82</v>
          </cell>
          <cell r="Q232">
            <v>2.4130000000000003</v>
          </cell>
          <cell r="R232">
            <v>7.2319999999999993</v>
          </cell>
          <cell r="S232">
            <v>14.698</v>
          </cell>
          <cell r="T232">
            <v>38.117000000000004</v>
          </cell>
        </row>
        <row r="233">
          <cell r="A233">
            <v>42</v>
          </cell>
          <cell r="B233">
            <v>72</v>
          </cell>
          <cell r="C233" t="str">
            <v>Botswana</v>
          </cell>
          <cell r="D233">
            <v>0</v>
          </cell>
          <cell r="E233">
            <v>1</v>
          </cell>
          <cell r="F233" t="str">
            <v>Afro</v>
          </cell>
          <cell r="G233">
            <v>6</v>
          </cell>
          <cell r="H233" t="str">
            <v>ssa</v>
          </cell>
          <cell r="I233">
            <v>1</v>
          </cell>
          <cell r="J233" t="str">
            <v>low and middle</v>
          </cell>
          <cell r="K233" t="str">
            <v>females</v>
          </cell>
          <cell r="L233" t="str">
            <v>1995-2000</v>
          </cell>
          <cell r="M233">
            <v>58.597000000000001</v>
          </cell>
          <cell r="N233">
            <v>12.802</v>
          </cell>
          <cell r="O233">
            <v>2.1559999999999997</v>
          </cell>
          <cell r="P233">
            <v>7.0590000000000002</v>
          </cell>
          <cell r="Q233">
            <v>14.411999999999999</v>
          </cell>
          <cell r="R233">
            <v>10.816000000000001</v>
          </cell>
          <cell r="S233">
            <v>4.66</v>
          </cell>
          <cell r="T233">
            <v>6.6920000000000002</v>
          </cell>
        </row>
        <row r="234">
          <cell r="A234">
            <v>187</v>
          </cell>
          <cell r="B234">
            <v>76</v>
          </cell>
          <cell r="C234" t="str">
            <v>Brazil</v>
          </cell>
          <cell r="D234">
            <v>0</v>
          </cell>
          <cell r="E234">
            <v>2</v>
          </cell>
          <cell r="F234" t="str">
            <v>Amro</v>
          </cell>
          <cell r="G234">
            <v>7</v>
          </cell>
          <cell r="H234" t="str">
            <v>lac</v>
          </cell>
          <cell r="I234">
            <v>1</v>
          </cell>
          <cell r="J234" t="str">
            <v>low and middle</v>
          </cell>
          <cell r="K234" t="str">
            <v>females</v>
          </cell>
          <cell r="L234" t="str">
            <v>1995-2000</v>
          </cell>
          <cell r="M234">
            <v>2485.038</v>
          </cell>
          <cell r="N234">
            <v>339.50900000000001</v>
          </cell>
          <cell r="O234">
            <v>43.043999999999997</v>
          </cell>
          <cell r="P234">
            <v>113.251</v>
          </cell>
          <cell r="Q234">
            <v>233.58600000000001</v>
          </cell>
          <cell r="R234">
            <v>375.85199999999998</v>
          </cell>
          <cell r="S234">
            <v>377.47300000000001</v>
          </cell>
          <cell r="T234">
            <v>1002.3230000000001</v>
          </cell>
        </row>
        <row r="235">
          <cell r="A235">
            <v>176</v>
          </cell>
          <cell r="B235">
            <v>84</v>
          </cell>
          <cell r="C235" t="str">
            <v>Belize</v>
          </cell>
          <cell r="D235">
            <v>0</v>
          </cell>
          <cell r="E235">
            <v>2</v>
          </cell>
          <cell r="F235" t="str">
            <v>Amro</v>
          </cell>
          <cell r="G235">
            <v>7</v>
          </cell>
          <cell r="H235" t="str">
            <v>lac</v>
          </cell>
          <cell r="I235">
            <v>1</v>
          </cell>
          <cell r="J235" t="str">
            <v>low and middle</v>
          </cell>
          <cell r="K235" t="str">
            <v>females</v>
          </cell>
          <cell r="L235" t="str">
            <v>1995-2000</v>
          </cell>
          <cell r="M235">
            <v>2.238</v>
          </cell>
          <cell r="N235">
            <v>0.63500000000000001</v>
          </cell>
          <cell r="O235">
            <v>5.2000000000000005E-2</v>
          </cell>
          <cell r="P235">
            <v>7.4999999999999997E-2</v>
          </cell>
          <cell r="Q235">
            <v>0.10600000000000001</v>
          </cell>
          <cell r="R235">
            <v>0.14699999999999999</v>
          </cell>
          <cell r="S235">
            <v>0.25</v>
          </cell>
          <cell r="T235">
            <v>0.97299999999999998</v>
          </cell>
        </row>
        <row r="236">
          <cell r="A236">
            <v>208</v>
          </cell>
          <cell r="B236">
            <v>90</v>
          </cell>
          <cell r="C236" t="str">
            <v>Solomon Islands</v>
          </cell>
          <cell r="D236">
            <v>0</v>
          </cell>
          <cell r="E236">
            <v>6</v>
          </cell>
          <cell r="F236" t="str">
            <v>Wpro</v>
          </cell>
          <cell r="G236">
            <v>5</v>
          </cell>
          <cell r="H236" t="str">
            <v>oai</v>
          </cell>
          <cell r="I236">
            <v>1</v>
          </cell>
          <cell r="J236" t="str">
            <v>low and middle</v>
          </cell>
          <cell r="K236" t="str">
            <v>females</v>
          </cell>
          <cell r="L236" t="str">
            <v>1995-2000</v>
          </cell>
          <cell r="M236">
            <v>3.359</v>
          </cell>
          <cell r="N236">
            <v>0.77</v>
          </cell>
          <cell r="O236">
            <v>7.5999999999999998E-2</v>
          </cell>
          <cell r="P236">
            <v>0.17099999999999999</v>
          </cell>
          <cell r="Q236">
            <v>0.221</v>
          </cell>
          <cell r="R236">
            <v>0.42</v>
          </cell>
          <cell r="S236">
            <v>0.51200000000000001</v>
          </cell>
          <cell r="T236">
            <v>1.1889999999999998</v>
          </cell>
        </row>
        <row r="237">
          <cell r="A237">
            <v>89</v>
          </cell>
          <cell r="B237">
            <v>96</v>
          </cell>
          <cell r="C237" t="str">
            <v>Brunei Darussalam</v>
          </cell>
          <cell r="D237">
            <v>0</v>
          </cell>
          <cell r="E237">
            <v>6</v>
          </cell>
          <cell r="F237" t="str">
            <v>Wpro</v>
          </cell>
          <cell r="G237">
            <v>5</v>
          </cell>
          <cell r="H237" t="str">
            <v>oai</v>
          </cell>
          <cell r="I237">
            <v>4</v>
          </cell>
          <cell r="J237" t="str">
            <v>high</v>
          </cell>
          <cell r="K237" t="str">
            <v>females</v>
          </cell>
          <cell r="L237" t="str">
            <v>1995-2000</v>
          </cell>
          <cell r="M237">
            <v>1.8260000000000001</v>
          </cell>
          <cell r="N237">
            <v>0.19</v>
          </cell>
          <cell r="O237">
            <v>3.1E-2</v>
          </cell>
          <cell r="P237">
            <v>4.1000000000000002E-2</v>
          </cell>
          <cell r="Q237">
            <v>0.11699999999999999</v>
          </cell>
          <cell r="R237">
            <v>0.24200000000000002</v>
          </cell>
          <cell r="S237">
            <v>0.30900000000000005</v>
          </cell>
          <cell r="T237">
            <v>0.89600000000000002</v>
          </cell>
        </row>
        <row r="238">
          <cell r="A238">
            <v>122</v>
          </cell>
          <cell r="B238">
            <v>100</v>
          </cell>
          <cell r="C238" t="str">
            <v>Bulgaria</v>
          </cell>
          <cell r="D238">
            <v>0</v>
          </cell>
          <cell r="E238">
            <v>4</v>
          </cell>
          <cell r="F238" t="str">
            <v>Euro</v>
          </cell>
          <cell r="G238">
            <v>2</v>
          </cell>
          <cell r="H238" t="str">
            <v>fse</v>
          </cell>
          <cell r="I238">
            <v>1</v>
          </cell>
          <cell r="J238" t="str">
            <v>low and middle</v>
          </cell>
          <cell r="K238" t="str">
            <v>females</v>
          </cell>
          <cell r="L238" t="str">
            <v>1995-2000</v>
          </cell>
          <cell r="M238">
            <v>259.28800000000001</v>
          </cell>
          <cell r="N238">
            <v>3.03</v>
          </cell>
          <cell r="O238">
            <v>0.81699999999999995</v>
          </cell>
          <cell r="P238">
            <v>2.4489999999999998</v>
          </cell>
          <cell r="Q238">
            <v>5.9889999999999999</v>
          </cell>
          <cell r="R238">
            <v>20.375</v>
          </cell>
          <cell r="S238">
            <v>42.655000000000001</v>
          </cell>
          <cell r="T238">
            <v>183.97300000000001</v>
          </cell>
        </row>
        <row r="239">
          <cell r="A239">
            <v>95</v>
          </cell>
          <cell r="B239">
            <v>104</v>
          </cell>
          <cell r="C239" t="str">
            <v>Myanmar</v>
          </cell>
          <cell r="D239">
            <v>0</v>
          </cell>
          <cell r="E239">
            <v>5</v>
          </cell>
          <cell r="F239" t="str">
            <v>Searo</v>
          </cell>
          <cell r="G239">
            <v>5</v>
          </cell>
          <cell r="H239" t="str">
            <v>oai</v>
          </cell>
          <cell r="I239">
            <v>1</v>
          </cell>
          <cell r="J239" t="str">
            <v>low and middle</v>
          </cell>
          <cell r="K239" t="str">
            <v>females</v>
          </cell>
          <cell r="L239" t="str">
            <v>1995-2000</v>
          </cell>
          <cell r="M239">
            <v>982.90599999999995</v>
          </cell>
          <cell r="N239">
            <v>238.858</v>
          </cell>
          <cell r="O239">
            <v>38.843000000000004</v>
          </cell>
          <cell r="P239">
            <v>61.346000000000004</v>
          </cell>
          <cell r="Q239">
            <v>77.228999999999999</v>
          </cell>
          <cell r="R239">
            <v>120.99199999999999</v>
          </cell>
          <cell r="S239">
            <v>165.26300000000001</v>
          </cell>
          <cell r="T239">
            <v>280.375</v>
          </cell>
        </row>
        <row r="240">
          <cell r="A240">
            <v>7</v>
          </cell>
          <cell r="B240">
            <v>108</v>
          </cell>
          <cell r="C240" t="str">
            <v>Burundi</v>
          </cell>
          <cell r="D240">
            <v>0</v>
          </cell>
          <cell r="E240">
            <v>1</v>
          </cell>
          <cell r="F240" t="str">
            <v>Afro</v>
          </cell>
          <cell r="G240">
            <v>6</v>
          </cell>
          <cell r="H240" t="str">
            <v>ssa</v>
          </cell>
          <cell r="I240">
            <v>1</v>
          </cell>
          <cell r="J240" t="str">
            <v>low and middle</v>
          </cell>
          <cell r="K240" t="str">
            <v>females</v>
          </cell>
          <cell r="L240" t="str">
            <v>1995-2000</v>
          </cell>
          <cell r="M240">
            <v>316.65100000000001</v>
          </cell>
          <cell r="N240">
            <v>118.354</v>
          </cell>
          <cell r="O240">
            <v>32.872</v>
          </cell>
          <cell r="P240">
            <v>32.295999999999999</v>
          </cell>
          <cell r="Q240">
            <v>45.658000000000001</v>
          </cell>
          <cell r="R240">
            <v>33.037999999999997</v>
          </cell>
          <cell r="S240">
            <v>19.688000000000002</v>
          </cell>
          <cell r="T240">
            <v>34.744999999999997</v>
          </cell>
        </row>
        <row r="241">
          <cell r="A241">
            <v>121</v>
          </cell>
          <cell r="B241">
            <v>112</v>
          </cell>
          <cell r="C241" t="str">
            <v>Belarus</v>
          </cell>
          <cell r="D241">
            <v>0</v>
          </cell>
          <cell r="E241">
            <v>4</v>
          </cell>
          <cell r="F241" t="str">
            <v>Euro</v>
          </cell>
          <cell r="G241">
            <v>2</v>
          </cell>
          <cell r="H241" t="str">
            <v>fse</v>
          </cell>
          <cell r="I241">
            <v>1</v>
          </cell>
          <cell r="J241" t="str">
            <v>low and middle</v>
          </cell>
          <cell r="K241" t="str">
            <v>females</v>
          </cell>
          <cell r="L241" t="str">
            <v>1995-2000</v>
          </cell>
          <cell r="M241">
            <v>332.26499999999999</v>
          </cell>
          <cell r="N241">
            <v>5.0830000000000002</v>
          </cell>
          <cell r="O241">
            <v>1.2629999999999999</v>
          </cell>
          <cell r="P241">
            <v>3.7489999999999997</v>
          </cell>
          <cell r="Q241">
            <v>10.676</v>
          </cell>
          <cell r="R241">
            <v>28.933999999999997</v>
          </cell>
          <cell r="S241">
            <v>57.82</v>
          </cell>
          <cell r="T241">
            <v>224.74</v>
          </cell>
        </row>
        <row r="242">
          <cell r="A242">
            <v>90</v>
          </cell>
          <cell r="B242">
            <v>116</v>
          </cell>
          <cell r="C242" t="str">
            <v>Cambodia</v>
          </cell>
          <cell r="D242">
            <v>0</v>
          </cell>
          <cell r="E242">
            <v>6</v>
          </cell>
          <cell r="F242" t="str">
            <v>Wpro</v>
          </cell>
          <cell r="G242">
            <v>5</v>
          </cell>
          <cell r="H242" t="str">
            <v>oai</v>
          </cell>
          <cell r="I242">
            <v>1</v>
          </cell>
          <cell r="J242" t="str">
            <v>low and middle</v>
          </cell>
          <cell r="K242" t="str">
            <v>females</v>
          </cell>
          <cell r="L242" t="str">
            <v>1995-2000</v>
          </cell>
          <cell r="M242">
            <v>334.1</v>
          </cell>
          <cell r="N242">
            <v>116.86199999999999</v>
          </cell>
          <cell r="O242">
            <v>23.844999999999999</v>
          </cell>
          <cell r="P242">
            <v>28.951000000000001</v>
          </cell>
          <cell r="Q242">
            <v>39.085999999999999</v>
          </cell>
          <cell r="R242">
            <v>39.647000000000006</v>
          </cell>
          <cell r="S242">
            <v>34.067</v>
          </cell>
          <cell r="T242">
            <v>51.642000000000003</v>
          </cell>
        </row>
        <row r="243">
          <cell r="A243">
            <v>26</v>
          </cell>
          <cell r="B243">
            <v>120</v>
          </cell>
          <cell r="C243" t="str">
            <v>Cameroon</v>
          </cell>
          <cell r="D243">
            <v>0</v>
          </cell>
          <cell r="E243">
            <v>1</v>
          </cell>
          <cell r="F243" t="str">
            <v>Afro</v>
          </cell>
          <cell r="G243">
            <v>6</v>
          </cell>
          <cell r="H243" t="str">
            <v>ssa</v>
          </cell>
          <cell r="I243">
            <v>1</v>
          </cell>
          <cell r="J243" t="str">
            <v>low and middle</v>
          </cell>
          <cell r="K243" t="str">
            <v>females</v>
          </cell>
          <cell r="L243" t="str">
            <v>1995-2000</v>
          </cell>
          <cell r="M243">
            <v>424.48599999999999</v>
          </cell>
          <cell r="N243">
            <v>151.011</v>
          </cell>
          <cell r="O243">
            <v>33.51</v>
          </cell>
          <cell r="P243">
            <v>38.631999999999998</v>
          </cell>
          <cell r="Q243">
            <v>48.277000000000001</v>
          </cell>
          <cell r="R243">
            <v>45.282000000000004</v>
          </cell>
          <cell r="S243">
            <v>36.204999999999998</v>
          </cell>
          <cell r="T243">
            <v>71.569000000000017</v>
          </cell>
        </row>
        <row r="244">
          <cell r="A244">
            <v>198</v>
          </cell>
          <cell r="B244">
            <v>124</v>
          </cell>
          <cell r="C244" t="str">
            <v>Canada</v>
          </cell>
          <cell r="D244">
            <v>0</v>
          </cell>
          <cell r="E244">
            <v>2</v>
          </cell>
          <cell r="F244" t="str">
            <v>Amro</v>
          </cell>
          <cell r="G244">
            <v>1</v>
          </cell>
          <cell r="H244" t="str">
            <v>eme</v>
          </cell>
          <cell r="I244">
            <v>4</v>
          </cell>
          <cell r="J244" t="str">
            <v>high</v>
          </cell>
          <cell r="K244" t="str">
            <v>females</v>
          </cell>
          <cell r="L244" t="str">
            <v>1995-2000</v>
          </cell>
          <cell r="M244">
            <v>509</v>
          </cell>
          <cell r="N244">
            <v>5.66</v>
          </cell>
          <cell r="O244">
            <v>1.234</v>
          </cell>
          <cell r="P244">
            <v>4.9619999999999997</v>
          </cell>
          <cell r="Q244">
            <v>14.423999999999999</v>
          </cell>
          <cell r="R244">
            <v>39.758000000000003</v>
          </cell>
          <cell r="S244">
            <v>59.83</v>
          </cell>
          <cell r="T244">
            <v>383.13200000000001</v>
          </cell>
        </row>
        <row r="245">
          <cell r="A245">
            <v>50</v>
          </cell>
          <cell r="B245">
            <v>132</v>
          </cell>
          <cell r="C245" t="str">
            <v>Cape Verde</v>
          </cell>
          <cell r="D245">
            <v>0</v>
          </cell>
          <cell r="E245">
            <v>1</v>
          </cell>
          <cell r="F245" t="str">
            <v>Afro</v>
          </cell>
          <cell r="G245">
            <v>6</v>
          </cell>
          <cell r="H245" t="str">
            <v>ssa</v>
          </cell>
          <cell r="I245">
            <v>1</v>
          </cell>
          <cell r="J245" t="str">
            <v>low and middle</v>
          </cell>
          <cell r="K245" t="str">
            <v>females</v>
          </cell>
          <cell r="L245" t="str">
            <v>1995-2000</v>
          </cell>
          <cell r="M245">
            <v>6.556</v>
          </cell>
          <cell r="N245">
            <v>1.905</v>
          </cell>
          <cell r="O245">
            <v>0.10199999999999999</v>
          </cell>
          <cell r="P245">
            <v>0.23499999999999999</v>
          </cell>
          <cell r="Q245">
            <v>0.374</v>
          </cell>
          <cell r="R245">
            <v>0.42400000000000004</v>
          </cell>
          <cell r="S245">
            <v>0.91400000000000003</v>
          </cell>
          <cell r="T245">
            <v>2.6019999999999999</v>
          </cell>
        </row>
        <row r="246">
          <cell r="A246">
            <v>27</v>
          </cell>
          <cell r="B246">
            <v>140</v>
          </cell>
          <cell r="C246" t="str">
            <v>Central African Republic</v>
          </cell>
          <cell r="D246">
            <v>0</v>
          </cell>
          <cell r="E246">
            <v>1</v>
          </cell>
          <cell r="F246" t="str">
            <v>Afro</v>
          </cell>
          <cell r="G246">
            <v>6</v>
          </cell>
          <cell r="H246" t="str">
            <v>ssa</v>
          </cell>
          <cell r="I246">
            <v>1</v>
          </cell>
          <cell r="J246" t="str">
            <v>low and middle</v>
          </cell>
          <cell r="K246" t="str">
            <v>females</v>
          </cell>
          <cell r="L246" t="str">
            <v>1995-2000</v>
          </cell>
          <cell r="M246">
            <v>155.322</v>
          </cell>
          <cell r="N246">
            <v>46.704000000000001</v>
          </cell>
          <cell r="O246">
            <v>13.109</v>
          </cell>
          <cell r="P246">
            <v>15.963000000000001</v>
          </cell>
          <cell r="Q246">
            <v>24.152000000000001</v>
          </cell>
          <cell r="R246">
            <v>19.811</v>
          </cell>
          <cell r="S246">
            <v>12.875</v>
          </cell>
          <cell r="T246">
            <v>22.707999999999995</v>
          </cell>
        </row>
        <row r="247">
          <cell r="A247">
            <v>84</v>
          </cell>
          <cell r="B247">
            <v>144</v>
          </cell>
          <cell r="C247" t="str">
            <v>Sri Lanka</v>
          </cell>
          <cell r="D247">
            <v>0</v>
          </cell>
          <cell r="E247">
            <v>5</v>
          </cell>
          <cell r="F247" t="str">
            <v>Searo</v>
          </cell>
          <cell r="G247">
            <v>5</v>
          </cell>
          <cell r="H247" t="str">
            <v>oai</v>
          </cell>
          <cell r="I247">
            <v>1</v>
          </cell>
          <cell r="J247" t="str">
            <v>low and middle</v>
          </cell>
          <cell r="K247" t="str">
            <v>females</v>
          </cell>
          <cell r="L247" t="str">
            <v>1995-2000</v>
          </cell>
          <cell r="M247">
            <v>226.41399999999999</v>
          </cell>
          <cell r="N247">
            <v>16.010999999999999</v>
          </cell>
          <cell r="O247">
            <v>2.7760000000000002</v>
          </cell>
          <cell r="P247">
            <v>8.6280000000000001</v>
          </cell>
          <cell r="Q247">
            <v>13.286</v>
          </cell>
          <cell r="R247">
            <v>26.95</v>
          </cell>
          <cell r="S247">
            <v>38.685000000000002</v>
          </cell>
          <cell r="T247">
            <v>120.078</v>
          </cell>
        </row>
        <row r="248">
          <cell r="A248">
            <v>28</v>
          </cell>
          <cell r="B248">
            <v>148</v>
          </cell>
          <cell r="C248" t="str">
            <v>Chad</v>
          </cell>
          <cell r="D248">
            <v>0</v>
          </cell>
          <cell r="E248">
            <v>1</v>
          </cell>
          <cell r="F248" t="str">
            <v>Afro</v>
          </cell>
          <cell r="G248">
            <v>6</v>
          </cell>
          <cell r="H248" t="str">
            <v>ssa</v>
          </cell>
          <cell r="I248">
            <v>1</v>
          </cell>
          <cell r="J248" t="str">
            <v>low and middle</v>
          </cell>
          <cell r="K248" t="str">
            <v>females</v>
          </cell>
          <cell r="L248" t="str">
            <v>1995-2000</v>
          </cell>
          <cell r="M248">
            <v>305.51299999999998</v>
          </cell>
          <cell r="N248">
            <v>131.55199999999999</v>
          </cell>
          <cell r="O248">
            <v>31.872</v>
          </cell>
          <cell r="P248">
            <v>26.148000000000003</v>
          </cell>
          <cell r="Q248">
            <v>29.548999999999999</v>
          </cell>
          <cell r="R248">
            <v>26.463000000000001</v>
          </cell>
          <cell r="S248">
            <v>22.045000000000002</v>
          </cell>
          <cell r="T248">
            <v>37.884</v>
          </cell>
        </row>
        <row r="249">
          <cell r="A249">
            <v>188</v>
          </cell>
          <cell r="B249">
            <v>152</v>
          </cell>
          <cell r="C249" t="str">
            <v>Chile</v>
          </cell>
          <cell r="D249">
            <v>0</v>
          </cell>
          <cell r="E249">
            <v>2</v>
          </cell>
          <cell r="F249" t="str">
            <v>Amro</v>
          </cell>
          <cell r="G249">
            <v>7</v>
          </cell>
          <cell r="H249" t="str">
            <v>lac</v>
          </cell>
          <cell r="I249">
            <v>1</v>
          </cell>
          <cell r="J249" t="str">
            <v>low and middle</v>
          </cell>
          <cell r="K249" t="str">
            <v>females</v>
          </cell>
          <cell r="L249" t="str">
            <v>1995-2000</v>
          </cell>
          <cell r="M249">
            <v>192.56700000000001</v>
          </cell>
          <cell r="N249">
            <v>9.9380000000000006</v>
          </cell>
          <cell r="O249">
            <v>1.4590000000000001</v>
          </cell>
          <cell r="P249">
            <v>3.7280000000000002</v>
          </cell>
          <cell r="Q249">
            <v>9.1169999999999991</v>
          </cell>
          <cell r="R249">
            <v>21.646000000000001</v>
          </cell>
          <cell r="S249">
            <v>28.902000000000001</v>
          </cell>
          <cell r="T249">
            <v>117.77699999999999</v>
          </cell>
        </row>
        <row r="250">
          <cell r="A250">
            <v>66</v>
          </cell>
          <cell r="B250">
            <v>156</v>
          </cell>
          <cell r="C250" t="str">
            <v>China (5)</v>
          </cell>
          <cell r="D250">
            <v>0</v>
          </cell>
          <cell r="E250">
            <v>6</v>
          </cell>
          <cell r="F250" t="str">
            <v>Wpro</v>
          </cell>
          <cell r="G250">
            <v>4</v>
          </cell>
          <cell r="H250" t="str">
            <v>chn</v>
          </cell>
          <cell r="I250">
            <v>5</v>
          </cell>
          <cell r="J250" t="str">
            <v>chn</v>
          </cell>
          <cell r="K250" t="str">
            <v>females</v>
          </cell>
          <cell r="L250" t="str">
            <v>1995-2000</v>
          </cell>
          <cell r="M250">
            <v>19110.344000000001</v>
          </cell>
          <cell r="N250">
            <v>2598.67</v>
          </cell>
          <cell r="O250">
            <v>186.881</v>
          </cell>
          <cell r="P250">
            <v>547.01300000000003</v>
          </cell>
          <cell r="Q250">
            <v>913.26200000000006</v>
          </cell>
          <cell r="R250">
            <v>1978.7529999999997</v>
          </cell>
          <cell r="S250">
            <v>3115.5910000000003</v>
          </cell>
          <cell r="T250">
            <v>9770.1740000000009</v>
          </cell>
        </row>
        <row r="251">
          <cell r="A251">
            <v>189</v>
          </cell>
          <cell r="B251">
            <v>170</v>
          </cell>
          <cell r="C251" t="str">
            <v>Colombia</v>
          </cell>
          <cell r="D251">
            <v>0</v>
          </cell>
          <cell r="E251">
            <v>2</v>
          </cell>
          <cell r="F251" t="str">
            <v>Amro</v>
          </cell>
          <cell r="G251">
            <v>7</v>
          </cell>
          <cell r="H251" t="str">
            <v>lac</v>
          </cell>
          <cell r="I251">
            <v>1</v>
          </cell>
          <cell r="J251" t="str">
            <v>low and middle</v>
          </cell>
          <cell r="K251" t="str">
            <v>females</v>
          </cell>
          <cell r="L251" t="str">
            <v>1995-2000</v>
          </cell>
          <cell r="M251">
            <v>500.41199999999998</v>
          </cell>
          <cell r="N251">
            <v>85.135999999999996</v>
          </cell>
          <cell r="O251">
            <v>9.6819999999999986</v>
          </cell>
          <cell r="P251">
            <v>24.408999999999999</v>
          </cell>
          <cell r="Q251">
            <v>36.187999999999995</v>
          </cell>
          <cell r="R251">
            <v>60.584000000000003</v>
          </cell>
          <cell r="S251">
            <v>69.135000000000005</v>
          </cell>
          <cell r="T251">
            <v>215.27799999999999</v>
          </cell>
        </row>
        <row r="252">
          <cell r="A252">
            <v>8</v>
          </cell>
          <cell r="B252">
            <v>174</v>
          </cell>
          <cell r="C252" t="str">
            <v>Comoros</v>
          </cell>
          <cell r="D252">
            <v>0</v>
          </cell>
          <cell r="E252">
            <v>1</v>
          </cell>
          <cell r="F252" t="str">
            <v>Afro</v>
          </cell>
          <cell r="G252">
            <v>6</v>
          </cell>
          <cell r="H252" t="str">
            <v>ssa</v>
          </cell>
          <cell r="I252">
            <v>1</v>
          </cell>
          <cell r="J252" t="str">
            <v>low and middle</v>
          </cell>
          <cell r="K252" t="str">
            <v>females</v>
          </cell>
          <cell r="L252" t="str">
            <v>1995-2000</v>
          </cell>
          <cell r="M252">
            <v>14.583</v>
          </cell>
          <cell r="N252">
            <v>5.8040000000000003</v>
          </cell>
          <cell r="O252">
            <v>0.81899999999999995</v>
          </cell>
          <cell r="P252">
            <v>1.4590000000000001</v>
          </cell>
          <cell r="Q252">
            <v>1.256</v>
          </cell>
          <cell r="R252">
            <v>1.4079999999999999</v>
          </cell>
          <cell r="S252">
            <v>1.365</v>
          </cell>
          <cell r="T252">
            <v>2.4720000000000004</v>
          </cell>
        </row>
        <row r="253">
          <cell r="A253">
            <v>29</v>
          </cell>
          <cell r="B253">
            <v>178</v>
          </cell>
          <cell r="C253" t="str">
            <v>Congo</v>
          </cell>
          <cell r="D253">
            <v>0</v>
          </cell>
          <cell r="E253">
            <v>1</v>
          </cell>
          <cell r="F253" t="str">
            <v>Afro</v>
          </cell>
          <cell r="G253">
            <v>6</v>
          </cell>
          <cell r="H253" t="str">
            <v>ssa</v>
          </cell>
          <cell r="I253">
            <v>1</v>
          </cell>
          <cell r="J253" t="str">
            <v>low and middle</v>
          </cell>
          <cell r="K253" t="str">
            <v>females</v>
          </cell>
          <cell r="L253" t="str">
            <v>1995-2000</v>
          </cell>
          <cell r="M253">
            <v>101.95099999999999</v>
          </cell>
          <cell r="N253">
            <v>34.915999999999997</v>
          </cell>
          <cell r="O253">
            <v>7.8380000000000001</v>
          </cell>
          <cell r="P253">
            <v>10.254000000000001</v>
          </cell>
          <cell r="Q253">
            <v>15.122999999999999</v>
          </cell>
          <cell r="R253">
            <v>12.137</v>
          </cell>
          <cell r="S253">
            <v>7.5920000000000005</v>
          </cell>
          <cell r="T253">
            <v>14.091000000000003</v>
          </cell>
        </row>
        <row r="254">
          <cell r="A254">
            <v>30</v>
          </cell>
          <cell r="B254">
            <v>180</v>
          </cell>
          <cell r="C254" t="str">
            <v>Dem. Republic of the Congo</v>
          </cell>
          <cell r="D254">
            <v>0</v>
          </cell>
          <cell r="E254">
            <v>1</v>
          </cell>
          <cell r="F254" t="str">
            <v>Afro</v>
          </cell>
          <cell r="G254">
            <v>6</v>
          </cell>
          <cell r="H254" t="str">
            <v>ssa</v>
          </cell>
          <cell r="I254">
            <v>1</v>
          </cell>
          <cell r="J254" t="str">
            <v>low and middle</v>
          </cell>
          <cell r="K254" t="str">
            <v>females</v>
          </cell>
          <cell r="L254" t="str">
            <v>1995-2000</v>
          </cell>
          <cell r="M254">
            <v>1715.883</v>
          </cell>
          <cell r="N254">
            <v>728.85299999999995</v>
          </cell>
          <cell r="O254">
            <v>157.602</v>
          </cell>
          <cell r="P254">
            <v>151.34899999999999</v>
          </cell>
          <cell r="Q254">
            <v>187.37700000000001</v>
          </cell>
          <cell r="R254">
            <v>164.58500000000001</v>
          </cell>
          <cell r="S254">
            <v>120.265</v>
          </cell>
          <cell r="T254">
            <v>205.852</v>
          </cell>
        </row>
        <row r="255">
          <cell r="A255">
            <v>177</v>
          </cell>
          <cell r="B255">
            <v>188</v>
          </cell>
          <cell r="C255" t="str">
            <v>Costa Rica</v>
          </cell>
          <cell r="D255">
            <v>0</v>
          </cell>
          <cell r="E255">
            <v>2</v>
          </cell>
          <cell r="F255" t="str">
            <v>Amro</v>
          </cell>
          <cell r="G255">
            <v>7</v>
          </cell>
          <cell r="H255" t="str">
            <v>lac</v>
          </cell>
          <cell r="I255">
            <v>1</v>
          </cell>
          <cell r="J255" t="str">
            <v>low and middle</v>
          </cell>
          <cell r="K255" t="str">
            <v>females</v>
          </cell>
          <cell r="L255" t="str">
            <v>1995-2000</v>
          </cell>
          <cell r="M255">
            <v>31.821999999999999</v>
          </cell>
          <cell r="N255">
            <v>2.7839999999999998</v>
          </cell>
          <cell r="O255">
            <v>0.441</v>
          </cell>
          <cell r="P255">
            <v>0.998</v>
          </cell>
          <cell r="Q255">
            <v>1.9780000000000002</v>
          </cell>
          <cell r="R255">
            <v>3.5669999999999997</v>
          </cell>
          <cell r="S255">
            <v>4.4130000000000003</v>
          </cell>
          <cell r="T255">
            <v>17.641000000000002</v>
          </cell>
        </row>
        <row r="256">
          <cell r="A256">
            <v>145</v>
          </cell>
          <cell r="B256">
            <v>191</v>
          </cell>
          <cell r="C256" t="str">
            <v>Croatia</v>
          </cell>
          <cell r="D256">
            <v>0</v>
          </cell>
          <cell r="E256">
            <v>4</v>
          </cell>
          <cell r="F256" t="str">
            <v>Euro</v>
          </cell>
          <cell r="G256">
            <v>2</v>
          </cell>
          <cell r="H256" t="str">
            <v>fse</v>
          </cell>
          <cell r="I256">
            <v>1</v>
          </cell>
          <cell r="J256" t="str">
            <v>low and middle</v>
          </cell>
          <cell r="K256" t="str">
            <v>females</v>
          </cell>
          <cell r="L256" t="str">
            <v>1995-2000</v>
          </cell>
          <cell r="M256">
            <v>125.279</v>
          </cell>
          <cell r="N256">
            <v>1.2949999999999999</v>
          </cell>
          <cell r="O256">
            <v>0.29599999999999999</v>
          </cell>
          <cell r="P256">
            <v>0.88300000000000001</v>
          </cell>
          <cell r="Q256">
            <v>2.706</v>
          </cell>
          <cell r="R256">
            <v>9.6260000000000012</v>
          </cell>
          <cell r="S256">
            <v>20.675000000000001</v>
          </cell>
          <cell r="T256">
            <v>89.798000000000002</v>
          </cell>
        </row>
        <row r="257">
          <cell r="A257">
            <v>166</v>
          </cell>
          <cell r="B257">
            <v>192</v>
          </cell>
          <cell r="C257" t="str">
            <v>Cuba</v>
          </cell>
          <cell r="D257">
            <v>0</v>
          </cell>
          <cell r="E257">
            <v>2</v>
          </cell>
          <cell r="F257" t="str">
            <v>Amro</v>
          </cell>
          <cell r="G257">
            <v>7</v>
          </cell>
          <cell r="H257" t="str">
            <v>lac</v>
          </cell>
          <cell r="I257">
            <v>1</v>
          </cell>
          <cell r="J257" t="str">
            <v>low and middle</v>
          </cell>
          <cell r="K257" t="str">
            <v>females</v>
          </cell>
          <cell r="L257" t="str">
            <v>1995-2000</v>
          </cell>
          <cell r="M257">
            <v>178.393</v>
          </cell>
          <cell r="N257">
            <v>3.5579999999999998</v>
          </cell>
          <cell r="O257">
            <v>1.1989999999999998</v>
          </cell>
          <cell r="P257">
            <v>5.6749999999999998</v>
          </cell>
          <cell r="Q257">
            <v>9.3219999999999992</v>
          </cell>
          <cell r="R257">
            <v>20.957000000000001</v>
          </cell>
          <cell r="S257">
            <v>24.332999999999998</v>
          </cell>
          <cell r="T257">
            <v>113.34899999999999</v>
          </cell>
        </row>
        <row r="258">
          <cell r="A258">
            <v>104</v>
          </cell>
          <cell r="B258">
            <v>196</v>
          </cell>
          <cell r="C258" t="str">
            <v>Cyprus</v>
          </cell>
          <cell r="D258">
            <v>0</v>
          </cell>
          <cell r="E258">
            <v>3</v>
          </cell>
          <cell r="F258" t="str">
            <v>Emro</v>
          </cell>
          <cell r="G258">
            <v>8</v>
          </cell>
          <cell r="H258" t="str">
            <v>mec</v>
          </cell>
          <cell r="I258">
            <v>4</v>
          </cell>
          <cell r="J258" t="str">
            <v>high</v>
          </cell>
          <cell r="K258" t="str">
            <v>females</v>
          </cell>
          <cell r="L258" t="str">
            <v>1995-2000</v>
          </cell>
          <cell r="M258">
            <v>13.247</v>
          </cell>
          <cell r="N258">
            <v>0.24199999999999999</v>
          </cell>
          <cell r="O258">
            <v>3.8000000000000006E-2</v>
          </cell>
          <cell r="P258">
            <v>0.17</v>
          </cell>
          <cell r="Q258">
            <v>0.317</v>
          </cell>
          <cell r="R258">
            <v>1.014</v>
          </cell>
          <cell r="S258">
            <v>1.4830000000000001</v>
          </cell>
          <cell r="T258">
            <v>9.9829999999999988</v>
          </cell>
        </row>
        <row r="259">
          <cell r="A259">
            <v>123</v>
          </cell>
          <cell r="B259">
            <v>203</v>
          </cell>
          <cell r="C259" t="str">
            <v>Czech Republic</v>
          </cell>
          <cell r="D259">
            <v>0</v>
          </cell>
          <cell r="E259">
            <v>4</v>
          </cell>
          <cell r="F259" t="str">
            <v>Euro</v>
          </cell>
          <cell r="G259">
            <v>2</v>
          </cell>
          <cell r="H259" t="str">
            <v>fse</v>
          </cell>
          <cell r="I259">
            <v>1</v>
          </cell>
          <cell r="J259" t="str">
            <v>low and middle</v>
          </cell>
          <cell r="K259" t="str">
            <v>females</v>
          </cell>
          <cell r="L259" t="str">
            <v>1995-2000</v>
          </cell>
          <cell r="M259">
            <v>279.12099999999998</v>
          </cell>
          <cell r="N259">
            <v>1.71</v>
          </cell>
          <cell r="O259">
            <v>0.59099999999999997</v>
          </cell>
          <cell r="P259">
            <v>2.0529999999999999</v>
          </cell>
          <cell r="Q259">
            <v>5.1849999999999996</v>
          </cell>
          <cell r="R259">
            <v>21.611999999999998</v>
          </cell>
          <cell r="S259">
            <v>36.497</v>
          </cell>
          <cell r="T259">
            <v>211.47300000000004</v>
          </cell>
        </row>
        <row r="260">
          <cell r="A260">
            <v>48</v>
          </cell>
          <cell r="B260">
            <v>204</v>
          </cell>
          <cell r="C260" t="str">
            <v>Benin</v>
          </cell>
          <cell r="D260">
            <v>0</v>
          </cell>
          <cell r="E260">
            <v>1</v>
          </cell>
          <cell r="F260" t="str">
            <v>Afro</v>
          </cell>
          <cell r="G260">
            <v>6</v>
          </cell>
          <cell r="H260" t="str">
            <v>ssa</v>
          </cell>
          <cell r="I260">
            <v>1</v>
          </cell>
          <cell r="J260" t="str">
            <v>low and middle</v>
          </cell>
          <cell r="K260" t="str">
            <v>females</v>
          </cell>
          <cell r="L260" t="str">
            <v>1995-2000</v>
          </cell>
          <cell r="M260">
            <v>173.3</v>
          </cell>
          <cell r="N260">
            <v>74.037000000000006</v>
          </cell>
          <cell r="O260">
            <v>18.302</v>
          </cell>
          <cell r="P260">
            <v>15.648</v>
          </cell>
          <cell r="Q260">
            <v>17.394000000000002</v>
          </cell>
          <cell r="R260">
            <v>14.154999999999999</v>
          </cell>
          <cell r="S260">
            <v>11.206</v>
          </cell>
          <cell r="T260">
            <v>22.558</v>
          </cell>
        </row>
        <row r="261">
          <cell r="A261">
            <v>132</v>
          </cell>
          <cell r="B261">
            <v>208</v>
          </cell>
          <cell r="C261" t="str">
            <v>Denmark</v>
          </cell>
          <cell r="D261">
            <v>0</v>
          </cell>
          <cell r="E261">
            <v>4</v>
          </cell>
          <cell r="F261" t="str">
            <v>Euro</v>
          </cell>
          <cell r="G261">
            <v>1</v>
          </cell>
          <cell r="H261" t="str">
            <v>eme</v>
          </cell>
          <cell r="I261">
            <v>4</v>
          </cell>
          <cell r="J261" t="str">
            <v>high</v>
          </cell>
          <cell r="K261" t="str">
            <v>females</v>
          </cell>
          <cell r="L261" t="str">
            <v>1995-2000</v>
          </cell>
          <cell r="M261">
            <v>153.09299999999999</v>
          </cell>
          <cell r="N261">
            <v>1.1830000000000001</v>
          </cell>
          <cell r="O261">
            <v>0.21400000000000002</v>
          </cell>
          <cell r="P261">
            <v>0.84199999999999997</v>
          </cell>
          <cell r="Q261">
            <v>3.06</v>
          </cell>
          <cell r="R261">
            <v>13.71</v>
          </cell>
          <cell r="S261">
            <v>17.995000000000001</v>
          </cell>
          <cell r="T261">
            <v>116.08900000000001</v>
          </cell>
        </row>
        <row r="262">
          <cell r="A262">
            <v>167</v>
          </cell>
          <cell r="B262">
            <v>214</v>
          </cell>
          <cell r="C262" t="str">
            <v>Dominican Republic</v>
          </cell>
          <cell r="D262">
            <v>0</v>
          </cell>
          <cell r="E262">
            <v>2</v>
          </cell>
          <cell r="F262" t="str">
            <v>Amro</v>
          </cell>
          <cell r="G262">
            <v>7</v>
          </cell>
          <cell r="H262" t="str">
            <v>lac</v>
          </cell>
          <cell r="I262">
            <v>1</v>
          </cell>
          <cell r="J262" t="str">
            <v>low and middle</v>
          </cell>
          <cell r="K262" t="str">
            <v>females</v>
          </cell>
          <cell r="L262" t="str">
            <v>1995-2000</v>
          </cell>
          <cell r="M262">
            <v>94.394000000000005</v>
          </cell>
          <cell r="N262">
            <v>19.808</v>
          </cell>
          <cell r="O262">
            <v>2.89</v>
          </cell>
          <cell r="P262">
            <v>5.2359999999999998</v>
          </cell>
          <cell r="Q262">
            <v>8.1639999999999997</v>
          </cell>
          <cell r="R262">
            <v>11.137</v>
          </cell>
          <cell r="S262">
            <v>12.69</v>
          </cell>
          <cell r="T262">
            <v>34.469000000000001</v>
          </cell>
        </row>
        <row r="263">
          <cell r="A263">
            <v>190</v>
          </cell>
          <cell r="B263">
            <v>218</v>
          </cell>
          <cell r="C263" t="str">
            <v>Ecuador</v>
          </cell>
          <cell r="D263">
            <v>0</v>
          </cell>
          <cell r="E263">
            <v>2</v>
          </cell>
          <cell r="F263" t="str">
            <v>Amro</v>
          </cell>
          <cell r="G263">
            <v>7</v>
          </cell>
          <cell r="H263" t="str">
            <v>lac</v>
          </cell>
          <cell r="I263">
            <v>1</v>
          </cell>
          <cell r="J263" t="str">
            <v>low and middle</v>
          </cell>
          <cell r="K263" t="str">
            <v>females</v>
          </cell>
          <cell r="L263" t="str">
            <v>1995-2000</v>
          </cell>
          <cell r="M263">
            <v>160.185</v>
          </cell>
          <cell r="N263">
            <v>40.335999999999999</v>
          </cell>
          <cell r="O263">
            <v>4.7219999999999995</v>
          </cell>
          <cell r="P263">
            <v>9.83</v>
          </cell>
          <cell r="Q263">
            <v>12.409000000000001</v>
          </cell>
          <cell r="R263">
            <v>16.48</v>
          </cell>
          <cell r="S263">
            <v>17.947000000000003</v>
          </cell>
          <cell r="T263">
            <v>58.460999999999999</v>
          </cell>
        </row>
        <row r="264">
          <cell r="A264">
            <v>178</v>
          </cell>
          <cell r="B264">
            <v>222</v>
          </cell>
          <cell r="C264" t="str">
            <v>El Salvador</v>
          </cell>
          <cell r="D264">
            <v>0</v>
          </cell>
          <cell r="E264">
            <v>2</v>
          </cell>
          <cell r="F264" t="str">
            <v>Amro</v>
          </cell>
          <cell r="G264">
            <v>7</v>
          </cell>
          <cell r="H264" t="str">
            <v>lac</v>
          </cell>
          <cell r="I264">
            <v>1</v>
          </cell>
          <cell r="J264" t="str">
            <v>low and middle</v>
          </cell>
          <cell r="K264" t="str">
            <v>females</v>
          </cell>
          <cell r="L264" t="str">
            <v>1995-2000</v>
          </cell>
          <cell r="M264">
            <v>82.933999999999997</v>
          </cell>
          <cell r="N264">
            <v>15.03</v>
          </cell>
          <cell r="O264">
            <v>2.2480000000000002</v>
          </cell>
          <cell r="P264">
            <v>6.2910000000000004</v>
          </cell>
          <cell r="Q264">
            <v>7.4689999999999994</v>
          </cell>
          <cell r="R264">
            <v>9.7810000000000006</v>
          </cell>
          <cell r="S264">
            <v>10.339</v>
          </cell>
          <cell r="T264">
            <v>31.776</v>
          </cell>
        </row>
        <row r="265">
          <cell r="A265">
            <v>31</v>
          </cell>
          <cell r="B265">
            <v>226</v>
          </cell>
          <cell r="C265" t="str">
            <v>Equatorial Guinea</v>
          </cell>
          <cell r="D265">
            <v>0</v>
          </cell>
          <cell r="E265">
            <v>1</v>
          </cell>
          <cell r="F265" t="str">
            <v>Afro</v>
          </cell>
          <cell r="G265">
            <v>6</v>
          </cell>
          <cell r="H265" t="str">
            <v>ssa</v>
          </cell>
          <cell r="I265">
            <v>1</v>
          </cell>
          <cell r="J265" t="str">
            <v>low and middle</v>
          </cell>
          <cell r="K265" t="str">
            <v>females</v>
          </cell>
          <cell r="L265" t="str">
            <v>1995-2000</v>
          </cell>
          <cell r="M265">
            <v>16.690999999999999</v>
          </cell>
          <cell r="N265">
            <v>7.31</v>
          </cell>
          <cell r="O265">
            <v>1.3959999999999999</v>
          </cell>
          <cell r="P265">
            <v>1.347</v>
          </cell>
          <cell r="Q265">
            <v>1.3089999999999999</v>
          </cell>
          <cell r="R265">
            <v>1.327</v>
          </cell>
          <cell r="S265">
            <v>1.3660000000000001</v>
          </cell>
          <cell r="T265">
            <v>2.6359999999999997</v>
          </cell>
        </row>
        <row r="266">
          <cell r="A266">
            <v>11</v>
          </cell>
          <cell r="B266">
            <v>231</v>
          </cell>
          <cell r="C266" t="str">
            <v>Ethiopia</v>
          </cell>
          <cell r="D266">
            <v>0</v>
          </cell>
          <cell r="E266">
            <v>1</v>
          </cell>
          <cell r="F266" t="str">
            <v>Afro</v>
          </cell>
          <cell r="G266">
            <v>6</v>
          </cell>
          <cell r="H266" t="str">
            <v>ssa</v>
          </cell>
          <cell r="I266">
            <v>1</v>
          </cell>
          <cell r="J266" t="str">
            <v>low and middle</v>
          </cell>
          <cell r="K266" t="str">
            <v>females</v>
          </cell>
          <cell r="L266" t="str">
            <v>1995-2000</v>
          </cell>
          <cell r="M266">
            <v>2829.9050000000002</v>
          </cell>
          <cell r="N266">
            <v>1153.8689999999999</v>
          </cell>
          <cell r="O266">
            <v>265.86</v>
          </cell>
          <cell r="P266">
            <v>267.685</v>
          </cell>
          <cell r="Q266">
            <v>375.39</v>
          </cell>
          <cell r="R266">
            <v>298.51800000000003</v>
          </cell>
          <cell r="S266">
            <v>182.53199999999998</v>
          </cell>
          <cell r="T266">
            <v>286.05100000000004</v>
          </cell>
        </row>
        <row r="267">
          <cell r="A267">
            <v>10</v>
          </cell>
          <cell r="B267">
            <v>232</v>
          </cell>
          <cell r="C267" t="str">
            <v>Eritrea</v>
          </cell>
          <cell r="D267">
            <v>0</v>
          </cell>
          <cell r="E267">
            <v>1</v>
          </cell>
          <cell r="F267" t="str">
            <v>Afro</v>
          </cell>
          <cell r="G267">
            <v>6</v>
          </cell>
          <cell r="H267" t="str">
            <v>ssa</v>
          </cell>
          <cell r="I267">
            <v>1</v>
          </cell>
          <cell r="J267" t="str">
            <v>low and middle</v>
          </cell>
          <cell r="K267" t="str">
            <v>females</v>
          </cell>
          <cell r="L267" t="str">
            <v>1995-2000</v>
          </cell>
          <cell r="M267">
            <v>120.968</v>
          </cell>
          <cell r="N267">
            <v>49.423000000000002</v>
          </cell>
          <cell r="O267">
            <v>10.34</v>
          </cell>
          <cell r="P267">
            <v>11.704000000000001</v>
          </cell>
          <cell r="Q267">
            <v>13.27</v>
          </cell>
          <cell r="R267">
            <v>12.462</v>
          </cell>
          <cell r="S267">
            <v>9.3719999999999999</v>
          </cell>
          <cell r="T267">
            <v>14.396999999999998</v>
          </cell>
        </row>
        <row r="268">
          <cell r="A268">
            <v>133</v>
          </cell>
          <cell r="B268">
            <v>233</v>
          </cell>
          <cell r="C268" t="str">
            <v>Estonia</v>
          </cell>
          <cell r="D268">
            <v>0</v>
          </cell>
          <cell r="E268">
            <v>4</v>
          </cell>
          <cell r="F268" t="str">
            <v>Euro</v>
          </cell>
          <cell r="G268">
            <v>2</v>
          </cell>
          <cell r="H268" t="str">
            <v>fse</v>
          </cell>
          <cell r="I268">
            <v>1</v>
          </cell>
          <cell r="J268" t="str">
            <v>low and middle</v>
          </cell>
          <cell r="K268" t="str">
            <v>females</v>
          </cell>
          <cell r="L268" t="str">
            <v>1995-2000</v>
          </cell>
          <cell r="M268">
            <v>48.936999999999998</v>
          </cell>
          <cell r="N268">
            <v>0.56399999999999995</v>
          </cell>
          <cell r="O268">
            <v>0.17</v>
          </cell>
          <cell r="P268">
            <v>0.50900000000000001</v>
          </cell>
          <cell r="Q268">
            <v>1.27</v>
          </cell>
          <cell r="R268">
            <v>3.8409999999999997</v>
          </cell>
          <cell r="S268">
            <v>7.9079999999999995</v>
          </cell>
          <cell r="T268">
            <v>34.674999999999997</v>
          </cell>
        </row>
        <row r="269">
          <cell r="A269">
            <v>205</v>
          </cell>
          <cell r="B269">
            <v>242</v>
          </cell>
          <cell r="C269" t="str">
            <v>Fiji</v>
          </cell>
          <cell r="D269">
            <v>0</v>
          </cell>
          <cell r="E269">
            <v>6</v>
          </cell>
          <cell r="F269" t="str">
            <v>Wpro</v>
          </cell>
          <cell r="G269">
            <v>5</v>
          </cell>
          <cell r="H269" t="str">
            <v>oai</v>
          </cell>
          <cell r="I269">
            <v>1</v>
          </cell>
          <cell r="J269" t="str">
            <v>low and middle</v>
          </cell>
          <cell r="K269" t="str">
            <v>females</v>
          </cell>
          <cell r="L269" t="str">
            <v>1995-2000</v>
          </cell>
          <cell r="M269">
            <v>7.5640000000000001</v>
          </cell>
          <cell r="N269">
            <v>0.76400000000000001</v>
          </cell>
          <cell r="O269">
            <v>9.4E-2</v>
          </cell>
          <cell r="P269">
            <v>0.26600000000000001</v>
          </cell>
          <cell r="Q269">
            <v>0.48299999999999998</v>
          </cell>
          <cell r="R269">
            <v>1.1179999999999999</v>
          </cell>
          <cell r="S269">
            <v>1.421</v>
          </cell>
          <cell r="T269">
            <v>3.4180000000000001</v>
          </cell>
        </row>
        <row r="270">
          <cell r="A270">
            <v>134</v>
          </cell>
          <cell r="B270">
            <v>246</v>
          </cell>
          <cell r="C270" t="str">
            <v>Finland</v>
          </cell>
          <cell r="D270">
            <v>0</v>
          </cell>
          <cell r="E270">
            <v>4</v>
          </cell>
          <cell r="F270" t="str">
            <v>Euro</v>
          </cell>
          <cell r="G270">
            <v>1</v>
          </cell>
          <cell r="H270" t="str">
            <v>eme</v>
          </cell>
          <cell r="I270">
            <v>4</v>
          </cell>
          <cell r="J270" t="str">
            <v>high</v>
          </cell>
          <cell r="K270" t="str">
            <v>females</v>
          </cell>
          <cell r="L270" t="str">
            <v>1995-2000</v>
          </cell>
          <cell r="M270">
            <v>125.008</v>
          </cell>
          <cell r="N270">
            <v>0.92</v>
          </cell>
          <cell r="O270">
            <v>0.16900000000000001</v>
          </cell>
          <cell r="P270">
            <v>0.82099999999999995</v>
          </cell>
          <cell r="Q270">
            <v>2.2039999999999997</v>
          </cell>
          <cell r="R270">
            <v>7.2249999999999996</v>
          </cell>
          <cell r="S270">
            <v>12.461</v>
          </cell>
          <cell r="T270">
            <v>101.208</v>
          </cell>
        </row>
        <row r="271">
          <cell r="A271">
            <v>157</v>
          </cell>
          <cell r="B271">
            <v>250</v>
          </cell>
          <cell r="C271" t="str">
            <v>France</v>
          </cell>
          <cell r="D271">
            <v>0</v>
          </cell>
          <cell r="E271">
            <v>4</v>
          </cell>
          <cell r="F271" t="str">
            <v>Euro</v>
          </cell>
          <cell r="G271">
            <v>1</v>
          </cell>
          <cell r="H271" t="str">
            <v>eme</v>
          </cell>
          <cell r="I271">
            <v>4</v>
          </cell>
          <cell r="J271" t="str">
            <v>high</v>
          </cell>
          <cell r="K271" t="str">
            <v>females</v>
          </cell>
          <cell r="L271" t="str">
            <v>1995-2000</v>
          </cell>
          <cell r="M271">
            <v>1302.8820000000001</v>
          </cell>
          <cell r="N271">
            <v>11.686999999999999</v>
          </cell>
          <cell r="O271">
            <v>2.4870000000000001</v>
          </cell>
          <cell r="P271">
            <v>11.984</v>
          </cell>
          <cell r="Q271">
            <v>31.364999999999998</v>
          </cell>
          <cell r="R271">
            <v>73.590999999999994</v>
          </cell>
          <cell r="S271">
            <v>114.98</v>
          </cell>
          <cell r="T271">
            <v>1056.788</v>
          </cell>
        </row>
        <row r="272">
          <cell r="A272">
            <v>213</v>
          </cell>
          <cell r="B272">
            <v>258</v>
          </cell>
          <cell r="C272" t="str">
            <v>French Polynesia</v>
          </cell>
          <cell r="G272">
            <v>5</v>
          </cell>
          <cell r="H272" t="str">
            <v>oai</v>
          </cell>
          <cell r="I272">
            <v>4</v>
          </cell>
          <cell r="J272" t="str">
            <v>high</v>
          </cell>
          <cell r="K272" t="str">
            <v>females</v>
          </cell>
          <cell r="L272" t="str">
            <v>1995-2000</v>
          </cell>
          <cell r="M272">
            <v>2.1640000000000001</v>
          </cell>
          <cell r="N272">
            <v>0.17899999999999999</v>
          </cell>
          <cell r="O272">
            <v>3.2000000000000001E-2</v>
          </cell>
          <cell r="P272">
            <v>7.3999999999999996E-2</v>
          </cell>
          <cell r="Q272">
            <v>0.15200000000000002</v>
          </cell>
          <cell r="R272">
            <v>0.36</v>
          </cell>
          <cell r="S272">
            <v>0.44</v>
          </cell>
          <cell r="T272">
            <v>0.92700000000000005</v>
          </cell>
        </row>
        <row r="273">
          <cell r="A273">
            <v>9</v>
          </cell>
          <cell r="B273">
            <v>262</v>
          </cell>
          <cell r="C273" t="str">
            <v>Djibouti</v>
          </cell>
          <cell r="D273">
            <v>0</v>
          </cell>
          <cell r="E273">
            <v>3</v>
          </cell>
          <cell r="F273" t="str">
            <v>Emro</v>
          </cell>
          <cell r="G273">
            <v>6</v>
          </cell>
          <cell r="H273" t="str">
            <v>ssa</v>
          </cell>
          <cell r="I273">
            <v>1</v>
          </cell>
          <cell r="J273" t="str">
            <v>low and middle</v>
          </cell>
          <cell r="K273" t="str">
            <v>females</v>
          </cell>
          <cell r="L273" t="str">
            <v>1995-2000</v>
          </cell>
          <cell r="M273">
            <v>21.989000000000001</v>
          </cell>
          <cell r="N273">
            <v>9.4079999999999995</v>
          </cell>
          <cell r="O273">
            <v>1.9430000000000001</v>
          </cell>
          <cell r="P273">
            <v>2.073</v>
          </cell>
          <cell r="Q273">
            <v>1.9729999999999999</v>
          </cell>
          <cell r="R273">
            <v>2.0150000000000001</v>
          </cell>
          <cell r="S273">
            <v>1.7909999999999999</v>
          </cell>
          <cell r="T273">
            <v>2.7859999999999996</v>
          </cell>
        </row>
        <row r="274">
          <cell r="A274">
            <v>32</v>
          </cell>
          <cell r="B274">
            <v>266</v>
          </cell>
          <cell r="C274" t="str">
            <v>Gabon</v>
          </cell>
          <cell r="D274">
            <v>0</v>
          </cell>
          <cell r="E274">
            <v>1</v>
          </cell>
          <cell r="F274" t="str">
            <v>Afro</v>
          </cell>
          <cell r="G274">
            <v>6</v>
          </cell>
          <cell r="H274" t="str">
            <v>ssa</v>
          </cell>
          <cell r="I274">
            <v>1</v>
          </cell>
          <cell r="J274" t="str">
            <v>low and middle</v>
          </cell>
          <cell r="K274" t="str">
            <v>females</v>
          </cell>
          <cell r="L274" t="str">
            <v>1995-2000</v>
          </cell>
          <cell r="M274">
            <v>44.860999999999997</v>
          </cell>
          <cell r="N274">
            <v>13.746</v>
          </cell>
          <cell r="O274">
            <v>2.976</v>
          </cell>
          <cell r="P274">
            <v>3.3220000000000001</v>
          </cell>
          <cell r="Q274">
            <v>4.3309999999999995</v>
          </cell>
          <cell r="R274">
            <v>5.077</v>
          </cell>
          <cell r="S274">
            <v>4.6080000000000005</v>
          </cell>
          <cell r="T274">
            <v>10.801</v>
          </cell>
        </row>
        <row r="275">
          <cell r="A275">
            <v>106</v>
          </cell>
          <cell r="B275">
            <v>268</v>
          </cell>
          <cell r="C275" t="str">
            <v>Georgia</v>
          </cell>
          <cell r="D275">
            <v>0</v>
          </cell>
          <cell r="E275">
            <v>4</v>
          </cell>
          <cell r="F275" t="str">
            <v>Euro</v>
          </cell>
          <cell r="G275">
            <v>8</v>
          </cell>
          <cell r="H275" t="str">
            <v>mec</v>
          </cell>
          <cell r="I275">
            <v>1</v>
          </cell>
          <cell r="J275" t="str">
            <v>low and middle</v>
          </cell>
          <cell r="K275" t="str">
            <v>females</v>
          </cell>
          <cell r="L275" t="str">
            <v>1995-2000</v>
          </cell>
          <cell r="M275">
            <v>116.68300000000001</v>
          </cell>
          <cell r="N275">
            <v>3.391</v>
          </cell>
          <cell r="O275">
            <v>0.42</v>
          </cell>
          <cell r="P275">
            <v>1.3679999999999999</v>
          </cell>
          <cell r="Q275">
            <v>3.2890000000000001</v>
          </cell>
          <cell r="R275">
            <v>9.1639999999999997</v>
          </cell>
          <cell r="S275">
            <v>20.433999999999997</v>
          </cell>
          <cell r="T275">
            <v>78.617000000000004</v>
          </cell>
        </row>
        <row r="276">
          <cell r="A276">
            <v>52</v>
          </cell>
          <cell r="B276">
            <v>270</v>
          </cell>
          <cell r="C276" t="str">
            <v>Gambia</v>
          </cell>
          <cell r="D276">
            <v>0</v>
          </cell>
          <cell r="E276">
            <v>1</v>
          </cell>
          <cell r="F276" t="str">
            <v>Afro</v>
          </cell>
          <cell r="G276">
            <v>6</v>
          </cell>
          <cell r="H276" t="str">
            <v>ssa</v>
          </cell>
          <cell r="I276">
            <v>1</v>
          </cell>
          <cell r="J276" t="str">
            <v>low and middle</v>
          </cell>
          <cell r="K276" t="str">
            <v>females</v>
          </cell>
          <cell r="L276" t="str">
            <v>1995-2000</v>
          </cell>
          <cell r="M276">
            <v>49.911999999999999</v>
          </cell>
          <cell r="N276">
            <v>23.344000000000001</v>
          </cell>
          <cell r="O276">
            <v>4.4000000000000004</v>
          </cell>
          <cell r="P276">
            <v>4.4090000000000007</v>
          </cell>
          <cell r="Q276">
            <v>4.8220000000000001</v>
          </cell>
          <cell r="R276">
            <v>4.3169999999999993</v>
          </cell>
          <cell r="S276">
            <v>3.5469999999999997</v>
          </cell>
          <cell r="T276">
            <v>5.0730000000000004</v>
          </cell>
        </row>
        <row r="277">
          <cell r="A277">
            <v>105</v>
          </cell>
          <cell r="B277">
            <v>274</v>
          </cell>
          <cell r="C277" t="str">
            <v>Gaza Strip</v>
          </cell>
          <cell r="G277">
            <v>8</v>
          </cell>
          <cell r="H277" t="str">
            <v>mec</v>
          </cell>
          <cell r="I277">
            <v>1</v>
          </cell>
          <cell r="J277" t="str">
            <v>low and middle</v>
          </cell>
          <cell r="K277" t="str">
            <v>females</v>
          </cell>
          <cell r="L277" t="str">
            <v>1995-2000</v>
          </cell>
          <cell r="M277">
            <v>9.843</v>
          </cell>
          <cell r="N277">
            <v>2.8039999999999998</v>
          </cell>
          <cell r="O277">
            <v>0.22900000000000001</v>
          </cell>
          <cell r="P277">
            <v>0.43600000000000005</v>
          </cell>
          <cell r="Q277">
            <v>0.48199999999999998</v>
          </cell>
          <cell r="R277">
            <v>0.92199999999999993</v>
          </cell>
          <cell r="S277">
            <v>1.4330000000000001</v>
          </cell>
          <cell r="T277">
            <v>3.5369999999999995</v>
          </cell>
        </row>
        <row r="278">
          <cell r="A278">
            <v>158</v>
          </cell>
          <cell r="B278">
            <v>276</v>
          </cell>
          <cell r="C278" t="str">
            <v>Germany</v>
          </cell>
          <cell r="D278">
            <v>0</v>
          </cell>
          <cell r="E278">
            <v>4</v>
          </cell>
          <cell r="F278" t="str">
            <v>Euro</v>
          </cell>
          <cell r="G278">
            <v>1</v>
          </cell>
          <cell r="H278" t="str">
            <v>eme</v>
          </cell>
          <cell r="I278">
            <v>4</v>
          </cell>
          <cell r="J278" t="str">
            <v>high</v>
          </cell>
          <cell r="K278" t="str">
            <v>females</v>
          </cell>
          <cell r="L278" t="str">
            <v>1995-2000</v>
          </cell>
          <cell r="M278">
            <v>2351.09</v>
          </cell>
          <cell r="N278">
            <v>10.788</v>
          </cell>
          <cell r="O278">
            <v>2.6020000000000003</v>
          </cell>
          <cell r="P278">
            <v>11.689</v>
          </cell>
          <cell r="Q278">
            <v>42.343000000000004</v>
          </cell>
          <cell r="R278">
            <v>132.62099999999998</v>
          </cell>
          <cell r="S278">
            <v>238.483</v>
          </cell>
          <cell r="T278">
            <v>1912.5640000000001</v>
          </cell>
        </row>
        <row r="279">
          <cell r="A279">
            <v>53</v>
          </cell>
          <cell r="B279">
            <v>288</v>
          </cell>
          <cell r="C279" t="str">
            <v>Ghana</v>
          </cell>
          <cell r="D279">
            <v>0</v>
          </cell>
          <cell r="E279">
            <v>1</v>
          </cell>
          <cell r="F279" t="str">
            <v>Afro</v>
          </cell>
          <cell r="G279">
            <v>6</v>
          </cell>
          <cell r="H279" t="str">
            <v>ssa</v>
          </cell>
          <cell r="I279">
            <v>1</v>
          </cell>
          <cell r="J279" t="str">
            <v>low and middle</v>
          </cell>
          <cell r="K279" t="str">
            <v>females</v>
          </cell>
          <cell r="L279" t="str">
            <v>1995-2000</v>
          </cell>
          <cell r="M279">
            <v>419.161</v>
          </cell>
          <cell r="N279">
            <v>166.08799999999999</v>
          </cell>
          <cell r="O279">
            <v>32.448</v>
          </cell>
          <cell r="P279">
            <v>37.353999999999999</v>
          </cell>
          <cell r="Q279">
            <v>35.156999999999996</v>
          </cell>
          <cell r="R279">
            <v>37.402999999999999</v>
          </cell>
          <cell r="S279">
            <v>36.224000000000004</v>
          </cell>
          <cell r="T279">
            <v>74.487000000000009</v>
          </cell>
        </row>
        <row r="280">
          <cell r="A280">
            <v>146</v>
          </cell>
          <cell r="B280">
            <v>300</v>
          </cell>
          <cell r="C280" t="str">
            <v>Greece</v>
          </cell>
          <cell r="D280">
            <v>0</v>
          </cell>
          <cell r="E280">
            <v>4</v>
          </cell>
          <cell r="F280" t="str">
            <v>Euro</v>
          </cell>
          <cell r="G280">
            <v>1</v>
          </cell>
          <cell r="H280" t="str">
            <v>eme</v>
          </cell>
          <cell r="I280">
            <v>4</v>
          </cell>
          <cell r="J280" t="str">
            <v>high</v>
          </cell>
          <cell r="K280" t="str">
            <v>females</v>
          </cell>
          <cell r="L280" t="str">
            <v>1995-2000</v>
          </cell>
          <cell r="M280">
            <v>240.309</v>
          </cell>
          <cell r="N280">
            <v>2.0419999999999998</v>
          </cell>
          <cell r="O280">
            <v>0.26</v>
          </cell>
          <cell r="P280">
            <v>1.66</v>
          </cell>
          <cell r="Q280">
            <v>3.4950000000000001</v>
          </cell>
          <cell r="R280">
            <v>11.582000000000001</v>
          </cell>
          <cell r="S280">
            <v>26.918999999999997</v>
          </cell>
          <cell r="T280">
            <v>194.351</v>
          </cell>
        </row>
        <row r="281">
          <cell r="A281">
            <v>168</v>
          </cell>
          <cell r="B281">
            <v>312</v>
          </cell>
          <cell r="C281" t="str">
            <v>Guadeloupe</v>
          </cell>
          <cell r="G281">
            <v>7</v>
          </cell>
          <cell r="H281" t="str">
            <v>lac</v>
          </cell>
          <cell r="I281">
            <v>1</v>
          </cell>
          <cell r="J281" t="str">
            <v>low and middle</v>
          </cell>
          <cell r="K281" t="str">
            <v>females</v>
          </cell>
          <cell r="L281" t="str">
            <v>1995-2000</v>
          </cell>
          <cell r="M281">
            <v>5.7030000000000003</v>
          </cell>
          <cell r="N281">
            <v>0.159</v>
          </cell>
          <cell r="O281">
            <v>1.7000000000000001E-2</v>
          </cell>
          <cell r="P281">
            <v>9.4E-2</v>
          </cell>
          <cell r="Q281">
            <v>0.36899999999999999</v>
          </cell>
          <cell r="R281">
            <v>0.45500000000000002</v>
          </cell>
          <cell r="S281">
            <v>0.70399999999999996</v>
          </cell>
          <cell r="T281">
            <v>3.9049999999999998</v>
          </cell>
        </row>
        <row r="282">
          <cell r="A282">
            <v>211</v>
          </cell>
          <cell r="B282">
            <v>316</v>
          </cell>
          <cell r="C282" t="str">
            <v>Guam</v>
          </cell>
          <cell r="G282">
            <v>5</v>
          </cell>
          <cell r="H282" t="str">
            <v>oai</v>
          </cell>
          <cell r="I282">
            <v>4</v>
          </cell>
          <cell r="J282" t="str">
            <v>high</v>
          </cell>
          <cell r="K282" t="str">
            <v>females</v>
          </cell>
          <cell r="L282" t="str">
            <v>1995-2000</v>
          </cell>
          <cell r="M282">
            <v>1.452</v>
          </cell>
          <cell r="N282">
            <v>0.126</v>
          </cell>
          <cell r="O282">
            <v>1.8000000000000002E-2</v>
          </cell>
          <cell r="P282">
            <v>5.8000000000000003E-2</v>
          </cell>
          <cell r="Q282">
            <v>0.128</v>
          </cell>
          <cell r="R282">
            <v>0.23700000000000002</v>
          </cell>
          <cell r="S282">
            <v>0.27300000000000002</v>
          </cell>
          <cell r="T282">
            <v>0.6120000000000001</v>
          </cell>
        </row>
        <row r="283">
          <cell r="A283">
            <v>179</v>
          </cell>
          <cell r="B283">
            <v>320</v>
          </cell>
          <cell r="C283" t="str">
            <v>Guatemala</v>
          </cell>
          <cell r="D283">
            <v>0</v>
          </cell>
          <cell r="E283">
            <v>2</v>
          </cell>
          <cell r="F283" t="str">
            <v>Amro</v>
          </cell>
          <cell r="G283">
            <v>7</v>
          </cell>
          <cell r="H283" t="str">
            <v>lac</v>
          </cell>
          <cell r="I283">
            <v>1</v>
          </cell>
          <cell r="J283" t="str">
            <v>low and middle</v>
          </cell>
          <cell r="K283" t="str">
            <v>females</v>
          </cell>
          <cell r="L283" t="str">
            <v>1995-2000</v>
          </cell>
          <cell r="M283">
            <v>169.44499999999999</v>
          </cell>
          <cell r="N283">
            <v>54.070999999999998</v>
          </cell>
          <cell r="O283">
            <v>7.4770000000000003</v>
          </cell>
          <cell r="P283">
            <v>13.192</v>
          </cell>
          <cell r="Q283">
            <v>15.343</v>
          </cell>
          <cell r="R283">
            <v>18.440999999999999</v>
          </cell>
          <cell r="S283">
            <v>19.861000000000001</v>
          </cell>
          <cell r="T283">
            <v>41.06</v>
          </cell>
        </row>
        <row r="284">
          <cell r="A284">
            <v>54</v>
          </cell>
          <cell r="B284">
            <v>324</v>
          </cell>
          <cell r="C284" t="str">
            <v>Guinea</v>
          </cell>
          <cell r="D284">
            <v>0</v>
          </cell>
          <cell r="E284">
            <v>1</v>
          </cell>
          <cell r="F284" t="str">
            <v>Afro</v>
          </cell>
          <cell r="G284">
            <v>6</v>
          </cell>
          <cell r="H284" t="str">
            <v>ssa</v>
          </cell>
          <cell r="I284">
            <v>1</v>
          </cell>
          <cell r="J284" t="str">
            <v>low and middle</v>
          </cell>
          <cell r="K284" t="str">
            <v>females</v>
          </cell>
          <cell r="L284" t="str">
            <v>1995-2000</v>
          </cell>
          <cell r="M284">
            <v>314.59399999999999</v>
          </cell>
          <cell r="N284">
            <v>155.69999999999999</v>
          </cell>
          <cell r="O284">
            <v>32.517000000000003</v>
          </cell>
          <cell r="P284">
            <v>29.058</v>
          </cell>
          <cell r="Q284">
            <v>25.611000000000001</v>
          </cell>
          <cell r="R284">
            <v>22.278000000000002</v>
          </cell>
          <cell r="S284">
            <v>19.679000000000002</v>
          </cell>
          <cell r="T284">
            <v>29.751000000000001</v>
          </cell>
        </row>
        <row r="285">
          <cell r="A285">
            <v>191</v>
          </cell>
          <cell r="B285">
            <v>328</v>
          </cell>
          <cell r="C285" t="str">
            <v>Guyana</v>
          </cell>
          <cell r="D285">
            <v>0</v>
          </cell>
          <cell r="E285">
            <v>2</v>
          </cell>
          <cell r="F285" t="str">
            <v>Amro</v>
          </cell>
          <cell r="G285">
            <v>7</v>
          </cell>
          <cell r="H285" t="str">
            <v>lac</v>
          </cell>
          <cell r="I285">
            <v>1</v>
          </cell>
          <cell r="J285" t="str">
            <v>low and middle</v>
          </cell>
          <cell r="K285" t="str">
            <v>females</v>
          </cell>
          <cell r="L285" t="str">
            <v>1995-2000</v>
          </cell>
          <cell r="M285">
            <v>13.504</v>
          </cell>
          <cell r="N285">
            <v>2.9649999999999999</v>
          </cell>
          <cell r="O285">
            <v>0.36799999999999999</v>
          </cell>
          <cell r="P285">
            <v>0.77500000000000002</v>
          </cell>
          <cell r="Q285">
            <v>1.335</v>
          </cell>
          <cell r="R285">
            <v>1.6779999999999999</v>
          </cell>
          <cell r="S285">
            <v>1.9160000000000001</v>
          </cell>
          <cell r="T285">
            <v>4.4669999999999996</v>
          </cell>
        </row>
        <row r="286">
          <cell r="A286">
            <v>169</v>
          </cell>
          <cell r="B286">
            <v>332</v>
          </cell>
          <cell r="C286" t="str">
            <v>Haiti</v>
          </cell>
          <cell r="D286">
            <v>0</v>
          </cell>
          <cell r="E286">
            <v>2</v>
          </cell>
          <cell r="F286" t="str">
            <v>Amro</v>
          </cell>
          <cell r="G286">
            <v>7</v>
          </cell>
          <cell r="H286" t="str">
            <v>lac</v>
          </cell>
          <cell r="I286">
            <v>1</v>
          </cell>
          <cell r="J286" t="str">
            <v>low and middle</v>
          </cell>
          <cell r="K286" t="str">
            <v>females</v>
          </cell>
          <cell r="L286" t="str">
            <v>1995-2000</v>
          </cell>
          <cell r="M286">
            <v>230.511</v>
          </cell>
          <cell r="N286">
            <v>60.780999999999999</v>
          </cell>
          <cell r="O286">
            <v>14.8</v>
          </cell>
          <cell r="P286">
            <v>22.257000000000001</v>
          </cell>
          <cell r="Q286">
            <v>28.802</v>
          </cell>
          <cell r="R286">
            <v>31.914999999999999</v>
          </cell>
          <cell r="S286">
            <v>25.457000000000001</v>
          </cell>
          <cell r="T286">
            <v>46.499000000000002</v>
          </cell>
        </row>
        <row r="287">
          <cell r="A287">
            <v>180</v>
          </cell>
          <cell r="B287">
            <v>340</v>
          </cell>
          <cell r="C287" t="str">
            <v>Honduras</v>
          </cell>
          <cell r="D287">
            <v>0</v>
          </cell>
          <cell r="E287">
            <v>2</v>
          </cell>
          <cell r="F287" t="str">
            <v>Amro</v>
          </cell>
          <cell r="G287">
            <v>7</v>
          </cell>
          <cell r="H287" t="str">
            <v>lac</v>
          </cell>
          <cell r="I287">
            <v>1</v>
          </cell>
          <cell r="J287" t="str">
            <v>low and middle</v>
          </cell>
          <cell r="K287" t="str">
            <v>females</v>
          </cell>
          <cell r="L287" t="str">
            <v>1995-2000</v>
          </cell>
          <cell r="M287">
            <v>72.552000000000007</v>
          </cell>
          <cell r="N287">
            <v>21.716999999999999</v>
          </cell>
          <cell r="O287">
            <v>3.6180000000000003</v>
          </cell>
          <cell r="P287">
            <v>6.2089999999999996</v>
          </cell>
          <cell r="Q287">
            <v>7.1610000000000005</v>
          </cell>
          <cell r="R287">
            <v>7.270999999999999</v>
          </cell>
          <cell r="S287">
            <v>7.0129999999999999</v>
          </cell>
          <cell r="T287">
            <v>19.562999999999999</v>
          </cell>
        </row>
        <row r="288">
          <cell r="A288">
            <v>67</v>
          </cell>
          <cell r="B288">
            <v>344</v>
          </cell>
          <cell r="C288" t="str">
            <v>China, Hong Kong SAR (6)</v>
          </cell>
          <cell r="G288">
            <v>5</v>
          </cell>
          <cell r="H288" t="str">
            <v>oai</v>
          </cell>
          <cell r="I288">
            <v>4</v>
          </cell>
          <cell r="J288" t="str">
            <v>high</v>
          </cell>
          <cell r="K288" t="str">
            <v>females</v>
          </cell>
          <cell r="L288" t="str">
            <v>1995-2000</v>
          </cell>
          <cell r="M288">
            <v>81.885000000000005</v>
          </cell>
          <cell r="N288">
            <v>1.069</v>
          </cell>
          <cell r="O288">
            <v>0.28899999999999998</v>
          </cell>
          <cell r="P288">
            <v>1.034</v>
          </cell>
          <cell r="Q288">
            <v>2.98</v>
          </cell>
          <cell r="R288">
            <v>6.0579999999999998</v>
          </cell>
          <cell r="S288">
            <v>12.059000000000001</v>
          </cell>
          <cell r="T288">
            <v>58.396000000000001</v>
          </cell>
        </row>
        <row r="289">
          <cell r="A289">
            <v>124</v>
          </cell>
          <cell r="B289">
            <v>348</v>
          </cell>
          <cell r="C289" t="str">
            <v>Hungary</v>
          </cell>
          <cell r="D289">
            <v>0</v>
          </cell>
          <cell r="E289">
            <v>4</v>
          </cell>
          <cell r="F289" t="str">
            <v>Euro</v>
          </cell>
          <cell r="G289">
            <v>2</v>
          </cell>
          <cell r="H289" t="str">
            <v>fse</v>
          </cell>
          <cell r="I289">
            <v>1</v>
          </cell>
          <cell r="J289" t="str">
            <v>low and middle</v>
          </cell>
          <cell r="K289" t="str">
            <v>females</v>
          </cell>
          <cell r="L289" t="str">
            <v>1995-2000</v>
          </cell>
          <cell r="M289">
            <v>336.09300000000002</v>
          </cell>
          <cell r="N289">
            <v>2.5830000000000002</v>
          </cell>
          <cell r="O289">
            <v>0.48899999999999999</v>
          </cell>
          <cell r="P289">
            <v>2.1269999999999998</v>
          </cell>
          <cell r="Q289">
            <v>10.622</v>
          </cell>
          <cell r="R289">
            <v>34.444000000000003</v>
          </cell>
          <cell r="S289">
            <v>52.283000000000001</v>
          </cell>
          <cell r="T289">
            <v>233.54499999999999</v>
          </cell>
        </row>
        <row r="290">
          <cell r="A290">
            <v>135</v>
          </cell>
          <cell r="B290">
            <v>352</v>
          </cell>
          <cell r="C290" t="str">
            <v>Iceland</v>
          </cell>
          <cell r="D290">
            <v>0</v>
          </cell>
          <cell r="E290">
            <v>4</v>
          </cell>
          <cell r="F290" t="str">
            <v>Euro</v>
          </cell>
          <cell r="G290">
            <v>1</v>
          </cell>
          <cell r="H290" t="str">
            <v>eme</v>
          </cell>
          <cell r="I290">
            <v>4</v>
          </cell>
          <cell r="J290" t="str">
            <v>high</v>
          </cell>
          <cell r="K290" t="str">
            <v>females</v>
          </cell>
          <cell r="L290" t="str">
            <v>1995-2000</v>
          </cell>
          <cell r="M290">
            <v>4.3650000000000002</v>
          </cell>
          <cell r="N290">
            <v>6.2E-2</v>
          </cell>
          <cell r="O290">
            <v>1.3000000000000001E-2</v>
          </cell>
          <cell r="P290">
            <v>0.04</v>
          </cell>
          <cell r="Q290">
            <v>0.10700000000000001</v>
          </cell>
          <cell r="R290">
            <v>0.32599999999999996</v>
          </cell>
          <cell r="S290">
            <v>0.47600000000000003</v>
          </cell>
          <cell r="T290">
            <v>3.3409999999999997</v>
          </cell>
        </row>
        <row r="291">
          <cell r="A291">
            <v>77</v>
          </cell>
          <cell r="B291">
            <v>356</v>
          </cell>
          <cell r="C291" t="str">
            <v>India</v>
          </cell>
          <cell r="D291">
            <v>0</v>
          </cell>
          <cell r="E291">
            <v>5</v>
          </cell>
          <cell r="F291" t="str">
            <v>Searo</v>
          </cell>
          <cell r="G291">
            <v>3</v>
          </cell>
          <cell r="H291" t="str">
            <v>ind</v>
          </cell>
          <cell r="I291">
            <v>6</v>
          </cell>
          <cell r="J291" t="str">
            <v>ind</v>
          </cell>
          <cell r="K291" t="str">
            <v>females</v>
          </cell>
          <cell r="L291" t="str">
            <v>1995-2000</v>
          </cell>
          <cell r="M291">
            <v>21035.724999999999</v>
          </cell>
          <cell r="N291">
            <v>6184.7089999999998</v>
          </cell>
          <cell r="O291">
            <v>1393.6489999999999</v>
          </cell>
          <cell r="P291">
            <v>1276.9080000000001</v>
          </cell>
          <cell r="Q291">
            <v>1295.9490000000001</v>
          </cell>
          <cell r="R291">
            <v>2217.5039999999999</v>
          </cell>
          <cell r="S291">
            <v>2884.4049999999997</v>
          </cell>
          <cell r="T291">
            <v>5782.6009999999997</v>
          </cell>
        </row>
        <row r="292">
          <cell r="A292">
            <v>92</v>
          </cell>
          <cell r="B292">
            <v>360</v>
          </cell>
          <cell r="C292" t="str">
            <v>Indonesia</v>
          </cell>
          <cell r="D292">
            <v>0</v>
          </cell>
          <cell r="E292">
            <v>5</v>
          </cell>
          <cell r="F292" t="str">
            <v>Searo</v>
          </cell>
          <cell r="G292">
            <v>5</v>
          </cell>
          <cell r="H292" t="str">
            <v>oai</v>
          </cell>
          <cell r="I292">
            <v>1</v>
          </cell>
          <cell r="J292" t="str">
            <v>low and middle</v>
          </cell>
          <cell r="K292" t="str">
            <v>females</v>
          </cell>
          <cell r="L292" t="str">
            <v>1995-2000</v>
          </cell>
          <cell r="M292">
            <v>3600.3879999999999</v>
          </cell>
          <cell r="N292">
            <v>647.13599999999997</v>
          </cell>
          <cell r="O292">
            <v>96.551999999999992</v>
          </cell>
          <cell r="P292">
            <v>264.024</v>
          </cell>
          <cell r="Q292">
            <v>333.06400000000002</v>
          </cell>
          <cell r="R292">
            <v>489.50700000000001</v>
          </cell>
          <cell r="S292">
            <v>575.78899999999999</v>
          </cell>
          <cell r="T292">
            <v>1194.3159999999998</v>
          </cell>
        </row>
        <row r="293">
          <cell r="A293">
            <v>78</v>
          </cell>
          <cell r="B293">
            <v>364</v>
          </cell>
          <cell r="C293" t="str">
            <v>Iran (Islamic Republic of)</v>
          </cell>
          <cell r="D293">
            <v>0</v>
          </cell>
          <cell r="E293">
            <v>3</v>
          </cell>
          <cell r="F293" t="str">
            <v>Emro</v>
          </cell>
          <cell r="G293">
            <v>8</v>
          </cell>
          <cell r="H293" t="str">
            <v>mec</v>
          </cell>
          <cell r="I293">
            <v>1</v>
          </cell>
          <cell r="J293" t="str">
            <v>low and middle</v>
          </cell>
          <cell r="K293" t="str">
            <v>females</v>
          </cell>
          <cell r="L293" t="str">
            <v>1995-2000</v>
          </cell>
          <cell r="M293">
            <v>844.63199999999995</v>
          </cell>
          <cell r="N293">
            <v>191.46600000000001</v>
          </cell>
          <cell r="O293">
            <v>46.097999999999999</v>
          </cell>
          <cell r="P293">
            <v>59.835000000000001</v>
          </cell>
          <cell r="Q293">
            <v>59.313999999999993</v>
          </cell>
          <cell r="R293">
            <v>90.604000000000013</v>
          </cell>
          <cell r="S293">
            <v>132.02100000000002</v>
          </cell>
          <cell r="T293">
            <v>265.29399999999998</v>
          </cell>
        </row>
        <row r="294">
          <cell r="A294">
            <v>107</v>
          </cell>
          <cell r="B294">
            <v>368</v>
          </cell>
          <cell r="C294" t="str">
            <v>Iraq</v>
          </cell>
          <cell r="D294">
            <v>0</v>
          </cell>
          <cell r="E294">
            <v>3</v>
          </cell>
          <cell r="F294" t="str">
            <v>Emro</v>
          </cell>
          <cell r="G294">
            <v>8</v>
          </cell>
          <cell r="H294" t="str">
            <v>mec</v>
          </cell>
          <cell r="I294">
            <v>1</v>
          </cell>
          <cell r="J294" t="str">
            <v>low and middle</v>
          </cell>
          <cell r="K294" t="str">
            <v>females</v>
          </cell>
          <cell r="L294" t="str">
            <v>1995-2000</v>
          </cell>
          <cell r="M294">
            <v>429.661</v>
          </cell>
          <cell r="N294">
            <v>211.934</v>
          </cell>
          <cell r="O294">
            <v>13.68</v>
          </cell>
          <cell r="P294">
            <v>22.640999999999998</v>
          </cell>
          <cell r="Q294">
            <v>28.537000000000003</v>
          </cell>
          <cell r="R294">
            <v>40.411000000000001</v>
          </cell>
          <cell r="S294">
            <v>38.319000000000003</v>
          </cell>
          <cell r="T294">
            <v>74.138999999999996</v>
          </cell>
        </row>
        <row r="295">
          <cell r="A295">
            <v>136</v>
          </cell>
          <cell r="B295">
            <v>372</v>
          </cell>
          <cell r="C295" t="str">
            <v>Ireland</v>
          </cell>
          <cell r="D295">
            <v>0</v>
          </cell>
          <cell r="E295">
            <v>4</v>
          </cell>
          <cell r="F295" t="str">
            <v>Euro</v>
          </cell>
          <cell r="G295">
            <v>1</v>
          </cell>
          <cell r="H295" t="str">
            <v>eme</v>
          </cell>
          <cell r="I295">
            <v>4</v>
          </cell>
          <cell r="J295" t="str">
            <v>high</v>
          </cell>
          <cell r="K295" t="str">
            <v>females</v>
          </cell>
          <cell r="L295" t="str">
            <v>1995-2000</v>
          </cell>
          <cell r="M295">
            <v>72.825000000000003</v>
          </cell>
          <cell r="N295">
            <v>0.95199999999999996</v>
          </cell>
          <cell r="O295">
            <v>0.15</v>
          </cell>
          <cell r="P295">
            <v>0.59299999999999997</v>
          </cell>
          <cell r="Q295">
            <v>1.282</v>
          </cell>
          <cell r="R295">
            <v>5.056</v>
          </cell>
          <cell r="S295">
            <v>8.6120000000000001</v>
          </cell>
          <cell r="T295">
            <v>56.18</v>
          </cell>
        </row>
        <row r="296">
          <cell r="A296">
            <v>108</v>
          </cell>
          <cell r="B296">
            <v>376</v>
          </cell>
          <cell r="C296" t="str">
            <v>Israel</v>
          </cell>
          <cell r="D296">
            <v>0</v>
          </cell>
          <cell r="E296">
            <v>4</v>
          </cell>
          <cell r="F296" t="str">
            <v>Euro</v>
          </cell>
          <cell r="G296">
            <v>8</v>
          </cell>
          <cell r="H296" t="str">
            <v>mec</v>
          </cell>
          <cell r="I296">
            <v>4</v>
          </cell>
          <cell r="J296" t="str">
            <v>high</v>
          </cell>
          <cell r="K296" t="str">
            <v>females</v>
          </cell>
          <cell r="L296" t="str">
            <v>1995-2000</v>
          </cell>
          <cell r="M296">
            <v>88.224000000000004</v>
          </cell>
          <cell r="N296">
            <v>2.6640000000000001</v>
          </cell>
          <cell r="O296">
            <v>0.40600000000000003</v>
          </cell>
          <cell r="P296">
            <v>0.90500000000000003</v>
          </cell>
          <cell r="Q296">
            <v>2.1539999999999999</v>
          </cell>
          <cell r="R296">
            <v>6.165</v>
          </cell>
          <cell r="S296">
            <v>11.911000000000001</v>
          </cell>
          <cell r="T296">
            <v>64.019000000000005</v>
          </cell>
        </row>
        <row r="297">
          <cell r="A297">
            <v>147</v>
          </cell>
          <cell r="B297">
            <v>380</v>
          </cell>
          <cell r="C297" t="str">
            <v>Italy</v>
          </cell>
          <cell r="D297">
            <v>0</v>
          </cell>
          <cell r="E297">
            <v>4</v>
          </cell>
          <cell r="F297" t="str">
            <v>Euro</v>
          </cell>
          <cell r="G297">
            <v>1</v>
          </cell>
          <cell r="H297" t="str">
            <v>eme</v>
          </cell>
          <cell r="I297">
            <v>4</v>
          </cell>
          <cell r="J297" t="str">
            <v>high</v>
          </cell>
          <cell r="K297" t="str">
            <v>females</v>
          </cell>
          <cell r="L297" t="str">
            <v>1995-2000</v>
          </cell>
          <cell r="M297">
            <v>1439.72</v>
          </cell>
          <cell r="N297">
            <v>10.409000000000001</v>
          </cell>
          <cell r="O297">
            <v>2.4750000000000001</v>
          </cell>
          <cell r="P297">
            <v>8.2170000000000005</v>
          </cell>
          <cell r="Q297">
            <v>21.826000000000001</v>
          </cell>
          <cell r="R297">
            <v>75.016999999999996</v>
          </cell>
          <cell r="S297">
            <v>150.49099999999999</v>
          </cell>
          <cell r="T297">
            <v>1171.2850000000001</v>
          </cell>
        </row>
        <row r="298">
          <cell r="A298">
            <v>51</v>
          </cell>
          <cell r="B298">
            <v>384</v>
          </cell>
          <cell r="C298" t="str">
            <v>Cote d'Ivoire</v>
          </cell>
          <cell r="D298">
            <v>0</v>
          </cell>
          <cell r="E298">
            <v>1</v>
          </cell>
          <cell r="F298" t="str">
            <v>Afro</v>
          </cell>
          <cell r="G298">
            <v>6</v>
          </cell>
          <cell r="H298" t="str">
            <v>ssa</v>
          </cell>
          <cell r="I298">
            <v>1</v>
          </cell>
          <cell r="J298" t="str">
            <v>low and middle</v>
          </cell>
          <cell r="K298" t="str">
            <v>females</v>
          </cell>
          <cell r="L298" t="str">
            <v>1995-2000</v>
          </cell>
          <cell r="M298">
            <v>539.63300000000004</v>
          </cell>
          <cell r="N298">
            <v>171.89500000000001</v>
          </cell>
          <cell r="O298">
            <v>46.173999999999999</v>
          </cell>
          <cell r="P298">
            <v>62.344999999999999</v>
          </cell>
          <cell r="Q298">
            <v>94.1</v>
          </cell>
          <cell r="R298">
            <v>71.558999999999997</v>
          </cell>
          <cell r="S298">
            <v>39.103999999999999</v>
          </cell>
          <cell r="T298">
            <v>54.455999999999996</v>
          </cell>
        </row>
        <row r="299">
          <cell r="A299">
            <v>170</v>
          </cell>
          <cell r="B299">
            <v>388</v>
          </cell>
          <cell r="C299" t="str">
            <v>Jamaica</v>
          </cell>
          <cell r="D299">
            <v>0</v>
          </cell>
          <cell r="E299">
            <v>2</v>
          </cell>
          <cell r="F299" t="str">
            <v>Amro</v>
          </cell>
          <cell r="G299">
            <v>7</v>
          </cell>
          <cell r="H299" t="str">
            <v>lac</v>
          </cell>
          <cell r="I299">
            <v>1</v>
          </cell>
          <cell r="J299" t="str">
            <v>low and middle</v>
          </cell>
          <cell r="K299" t="str">
            <v>females</v>
          </cell>
          <cell r="L299" t="str">
            <v>1995-2000</v>
          </cell>
          <cell r="M299">
            <v>36.042999999999999</v>
          </cell>
          <cell r="N299">
            <v>3.4089999999999998</v>
          </cell>
          <cell r="O299">
            <v>0.35399999999999998</v>
          </cell>
          <cell r="P299">
            <v>0.65700000000000003</v>
          </cell>
          <cell r="Q299">
            <v>1.3639999999999999</v>
          </cell>
          <cell r="R299">
            <v>2.4590000000000001</v>
          </cell>
          <cell r="S299">
            <v>4.0579999999999998</v>
          </cell>
          <cell r="T299">
            <v>23.741999999999997</v>
          </cell>
        </row>
        <row r="300">
          <cell r="A300">
            <v>69</v>
          </cell>
          <cell r="B300">
            <v>392</v>
          </cell>
          <cell r="C300" t="str">
            <v>Japan</v>
          </cell>
          <cell r="D300">
            <v>0</v>
          </cell>
          <cell r="E300">
            <v>6</v>
          </cell>
          <cell r="F300" t="str">
            <v>Wpro</v>
          </cell>
          <cell r="G300">
            <v>1</v>
          </cell>
          <cell r="H300" t="str">
            <v>eme</v>
          </cell>
          <cell r="I300">
            <v>4</v>
          </cell>
          <cell r="J300" t="str">
            <v>high</v>
          </cell>
          <cell r="K300" t="str">
            <v>females</v>
          </cell>
          <cell r="L300" t="str">
            <v>1995-2000</v>
          </cell>
          <cell r="M300">
            <v>2373.875</v>
          </cell>
          <cell r="N300">
            <v>16.138000000000002</v>
          </cell>
          <cell r="O300">
            <v>3.6909999999999998</v>
          </cell>
          <cell r="P300">
            <v>17.785</v>
          </cell>
          <cell r="Q300">
            <v>42.561</v>
          </cell>
          <cell r="R300">
            <v>169.81099999999998</v>
          </cell>
          <cell r="S300">
            <v>260.76</v>
          </cell>
          <cell r="T300">
            <v>1863.1290000000001</v>
          </cell>
        </row>
        <row r="301">
          <cell r="A301">
            <v>79</v>
          </cell>
          <cell r="B301">
            <v>398</v>
          </cell>
          <cell r="C301" t="str">
            <v>Kazakhstan</v>
          </cell>
          <cell r="D301">
            <v>0</v>
          </cell>
          <cell r="E301">
            <v>4</v>
          </cell>
          <cell r="F301" t="str">
            <v>Euro</v>
          </cell>
          <cell r="G301">
            <v>8</v>
          </cell>
          <cell r="H301" t="str">
            <v>mec</v>
          </cell>
          <cell r="I301">
            <v>1</v>
          </cell>
          <cell r="J301" t="str">
            <v>low and middle</v>
          </cell>
          <cell r="K301" t="str">
            <v>females</v>
          </cell>
          <cell r="L301" t="str">
            <v>1995-2000</v>
          </cell>
          <cell r="M301">
            <v>323.416</v>
          </cell>
          <cell r="N301">
            <v>26.478999999999999</v>
          </cell>
          <cell r="O301">
            <v>3.31</v>
          </cell>
          <cell r="P301">
            <v>9.3209999999999997</v>
          </cell>
          <cell r="Q301">
            <v>17.193999999999999</v>
          </cell>
          <cell r="R301">
            <v>36.561</v>
          </cell>
          <cell r="S301">
            <v>55.808</v>
          </cell>
          <cell r="T301">
            <v>174.74300000000002</v>
          </cell>
        </row>
        <row r="302">
          <cell r="A302">
            <v>109</v>
          </cell>
          <cell r="B302">
            <v>400</v>
          </cell>
          <cell r="C302" t="str">
            <v>Jordan</v>
          </cell>
          <cell r="D302">
            <v>0</v>
          </cell>
          <cell r="E302">
            <v>3</v>
          </cell>
          <cell r="F302" t="str">
            <v>Emro</v>
          </cell>
          <cell r="G302">
            <v>8</v>
          </cell>
          <cell r="H302" t="str">
            <v>mec</v>
          </cell>
          <cell r="I302">
            <v>1</v>
          </cell>
          <cell r="J302" t="str">
            <v>low and middle</v>
          </cell>
          <cell r="K302" t="str">
            <v>females</v>
          </cell>
          <cell r="L302" t="str">
            <v>1995-2000</v>
          </cell>
          <cell r="M302">
            <v>64.694999999999993</v>
          </cell>
          <cell r="N302">
            <v>16.207000000000001</v>
          </cell>
          <cell r="O302">
            <v>1.8340000000000001</v>
          </cell>
          <cell r="P302">
            <v>4.0180000000000007</v>
          </cell>
          <cell r="Q302">
            <v>4.7690000000000001</v>
          </cell>
          <cell r="R302">
            <v>7.6829999999999998</v>
          </cell>
          <cell r="S302">
            <v>8.84</v>
          </cell>
          <cell r="T302">
            <v>21.343999999999998</v>
          </cell>
        </row>
        <row r="303">
          <cell r="A303">
            <v>12</v>
          </cell>
          <cell r="B303">
            <v>404</v>
          </cell>
          <cell r="C303" t="str">
            <v>Kenya</v>
          </cell>
          <cell r="D303">
            <v>0</v>
          </cell>
          <cell r="E303">
            <v>1</v>
          </cell>
          <cell r="F303" t="str">
            <v>Afro</v>
          </cell>
          <cell r="G303">
            <v>6</v>
          </cell>
          <cell r="H303" t="str">
            <v>ssa</v>
          </cell>
          <cell r="I303">
            <v>1</v>
          </cell>
          <cell r="J303" t="str">
            <v>low and middle</v>
          </cell>
          <cell r="K303" t="str">
            <v>females</v>
          </cell>
          <cell r="L303" t="str">
            <v>1995-2000</v>
          </cell>
          <cell r="M303">
            <v>857.69500000000005</v>
          </cell>
          <cell r="N303">
            <v>250.001</v>
          </cell>
          <cell r="O303">
            <v>66.855999999999995</v>
          </cell>
          <cell r="P303">
            <v>101.071</v>
          </cell>
          <cell r="Q303">
            <v>151.584</v>
          </cell>
          <cell r="R303">
            <v>108.895</v>
          </cell>
          <cell r="S303">
            <v>57.84</v>
          </cell>
          <cell r="T303">
            <v>121.44799999999999</v>
          </cell>
        </row>
        <row r="304">
          <cell r="A304">
            <v>68</v>
          </cell>
          <cell r="B304">
            <v>408</v>
          </cell>
          <cell r="C304" t="str">
            <v>Dem. People's Rep. of Korea</v>
          </cell>
          <cell r="D304">
            <v>0</v>
          </cell>
          <cell r="E304">
            <v>5</v>
          </cell>
          <cell r="F304" t="str">
            <v>Searo</v>
          </cell>
          <cell r="G304">
            <v>5</v>
          </cell>
          <cell r="H304" t="str">
            <v>oai</v>
          </cell>
          <cell r="I304">
            <v>1</v>
          </cell>
          <cell r="J304" t="str">
            <v>low and middle</v>
          </cell>
          <cell r="K304" t="str">
            <v>females</v>
          </cell>
          <cell r="L304" t="str">
            <v>1995-2000</v>
          </cell>
          <cell r="M304">
            <v>298.09199999999998</v>
          </cell>
          <cell r="N304">
            <v>28.934999999999999</v>
          </cell>
          <cell r="O304">
            <v>1.95</v>
          </cell>
          <cell r="P304">
            <v>7.7690000000000001</v>
          </cell>
          <cell r="Q304">
            <v>18.262</v>
          </cell>
          <cell r="R304">
            <v>37.316000000000003</v>
          </cell>
          <cell r="S304">
            <v>53.125</v>
          </cell>
          <cell r="T304">
            <v>150.73500000000001</v>
          </cell>
        </row>
        <row r="305">
          <cell r="A305">
            <v>72</v>
          </cell>
          <cell r="B305">
            <v>410</v>
          </cell>
          <cell r="C305" t="str">
            <v>Republic of Korea</v>
          </cell>
          <cell r="D305">
            <v>0</v>
          </cell>
          <cell r="E305">
            <v>6</v>
          </cell>
          <cell r="F305" t="str">
            <v>Wpro</v>
          </cell>
          <cell r="G305">
            <v>5</v>
          </cell>
          <cell r="H305" t="str">
            <v>oai</v>
          </cell>
          <cell r="I305">
            <v>4</v>
          </cell>
          <cell r="J305" t="str">
            <v>high</v>
          </cell>
          <cell r="K305" t="str">
            <v>females</v>
          </cell>
          <cell r="L305" t="str">
            <v>1995-2000</v>
          </cell>
          <cell r="M305">
            <v>628.44399999999996</v>
          </cell>
          <cell r="N305">
            <v>21.640999999999998</v>
          </cell>
          <cell r="O305">
            <v>6.0739999999999998</v>
          </cell>
          <cell r="P305">
            <v>19.318999999999999</v>
          </cell>
          <cell r="Q305">
            <v>40.745999999999995</v>
          </cell>
          <cell r="R305">
            <v>78.864999999999995</v>
          </cell>
          <cell r="S305">
            <v>111.09299999999999</v>
          </cell>
          <cell r="T305">
            <v>350.70600000000002</v>
          </cell>
        </row>
        <row r="306">
          <cell r="A306">
            <v>110</v>
          </cell>
          <cell r="B306">
            <v>414</v>
          </cell>
          <cell r="C306" t="str">
            <v>Kuwait</v>
          </cell>
          <cell r="D306">
            <v>0</v>
          </cell>
          <cell r="E306">
            <v>3</v>
          </cell>
          <cell r="F306" t="str">
            <v>Emro</v>
          </cell>
          <cell r="G306">
            <v>8</v>
          </cell>
          <cell r="H306" t="str">
            <v>mec</v>
          </cell>
          <cell r="I306">
            <v>4</v>
          </cell>
          <cell r="J306" t="str">
            <v>high</v>
          </cell>
          <cell r="K306" t="str">
            <v>females</v>
          </cell>
          <cell r="L306" t="str">
            <v>1995-2000</v>
          </cell>
          <cell r="M306">
            <v>8.0259999999999998</v>
          </cell>
          <cell r="N306">
            <v>1.4279999999999999</v>
          </cell>
          <cell r="O306">
            <v>0.184</v>
          </cell>
          <cell r="P306">
            <v>0.26800000000000002</v>
          </cell>
          <cell r="Q306">
            <v>0.58099999999999996</v>
          </cell>
          <cell r="R306">
            <v>1.4590000000000001</v>
          </cell>
          <cell r="S306">
            <v>1.274</v>
          </cell>
          <cell r="T306">
            <v>2.8319999999999999</v>
          </cell>
        </row>
        <row r="307">
          <cell r="A307">
            <v>80</v>
          </cell>
          <cell r="B307">
            <v>417</v>
          </cell>
          <cell r="C307" t="str">
            <v>Kyrgyzstan</v>
          </cell>
          <cell r="D307">
            <v>0</v>
          </cell>
          <cell r="E307">
            <v>4</v>
          </cell>
          <cell r="F307" t="str">
            <v>Euro</v>
          </cell>
          <cell r="G307">
            <v>8</v>
          </cell>
          <cell r="H307" t="str">
            <v>mec</v>
          </cell>
          <cell r="I307">
            <v>1</v>
          </cell>
          <cell r="J307" t="str">
            <v>low and middle</v>
          </cell>
          <cell r="K307" t="str">
            <v>females</v>
          </cell>
          <cell r="L307" t="str">
            <v>1995-2000</v>
          </cell>
          <cell r="M307">
            <v>78.254999999999995</v>
          </cell>
          <cell r="N307">
            <v>12.769</v>
          </cell>
          <cell r="O307">
            <v>1.3340000000000001</v>
          </cell>
          <cell r="P307">
            <v>2.7439999999999998</v>
          </cell>
          <cell r="Q307">
            <v>4.7789999999999999</v>
          </cell>
          <cell r="R307">
            <v>7.0360000000000005</v>
          </cell>
          <cell r="S307">
            <v>11.815</v>
          </cell>
          <cell r="T307">
            <v>37.778000000000006</v>
          </cell>
        </row>
        <row r="308">
          <cell r="A308">
            <v>93</v>
          </cell>
          <cell r="B308">
            <v>418</v>
          </cell>
          <cell r="C308" t="str">
            <v>Lao People's Dem. Republic</v>
          </cell>
          <cell r="D308">
            <v>0</v>
          </cell>
          <cell r="E308">
            <v>6</v>
          </cell>
          <cell r="F308" t="str">
            <v>Wpro</v>
          </cell>
          <cell r="G308">
            <v>5</v>
          </cell>
          <cell r="H308" t="str">
            <v>oai</v>
          </cell>
          <cell r="I308">
            <v>1</v>
          </cell>
          <cell r="J308" t="str">
            <v>low and middle</v>
          </cell>
          <cell r="K308" t="str">
            <v>females</v>
          </cell>
          <cell r="L308" t="str">
            <v>1995-2000</v>
          </cell>
          <cell r="M308">
            <v>163.28800000000001</v>
          </cell>
          <cell r="N308">
            <v>72.602999999999994</v>
          </cell>
          <cell r="O308">
            <v>14.36</v>
          </cell>
          <cell r="P308">
            <v>13.931000000000001</v>
          </cell>
          <cell r="Q308">
            <v>13.67</v>
          </cell>
          <cell r="R308">
            <v>13.584</v>
          </cell>
          <cell r="S308">
            <v>12.966000000000001</v>
          </cell>
          <cell r="T308">
            <v>22.173999999999999</v>
          </cell>
        </row>
        <row r="309">
          <cell r="A309">
            <v>111</v>
          </cell>
          <cell r="B309">
            <v>422</v>
          </cell>
          <cell r="C309" t="str">
            <v>Lebanon</v>
          </cell>
          <cell r="D309">
            <v>0</v>
          </cell>
          <cell r="E309">
            <v>3</v>
          </cell>
          <cell r="F309" t="str">
            <v>Emro</v>
          </cell>
          <cell r="G309">
            <v>8</v>
          </cell>
          <cell r="H309" t="str">
            <v>mec</v>
          </cell>
          <cell r="I309">
            <v>1</v>
          </cell>
          <cell r="J309" t="str">
            <v>low and middle</v>
          </cell>
          <cell r="K309" t="str">
            <v>females</v>
          </cell>
          <cell r="L309" t="str">
            <v>1995-2000</v>
          </cell>
          <cell r="M309">
            <v>48.28</v>
          </cell>
          <cell r="N309">
            <v>5.75</v>
          </cell>
          <cell r="O309">
            <v>0.72299999999999998</v>
          </cell>
          <cell r="P309">
            <v>2.11</v>
          </cell>
          <cell r="Q309">
            <v>3.3050000000000002</v>
          </cell>
          <cell r="R309">
            <v>5.0880000000000001</v>
          </cell>
          <cell r="S309">
            <v>8.1310000000000002</v>
          </cell>
          <cell r="T309">
            <v>23.172999999999998</v>
          </cell>
        </row>
        <row r="310">
          <cell r="A310">
            <v>43</v>
          </cell>
          <cell r="B310">
            <v>426</v>
          </cell>
          <cell r="C310" t="str">
            <v>Lesotho</v>
          </cell>
          <cell r="D310">
            <v>0</v>
          </cell>
          <cell r="E310">
            <v>1</v>
          </cell>
          <cell r="F310" t="str">
            <v>Afro</v>
          </cell>
          <cell r="G310">
            <v>6</v>
          </cell>
          <cell r="H310" t="str">
            <v>ssa</v>
          </cell>
          <cell r="I310">
            <v>1</v>
          </cell>
          <cell r="J310" t="str">
            <v>low and middle</v>
          </cell>
          <cell r="K310" t="str">
            <v>females</v>
          </cell>
          <cell r="L310" t="str">
            <v>1995-2000</v>
          </cell>
          <cell r="M310">
            <v>61.194000000000003</v>
          </cell>
          <cell r="N310">
            <v>22.556999999999999</v>
          </cell>
          <cell r="O310">
            <v>2.778</v>
          </cell>
          <cell r="P310">
            <v>4.274</v>
          </cell>
          <cell r="Q310">
            <v>6.9950000000000001</v>
          </cell>
          <cell r="R310">
            <v>6.7210000000000001</v>
          </cell>
          <cell r="S310">
            <v>5.6210000000000004</v>
          </cell>
          <cell r="T310">
            <v>12.247999999999999</v>
          </cell>
        </row>
        <row r="311">
          <cell r="A311">
            <v>137</v>
          </cell>
          <cell r="B311">
            <v>428</v>
          </cell>
          <cell r="C311" t="str">
            <v>Latvia</v>
          </cell>
          <cell r="D311">
            <v>0</v>
          </cell>
          <cell r="E311">
            <v>4</v>
          </cell>
          <cell r="F311" t="str">
            <v>Euro</v>
          </cell>
          <cell r="G311">
            <v>2</v>
          </cell>
          <cell r="H311" t="str">
            <v>fse</v>
          </cell>
          <cell r="I311">
            <v>1</v>
          </cell>
          <cell r="J311" t="str">
            <v>low and middle</v>
          </cell>
          <cell r="K311" t="str">
            <v>females</v>
          </cell>
          <cell r="L311" t="str">
            <v>1995-2000</v>
          </cell>
          <cell r="M311">
            <v>86.465000000000003</v>
          </cell>
          <cell r="N311">
            <v>0.98599999999999999</v>
          </cell>
          <cell r="O311">
            <v>0.29899999999999999</v>
          </cell>
          <cell r="P311">
            <v>0.878</v>
          </cell>
          <cell r="Q311">
            <v>2.367</v>
          </cell>
          <cell r="R311">
            <v>7.4339999999999993</v>
          </cell>
          <cell r="S311">
            <v>13.591999999999999</v>
          </cell>
          <cell r="T311">
            <v>60.908999999999999</v>
          </cell>
        </row>
        <row r="312">
          <cell r="A312">
            <v>56</v>
          </cell>
          <cell r="B312">
            <v>430</v>
          </cell>
          <cell r="C312" t="str">
            <v>Liberia</v>
          </cell>
          <cell r="D312">
            <v>0</v>
          </cell>
          <cell r="E312">
            <v>1</v>
          </cell>
          <cell r="F312" t="str">
            <v>Afro</v>
          </cell>
          <cell r="G312">
            <v>6</v>
          </cell>
          <cell r="H312" t="str">
            <v>ssa</v>
          </cell>
          <cell r="I312">
            <v>1</v>
          </cell>
          <cell r="J312" t="str">
            <v>low and middle</v>
          </cell>
          <cell r="K312" t="str">
            <v>females</v>
          </cell>
          <cell r="L312" t="str">
            <v>1995-2000</v>
          </cell>
          <cell r="M312">
            <v>103.667</v>
          </cell>
          <cell r="N312">
            <v>45.994999999999997</v>
          </cell>
          <cell r="O312">
            <v>8.51</v>
          </cell>
          <cell r="P312">
            <v>10.643000000000001</v>
          </cell>
          <cell r="Q312">
            <v>8.8919999999999995</v>
          </cell>
          <cell r="R312">
            <v>9.6509999999999998</v>
          </cell>
          <cell r="S312">
            <v>7.7880000000000003</v>
          </cell>
          <cell r="T312">
            <v>12.188000000000001</v>
          </cell>
        </row>
        <row r="313">
          <cell r="A313">
            <v>36</v>
          </cell>
          <cell r="B313">
            <v>434</v>
          </cell>
          <cell r="C313" t="str">
            <v>Libyan Arab Jamahiriya</v>
          </cell>
          <cell r="D313">
            <v>0</v>
          </cell>
          <cell r="E313">
            <v>3</v>
          </cell>
          <cell r="F313" t="str">
            <v>Emro</v>
          </cell>
          <cell r="G313">
            <v>8</v>
          </cell>
          <cell r="H313" t="str">
            <v>mec</v>
          </cell>
          <cell r="I313">
            <v>1</v>
          </cell>
          <cell r="J313" t="str">
            <v>low and middle</v>
          </cell>
          <cell r="K313" t="str">
            <v>females</v>
          </cell>
          <cell r="L313" t="str">
            <v>1995-2000</v>
          </cell>
          <cell r="M313">
            <v>49.847999999999999</v>
          </cell>
          <cell r="N313">
            <v>11.672000000000001</v>
          </cell>
          <cell r="O313">
            <v>1.0609999999999999</v>
          </cell>
          <cell r="P313">
            <v>2.8090000000000002</v>
          </cell>
          <cell r="Q313">
            <v>3.9360000000000004</v>
          </cell>
          <cell r="R313">
            <v>7.7010000000000005</v>
          </cell>
          <cell r="S313">
            <v>7.742</v>
          </cell>
          <cell r="T313">
            <v>14.927000000000001</v>
          </cell>
        </row>
        <row r="314">
          <cell r="A314">
            <v>138</v>
          </cell>
          <cell r="B314">
            <v>440</v>
          </cell>
          <cell r="C314" t="str">
            <v>Lithuania</v>
          </cell>
          <cell r="D314">
            <v>0</v>
          </cell>
          <cell r="E314">
            <v>4</v>
          </cell>
          <cell r="F314" t="str">
            <v>Euro</v>
          </cell>
          <cell r="G314">
            <v>2</v>
          </cell>
          <cell r="H314" t="str">
            <v>fse</v>
          </cell>
          <cell r="I314">
            <v>1</v>
          </cell>
          <cell r="J314" t="str">
            <v>low and middle</v>
          </cell>
          <cell r="K314" t="str">
            <v>females</v>
          </cell>
          <cell r="L314" t="str">
            <v>1995-2000</v>
          </cell>
          <cell r="M314">
            <v>104.23099999999999</v>
          </cell>
          <cell r="N314">
            <v>1.7450000000000001</v>
          </cell>
          <cell r="O314">
            <v>0.435</v>
          </cell>
          <cell r="P314">
            <v>1.0510000000000002</v>
          </cell>
          <cell r="Q314">
            <v>3.7320000000000002</v>
          </cell>
          <cell r="R314">
            <v>9.3960000000000008</v>
          </cell>
          <cell r="S314">
            <v>16.613</v>
          </cell>
          <cell r="T314">
            <v>71.259</v>
          </cell>
        </row>
        <row r="315">
          <cell r="A315">
            <v>159</v>
          </cell>
          <cell r="B315">
            <v>442</v>
          </cell>
          <cell r="C315" t="str">
            <v>Luxembourg</v>
          </cell>
          <cell r="D315">
            <v>0</v>
          </cell>
          <cell r="E315">
            <v>4</v>
          </cell>
          <cell r="F315" t="str">
            <v>Euro</v>
          </cell>
          <cell r="G315">
            <v>1</v>
          </cell>
          <cell r="H315" t="str">
            <v>eme</v>
          </cell>
          <cell r="I315">
            <v>4</v>
          </cell>
          <cell r="J315" t="str">
            <v>high</v>
          </cell>
          <cell r="K315" t="str">
            <v>females</v>
          </cell>
          <cell r="L315" t="str">
            <v>1995-2000</v>
          </cell>
          <cell r="M315">
            <v>9.9529999999999994</v>
          </cell>
          <cell r="N315">
            <v>9.8000000000000004E-2</v>
          </cell>
          <cell r="O315">
            <v>1.3000000000000001E-2</v>
          </cell>
          <cell r="P315">
            <v>0.06</v>
          </cell>
          <cell r="Q315">
            <v>0.188</v>
          </cell>
          <cell r="R315">
            <v>0.60899999999999999</v>
          </cell>
          <cell r="S315">
            <v>1.052</v>
          </cell>
          <cell r="T315">
            <v>7.9329999999999998</v>
          </cell>
        </row>
        <row r="316">
          <cell r="A316">
            <v>70</v>
          </cell>
          <cell r="B316">
            <v>446</v>
          </cell>
          <cell r="C316" t="str">
            <v>Macau</v>
          </cell>
          <cell r="G316">
            <v>5</v>
          </cell>
          <cell r="H316" t="str">
            <v>oai</v>
          </cell>
          <cell r="I316">
            <v>4</v>
          </cell>
          <cell r="J316" t="str">
            <v>high</v>
          </cell>
          <cell r="K316" t="str">
            <v>females</v>
          </cell>
          <cell r="L316" t="str">
            <v>1995-2000</v>
          </cell>
          <cell r="M316">
            <v>4.8490000000000002</v>
          </cell>
          <cell r="N316">
            <v>0.153</v>
          </cell>
          <cell r="O316">
            <v>1.7000000000000001E-2</v>
          </cell>
          <cell r="P316">
            <v>6.9000000000000006E-2</v>
          </cell>
          <cell r="Q316">
            <v>0.254</v>
          </cell>
          <cell r="R316">
            <v>0.38400000000000001</v>
          </cell>
          <cell r="S316">
            <v>0.58699999999999997</v>
          </cell>
          <cell r="T316">
            <v>3.3849999999999998</v>
          </cell>
        </row>
        <row r="317">
          <cell r="A317">
            <v>13</v>
          </cell>
          <cell r="B317">
            <v>450</v>
          </cell>
          <cell r="C317" t="str">
            <v>Madagascar</v>
          </cell>
          <cell r="D317">
            <v>0</v>
          </cell>
          <cell r="E317">
            <v>1</v>
          </cell>
          <cell r="F317" t="str">
            <v>Afro</v>
          </cell>
          <cell r="G317">
            <v>6</v>
          </cell>
          <cell r="H317" t="str">
            <v>ssa</v>
          </cell>
          <cell r="I317">
            <v>1</v>
          </cell>
          <cell r="J317" t="str">
            <v>low and middle</v>
          </cell>
          <cell r="K317" t="str">
            <v>females</v>
          </cell>
          <cell r="L317" t="str">
            <v>1995-2000</v>
          </cell>
          <cell r="M317">
            <v>382.43200000000002</v>
          </cell>
          <cell r="N317">
            <v>163.66399999999999</v>
          </cell>
          <cell r="O317">
            <v>19.780999999999999</v>
          </cell>
          <cell r="P317">
            <v>33.363</v>
          </cell>
          <cell r="Q317">
            <v>34.457000000000001</v>
          </cell>
          <cell r="R317">
            <v>34.928000000000004</v>
          </cell>
          <cell r="S317">
            <v>33.361000000000004</v>
          </cell>
          <cell r="T317">
            <v>62.878</v>
          </cell>
        </row>
        <row r="318">
          <cell r="A318">
            <v>14</v>
          </cell>
          <cell r="B318">
            <v>454</v>
          </cell>
          <cell r="C318" t="str">
            <v>Malawi</v>
          </cell>
          <cell r="D318">
            <v>0</v>
          </cell>
          <cell r="E318">
            <v>1</v>
          </cell>
          <cell r="F318" t="str">
            <v>Afro</v>
          </cell>
          <cell r="G318">
            <v>6</v>
          </cell>
          <cell r="H318" t="str">
            <v>ssa</v>
          </cell>
          <cell r="I318">
            <v>1</v>
          </cell>
          <cell r="J318" t="str">
            <v>low and middle</v>
          </cell>
          <cell r="K318" t="str">
            <v>females</v>
          </cell>
          <cell r="L318" t="str">
            <v>1995-2000</v>
          </cell>
          <cell r="M318">
            <v>600.90499999999997</v>
          </cell>
          <cell r="N318">
            <v>266.95800000000003</v>
          </cell>
          <cell r="O318">
            <v>58.25</v>
          </cell>
          <cell r="P318">
            <v>53.150999999999996</v>
          </cell>
          <cell r="Q318">
            <v>83.284999999999997</v>
          </cell>
          <cell r="R318">
            <v>62.612000000000009</v>
          </cell>
          <cell r="S318">
            <v>32.08</v>
          </cell>
          <cell r="T318">
            <v>44.56900000000001</v>
          </cell>
        </row>
        <row r="319">
          <cell r="A319">
            <v>94</v>
          </cell>
          <cell r="B319">
            <v>458</v>
          </cell>
          <cell r="C319" t="str">
            <v>Malaysia</v>
          </cell>
          <cell r="D319">
            <v>0</v>
          </cell>
          <cell r="E319">
            <v>6</v>
          </cell>
          <cell r="F319" t="str">
            <v>Wpro</v>
          </cell>
          <cell r="G319">
            <v>5</v>
          </cell>
          <cell r="H319" t="str">
            <v>oai</v>
          </cell>
          <cell r="I319">
            <v>1</v>
          </cell>
          <cell r="J319" t="str">
            <v>low and middle</v>
          </cell>
          <cell r="K319" t="str">
            <v>females</v>
          </cell>
          <cell r="L319" t="str">
            <v>1995-2000</v>
          </cell>
          <cell r="M319">
            <v>221.364</v>
          </cell>
          <cell r="N319">
            <v>17.239000000000001</v>
          </cell>
          <cell r="O319">
            <v>3.48</v>
          </cell>
          <cell r="P319">
            <v>7.6470000000000002</v>
          </cell>
          <cell r="Q319">
            <v>15.016000000000002</v>
          </cell>
          <cell r="R319">
            <v>30.079000000000001</v>
          </cell>
          <cell r="S319">
            <v>42.420999999999999</v>
          </cell>
          <cell r="T319">
            <v>105.482</v>
          </cell>
        </row>
        <row r="320">
          <cell r="A320">
            <v>81</v>
          </cell>
          <cell r="B320">
            <v>462</v>
          </cell>
          <cell r="C320" t="str">
            <v>Maldives</v>
          </cell>
          <cell r="D320">
            <v>0</v>
          </cell>
          <cell r="E320">
            <v>5</v>
          </cell>
          <cell r="F320" t="str">
            <v>Searo</v>
          </cell>
          <cell r="G320">
            <v>5</v>
          </cell>
          <cell r="H320" t="str">
            <v>oai</v>
          </cell>
          <cell r="I320">
            <v>1</v>
          </cell>
          <cell r="J320" t="str">
            <v>low and middle</v>
          </cell>
          <cell r="K320" t="str">
            <v>females</v>
          </cell>
          <cell r="L320" t="str">
            <v>1995-2000</v>
          </cell>
          <cell r="M320">
            <v>5.056</v>
          </cell>
          <cell r="N320">
            <v>1.8340000000000001</v>
          </cell>
          <cell r="O320">
            <v>0.26100000000000001</v>
          </cell>
          <cell r="P320">
            <v>0.43</v>
          </cell>
          <cell r="Q320">
            <v>0.42400000000000004</v>
          </cell>
          <cell r="R320">
            <v>0.47299999999999998</v>
          </cell>
          <cell r="S320">
            <v>0.53600000000000003</v>
          </cell>
          <cell r="T320">
            <v>1.0979999999999999</v>
          </cell>
        </row>
        <row r="321">
          <cell r="A321">
            <v>57</v>
          </cell>
          <cell r="B321">
            <v>466</v>
          </cell>
          <cell r="C321" t="str">
            <v>Mali</v>
          </cell>
          <cell r="D321">
            <v>0</v>
          </cell>
          <cell r="E321">
            <v>1</v>
          </cell>
          <cell r="F321" t="str">
            <v>Afro</v>
          </cell>
          <cell r="G321">
            <v>6</v>
          </cell>
          <cell r="H321" t="str">
            <v>ssa</v>
          </cell>
          <cell r="I321">
            <v>1</v>
          </cell>
          <cell r="J321" t="str">
            <v>low and middle</v>
          </cell>
          <cell r="K321" t="str">
            <v>females</v>
          </cell>
          <cell r="L321" t="str">
            <v>1995-2000</v>
          </cell>
          <cell r="M321">
            <v>409.87400000000002</v>
          </cell>
          <cell r="N321">
            <v>270.53300000000002</v>
          </cell>
          <cell r="O321">
            <v>26.565000000000001</v>
          </cell>
          <cell r="P321">
            <v>26.113</v>
          </cell>
          <cell r="Q321">
            <v>18.513999999999999</v>
          </cell>
          <cell r="R321">
            <v>15.724</v>
          </cell>
          <cell r="S321">
            <v>15.702999999999999</v>
          </cell>
          <cell r="T321">
            <v>36.722000000000001</v>
          </cell>
        </row>
        <row r="322">
          <cell r="A322">
            <v>148</v>
          </cell>
          <cell r="B322">
            <v>470</v>
          </cell>
          <cell r="C322" t="str">
            <v>Malta</v>
          </cell>
          <cell r="D322">
            <v>0</v>
          </cell>
          <cell r="E322">
            <v>4</v>
          </cell>
          <cell r="F322" t="str">
            <v>Euro</v>
          </cell>
          <cell r="G322">
            <v>8</v>
          </cell>
          <cell r="H322" t="str">
            <v>mec</v>
          </cell>
          <cell r="I322">
            <v>1</v>
          </cell>
          <cell r="J322" t="str">
            <v>low and middle</v>
          </cell>
          <cell r="K322" t="str">
            <v>females</v>
          </cell>
          <cell r="L322" t="str">
            <v>1995-2000</v>
          </cell>
          <cell r="M322">
            <v>7.2169999999999996</v>
          </cell>
          <cell r="N322">
            <v>9.2999999999999999E-2</v>
          </cell>
          <cell r="O322">
            <v>1.3999999999999999E-2</v>
          </cell>
          <cell r="P322">
            <v>3.5000000000000003E-2</v>
          </cell>
          <cell r="Q322">
            <v>0.11100000000000002</v>
          </cell>
          <cell r="R322">
            <v>0.52899999999999991</v>
          </cell>
          <cell r="S322">
            <v>0.96</v>
          </cell>
          <cell r="T322">
            <v>5.4749999999999996</v>
          </cell>
        </row>
        <row r="323">
          <cell r="A323">
            <v>171</v>
          </cell>
          <cell r="B323">
            <v>474</v>
          </cell>
          <cell r="C323" t="str">
            <v>Martinique</v>
          </cell>
          <cell r="G323">
            <v>7</v>
          </cell>
          <cell r="H323" t="str">
            <v>lac</v>
          </cell>
          <cell r="I323">
            <v>4</v>
          </cell>
          <cell r="J323" t="str">
            <v>high</v>
          </cell>
          <cell r="K323" t="str">
            <v>females</v>
          </cell>
          <cell r="L323" t="str">
            <v>1995-2000</v>
          </cell>
          <cell r="M323">
            <v>5.6349999999999998</v>
          </cell>
          <cell r="N323">
            <v>0.12</v>
          </cell>
          <cell r="O323">
            <v>1.7000000000000001E-2</v>
          </cell>
          <cell r="P323">
            <v>9.7000000000000003E-2</v>
          </cell>
          <cell r="Q323">
            <v>0.21200000000000002</v>
          </cell>
          <cell r="R323">
            <v>0.435</v>
          </cell>
          <cell r="S323">
            <v>0.72199999999999998</v>
          </cell>
          <cell r="T323">
            <v>4.032</v>
          </cell>
        </row>
        <row r="324">
          <cell r="A324">
            <v>58</v>
          </cell>
          <cell r="B324">
            <v>478</v>
          </cell>
          <cell r="C324" t="str">
            <v>Mauritania</v>
          </cell>
          <cell r="D324">
            <v>0</v>
          </cell>
          <cell r="E324">
            <v>1</v>
          </cell>
          <cell r="F324" t="str">
            <v>Afro</v>
          </cell>
          <cell r="G324">
            <v>6</v>
          </cell>
          <cell r="H324" t="str">
            <v>ssa</v>
          </cell>
          <cell r="I324">
            <v>1</v>
          </cell>
          <cell r="J324" t="str">
            <v>low and middle</v>
          </cell>
          <cell r="K324" t="str">
            <v>females</v>
          </cell>
          <cell r="L324" t="str">
            <v>1995-2000</v>
          </cell>
          <cell r="M324">
            <v>79.582999999999998</v>
          </cell>
          <cell r="N324">
            <v>35.186</v>
          </cell>
          <cell r="O324">
            <v>6.7469999999999999</v>
          </cell>
          <cell r="P324">
            <v>7.0580000000000007</v>
          </cell>
          <cell r="Q324">
            <v>6.5350000000000001</v>
          </cell>
          <cell r="R324">
            <v>6.141</v>
          </cell>
          <cell r="S324">
            <v>6.1929999999999996</v>
          </cell>
          <cell r="T324">
            <v>11.723000000000001</v>
          </cell>
        </row>
        <row r="325">
          <cell r="A325">
            <v>15</v>
          </cell>
          <cell r="B325">
            <v>480</v>
          </cell>
          <cell r="C325" t="str">
            <v>Mauritius (2)</v>
          </cell>
          <cell r="D325">
            <v>0</v>
          </cell>
          <cell r="E325">
            <v>1</v>
          </cell>
          <cell r="F325" t="str">
            <v>Afro</v>
          </cell>
          <cell r="G325">
            <v>5</v>
          </cell>
          <cell r="H325" t="str">
            <v>oai</v>
          </cell>
          <cell r="I325">
            <v>1</v>
          </cell>
          <cell r="J325" t="str">
            <v>low and middle</v>
          </cell>
          <cell r="K325" t="str">
            <v>females</v>
          </cell>
          <cell r="L325" t="str">
            <v>1995-2000</v>
          </cell>
          <cell r="M325">
            <v>15.901999999999999</v>
          </cell>
          <cell r="N325">
            <v>0.628</v>
          </cell>
          <cell r="O325">
            <v>0.10299999999999999</v>
          </cell>
          <cell r="P325">
            <v>0.36299999999999999</v>
          </cell>
          <cell r="Q325">
            <v>0.89300000000000002</v>
          </cell>
          <cell r="R325">
            <v>2.1470000000000002</v>
          </cell>
          <cell r="S325">
            <v>2.92</v>
          </cell>
          <cell r="T325">
            <v>8.8480000000000008</v>
          </cell>
        </row>
        <row r="326">
          <cell r="A326">
            <v>181</v>
          </cell>
          <cell r="B326">
            <v>484</v>
          </cell>
          <cell r="C326" t="str">
            <v>Mexico</v>
          </cell>
          <cell r="D326">
            <v>0</v>
          </cell>
          <cell r="E326">
            <v>2</v>
          </cell>
          <cell r="F326" t="str">
            <v>Amro</v>
          </cell>
          <cell r="G326">
            <v>7</v>
          </cell>
          <cell r="H326" t="str">
            <v>lac</v>
          </cell>
          <cell r="I326">
            <v>1</v>
          </cell>
          <cell r="J326" t="str">
            <v>low and middle</v>
          </cell>
          <cell r="K326" t="str">
            <v>females</v>
          </cell>
          <cell r="L326" t="str">
            <v>1995-2000</v>
          </cell>
          <cell r="M326">
            <v>1046.7080000000001</v>
          </cell>
          <cell r="N326">
            <v>198.43600000000001</v>
          </cell>
          <cell r="O326">
            <v>20.213999999999999</v>
          </cell>
          <cell r="P326">
            <v>46.786999999999999</v>
          </cell>
          <cell r="Q326">
            <v>70.611000000000004</v>
          </cell>
          <cell r="R326">
            <v>125.99199999999999</v>
          </cell>
          <cell r="S326">
            <v>138.6</v>
          </cell>
          <cell r="T326">
            <v>446.06799999999998</v>
          </cell>
        </row>
        <row r="327">
          <cell r="A327">
            <v>71</v>
          </cell>
          <cell r="B327">
            <v>496</v>
          </cell>
          <cell r="C327" t="str">
            <v>Mongolia</v>
          </cell>
          <cell r="D327">
            <v>0</v>
          </cell>
          <cell r="E327">
            <v>6</v>
          </cell>
          <cell r="F327" t="str">
            <v>Wpro</v>
          </cell>
          <cell r="G327">
            <v>5</v>
          </cell>
          <cell r="H327" t="str">
            <v>oai</v>
          </cell>
          <cell r="I327">
            <v>1</v>
          </cell>
          <cell r="J327" t="str">
            <v>low and middle</v>
          </cell>
          <cell r="K327" t="str">
            <v>females</v>
          </cell>
          <cell r="L327" t="str">
            <v>1995-2000</v>
          </cell>
          <cell r="M327">
            <v>40.872</v>
          </cell>
          <cell r="N327">
            <v>10.67</v>
          </cell>
          <cell r="O327">
            <v>1.008</v>
          </cell>
          <cell r="P327">
            <v>1.569</v>
          </cell>
          <cell r="Q327">
            <v>2.907</v>
          </cell>
          <cell r="R327">
            <v>4.351</v>
          </cell>
          <cell r="S327">
            <v>5.335</v>
          </cell>
          <cell r="T327">
            <v>15.032</v>
          </cell>
        </row>
        <row r="328">
          <cell r="A328">
            <v>126</v>
          </cell>
          <cell r="B328">
            <v>498</v>
          </cell>
          <cell r="C328" t="str">
            <v>Republic of Moldova</v>
          </cell>
          <cell r="D328">
            <v>0</v>
          </cell>
          <cell r="E328">
            <v>4</v>
          </cell>
          <cell r="F328" t="str">
            <v>Euro</v>
          </cell>
          <cell r="G328">
            <v>2</v>
          </cell>
          <cell r="H328" t="str">
            <v>fse</v>
          </cell>
          <cell r="I328">
            <v>1</v>
          </cell>
          <cell r="J328" t="str">
            <v>low and middle</v>
          </cell>
          <cell r="K328" t="str">
            <v>females</v>
          </cell>
          <cell r="L328" t="str">
            <v>1995-2000</v>
          </cell>
          <cell r="M328">
            <v>114.554</v>
          </cell>
          <cell r="N328">
            <v>3.7389999999999999</v>
          </cell>
          <cell r="O328">
            <v>0.71899999999999997</v>
          </cell>
          <cell r="P328">
            <v>1.75</v>
          </cell>
          <cell r="Q328">
            <v>5.0380000000000003</v>
          </cell>
          <cell r="R328">
            <v>15.086000000000002</v>
          </cell>
          <cell r="S328">
            <v>22.927999999999997</v>
          </cell>
          <cell r="T328">
            <v>65.293999999999997</v>
          </cell>
        </row>
        <row r="329">
          <cell r="A329">
            <v>37</v>
          </cell>
          <cell r="B329">
            <v>504</v>
          </cell>
          <cell r="C329" t="str">
            <v>Morocco</v>
          </cell>
          <cell r="D329">
            <v>0</v>
          </cell>
          <cell r="E329">
            <v>3</v>
          </cell>
          <cell r="F329" t="str">
            <v>Emro</v>
          </cell>
          <cell r="G329">
            <v>8</v>
          </cell>
          <cell r="H329" t="str">
            <v>mec</v>
          </cell>
          <cell r="I329">
            <v>1</v>
          </cell>
          <cell r="J329" t="str">
            <v>low and middle</v>
          </cell>
          <cell r="K329" t="str">
            <v>females</v>
          </cell>
          <cell r="L329" t="str">
            <v>1995-2000</v>
          </cell>
          <cell r="M329">
            <v>419.99900000000002</v>
          </cell>
          <cell r="N329">
            <v>103.33799999999999</v>
          </cell>
          <cell r="O329">
            <v>11.338000000000001</v>
          </cell>
          <cell r="P329">
            <v>26.261000000000003</v>
          </cell>
          <cell r="Q329">
            <v>30.813000000000002</v>
          </cell>
          <cell r="R329">
            <v>42.102000000000004</v>
          </cell>
          <cell r="S329">
            <v>60.159000000000006</v>
          </cell>
          <cell r="T329">
            <v>145.98800000000003</v>
          </cell>
        </row>
        <row r="330">
          <cell r="A330">
            <v>16</v>
          </cell>
          <cell r="B330">
            <v>508</v>
          </cell>
          <cell r="C330" t="str">
            <v>Mozambique</v>
          </cell>
          <cell r="D330">
            <v>0</v>
          </cell>
          <cell r="E330">
            <v>1</v>
          </cell>
          <cell r="F330" t="str">
            <v>Afro</v>
          </cell>
          <cell r="G330">
            <v>6</v>
          </cell>
          <cell r="H330" t="str">
            <v>ssa</v>
          </cell>
          <cell r="I330">
            <v>1</v>
          </cell>
          <cell r="J330" t="str">
            <v>low and middle</v>
          </cell>
          <cell r="K330" t="str">
            <v>females</v>
          </cell>
          <cell r="L330" t="str">
            <v>1995-2000</v>
          </cell>
          <cell r="M330">
            <v>840.702</v>
          </cell>
          <cell r="N330">
            <v>350.66899999999998</v>
          </cell>
          <cell r="O330">
            <v>76.925999999999988</v>
          </cell>
          <cell r="P330">
            <v>75.317000000000007</v>
          </cell>
          <cell r="Q330">
            <v>99.86</v>
          </cell>
          <cell r="R330">
            <v>85.087999999999994</v>
          </cell>
          <cell r="S330">
            <v>59.228999999999999</v>
          </cell>
          <cell r="T330">
            <v>93.613000000000014</v>
          </cell>
        </row>
        <row r="331">
          <cell r="A331">
            <v>112</v>
          </cell>
          <cell r="B331">
            <v>512</v>
          </cell>
          <cell r="C331" t="str">
            <v>Oman</v>
          </cell>
          <cell r="D331">
            <v>0</v>
          </cell>
          <cell r="E331">
            <v>3</v>
          </cell>
          <cell r="F331" t="str">
            <v>Emro</v>
          </cell>
          <cell r="G331">
            <v>8</v>
          </cell>
          <cell r="H331" t="str">
            <v>mec</v>
          </cell>
          <cell r="I331">
            <v>1</v>
          </cell>
          <cell r="J331" t="str">
            <v>low and middle</v>
          </cell>
          <cell r="K331" t="str">
            <v>females</v>
          </cell>
          <cell r="L331" t="str">
            <v>1995-2000</v>
          </cell>
          <cell r="M331">
            <v>19.001999999999999</v>
          </cell>
          <cell r="N331">
            <v>4.9269999999999996</v>
          </cell>
          <cell r="O331">
            <v>0.51800000000000002</v>
          </cell>
          <cell r="P331">
            <v>0.98599999999999999</v>
          </cell>
          <cell r="Q331">
            <v>1.2189999999999999</v>
          </cell>
          <cell r="R331">
            <v>2.335</v>
          </cell>
          <cell r="S331">
            <v>2.5209999999999999</v>
          </cell>
          <cell r="T331">
            <v>6.4960000000000004</v>
          </cell>
        </row>
        <row r="332">
          <cell r="A332">
            <v>44</v>
          </cell>
          <cell r="B332">
            <v>516</v>
          </cell>
          <cell r="C332" t="str">
            <v>Namibia</v>
          </cell>
          <cell r="D332">
            <v>0</v>
          </cell>
          <cell r="E332">
            <v>1</v>
          </cell>
          <cell r="F332" t="str">
            <v>Afro</v>
          </cell>
          <cell r="G332">
            <v>6</v>
          </cell>
          <cell r="H332" t="str">
            <v>ssa</v>
          </cell>
          <cell r="I332">
            <v>1</v>
          </cell>
          <cell r="J332" t="str">
            <v>low and middle</v>
          </cell>
          <cell r="K332" t="str">
            <v>females</v>
          </cell>
          <cell r="L332" t="str">
            <v>1995-2000</v>
          </cell>
          <cell r="M332">
            <v>55.207999999999998</v>
          </cell>
          <cell r="N332">
            <v>17.007999999999999</v>
          </cell>
          <cell r="O332">
            <v>3.4620000000000002</v>
          </cell>
          <cell r="P332">
            <v>5.2159999999999993</v>
          </cell>
          <cell r="Q332">
            <v>8.3759999999999994</v>
          </cell>
          <cell r="R332">
            <v>7.3170000000000002</v>
          </cell>
          <cell r="S332">
            <v>4.7750000000000004</v>
          </cell>
          <cell r="T332">
            <v>9.0539999999999985</v>
          </cell>
        </row>
        <row r="333">
          <cell r="A333">
            <v>82</v>
          </cell>
          <cell r="B333">
            <v>524</v>
          </cell>
          <cell r="C333" t="str">
            <v>Nepal</v>
          </cell>
          <cell r="D333">
            <v>0</v>
          </cell>
          <cell r="E333">
            <v>5</v>
          </cell>
          <cell r="F333" t="str">
            <v>Searo</v>
          </cell>
          <cell r="G333">
            <v>5</v>
          </cell>
          <cell r="H333" t="str">
            <v>oai</v>
          </cell>
          <cell r="I333">
            <v>1</v>
          </cell>
          <cell r="J333" t="str">
            <v>low and middle</v>
          </cell>
          <cell r="K333" t="str">
            <v>females</v>
          </cell>
          <cell r="L333" t="str">
            <v>1995-2000</v>
          </cell>
          <cell r="M333">
            <v>618.42899999999997</v>
          </cell>
          <cell r="N333">
            <v>235.34200000000001</v>
          </cell>
          <cell r="O333">
            <v>33.853000000000002</v>
          </cell>
          <cell r="P333">
            <v>57.496000000000002</v>
          </cell>
          <cell r="Q333">
            <v>57.834000000000003</v>
          </cell>
          <cell r="R333">
            <v>64.488</v>
          </cell>
          <cell r="S333">
            <v>59.358000000000004</v>
          </cell>
          <cell r="T333">
            <v>110.05800000000001</v>
          </cell>
        </row>
        <row r="334">
          <cell r="A334">
            <v>160</v>
          </cell>
          <cell r="B334">
            <v>528</v>
          </cell>
          <cell r="C334" t="str">
            <v>Netherlands</v>
          </cell>
          <cell r="D334">
            <v>0</v>
          </cell>
          <cell r="E334">
            <v>4</v>
          </cell>
          <cell r="F334" t="str">
            <v>Euro</v>
          </cell>
          <cell r="G334">
            <v>1</v>
          </cell>
          <cell r="H334" t="str">
            <v>eme</v>
          </cell>
          <cell r="I334">
            <v>4</v>
          </cell>
          <cell r="J334" t="str">
            <v>high</v>
          </cell>
          <cell r="K334" t="str">
            <v>females</v>
          </cell>
          <cell r="L334" t="str">
            <v>1995-2000</v>
          </cell>
          <cell r="M334">
            <v>337.52300000000002</v>
          </cell>
          <cell r="N334">
            <v>3.24</v>
          </cell>
          <cell r="O334">
            <v>0.76200000000000001</v>
          </cell>
          <cell r="P334">
            <v>2.4240000000000004</v>
          </cell>
          <cell r="Q334">
            <v>7.9459999999999997</v>
          </cell>
          <cell r="R334">
            <v>23.277999999999999</v>
          </cell>
          <cell r="S334">
            <v>34.927</v>
          </cell>
          <cell r="T334">
            <v>264.94599999999997</v>
          </cell>
        </row>
        <row r="335">
          <cell r="A335">
            <v>172</v>
          </cell>
          <cell r="B335">
            <v>530</v>
          </cell>
          <cell r="C335" t="str">
            <v>Netherlands Antilles</v>
          </cell>
          <cell r="G335">
            <v>7</v>
          </cell>
          <cell r="H335" t="str">
            <v>lac</v>
          </cell>
          <cell r="I335">
            <v>4</v>
          </cell>
          <cell r="J335" t="str">
            <v>high</v>
          </cell>
          <cell r="K335" t="str">
            <v>females</v>
          </cell>
          <cell r="L335" t="str">
            <v>1995-2000</v>
          </cell>
          <cell r="M335">
            <v>3.0369999999999999</v>
          </cell>
          <cell r="N335">
            <v>0.109</v>
          </cell>
          <cell r="O335">
            <v>1.0999999999999999E-2</v>
          </cell>
          <cell r="P335">
            <v>3.9E-2</v>
          </cell>
          <cell r="Q335">
            <v>0.11599999999999999</v>
          </cell>
          <cell r="R335">
            <v>0.317</v>
          </cell>
          <cell r="S335">
            <v>0.41800000000000004</v>
          </cell>
          <cell r="T335">
            <v>2.0270000000000001</v>
          </cell>
        </row>
        <row r="336">
          <cell r="A336">
            <v>206</v>
          </cell>
          <cell r="B336">
            <v>540</v>
          </cell>
          <cell r="C336" t="str">
            <v>New Caledonia</v>
          </cell>
          <cell r="G336">
            <v>5</v>
          </cell>
          <cell r="H336" t="str">
            <v>oai</v>
          </cell>
          <cell r="I336">
            <v>4</v>
          </cell>
          <cell r="J336" t="str">
            <v>high</v>
          </cell>
          <cell r="K336" t="str">
            <v>females</v>
          </cell>
          <cell r="L336" t="str">
            <v>1995-2000</v>
          </cell>
          <cell r="M336">
            <v>2.153</v>
          </cell>
          <cell r="N336">
            <v>0.17</v>
          </cell>
          <cell r="O336">
            <v>2.7999999999999997E-2</v>
          </cell>
          <cell r="P336">
            <v>9.0999999999999998E-2</v>
          </cell>
          <cell r="Q336">
            <v>0.14000000000000001</v>
          </cell>
          <cell r="R336">
            <v>0.30499999999999999</v>
          </cell>
          <cell r="S336">
            <v>0.378</v>
          </cell>
          <cell r="T336">
            <v>1.0409999999999999</v>
          </cell>
        </row>
        <row r="337">
          <cell r="A337">
            <v>209</v>
          </cell>
          <cell r="B337">
            <v>548</v>
          </cell>
          <cell r="C337" t="str">
            <v>Vanuatu</v>
          </cell>
          <cell r="D337">
            <v>0</v>
          </cell>
          <cell r="E337">
            <v>6</v>
          </cell>
          <cell r="F337" t="str">
            <v>Wpro</v>
          </cell>
          <cell r="G337">
            <v>5</v>
          </cell>
          <cell r="H337" t="str">
            <v>oai</v>
          </cell>
          <cell r="I337">
            <v>1</v>
          </cell>
          <cell r="J337" t="str">
            <v>low and middle</v>
          </cell>
          <cell r="K337" t="str">
            <v>females</v>
          </cell>
          <cell r="L337" t="str">
            <v>1995-2000</v>
          </cell>
          <cell r="M337">
            <v>2.3159999999999998</v>
          </cell>
          <cell r="N337">
            <v>0.59</v>
          </cell>
          <cell r="O337">
            <v>7.400000000000001E-2</v>
          </cell>
          <cell r="P337">
            <v>0.15</v>
          </cell>
          <cell r="Q337">
            <v>0.20700000000000002</v>
          </cell>
          <cell r="R337">
            <v>0.27699999999999997</v>
          </cell>
          <cell r="S337">
            <v>0.27400000000000002</v>
          </cell>
          <cell r="T337">
            <v>0.74399999999999999</v>
          </cell>
        </row>
        <row r="338">
          <cell r="A338">
            <v>203</v>
          </cell>
          <cell r="B338">
            <v>554</v>
          </cell>
          <cell r="C338" t="str">
            <v>New Zealand</v>
          </cell>
          <cell r="D338">
            <v>0</v>
          </cell>
          <cell r="E338">
            <v>6</v>
          </cell>
          <cell r="F338" t="str">
            <v>Wpro</v>
          </cell>
          <cell r="G338">
            <v>1</v>
          </cell>
          <cell r="H338" t="str">
            <v>eme</v>
          </cell>
          <cell r="I338">
            <v>4</v>
          </cell>
          <cell r="J338" t="str">
            <v>high</v>
          </cell>
          <cell r="K338" t="str">
            <v>females</v>
          </cell>
          <cell r="L338" t="str">
            <v>1995-2000</v>
          </cell>
          <cell r="M338">
            <v>70.102000000000004</v>
          </cell>
          <cell r="N338">
            <v>1.1399999999999999</v>
          </cell>
          <cell r="O338">
            <v>0.218</v>
          </cell>
          <cell r="P338">
            <v>1.016</v>
          </cell>
          <cell r="Q338">
            <v>1.992</v>
          </cell>
          <cell r="R338">
            <v>6.0949999999999998</v>
          </cell>
          <cell r="S338">
            <v>8.1760000000000002</v>
          </cell>
          <cell r="T338">
            <v>51.465000000000003</v>
          </cell>
        </row>
        <row r="339">
          <cell r="A339">
            <v>182</v>
          </cell>
          <cell r="B339">
            <v>558</v>
          </cell>
          <cell r="C339" t="str">
            <v>Nicaragua</v>
          </cell>
          <cell r="D339">
            <v>0</v>
          </cell>
          <cell r="E339">
            <v>2</v>
          </cell>
          <cell r="F339" t="str">
            <v>Amro</v>
          </cell>
          <cell r="G339">
            <v>7</v>
          </cell>
          <cell r="H339" t="str">
            <v>lac</v>
          </cell>
          <cell r="I339">
            <v>1</v>
          </cell>
          <cell r="J339" t="str">
            <v>low and middle</v>
          </cell>
          <cell r="K339" t="str">
            <v>females</v>
          </cell>
          <cell r="L339" t="str">
            <v>1995-2000</v>
          </cell>
          <cell r="M339">
            <v>62.625</v>
          </cell>
          <cell r="N339">
            <v>22.19</v>
          </cell>
          <cell r="O339">
            <v>3.2189999999999999</v>
          </cell>
          <cell r="P339">
            <v>4.1740000000000004</v>
          </cell>
          <cell r="Q339">
            <v>5.0510000000000002</v>
          </cell>
          <cell r="R339">
            <v>6.3130000000000006</v>
          </cell>
          <cell r="S339">
            <v>6.0460000000000003</v>
          </cell>
          <cell r="T339">
            <v>15.631999999999998</v>
          </cell>
        </row>
        <row r="340">
          <cell r="A340">
            <v>59</v>
          </cell>
          <cell r="B340">
            <v>562</v>
          </cell>
          <cell r="C340" t="str">
            <v>Niger</v>
          </cell>
          <cell r="D340">
            <v>0</v>
          </cell>
          <cell r="E340">
            <v>1</v>
          </cell>
          <cell r="F340" t="str">
            <v>Afro</v>
          </cell>
          <cell r="G340">
            <v>6</v>
          </cell>
          <cell r="H340" t="str">
            <v>ssa</v>
          </cell>
          <cell r="I340">
            <v>1</v>
          </cell>
          <cell r="J340" t="str">
            <v>low and middle</v>
          </cell>
          <cell r="K340" t="str">
            <v>females</v>
          </cell>
          <cell r="L340" t="str">
            <v>1995-2000</v>
          </cell>
          <cell r="M340">
            <v>401.31900000000002</v>
          </cell>
          <cell r="N340">
            <v>215.107</v>
          </cell>
          <cell r="O340">
            <v>39.001000000000005</v>
          </cell>
          <cell r="P340">
            <v>33.817</v>
          </cell>
          <cell r="Q340">
            <v>29.207999999999998</v>
          </cell>
          <cell r="R340">
            <v>25.707000000000001</v>
          </cell>
          <cell r="S340">
            <v>22.673000000000002</v>
          </cell>
          <cell r="T340">
            <v>35.805999999999997</v>
          </cell>
        </row>
        <row r="341">
          <cell r="A341">
            <v>60</v>
          </cell>
          <cell r="B341">
            <v>566</v>
          </cell>
          <cell r="C341" t="str">
            <v>Nigeria</v>
          </cell>
          <cell r="D341">
            <v>0</v>
          </cell>
          <cell r="E341">
            <v>1</v>
          </cell>
          <cell r="F341" t="str">
            <v>Afro</v>
          </cell>
          <cell r="G341">
            <v>6</v>
          </cell>
          <cell r="H341" t="str">
            <v>ssa</v>
          </cell>
          <cell r="I341">
            <v>1</v>
          </cell>
          <cell r="J341" t="str">
            <v>low and middle</v>
          </cell>
          <cell r="K341" t="str">
            <v>females</v>
          </cell>
          <cell r="L341" t="str">
            <v>1995-2000</v>
          </cell>
          <cell r="M341">
            <v>3717.2429999999999</v>
          </cell>
          <cell r="N341">
            <v>1446.8779999999999</v>
          </cell>
          <cell r="O341">
            <v>411.10199999999998</v>
          </cell>
          <cell r="P341">
            <v>368.13499999999999</v>
          </cell>
          <cell r="Q341">
            <v>398.41600000000005</v>
          </cell>
          <cell r="R341">
            <v>366.149</v>
          </cell>
          <cell r="S341">
            <v>281.70699999999999</v>
          </cell>
          <cell r="T341">
            <v>444.85600000000005</v>
          </cell>
        </row>
        <row r="342">
          <cell r="A342">
            <v>139</v>
          </cell>
          <cell r="B342">
            <v>578</v>
          </cell>
          <cell r="C342" t="str">
            <v>Norway</v>
          </cell>
          <cell r="D342">
            <v>0</v>
          </cell>
          <cell r="E342">
            <v>4</v>
          </cell>
          <cell r="F342" t="str">
            <v>Euro</v>
          </cell>
          <cell r="G342">
            <v>1</v>
          </cell>
          <cell r="H342" t="str">
            <v>eme</v>
          </cell>
          <cell r="I342">
            <v>4</v>
          </cell>
          <cell r="J342" t="str">
            <v>high</v>
          </cell>
          <cell r="K342" t="str">
            <v>females</v>
          </cell>
          <cell r="L342" t="str">
            <v>1995-2000</v>
          </cell>
          <cell r="M342">
            <v>110.001</v>
          </cell>
          <cell r="N342">
            <v>0.81399999999999995</v>
          </cell>
          <cell r="O342">
            <v>0.14800000000000002</v>
          </cell>
          <cell r="P342">
            <v>0.62</v>
          </cell>
          <cell r="Q342">
            <v>1.7770000000000001</v>
          </cell>
          <cell r="R342">
            <v>5.6360000000000001</v>
          </cell>
          <cell r="S342">
            <v>9.2579999999999991</v>
          </cell>
          <cell r="T342">
            <v>91.74799999999999</v>
          </cell>
        </row>
        <row r="343">
          <cell r="A343">
            <v>83</v>
          </cell>
          <cell r="B343">
            <v>586</v>
          </cell>
          <cell r="C343" t="str">
            <v>Pakistan</v>
          </cell>
          <cell r="D343">
            <v>0</v>
          </cell>
          <cell r="E343">
            <v>3</v>
          </cell>
          <cell r="F343" t="str">
            <v>Emro</v>
          </cell>
          <cell r="G343">
            <v>8</v>
          </cell>
          <cell r="H343" t="str">
            <v>mec</v>
          </cell>
          <cell r="I343">
            <v>1</v>
          </cell>
          <cell r="J343" t="str">
            <v>low and middle</v>
          </cell>
          <cell r="K343" t="str">
            <v>females</v>
          </cell>
          <cell r="L343" t="str">
            <v>1995-2000</v>
          </cell>
          <cell r="M343">
            <v>2634.8040000000001</v>
          </cell>
          <cell r="N343">
            <v>1322.385</v>
          </cell>
          <cell r="O343">
            <v>109.679</v>
          </cell>
          <cell r="P343">
            <v>92.954000000000008</v>
          </cell>
          <cell r="Q343">
            <v>123.554</v>
          </cell>
          <cell r="R343">
            <v>207.61399999999998</v>
          </cell>
          <cell r="S343">
            <v>274.577</v>
          </cell>
          <cell r="T343">
            <v>504.04100000000005</v>
          </cell>
        </row>
        <row r="344">
          <cell r="A344">
            <v>183</v>
          </cell>
          <cell r="B344">
            <v>591</v>
          </cell>
          <cell r="C344" t="str">
            <v>Panama</v>
          </cell>
          <cell r="D344">
            <v>0</v>
          </cell>
          <cell r="E344">
            <v>2</v>
          </cell>
          <cell r="F344" t="str">
            <v>Amro</v>
          </cell>
          <cell r="G344">
            <v>7</v>
          </cell>
          <cell r="H344" t="str">
            <v>lac</v>
          </cell>
          <cell r="I344">
            <v>1</v>
          </cell>
          <cell r="J344" t="str">
            <v>low and middle</v>
          </cell>
          <cell r="K344" t="str">
            <v>females</v>
          </cell>
          <cell r="L344" t="str">
            <v>1995-2000</v>
          </cell>
          <cell r="M344">
            <v>30.431000000000001</v>
          </cell>
          <cell r="N344">
            <v>3.97</v>
          </cell>
          <cell r="O344">
            <v>0.59699999999999998</v>
          </cell>
          <cell r="P344">
            <v>1.274</v>
          </cell>
          <cell r="Q344">
            <v>2.048</v>
          </cell>
          <cell r="R344">
            <v>3.3529999999999998</v>
          </cell>
          <cell r="S344">
            <v>3.6549999999999998</v>
          </cell>
          <cell r="T344">
            <v>15.534000000000001</v>
          </cell>
        </row>
        <row r="345">
          <cell r="A345">
            <v>207</v>
          </cell>
          <cell r="B345">
            <v>598</v>
          </cell>
          <cell r="C345" t="str">
            <v>Papua New Guinea</v>
          </cell>
          <cell r="D345">
            <v>0</v>
          </cell>
          <cell r="E345">
            <v>6</v>
          </cell>
          <cell r="F345" t="str">
            <v>Wpro</v>
          </cell>
          <cell r="G345">
            <v>5</v>
          </cell>
          <cell r="H345" t="str">
            <v>oai</v>
          </cell>
          <cell r="I345">
            <v>1</v>
          </cell>
          <cell r="J345" t="str">
            <v>low and middle</v>
          </cell>
          <cell r="K345" t="str">
            <v>females</v>
          </cell>
          <cell r="L345" t="str">
            <v>1995-2000</v>
          </cell>
          <cell r="M345">
            <v>105.629</v>
          </cell>
          <cell r="N345">
            <v>30.928000000000001</v>
          </cell>
          <cell r="O345">
            <v>3.9710000000000001</v>
          </cell>
          <cell r="P345">
            <v>10.615</v>
          </cell>
          <cell r="Q345">
            <v>11.975999999999999</v>
          </cell>
          <cell r="R345">
            <v>17.123000000000001</v>
          </cell>
          <cell r="S345">
            <v>14.833</v>
          </cell>
          <cell r="T345">
            <v>16.183</v>
          </cell>
        </row>
        <row r="346">
          <cell r="A346">
            <v>192</v>
          </cell>
          <cell r="B346">
            <v>600</v>
          </cell>
          <cell r="C346" t="str">
            <v>Paraguay</v>
          </cell>
          <cell r="D346">
            <v>0</v>
          </cell>
          <cell r="E346">
            <v>2</v>
          </cell>
          <cell r="F346" t="str">
            <v>Amro</v>
          </cell>
          <cell r="G346">
            <v>7</v>
          </cell>
          <cell r="H346" t="str">
            <v>lac</v>
          </cell>
          <cell r="I346">
            <v>1</v>
          </cell>
          <cell r="J346" t="str">
            <v>low and middle</v>
          </cell>
          <cell r="K346" t="str">
            <v>females</v>
          </cell>
          <cell r="L346" t="str">
            <v>1995-2000</v>
          </cell>
          <cell r="M346">
            <v>65.14</v>
          </cell>
          <cell r="N346">
            <v>16.923999999999999</v>
          </cell>
          <cell r="O346">
            <v>1.722</v>
          </cell>
          <cell r="P346">
            <v>2.6580000000000004</v>
          </cell>
          <cell r="Q346">
            <v>4.093</v>
          </cell>
          <cell r="R346">
            <v>6.2059999999999995</v>
          </cell>
          <cell r="S346">
            <v>7.5790000000000006</v>
          </cell>
          <cell r="T346">
            <v>25.958000000000002</v>
          </cell>
        </row>
        <row r="347">
          <cell r="A347">
            <v>193</v>
          </cell>
          <cell r="B347">
            <v>604</v>
          </cell>
          <cell r="C347" t="str">
            <v>Peru</v>
          </cell>
          <cell r="D347">
            <v>0</v>
          </cell>
          <cell r="E347">
            <v>2</v>
          </cell>
          <cell r="F347" t="str">
            <v>Amro</v>
          </cell>
          <cell r="G347">
            <v>7</v>
          </cell>
          <cell r="H347" t="str">
            <v>lac</v>
          </cell>
          <cell r="I347">
            <v>1</v>
          </cell>
          <cell r="J347" t="str">
            <v>low and middle</v>
          </cell>
          <cell r="K347" t="str">
            <v>females</v>
          </cell>
          <cell r="L347" t="str">
            <v>1995-2000</v>
          </cell>
          <cell r="M347">
            <v>357.92500000000001</v>
          </cell>
          <cell r="N347">
            <v>87.513000000000005</v>
          </cell>
          <cell r="O347">
            <v>11.597999999999999</v>
          </cell>
          <cell r="P347">
            <v>17.488999999999997</v>
          </cell>
          <cell r="Q347">
            <v>26.751000000000001</v>
          </cell>
          <cell r="R347">
            <v>40.167999999999999</v>
          </cell>
          <cell r="S347">
            <v>48.521000000000001</v>
          </cell>
          <cell r="T347">
            <v>125.88500000000001</v>
          </cell>
        </row>
        <row r="348">
          <cell r="A348">
            <v>96</v>
          </cell>
          <cell r="B348">
            <v>608</v>
          </cell>
          <cell r="C348" t="str">
            <v>Philippines</v>
          </cell>
          <cell r="D348">
            <v>0</v>
          </cell>
          <cell r="E348">
            <v>6</v>
          </cell>
          <cell r="F348" t="str">
            <v>Wpro</v>
          </cell>
          <cell r="G348">
            <v>5</v>
          </cell>
          <cell r="H348" t="str">
            <v>oai</v>
          </cell>
          <cell r="I348">
            <v>1</v>
          </cell>
          <cell r="J348" t="str">
            <v>low and middle</v>
          </cell>
          <cell r="K348" t="str">
            <v>females</v>
          </cell>
          <cell r="L348" t="str">
            <v>1995-2000</v>
          </cell>
          <cell r="M348">
            <v>960.11300000000006</v>
          </cell>
          <cell r="N348">
            <v>192.02699999999999</v>
          </cell>
          <cell r="O348">
            <v>24.570999999999998</v>
          </cell>
          <cell r="P348">
            <v>59.777999999999999</v>
          </cell>
          <cell r="Q348">
            <v>79.197999999999993</v>
          </cell>
          <cell r="R348">
            <v>121.268</v>
          </cell>
          <cell r="S348">
            <v>135.32</v>
          </cell>
          <cell r="T348">
            <v>347.95100000000002</v>
          </cell>
        </row>
        <row r="349">
          <cell r="A349">
            <v>125</v>
          </cell>
          <cell r="B349">
            <v>616</v>
          </cell>
          <cell r="C349" t="str">
            <v>Poland</v>
          </cell>
          <cell r="D349">
            <v>0</v>
          </cell>
          <cell r="E349">
            <v>4</v>
          </cell>
          <cell r="F349" t="str">
            <v>Euro</v>
          </cell>
          <cell r="G349">
            <v>2</v>
          </cell>
          <cell r="H349" t="str">
            <v>fse</v>
          </cell>
          <cell r="I349">
            <v>1</v>
          </cell>
          <cell r="J349" t="str">
            <v>low and middle</v>
          </cell>
          <cell r="K349" t="str">
            <v>females</v>
          </cell>
          <cell r="L349" t="str">
            <v>1995-2000</v>
          </cell>
          <cell r="M349">
            <v>883.22699999999998</v>
          </cell>
          <cell r="N349">
            <v>15.03</v>
          </cell>
          <cell r="O349">
            <v>2.3179999999999996</v>
          </cell>
          <cell r="P349">
            <v>7.3789999999999996</v>
          </cell>
          <cell r="Q349">
            <v>25.635999999999999</v>
          </cell>
          <cell r="R349">
            <v>74.39</v>
          </cell>
          <cell r="S349">
            <v>138.03700000000001</v>
          </cell>
          <cell r="T349">
            <v>620.43700000000001</v>
          </cell>
        </row>
        <row r="350">
          <cell r="A350">
            <v>149</v>
          </cell>
          <cell r="B350">
            <v>620</v>
          </cell>
          <cell r="C350" t="str">
            <v>Portugal</v>
          </cell>
          <cell r="D350">
            <v>0</v>
          </cell>
          <cell r="E350">
            <v>4</v>
          </cell>
          <cell r="F350" t="str">
            <v>Euro</v>
          </cell>
          <cell r="G350">
            <v>1</v>
          </cell>
          <cell r="H350" t="str">
            <v>eme</v>
          </cell>
          <cell r="I350">
            <v>4</v>
          </cell>
          <cell r="J350" t="str">
            <v>high</v>
          </cell>
          <cell r="K350" t="str">
            <v>females</v>
          </cell>
          <cell r="L350" t="str">
            <v>1995-2000</v>
          </cell>
          <cell r="M350">
            <v>249.16200000000001</v>
          </cell>
          <cell r="N350">
            <v>2.6320000000000001</v>
          </cell>
          <cell r="O350">
            <v>0.63</v>
          </cell>
          <cell r="P350">
            <v>2.4239999999999999</v>
          </cell>
          <cell r="Q350">
            <v>5.4649999999999999</v>
          </cell>
          <cell r="R350">
            <v>15.866</v>
          </cell>
          <cell r="S350">
            <v>29.906999999999996</v>
          </cell>
          <cell r="T350">
            <v>192.23799999999997</v>
          </cell>
        </row>
        <row r="351">
          <cell r="A351">
            <v>55</v>
          </cell>
          <cell r="B351">
            <v>624</v>
          </cell>
          <cell r="C351" t="str">
            <v>Guinea-Bissau</v>
          </cell>
          <cell r="D351">
            <v>0</v>
          </cell>
          <cell r="E351">
            <v>1</v>
          </cell>
          <cell r="F351" t="str">
            <v>Afro</v>
          </cell>
          <cell r="G351">
            <v>6</v>
          </cell>
          <cell r="H351" t="str">
            <v>ssa</v>
          </cell>
          <cell r="I351">
            <v>1</v>
          </cell>
          <cell r="J351" t="str">
            <v>low and middle</v>
          </cell>
          <cell r="K351" t="str">
            <v>females</v>
          </cell>
          <cell r="L351" t="str">
            <v>1995-2000</v>
          </cell>
          <cell r="M351">
            <v>55.43</v>
          </cell>
          <cell r="N351">
            <v>23.625</v>
          </cell>
          <cell r="O351">
            <v>5.827</v>
          </cell>
          <cell r="P351">
            <v>4.37</v>
          </cell>
          <cell r="Q351">
            <v>4.6820000000000004</v>
          </cell>
          <cell r="R351">
            <v>4.9000000000000004</v>
          </cell>
          <cell r="S351">
            <v>4.4349999999999996</v>
          </cell>
          <cell r="T351">
            <v>7.5910000000000002</v>
          </cell>
        </row>
        <row r="352">
          <cell r="A352">
            <v>91</v>
          </cell>
          <cell r="B352">
            <v>626</v>
          </cell>
          <cell r="C352" t="str">
            <v>East Timor</v>
          </cell>
          <cell r="K352" t="str">
            <v>females</v>
          </cell>
          <cell r="L352" t="str">
            <v>1995-2000</v>
          </cell>
          <cell r="M352">
            <v>30.207000000000001</v>
          </cell>
          <cell r="N352">
            <v>13.06</v>
          </cell>
          <cell r="O352">
            <v>2.238</v>
          </cell>
          <cell r="P352">
            <v>3.0859999999999999</v>
          </cell>
          <cell r="Q352">
            <v>3.681</v>
          </cell>
          <cell r="R352">
            <v>3.2</v>
          </cell>
          <cell r="S352">
            <v>2.2850000000000001</v>
          </cell>
          <cell r="T352">
            <v>2.6569999999999996</v>
          </cell>
        </row>
        <row r="353">
          <cell r="A353">
            <v>173</v>
          </cell>
          <cell r="B353">
            <v>630</v>
          </cell>
          <cell r="C353" t="str">
            <v>Puerto Rico</v>
          </cell>
          <cell r="G353">
            <v>7</v>
          </cell>
          <cell r="H353" t="str">
            <v>lac</v>
          </cell>
          <cell r="I353">
            <v>1</v>
          </cell>
          <cell r="J353" t="str">
            <v>low and middle</v>
          </cell>
          <cell r="K353" t="str">
            <v>females</v>
          </cell>
          <cell r="L353" t="str">
            <v>1995-2000</v>
          </cell>
          <cell r="M353">
            <v>64.762</v>
          </cell>
          <cell r="N353">
            <v>2.016</v>
          </cell>
          <cell r="O353">
            <v>0.20200000000000001</v>
          </cell>
          <cell r="P353">
            <v>1.4119999999999999</v>
          </cell>
          <cell r="Q353">
            <v>3.2970000000000002</v>
          </cell>
          <cell r="R353">
            <v>6.6070000000000002</v>
          </cell>
          <cell r="S353">
            <v>8.6950000000000003</v>
          </cell>
          <cell r="T353">
            <v>42.533000000000001</v>
          </cell>
        </row>
        <row r="354">
          <cell r="A354">
            <v>113</v>
          </cell>
          <cell r="B354">
            <v>634</v>
          </cell>
          <cell r="C354" t="str">
            <v>Qatar</v>
          </cell>
          <cell r="D354">
            <v>0</v>
          </cell>
          <cell r="E354">
            <v>3</v>
          </cell>
          <cell r="F354" t="str">
            <v>Emro</v>
          </cell>
          <cell r="G354">
            <v>8</v>
          </cell>
          <cell r="H354" t="str">
            <v>mec</v>
          </cell>
          <cell r="I354">
            <v>4</v>
          </cell>
          <cell r="J354" t="str">
            <v>high</v>
          </cell>
          <cell r="K354" t="str">
            <v>females</v>
          </cell>
          <cell r="L354" t="str">
            <v>1995-2000</v>
          </cell>
          <cell r="M354">
            <v>2.2069999999999999</v>
          </cell>
          <cell r="N354">
            <v>0.47099999999999997</v>
          </cell>
          <cell r="O354">
            <v>4.3999999999999997E-2</v>
          </cell>
          <cell r="P354">
            <v>6.8000000000000005E-2</v>
          </cell>
          <cell r="Q354">
            <v>0.155</v>
          </cell>
          <cell r="R354">
            <v>0.48099999999999998</v>
          </cell>
          <cell r="S354">
            <v>0.41399999999999998</v>
          </cell>
          <cell r="T354">
            <v>0.57399999999999995</v>
          </cell>
        </row>
        <row r="355">
          <cell r="A355">
            <v>17</v>
          </cell>
          <cell r="B355">
            <v>638</v>
          </cell>
          <cell r="C355" t="str">
            <v>Reunion</v>
          </cell>
          <cell r="G355">
            <v>5</v>
          </cell>
          <cell r="H355" t="str">
            <v>oai</v>
          </cell>
          <cell r="I355">
            <v>4</v>
          </cell>
          <cell r="J355" t="str">
            <v>high</v>
          </cell>
          <cell r="K355" t="str">
            <v>females</v>
          </cell>
          <cell r="L355" t="str">
            <v>1995-2000</v>
          </cell>
          <cell r="M355">
            <v>7.2960000000000003</v>
          </cell>
          <cell r="N355">
            <v>0.27900000000000003</v>
          </cell>
          <cell r="O355">
            <v>3.3000000000000002E-2</v>
          </cell>
          <cell r="P355">
            <v>0.152</v>
          </cell>
          <cell r="Q355">
            <v>0.439</v>
          </cell>
          <cell r="R355">
            <v>0.80400000000000005</v>
          </cell>
          <cell r="S355">
            <v>1.2070000000000001</v>
          </cell>
          <cell r="T355">
            <v>4.3820000000000006</v>
          </cell>
        </row>
        <row r="356">
          <cell r="A356">
            <v>127</v>
          </cell>
          <cell r="B356">
            <v>642</v>
          </cell>
          <cell r="C356" t="str">
            <v>Romania</v>
          </cell>
          <cell r="D356">
            <v>0</v>
          </cell>
          <cell r="E356">
            <v>4</v>
          </cell>
          <cell r="F356" t="str">
            <v>Euro</v>
          </cell>
          <cell r="G356">
            <v>2</v>
          </cell>
          <cell r="H356" t="str">
            <v>fse</v>
          </cell>
          <cell r="I356">
            <v>1</v>
          </cell>
          <cell r="J356" t="str">
            <v>low and middle</v>
          </cell>
          <cell r="K356" t="str">
            <v>females</v>
          </cell>
          <cell r="L356" t="str">
            <v>1995-2000</v>
          </cell>
          <cell r="M356">
            <v>592.84299999999996</v>
          </cell>
          <cell r="N356">
            <v>13.701000000000001</v>
          </cell>
          <cell r="O356">
            <v>2.508</v>
          </cell>
          <cell r="P356">
            <v>7.1829999999999998</v>
          </cell>
          <cell r="Q356">
            <v>17.756</v>
          </cell>
          <cell r="R356">
            <v>52.56</v>
          </cell>
          <cell r="S356">
            <v>103.521</v>
          </cell>
          <cell r="T356">
            <v>395.61400000000009</v>
          </cell>
        </row>
        <row r="357">
          <cell r="A357">
            <v>128</v>
          </cell>
          <cell r="B357">
            <v>643</v>
          </cell>
          <cell r="C357" t="str">
            <v>Russian Federation</v>
          </cell>
          <cell r="D357">
            <v>0</v>
          </cell>
          <cell r="E357">
            <v>4</v>
          </cell>
          <cell r="F357" t="str">
            <v>Euro</v>
          </cell>
          <cell r="G357">
            <v>2</v>
          </cell>
          <cell r="H357" t="str">
            <v>fse</v>
          </cell>
          <cell r="I357">
            <v>1</v>
          </cell>
          <cell r="J357" t="str">
            <v>low and middle</v>
          </cell>
          <cell r="K357" t="str">
            <v>females</v>
          </cell>
          <cell r="L357" t="str">
            <v>1995-2000</v>
          </cell>
          <cell r="M357">
            <v>4966.4719999999998</v>
          </cell>
          <cell r="N357">
            <v>68.126999999999995</v>
          </cell>
          <cell r="O357">
            <v>20.004999999999999</v>
          </cell>
          <cell r="P357">
            <v>69.14</v>
          </cell>
          <cell r="Q357">
            <v>205.721</v>
          </cell>
          <cell r="R357">
            <v>492.01300000000003</v>
          </cell>
          <cell r="S357">
            <v>874.35500000000002</v>
          </cell>
          <cell r="T357">
            <v>3237.1109999999999</v>
          </cell>
        </row>
        <row r="358">
          <cell r="A358">
            <v>18</v>
          </cell>
          <cell r="B358">
            <v>646</v>
          </cell>
          <cell r="C358" t="str">
            <v>Rwanda</v>
          </cell>
          <cell r="D358">
            <v>0</v>
          </cell>
          <cell r="E358">
            <v>1</v>
          </cell>
          <cell r="F358" t="str">
            <v>Afro</v>
          </cell>
          <cell r="G358">
            <v>6</v>
          </cell>
          <cell r="H358" t="str">
            <v>ssa</v>
          </cell>
          <cell r="I358">
            <v>1</v>
          </cell>
          <cell r="J358" t="str">
            <v>low and middle</v>
          </cell>
          <cell r="K358" t="str">
            <v>females</v>
          </cell>
          <cell r="L358" t="str">
            <v>1995-2000</v>
          </cell>
          <cell r="M358">
            <v>331.6</v>
          </cell>
          <cell r="N358">
            <v>139.83099999999999</v>
          </cell>
          <cell r="O358">
            <v>34.338999999999999</v>
          </cell>
          <cell r="P358">
            <v>34.274999999999999</v>
          </cell>
          <cell r="Q358">
            <v>45.489000000000004</v>
          </cell>
          <cell r="R358">
            <v>34.53</v>
          </cell>
          <cell r="S358">
            <v>18.628999999999998</v>
          </cell>
          <cell r="T358">
            <v>24.506999999999998</v>
          </cell>
        </row>
        <row r="359">
          <cell r="A359">
            <v>114</v>
          </cell>
          <cell r="B359">
            <v>682</v>
          </cell>
          <cell r="C359" t="str">
            <v>Saudi Arabia</v>
          </cell>
          <cell r="D359">
            <v>0</v>
          </cell>
          <cell r="E359">
            <v>3</v>
          </cell>
          <cell r="F359" t="str">
            <v>Emro</v>
          </cell>
          <cell r="G359">
            <v>8</v>
          </cell>
          <cell r="H359" t="str">
            <v>mec</v>
          </cell>
          <cell r="I359">
            <v>1</v>
          </cell>
          <cell r="J359" t="str">
            <v>low and middle</v>
          </cell>
          <cell r="K359" t="str">
            <v>females</v>
          </cell>
          <cell r="L359" t="str">
            <v>1995-2000</v>
          </cell>
          <cell r="M359">
            <v>163.285</v>
          </cell>
          <cell r="N359">
            <v>39.161000000000001</v>
          </cell>
          <cell r="O359">
            <v>3.8069999999999999</v>
          </cell>
          <cell r="P359">
            <v>8.1140000000000008</v>
          </cell>
          <cell r="Q359">
            <v>9.7850000000000001</v>
          </cell>
          <cell r="R359">
            <v>19.266000000000002</v>
          </cell>
          <cell r="S359">
            <v>22.956000000000003</v>
          </cell>
          <cell r="T359">
            <v>60.195999999999998</v>
          </cell>
        </row>
        <row r="360">
          <cell r="A360">
            <v>61</v>
          </cell>
          <cell r="B360">
            <v>686</v>
          </cell>
          <cell r="C360" t="str">
            <v>Senegal</v>
          </cell>
          <cell r="D360">
            <v>0</v>
          </cell>
          <cell r="E360">
            <v>1</v>
          </cell>
          <cell r="F360" t="str">
            <v>Afro</v>
          </cell>
          <cell r="G360">
            <v>6</v>
          </cell>
          <cell r="H360" t="str">
            <v>ssa</v>
          </cell>
          <cell r="I360">
            <v>1</v>
          </cell>
          <cell r="J360" t="str">
            <v>low and middle</v>
          </cell>
          <cell r="K360" t="str">
            <v>females</v>
          </cell>
          <cell r="L360" t="str">
            <v>1995-2000</v>
          </cell>
          <cell r="M360">
            <v>272.28899999999999</v>
          </cell>
          <cell r="N360">
            <v>99.843000000000004</v>
          </cell>
          <cell r="O360">
            <v>28.911999999999999</v>
          </cell>
          <cell r="P360">
            <v>28.692999999999998</v>
          </cell>
          <cell r="Q360">
            <v>25.777999999999999</v>
          </cell>
          <cell r="R360">
            <v>23.491999999999997</v>
          </cell>
          <cell r="S360">
            <v>22.536999999999999</v>
          </cell>
          <cell r="T360">
            <v>43.033999999999999</v>
          </cell>
        </row>
        <row r="361">
          <cell r="A361">
            <v>62</v>
          </cell>
          <cell r="B361">
            <v>694</v>
          </cell>
          <cell r="C361" t="str">
            <v>Sierra Leone</v>
          </cell>
          <cell r="D361">
            <v>0</v>
          </cell>
          <cell r="E361">
            <v>1</v>
          </cell>
          <cell r="F361" t="str">
            <v>Afro</v>
          </cell>
          <cell r="G361">
            <v>6</v>
          </cell>
          <cell r="H361" t="str">
            <v>ssa</v>
          </cell>
          <cell r="I361">
            <v>1</v>
          </cell>
          <cell r="J361" t="str">
            <v>low and middle</v>
          </cell>
          <cell r="K361" t="str">
            <v>females</v>
          </cell>
          <cell r="L361" t="str">
            <v>1995-2000</v>
          </cell>
          <cell r="M361">
            <v>283.089</v>
          </cell>
          <cell r="N361">
            <v>134.01400000000001</v>
          </cell>
          <cell r="O361">
            <v>32.414000000000001</v>
          </cell>
          <cell r="P361">
            <v>25.07</v>
          </cell>
          <cell r="Q361">
            <v>27.298000000000002</v>
          </cell>
          <cell r="R361">
            <v>23.338000000000001</v>
          </cell>
          <cell r="S361">
            <v>17.763999999999999</v>
          </cell>
          <cell r="T361">
            <v>23.191000000000006</v>
          </cell>
        </row>
        <row r="362">
          <cell r="A362">
            <v>97</v>
          </cell>
          <cell r="B362">
            <v>702</v>
          </cell>
          <cell r="C362" t="str">
            <v>Singapore</v>
          </cell>
          <cell r="D362">
            <v>0</v>
          </cell>
          <cell r="E362">
            <v>6</v>
          </cell>
          <cell r="F362" t="str">
            <v>Wpro</v>
          </cell>
          <cell r="G362">
            <v>5</v>
          </cell>
          <cell r="H362" t="str">
            <v>oai</v>
          </cell>
          <cell r="I362">
            <v>4</v>
          </cell>
          <cell r="J362" t="str">
            <v>high</v>
          </cell>
          <cell r="K362" t="str">
            <v>females</v>
          </cell>
          <cell r="L362" t="str">
            <v>1995-2000</v>
          </cell>
          <cell r="M362">
            <v>38.491</v>
          </cell>
          <cell r="N362">
            <v>0.76900000000000002</v>
          </cell>
          <cell r="O362">
            <v>0.214</v>
          </cell>
          <cell r="P362">
            <v>0.67</v>
          </cell>
          <cell r="Q362">
            <v>2.1719999999999997</v>
          </cell>
          <cell r="R362">
            <v>5.173</v>
          </cell>
          <cell r="S362">
            <v>7.0069999999999997</v>
          </cell>
          <cell r="T362">
            <v>22.485999999999997</v>
          </cell>
        </row>
        <row r="363">
          <cell r="A363">
            <v>129</v>
          </cell>
          <cell r="B363">
            <v>703</v>
          </cell>
          <cell r="C363" t="str">
            <v>Slovakia</v>
          </cell>
          <cell r="D363">
            <v>0</v>
          </cell>
          <cell r="E363">
            <v>4</v>
          </cell>
          <cell r="F363" t="str">
            <v>Euro</v>
          </cell>
          <cell r="G363">
            <v>2</v>
          </cell>
          <cell r="H363" t="str">
            <v>fse</v>
          </cell>
          <cell r="I363">
            <v>1</v>
          </cell>
          <cell r="J363" t="str">
            <v>low and middle</v>
          </cell>
          <cell r="K363" t="str">
            <v>females</v>
          </cell>
          <cell r="L363" t="str">
            <v>1995-2000</v>
          </cell>
          <cell r="M363">
            <v>121.33799999999999</v>
          </cell>
          <cell r="N363">
            <v>1.744</v>
          </cell>
          <cell r="O363">
            <v>0.34199999999999997</v>
          </cell>
          <cell r="P363">
            <v>1.137</v>
          </cell>
          <cell r="Q363">
            <v>3.3529999999999998</v>
          </cell>
          <cell r="R363">
            <v>10.513999999999999</v>
          </cell>
          <cell r="S363">
            <v>18.681000000000001</v>
          </cell>
          <cell r="T363">
            <v>85.566999999999993</v>
          </cell>
        </row>
        <row r="364">
          <cell r="A364">
            <v>99</v>
          </cell>
          <cell r="B364">
            <v>704</v>
          </cell>
          <cell r="C364" t="str">
            <v>Viet Nam</v>
          </cell>
          <cell r="D364">
            <v>0</v>
          </cell>
          <cell r="E364">
            <v>6</v>
          </cell>
          <cell r="F364" t="str">
            <v>Wpro</v>
          </cell>
          <cell r="G364">
            <v>5</v>
          </cell>
          <cell r="H364" t="str">
            <v>oai</v>
          </cell>
          <cell r="I364">
            <v>1</v>
          </cell>
          <cell r="J364" t="str">
            <v>low and middle</v>
          </cell>
          <cell r="K364" t="str">
            <v>females</v>
          </cell>
          <cell r="L364" t="str">
            <v>1995-2000</v>
          </cell>
          <cell r="M364">
            <v>1292.8520000000001</v>
          </cell>
          <cell r="N364">
            <v>252.851</v>
          </cell>
          <cell r="O364">
            <v>66.662000000000006</v>
          </cell>
          <cell r="P364">
            <v>78.647999999999996</v>
          </cell>
          <cell r="Q364">
            <v>84.981999999999999</v>
          </cell>
          <cell r="R364">
            <v>116.137</v>
          </cell>
          <cell r="S364">
            <v>163.95699999999999</v>
          </cell>
          <cell r="T364">
            <v>529.61500000000001</v>
          </cell>
        </row>
        <row r="365">
          <cell r="A365">
            <v>150</v>
          </cell>
          <cell r="B365">
            <v>705</v>
          </cell>
          <cell r="C365" t="str">
            <v>Slovenia</v>
          </cell>
          <cell r="D365">
            <v>0</v>
          </cell>
          <cell r="E365">
            <v>4</v>
          </cell>
          <cell r="F365" t="str">
            <v>Euro</v>
          </cell>
          <cell r="G365">
            <v>2</v>
          </cell>
          <cell r="H365" t="str">
            <v>fse</v>
          </cell>
          <cell r="I365">
            <v>1</v>
          </cell>
          <cell r="J365" t="str">
            <v>low and middle</v>
          </cell>
          <cell r="K365" t="str">
            <v>females</v>
          </cell>
          <cell r="L365" t="str">
            <v>1995-2000</v>
          </cell>
          <cell r="M365">
            <v>50.238999999999997</v>
          </cell>
          <cell r="N365">
            <v>0.36799999999999999</v>
          </cell>
          <cell r="O365">
            <v>7.9000000000000001E-2</v>
          </cell>
          <cell r="P365">
            <v>0.44500000000000001</v>
          </cell>
          <cell r="Q365">
            <v>1.264</v>
          </cell>
          <cell r="R365">
            <v>3.7619999999999996</v>
          </cell>
          <cell r="S365">
            <v>6.8529999999999998</v>
          </cell>
          <cell r="T365">
            <v>37.468000000000004</v>
          </cell>
        </row>
        <row r="366">
          <cell r="A366">
            <v>19</v>
          </cell>
          <cell r="B366">
            <v>706</v>
          </cell>
          <cell r="C366" t="str">
            <v>Somalia</v>
          </cell>
          <cell r="D366">
            <v>0</v>
          </cell>
          <cell r="E366">
            <v>3</v>
          </cell>
          <cell r="F366" t="str">
            <v>Emro</v>
          </cell>
          <cell r="G366">
            <v>6</v>
          </cell>
          <cell r="H366" t="str">
            <v>ssa</v>
          </cell>
          <cell r="I366">
            <v>1</v>
          </cell>
          <cell r="J366" t="str">
            <v>low and middle</v>
          </cell>
          <cell r="K366" t="str">
            <v>females</v>
          </cell>
          <cell r="L366" t="str">
            <v>1995-2000</v>
          </cell>
          <cell r="M366">
            <v>400.11599999999999</v>
          </cell>
          <cell r="N366">
            <v>221.78200000000001</v>
          </cell>
          <cell r="O366">
            <v>37.880000000000003</v>
          </cell>
          <cell r="P366">
            <v>33.433</v>
          </cell>
          <cell r="Q366">
            <v>28.577999999999999</v>
          </cell>
          <cell r="R366">
            <v>24.003</v>
          </cell>
          <cell r="S366">
            <v>20.684999999999999</v>
          </cell>
          <cell r="T366">
            <v>33.755000000000003</v>
          </cell>
        </row>
        <row r="367">
          <cell r="A367">
            <v>45</v>
          </cell>
          <cell r="B367">
            <v>710</v>
          </cell>
          <cell r="C367" t="str">
            <v>South Africa</v>
          </cell>
          <cell r="D367">
            <v>0</v>
          </cell>
          <cell r="E367">
            <v>1</v>
          </cell>
          <cell r="F367" t="str">
            <v>Afro</v>
          </cell>
          <cell r="G367">
            <v>6</v>
          </cell>
          <cell r="H367" t="str">
            <v>ssa</v>
          </cell>
          <cell r="I367">
            <v>1</v>
          </cell>
          <cell r="J367" t="str">
            <v>low and middle</v>
          </cell>
          <cell r="K367" t="str">
            <v>females</v>
          </cell>
          <cell r="L367" t="str">
            <v>1995-2000</v>
          </cell>
          <cell r="M367">
            <v>1080.4949999999999</v>
          </cell>
          <cell r="N367">
            <v>195.47</v>
          </cell>
          <cell r="O367">
            <v>26.523</v>
          </cell>
          <cell r="P367">
            <v>93.055000000000007</v>
          </cell>
          <cell r="Q367">
            <v>196.953</v>
          </cell>
          <cell r="R367">
            <v>203.68900000000002</v>
          </cell>
          <cell r="S367">
            <v>138.12</v>
          </cell>
          <cell r="T367">
            <v>226.685</v>
          </cell>
        </row>
        <row r="368">
          <cell r="A368">
            <v>23</v>
          </cell>
          <cell r="B368">
            <v>716</v>
          </cell>
          <cell r="C368" t="str">
            <v>Zimbabwe</v>
          </cell>
          <cell r="D368">
            <v>0</v>
          </cell>
          <cell r="E368">
            <v>1</v>
          </cell>
          <cell r="F368" t="str">
            <v>Afro</v>
          </cell>
          <cell r="G368">
            <v>6</v>
          </cell>
          <cell r="H368" t="str">
            <v>ssa</v>
          </cell>
          <cell r="I368">
            <v>1</v>
          </cell>
          <cell r="J368" t="str">
            <v>low and middle</v>
          </cell>
          <cell r="K368" t="str">
            <v>females</v>
          </cell>
          <cell r="L368" t="str">
            <v>1995-2000</v>
          </cell>
          <cell r="M368">
            <v>487.488</v>
          </cell>
          <cell r="N368">
            <v>99.445999999999998</v>
          </cell>
          <cell r="O368">
            <v>23.695999999999998</v>
          </cell>
          <cell r="P368">
            <v>63.988</v>
          </cell>
          <cell r="Q368">
            <v>124.63800000000001</v>
          </cell>
          <cell r="R368">
            <v>85.013000000000005</v>
          </cell>
          <cell r="S368">
            <v>37.003</v>
          </cell>
          <cell r="T368">
            <v>53.704000000000001</v>
          </cell>
        </row>
        <row r="369">
          <cell r="A369">
            <v>151</v>
          </cell>
          <cell r="B369">
            <v>724</v>
          </cell>
          <cell r="C369" t="str">
            <v>Spain</v>
          </cell>
          <cell r="D369">
            <v>0</v>
          </cell>
          <cell r="E369">
            <v>4</v>
          </cell>
          <cell r="F369" t="str">
            <v>Euro</v>
          </cell>
          <cell r="G369">
            <v>1</v>
          </cell>
          <cell r="H369" t="str">
            <v>eme</v>
          </cell>
          <cell r="I369">
            <v>4</v>
          </cell>
          <cell r="J369" t="str">
            <v>high</v>
          </cell>
          <cell r="K369" t="str">
            <v>females</v>
          </cell>
          <cell r="L369" t="str">
            <v>1995-2000</v>
          </cell>
          <cell r="M369">
            <v>869.07</v>
          </cell>
          <cell r="N369">
            <v>6.5460000000000003</v>
          </cell>
          <cell r="O369">
            <v>1.5249999999999999</v>
          </cell>
          <cell r="P369">
            <v>8.5990000000000002</v>
          </cell>
          <cell r="Q369">
            <v>16.137</v>
          </cell>
          <cell r="R369">
            <v>43.278999999999996</v>
          </cell>
          <cell r="S369">
            <v>86.584999999999994</v>
          </cell>
          <cell r="T369">
            <v>706.39900000000011</v>
          </cell>
        </row>
        <row r="370">
          <cell r="A370">
            <v>40</v>
          </cell>
          <cell r="B370">
            <v>732</v>
          </cell>
          <cell r="C370" t="str">
            <v>Western Sahara</v>
          </cell>
          <cell r="G370">
            <v>8</v>
          </cell>
          <cell r="H370" t="str">
            <v>mec</v>
          </cell>
          <cell r="K370" t="str">
            <v>females</v>
          </cell>
          <cell r="L370" t="str">
            <v>1995-2000</v>
          </cell>
          <cell r="M370">
            <v>5.524</v>
          </cell>
          <cell r="N370">
            <v>1.7150000000000001</v>
          </cell>
          <cell r="O370">
            <v>0.23499999999999999</v>
          </cell>
          <cell r="P370">
            <v>0.49399999999999994</v>
          </cell>
          <cell r="Q370">
            <v>0.5</v>
          </cell>
          <cell r="R370">
            <v>0.63700000000000001</v>
          </cell>
          <cell r="S370">
            <v>0.65599999999999992</v>
          </cell>
          <cell r="T370">
            <v>1.2869999999999999</v>
          </cell>
        </row>
        <row r="371">
          <cell r="A371">
            <v>38</v>
          </cell>
          <cell r="B371">
            <v>736</v>
          </cell>
          <cell r="C371" t="str">
            <v>Sudan</v>
          </cell>
          <cell r="D371">
            <v>0</v>
          </cell>
          <cell r="E371">
            <v>3</v>
          </cell>
          <cell r="F371" t="str">
            <v>Emro</v>
          </cell>
          <cell r="G371">
            <v>6</v>
          </cell>
          <cell r="H371" t="str">
            <v>ssa</v>
          </cell>
          <cell r="I371">
            <v>1</v>
          </cell>
          <cell r="J371" t="str">
            <v>low and middle</v>
          </cell>
          <cell r="K371" t="str">
            <v>females</v>
          </cell>
          <cell r="L371" t="str">
            <v>1995-2000</v>
          </cell>
          <cell r="M371">
            <v>759.54700000000003</v>
          </cell>
          <cell r="N371">
            <v>254.67699999999999</v>
          </cell>
          <cell r="O371">
            <v>77.212999999999994</v>
          </cell>
          <cell r="P371">
            <v>85.121000000000009</v>
          </cell>
          <cell r="Q371">
            <v>83.061999999999998</v>
          </cell>
          <cell r="R371">
            <v>82.146000000000001</v>
          </cell>
          <cell r="S371">
            <v>70.826999999999998</v>
          </cell>
          <cell r="T371">
            <v>106.50099999999999</v>
          </cell>
        </row>
        <row r="372">
          <cell r="A372">
            <v>194</v>
          </cell>
          <cell r="B372">
            <v>740</v>
          </cell>
          <cell r="C372" t="str">
            <v>Suriname</v>
          </cell>
          <cell r="D372">
            <v>0</v>
          </cell>
          <cell r="E372">
            <v>2</v>
          </cell>
          <cell r="F372" t="str">
            <v>Amro</v>
          </cell>
          <cell r="G372">
            <v>7</v>
          </cell>
          <cell r="H372" t="str">
            <v>lac</v>
          </cell>
          <cell r="I372">
            <v>1</v>
          </cell>
          <cell r="J372" t="str">
            <v>low and middle</v>
          </cell>
          <cell r="K372" t="str">
            <v>females</v>
          </cell>
          <cell r="L372" t="str">
            <v>1995-2000</v>
          </cell>
          <cell r="M372">
            <v>5.6520000000000001</v>
          </cell>
          <cell r="N372">
            <v>0.56599999999999995</v>
          </cell>
          <cell r="O372">
            <v>6.6000000000000003E-2</v>
          </cell>
          <cell r="P372">
            <v>0.20300000000000001</v>
          </cell>
          <cell r="Q372">
            <v>0.378</v>
          </cell>
          <cell r="R372">
            <v>0.65</v>
          </cell>
          <cell r="S372">
            <v>1.107</v>
          </cell>
          <cell r="T372">
            <v>2.6820000000000004</v>
          </cell>
        </row>
        <row r="373">
          <cell r="A373">
            <v>46</v>
          </cell>
          <cell r="B373">
            <v>748</v>
          </cell>
          <cell r="C373" t="str">
            <v>Swaziland</v>
          </cell>
          <cell r="D373">
            <v>0</v>
          </cell>
          <cell r="E373">
            <v>1</v>
          </cell>
          <cell r="F373" t="str">
            <v>Afro</v>
          </cell>
          <cell r="G373">
            <v>6</v>
          </cell>
          <cell r="H373" t="str">
            <v>ssa</v>
          </cell>
          <cell r="I373">
            <v>1</v>
          </cell>
          <cell r="J373" t="str">
            <v>low and middle</v>
          </cell>
          <cell r="K373" t="str">
            <v>females</v>
          </cell>
          <cell r="L373" t="str">
            <v>1995-2000</v>
          </cell>
          <cell r="M373">
            <v>20.277000000000001</v>
          </cell>
          <cell r="N373">
            <v>7.9219999999999997</v>
          </cell>
          <cell r="O373">
            <v>1.4910000000000001</v>
          </cell>
          <cell r="P373">
            <v>1.9550000000000001</v>
          </cell>
          <cell r="Q373">
            <v>1.835</v>
          </cell>
          <cell r="R373">
            <v>1.7490000000000001</v>
          </cell>
          <cell r="S373">
            <v>1.4769999999999999</v>
          </cell>
          <cell r="T373">
            <v>3.8479999999999994</v>
          </cell>
        </row>
        <row r="374">
          <cell r="A374">
            <v>140</v>
          </cell>
          <cell r="B374">
            <v>752</v>
          </cell>
          <cell r="C374" t="str">
            <v>Sweden</v>
          </cell>
          <cell r="D374">
            <v>0</v>
          </cell>
          <cell r="E374">
            <v>4</v>
          </cell>
          <cell r="F374" t="str">
            <v>Euro</v>
          </cell>
          <cell r="G374">
            <v>1</v>
          </cell>
          <cell r="H374" t="str">
            <v>eme</v>
          </cell>
          <cell r="I374">
            <v>4</v>
          </cell>
          <cell r="J374" t="str">
            <v>high</v>
          </cell>
          <cell r="K374" t="str">
            <v>females</v>
          </cell>
          <cell r="L374" t="str">
            <v>1995-2000</v>
          </cell>
          <cell r="M374">
            <v>249.98400000000001</v>
          </cell>
          <cell r="N374">
            <v>1.3779999999999999</v>
          </cell>
          <cell r="O374">
            <v>0.27600000000000002</v>
          </cell>
          <cell r="P374">
            <v>1.359</v>
          </cell>
          <cell r="Q374">
            <v>3.786</v>
          </cell>
          <cell r="R374">
            <v>13.347000000000001</v>
          </cell>
          <cell r="S374">
            <v>20.66</v>
          </cell>
          <cell r="T374">
            <v>209.178</v>
          </cell>
        </row>
        <row r="375">
          <cell r="A375">
            <v>161</v>
          </cell>
          <cell r="B375">
            <v>756</v>
          </cell>
          <cell r="C375" t="str">
            <v>Switzerland</v>
          </cell>
          <cell r="D375">
            <v>0</v>
          </cell>
          <cell r="E375">
            <v>4</v>
          </cell>
          <cell r="F375" t="str">
            <v>Euro</v>
          </cell>
          <cell r="G375">
            <v>1</v>
          </cell>
          <cell r="H375" t="str">
            <v>eme</v>
          </cell>
          <cell r="I375">
            <v>4</v>
          </cell>
          <cell r="J375" t="str">
            <v>high</v>
          </cell>
          <cell r="K375" t="str">
            <v>females</v>
          </cell>
          <cell r="L375" t="str">
            <v>1995-2000</v>
          </cell>
          <cell r="M375">
            <v>158.143</v>
          </cell>
          <cell r="N375">
            <v>1.504</v>
          </cell>
          <cell r="O375">
            <v>0.38100000000000001</v>
          </cell>
          <cell r="P375">
            <v>1.502</v>
          </cell>
          <cell r="Q375">
            <v>3.754</v>
          </cell>
          <cell r="R375">
            <v>9.3539999999999992</v>
          </cell>
          <cell r="S375">
            <v>13.605</v>
          </cell>
          <cell r="T375">
            <v>128.04300000000001</v>
          </cell>
        </row>
        <row r="376">
          <cell r="A376">
            <v>115</v>
          </cell>
          <cell r="B376">
            <v>760</v>
          </cell>
          <cell r="C376" t="str">
            <v>Syrian Arab Republic</v>
          </cell>
          <cell r="D376">
            <v>0</v>
          </cell>
          <cell r="E376">
            <v>3</v>
          </cell>
          <cell r="F376" t="str">
            <v>Emro</v>
          </cell>
          <cell r="G376">
            <v>8</v>
          </cell>
          <cell r="H376" t="str">
            <v>mec</v>
          </cell>
          <cell r="I376">
            <v>1</v>
          </cell>
          <cell r="J376" t="str">
            <v>low and middle</v>
          </cell>
          <cell r="K376" t="str">
            <v>females</v>
          </cell>
          <cell r="L376" t="str">
            <v>1995-2000</v>
          </cell>
          <cell r="M376">
            <v>158.56800000000001</v>
          </cell>
          <cell r="N376">
            <v>37.520000000000003</v>
          </cell>
          <cell r="O376">
            <v>4.9830000000000005</v>
          </cell>
          <cell r="P376">
            <v>10.791</v>
          </cell>
          <cell r="Q376">
            <v>12.116999999999999</v>
          </cell>
          <cell r="R376">
            <v>17.283000000000001</v>
          </cell>
          <cell r="S376">
            <v>23.186999999999998</v>
          </cell>
          <cell r="T376">
            <v>52.686999999999998</v>
          </cell>
        </row>
        <row r="377">
          <cell r="A377">
            <v>85</v>
          </cell>
          <cell r="B377">
            <v>762</v>
          </cell>
          <cell r="C377" t="str">
            <v>Tajikistan</v>
          </cell>
          <cell r="D377">
            <v>0</v>
          </cell>
          <cell r="E377">
            <v>4</v>
          </cell>
          <cell r="F377" t="str">
            <v>Euro</v>
          </cell>
          <cell r="G377">
            <v>8</v>
          </cell>
          <cell r="H377" t="str">
            <v>mec</v>
          </cell>
          <cell r="I377">
            <v>1</v>
          </cell>
          <cell r="J377" t="str">
            <v>low and middle</v>
          </cell>
          <cell r="K377" t="str">
            <v>females</v>
          </cell>
          <cell r="L377" t="str">
            <v>1995-2000</v>
          </cell>
          <cell r="M377">
            <v>93.94</v>
          </cell>
          <cell r="N377">
            <v>32.606000000000002</v>
          </cell>
          <cell r="O377">
            <v>2.5790000000000002</v>
          </cell>
          <cell r="P377">
            <v>3.9690000000000003</v>
          </cell>
          <cell r="Q377">
            <v>6.2579999999999991</v>
          </cell>
          <cell r="R377">
            <v>7.1419999999999995</v>
          </cell>
          <cell r="S377">
            <v>11.119</v>
          </cell>
          <cell r="T377">
            <v>30.266999999999999</v>
          </cell>
        </row>
        <row r="378">
          <cell r="A378">
            <v>98</v>
          </cell>
          <cell r="B378">
            <v>764</v>
          </cell>
          <cell r="C378" t="str">
            <v>Thailand</v>
          </cell>
          <cell r="D378">
            <v>0</v>
          </cell>
          <cell r="E378">
            <v>5</v>
          </cell>
          <cell r="F378" t="str">
            <v>Searo</v>
          </cell>
          <cell r="G378">
            <v>5</v>
          </cell>
          <cell r="H378" t="str">
            <v>oai</v>
          </cell>
          <cell r="I378">
            <v>1</v>
          </cell>
          <cell r="J378" t="str">
            <v>low and middle</v>
          </cell>
          <cell r="K378" t="str">
            <v>females</v>
          </cell>
          <cell r="L378" t="str">
            <v>1995-2000</v>
          </cell>
          <cell r="M378">
            <v>875.27200000000005</v>
          </cell>
          <cell r="N378">
            <v>84.393000000000001</v>
          </cell>
          <cell r="O378">
            <v>21.594999999999999</v>
          </cell>
          <cell r="P378">
            <v>64.122</v>
          </cell>
          <cell r="Q378">
            <v>113.86799999999999</v>
          </cell>
          <cell r="R378">
            <v>140.14700000000002</v>
          </cell>
          <cell r="S378">
            <v>116.441</v>
          </cell>
          <cell r="T378">
            <v>334.70600000000002</v>
          </cell>
        </row>
        <row r="379">
          <cell r="A379">
            <v>63</v>
          </cell>
          <cell r="B379">
            <v>768</v>
          </cell>
          <cell r="C379" t="str">
            <v>Togo</v>
          </cell>
          <cell r="D379">
            <v>0</v>
          </cell>
          <cell r="E379">
            <v>1</v>
          </cell>
          <cell r="F379" t="str">
            <v>Afro</v>
          </cell>
          <cell r="G379">
            <v>6</v>
          </cell>
          <cell r="H379" t="str">
            <v>ssa</v>
          </cell>
          <cell r="I379">
            <v>1</v>
          </cell>
          <cell r="J379" t="str">
            <v>low and middle</v>
          </cell>
          <cell r="K379" t="str">
            <v>females</v>
          </cell>
          <cell r="L379" t="str">
            <v>1995-2000</v>
          </cell>
          <cell r="M379">
            <v>161.608</v>
          </cell>
          <cell r="N379">
            <v>55.037999999999997</v>
          </cell>
          <cell r="O379">
            <v>13.34</v>
          </cell>
          <cell r="P379">
            <v>16.280999999999999</v>
          </cell>
          <cell r="Q379">
            <v>24.506999999999998</v>
          </cell>
          <cell r="R379">
            <v>19.786000000000001</v>
          </cell>
          <cell r="S379">
            <v>12.265000000000001</v>
          </cell>
          <cell r="T379">
            <v>20.390999999999998</v>
          </cell>
        </row>
        <row r="380">
          <cell r="A380">
            <v>174</v>
          </cell>
          <cell r="B380">
            <v>780</v>
          </cell>
          <cell r="C380" t="str">
            <v>Trinidad and Tobago</v>
          </cell>
          <cell r="D380">
            <v>0</v>
          </cell>
          <cell r="E380">
            <v>2</v>
          </cell>
          <cell r="F380" t="str">
            <v>Amro</v>
          </cell>
          <cell r="G380">
            <v>7</v>
          </cell>
          <cell r="H380" t="str">
            <v>lac</v>
          </cell>
          <cell r="I380">
            <v>1</v>
          </cell>
          <cell r="J380" t="str">
            <v>low and middle</v>
          </cell>
          <cell r="K380" t="str">
            <v>females</v>
          </cell>
          <cell r="L380" t="str">
            <v>1995-2000</v>
          </cell>
          <cell r="M380">
            <v>17.283000000000001</v>
          </cell>
          <cell r="N380">
            <v>0.56899999999999995</v>
          </cell>
          <cell r="O380">
            <v>0.1</v>
          </cell>
          <cell r="P380">
            <v>0.35</v>
          </cell>
          <cell r="Q380">
            <v>0.80899999999999994</v>
          </cell>
          <cell r="R380">
            <v>2.3439999999999999</v>
          </cell>
          <cell r="S380">
            <v>2.7269999999999999</v>
          </cell>
          <cell r="T380">
            <v>10.383999999999999</v>
          </cell>
        </row>
        <row r="381">
          <cell r="A381">
            <v>117</v>
          </cell>
          <cell r="B381">
            <v>784</v>
          </cell>
          <cell r="C381" t="str">
            <v>United Arab Emirates</v>
          </cell>
          <cell r="D381">
            <v>0</v>
          </cell>
          <cell r="E381">
            <v>3</v>
          </cell>
          <cell r="F381" t="str">
            <v>Emro</v>
          </cell>
          <cell r="G381">
            <v>8</v>
          </cell>
          <cell r="H381" t="str">
            <v>mec</v>
          </cell>
          <cell r="I381">
            <v>4</v>
          </cell>
          <cell r="J381" t="str">
            <v>high</v>
          </cell>
          <cell r="K381" t="str">
            <v>females</v>
          </cell>
          <cell r="L381" t="str">
            <v>1995-2000</v>
          </cell>
          <cell r="M381">
            <v>9.6519999999999992</v>
          </cell>
          <cell r="N381">
            <v>1.863</v>
          </cell>
          <cell r="O381">
            <v>0.11699999999999999</v>
          </cell>
          <cell r="P381">
            <v>0.158</v>
          </cell>
          <cell r="Q381">
            <v>0.60599999999999998</v>
          </cell>
          <cell r="R381">
            <v>1.3690000000000002</v>
          </cell>
          <cell r="S381">
            <v>1.865</v>
          </cell>
          <cell r="T381">
            <v>3.6739999999999999</v>
          </cell>
        </row>
        <row r="382">
          <cell r="A382">
            <v>39</v>
          </cell>
          <cell r="B382">
            <v>788</v>
          </cell>
          <cell r="C382" t="str">
            <v>Tunisia</v>
          </cell>
          <cell r="D382">
            <v>0</v>
          </cell>
          <cell r="E382">
            <v>3</v>
          </cell>
          <cell r="F382" t="str">
            <v>Emro</v>
          </cell>
          <cell r="G382">
            <v>8</v>
          </cell>
          <cell r="H382" t="str">
            <v>mec</v>
          </cell>
          <cell r="I382">
            <v>1</v>
          </cell>
          <cell r="J382" t="str">
            <v>low and middle</v>
          </cell>
          <cell r="K382" t="str">
            <v>females</v>
          </cell>
          <cell r="L382" t="str">
            <v>1995-2000</v>
          </cell>
          <cell r="M382">
            <v>141.33500000000001</v>
          </cell>
          <cell r="N382">
            <v>16.712</v>
          </cell>
          <cell r="O382">
            <v>2.5550000000000002</v>
          </cell>
          <cell r="P382">
            <v>7.2320000000000002</v>
          </cell>
          <cell r="Q382">
            <v>10.311</v>
          </cell>
          <cell r="R382">
            <v>15.898</v>
          </cell>
          <cell r="S382">
            <v>23.292000000000002</v>
          </cell>
          <cell r="T382">
            <v>65.334999999999994</v>
          </cell>
        </row>
        <row r="383">
          <cell r="A383">
            <v>116</v>
          </cell>
          <cell r="B383">
            <v>792</v>
          </cell>
          <cell r="C383" t="str">
            <v>Turkey</v>
          </cell>
          <cell r="D383">
            <v>0</v>
          </cell>
          <cell r="E383">
            <v>4</v>
          </cell>
          <cell r="F383" t="str">
            <v>Euro</v>
          </cell>
          <cell r="G383">
            <v>8</v>
          </cell>
          <cell r="H383" t="str">
            <v>mec</v>
          </cell>
          <cell r="I383">
            <v>1</v>
          </cell>
          <cell r="J383" t="str">
            <v>low and middle</v>
          </cell>
          <cell r="K383" t="str">
            <v>females</v>
          </cell>
          <cell r="L383" t="str">
            <v>1995-2000</v>
          </cell>
          <cell r="M383">
            <v>913.53099999999995</v>
          </cell>
          <cell r="N383">
            <v>180.251</v>
          </cell>
          <cell r="O383">
            <v>15.141999999999999</v>
          </cell>
          <cell r="P383">
            <v>31.487000000000002</v>
          </cell>
          <cell r="Q383">
            <v>47.936</v>
          </cell>
          <cell r="R383">
            <v>98.437000000000012</v>
          </cell>
          <cell r="S383">
            <v>146.417</v>
          </cell>
          <cell r="T383">
            <v>393.86099999999999</v>
          </cell>
        </row>
        <row r="384">
          <cell r="A384">
            <v>86</v>
          </cell>
          <cell r="B384">
            <v>795</v>
          </cell>
          <cell r="C384" t="str">
            <v>Turkmenistan</v>
          </cell>
          <cell r="D384">
            <v>0</v>
          </cell>
          <cell r="E384">
            <v>4</v>
          </cell>
          <cell r="F384" t="str">
            <v>Euro</v>
          </cell>
          <cell r="G384">
            <v>8</v>
          </cell>
          <cell r="H384" t="str">
            <v>mec</v>
          </cell>
          <cell r="I384">
            <v>1</v>
          </cell>
          <cell r="J384" t="str">
            <v>low and middle</v>
          </cell>
          <cell r="K384" t="str">
            <v>females</v>
          </cell>
          <cell r="L384" t="str">
            <v>1995-2000</v>
          </cell>
          <cell r="M384">
            <v>70.722999999999999</v>
          </cell>
          <cell r="N384">
            <v>20.047000000000001</v>
          </cell>
          <cell r="O384">
            <v>1.6539999999999999</v>
          </cell>
          <cell r="P384">
            <v>2.8469999999999995</v>
          </cell>
          <cell r="Q384">
            <v>4.4009999999999998</v>
          </cell>
          <cell r="R384">
            <v>6.7160000000000002</v>
          </cell>
          <cell r="S384">
            <v>9.8780000000000001</v>
          </cell>
          <cell r="T384">
            <v>25.18</v>
          </cell>
        </row>
        <row r="385">
          <cell r="A385">
            <v>20</v>
          </cell>
          <cell r="B385">
            <v>800</v>
          </cell>
          <cell r="C385" t="str">
            <v>Uganda</v>
          </cell>
          <cell r="D385">
            <v>0</v>
          </cell>
          <cell r="E385">
            <v>1</v>
          </cell>
          <cell r="F385" t="str">
            <v>Afro</v>
          </cell>
          <cell r="G385">
            <v>6</v>
          </cell>
          <cell r="H385" t="str">
            <v>ssa</v>
          </cell>
          <cell r="I385">
            <v>1</v>
          </cell>
          <cell r="J385" t="str">
            <v>low and middle</v>
          </cell>
          <cell r="K385" t="str">
            <v>females</v>
          </cell>
          <cell r="L385" t="str">
            <v>1995-2000</v>
          </cell>
          <cell r="M385">
            <v>1076.7919999999999</v>
          </cell>
          <cell r="N385">
            <v>422.17</v>
          </cell>
          <cell r="O385">
            <v>97.052999999999997</v>
          </cell>
          <cell r="P385">
            <v>122.15799999999999</v>
          </cell>
          <cell r="Q385">
            <v>180.48099999999999</v>
          </cell>
          <cell r="R385">
            <v>120.53700000000001</v>
          </cell>
          <cell r="S385">
            <v>57.820999999999998</v>
          </cell>
          <cell r="T385">
            <v>76.571999999999989</v>
          </cell>
        </row>
        <row r="386">
          <cell r="A386">
            <v>130</v>
          </cell>
          <cell r="B386">
            <v>804</v>
          </cell>
          <cell r="C386" t="str">
            <v>Ukraine</v>
          </cell>
          <cell r="D386">
            <v>0</v>
          </cell>
          <cell r="E386">
            <v>4</v>
          </cell>
          <cell r="F386" t="str">
            <v>Euro</v>
          </cell>
          <cell r="G386">
            <v>2</v>
          </cell>
          <cell r="H386" t="str">
            <v>fse</v>
          </cell>
          <cell r="I386">
            <v>1</v>
          </cell>
          <cell r="J386" t="str">
            <v>low and middle</v>
          </cell>
          <cell r="K386" t="str">
            <v>females</v>
          </cell>
          <cell r="L386" t="str">
            <v>1995-2000</v>
          </cell>
          <cell r="M386">
            <v>1842.2950000000001</v>
          </cell>
          <cell r="N386">
            <v>24.952999999999999</v>
          </cell>
          <cell r="O386">
            <v>5.8079999999999998</v>
          </cell>
          <cell r="P386">
            <v>19.018000000000001</v>
          </cell>
          <cell r="Q386">
            <v>50.789000000000001</v>
          </cell>
          <cell r="R386">
            <v>157.87200000000001</v>
          </cell>
          <cell r="S386">
            <v>295.04599999999999</v>
          </cell>
          <cell r="T386">
            <v>1288.8089999999997</v>
          </cell>
        </row>
        <row r="387">
          <cell r="A387">
            <v>152</v>
          </cell>
          <cell r="B387">
            <v>807</v>
          </cell>
          <cell r="C387" t="str">
            <v>TFYR Macedonia</v>
          </cell>
          <cell r="D387">
            <v>0</v>
          </cell>
          <cell r="E387">
            <v>4</v>
          </cell>
          <cell r="F387" t="str">
            <v>Euro</v>
          </cell>
          <cell r="G387">
            <v>2</v>
          </cell>
          <cell r="H387" t="str">
            <v>fse</v>
          </cell>
          <cell r="I387">
            <v>1</v>
          </cell>
          <cell r="J387" t="str">
            <v>low and middle</v>
          </cell>
          <cell r="K387" t="str">
            <v>females</v>
          </cell>
          <cell r="L387" t="str">
            <v>1995-2000</v>
          </cell>
          <cell r="M387">
            <v>34.893000000000001</v>
          </cell>
          <cell r="N387">
            <v>1.86</v>
          </cell>
          <cell r="O387">
            <v>0.192</v>
          </cell>
          <cell r="P387">
            <v>0.49199999999999999</v>
          </cell>
          <cell r="Q387">
            <v>1.06</v>
          </cell>
          <cell r="R387">
            <v>3.4</v>
          </cell>
          <cell r="S387">
            <v>6.3360000000000003</v>
          </cell>
          <cell r="T387">
            <v>21.553000000000001</v>
          </cell>
        </row>
        <row r="388">
          <cell r="A388">
            <v>35</v>
          </cell>
          <cell r="B388">
            <v>818</v>
          </cell>
          <cell r="C388" t="str">
            <v>Egypt</v>
          </cell>
          <cell r="D388">
            <v>0</v>
          </cell>
          <cell r="E388">
            <v>3</v>
          </cell>
          <cell r="F388" t="str">
            <v>Emro</v>
          </cell>
          <cell r="G388">
            <v>8</v>
          </cell>
          <cell r="H388" t="str">
            <v>mec</v>
          </cell>
          <cell r="I388">
            <v>1</v>
          </cell>
          <cell r="J388" t="str">
            <v>low and middle</v>
          </cell>
          <cell r="K388" t="str">
            <v>females</v>
          </cell>
          <cell r="L388" t="str">
            <v>1995-2000</v>
          </cell>
          <cell r="M388">
            <v>1057.424</v>
          </cell>
          <cell r="N388">
            <v>267.46699999999998</v>
          </cell>
          <cell r="O388">
            <v>27.5</v>
          </cell>
          <cell r="P388">
            <v>38.030999999999999</v>
          </cell>
          <cell r="Q388">
            <v>57.887999999999991</v>
          </cell>
          <cell r="R388">
            <v>113.66299999999998</v>
          </cell>
          <cell r="S388">
            <v>171.15199999999999</v>
          </cell>
          <cell r="T388">
            <v>381.72300000000001</v>
          </cell>
        </row>
        <row r="389">
          <cell r="A389">
            <v>141</v>
          </cell>
          <cell r="B389">
            <v>826</v>
          </cell>
          <cell r="C389" t="str">
            <v>United Kingdom</v>
          </cell>
          <cell r="D389">
            <v>0</v>
          </cell>
          <cell r="E389">
            <v>4</v>
          </cell>
          <cell r="F389" t="str">
            <v>Euro</v>
          </cell>
          <cell r="G389">
            <v>1</v>
          </cell>
          <cell r="H389" t="str">
            <v>eme</v>
          </cell>
          <cell r="I389">
            <v>4</v>
          </cell>
          <cell r="J389" t="str">
            <v>high</v>
          </cell>
          <cell r="K389" t="str">
            <v>females</v>
          </cell>
          <cell r="L389" t="str">
            <v>1995-2000</v>
          </cell>
          <cell r="M389">
            <v>1590.779</v>
          </cell>
          <cell r="N389">
            <v>13.090999999999999</v>
          </cell>
          <cell r="O389">
            <v>2.1240000000000001</v>
          </cell>
          <cell r="P389">
            <v>7.7669999999999995</v>
          </cell>
          <cell r="Q389">
            <v>25.39</v>
          </cell>
          <cell r="R389">
            <v>96.027999999999992</v>
          </cell>
          <cell r="S389">
            <v>183.24599999999998</v>
          </cell>
          <cell r="T389">
            <v>1263.133</v>
          </cell>
        </row>
        <row r="390">
          <cell r="A390">
            <v>21</v>
          </cell>
          <cell r="B390">
            <v>834</v>
          </cell>
          <cell r="C390" t="str">
            <v>United Rep. of Tanzania</v>
          </cell>
          <cell r="D390">
            <v>0</v>
          </cell>
          <cell r="E390">
            <v>1</v>
          </cell>
          <cell r="F390" t="str">
            <v>Afro</v>
          </cell>
          <cell r="G390">
            <v>6</v>
          </cell>
          <cell r="H390" t="str">
            <v>ssa</v>
          </cell>
          <cell r="I390">
            <v>1</v>
          </cell>
          <cell r="J390" t="str">
            <v>low and middle</v>
          </cell>
          <cell r="K390" t="str">
            <v>females</v>
          </cell>
          <cell r="L390" t="str">
            <v>1995-2000</v>
          </cell>
          <cell r="M390">
            <v>1178.5129999999999</v>
          </cell>
          <cell r="N390">
            <v>401.29500000000002</v>
          </cell>
          <cell r="O390">
            <v>100.34700000000001</v>
          </cell>
          <cell r="P390">
            <v>130.19400000000002</v>
          </cell>
          <cell r="Q390">
            <v>192.352</v>
          </cell>
          <cell r="R390">
            <v>150.63499999999999</v>
          </cell>
          <cell r="S390">
            <v>82.305000000000007</v>
          </cell>
          <cell r="T390">
            <v>121.38500000000001</v>
          </cell>
        </row>
        <row r="391">
          <cell r="A391">
            <v>199</v>
          </cell>
          <cell r="B391">
            <v>840</v>
          </cell>
          <cell r="C391" t="str">
            <v>United States of America</v>
          </cell>
          <cell r="D391">
            <v>0</v>
          </cell>
          <cell r="E391">
            <v>2</v>
          </cell>
          <cell r="F391" t="str">
            <v>Amro</v>
          </cell>
          <cell r="G391">
            <v>1</v>
          </cell>
          <cell r="H391" t="str">
            <v>eme</v>
          </cell>
          <cell r="I391">
            <v>4</v>
          </cell>
          <cell r="J391" t="str">
            <v>high</v>
          </cell>
          <cell r="K391" t="str">
            <v>females</v>
          </cell>
          <cell r="L391" t="str">
            <v>1995-2000</v>
          </cell>
          <cell r="M391">
            <v>5563.9560000000001</v>
          </cell>
          <cell r="N391">
            <v>72.798000000000002</v>
          </cell>
          <cell r="O391">
            <v>13.928000000000001</v>
          </cell>
          <cell r="P391">
            <v>60.747999999999998</v>
          </cell>
          <cell r="Q391">
            <v>179.46100000000001</v>
          </cell>
          <cell r="R391">
            <v>436.39699999999999</v>
          </cell>
          <cell r="S391">
            <v>625.66999999999996</v>
          </cell>
          <cell r="T391">
            <v>4174.9539999999997</v>
          </cell>
        </row>
        <row r="392">
          <cell r="A392">
            <v>49</v>
          </cell>
          <cell r="B392">
            <v>854</v>
          </cell>
          <cell r="C392" t="str">
            <v>Burkina Faso</v>
          </cell>
          <cell r="D392">
            <v>0</v>
          </cell>
          <cell r="E392">
            <v>1</v>
          </cell>
          <cell r="F392" t="str">
            <v>Afro</v>
          </cell>
          <cell r="G392">
            <v>6</v>
          </cell>
          <cell r="H392" t="str">
            <v>ssa</v>
          </cell>
          <cell r="I392">
            <v>1</v>
          </cell>
          <cell r="J392" t="str">
            <v>low and middle</v>
          </cell>
          <cell r="K392" t="str">
            <v>females</v>
          </cell>
          <cell r="L392" t="str">
            <v>1995-2000</v>
          </cell>
          <cell r="M392">
            <v>508.892</v>
          </cell>
          <cell r="N392">
            <v>212.773</v>
          </cell>
          <cell r="O392">
            <v>50.463000000000001</v>
          </cell>
          <cell r="P392">
            <v>50.072999999999993</v>
          </cell>
          <cell r="Q392">
            <v>64.454999999999998</v>
          </cell>
          <cell r="R392">
            <v>51.935000000000002</v>
          </cell>
          <cell r="S392">
            <v>32.191000000000003</v>
          </cell>
          <cell r="T392">
            <v>47.001999999999988</v>
          </cell>
        </row>
        <row r="393">
          <cell r="A393">
            <v>195</v>
          </cell>
          <cell r="B393">
            <v>858</v>
          </cell>
          <cell r="C393" t="str">
            <v>Uruguay</v>
          </cell>
          <cell r="D393">
            <v>0</v>
          </cell>
          <cell r="E393">
            <v>2</v>
          </cell>
          <cell r="F393" t="str">
            <v>Amro</v>
          </cell>
          <cell r="G393">
            <v>7</v>
          </cell>
          <cell r="H393" t="str">
            <v>lac</v>
          </cell>
          <cell r="I393">
            <v>1</v>
          </cell>
          <cell r="J393" t="str">
            <v>low and middle</v>
          </cell>
          <cell r="K393" t="str">
            <v>females</v>
          </cell>
          <cell r="L393" t="str">
            <v>1995-2000</v>
          </cell>
          <cell r="M393">
            <v>72.498999999999995</v>
          </cell>
          <cell r="N393">
            <v>2.3679999999999999</v>
          </cell>
          <cell r="O393">
            <v>0.311</v>
          </cell>
          <cell r="P393">
            <v>1.006</v>
          </cell>
          <cell r="Q393">
            <v>2.1859999999999999</v>
          </cell>
          <cell r="R393">
            <v>5.843</v>
          </cell>
          <cell r="S393">
            <v>9.8620000000000001</v>
          </cell>
          <cell r="T393">
            <v>50.923000000000002</v>
          </cell>
        </row>
        <row r="394">
          <cell r="A394">
            <v>87</v>
          </cell>
          <cell r="B394">
            <v>860</v>
          </cell>
          <cell r="C394" t="str">
            <v>Uzbekistan</v>
          </cell>
          <cell r="D394">
            <v>0</v>
          </cell>
          <cell r="E394">
            <v>4</v>
          </cell>
          <cell r="F394" t="str">
            <v>Euro</v>
          </cell>
          <cell r="G394">
            <v>8</v>
          </cell>
          <cell r="H394" t="str">
            <v>mec</v>
          </cell>
          <cell r="I394">
            <v>1</v>
          </cell>
          <cell r="J394" t="str">
            <v>low and middle</v>
          </cell>
          <cell r="K394" t="str">
            <v>females</v>
          </cell>
          <cell r="L394" t="str">
            <v>1995-2000</v>
          </cell>
          <cell r="M394">
            <v>359.27499999999998</v>
          </cell>
          <cell r="N394">
            <v>88.742000000000004</v>
          </cell>
          <cell r="O394">
            <v>8.423</v>
          </cell>
          <cell r="P394">
            <v>15.256999999999998</v>
          </cell>
          <cell r="Q394">
            <v>24.237000000000002</v>
          </cell>
          <cell r="R394">
            <v>33.146000000000001</v>
          </cell>
          <cell r="S394">
            <v>49.628999999999998</v>
          </cell>
          <cell r="T394">
            <v>139.84100000000001</v>
          </cell>
        </row>
        <row r="395">
          <cell r="A395">
            <v>196</v>
          </cell>
          <cell r="B395">
            <v>862</v>
          </cell>
          <cell r="C395" t="str">
            <v>Venezuela</v>
          </cell>
          <cell r="D395">
            <v>0</v>
          </cell>
          <cell r="E395">
            <v>2</v>
          </cell>
          <cell r="F395" t="str">
            <v>Amro</v>
          </cell>
          <cell r="G395">
            <v>7</v>
          </cell>
          <cell r="H395" t="str">
            <v>lac</v>
          </cell>
          <cell r="I395">
            <v>1</v>
          </cell>
          <cell r="J395" t="str">
            <v>low and middle</v>
          </cell>
          <cell r="K395" t="str">
            <v>females</v>
          </cell>
          <cell r="L395" t="str">
            <v>1995-2000</v>
          </cell>
          <cell r="M395">
            <v>228.773</v>
          </cell>
          <cell r="N395">
            <v>31.003</v>
          </cell>
          <cell r="O395">
            <v>4.4009999999999998</v>
          </cell>
          <cell r="P395">
            <v>9.8879999999999999</v>
          </cell>
          <cell r="Q395">
            <v>16.641999999999999</v>
          </cell>
          <cell r="R395">
            <v>30.522999999999996</v>
          </cell>
          <cell r="S395">
            <v>33.063000000000002</v>
          </cell>
          <cell r="T395">
            <v>103.253</v>
          </cell>
        </row>
        <row r="396">
          <cell r="A396">
            <v>214</v>
          </cell>
          <cell r="B396">
            <v>882</v>
          </cell>
          <cell r="C396" t="str">
            <v>Samoa</v>
          </cell>
          <cell r="D396">
            <v>0</v>
          </cell>
          <cell r="E396">
            <v>6</v>
          </cell>
          <cell r="F396" t="str">
            <v>Wpro</v>
          </cell>
          <cell r="G396">
            <v>5</v>
          </cell>
          <cell r="H396" t="str">
            <v>oai</v>
          </cell>
          <cell r="I396">
            <v>1</v>
          </cell>
          <cell r="J396" t="str">
            <v>low and middle</v>
          </cell>
          <cell r="K396" t="str">
            <v>females</v>
          </cell>
          <cell r="L396" t="str">
            <v>1995-2000</v>
          </cell>
          <cell r="M396">
            <v>1.92</v>
          </cell>
          <cell r="N396">
            <v>0.34200000000000003</v>
          </cell>
          <cell r="O396">
            <v>2.7E-2</v>
          </cell>
          <cell r="P396">
            <v>7.1999999999999995E-2</v>
          </cell>
          <cell r="Q396">
            <v>0.10299999999999999</v>
          </cell>
          <cell r="R396">
            <v>0.23499999999999999</v>
          </cell>
          <cell r="S396">
            <v>0.33099999999999996</v>
          </cell>
          <cell r="T396">
            <v>0.81</v>
          </cell>
        </row>
        <row r="397">
          <cell r="A397">
            <v>118</v>
          </cell>
          <cell r="B397">
            <v>887</v>
          </cell>
          <cell r="C397" t="str">
            <v>Yemen</v>
          </cell>
          <cell r="D397">
            <v>0</v>
          </cell>
          <cell r="E397">
            <v>3</v>
          </cell>
          <cell r="F397" t="str">
            <v>Emro</v>
          </cell>
          <cell r="G397">
            <v>8</v>
          </cell>
          <cell r="H397" t="str">
            <v>mec</v>
          </cell>
          <cell r="I397">
            <v>1</v>
          </cell>
          <cell r="J397" t="str">
            <v>low and middle</v>
          </cell>
          <cell r="K397" t="str">
            <v>females</v>
          </cell>
          <cell r="L397" t="str">
            <v>1995-2000</v>
          </cell>
          <cell r="M397">
            <v>436.255</v>
          </cell>
          <cell r="N397">
            <v>214.816</v>
          </cell>
          <cell r="O397">
            <v>24.698</v>
          </cell>
          <cell r="P397">
            <v>37.778000000000006</v>
          </cell>
          <cell r="Q397">
            <v>33.54</v>
          </cell>
          <cell r="R397">
            <v>35.813000000000002</v>
          </cell>
          <cell r="S397">
            <v>33.807000000000002</v>
          </cell>
          <cell r="T397">
            <v>55.803000000000004</v>
          </cell>
        </row>
        <row r="398">
          <cell r="A398">
            <v>153</v>
          </cell>
          <cell r="B398">
            <v>891</v>
          </cell>
          <cell r="C398" t="str">
            <v>Yugoslavia</v>
          </cell>
          <cell r="D398">
            <v>0</v>
          </cell>
          <cell r="E398">
            <v>4</v>
          </cell>
          <cell r="F398" t="str">
            <v>Euro</v>
          </cell>
          <cell r="G398">
            <v>2</v>
          </cell>
          <cell r="H398" t="str">
            <v>fse</v>
          </cell>
          <cell r="I398">
            <v>1</v>
          </cell>
          <cell r="J398" t="str">
            <v>low and middle</v>
          </cell>
          <cell r="K398" t="str">
            <v>females</v>
          </cell>
          <cell r="L398" t="str">
            <v>1995-2000</v>
          </cell>
          <cell r="M398">
            <v>240.95099999999999</v>
          </cell>
          <cell r="N398">
            <v>7.62</v>
          </cell>
          <cell r="O398">
            <v>0.65200000000000002</v>
          </cell>
          <cell r="P398">
            <v>1.851</v>
          </cell>
          <cell r="Q398">
            <v>5.3049999999999997</v>
          </cell>
          <cell r="R398">
            <v>18.617999999999999</v>
          </cell>
          <cell r="S398">
            <v>44.111999999999995</v>
          </cell>
          <cell r="T398">
            <v>162.79300000000001</v>
          </cell>
        </row>
        <row r="399">
          <cell r="A399">
            <v>22</v>
          </cell>
          <cell r="B399">
            <v>894</v>
          </cell>
          <cell r="C399" t="str">
            <v>Zambia</v>
          </cell>
          <cell r="D399">
            <v>0</v>
          </cell>
          <cell r="E399">
            <v>1</v>
          </cell>
          <cell r="F399" t="str">
            <v>Afro</v>
          </cell>
          <cell r="G399">
            <v>6</v>
          </cell>
          <cell r="H399" t="str">
            <v>ssa</v>
          </cell>
          <cell r="I399">
            <v>1</v>
          </cell>
          <cell r="J399" t="str">
            <v>low and middle</v>
          </cell>
          <cell r="K399" t="str">
            <v>females</v>
          </cell>
          <cell r="L399" t="str">
            <v>1995-2000</v>
          </cell>
          <cell r="M399">
            <v>438.99799999999999</v>
          </cell>
          <cell r="N399">
            <v>131.44999999999999</v>
          </cell>
          <cell r="O399">
            <v>31.73</v>
          </cell>
          <cell r="P399">
            <v>55.488</v>
          </cell>
          <cell r="Q399">
            <v>94.391999999999996</v>
          </cell>
          <cell r="R399">
            <v>64.841000000000008</v>
          </cell>
          <cell r="S399">
            <v>28.018999999999998</v>
          </cell>
          <cell r="T399">
            <v>33.077999999999996</v>
          </cell>
        </row>
        <row r="400">
          <cell r="A400">
            <v>1</v>
          </cell>
          <cell r="B400">
            <v>900</v>
          </cell>
          <cell r="C400" t="str">
            <v>World total</v>
          </cell>
          <cell r="K400" t="str">
            <v>females</v>
          </cell>
          <cell r="L400" t="str">
            <v>1995-2000</v>
          </cell>
          <cell r="M400">
            <v>122779.838</v>
          </cell>
          <cell r="N400">
            <v>25591.287</v>
          </cell>
          <cell r="O400">
            <v>4701.3160000000007</v>
          </cell>
          <cell r="P400">
            <v>6164.5020000000004</v>
          </cell>
          <cell r="Q400">
            <v>8266.0879999999997</v>
          </cell>
          <cell r="R400">
            <v>12294.384000000002</v>
          </cell>
          <cell r="S400">
            <v>15497.064000000002</v>
          </cell>
          <cell r="T400">
            <v>50265.197</v>
          </cell>
        </row>
        <row r="401">
          <cell r="A401">
            <v>2</v>
          </cell>
          <cell r="B401">
            <v>901</v>
          </cell>
          <cell r="C401" t="str">
            <v>More developed regions (*)</v>
          </cell>
          <cell r="K401" t="str">
            <v>females</v>
          </cell>
          <cell r="L401" t="str">
            <v>1995-2000</v>
          </cell>
          <cell r="M401">
            <v>29131.33</v>
          </cell>
          <cell r="N401">
            <v>332.11599999999999</v>
          </cell>
          <cell r="O401">
            <v>72.728999999999999</v>
          </cell>
          <cell r="P401">
            <v>275.21100000000001</v>
          </cell>
          <cell r="Q401">
            <v>788.25399999999991</v>
          </cell>
          <cell r="R401">
            <v>2201.5389999999998</v>
          </cell>
          <cell r="S401">
            <v>3761.4679999999998</v>
          </cell>
          <cell r="T401">
            <v>21700.012999999999</v>
          </cell>
        </row>
        <row r="402">
          <cell r="A402">
            <v>3</v>
          </cell>
          <cell r="B402">
            <v>902</v>
          </cell>
          <cell r="C402" t="str">
            <v>Less developed regions (+)</v>
          </cell>
          <cell r="K402" t="str">
            <v>females</v>
          </cell>
          <cell r="L402" t="str">
            <v>1995-2000</v>
          </cell>
          <cell r="M402">
            <v>93648.508000000002</v>
          </cell>
          <cell r="N402">
            <v>25259.170999999998</v>
          </cell>
          <cell r="O402">
            <v>4628.5869999999995</v>
          </cell>
          <cell r="P402">
            <v>5889.2910000000002</v>
          </cell>
          <cell r="Q402">
            <v>7477.8340000000007</v>
          </cell>
          <cell r="R402">
            <v>10092.845000000001</v>
          </cell>
          <cell r="S402">
            <v>11735.596000000001</v>
          </cell>
          <cell r="T402">
            <v>28565.184000000001</v>
          </cell>
        </row>
        <row r="403">
          <cell r="A403">
            <v>5</v>
          </cell>
          <cell r="B403">
            <v>903</v>
          </cell>
          <cell r="C403" t="str">
            <v>Africa</v>
          </cell>
          <cell r="K403" t="str">
            <v>females</v>
          </cell>
          <cell r="L403" t="str">
            <v>1995-2000</v>
          </cell>
          <cell r="M403">
            <v>24820.957999999999</v>
          </cell>
          <cell r="N403">
            <v>9323.7160000000003</v>
          </cell>
          <cell r="O403">
            <v>2084.0940000000001</v>
          </cell>
          <cell r="P403">
            <v>2319.373</v>
          </cell>
          <cell r="Q403">
            <v>3047.732</v>
          </cell>
          <cell r="R403">
            <v>2655.4560000000001</v>
          </cell>
          <cell r="S403">
            <v>1958.144</v>
          </cell>
          <cell r="T403">
            <v>3432.4429999999998</v>
          </cell>
        </row>
        <row r="404">
          <cell r="A404">
            <v>162</v>
          </cell>
          <cell r="B404">
            <v>904</v>
          </cell>
          <cell r="C404" t="str">
            <v>Latin America and the Caribbean</v>
          </cell>
          <cell r="K404" t="str">
            <v>females</v>
          </cell>
          <cell r="L404" t="str">
            <v>1995-2000</v>
          </cell>
          <cell r="M404">
            <v>7069.4189999999999</v>
          </cell>
          <cell r="N404">
            <v>1121.7619999999999</v>
          </cell>
          <cell r="O404">
            <v>149.529</v>
          </cell>
          <cell r="P404">
            <v>325.55700000000002</v>
          </cell>
          <cell r="Q404">
            <v>545.42600000000004</v>
          </cell>
          <cell r="R404">
            <v>891.04099999999994</v>
          </cell>
          <cell r="S404">
            <v>971.44500000000005</v>
          </cell>
          <cell r="T404">
            <v>3064.6590000000001</v>
          </cell>
        </row>
        <row r="405">
          <cell r="A405">
            <v>197</v>
          </cell>
          <cell r="B405">
            <v>905</v>
          </cell>
          <cell r="C405" t="str">
            <v>Northern America (12)</v>
          </cell>
          <cell r="K405" t="str">
            <v>females</v>
          </cell>
          <cell r="L405" t="str">
            <v>1995-2000</v>
          </cell>
          <cell r="M405">
            <v>6075.4769999999999</v>
          </cell>
          <cell r="N405">
            <v>78.491</v>
          </cell>
          <cell r="O405">
            <v>15.169</v>
          </cell>
          <cell r="P405">
            <v>65.736999999999995</v>
          </cell>
          <cell r="Q405">
            <v>193.965</v>
          </cell>
          <cell r="R405">
            <v>476.35300000000001</v>
          </cell>
          <cell r="S405">
            <v>685.78499999999997</v>
          </cell>
          <cell r="T405">
            <v>4559.9769999999999</v>
          </cell>
        </row>
        <row r="406">
          <cell r="A406">
            <v>65</v>
          </cell>
          <cell r="B406">
            <v>906</v>
          </cell>
          <cell r="C406" t="str">
            <v>Eastern Asia</v>
          </cell>
          <cell r="K406" t="str">
            <v>females</v>
          </cell>
          <cell r="L406" t="str">
            <v>1995-2000</v>
          </cell>
          <cell r="M406">
            <v>22538.361000000001</v>
          </cell>
          <cell r="N406">
            <v>2677.2759999999998</v>
          </cell>
          <cell r="O406">
            <v>199.91</v>
          </cell>
          <cell r="P406">
            <v>594.55799999999999</v>
          </cell>
          <cell r="Q406">
            <v>1020.972</v>
          </cell>
          <cell r="R406">
            <v>2275.538</v>
          </cell>
          <cell r="S406">
            <v>3558.55</v>
          </cell>
          <cell r="T406">
            <v>12211.557000000001</v>
          </cell>
        </row>
        <row r="407">
          <cell r="A407">
            <v>119</v>
          </cell>
          <cell r="B407">
            <v>908</v>
          </cell>
          <cell r="C407" t="str">
            <v>Europe</v>
          </cell>
          <cell r="K407" t="str">
            <v>females</v>
          </cell>
          <cell r="L407" t="str">
            <v>1995-2000</v>
          </cell>
          <cell r="M407">
            <v>20278.228999999999</v>
          </cell>
          <cell r="N407">
            <v>232.601</v>
          </cell>
          <cell r="O407">
            <v>52.835000000000001</v>
          </cell>
          <cell r="P407">
            <v>187.41800000000001</v>
          </cell>
          <cell r="Q407">
            <v>541.899</v>
          </cell>
          <cell r="R407">
            <v>1527.52</v>
          </cell>
          <cell r="S407">
            <v>2774.3009999999999</v>
          </cell>
          <cell r="T407">
            <v>14961.654999999999</v>
          </cell>
        </row>
        <row r="408">
          <cell r="A408">
            <v>200</v>
          </cell>
          <cell r="B408">
            <v>909</v>
          </cell>
          <cell r="C408" t="str">
            <v>Oceania</v>
          </cell>
          <cell r="K408" t="str">
            <v>females</v>
          </cell>
          <cell r="L408" t="str">
            <v>1995-2000</v>
          </cell>
          <cell r="M408">
            <v>536.80200000000002</v>
          </cell>
          <cell r="N408">
            <v>40.411999999999999</v>
          </cell>
          <cell r="O408">
            <v>5.5510000000000002</v>
          </cell>
          <cell r="P408">
            <v>16.219000000000001</v>
          </cell>
          <cell r="Q408">
            <v>23.654000000000003</v>
          </cell>
          <cell r="R408">
            <v>48.5</v>
          </cell>
          <cell r="S408">
            <v>59.697000000000003</v>
          </cell>
          <cell r="T408">
            <v>342.76899999999995</v>
          </cell>
        </row>
        <row r="409">
          <cell r="A409">
            <v>6</v>
          </cell>
          <cell r="B409">
            <v>910</v>
          </cell>
          <cell r="C409" t="str">
            <v>Eastern Africa (1)</v>
          </cell>
          <cell r="K409" t="str">
            <v>females</v>
          </cell>
          <cell r="L409" t="str">
            <v>1995-2000</v>
          </cell>
          <cell r="M409">
            <v>9925.7620000000006</v>
          </cell>
          <cell r="N409">
            <v>3786.261</v>
          </cell>
          <cell r="O409">
            <v>859.10699999999997</v>
          </cell>
          <cell r="P409">
            <v>1018.5010000000001</v>
          </cell>
          <cell r="Q409">
            <v>1474.4749999999999</v>
          </cell>
          <cell r="R409">
            <v>1121.8389999999999</v>
          </cell>
          <cell r="S409">
            <v>646.05700000000002</v>
          </cell>
          <cell r="T409">
            <v>1019.5219999999999</v>
          </cell>
        </row>
        <row r="410">
          <cell r="A410">
            <v>24</v>
          </cell>
          <cell r="B410">
            <v>911</v>
          </cell>
          <cell r="C410" t="str">
            <v>Middle Africa (3)</v>
          </cell>
          <cell r="K410" t="str">
            <v>females</v>
          </cell>
          <cell r="L410" t="str">
            <v>1995-2000</v>
          </cell>
          <cell r="M410">
            <v>3304.3670000000002</v>
          </cell>
          <cell r="N410">
            <v>1397.3679999999999</v>
          </cell>
          <cell r="O410">
            <v>300.541</v>
          </cell>
          <cell r="P410">
            <v>290.55</v>
          </cell>
          <cell r="Q410">
            <v>348.21800000000002</v>
          </cell>
          <cell r="R410">
            <v>310.423</v>
          </cell>
          <cell r="S410">
            <v>237.94800000000001</v>
          </cell>
          <cell r="T410">
            <v>419.31900000000013</v>
          </cell>
        </row>
        <row r="411">
          <cell r="A411">
            <v>33</v>
          </cell>
          <cell r="B411">
            <v>912</v>
          </cell>
          <cell r="C411" t="str">
            <v>Northern Africa</v>
          </cell>
          <cell r="K411" t="str">
            <v>females</v>
          </cell>
          <cell r="L411" t="str">
            <v>1995-2000</v>
          </cell>
          <cell r="M411">
            <v>2818.6860000000001</v>
          </cell>
          <cell r="N411">
            <v>752.27599999999995</v>
          </cell>
          <cell r="O411">
            <v>131.19</v>
          </cell>
          <cell r="P411">
            <v>179.43899999999999</v>
          </cell>
          <cell r="Q411">
            <v>210.702</v>
          </cell>
          <cell r="R411">
            <v>295.92199999999997</v>
          </cell>
          <cell r="S411">
            <v>385.54</v>
          </cell>
          <cell r="T411">
            <v>863.61699999999996</v>
          </cell>
        </row>
        <row r="412">
          <cell r="A412">
            <v>41</v>
          </cell>
          <cell r="B412">
            <v>913</v>
          </cell>
          <cell r="C412" t="str">
            <v>Southern Africa</v>
          </cell>
          <cell r="K412" t="str">
            <v>females</v>
          </cell>
          <cell r="L412" t="str">
            <v>1995-2000</v>
          </cell>
          <cell r="M412">
            <v>1275.771</v>
          </cell>
          <cell r="N412">
            <v>255.75899999999999</v>
          </cell>
          <cell r="O412">
            <v>36.409999999999997</v>
          </cell>
          <cell r="P412">
            <v>111.559</v>
          </cell>
          <cell r="Q412">
            <v>228.57100000000003</v>
          </cell>
          <cell r="R412">
            <v>230.29200000000003</v>
          </cell>
          <cell r="S412">
            <v>154.65299999999999</v>
          </cell>
          <cell r="T412">
            <v>258.52699999999999</v>
          </cell>
        </row>
        <row r="413">
          <cell r="A413">
            <v>47</v>
          </cell>
          <cell r="B413">
            <v>914</v>
          </cell>
          <cell r="C413" t="str">
            <v>Western Africa (4)</v>
          </cell>
          <cell r="K413" t="str">
            <v>females</v>
          </cell>
          <cell r="L413" t="str">
            <v>1995-2000</v>
          </cell>
          <cell r="M413">
            <v>7496.3720000000003</v>
          </cell>
          <cell r="N413">
            <v>3132.0520000000001</v>
          </cell>
          <cell r="O413">
            <v>756.846</v>
          </cell>
          <cell r="P413">
            <v>719.32400000000007</v>
          </cell>
          <cell r="Q413">
            <v>785.76600000000008</v>
          </cell>
          <cell r="R413">
            <v>696.98</v>
          </cell>
          <cell r="S413">
            <v>533.94600000000003</v>
          </cell>
          <cell r="T413">
            <v>871.45799999999997</v>
          </cell>
        </row>
        <row r="414">
          <cell r="A414">
            <v>163</v>
          </cell>
          <cell r="B414">
            <v>915</v>
          </cell>
          <cell r="C414" t="str">
            <v>Caribbean (10)</v>
          </cell>
          <cell r="K414" t="str">
            <v>females</v>
          </cell>
          <cell r="L414" t="str">
            <v>1995-2000</v>
          </cell>
          <cell r="M414">
            <v>659.05399999999997</v>
          </cell>
          <cell r="N414">
            <v>92.921999999999997</v>
          </cell>
          <cell r="O414">
            <v>20.063000000000002</v>
          </cell>
          <cell r="P414">
            <v>36.792999999999999</v>
          </cell>
          <cell r="Q414">
            <v>54.137999999999998</v>
          </cell>
          <cell r="R414">
            <v>79.167000000000002</v>
          </cell>
          <cell r="S414">
            <v>82.625</v>
          </cell>
          <cell r="T414">
            <v>293.346</v>
          </cell>
        </row>
        <row r="415">
          <cell r="A415">
            <v>175</v>
          </cell>
          <cell r="B415">
            <v>916</v>
          </cell>
          <cell r="C415" t="str">
            <v>Central America</v>
          </cell>
          <cell r="K415" t="str">
            <v>females</v>
          </cell>
          <cell r="L415" t="str">
            <v>1995-2000</v>
          </cell>
          <cell r="M415">
            <v>1498.7550000000001</v>
          </cell>
          <cell r="N415">
            <v>318.83300000000003</v>
          </cell>
          <cell r="O415">
            <v>37.866</v>
          </cell>
          <cell r="P415">
            <v>79</v>
          </cell>
          <cell r="Q415">
            <v>109.767</v>
          </cell>
          <cell r="R415">
            <v>174.86500000000001</v>
          </cell>
          <cell r="S415">
            <v>190.17699999999999</v>
          </cell>
          <cell r="T415">
            <v>588.24699999999996</v>
          </cell>
        </row>
        <row r="416">
          <cell r="A416">
            <v>88</v>
          </cell>
          <cell r="B416">
            <v>920</v>
          </cell>
          <cell r="C416" t="str">
            <v>South-eastern Asia</v>
          </cell>
          <cell r="K416" t="str">
            <v>females</v>
          </cell>
          <cell r="L416" t="str">
            <v>1995-2000</v>
          </cell>
          <cell r="M416">
            <v>8500.8070000000007</v>
          </cell>
          <cell r="N416">
            <v>1635.9880000000001</v>
          </cell>
          <cell r="O416">
            <v>292.39099999999996</v>
          </cell>
          <cell r="P416">
            <v>582.24400000000003</v>
          </cell>
          <cell r="Q416">
            <v>762.08299999999997</v>
          </cell>
          <cell r="R416">
            <v>1079.9760000000001</v>
          </cell>
          <cell r="S416">
            <v>1255.825</v>
          </cell>
          <cell r="T416">
            <v>2892.3</v>
          </cell>
        </row>
        <row r="417">
          <cell r="A417">
            <v>73</v>
          </cell>
          <cell r="B417">
            <v>921</v>
          </cell>
          <cell r="C417" t="str">
            <v>South-central Asia</v>
          </cell>
          <cell r="K417" t="str">
            <v>females</v>
          </cell>
          <cell r="L417" t="str">
            <v>1995-2000</v>
          </cell>
          <cell r="M417">
            <v>30293.71</v>
          </cell>
          <cell r="N417">
            <v>9737.94</v>
          </cell>
          <cell r="O417">
            <v>1832.2149999999999</v>
          </cell>
          <cell r="P417">
            <v>1947.672</v>
          </cell>
          <cell r="Q417">
            <v>1970.895</v>
          </cell>
          <cell r="R417">
            <v>3074.3509999999997</v>
          </cell>
          <cell r="S417">
            <v>3874.0230000000001</v>
          </cell>
          <cell r="T417">
            <v>7856.6140000000005</v>
          </cell>
        </row>
        <row r="418">
          <cell r="A418">
            <v>100</v>
          </cell>
          <cell r="B418">
            <v>922</v>
          </cell>
          <cell r="C418" t="str">
            <v>Western Asia</v>
          </cell>
          <cell r="K418" t="str">
            <v>females</v>
          </cell>
          <cell r="L418" t="str">
            <v>1995-2000</v>
          </cell>
          <cell r="M418">
            <v>2664.89</v>
          </cell>
          <cell r="N418">
            <v>741.48199999999997</v>
          </cell>
          <cell r="O418">
            <v>69.465000000000003</v>
          </cell>
          <cell r="P418">
            <v>125.68800000000002</v>
          </cell>
          <cell r="Q418">
            <v>159.63</v>
          </cell>
          <cell r="R418">
            <v>265.61900000000003</v>
          </cell>
          <cell r="S418">
            <v>358.60300000000001</v>
          </cell>
          <cell r="T418">
            <v>944.40299999999991</v>
          </cell>
        </row>
        <row r="419">
          <cell r="A419">
            <v>120</v>
          </cell>
          <cell r="B419">
            <v>923</v>
          </cell>
          <cell r="C419" t="str">
            <v>Eastern Europe</v>
          </cell>
          <cell r="K419" t="str">
            <v>females</v>
          </cell>
          <cell r="L419" t="str">
            <v>1995-2000</v>
          </cell>
          <cell r="M419">
            <v>9727.4959999999992</v>
          </cell>
          <cell r="N419">
            <v>139.69999999999999</v>
          </cell>
          <cell r="O419">
            <v>34.86</v>
          </cell>
          <cell r="P419">
            <v>115.985</v>
          </cell>
          <cell r="Q419">
            <v>340.76499999999999</v>
          </cell>
          <cell r="R419">
            <v>907.8</v>
          </cell>
          <cell r="S419">
            <v>1641.8229999999999</v>
          </cell>
          <cell r="T419">
            <v>6546.5629999999992</v>
          </cell>
        </row>
        <row r="420">
          <cell r="A420">
            <v>131</v>
          </cell>
          <cell r="B420">
            <v>924</v>
          </cell>
          <cell r="C420" t="str">
            <v>Northern Europe (7)</v>
          </cell>
          <cell r="K420" t="str">
            <v>females</v>
          </cell>
          <cell r="L420" t="str">
            <v>1995-2000</v>
          </cell>
          <cell r="M420">
            <v>2553.0349999999999</v>
          </cell>
          <cell r="N420">
            <v>21.757999999999999</v>
          </cell>
          <cell r="O420">
            <v>4.0090000000000003</v>
          </cell>
          <cell r="P420">
            <v>14.522</v>
          </cell>
          <cell r="Q420">
            <v>45.104999999999997</v>
          </cell>
          <cell r="R420">
            <v>162.46600000000001</v>
          </cell>
          <cell r="S420">
            <v>291.66000000000003</v>
          </cell>
          <cell r="T420">
            <v>2013.5150000000001</v>
          </cell>
        </row>
        <row r="421">
          <cell r="A421">
            <v>142</v>
          </cell>
          <cell r="B421">
            <v>925</v>
          </cell>
          <cell r="C421" t="str">
            <v>Southern Europe (8)</v>
          </cell>
          <cell r="K421" t="str">
            <v>females</v>
          </cell>
          <cell r="L421" t="str">
            <v>1995-2000</v>
          </cell>
          <cell r="M421">
            <v>3362.7840000000001</v>
          </cell>
          <cell r="N421">
            <v>40.412999999999997</v>
          </cell>
          <cell r="O421">
            <v>7.1059999999999999</v>
          </cell>
          <cell r="P421">
            <v>26.382000000000001</v>
          </cell>
          <cell r="Q421">
            <v>61.375999999999991</v>
          </cell>
          <cell r="R421">
            <v>191.81</v>
          </cell>
          <cell r="S421">
            <v>392.38499999999999</v>
          </cell>
          <cell r="T421">
            <v>2643.3120000000004</v>
          </cell>
        </row>
        <row r="422">
          <cell r="A422">
            <v>154</v>
          </cell>
          <cell r="B422">
            <v>926</v>
          </cell>
          <cell r="C422" t="str">
            <v>Western Europe (9)</v>
          </cell>
          <cell r="K422" t="str">
            <v>females</v>
          </cell>
          <cell r="L422" t="str">
            <v>1995-2000</v>
          </cell>
          <cell r="M422">
            <v>4634.9139999999998</v>
          </cell>
          <cell r="N422">
            <v>30.73</v>
          </cell>
          <cell r="O422">
            <v>6.86</v>
          </cell>
          <cell r="P422">
            <v>30.529</v>
          </cell>
          <cell r="Q422">
            <v>94.652999999999992</v>
          </cell>
          <cell r="R422">
            <v>265.44399999999996</v>
          </cell>
          <cell r="S422">
            <v>448.43299999999999</v>
          </cell>
          <cell r="T422">
            <v>3758.2650000000003</v>
          </cell>
        </row>
        <row r="423">
          <cell r="A423">
            <v>201</v>
          </cell>
          <cell r="B423">
            <v>927</v>
          </cell>
          <cell r="C423" t="str">
            <v>Australia/New Zealand</v>
          </cell>
          <cell r="K423" t="str">
            <v>females</v>
          </cell>
          <cell r="L423" t="str">
            <v>1995-2000</v>
          </cell>
          <cell r="M423">
            <v>403.71899999999999</v>
          </cell>
          <cell r="N423">
            <v>4.8639999999999999</v>
          </cell>
          <cell r="O423">
            <v>1.024</v>
          </cell>
          <cell r="P423">
            <v>4.2380000000000004</v>
          </cell>
          <cell r="Q423">
            <v>9.734</v>
          </cell>
          <cell r="R423">
            <v>27.686999999999998</v>
          </cell>
          <cell r="S423">
            <v>40.379000000000005</v>
          </cell>
          <cell r="T423">
            <v>315.79300000000006</v>
          </cell>
        </row>
        <row r="424">
          <cell r="A424">
            <v>204</v>
          </cell>
          <cell r="B424">
            <v>928</v>
          </cell>
          <cell r="C424" t="str">
            <v>Melanesia</v>
          </cell>
          <cell r="K424" t="str">
            <v>females</v>
          </cell>
          <cell r="L424" t="str">
            <v>1995-2000</v>
          </cell>
          <cell r="M424">
            <v>121.021</v>
          </cell>
          <cell r="N424">
            <v>33.222000000000001</v>
          </cell>
          <cell r="O424">
            <v>4.2430000000000003</v>
          </cell>
          <cell r="P424">
            <v>11.292999999999999</v>
          </cell>
          <cell r="Q424">
            <v>13.027000000000001</v>
          </cell>
          <cell r="R424">
            <v>19.242999999999999</v>
          </cell>
          <cell r="S424">
            <v>17.417999999999999</v>
          </cell>
          <cell r="T424">
            <v>22.574999999999999</v>
          </cell>
        </row>
        <row r="425">
          <cell r="A425">
            <v>184</v>
          </cell>
          <cell r="B425">
            <v>931</v>
          </cell>
          <cell r="C425" t="str">
            <v>South America (11)</v>
          </cell>
          <cell r="K425" t="str">
            <v>females</v>
          </cell>
          <cell r="L425" t="str">
            <v>1995-2000</v>
          </cell>
          <cell r="M425">
            <v>4911.6099999999997</v>
          </cell>
          <cell r="N425">
            <v>710.00699999999995</v>
          </cell>
          <cell r="O425">
            <v>91.6</v>
          </cell>
          <cell r="P425">
            <v>209.76399999999998</v>
          </cell>
          <cell r="Q425">
            <v>381.52100000000002</v>
          </cell>
          <cell r="R425">
            <v>637.00900000000001</v>
          </cell>
          <cell r="S425">
            <v>698.64300000000003</v>
          </cell>
          <cell r="T425">
            <v>2183.0659999999998</v>
          </cell>
        </row>
        <row r="426">
          <cell r="A426">
            <v>64</v>
          </cell>
          <cell r="B426">
            <v>935</v>
          </cell>
          <cell r="C426" t="str">
            <v>Asia</v>
          </cell>
          <cell r="K426" t="str">
            <v>females</v>
          </cell>
          <cell r="L426" t="str">
            <v>1995-2000</v>
          </cell>
          <cell r="M426">
            <v>63997.767999999996</v>
          </cell>
          <cell r="N426">
            <v>14792.686</v>
          </cell>
          <cell r="O426">
            <v>2393.9809999999998</v>
          </cell>
          <cell r="P426">
            <v>3250.1619999999998</v>
          </cell>
          <cell r="Q426">
            <v>3913.58</v>
          </cell>
          <cell r="R426">
            <v>6695.4840000000004</v>
          </cell>
          <cell r="S426">
            <v>9047.0010000000002</v>
          </cell>
          <cell r="T426">
            <v>23904.874</v>
          </cell>
        </row>
        <row r="427">
          <cell r="A427">
            <v>4</v>
          </cell>
          <cell r="B427">
            <v>941</v>
          </cell>
          <cell r="C427" t="str">
            <v>Least developed countries (#)</v>
          </cell>
          <cell r="K427" t="str">
            <v>females</v>
          </cell>
          <cell r="L427" t="str">
            <v>1995-2000</v>
          </cell>
          <cell r="M427">
            <v>21439.967000000001</v>
          </cell>
          <cell r="N427">
            <v>8706.3410000000003</v>
          </cell>
          <cell r="O427">
            <v>1722.1579999999999</v>
          </cell>
          <cell r="P427">
            <v>2043.2959999999998</v>
          </cell>
          <cell r="Q427">
            <v>2414.433</v>
          </cell>
          <cell r="R427">
            <v>2144.0569999999998</v>
          </cell>
          <cell r="S427">
            <v>1646.2440000000001</v>
          </cell>
          <cell r="T427">
            <v>2763.4380000000001</v>
          </cell>
        </row>
        <row r="428">
          <cell r="A428">
            <v>210</v>
          </cell>
          <cell r="B428">
            <v>954</v>
          </cell>
          <cell r="C428" t="str">
            <v>Micronesia (14)</v>
          </cell>
          <cell r="K428" t="str">
            <v>females</v>
          </cell>
          <cell r="L428" t="str">
            <v>1995-2000</v>
          </cell>
          <cell r="M428">
            <v>5.8460000000000001</v>
          </cell>
          <cell r="N428">
            <v>1.534</v>
          </cell>
          <cell r="O428">
            <v>0.19400000000000001</v>
          </cell>
          <cell r="P428">
            <v>0.46600000000000008</v>
          </cell>
          <cell r="Q428">
            <v>0.505</v>
          </cell>
          <cell r="R428">
            <v>0.66400000000000003</v>
          </cell>
          <cell r="S428">
            <v>0.72599999999999998</v>
          </cell>
          <cell r="T428">
            <v>1.7570000000000001</v>
          </cell>
        </row>
        <row r="429">
          <cell r="A429">
            <v>212</v>
          </cell>
          <cell r="B429">
            <v>957</v>
          </cell>
          <cell r="C429" t="str">
            <v>Polynesia (15)</v>
          </cell>
          <cell r="K429" t="str">
            <v>females</v>
          </cell>
          <cell r="L429" t="str">
            <v>1995-2000</v>
          </cell>
          <cell r="M429">
            <v>6.2160000000000002</v>
          </cell>
          <cell r="N429">
            <v>0.79200000000000004</v>
          </cell>
          <cell r="O429">
            <v>0.09</v>
          </cell>
          <cell r="P429">
            <v>0.222</v>
          </cell>
          <cell r="Q429">
            <v>0.38800000000000001</v>
          </cell>
          <cell r="R429">
            <v>0.90600000000000003</v>
          </cell>
          <cell r="S429">
            <v>1.1739999999999999</v>
          </cell>
          <cell r="T429">
            <v>2.6439999999999997</v>
          </cell>
        </row>
        <row r="430">
          <cell r="A430">
            <v>74</v>
          </cell>
          <cell r="B430">
            <v>4</v>
          </cell>
          <cell r="C430" t="str">
            <v>Afghanistan</v>
          </cell>
          <cell r="D430">
            <v>0</v>
          </cell>
          <cell r="E430">
            <v>3</v>
          </cell>
          <cell r="F430" t="str">
            <v>Emro</v>
          </cell>
          <cell r="G430">
            <v>8</v>
          </cell>
          <cell r="H430" t="str">
            <v>mec</v>
          </cell>
          <cell r="I430">
            <v>1</v>
          </cell>
          <cell r="J430" t="str">
            <v>low and middle</v>
          </cell>
          <cell r="K430" t="str">
            <v>males</v>
          </cell>
          <cell r="L430" t="str">
            <v>1995-2000</v>
          </cell>
          <cell r="M430">
            <v>1130.241</v>
          </cell>
          <cell r="N430">
            <v>677.22500000000002</v>
          </cell>
          <cell r="O430">
            <v>54.83</v>
          </cell>
          <cell r="P430">
            <v>82.22399999999999</v>
          </cell>
          <cell r="Q430">
            <v>70.189000000000007</v>
          </cell>
          <cell r="R430">
            <v>85.754999999999995</v>
          </cell>
          <cell r="S430">
            <v>72.146000000000001</v>
          </cell>
          <cell r="T430">
            <v>87.872</v>
          </cell>
        </row>
        <row r="431">
          <cell r="A431">
            <v>143</v>
          </cell>
          <cell r="B431">
            <v>8</v>
          </cell>
          <cell r="C431" t="str">
            <v>Albania</v>
          </cell>
          <cell r="D431">
            <v>0</v>
          </cell>
          <cell r="E431">
            <v>4</v>
          </cell>
          <cell r="F431" t="str">
            <v>Euro</v>
          </cell>
          <cell r="G431">
            <v>2</v>
          </cell>
          <cell r="H431" t="str">
            <v>fse</v>
          </cell>
          <cell r="I431">
            <v>1</v>
          </cell>
          <cell r="J431" t="str">
            <v>low and middle</v>
          </cell>
          <cell r="K431" t="str">
            <v>males</v>
          </cell>
          <cell r="L431" t="str">
            <v>1995-2000</v>
          </cell>
          <cell r="M431">
            <v>49.06</v>
          </cell>
          <cell r="N431">
            <v>7.5830000000000002</v>
          </cell>
          <cell r="O431">
            <v>1.1160000000000001</v>
          </cell>
          <cell r="P431">
            <v>2.004</v>
          </cell>
          <cell r="Q431">
            <v>2.403</v>
          </cell>
          <cell r="R431">
            <v>6.0270000000000001</v>
          </cell>
          <cell r="S431">
            <v>9.7910000000000004</v>
          </cell>
          <cell r="T431">
            <v>20.135999999999999</v>
          </cell>
        </row>
        <row r="432">
          <cell r="A432">
            <v>34</v>
          </cell>
          <cell r="B432">
            <v>12</v>
          </cell>
          <cell r="C432" t="str">
            <v>Algeria</v>
          </cell>
          <cell r="D432">
            <v>0</v>
          </cell>
          <cell r="E432">
            <v>1</v>
          </cell>
          <cell r="F432" t="str">
            <v>Afro</v>
          </cell>
          <cell r="G432">
            <v>8</v>
          </cell>
          <cell r="H432" t="str">
            <v>mec</v>
          </cell>
          <cell r="I432">
            <v>1</v>
          </cell>
          <cell r="J432" t="str">
            <v>low and middle</v>
          </cell>
          <cell r="K432" t="str">
            <v>males</v>
          </cell>
          <cell r="L432" t="str">
            <v>1995-2000</v>
          </cell>
          <cell r="M432">
            <v>447.14100000000002</v>
          </cell>
          <cell r="N432">
            <v>126.363</v>
          </cell>
          <cell r="O432">
            <v>18.495000000000001</v>
          </cell>
          <cell r="P432">
            <v>28.945</v>
          </cell>
          <cell r="Q432">
            <v>28.773000000000003</v>
          </cell>
          <cell r="R432">
            <v>40.771999999999998</v>
          </cell>
          <cell r="S432">
            <v>61.683</v>
          </cell>
          <cell r="T432">
            <v>142.11000000000001</v>
          </cell>
        </row>
        <row r="433">
          <cell r="A433">
            <v>25</v>
          </cell>
          <cell r="B433">
            <v>24</v>
          </cell>
          <cell r="C433" t="str">
            <v>Angola</v>
          </cell>
          <cell r="D433">
            <v>0</v>
          </cell>
          <cell r="E433">
            <v>1</v>
          </cell>
          <cell r="F433" t="str">
            <v>Afro</v>
          </cell>
          <cell r="G433">
            <v>6</v>
          </cell>
          <cell r="H433" t="str">
            <v>ssa</v>
          </cell>
          <cell r="I433">
            <v>1</v>
          </cell>
          <cell r="J433" t="str">
            <v>low and middle</v>
          </cell>
          <cell r="K433" t="str">
            <v>males</v>
          </cell>
          <cell r="L433" t="str">
            <v>1995-2000</v>
          </cell>
          <cell r="M433">
            <v>583.79499999999996</v>
          </cell>
          <cell r="N433">
            <v>321.18299999999999</v>
          </cell>
          <cell r="O433">
            <v>52.555</v>
          </cell>
          <cell r="P433">
            <v>50.716999999999999</v>
          </cell>
          <cell r="Q433">
            <v>40.268999999999998</v>
          </cell>
          <cell r="R433">
            <v>41.536999999999999</v>
          </cell>
          <cell r="S433">
            <v>33.137</v>
          </cell>
          <cell r="T433">
            <v>44.396999999999998</v>
          </cell>
        </row>
        <row r="434">
          <cell r="A434">
            <v>102</v>
          </cell>
          <cell r="B434">
            <v>31</v>
          </cell>
          <cell r="C434" t="str">
            <v>Azerbaijan</v>
          </cell>
          <cell r="D434">
            <v>0</v>
          </cell>
          <cell r="E434">
            <v>4</v>
          </cell>
          <cell r="F434" t="str">
            <v>Euro</v>
          </cell>
          <cell r="G434">
            <v>8</v>
          </cell>
          <cell r="H434" t="str">
            <v>mec</v>
          </cell>
          <cell r="I434">
            <v>1</v>
          </cell>
          <cell r="J434" t="str">
            <v>low and middle</v>
          </cell>
          <cell r="K434" t="str">
            <v>males</v>
          </cell>
          <cell r="L434" t="str">
            <v>1995-2000</v>
          </cell>
          <cell r="M434">
            <v>140.941</v>
          </cell>
          <cell r="N434">
            <v>18.690000000000001</v>
          </cell>
          <cell r="O434">
            <v>3.0490000000000004</v>
          </cell>
          <cell r="P434">
            <v>7.1080000000000005</v>
          </cell>
          <cell r="Q434">
            <v>15.745999999999999</v>
          </cell>
          <cell r="R434">
            <v>23.526</v>
          </cell>
          <cell r="S434">
            <v>35.055999999999997</v>
          </cell>
          <cell r="T434">
            <v>37.766000000000005</v>
          </cell>
        </row>
        <row r="435">
          <cell r="A435">
            <v>185</v>
          </cell>
          <cell r="B435">
            <v>32</v>
          </cell>
          <cell r="C435" t="str">
            <v>Argentina</v>
          </cell>
          <cell r="D435">
            <v>0</v>
          </cell>
          <cell r="E435">
            <v>2</v>
          </cell>
          <cell r="F435" t="str">
            <v>Amro</v>
          </cell>
          <cell r="G435">
            <v>7</v>
          </cell>
          <cell r="H435" t="str">
            <v>lac</v>
          </cell>
          <cell r="I435">
            <v>1</v>
          </cell>
          <cell r="J435" t="str">
            <v>low and middle</v>
          </cell>
          <cell r="K435" t="str">
            <v>males</v>
          </cell>
          <cell r="L435" t="str">
            <v>1995-2000</v>
          </cell>
          <cell r="M435">
            <v>769.08100000000002</v>
          </cell>
          <cell r="N435">
            <v>51.889000000000003</v>
          </cell>
          <cell r="O435">
            <v>6.2969999999999997</v>
          </cell>
          <cell r="P435">
            <v>24.805</v>
          </cell>
          <cell r="Q435">
            <v>41.822000000000003</v>
          </cell>
          <cell r="R435">
            <v>119.974</v>
          </cell>
          <cell r="S435">
            <v>152.34199999999998</v>
          </cell>
          <cell r="T435">
            <v>371.95199999999994</v>
          </cell>
        </row>
        <row r="436">
          <cell r="A436">
            <v>202</v>
          </cell>
          <cell r="B436">
            <v>36</v>
          </cell>
          <cell r="C436" t="str">
            <v>Australia (13)</v>
          </cell>
          <cell r="D436">
            <v>0</v>
          </cell>
          <cell r="E436">
            <v>6</v>
          </cell>
          <cell r="F436" t="str">
            <v>Wpro</v>
          </cell>
          <cell r="G436">
            <v>1</v>
          </cell>
          <cell r="H436" t="str">
            <v>eme</v>
          </cell>
          <cell r="I436">
            <v>4</v>
          </cell>
          <cell r="J436" t="str">
            <v>high</v>
          </cell>
          <cell r="K436" t="str">
            <v>males</v>
          </cell>
          <cell r="L436" t="str">
            <v>1995-2000</v>
          </cell>
          <cell r="M436">
            <v>365.09300000000002</v>
          </cell>
          <cell r="N436">
            <v>5.0750000000000002</v>
          </cell>
          <cell r="O436">
            <v>1.306</v>
          </cell>
          <cell r="P436">
            <v>9.536999999999999</v>
          </cell>
          <cell r="Q436">
            <v>16.11</v>
          </cell>
          <cell r="R436">
            <v>38.082999999999998</v>
          </cell>
          <cell r="S436">
            <v>60.938000000000002</v>
          </cell>
          <cell r="T436">
            <v>234.04400000000001</v>
          </cell>
        </row>
        <row r="437">
          <cell r="A437">
            <v>155</v>
          </cell>
          <cell r="B437">
            <v>40</v>
          </cell>
          <cell r="C437" t="str">
            <v>Austria</v>
          </cell>
          <cell r="D437">
            <v>0</v>
          </cell>
          <cell r="E437">
            <v>4</v>
          </cell>
          <cell r="F437" t="str">
            <v>Euro</v>
          </cell>
          <cell r="G437">
            <v>1</v>
          </cell>
          <cell r="H437" t="str">
            <v>eme</v>
          </cell>
          <cell r="I437">
            <v>4</v>
          </cell>
          <cell r="J437" t="str">
            <v>high</v>
          </cell>
          <cell r="K437" t="str">
            <v>males</v>
          </cell>
          <cell r="L437" t="str">
            <v>1995-2000</v>
          </cell>
          <cell r="M437">
            <v>190.53100000000001</v>
          </cell>
          <cell r="N437">
            <v>1.9079999999999999</v>
          </cell>
          <cell r="O437">
            <v>0.51700000000000002</v>
          </cell>
          <cell r="P437">
            <v>4.4510000000000005</v>
          </cell>
          <cell r="Q437">
            <v>9.0050000000000008</v>
          </cell>
          <cell r="R437">
            <v>24.866</v>
          </cell>
          <cell r="S437">
            <v>36.442999999999998</v>
          </cell>
          <cell r="T437">
            <v>113.34100000000001</v>
          </cell>
        </row>
        <row r="438">
          <cell r="A438">
            <v>164</v>
          </cell>
          <cell r="B438">
            <v>44</v>
          </cell>
          <cell r="C438" t="str">
            <v>Bahamas</v>
          </cell>
          <cell r="D438">
            <v>0</v>
          </cell>
          <cell r="E438">
            <v>2</v>
          </cell>
          <cell r="F438" t="str">
            <v>Amro</v>
          </cell>
          <cell r="G438">
            <v>7</v>
          </cell>
          <cell r="H438" t="str">
            <v>lac</v>
          </cell>
          <cell r="I438">
            <v>4</v>
          </cell>
          <cell r="J438" t="str">
            <v>high</v>
          </cell>
          <cell r="K438" t="str">
            <v>males</v>
          </cell>
          <cell r="L438" t="str">
            <v>1995-2000</v>
          </cell>
          <cell r="M438">
            <v>4.1239999999999997</v>
          </cell>
          <cell r="N438">
            <v>0.35</v>
          </cell>
          <cell r="O438">
            <v>5.1000000000000004E-2</v>
          </cell>
          <cell r="P438">
            <v>0.28800000000000003</v>
          </cell>
          <cell r="Q438">
            <v>0.57699999999999996</v>
          </cell>
          <cell r="R438">
            <v>0.80200000000000005</v>
          </cell>
          <cell r="S438">
            <v>0.70300000000000007</v>
          </cell>
          <cell r="T438">
            <v>1.353</v>
          </cell>
        </row>
        <row r="439">
          <cell r="A439">
            <v>103</v>
          </cell>
          <cell r="B439">
            <v>48</v>
          </cell>
          <cell r="C439" t="str">
            <v>Bahrain</v>
          </cell>
          <cell r="D439">
            <v>0</v>
          </cell>
          <cell r="E439">
            <v>3</v>
          </cell>
          <cell r="F439" t="str">
            <v>Emro</v>
          </cell>
          <cell r="G439">
            <v>8</v>
          </cell>
          <cell r="H439" t="str">
            <v>mec</v>
          </cell>
          <cell r="I439">
            <v>1</v>
          </cell>
          <cell r="J439" t="str">
            <v>low and middle</v>
          </cell>
          <cell r="K439" t="str">
            <v>males</v>
          </cell>
          <cell r="L439" t="str">
            <v>1995-2000</v>
          </cell>
          <cell r="M439">
            <v>6.8230000000000004</v>
          </cell>
          <cell r="N439">
            <v>0.83699999999999997</v>
          </cell>
          <cell r="O439">
            <v>0.112</v>
          </cell>
          <cell r="P439">
            <v>0.33300000000000002</v>
          </cell>
          <cell r="Q439">
            <v>0.96399999999999997</v>
          </cell>
          <cell r="R439">
            <v>1.53</v>
          </cell>
          <cell r="S439">
            <v>1.149</v>
          </cell>
          <cell r="T439">
            <v>1.8980000000000001</v>
          </cell>
        </row>
        <row r="440">
          <cell r="A440">
            <v>75</v>
          </cell>
          <cell r="B440">
            <v>50</v>
          </cell>
          <cell r="C440" t="str">
            <v>Bangladesh</v>
          </cell>
          <cell r="D440">
            <v>0</v>
          </cell>
          <cell r="E440">
            <v>5</v>
          </cell>
          <cell r="F440" t="str">
            <v>Searo</v>
          </cell>
          <cell r="G440">
            <v>5</v>
          </cell>
          <cell r="H440" t="str">
            <v>oai</v>
          </cell>
          <cell r="I440">
            <v>1</v>
          </cell>
          <cell r="J440" t="str">
            <v>low and middle</v>
          </cell>
          <cell r="K440" t="str">
            <v>males</v>
          </cell>
          <cell r="L440" t="str">
            <v>1995-2000</v>
          </cell>
          <cell r="M440">
            <v>3030.8389999999999</v>
          </cell>
          <cell r="N440">
            <v>924.26</v>
          </cell>
          <cell r="O440">
            <v>142.69</v>
          </cell>
          <cell r="P440">
            <v>314.39400000000001</v>
          </cell>
          <cell r="Q440">
            <v>287.80799999999999</v>
          </cell>
          <cell r="R440">
            <v>419.15200000000004</v>
          </cell>
          <cell r="S440">
            <v>365.75400000000002</v>
          </cell>
          <cell r="T440">
            <v>576.78099999999995</v>
          </cell>
        </row>
        <row r="441">
          <cell r="A441">
            <v>101</v>
          </cell>
          <cell r="B441">
            <v>51</v>
          </cell>
          <cell r="C441" t="str">
            <v>Armenia</v>
          </cell>
          <cell r="D441">
            <v>0</v>
          </cell>
          <cell r="E441">
            <v>4</v>
          </cell>
          <cell r="F441" t="str">
            <v>Euro</v>
          </cell>
          <cell r="G441">
            <v>8</v>
          </cell>
          <cell r="H441" t="str">
            <v>mec</v>
          </cell>
          <cell r="I441">
            <v>1</v>
          </cell>
          <cell r="J441" t="str">
            <v>low and middle</v>
          </cell>
          <cell r="K441" t="str">
            <v>males</v>
          </cell>
          <cell r="L441" t="str">
            <v>1995-2000</v>
          </cell>
          <cell r="M441">
            <v>71.784999999999997</v>
          </cell>
          <cell r="N441">
            <v>4.3390000000000004</v>
          </cell>
          <cell r="O441">
            <v>0.86799999999999999</v>
          </cell>
          <cell r="P441">
            <v>2.8109999999999999</v>
          </cell>
          <cell r="Q441">
            <v>7.2960000000000003</v>
          </cell>
          <cell r="R441">
            <v>11.94</v>
          </cell>
          <cell r="S441">
            <v>19.66</v>
          </cell>
          <cell r="T441">
            <v>24.870999999999999</v>
          </cell>
        </row>
        <row r="442">
          <cell r="A442">
            <v>165</v>
          </cell>
          <cell r="B442">
            <v>52</v>
          </cell>
          <cell r="C442" t="str">
            <v>Barbados</v>
          </cell>
          <cell r="D442">
            <v>0</v>
          </cell>
          <cell r="E442">
            <v>2</v>
          </cell>
          <cell r="F442" t="str">
            <v>Amro</v>
          </cell>
          <cell r="G442">
            <v>7</v>
          </cell>
          <cell r="H442" t="str">
            <v>lac</v>
          </cell>
          <cell r="I442">
            <v>1</v>
          </cell>
          <cell r="J442" t="str">
            <v>low and middle</v>
          </cell>
          <cell r="K442" t="str">
            <v>males</v>
          </cell>
          <cell r="L442" t="str">
            <v>1995-2000</v>
          </cell>
          <cell r="M442">
            <v>5.1509999999999998</v>
          </cell>
          <cell r="N442">
            <v>0.125</v>
          </cell>
          <cell r="O442">
            <v>2.5000000000000001E-2</v>
          </cell>
          <cell r="P442">
            <v>0.10200000000000001</v>
          </cell>
          <cell r="Q442">
            <v>0.216</v>
          </cell>
          <cell r="R442">
            <v>0.52400000000000002</v>
          </cell>
          <cell r="S442">
            <v>0.70599999999999996</v>
          </cell>
          <cell r="T442">
            <v>3.4529999999999998</v>
          </cell>
        </row>
        <row r="443">
          <cell r="A443">
            <v>156</v>
          </cell>
          <cell r="B443">
            <v>56</v>
          </cell>
          <cell r="C443" t="str">
            <v>Belgium</v>
          </cell>
          <cell r="D443">
            <v>0</v>
          </cell>
          <cell r="E443">
            <v>4</v>
          </cell>
          <cell r="F443" t="str">
            <v>Euro</v>
          </cell>
          <cell r="G443">
            <v>1</v>
          </cell>
          <cell r="H443" t="str">
            <v>eme</v>
          </cell>
          <cell r="I443">
            <v>4</v>
          </cell>
          <cell r="J443" t="str">
            <v>high</v>
          </cell>
          <cell r="K443" t="str">
            <v>males</v>
          </cell>
          <cell r="L443" t="str">
            <v>1995-2000</v>
          </cell>
          <cell r="M443">
            <v>272.98700000000002</v>
          </cell>
          <cell r="N443">
            <v>2.5590000000000002</v>
          </cell>
          <cell r="O443">
            <v>0.56800000000000006</v>
          </cell>
          <cell r="P443">
            <v>4.2</v>
          </cell>
          <cell r="Q443">
            <v>8.6259999999999994</v>
          </cell>
          <cell r="R443">
            <v>27.277999999999999</v>
          </cell>
          <cell r="S443">
            <v>53.494999999999997</v>
          </cell>
          <cell r="T443">
            <v>176.261</v>
          </cell>
        </row>
        <row r="444">
          <cell r="A444">
            <v>76</v>
          </cell>
          <cell r="B444">
            <v>64</v>
          </cell>
          <cell r="C444" t="str">
            <v>Bhutan</v>
          </cell>
          <cell r="D444">
            <v>0</v>
          </cell>
          <cell r="E444">
            <v>5</v>
          </cell>
          <cell r="F444" t="str">
            <v>Searo</v>
          </cell>
          <cell r="G444">
            <v>5</v>
          </cell>
          <cell r="H444" t="str">
            <v>oai</v>
          </cell>
          <cell r="I444">
            <v>1</v>
          </cell>
          <cell r="J444" t="str">
            <v>low and middle</v>
          </cell>
          <cell r="K444" t="str">
            <v>males</v>
          </cell>
          <cell r="L444" t="str">
            <v>1995-2000</v>
          </cell>
          <cell r="M444">
            <v>50.798000000000002</v>
          </cell>
          <cell r="N444">
            <v>19.082999999999998</v>
          </cell>
          <cell r="O444">
            <v>3.36</v>
          </cell>
          <cell r="P444">
            <v>4.7770000000000001</v>
          </cell>
          <cell r="Q444">
            <v>4.282</v>
          </cell>
          <cell r="R444">
            <v>5.26</v>
          </cell>
          <cell r="S444">
            <v>5.117</v>
          </cell>
          <cell r="T444">
            <v>8.9189999999999987</v>
          </cell>
        </row>
        <row r="445">
          <cell r="A445">
            <v>186</v>
          </cell>
          <cell r="B445">
            <v>68</v>
          </cell>
          <cell r="C445" t="str">
            <v>Bolivia</v>
          </cell>
          <cell r="D445">
            <v>0</v>
          </cell>
          <cell r="E445">
            <v>2</v>
          </cell>
          <cell r="F445" t="str">
            <v>Amro</v>
          </cell>
          <cell r="G445">
            <v>7</v>
          </cell>
          <cell r="H445" t="str">
            <v>lac</v>
          </cell>
          <cell r="I445">
            <v>1</v>
          </cell>
          <cell r="J445" t="str">
            <v>low and middle</v>
          </cell>
          <cell r="K445" t="str">
            <v>males</v>
          </cell>
          <cell r="L445" t="str">
            <v>1995-2000</v>
          </cell>
          <cell r="M445">
            <v>187.935</v>
          </cell>
          <cell r="N445">
            <v>62.96</v>
          </cell>
          <cell r="O445">
            <v>11.531000000000001</v>
          </cell>
          <cell r="P445">
            <v>17.565000000000001</v>
          </cell>
          <cell r="Q445">
            <v>16.675000000000001</v>
          </cell>
          <cell r="R445">
            <v>21.652999999999999</v>
          </cell>
          <cell r="S445">
            <v>21.591000000000001</v>
          </cell>
          <cell r="T445">
            <v>35.96</v>
          </cell>
        </row>
        <row r="446">
          <cell r="A446">
            <v>144</v>
          </cell>
          <cell r="B446">
            <v>70</v>
          </cell>
          <cell r="C446" t="str">
            <v>Bosnia and Herzegovina</v>
          </cell>
          <cell r="D446">
            <v>0</v>
          </cell>
          <cell r="E446">
            <v>4</v>
          </cell>
          <cell r="F446" t="str">
            <v>Euro</v>
          </cell>
          <cell r="G446">
            <v>2</v>
          </cell>
          <cell r="H446" t="str">
            <v>fse</v>
          </cell>
          <cell r="I446">
            <v>1</v>
          </cell>
          <cell r="J446" t="str">
            <v>low and middle</v>
          </cell>
          <cell r="K446" t="str">
            <v>males</v>
          </cell>
          <cell r="L446" t="str">
            <v>1995-2000</v>
          </cell>
          <cell r="M446">
            <v>71.712000000000003</v>
          </cell>
          <cell r="N446">
            <v>2.0579999999999998</v>
          </cell>
          <cell r="O446">
            <v>0.45500000000000002</v>
          </cell>
          <cell r="P446">
            <v>2.1150000000000002</v>
          </cell>
          <cell r="Q446">
            <v>5.4770000000000003</v>
          </cell>
          <cell r="R446">
            <v>13.039000000000001</v>
          </cell>
          <cell r="S446">
            <v>20.56</v>
          </cell>
          <cell r="T446">
            <v>28.007999999999999</v>
          </cell>
        </row>
        <row r="447">
          <cell r="A447">
            <v>42</v>
          </cell>
          <cell r="B447">
            <v>72</v>
          </cell>
          <cell r="C447" t="str">
            <v>Botswana</v>
          </cell>
          <cell r="D447">
            <v>0</v>
          </cell>
          <cell r="E447">
            <v>1</v>
          </cell>
          <cell r="F447" t="str">
            <v>Afro</v>
          </cell>
          <cell r="G447">
            <v>6</v>
          </cell>
          <cell r="H447" t="str">
            <v>ssa</v>
          </cell>
          <cell r="I447">
            <v>1</v>
          </cell>
          <cell r="J447" t="str">
            <v>low and middle</v>
          </cell>
          <cell r="K447" t="str">
            <v>males</v>
          </cell>
          <cell r="L447" t="str">
            <v>1995-2000</v>
          </cell>
          <cell r="M447">
            <v>56.427</v>
          </cell>
          <cell r="N447">
            <v>14.73</v>
          </cell>
          <cell r="O447">
            <v>2.5670000000000002</v>
          </cell>
          <cell r="P447">
            <v>6.2069999999999999</v>
          </cell>
          <cell r="Q447">
            <v>13.762999999999998</v>
          </cell>
          <cell r="R447">
            <v>11.045</v>
          </cell>
          <cell r="S447">
            <v>3.9630000000000001</v>
          </cell>
          <cell r="T447">
            <v>4.1519999999999992</v>
          </cell>
        </row>
        <row r="448">
          <cell r="A448">
            <v>187</v>
          </cell>
          <cell r="B448">
            <v>76</v>
          </cell>
          <cell r="C448" t="str">
            <v>Brazil</v>
          </cell>
          <cell r="D448">
            <v>0</v>
          </cell>
          <cell r="E448">
            <v>2</v>
          </cell>
          <cell r="F448" t="str">
            <v>Amro</v>
          </cell>
          <cell r="G448">
            <v>7</v>
          </cell>
          <cell r="H448" t="str">
            <v>lac</v>
          </cell>
          <cell r="I448">
            <v>1</v>
          </cell>
          <cell r="J448" t="str">
            <v>low and middle</v>
          </cell>
          <cell r="K448" t="str">
            <v>males</v>
          </cell>
          <cell r="L448" t="str">
            <v>1995-2000</v>
          </cell>
          <cell r="M448">
            <v>3466.3989999999999</v>
          </cell>
          <cell r="N448">
            <v>472.45600000000002</v>
          </cell>
          <cell r="O448">
            <v>73.903000000000006</v>
          </cell>
          <cell r="P448">
            <v>316.988</v>
          </cell>
          <cell r="Q448">
            <v>513.11200000000008</v>
          </cell>
          <cell r="R448">
            <v>643.11800000000005</v>
          </cell>
          <cell r="S448">
            <v>520.87199999999996</v>
          </cell>
          <cell r="T448">
            <v>925.95</v>
          </cell>
        </row>
        <row r="449">
          <cell r="A449">
            <v>176</v>
          </cell>
          <cell r="B449">
            <v>84</v>
          </cell>
          <cell r="C449" t="str">
            <v>Belize</v>
          </cell>
          <cell r="D449">
            <v>0</v>
          </cell>
          <cell r="E449">
            <v>2</v>
          </cell>
          <cell r="F449" t="str">
            <v>Amro</v>
          </cell>
          <cell r="G449">
            <v>7</v>
          </cell>
          <cell r="H449" t="str">
            <v>lac</v>
          </cell>
          <cell r="I449">
            <v>1</v>
          </cell>
          <cell r="J449" t="str">
            <v>low and middle</v>
          </cell>
          <cell r="K449" t="str">
            <v>males</v>
          </cell>
          <cell r="L449" t="str">
            <v>1995-2000</v>
          </cell>
          <cell r="M449">
            <v>2.5419999999999998</v>
          </cell>
          <cell r="N449">
            <v>0.66600000000000004</v>
          </cell>
          <cell r="O449">
            <v>6.4000000000000001E-2</v>
          </cell>
          <cell r="P449">
            <v>0.126</v>
          </cell>
          <cell r="Q449">
            <v>0.14200000000000002</v>
          </cell>
          <cell r="R449">
            <v>0.21099999999999999</v>
          </cell>
          <cell r="S449">
            <v>0.33200000000000002</v>
          </cell>
          <cell r="T449">
            <v>1.0009999999999999</v>
          </cell>
        </row>
        <row r="450">
          <cell r="A450">
            <v>208</v>
          </cell>
          <cell r="B450">
            <v>90</v>
          </cell>
          <cell r="C450" t="str">
            <v>Solomon Islands</v>
          </cell>
          <cell r="D450">
            <v>0</v>
          </cell>
          <cell r="E450">
            <v>6</v>
          </cell>
          <cell r="F450" t="str">
            <v>Wpro</v>
          </cell>
          <cell r="G450">
            <v>5</v>
          </cell>
          <cell r="H450" t="str">
            <v>oai</v>
          </cell>
          <cell r="I450">
            <v>1</v>
          </cell>
          <cell r="J450" t="str">
            <v>low and middle</v>
          </cell>
          <cell r="K450" t="str">
            <v>males</v>
          </cell>
          <cell r="L450" t="str">
            <v>1995-2000</v>
          </cell>
          <cell r="M450">
            <v>4.835</v>
          </cell>
          <cell r="N450">
            <v>1.204</v>
          </cell>
          <cell r="O450">
            <v>0.14100000000000001</v>
          </cell>
          <cell r="P450">
            <v>0.34</v>
          </cell>
          <cell r="Q450">
            <v>0.32</v>
          </cell>
          <cell r="R450">
            <v>0.67</v>
          </cell>
          <cell r="S450">
            <v>0.77699999999999991</v>
          </cell>
          <cell r="T450">
            <v>1.3829999999999998</v>
          </cell>
        </row>
        <row r="451">
          <cell r="A451">
            <v>89</v>
          </cell>
          <cell r="B451">
            <v>96</v>
          </cell>
          <cell r="C451" t="str">
            <v>Brunei Darussalam</v>
          </cell>
          <cell r="D451">
            <v>0</v>
          </cell>
          <cell r="E451">
            <v>6</v>
          </cell>
          <cell r="F451" t="str">
            <v>Wpro</v>
          </cell>
          <cell r="G451">
            <v>5</v>
          </cell>
          <cell r="H451" t="str">
            <v>oai</v>
          </cell>
          <cell r="I451">
            <v>4</v>
          </cell>
          <cell r="J451" t="str">
            <v>high</v>
          </cell>
          <cell r="K451" t="str">
            <v>males</v>
          </cell>
          <cell r="L451" t="str">
            <v>1995-2000</v>
          </cell>
          <cell r="M451">
            <v>2.9279999999999999</v>
          </cell>
          <cell r="N451">
            <v>0.216</v>
          </cell>
          <cell r="O451">
            <v>6.7000000000000004E-2</v>
          </cell>
          <cell r="P451">
            <v>0.22699999999999998</v>
          </cell>
          <cell r="Q451">
            <v>0.27800000000000002</v>
          </cell>
          <cell r="R451">
            <v>0.54699999999999993</v>
          </cell>
          <cell r="S451">
            <v>0.49099999999999999</v>
          </cell>
          <cell r="T451">
            <v>1.1019999999999999</v>
          </cell>
        </row>
        <row r="452">
          <cell r="A452">
            <v>122</v>
          </cell>
          <cell r="B452">
            <v>100</v>
          </cell>
          <cell r="C452" t="str">
            <v>Bulgaria</v>
          </cell>
          <cell r="D452">
            <v>0</v>
          </cell>
          <cell r="E452">
            <v>4</v>
          </cell>
          <cell r="F452" t="str">
            <v>Euro</v>
          </cell>
          <cell r="G452">
            <v>2</v>
          </cell>
          <cell r="H452" t="str">
            <v>fse</v>
          </cell>
          <cell r="I452">
            <v>1</v>
          </cell>
          <cell r="J452" t="str">
            <v>low and middle</v>
          </cell>
          <cell r="K452" t="str">
            <v>males</v>
          </cell>
          <cell r="L452" t="str">
            <v>1995-2000</v>
          </cell>
          <cell r="M452">
            <v>304.24599999999998</v>
          </cell>
          <cell r="N452">
            <v>4.617</v>
          </cell>
          <cell r="O452">
            <v>1.3959999999999999</v>
          </cell>
          <cell r="P452">
            <v>6.6019999999999994</v>
          </cell>
          <cell r="Q452">
            <v>14.585000000000001</v>
          </cell>
          <cell r="R452">
            <v>46.317</v>
          </cell>
          <cell r="S452">
            <v>69.361000000000004</v>
          </cell>
          <cell r="T452">
            <v>161.36799999999999</v>
          </cell>
        </row>
        <row r="453">
          <cell r="A453">
            <v>95</v>
          </cell>
          <cell r="B453">
            <v>104</v>
          </cell>
          <cell r="C453" t="str">
            <v>Myanmar</v>
          </cell>
          <cell r="D453">
            <v>0</v>
          </cell>
          <cell r="E453">
            <v>5</v>
          </cell>
          <cell r="F453" t="str">
            <v>Searo</v>
          </cell>
          <cell r="G453">
            <v>5</v>
          </cell>
          <cell r="H453" t="str">
            <v>oai</v>
          </cell>
          <cell r="I453">
            <v>1</v>
          </cell>
          <cell r="J453" t="str">
            <v>low and middle</v>
          </cell>
          <cell r="K453" t="str">
            <v>males</v>
          </cell>
          <cell r="L453" t="str">
            <v>1995-2000</v>
          </cell>
          <cell r="M453">
            <v>1085.1199999999999</v>
          </cell>
          <cell r="N453">
            <v>293.82400000000001</v>
          </cell>
          <cell r="O453">
            <v>45.513999999999996</v>
          </cell>
          <cell r="P453">
            <v>63.426000000000002</v>
          </cell>
          <cell r="Q453">
            <v>91.42</v>
          </cell>
          <cell r="R453">
            <v>157.495</v>
          </cell>
          <cell r="S453">
            <v>184.03199999999998</v>
          </cell>
          <cell r="T453">
            <v>249.40899999999999</v>
          </cell>
        </row>
        <row r="454">
          <cell r="A454">
            <v>7</v>
          </cell>
          <cell r="B454">
            <v>108</v>
          </cell>
          <cell r="C454" t="str">
            <v>Burundi</v>
          </cell>
          <cell r="D454">
            <v>0</v>
          </cell>
          <cell r="E454">
            <v>1</v>
          </cell>
          <cell r="F454" t="str">
            <v>Afro</v>
          </cell>
          <cell r="G454">
            <v>6</v>
          </cell>
          <cell r="H454" t="str">
            <v>ssa</v>
          </cell>
          <cell r="I454">
            <v>1</v>
          </cell>
          <cell r="J454" t="str">
            <v>low and middle</v>
          </cell>
          <cell r="K454" t="str">
            <v>males</v>
          </cell>
          <cell r="L454" t="str">
            <v>1995-2000</v>
          </cell>
          <cell r="M454">
            <v>322.49900000000002</v>
          </cell>
          <cell r="N454">
            <v>136.06700000000001</v>
          </cell>
          <cell r="O454">
            <v>35.585000000000001</v>
          </cell>
          <cell r="P454">
            <v>32.25</v>
          </cell>
          <cell r="Q454">
            <v>45.579000000000001</v>
          </cell>
          <cell r="R454">
            <v>33.494999999999997</v>
          </cell>
          <cell r="S454">
            <v>16.117000000000001</v>
          </cell>
          <cell r="T454">
            <v>23.405999999999999</v>
          </cell>
        </row>
        <row r="455">
          <cell r="A455">
            <v>121</v>
          </cell>
          <cell r="B455">
            <v>112</v>
          </cell>
          <cell r="C455" t="str">
            <v>Belarus</v>
          </cell>
          <cell r="D455">
            <v>0</v>
          </cell>
          <cell r="E455">
            <v>4</v>
          </cell>
          <cell r="F455" t="str">
            <v>Euro</v>
          </cell>
          <cell r="G455">
            <v>2</v>
          </cell>
          <cell r="H455" t="str">
            <v>fse</v>
          </cell>
          <cell r="I455">
            <v>1</v>
          </cell>
          <cell r="J455" t="str">
            <v>low and middle</v>
          </cell>
          <cell r="K455" t="str">
            <v>males</v>
          </cell>
          <cell r="L455" t="str">
            <v>1995-2000</v>
          </cell>
          <cell r="M455">
            <v>348.53</v>
          </cell>
          <cell r="N455">
            <v>10.057</v>
          </cell>
          <cell r="O455">
            <v>3.0020000000000002</v>
          </cell>
          <cell r="P455">
            <v>14.891999999999999</v>
          </cell>
          <cell r="Q455">
            <v>36.383000000000003</v>
          </cell>
          <cell r="R455">
            <v>72.097000000000008</v>
          </cell>
          <cell r="S455">
            <v>88.927999999999997</v>
          </cell>
          <cell r="T455">
            <v>123.17100000000001</v>
          </cell>
        </row>
        <row r="456">
          <cell r="A456">
            <v>90</v>
          </cell>
          <cell r="B456">
            <v>116</v>
          </cell>
          <cell r="C456" t="str">
            <v>Cambodia</v>
          </cell>
          <cell r="D456">
            <v>0</v>
          </cell>
          <cell r="E456">
            <v>6</v>
          </cell>
          <cell r="F456" t="str">
            <v>Wpro</v>
          </cell>
          <cell r="G456">
            <v>5</v>
          </cell>
          <cell r="H456" t="str">
            <v>oai</v>
          </cell>
          <cell r="I456">
            <v>1</v>
          </cell>
          <cell r="J456" t="str">
            <v>low and middle</v>
          </cell>
          <cell r="K456" t="str">
            <v>males</v>
          </cell>
          <cell r="L456" t="str">
            <v>1995-2000</v>
          </cell>
          <cell r="M456">
            <v>336.14699999999999</v>
          </cell>
          <cell r="N456">
            <v>135.62700000000001</v>
          </cell>
          <cell r="O456">
            <v>24.457000000000001</v>
          </cell>
          <cell r="P456">
            <v>30.295000000000002</v>
          </cell>
          <cell r="Q456">
            <v>42.148000000000003</v>
          </cell>
          <cell r="R456">
            <v>41.897000000000006</v>
          </cell>
          <cell r="S456">
            <v>25.163</v>
          </cell>
          <cell r="T456">
            <v>36.56</v>
          </cell>
        </row>
        <row r="457">
          <cell r="A457">
            <v>26</v>
          </cell>
          <cell r="B457">
            <v>120</v>
          </cell>
          <cell r="C457" t="str">
            <v>Cameroon</v>
          </cell>
          <cell r="D457">
            <v>0</v>
          </cell>
          <cell r="E457">
            <v>1</v>
          </cell>
          <cell r="F457" t="str">
            <v>Afro</v>
          </cell>
          <cell r="G457">
            <v>6</v>
          </cell>
          <cell r="H457" t="str">
            <v>ssa</v>
          </cell>
          <cell r="I457">
            <v>1</v>
          </cell>
          <cell r="J457" t="str">
            <v>low and middle</v>
          </cell>
          <cell r="K457" t="str">
            <v>males</v>
          </cell>
          <cell r="L457" t="str">
            <v>1995-2000</v>
          </cell>
          <cell r="M457">
            <v>453.75700000000001</v>
          </cell>
          <cell r="N457">
            <v>171.74600000000001</v>
          </cell>
          <cell r="O457">
            <v>36.917000000000002</v>
          </cell>
          <cell r="P457">
            <v>43.893000000000001</v>
          </cell>
          <cell r="Q457">
            <v>50.337999999999994</v>
          </cell>
          <cell r="R457">
            <v>51.58</v>
          </cell>
          <cell r="S457">
            <v>37.658000000000001</v>
          </cell>
          <cell r="T457">
            <v>61.625</v>
          </cell>
        </row>
        <row r="458">
          <cell r="A458">
            <v>198</v>
          </cell>
          <cell r="B458">
            <v>124</v>
          </cell>
          <cell r="C458" t="str">
            <v>Canada</v>
          </cell>
          <cell r="D458">
            <v>0</v>
          </cell>
          <cell r="E458">
            <v>2</v>
          </cell>
          <cell r="F458" t="str">
            <v>Amro</v>
          </cell>
          <cell r="G458">
            <v>1</v>
          </cell>
          <cell r="H458" t="str">
            <v>eme</v>
          </cell>
          <cell r="I458">
            <v>4</v>
          </cell>
          <cell r="J458" t="str">
            <v>high</v>
          </cell>
          <cell r="K458" t="str">
            <v>males</v>
          </cell>
          <cell r="L458" t="str">
            <v>1995-2000</v>
          </cell>
          <cell r="M458">
            <v>564.49900000000002</v>
          </cell>
          <cell r="N458">
            <v>7.3040000000000003</v>
          </cell>
          <cell r="O458">
            <v>2.1549999999999998</v>
          </cell>
          <cell r="P458">
            <v>13.388</v>
          </cell>
          <cell r="Q458">
            <v>30.466000000000001</v>
          </cell>
          <cell r="R458">
            <v>65.754000000000005</v>
          </cell>
          <cell r="S458">
            <v>100.372</v>
          </cell>
          <cell r="T458">
            <v>345.06</v>
          </cell>
        </row>
        <row r="459">
          <cell r="A459">
            <v>50</v>
          </cell>
          <cell r="B459">
            <v>132</v>
          </cell>
          <cell r="C459" t="str">
            <v>Cape Verde</v>
          </cell>
          <cell r="D459">
            <v>0</v>
          </cell>
          <cell r="E459">
            <v>1</v>
          </cell>
          <cell r="F459" t="str">
            <v>Afro</v>
          </cell>
          <cell r="G459">
            <v>6</v>
          </cell>
          <cell r="H459" t="str">
            <v>ssa</v>
          </cell>
          <cell r="I459">
            <v>1</v>
          </cell>
          <cell r="J459" t="str">
            <v>low and middle</v>
          </cell>
          <cell r="K459" t="str">
            <v>males</v>
          </cell>
          <cell r="L459" t="str">
            <v>1995-2000</v>
          </cell>
          <cell r="M459">
            <v>6.3460000000000001</v>
          </cell>
          <cell r="N459">
            <v>2.2229999999999999</v>
          </cell>
          <cell r="O459">
            <v>0.151</v>
          </cell>
          <cell r="P459">
            <v>0.42799999999999999</v>
          </cell>
          <cell r="Q459">
            <v>0.47399999999999998</v>
          </cell>
          <cell r="R459">
            <v>0.30100000000000005</v>
          </cell>
          <cell r="S459">
            <v>0.77600000000000002</v>
          </cell>
          <cell r="T459">
            <v>1.9929999999999999</v>
          </cell>
        </row>
        <row r="460">
          <cell r="A460">
            <v>27</v>
          </cell>
          <cell r="B460">
            <v>140</v>
          </cell>
          <cell r="C460" t="str">
            <v>Central African Republic</v>
          </cell>
          <cell r="D460">
            <v>0</v>
          </cell>
          <cell r="E460">
            <v>1</v>
          </cell>
          <cell r="F460" t="str">
            <v>Afro</v>
          </cell>
          <cell r="G460">
            <v>6</v>
          </cell>
          <cell r="H460" t="str">
            <v>ssa</v>
          </cell>
          <cell r="I460">
            <v>1</v>
          </cell>
          <cell r="J460" t="str">
            <v>low and middle</v>
          </cell>
          <cell r="K460" t="str">
            <v>males</v>
          </cell>
          <cell r="L460" t="str">
            <v>1995-2000</v>
          </cell>
          <cell r="M460">
            <v>167.12700000000001</v>
          </cell>
          <cell r="N460">
            <v>58.695999999999998</v>
          </cell>
          <cell r="O460">
            <v>15.994</v>
          </cell>
          <cell r="P460">
            <v>16.091999999999999</v>
          </cell>
          <cell r="Q460">
            <v>24.027999999999999</v>
          </cell>
          <cell r="R460">
            <v>21.952999999999999</v>
          </cell>
          <cell r="S460">
            <v>12.696999999999999</v>
          </cell>
          <cell r="T460">
            <v>17.666999999999998</v>
          </cell>
        </row>
        <row r="461">
          <cell r="A461">
            <v>84</v>
          </cell>
          <cell r="B461">
            <v>144</v>
          </cell>
          <cell r="C461" t="str">
            <v>Sri Lanka</v>
          </cell>
          <cell r="D461">
            <v>0</v>
          </cell>
          <cell r="E461">
            <v>5</v>
          </cell>
          <cell r="F461" t="str">
            <v>Searo</v>
          </cell>
          <cell r="G461">
            <v>5</v>
          </cell>
          <cell r="H461" t="str">
            <v>oai</v>
          </cell>
          <cell r="I461">
            <v>1</v>
          </cell>
          <cell r="J461" t="str">
            <v>low and middle</v>
          </cell>
          <cell r="K461" t="str">
            <v>males</v>
          </cell>
          <cell r="L461" t="str">
            <v>1995-2000</v>
          </cell>
          <cell r="M461">
            <v>300.88</v>
          </cell>
          <cell r="N461">
            <v>18.696000000000002</v>
          </cell>
          <cell r="O461">
            <v>3.3970000000000002</v>
          </cell>
          <cell r="P461">
            <v>16.05</v>
          </cell>
          <cell r="Q461">
            <v>22.542999999999999</v>
          </cell>
          <cell r="R461">
            <v>48.388999999999996</v>
          </cell>
          <cell r="S461">
            <v>58.157000000000004</v>
          </cell>
          <cell r="T461">
            <v>133.64800000000002</v>
          </cell>
        </row>
        <row r="462">
          <cell r="A462">
            <v>28</v>
          </cell>
          <cell r="B462">
            <v>148</v>
          </cell>
          <cell r="C462" t="str">
            <v>Chad</v>
          </cell>
          <cell r="D462">
            <v>0</v>
          </cell>
          <cell r="E462">
            <v>1</v>
          </cell>
          <cell r="F462" t="str">
            <v>Afro</v>
          </cell>
          <cell r="G462">
            <v>6</v>
          </cell>
          <cell r="H462" t="str">
            <v>ssa</v>
          </cell>
          <cell r="I462">
            <v>1</v>
          </cell>
          <cell r="J462" t="str">
            <v>low and middle</v>
          </cell>
          <cell r="K462" t="str">
            <v>males</v>
          </cell>
          <cell r="L462" t="str">
            <v>1995-2000</v>
          </cell>
          <cell r="M462">
            <v>329.93599999999998</v>
          </cell>
          <cell r="N462">
            <v>151.36799999999999</v>
          </cell>
          <cell r="O462">
            <v>33.579000000000001</v>
          </cell>
          <cell r="P462">
            <v>29.039000000000001</v>
          </cell>
          <cell r="Q462">
            <v>31.248999999999999</v>
          </cell>
          <cell r="R462">
            <v>30.376000000000001</v>
          </cell>
          <cell r="S462">
            <v>22.317</v>
          </cell>
          <cell r="T462">
            <v>32.008000000000003</v>
          </cell>
        </row>
        <row r="463">
          <cell r="A463">
            <v>188</v>
          </cell>
          <cell r="B463">
            <v>152</v>
          </cell>
          <cell r="C463" t="str">
            <v>Chile</v>
          </cell>
          <cell r="D463">
            <v>0</v>
          </cell>
          <cell r="E463">
            <v>2</v>
          </cell>
          <cell r="F463" t="str">
            <v>Amro</v>
          </cell>
          <cell r="G463">
            <v>7</v>
          </cell>
          <cell r="H463" t="str">
            <v>lac</v>
          </cell>
          <cell r="I463">
            <v>1</v>
          </cell>
          <cell r="J463" t="str">
            <v>low and middle</v>
          </cell>
          <cell r="K463" t="str">
            <v>males</v>
          </cell>
          <cell r="L463" t="str">
            <v>1995-2000</v>
          </cell>
          <cell r="M463">
            <v>218.92</v>
          </cell>
          <cell r="N463">
            <v>12.669</v>
          </cell>
          <cell r="O463">
            <v>2.3620000000000001</v>
          </cell>
          <cell r="P463">
            <v>11.57</v>
          </cell>
          <cell r="Q463">
            <v>19.986000000000001</v>
          </cell>
          <cell r="R463">
            <v>35.006999999999998</v>
          </cell>
          <cell r="S463">
            <v>39.917999999999999</v>
          </cell>
          <cell r="T463">
            <v>97.408000000000001</v>
          </cell>
        </row>
        <row r="464">
          <cell r="A464">
            <v>66</v>
          </cell>
          <cell r="B464">
            <v>156</v>
          </cell>
          <cell r="C464" t="str">
            <v>China (5)</v>
          </cell>
          <cell r="D464">
            <v>0</v>
          </cell>
          <cell r="E464">
            <v>6</v>
          </cell>
          <cell r="F464" t="str">
            <v>Wpro</v>
          </cell>
          <cell r="G464">
            <v>4</v>
          </cell>
          <cell r="H464" t="str">
            <v>chn</v>
          </cell>
          <cell r="I464">
            <v>5</v>
          </cell>
          <cell r="J464" t="str">
            <v>chn</v>
          </cell>
          <cell r="K464" t="str">
            <v>males</v>
          </cell>
          <cell r="L464" t="str">
            <v>1995-2000</v>
          </cell>
          <cell r="M464">
            <v>24272.475999999999</v>
          </cell>
          <cell r="N464">
            <v>2296.2860000000001</v>
          </cell>
          <cell r="O464">
            <v>354.7</v>
          </cell>
          <cell r="P464">
            <v>977.98599999999999</v>
          </cell>
          <cell r="Q464">
            <v>1608.01</v>
          </cell>
          <cell r="R464">
            <v>3611.5349999999999</v>
          </cell>
          <cell r="S464">
            <v>5515.0169999999998</v>
          </cell>
          <cell r="T464">
            <v>9908.9419999999991</v>
          </cell>
        </row>
        <row r="465">
          <cell r="A465">
            <v>189</v>
          </cell>
          <cell r="B465">
            <v>170</v>
          </cell>
          <cell r="C465" t="str">
            <v>Colombia</v>
          </cell>
          <cell r="D465">
            <v>0</v>
          </cell>
          <cell r="E465">
            <v>2</v>
          </cell>
          <cell r="F465" t="str">
            <v>Amro</v>
          </cell>
          <cell r="G465">
            <v>7</v>
          </cell>
          <cell r="H465" t="str">
            <v>lac</v>
          </cell>
          <cell r="I465">
            <v>1</v>
          </cell>
          <cell r="J465" t="str">
            <v>low and middle</v>
          </cell>
          <cell r="K465" t="str">
            <v>males</v>
          </cell>
          <cell r="L465" t="str">
            <v>1995-2000</v>
          </cell>
          <cell r="M465">
            <v>670.11599999999999</v>
          </cell>
          <cell r="N465">
            <v>108.048</v>
          </cell>
          <cell r="O465">
            <v>14.34</v>
          </cell>
          <cell r="P465">
            <v>100.461</v>
          </cell>
          <cell r="Q465">
            <v>89.915999999999997</v>
          </cell>
          <cell r="R465">
            <v>82.584999999999994</v>
          </cell>
          <cell r="S465">
            <v>80.972999999999999</v>
          </cell>
          <cell r="T465">
            <v>193.79300000000001</v>
          </cell>
        </row>
        <row r="466">
          <cell r="A466">
            <v>8</v>
          </cell>
          <cell r="B466">
            <v>174</v>
          </cell>
          <cell r="C466" t="str">
            <v>Comoros</v>
          </cell>
          <cell r="D466">
            <v>0</v>
          </cell>
          <cell r="E466">
            <v>1</v>
          </cell>
          <cell r="F466" t="str">
            <v>Afro</v>
          </cell>
          <cell r="G466">
            <v>6</v>
          </cell>
          <cell r="H466" t="str">
            <v>ssa</v>
          </cell>
          <cell r="I466">
            <v>1</v>
          </cell>
          <cell r="J466" t="str">
            <v>low and middle</v>
          </cell>
          <cell r="K466" t="str">
            <v>males</v>
          </cell>
          <cell r="L466" t="str">
            <v>1995-2000</v>
          </cell>
          <cell r="M466">
            <v>15.819000000000001</v>
          </cell>
          <cell r="N466">
            <v>6.74</v>
          </cell>
          <cell r="O466">
            <v>0.83899999999999997</v>
          </cell>
          <cell r="P466">
            <v>1.5970000000000002</v>
          </cell>
          <cell r="Q466">
            <v>1.373</v>
          </cell>
          <cell r="R466">
            <v>1.7390000000000001</v>
          </cell>
          <cell r="S466">
            <v>1.5049999999999999</v>
          </cell>
          <cell r="T466">
            <v>2.0259999999999998</v>
          </cell>
        </row>
        <row r="467">
          <cell r="A467">
            <v>29</v>
          </cell>
          <cell r="B467">
            <v>178</v>
          </cell>
          <cell r="C467" t="str">
            <v>Congo</v>
          </cell>
          <cell r="D467">
            <v>0</v>
          </cell>
          <cell r="E467">
            <v>1</v>
          </cell>
          <cell r="F467" t="str">
            <v>Afro</v>
          </cell>
          <cell r="G467">
            <v>6</v>
          </cell>
          <cell r="H467" t="str">
            <v>ssa</v>
          </cell>
          <cell r="I467">
            <v>1</v>
          </cell>
          <cell r="J467" t="str">
            <v>low and middle</v>
          </cell>
          <cell r="K467" t="str">
            <v>males</v>
          </cell>
          <cell r="L467" t="str">
            <v>1995-2000</v>
          </cell>
          <cell r="M467">
            <v>115.485</v>
          </cell>
          <cell r="N467">
            <v>45.74</v>
          </cell>
          <cell r="O467">
            <v>10.010999999999999</v>
          </cell>
          <cell r="P467">
            <v>10.969000000000001</v>
          </cell>
          <cell r="Q467">
            <v>15.531000000000001</v>
          </cell>
          <cell r="R467">
            <v>13.943999999999999</v>
          </cell>
          <cell r="S467">
            <v>7.89</v>
          </cell>
          <cell r="T467">
            <v>11.4</v>
          </cell>
        </row>
        <row r="468">
          <cell r="A468">
            <v>30</v>
          </cell>
          <cell r="B468">
            <v>180</v>
          </cell>
          <cell r="C468" t="str">
            <v>Dem. Republic of the Congo</v>
          </cell>
          <cell r="D468">
            <v>0</v>
          </cell>
          <cell r="E468">
            <v>1</v>
          </cell>
          <cell r="F468" t="str">
            <v>Afro</v>
          </cell>
          <cell r="G468">
            <v>6</v>
          </cell>
          <cell r="H468" t="str">
            <v>ssa</v>
          </cell>
          <cell r="I468">
            <v>1</v>
          </cell>
          <cell r="J468" t="str">
            <v>low and middle</v>
          </cell>
          <cell r="K468" t="str">
            <v>males</v>
          </cell>
          <cell r="L468" t="str">
            <v>1995-2000</v>
          </cell>
          <cell r="M468">
            <v>1853.367</v>
          </cell>
          <cell r="N468">
            <v>854.197</v>
          </cell>
          <cell r="O468">
            <v>173.72300000000001</v>
          </cell>
          <cell r="P468">
            <v>170.31700000000001</v>
          </cell>
          <cell r="Q468">
            <v>196.161</v>
          </cell>
          <cell r="R468">
            <v>185.63</v>
          </cell>
          <cell r="S468">
            <v>117.22300000000001</v>
          </cell>
          <cell r="T468">
            <v>156.11599999999999</v>
          </cell>
        </row>
        <row r="469">
          <cell r="A469">
            <v>177</v>
          </cell>
          <cell r="B469">
            <v>188</v>
          </cell>
          <cell r="C469" t="str">
            <v>Costa Rica</v>
          </cell>
          <cell r="D469">
            <v>0</v>
          </cell>
          <cell r="E469">
            <v>2</v>
          </cell>
          <cell r="F469" t="str">
            <v>Amro</v>
          </cell>
          <cell r="G469">
            <v>7</v>
          </cell>
          <cell r="H469" t="str">
            <v>lac</v>
          </cell>
          <cell r="I469">
            <v>1</v>
          </cell>
          <cell r="J469" t="str">
            <v>low and middle</v>
          </cell>
          <cell r="K469" t="str">
            <v>males</v>
          </cell>
          <cell r="L469" t="str">
            <v>1995-2000</v>
          </cell>
          <cell r="M469">
            <v>40.808999999999997</v>
          </cell>
          <cell r="N469">
            <v>3.742</v>
          </cell>
          <cell r="O469">
            <v>0.69499999999999995</v>
          </cell>
          <cell r="P469">
            <v>2.3730000000000002</v>
          </cell>
          <cell r="Q469">
            <v>3.7309999999999999</v>
          </cell>
          <cell r="R469">
            <v>5.7270000000000003</v>
          </cell>
          <cell r="S469">
            <v>6.734</v>
          </cell>
          <cell r="T469">
            <v>17.807000000000002</v>
          </cell>
        </row>
        <row r="470">
          <cell r="A470">
            <v>145</v>
          </cell>
          <cell r="B470">
            <v>191</v>
          </cell>
          <cell r="C470" t="str">
            <v>Croatia</v>
          </cell>
          <cell r="D470">
            <v>0</v>
          </cell>
          <cell r="E470">
            <v>4</v>
          </cell>
          <cell r="F470" t="str">
            <v>Euro</v>
          </cell>
          <cell r="G470">
            <v>2</v>
          </cell>
          <cell r="H470" t="str">
            <v>fse</v>
          </cell>
          <cell r="I470">
            <v>1</v>
          </cell>
          <cell r="J470" t="str">
            <v>low and middle</v>
          </cell>
          <cell r="K470" t="str">
            <v>males</v>
          </cell>
          <cell r="L470" t="str">
            <v>1995-2000</v>
          </cell>
          <cell r="M470">
            <v>132.28299999999999</v>
          </cell>
          <cell r="N470">
            <v>1.72</v>
          </cell>
          <cell r="O470">
            <v>0.52600000000000002</v>
          </cell>
          <cell r="P470">
            <v>2.9390000000000001</v>
          </cell>
          <cell r="Q470">
            <v>7.81</v>
          </cell>
          <cell r="R470">
            <v>23.936</v>
          </cell>
          <cell r="S470">
            <v>34.887999999999998</v>
          </cell>
          <cell r="T470">
            <v>60.464000000000006</v>
          </cell>
        </row>
        <row r="471">
          <cell r="A471">
            <v>166</v>
          </cell>
          <cell r="B471">
            <v>192</v>
          </cell>
          <cell r="C471" t="str">
            <v>Cuba</v>
          </cell>
          <cell r="D471">
            <v>0</v>
          </cell>
          <cell r="E471">
            <v>2</v>
          </cell>
          <cell r="F471" t="str">
            <v>Amro</v>
          </cell>
          <cell r="G471">
            <v>7</v>
          </cell>
          <cell r="H471" t="str">
            <v>lac</v>
          </cell>
          <cell r="I471">
            <v>1</v>
          </cell>
          <cell r="J471" t="str">
            <v>low and middle</v>
          </cell>
          <cell r="K471" t="str">
            <v>males</v>
          </cell>
          <cell r="L471" t="str">
            <v>1995-2000</v>
          </cell>
          <cell r="M471">
            <v>211.36699999999999</v>
          </cell>
          <cell r="N471">
            <v>5.258</v>
          </cell>
          <cell r="O471">
            <v>1.87</v>
          </cell>
          <cell r="P471">
            <v>8.6720000000000006</v>
          </cell>
          <cell r="Q471">
            <v>13.527999999999999</v>
          </cell>
          <cell r="R471">
            <v>28.611000000000001</v>
          </cell>
          <cell r="S471">
            <v>33.592999999999996</v>
          </cell>
          <cell r="T471">
            <v>119.83499999999999</v>
          </cell>
        </row>
        <row r="472">
          <cell r="A472">
            <v>104</v>
          </cell>
          <cell r="B472">
            <v>196</v>
          </cell>
          <cell r="C472" t="str">
            <v>Cyprus</v>
          </cell>
          <cell r="D472">
            <v>0</v>
          </cell>
          <cell r="E472">
            <v>3</v>
          </cell>
          <cell r="F472" t="str">
            <v>Emro</v>
          </cell>
          <cell r="G472">
            <v>8</v>
          </cell>
          <cell r="H472" t="str">
            <v>mec</v>
          </cell>
          <cell r="I472">
            <v>4</v>
          </cell>
          <cell r="J472" t="str">
            <v>high</v>
          </cell>
          <cell r="K472" t="str">
            <v>males</v>
          </cell>
          <cell r="L472" t="str">
            <v>1995-2000</v>
          </cell>
          <cell r="M472">
            <v>14.744</v>
          </cell>
          <cell r="N472">
            <v>0.27700000000000002</v>
          </cell>
          <cell r="O472">
            <v>5.3999999999999999E-2</v>
          </cell>
          <cell r="P472">
            <v>0.48699999999999999</v>
          </cell>
          <cell r="Q472">
            <v>0.64600000000000002</v>
          </cell>
          <cell r="R472">
            <v>1.623</v>
          </cell>
          <cell r="S472">
            <v>2.3159999999999998</v>
          </cell>
          <cell r="T472">
            <v>9.3409999999999993</v>
          </cell>
        </row>
        <row r="473">
          <cell r="A473">
            <v>123</v>
          </cell>
          <cell r="B473">
            <v>203</v>
          </cell>
          <cell r="C473" t="str">
            <v>Czech Republic</v>
          </cell>
          <cell r="D473">
            <v>0</v>
          </cell>
          <cell r="E473">
            <v>4</v>
          </cell>
          <cell r="F473" t="str">
            <v>Euro</v>
          </cell>
          <cell r="G473">
            <v>2</v>
          </cell>
          <cell r="H473" t="str">
            <v>fse</v>
          </cell>
          <cell r="I473">
            <v>1</v>
          </cell>
          <cell r="J473" t="str">
            <v>low and middle</v>
          </cell>
          <cell r="K473" t="str">
            <v>males</v>
          </cell>
          <cell r="L473" t="str">
            <v>1995-2000</v>
          </cell>
          <cell r="M473">
            <v>290.36700000000002</v>
          </cell>
          <cell r="N473">
            <v>2.375</v>
          </cell>
          <cell r="O473">
            <v>0.81299999999999994</v>
          </cell>
          <cell r="P473">
            <v>5.9589999999999996</v>
          </cell>
          <cell r="Q473">
            <v>12.586</v>
          </cell>
          <cell r="R473">
            <v>49.019000000000005</v>
          </cell>
          <cell r="S473">
            <v>63.816000000000003</v>
          </cell>
          <cell r="T473">
            <v>155.79900000000001</v>
          </cell>
        </row>
        <row r="474">
          <cell r="A474">
            <v>48</v>
          </cell>
          <cell r="B474">
            <v>204</v>
          </cell>
          <cell r="C474" t="str">
            <v>Benin</v>
          </cell>
          <cell r="D474">
            <v>0</v>
          </cell>
          <cell r="E474">
            <v>1</v>
          </cell>
          <cell r="F474" t="str">
            <v>Afro</v>
          </cell>
          <cell r="G474">
            <v>6</v>
          </cell>
          <cell r="H474" t="str">
            <v>ssa</v>
          </cell>
          <cell r="I474">
            <v>1</v>
          </cell>
          <cell r="J474" t="str">
            <v>low and middle</v>
          </cell>
          <cell r="K474" t="str">
            <v>males</v>
          </cell>
          <cell r="L474" t="str">
            <v>1995-2000</v>
          </cell>
          <cell r="M474">
            <v>198.19800000000001</v>
          </cell>
          <cell r="N474">
            <v>87.313000000000002</v>
          </cell>
          <cell r="O474">
            <v>20.405999999999999</v>
          </cell>
          <cell r="P474">
            <v>18.596</v>
          </cell>
          <cell r="Q474">
            <v>17.521000000000001</v>
          </cell>
          <cell r="R474">
            <v>16.605</v>
          </cell>
          <cell r="S474">
            <v>12.646000000000001</v>
          </cell>
          <cell r="T474">
            <v>25.110999999999997</v>
          </cell>
        </row>
        <row r="475">
          <cell r="A475">
            <v>132</v>
          </cell>
          <cell r="B475">
            <v>208</v>
          </cell>
          <cell r="C475" t="str">
            <v>Denmark</v>
          </cell>
          <cell r="D475">
            <v>0</v>
          </cell>
          <cell r="E475">
            <v>4</v>
          </cell>
          <cell r="F475" t="str">
            <v>Euro</v>
          </cell>
          <cell r="G475">
            <v>1</v>
          </cell>
          <cell r="H475" t="str">
            <v>eme</v>
          </cell>
          <cell r="I475">
            <v>4</v>
          </cell>
          <cell r="J475" t="str">
            <v>high</v>
          </cell>
          <cell r="K475" t="str">
            <v>males</v>
          </cell>
          <cell r="L475" t="str">
            <v>1995-2000</v>
          </cell>
          <cell r="M475">
            <v>154.339</v>
          </cell>
          <cell r="N475">
            <v>1.63</v>
          </cell>
          <cell r="O475">
            <v>0.33100000000000002</v>
          </cell>
          <cell r="P475">
            <v>2.04</v>
          </cell>
          <cell r="Q475">
            <v>5.5839999999999996</v>
          </cell>
          <cell r="R475">
            <v>19.423999999999999</v>
          </cell>
          <cell r="S475">
            <v>27.236000000000001</v>
          </cell>
          <cell r="T475">
            <v>98.093999999999994</v>
          </cell>
        </row>
        <row r="476">
          <cell r="A476">
            <v>167</v>
          </cell>
          <cell r="B476">
            <v>214</v>
          </cell>
          <cell r="C476" t="str">
            <v>Dominican Republic</v>
          </cell>
          <cell r="D476">
            <v>0</v>
          </cell>
          <cell r="E476">
            <v>2</v>
          </cell>
          <cell r="F476" t="str">
            <v>Amro</v>
          </cell>
          <cell r="G476">
            <v>7</v>
          </cell>
          <cell r="H476" t="str">
            <v>lac</v>
          </cell>
          <cell r="I476">
            <v>1</v>
          </cell>
          <cell r="J476" t="str">
            <v>low and middle</v>
          </cell>
          <cell r="K476" t="str">
            <v>males</v>
          </cell>
          <cell r="L476" t="str">
            <v>1995-2000</v>
          </cell>
          <cell r="M476">
            <v>121.88800000000001</v>
          </cell>
          <cell r="N476">
            <v>26.094999999999999</v>
          </cell>
          <cell r="O476">
            <v>3.4240000000000004</v>
          </cell>
          <cell r="P476">
            <v>8.5519999999999996</v>
          </cell>
          <cell r="Q476">
            <v>11.741</v>
          </cell>
          <cell r="R476">
            <v>16.219000000000001</v>
          </cell>
          <cell r="S476">
            <v>17.826000000000001</v>
          </cell>
          <cell r="T476">
            <v>38.030999999999999</v>
          </cell>
        </row>
        <row r="477">
          <cell r="A477">
            <v>190</v>
          </cell>
          <cell r="B477">
            <v>218</v>
          </cell>
          <cell r="C477" t="str">
            <v>Ecuador</v>
          </cell>
          <cell r="D477">
            <v>0</v>
          </cell>
          <cell r="E477">
            <v>2</v>
          </cell>
          <cell r="F477" t="str">
            <v>Amro</v>
          </cell>
          <cell r="G477">
            <v>7</v>
          </cell>
          <cell r="H477" t="str">
            <v>lac</v>
          </cell>
          <cell r="I477">
            <v>1</v>
          </cell>
          <cell r="J477" t="str">
            <v>low and middle</v>
          </cell>
          <cell r="K477" t="str">
            <v>males</v>
          </cell>
          <cell r="L477" t="str">
            <v>1995-2000</v>
          </cell>
          <cell r="M477">
            <v>199.29</v>
          </cell>
          <cell r="N477">
            <v>52.07</v>
          </cell>
          <cell r="O477">
            <v>6.2080000000000002</v>
          </cell>
          <cell r="P477">
            <v>15.270999999999999</v>
          </cell>
          <cell r="Q477">
            <v>20.399000000000001</v>
          </cell>
          <cell r="R477">
            <v>24.564</v>
          </cell>
          <cell r="S477">
            <v>23.253</v>
          </cell>
          <cell r="T477">
            <v>57.524999999999999</v>
          </cell>
        </row>
        <row r="478">
          <cell r="A478">
            <v>178</v>
          </cell>
          <cell r="B478">
            <v>222</v>
          </cell>
          <cell r="C478" t="str">
            <v>El Salvador</v>
          </cell>
          <cell r="D478">
            <v>0</v>
          </cell>
          <cell r="E478">
            <v>2</v>
          </cell>
          <cell r="F478" t="str">
            <v>Amro</v>
          </cell>
          <cell r="G478">
            <v>7</v>
          </cell>
          <cell r="H478" t="str">
            <v>lac</v>
          </cell>
          <cell r="I478">
            <v>1</v>
          </cell>
          <cell r="J478" t="str">
            <v>low and middle</v>
          </cell>
          <cell r="K478" t="str">
            <v>males</v>
          </cell>
          <cell r="L478" t="str">
            <v>1995-2000</v>
          </cell>
          <cell r="M478">
            <v>99.661000000000001</v>
          </cell>
          <cell r="N478">
            <v>19.25</v>
          </cell>
          <cell r="O478">
            <v>3.02</v>
          </cell>
          <cell r="P478">
            <v>11.023</v>
          </cell>
          <cell r="Q478">
            <v>11.757999999999999</v>
          </cell>
          <cell r="R478">
            <v>13.76</v>
          </cell>
          <cell r="S478">
            <v>12.871</v>
          </cell>
          <cell r="T478">
            <v>27.979000000000003</v>
          </cell>
        </row>
        <row r="479">
          <cell r="A479">
            <v>31</v>
          </cell>
          <cell r="B479">
            <v>226</v>
          </cell>
          <cell r="C479" t="str">
            <v>Equatorial Guinea</v>
          </cell>
          <cell r="D479">
            <v>0</v>
          </cell>
          <cell r="E479">
            <v>1</v>
          </cell>
          <cell r="F479" t="str">
            <v>Afro</v>
          </cell>
          <cell r="G479">
            <v>6</v>
          </cell>
          <cell r="H479" t="str">
            <v>ssa</v>
          </cell>
          <cell r="I479">
            <v>1</v>
          </cell>
          <cell r="J479" t="str">
            <v>low and middle</v>
          </cell>
          <cell r="K479" t="str">
            <v>males</v>
          </cell>
          <cell r="L479" t="str">
            <v>1995-2000</v>
          </cell>
          <cell r="M479">
            <v>17.960999999999999</v>
          </cell>
          <cell r="N479">
            <v>8.3379999999999992</v>
          </cell>
          <cell r="O479">
            <v>1.43</v>
          </cell>
          <cell r="P479">
            <v>1.619</v>
          </cell>
          <cell r="Q479">
            <v>1.4169999999999998</v>
          </cell>
          <cell r="R479">
            <v>1.54</v>
          </cell>
          <cell r="S479">
            <v>1.4020000000000001</v>
          </cell>
          <cell r="T479">
            <v>2.2149999999999999</v>
          </cell>
        </row>
        <row r="480">
          <cell r="A480">
            <v>11</v>
          </cell>
          <cell r="B480">
            <v>231</v>
          </cell>
          <cell r="C480" t="str">
            <v>Ethiopia</v>
          </cell>
          <cell r="D480">
            <v>0</v>
          </cell>
          <cell r="E480">
            <v>1</v>
          </cell>
          <cell r="F480" t="str">
            <v>Afro</v>
          </cell>
          <cell r="G480">
            <v>6</v>
          </cell>
          <cell r="H480" t="str">
            <v>ssa</v>
          </cell>
          <cell r="I480">
            <v>1</v>
          </cell>
          <cell r="J480" t="str">
            <v>low and middle</v>
          </cell>
          <cell r="K480" t="str">
            <v>males</v>
          </cell>
          <cell r="L480" t="str">
            <v>1995-2000</v>
          </cell>
          <cell r="M480">
            <v>3007.1109999999999</v>
          </cell>
          <cell r="N480">
            <v>1309.9770000000001</v>
          </cell>
          <cell r="O480">
            <v>278.83199999999999</v>
          </cell>
          <cell r="P480">
            <v>281.26300000000003</v>
          </cell>
          <cell r="Q480">
            <v>386.82400000000001</v>
          </cell>
          <cell r="R480">
            <v>349.678</v>
          </cell>
          <cell r="S480">
            <v>187.82499999999999</v>
          </cell>
          <cell r="T480">
            <v>212.71200000000002</v>
          </cell>
        </row>
        <row r="481">
          <cell r="A481">
            <v>10</v>
          </cell>
          <cell r="B481">
            <v>232</v>
          </cell>
          <cell r="C481" t="str">
            <v>Eritrea</v>
          </cell>
          <cell r="D481">
            <v>0</v>
          </cell>
          <cell r="E481">
            <v>1</v>
          </cell>
          <cell r="F481" t="str">
            <v>Afro</v>
          </cell>
          <cell r="G481">
            <v>6</v>
          </cell>
          <cell r="H481" t="str">
            <v>ssa</v>
          </cell>
          <cell r="I481">
            <v>1</v>
          </cell>
          <cell r="J481" t="str">
            <v>low and middle</v>
          </cell>
          <cell r="K481" t="str">
            <v>males</v>
          </cell>
          <cell r="L481" t="str">
            <v>1995-2000</v>
          </cell>
          <cell r="M481">
            <v>132.10400000000001</v>
          </cell>
          <cell r="N481">
            <v>57.213000000000001</v>
          </cell>
          <cell r="O481">
            <v>11.048999999999999</v>
          </cell>
          <cell r="P481">
            <v>12.248000000000001</v>
          </cell>
          <cell r="Q481">
            <v>14.488999999999999</v>
          </cell>
          <cell r="R481">
            <v>15.255000000000001</v>
          </cell>
          <cell r="S481">
            <v>10.202999999999999</v>
          </cell>
          <cell r="T481">
            <v>11.647</v>
          </cell>
        </row>
        <row r="482">
          <cell r="A482">
            <v>133</v>
          </cell>
          <cell r="B482">
            <v>233</v>
          </cell>
          <cell r="C482" t="str">
            <v>Estonia</v>
          </cell>
          <cell r="D482">
            <v>0</v>
          </cell>
          <cell r="E482">
            <v>4</v>
          </cell>
          <cell r="F482" t="str">
            <v>Euro</v>
          </cell>
          <cell r="G482">
            <v>2</v>
          </cell>
          <cell r="H482" t="str">
            <v>fse</v>
          </cell>
          <cell r="I482">
            <v>1</v>
          </cell>
          <cell r="J482" t="str">
            <v>low and middle</v>
          </cell>
          <cell r="K482" t="str">
            <v>males</v>
          </cell>
          <cell r="L482" t="str">
            <v>1995-2000</v>
          </cell>
          <cell r="M482">
            <v>48.869</v>
          </cell>
          <cell r="N482">
            <v>1.1379999999999999</v>
          </cell>
          <cell r="O482">
            <v>0.46199999999999997</v>
          </cell>
          <cell r="P482">
            <v>2.09</v>
          </cell>
          <cell r="Q482">
            <v>4.5069999999999997</v>
          </cell>
          <cell r="R482">
            <v>10.091999999999999</v>
          </cell>
          <cell r="S482">
            <v>12.423</v>
          </cell>
          <cell r="T482">
            <v>18.157</v>
          </cell>
        </row>
        <row r="483">
          <cell r="A483">
            <v>205</v>
          </cell>
          <cell r="B483">
            <v>242</v>
          </cell>
          <cell r="C483" t="str">
            <v>Fiji</v>
          </cell>
          <cell r="D483">
            <v>0</v>
          </cell>
          <cell r="E483">
            <v>6</v>
          </cell>
          <cell r="F483" t="str">
            <v>Wpro</v>
          </cell>
          <cell r="G483">
            <v>5</v>
          </cell>
          <cell r="H483" t="str">
            <v>oai</v>
          </cell>
          <cell r="I483">
            <v>1</v>
          </cell>
          <cell r="J483" t="str">
            <v>low and middle</v>
          </cell>
          <cell r="K483" t="str">
            <v>males</v>
          </cell>
          <cell r="L483" t="str">
            <v>1995-2000</v>
          </cell>
          <cell r="M483">
            <v>10.228</v>
          </cell>
          <cell r="N483">
            <v>1.2589999999999999</v>
          </cell>
          <cell r="O483">
            <v>0.19400000000000001</v>
          </cell>
          <cell r="P483">
            <v>0.57499999999999996</v>
          </cell>
          <cell r="Q483">
            <v>0.69900000000000007</v>
          </cell>
          <cell r="R483">
            <v>1.752</v>
          </cell>
          <cell r="S483">
            <v>2.109</v>
          </cell>
          <cell r="T483">
            <v>3.64</v>
          </cell>
        </row>
        <row r="484">
          <cell r="A484">
            <v>134</v>
          </cell>
          <cell r="B484">
            <v>246</v>
          </cell>
          <cell r="C484" t="str">
            <v>Finland</v>
          </cell>
          <cell r="D484">
            <v>0</v>
          </cell>
          <cell r="E484">
            <v>4</v>
          </cell>
          <cell r="F484" t="str">
            <v>Euro</v>
          </cell>
          <cell r="G484">
            <v>1</v>
          </cell>
          <cell r="H484" t="str">
            <v>eme</v>
          </cell>
          <cell r="I484">
            <v>4</v>
          </cell>
          <cell r="J484" t="str">
            <v>high</v>
          </cell>
          <cell r="K484" t="str">
            <v>males</v>
          </cell>
          <cell r="L484" t="str">
            <v>1995-2000</v>
          </cell>
          <cell r="M484">
            <v>125.074</v>
          </cell>
          <cell r="N484">
            <v>1.0840000000000001</v>
          </cell>
          <cell r="O484">
            <v>0.33599999999999997</v>
          </cell>
          <cell r="P484">
            <v>2.625</v>
          </cell>
          <cell r="Q484">
            <v>6.7859999999999996</v>
          </cell>
          <cell r="R484">
            <v>18.893000000000001</v>
          </cell>
          <cell r="S484">
            <v>25.356999999999999</v>
          </cell>
          <cell r="T484">
            <v>69.992999999999995</v>
          </cell>
        </row>
        <row r="485">
          <cell r="A485">
            <v>157</v>
          </cell>
          <cell r="B485">
            <v>250</v>
          </cell>
          <cell r="C485" t="str">
            <v>France</v>
          </cell>
          <cell r="D485">
            <v>0</v>
          </cell>
          <cell r="E485">
            <v>4</v>
          </cell>
          <cell r="F485" t="str">
            <v>Euro</v>
          </cell>
          <cell r="G485">
            <v>1</v>
          </cell>
          <cell r="H485" t="str">
            <v>eme</v>
          </cell>
          <cell r="I485">
            <v>4</v>
          </cell>
          <cell r="J485" t="str">
            <v>high</v>
          </cell>
          <cell r="K485" t="str">
            <v>males</v>
          </cell>
          <cell r="L485" t="str">
            <v>1995-2000</v>
          </cell>
          <cell r="M485">
            <v>1411.818</v>
          </cell>
          <cell r="N485">
            <v>15.802</v>
          </cell>
          <cell r="O485">
            <v>3.5389999999999997</v>
          </cell>
          <cell r="P485">
            <v>33.194000000000003</v>
          </cell>
          <cell r="Q485">
            <v>70.025000000000006</v>
          </cell>
          <cell r="R485">
            <v>175.732</v>
          </cell>
          <cell r="S485">
            <v>255.285</v>
          </cell>
          <cell r="T485">
            <v>858.24099999999999</v>
          </cell>
        </row>
        <row r="486">
          <cell r="A486">
            <v>213</v>
          </cell>
          <cell r="B486">
            <v>258</v>
          </cell>
          <cell r="C486" t="str">
            <v>French Polynesia</v>
          </cell>
          <cell r="G486">
            <v>5</v>
          </cell>
          <cell r="H486" t="str">
            <v>oai</v>
          </cell>
          <cell r="I486">
            <v>4</v>
          </cell>
          <cell r="J486" t="str">
            <v>high</v>
          </cell>
          <cell r="K486" t="str">
            <v>males</v>
          </cell>
          <cell r="L486" t="str">
            <v>1995-2000</v>
          </cell>
          <cell r="M486">
            <v>3.165</v>
          </cell>
          <cell r="N486">
            <v>0.20899999999999999</v>
          </cell>
          <cell r="O486">
            <v>5.7000000000000002E-2</v>
          </cell>
          <cell r="P486">
            <v>0.26800000000000002</v>
          </cell>
          <cell r="Q486">
            <v>0.26600000000000001</v>
          </cell>
          <cell r="R486">
            <v>0.63900000000000001</v>
          </cell>
          <cell r="S486">
            <v>0.74299999999999999</v>
          </cell>
          <cell r="T486">
            <v>0.98299999999999998</v>
          </cell>
        </row>
        <row r="487">
          <cell r="A487">
            <v>9</v>
          </cell>
          <cell r="B487">
            <v>262</v>
          </cell>
          <cell r="C487" t="str">
            <v>Djibouti</v>
          </cell>
          <cell r="D487">
            <v>0</v>
          </cell>
          <cell r="E487">
            <v>3</v>
          </cell>
          <cell r="F487" t="str">
            <v>Emro</v>
          </cell>
          <cell r="G487">
            <v>6</v>
          </cell>
          <cell r="H487" t="str">
            <v>ssa</v>
          </cell>
          <cell r="I487">
            <v>1</v>
          </cell>
          <cell r="J487" t="str">
            <v>low and middle</v>
          </cell>
          <cell r="K487" t="str">
            <v>males</v>
          </cell>
          <cell r="L487" t="str">
            <v>1995-2000</v>
          </cell>
          <cell r="M487">
            <v>23.914000000000001</v>
          </cell>
          <cell r="N487">
            <v>10.78</v>
          </cell>
          <cell r="O487">
            <v>2</v>
          </cell>
          <cell r="P487">
            <v>2.4430000000000001</v>
          </cell>
          <cell r="Q487">
            <v>2.0810000000000004</v>
          </cell>
          <cell r="R487">
            <v>2.3730000000000002</v>
          </cell>
          <cell r="S487">
            <v>1.857</v>
          </cell>
          <cell r="T487">
            <v>2.38</v>
          </cell>
        </row>
        <row r="488">
          <cell r="A488">
            <v>32</v>
          </cell>
          <cell r="B488">
            <v>266</v>
          </cell>
          <cell r="C488" t="str">
            <v>Gabon</v>
          </cell>
          <cell r="D488">
            <v>0</v>
          </cell>
          <cell r="E488">
            <v>1</v>
          </cell>
          <cell r="F488" t="str">
            <v>Afro</v>
          </cell>
          <cell r="G488">
            <v>6</v>
          </cell>
          <cell r="H488" t="str">
            <v>ssa</v>
          </cell>
          <cell r="I488">
            <v>1</v>
          </cell>
          <cell r="J488" t="str">
            <v>low and middle</v>
          </cell>
          <cell r="K488" t="str">
            <v>males</v>
          </cell>
          <cell r="L488" t="str">
            <v>1995-2000</v>
          </cell>
          <cell r="M488">
            <v>46.984000000000002</v>
          </cell>
          <cell r="N488">
            <v>15.882</v>
          </cell>
          <cell r="O488">
            <v>3.206</v>
          </cell>
          <cell r="P488">
            <v>3.5380000000000003</v>
          </cell>
          <cell r="Q488">
            <v>4.6639999999999997</v>
          </cell>
          <cell r="R488">
            <v>5.7370000000000001</v>
          </cell>
          <cell r="S488">
            <v>4.9359999999999999</v>
          </cell>
          <cell r="T488">
            <v>9.0209999999999972</v>
          </cell>
        </row>
        <row r="489">
          <cell r="A489">
            <v>106</v>
          </cell>
          <cell r="B489">
            <v>268</v>
          </cell>
          <cell r="C489" t="str">
            <v>Georgia</v>
          </cell>
          <cell r="D489">
            <v>0</v>
          </cell>
          <cell r="E489">
            <v>4</v>
          </cell>
          <cell r="F489" t="str">
            <v>Euro</v>
          </cell>
          <cell r="G489">
            <v>8</v>
          </cell>
          <cell r="H489" t="str">
            <v>mec</v>
          </cell>
          <cell r="I489">
            <v>1</v>
          </cell>
          <cell r="J489" t="str">
            <v>low and middle</v>
          </cell>
          <cell r="K489" t="str">
            <v>males</v>
          </cell>
          <cell r="L489" t="str">
            <v>1995-2000</v>
          </cell>
          <cell r="M489">
            <v>121.886</v>
          </cell>
          <cell r="N489">
            <v>4.9409999999999998</v>
          </cell>
          <cell r="O489">
            <v>0.877</v>
          </cell>
          <cell r="P489">
            <v>3.9939999999999998</v>
          </cell>
          <cell r="Q489">
            <v>9.8120000000000012</v>
          </cell>
          <cell r="R489">
            <v>20.707000000000001</v>
          </cell>
          <cell r="S489">
            <v>31.606999999999999</v>
          </cell>
          <cell r="T489">
            <v>49.947999999999993</v>
          </cell>
        </row>
        <row r="490">
          <cell r="A490">
            <v>52</v>
          </cell>
          <cell r="B490">
            <v>270</v>
          </cell>
          <cell r="C490" t="str">
            <v>Gambia</v>
          </cell>
          <cell r="D490">
            <v>0</v>
          </cell>
          <cell r="E490">
            <v>1</v>
          </cell>
          <cell r="F490" t="str">
            <v>Afro</v>
          </cell>
          <cell r="G490">
            <v>6</v>
          </cell>
          <cell r="H490" t="str">
            <v>ssa</v>
          </cell>
          <cell r="I490">
            <v>1</v>
          </cell>
          <cell r="J490" t="str">
            <v>low and middle</v>
          </cell>
          <cell r="K490" t="str">
            <v>males</v>
          </cell>
          <cell r="L490" t="str">
            <v>1995-2000</v>
          </cell>
          <cell r="M490">
            <v>55.37</v>
          </cell>
          <cell r="N490">
            <v>26.681999999999999</v>
          </cell>
          <cell r="O490">
            <v>4.4649999999999999</v>
          </cell>
          <cell r="P490">
            <v>5.1509999999999998</v>
          </cell>
          <cell r="Q490">
            <v>5.1920000000000002</v>
          </cell>
          <cell r="R490">
            <v>5.2939999999999996</v>
          </cell>
          <cell r="S490">
            <v>3.8519999999999999</v>
          </cell>
          <cell r="T490">
            <v>4.7339999999999991</v>
          </cell>
        </row>
        <row r="491">
          <cell r="A491">
            <v>105</v>
          </cell>
          <cell r="B491">
            <v>274</v>
          </cell>
          <cell r="C491" t="str">
            <v>Gaza Strip</v>
          </cell>
          <cell r="G491">
            <v>8</v>
          </cell>
          <cell r="H491" t="str">
            <v>mec</v>
          </cell>
          <cell r="I491">
            <v>1</v>
          </cell>
          <cell r="J491" t="str">
            <v>low and middle</v>
          </cell>
          <cell r="K491" t="str">
            <v>males</v>
          </cell>
          <cell r="L491" t="str">
            <v>1995-2000</v>
          </cell>
          <cell r="M491">
            <v>13.375999999999999</v>
          </cell>
          <cell r="N491">
            <v>4.1100000000000003</v>
          </cell>
          <cell r="O491">
            <v>0.39400000000000002</v>
          </cell>
          <cell r="P491">
            <v>0.78599999999999992</v>
          </cell>
          <cell r="Q491">
            <v>0.65200000000000002</v>
          </cell>
          <cell r="R491">
            <v>1.014</v>
          </cell>
          <cell r="S491">
            <v>1.52</v>
          </cell>
          <cell r="T491">
            <v>4.9000000000000004</v>
          </cell>
        </row>
        <row r="492">
          <cell r="A492">
            <v>158</v>
          </cell>
          <cell r="B492">
            <v>276</v>
          </cell>
          <cell r="C492" t="str">
            <v>Germany</v>
          </cell>
          <cell r="D492">
            <v>0</v>
          </cell>
          <cell r="E492">
            <v>4</v>
          </cell>
          <cell r="F492" t="str">
            <v>Euro</v>
          </cell>
          <cell r="G492">
            <v>1</v>
          </cell>
          <cell r="H492" t="str">
            <v>eme</v>
          </cell>
          <cell r="I492">
            <v>4</v>
          </cell>
          <cell r="J492" t="str">
            <v>high</v>
          </cell>
          <cell r="K492" t="str">
            <v>males</v>
          </cell>
          <cell r="L492" t="str">
            <v>1995-2000</v>
          </cell>
          <cell r="M492">
            <v>2060.8629999999998</v>
          </cell>
          <cell r="N492">
            <v>13.558999999999999</v>
          </cell>
          <cell r="O492">
            <v>3.6749999999999998</v>
          </cell>
          <cell r="P492">
            <v>31.302</v>
          </cell>
          <cell r="Q492">
            <v>88.06</v>
          </cell>
          <cell r="R492">
            <v>277.25900000000001</v>
          </cell>
          <cell r="S492">
            <v>459.53100000000001</v>
          </cell>
          <cell r="T492">
            <v>1187.4770000000001</v>
          </cell>
        </row>
        <row r="493">
          <cell r="A493">
            <v>53</v>
          </cell>
          <cell r="B493">
            <v>288</v>
          </cell>
          <cell r="C493" t="str">
            <v>Ghana</v>
          </cell>
          <cell r="D493">
            <v>0</v>
          </cell>
          <cell r="E493">
            <v>1</v>
          </cell>
          <cell r="F493" t="str">
            <v>Afro</v>
          </cell>
          <cell r="G493">
            <v>6</v>
          </cell>
          <cell r="H493" t="str">
            <v>ssa</v>
          </cell>
          <cell r="I493">
            <v>1</v>
          </cell>
          <cell r="J493" t="str">
            <v>low and middle</v>
          </cell>
          <cell r="K493" t="str">
            <v>males</v>
          </cell>
          <cell r="L493" t="str">
            <v>1995-2000</v>
          </cell>
          <cell r="M493">
            <v>473.12799999999999</v>
          </cell>
          <cell r="N493">
            <v>194.78299999999999</v>
          </cell>
          <cell r="O493">
            <v>36.381</v>
          </cell>
          <cell r="P493">
            <v>49.900999999999996</v>
          </cell>
          <cell r="Q493">
            <v>41.596000000000004</v>
          </cell>
          <cell r="R493">
            <v>45.46</v>
          </cell>
          <cell r="S493">
            <v>39.365000000000002</v>
          </cell>
          <cell r="T493">
            <v>65.641999999999996</v>
          </cell>
        </row>
        <row r="494">
          <cell r="A494">
            <v>146</v>
          </cell>
          <cell r="B494">
            <v>300</v>
          </cell>
          <cell r="C494" t="str">
            <v>Greece</v>
          </cell>
          <cell r="D494">
            <v>0</v>
          </cell>
          <cell r="E494">
            <v>4</v>
          </cell>
          <cell r="F494" t="str">
            <v>Euro</v>
          </cell>
          <cell r="G494">
            <v>1</v>
          </cell>
          <cell r="H494" t="str">
            <v>eme</v>
          </cell>
          <cell r="I494">
            <v>4</v>
          </cell>
          <cell r="J494" t="str">
            <v>high</v>
          </cell>
          <cell r="K494" t="str">
            <v>males</v>
          </cell>
          <cell r="L494" t="str">
            <v>1995-2000</v>
          </cell>
          <cell r="M494">
            <v>268.45699999999999</v>
          </cell>
          <cell r="N494">
            <v>2.4820000000000002</v>
          </cell>
          <cell r="O494">
            <v>0.56999999999999995</v>
          </cell>
          <cell r="P494">
            <v>5.66</v>
          </cell>
          <cell r="Q494">
            <v>8.3480000000000008</v>
          </cell>
          <cell r="R494">
            <v>24.463999999999999</v>
          </cell>
          <cell r="S494">
            <v>51.073</v>
          </cell>
          <cell r="T494">
            <v>175.86</v>
          </cell>
        </row>
        <row r="495">
          <cell r="A495">
            <v>168</v>
          </cell>
          <cell r="B495">
            <v>312</v>
          </cell>
          <cell r="C495" t="str">
            <v>Guadeloupe</v>
          </cell>
          <cell r="G495">
            <v>7</v>
          </cell>
          <cell r="H495" t="str">
            <v>lac</v>
          </cell>
          <cell r="I495">
            <v>1</v>
          </cell>
          <cell r="J495" t="str">
            <v>low and middle</v>
          </cell>
          <cell r="K495" t="str">
            <v>males</v>
          </cell>
          <cell r="L495" t="str">
            <v>1995-2000</v>
          </cell>
          <cell r="M495">
            <v>7.0060000000000002</v>
          </cell>
          <cell r="N495">
            <v>0.23400000000000001</v>
          </cell>
          <cell r="O495">
            <v>4.4999999999999998E-2</v>
          </cell>
          <cell r="P495">
            <v>0.36599999999999999</v>
          </cell>
          <cell r="Q495">
            <v>0.68300000000000005</v>
          </cell>
          <cell r="R495">
            <v>0.98499999999999999</v>
          </cell>
          <cell r="S495">
            <v>1.141</v>
          </cell>
          <cell r="T495">
            <v>3.552</v>
          </cell>
        </row>
        <row r="496">
          <cell r="A496">
            <v>211</v>
          </cell>
          <cell r="B496">
            <v>316</v>
          </cell>
          <cell r="C496" t="str">
            <v>Guam</v>
          </cell>
          <cell r="G496">
            <v>5</v>
          </cell>
          <cell r="H496" t="str">
            <v>oai</v>
          </cell>
          <cell r="I496">
            <v>4</v>
          </cell>
          <cell r="J496" t="str">
            <v>high</v>
          </cell>
          <cell r="K496" t="str">
            <v>males</v>
          </cell>
          <cell r="L496" t="str">
            <v>1995-2000</v>
          </cell>
          <cell r="M496">
            <v>2.0270000000000001</v>
          </cell>
          <cell r="N496">
            <v>0.11600000000000001</v>
          </cell>
          <cell r="O496">
            <v>0.03</v>
          </cell>
          <cell r="P496">
            <v>0.13700000000000001</v>
          </cell>
          <cell r="Q496">
            <v>0.23100000000000001</v>
          </cell>
          <cell r="R496">
            <v>0.38800000000000001</v>
          </cell>
          <cell r="S496">
            <v>0.41600000000000004</v>
          </cell>
          <cell r="T496">
            <v>0.70899999999999996</v>
          </cell>
        </row>
        <row r="497">
          <cell r="A497">
            <v>179</v>
          </cell>
          <cell r="B497">
            <v>320</v>
          </cell>
          <cell r="C497" t="str">
            <v>Guatemala</v>
          </cell>
          <cell r="D497">
            <v>0</v>
          </cell>
          <cell r="E497">
            <v>2</v>
          </cell>
          <cell r="F497" t="str">
            <v>Amro</v>
          </cell>
          <cell r="G497">
            <v>7</v>
          </cell>
          <cell r="H497" t="str">
            <v>lac</v>
          </cell>
          <cell r="I497">
            <v>1</v>
          </cell>
          <cell r="J497" t="str">
            <v>low and middle</v>
          </cell>
          <cell r="K497" t="str">
            <v>males</v>
          </cell>
          <cell r="L497" t="str">
            <v>1995-2000</v>
          </cell>
          <cell r="M497">
            <v>224.809</v>
          </cell>
          <cell r="N497">
            <v>64.894000000000005</v>
          </cell>
          <cell r="O497">
            <v>8.411999999999999</v>
          </cell>
          <cell r="P497">
            <v>27.14</v>
          </cell>
          <cell r="Q497">
            <v>28.328000000000003</v>
          </cell>
          <cell r="R497">
            <v>27.538999999999998</v>
          </cell>
          <cell r="S497">
            <v>25.071999999999999</v>
          </cell>
          <cell r="T497">
            <v>43.424000000000007</v>
          </cell>
        </row>
        <row r="498">
          <cell r="A498">
            <v>54</v>
          </cell>
          <cell r="B498">
            <v>324</v>
          </cell>
          <cell r="C498" t="str">
            <v>Guinea</v>
          </cell>
          <cell r="D498">
            <v>0</v>
          </cell>
          <cell r="E498">
            <v>1</v>
          </cell>
          <cell r="F498" t="str">
            <v>Afro</v>
          </cell>
          <cell r="G498">
            <v>6</v>
          </cell>
          <cell r="H498" t="str">
            <v>ssa</v>
          </cell>
          <cell r="I498">
            <v>1</v>
          </cell>
          <cell r="J498" t="str">
            <v>low and middle</v>
          </cell>
          <cell r="K498" t="str">
            <v>males</v>
          </cell>
          <cell r="L498" t="str">
            <v>1995-2000</v>
          </cell>
          <cell r="M498">
            <v>322.41500000000002</v>
          </cell>
          <cell r="N498">
            <v>161.56700000000001</v>
          </cell>
          <cell r="O498">
            <v>30.285</v>
          </cell>
          <cell r="P498">
            <v>32.884999999999998</v>
          </cell>
          <cell r="Q498">
            <v>26.875</v>
          </cell>
          <cell r="R498">
            <v>25.378</v>
          </cell>
          <cell r="S498">
            <v>19.516999999999999</v>
          </cell>
          <cell r="T498">
            <v>25.908000000000001</v>
          </cell>
        </row>
        <row r="499">
          <cell r="A499">
            <v>191</v>
          </cell>
          <cell r="B499">
            <v>328</v>
          </cell>
          <cell r="C499" t="str">
            <v>Guyana</v>
          </cell>
          <cell r="D499">
            <v>0</v>
          </cell>
          <cell r="E499">
            <v>2</v>
          </cell>
          <cell r="F499" t="str">
            <v>Amro</v>
          </cell>
          <cell r="G499">
            <v>7</v>
          </cell>
          <cell r="H499" t="str">
            <v>lac</v>
          </cell>
          <cell r="I499">
            <v>1</v>
          </cell>
          <cell r="J499" t="str">
            <v>low and middle</v>
          </cell>
          <cell r="K499" t="str">
            <v>males</v>
          </cell>
          <cell r="L499" t="str">
            <v>1995-2000</v>
          </cell>
          <cell r="M499">
            <v>17.747</v>
          </cell>
          <cell r="N499">
            <v>4.2830000000000004</v>
          </cell>
          <cell r="O499">
            <v>0.58299999999999996</v>
          </cell>
          <cell r="P499">
            <v>1.3819999999999999</v>
          </cell>
          <cell r="Q499">
            <v>2.0880000000000001</v>
          </cell>
          <cell r="R499">
            <v>2.5750000000000002</v>
          </cell>
          <cell r="S499">
            <v>2.5550000000000002</v>
          </cell>
          <cell r="T499">
            <v>4.2809999999999997</v>
          </cell>
        </row>
        <row r="500">
          <cell r="A500">
            <v>169</v>
          </cell>
          <cell r="B500">
            <v>332</v>
          </cell>
          <cell r="C500" t="str">
            <v>Haiti</v>
          </cell>
          <cell r="D500">
            <v>0</v>
          </cell>
          <cell r="E500">
            <v>2</v>
          </cell>
          <cell r="F500" t="str">
            <v>Amro</v>
          </cell>
          <cell r="G500">
            <v>7</v>
          </cell>
          <cell r="H500" t="str">
            <v>lac</v>
          </cell>
          <cell r="I500">
            <v>1</v>
          </cell>
          <cell r="J500" t="str">
            <v>low and middle</v>
          </cell>
          <cell r="K500" t="str">
            <v>males</v>
          </cell>
          <cell r="L500" t="str">
            <v>1995-2000</v>
          </cell>
          <cell r="M500">
            <v>260.50700000000001</v>
          </cell>
          <cell r="N500">
            <v>73.978999999999999</v>
          </cell>
          <cell r="O500">
            <v>18.578000000000003</v>
          </cell>
          <cell r="P500">
            <v>27.051000000000002</v>
          </cell>
          <cell r="Q500">
            <v>37.213999999999999</v>
          </cell>
          <cell r="R500">
            <v>37.812000000000005</v>
          </cell>
          <cell r="S500">
            <v>25.442</v>
          </cell>
          <cell r="T500">
            <v>40.430999999999997</v>
          </cell>
        </row>
        <row r="501">
          <cell r="A501">
            <v>180</v>
          </cell>
          <cell r="B501">
            <v>340</v>
          </cell>
          <cell r="C501" t="str">
            <v>Honduras</v>
          </cell>
          <cell r="D501">
            <v>0</v>
          </cell>
          <cell r="E501">
            <v>2</v>
          </cell>
          <cell r="F501" t="str">
            <v>Amro</v>
          </cell>
          <cell r="G501">
            <v>7</v>
          </cell>
          <cell r="H501" t="str">
            <v>lac</v>
          </cell>
          <cell r="I501">
            <v>1</v>
          </cell>
          <cell r="J501" t="str">
            <v>low and middle</v>
          </cell>
          <cell r="K501" t="str">
            <v>males</v>
          </cell>
          <cell r="L501" t="str">
            <v>1995-2000</v>
          </cell>
          <cell r="M501">
            <v>90.905000000000001</v>
          </cell>
          <cell r="N501">
            <v>28.501999999999999</v>
          </cell>
          <cell r="O501">
            <v>4.6120000000000001</v>
          </cell>
          <cell r="P501">
            <v>9.2639999999999993</v>
          </cell>
          <cell r="Q501">
            <v>10.352</v>
          </cell>
          <cell r="R501">
            <v>10.08</v>
          </cell>
          <cell r="S501">
            <v>9.1529999999999987</v>
          </cell>
          <cell r="T501">
            <v>18.942</v>
          </cell>
        </row>
        <row r="502">
          <cell r="A502">
            <v>67</v>
          </cell>
          <cell r="B502">
            <v>344</v>
          </cell>
          <cell r="C502" t="str">
            <v>China, Hong Kong SAR (6)</v>
          </cell>
          <cell r="G502">
            <v>5</v>
          </cell>
          <cell r="H502" t="str">
            <v>oai</v>
          </cell>
          <cell r="I502">
            <v>4</v>
          </cell>
          <cell r="J502" t="str">
            <v>high</v>
          </cell>
          <cell r="K502" t="str">
            <v>males</v>
          </cell>
          <cell r="L502" t="str">
            <v>1995-2000</v>
          </cell>
          <cell r="M502">
            <v>108.968</v>
          </cell>
          <cell r="N502">
            <v>1.43</v>
          </cell>
          <cell r="O502">
            <v>0.34299999999999997</v>
          </cell>
          <cell r="P502">
            <v>2.0760000000000001</v>
          </cell>
          <cell r="Q502">
            <v>6.1950000000000003</v>
          </cell>
          <cell r="R502">
            <v>15.395999999999999</v>
          </cell>
          <cell r="S502">
            <v>24.21</v>
          </cell>
          <cell r="T502">
            <v>59.317999999999991</v>
          </cell>
        </row>
        <row r="503">
          <cell r="A503">
            <v>124</v>
          </cell>
          <cell r="B503">
            <v>348</v>
          </cell>
          <cell r="C503" t="str">
            <v>Hungary</v>
          </cell>
          <cell r="D503">
            <v>0</v>
          </cell>
          <cell r="E503">
            <v>4</v>
          </cell>
          <cell r="F503" t="str">
            <v>Euro</v>
          </cell>
          <cell r="G503">
            <v>2</v>
          </cell>
          <cell r="H503" t="str">
            <v>fse</v>
          </cell>
          <cell r="I503">
            <v>1</v>
          </cell>
          <cell r="J503" t="str">
            <v>low and middle</v>
          </cell>
          <cell r="K503" t="str">
            <v>males</v>
          </cell>
          <cell r="L503" t="str">
            <v>1995-2000</v>
          </cell>
          <cell r="M503">
            <v>356.67500000000001</v>
          </cell>
          <cell r="N503">
            <v>3.4870000000000001</v>
          </cell>
          <cell r="O503">
            <v>0.78900000000000003</v>
          </cell>
          <cell r="P503">
            <v>5.4060000000000006</v>
          </cell>
          <cell r="Q503">
            <v>24.788</v>
          </cell>
          <cell r="R503">
            <v>74.402000000000001</v>
          </cell>
          <cell r="S503">
            <v>81.201999999999998</v>
          </cell>
          <cell r="T503">
            <v>166.601</v>
          </cell>
        </row>
        <row r="504">
          <cell r="A504">
            <v>135</v>
          </cell>
          <cell r="B504">
            <v>352</v>
          </cell>
          <cell r="C504" t="str">
            <v>Iceland</v>
          </cell>
          <cell r="D504">
            <v>0</v>
          </cell>
          <cell r="E504">
            <v>4</v>
          </cell>
          <cell r="F504" t="str">
            <v>Euro</v>
          </cell>
          <cell r="G504">
            <v>1</v>
          </cell>
          <cell r="H504" t="str">
            <v>eme</v>
          </cell>
          <cell r="I504">
            <v>4</v>
          </cell>
          <cell r="J504" t="str">
            <v>high</v>
          </cell>
          <cell r="K504" t="str">
            <v>males</v>
          </cell>
          <cell r="L504" t="str">
            <v>1995-2000</v>
          </cell>
          <cell r="M504">
            <v>4.835</v>
          </cell>
          <cell r="N504">
            <v>7.2999999999999995E-2</v>
          </cell>
          <cell r="O504">
            <v>1.4999999999999999E-2</v>
          </cell>
          <cell r="P504">
            <v>0.129</v>
          </cell>
          <cell r="Q504">
            <v>0.15899999999999997</v>
          </cell>
          <cell r="R504">
            <v>0.45800000000000002</v>
          </cell>
          <cell r="S504">
            <v>0.76200000000000001</v>
          </cell>
          <cell r="T504">
            <v>3.2389999999999994</v>
          </cell>
        </row>
        <row r="505">
          <cell r="A505">
            <v>77</v>
          </cell>
          <cell r="B505">
            <v>356</v>
          </cell>
          <cell r="C505" t="str">
            <v>India</v>
          </cell>
          <cell r="D505">
            <v>0</v>
          </cell>
          <cell r="E505">
            <v>5</v>
          </cell>
          <cell r="F505" t="str">
            <v>Searo</v>
          </cell>
          <cell r="G505">
            <v>3</v>
          </cell>
          <cell r="H505" t="str">
            <v>ind</v>
          </cell>
          <cell r="I505">
            <v>6</v>
          </cell>
          <cell r="J505" t="str">
            <v>ind</v>
          </cell>
          <cell r="K505" t="str">
            <v>males</v>
          </cell>
          <cell r="L505" t="str">
            <v>1995-2000</v>
          </cell>
          <cell r="M505">
            <v>22187.062000000002</v>
          </cell>
          <cell r="N505">
            <v>5478.2280000000001</v>
          </cell>
          <cell r="O505">
            <v>1113.32</v>
          </cell>
          <cell r="P505">
            <v>1067.7570000000001</v>
          </cell>
          <cell r="Q505">
            <v>1734.4160000000002</v>
          </cell>
          <cell r="R505">
            <v>3276.8140000000003</v>
          </cell>
          <cell r="S505">
            <v>3657.2089999999998</v>
          </cell>
          <cell r="T505">
            <v>5859.3179999999993</v>
          </cell>
        </row>
        <row r="506">
          <cell r="A506">
            <v>92</v>
          </cell>
          <cell r="B506">
            <v>360</v>
          </cell>
          <cell r="C506" t="str">
            <v>Indonesia</v>
          </cell>
          <cell r="D506">
            <v>0</v>
          </cell>
          <cell r="E506">
            <v>5</v>
          </cell>
          <cell r="F506" t="str">
            <v>Searo</v>
          </cell>
          <cell r="G506">
            <v>5</v>
          </cell>
          <cell r="H506" t="str">
            <v>oai</v>
          </cell>
          <cell r="I506">
            <v>1</v>
          </cell>
          <cell r="J506" t="str">
            <v>low and middle</v>
          </cell>
          <cell r="K506" t="str">
            <v>males</v>
          </cell>
          <cell r="L506" t="str">
            <v>1995-2000</v>
          </cell>
          <cell r="M506">
            <v>4129.1329999999998</v>
          </cell>
          <cell r="N506">
            <v>828.62300000000005</v>
          </cell>
          <cell r="O506">
            <v>122.06200000000001</v>
          </cell>
          <cell r="P506">
            <v>340.83100000000002</v>
          </cell>
          <cell r="Q506">
            <v>385.61900000000003</v>
          </cell>
          <cell r="R506">
            <v>634.63599999999997</v>
          </cell>
          <cell r="S506">
            <v>699.84199999999998</v>
          </cell>
          <cell r="T506">
            <v>1117.52</v>
          </cell>
        </row>
        <row r="507">
          <cell r="A507">
            <v>78</v>
          </cell>
          <cell r="B507">
            <v>364</v>
          </cell>
          <cell r="C507" t="str">
            <v>Iran (Islamic Republic of)</v>
          </cell>
          <cell r="D507">
            <v>0</v>
          </cell>
          <cell r="E507">
            <v>3</v>
          </cell>
          <cell r="F507" t="str">
            <v>Emro</v>
          </cell>
          <cell r="G507">
            <v>8</v>
          </cell>
          <cell r="H507" t="str">
            <v>mec</v>
          </cell>
          <cell r="I507">
            <v>1</v>
          </cell>
          <cell r="J507" t="str">
            <v>low and middle</v>
          </cell>
          <cell r="K507" t="str">
            <v>males</v>
          </cell>
          <cell r="L507" t="str">
            <v>1995-2000</v>
          </cell>
          <cell r="M507">
            <v>934.12199999999996</v>
          </cell>
          <cell r="N507">
            <v>203.98400000000001</v>
          </cell>
          <cell r="O507">
            <v>44.128</v>
          </cell>
          <cell r="P507">
            <v>58.888000000000005</v>
          </cell>
          <cell r="Q507">
            <v>57.408999999999999</v>
          </cell>
          <cell r="R507">
            <v>110.202</v>
          </cell>
          <cell r="S507">
            <v>166.50299999999999</v>
          </cell>
          <cell r="T507">
            <v>293.00799999999998</v>
          </cell>
        </row>
        <row r="508">
          <cell r="A508">
            <v>107</v>
          </cell>
          <cell r="B508">
            <v>368</v>
          </cell>
          <cell r="C508" t="str">
            <v>Iraq</v>
          </cell>
          <cell r="D508">
            <v>0</v>
          </cell>
          <cell r="E508">
            <v>3</v>
          </cell>
          <cell r="F508" t="str">
            <v>Emro</v>
          </cell>
          <cell r="G508">
            <v>8</v>
          </cell>
          <cell r="H508" t="str">
            <v>mec</v>
          </cell>
          <cell r="I508">
            <v>1</v>
          </cell>
          <cell r="J508" t="str">
            <v>low and middle</v>
          </cell>
          <cell r="K508" t="str">
            <v>males</v>
          </cell>
          <cell r="L508" t="str">
            <v>1995-2000</v>
          </cell>
          <cell r="M508">
            <v>486.62700000000001</v>
          </cell>
          <cell r="N508">
            <v>231.99299999999999</v>
          </cell>
          <cell r="O508">
            <v>16.920000000000002</v>
          </cell>
          <cell r="P508">
            <v>29.504999999999999</v>
          </cell>
          <cell r="Q508">
            <v>33.937000000000005</v>
          </cell>
          <cell r="R508">
            <v>55.865000000000002</v>
          </cell>
          <cell r="S508">
            <v>48.921000000000006</v>
          </cell>
          <cell r="T508">
            <v>69.48599999999999</v>
          </cell>
        </row>
        <row r="509">
          <cell r="A509">
            <v>136</v>
          </cell>
          <cell r="B509">
            <v>372</v>
          </cell>
          <cell r="C509" t="str">
            <v>Ireland</v>
          </cell>
          <cell r="D509">
            <v>0</v>
          </cell>
          <cell r="E509">
            <v>4</v>
          </cell>
          <cell r="F509" t="str">
            <v>Euro</v>
          </cell>
          <cell r="G509">
            <v>1</v>
          </cell>
          <cell r="H509" t="str">
            <v>eme</v>
          </cell>
          <cell r="I509">
            <v>4</v>
          </cell>
          <cell r="J509" t="str">
            <v>high</v>
          </cell>
          <cell r="K509" t="str">
            <v>males</v>
          </cell>
          <cell r="L509" t="str">
            <v>1995-2000</v>
          </cell>
          <cell r="M509">
            <v>81.896000000000001</v>
          </cell>
          <cell r="N509">
            <v>1.2789999999999999</v>
          </cell>
          <cell r="O509">
            <v>0.28200000000000003</v>
          </cell>
          <cell r="P509">
            <v>1.7609999999999999</v>
          </cell>
          <cell r="Q509">
            <v>2.379</v>
          </cell>
          <cell r="R509">
            <v>8.5240000000000009</v>
          </cell>
          <cell r="S509">
            <v>15.142999999999999</v>
          </cell>
          <cell r="T509">
            <v>52.527999999999992</v>
          </cell>
        </row>
        <row r="510">
          <cell r="A510">
            <v>108</v>
          </cell>
          <cell r="B510">
            <v>376</v>
          </cell>
          <cell r="C510" t="str">
            <v>Israel</v>
          </cell>
          <cell r="D510">
            <v>0</v>
          </cell>
          <cell r="E510">
            <v>4</v>
          </cell>
          <cell r="F510" t="str">
            <v>Euro</v>
          </cell>
          <cell r="G510">
            <v>8</v>
          </cell>
          <cell r="H510" t="str">
            <v>mec</v>
          </cell>
          <cell r="I510">
            <v>4</v>
          </cell>
          <cell r="J510" t="str">
            <v>high</v>
          </cell>
          <cell r="K510" t="str">
            <v>males</v>
          </cell>
          <cell r="L510" t="str">
            <v>1995-2000</v>
          </cell>
          <cell r="M510">
            <v>93.191999999999993</v>
          </cell>
          <cell r="N510">
            <v>3.4049999999999998</v>
          </cell>
          <cell r="O510">
            <v>0.54900000000000004</v>
          </cell>
          <cell r="P510">
            <v>2.4180000000000001</v>
          </cell>
          <cell r="Q510">
            <v>3.34</v>
          </cell>
          <cell r="R510">
            <v>9.6980000000000004</v>
          </cell>
          <cell r="S510">
            <v>15.743000000000002</v>
          </cell>
          <cell r="T510">
            <v>58.039000000000001</v>
          </cell>
        </row>
        <row r="511">
          <cell r="A511">
            <v>147</v>
          </cell>
          <cell r="B511">
            <v>380</v>
          </cell>
          <cell r="C511" t="str">
            <v>Italy</v>
          </cell>
          <cell r="D511">
            <v>0</v>
          </cell>
          <cell r="E511">
            <v>4</v>
          </cell>
          <cell r="F511" t="str">
            <v>Euro</v>
          </cell>
          <cell r="G511">
            <v>1</v>
          </cell>
          <cell r="H511" t="str">
            <v>eme</v>
          </cell>
          <cell r="I511">
            <v>4</v>
          </cell>
          <cell r="J511" t="str">
            <v>high</v>
          </cell>
          <cell r="K511" t="str">
            <v>males</v>
          </cell>
          <cell r="L511" t="str">
            <v>1995-2000</v>
          </cell>
          <cell r="M511">
            <v>1536.8530000000001</v>
          </cell>
          <cell r="N511">
            <v>12.03</v>
          </cell>
          <cell r="O511">
            <v>2.7119999999999997</v>
          </cell>
          <cell r="P511">
            <v>23.652000000000001</v>
          </cell>
          <cell r="Q511">
            <v>40.242999999999995</v>
          </cell>
          <cell r="R511">
            <v>147.85</v>
          </cell>
          <cell r="S511">
            <v>296.113</v>
          </cell>
          <cell r="T511">
            <v>1014.2529999999999</v>
          </cell>
        </row>
        <row r="512">
          <cell r="A512">
            <v>51</v>
          </cell>
          <cell r="B512">
            <v>384</v>
          </cell>
          <cell r="C512" t="str">
            <v>Cote d'Ivoire</v>
          </cell>
          <cell r="D512">
            <v>0</v>
          </cell>
          <cell r="E512">
            <v>1</v>
          </cell>
          <cell r="F512" t="str">
            <v>Afro</v>
          </cell>
          <cell r="G512">
            <v>6</v>
          </cell>
          <cell r="H512" t="str">
            <v>ssa</v>
          </cell>
          <cell r="I512">
            <v>1</v>
          </cell>
          <cell r="J512" t="str">
            <v>low and middle</v>
          </cell>
          <cell r="K512" t="str">
            <v>males</v>
          </cell>
          <cell r="L512" t="str">
            <v>1995-2000</v>
          </cell>
          <cell r="M512">
            <v>603.27800000000002</v>
          </cell>
          <cell r="N512">
            <v>198.018</v>
          </cell>
          <cell r="O512">
            <v>51.65</v>
          </cell>
          <cell r="P512">
            <v>62.95</v>
          </cell>
          <cell r="Q512">
            <v>97.549000000000007</v>
          </cell>
          <cell r="R512">
            <v>89.245999999999995</v>
          </cell>
          <cell r="S512">
            <v>47.768000000000001</v>
          </cell>
          <cell r="T512">
            <v>56.096999999999987</v>
          </cell>
        </row>
        <row r="513">
          <cell r="A513">
            <v>170</v>
          </cell>
          <cell r="B513">
            <v>388</v>
          </cell>
          <cell r="C513" t="str">
            <v>Jamaica</v>
          </cell>
          <cell r="D513">
            <v>0</v>
          </cell>
          <cell r="E513">
            <v>2</v>
          </cell>
          <cell r="F513" t="str">
            <v>Amro</v>
          </cell>
          <cell r="G513">
            <v>7</v>
          </cell>
          <cell r="H513" t="str">
            <v>lac</v>
          </cell>
          <cell r="I513">
            <v>1</v>
          </cell>
          <cell r="J513" t="str">
            <v>low and middle</v>
          </cell>
          <cell r="K513" t="str">
            <v>males</v>
          </cell>
          <cell r="L513" t="str">
            <v>1995-2000</v>
          </cell>
          <cell r="M513">
            <v>38.832999999999998</v>
          </cell>
          <cell r="N513">
            <v>4.1109999999999998</v>
          </cell>
          <cell r="O513">
            <v>0.628</v>
          </cell>
          <cell r="P513">
            <v>1.6360000000000001</v>
          </cell>
          <cell r="Q513">
            <v>2.1559999999999997</v>
          </cell>
          <cell r="R513">
            <v>3.9290000000000003</v>
          </cell>
          <cell r="S513">
            <v>5.3540000000000001</v>
          </cell>
          <cell r="T513">
            <v>21.019000000000002</v>
          </cell>
        </row>
        <row r="514">
          <cell r="A514">
            <v>69</v>
          </cell>
          <cell r="B514">
            <v>392</v>
          </cell>
          <cell r="C514" t="str">
            <v>Japan</v>
          </cell>
          <cell r="D514">
            <v>0</v>
          </cell>
          <cell r="E514">
            <v>6</v>
          </cell>
          <cell r="F514" t="str">
            <v>Wpro</v>
          </cell>
          <cell r="G514">
            <v>1</v>
          </cell>
          <cell r="H514" t="str">
            <v>eme</v>
          </cell>
          <cell r="I514">
            <v>4</v>
          </cell>
          <cell r="J514" t="str">
            <v>high</v>
          </cell>
          <cell r="K514" t="str">
            <v>males</v>
          </cell>
          <cell r="L514" t="str">
            <v>1995-2000</v>
          </cell>
          <cell r="M514">
            <v>2653.0529999999999</v>
          </cell>
          <cell r="N514">
            <v>20.882999999999999</v>
          </cell>
          <cell r="O514">
            <v>6.1690000000000005</v>
          </cell>
          <cell r="P514">
            <v>42.644000000000005</v>
          </cell>
          <cell r="Q514">
            <v>76.146999999999991</v>
          </cell>
          <cell r="R514">
            <v>344.07899999999995</v>
          </cell>
          <cell r="S514">
            <v>543.125</v>
          </cell>
          <cell r="T514">
            <v>1620.0060000000001</v>
          </cell>
        </row>
        <row r="515">
          <cell r="A515">
            <v>79</v>
          </cell>
          <cell r="B515">
            <v>398</v>
          </cell>
          <cell r="C515" t="str">
            <v>Kazakhstan</v>
          </cell>
          <cell r="D515">
            <v>0</v>
          </cell>
          <cell r="E515">
            <v>4</v>
          </cell>
          <cell r="F515" t="str">
            <v>Euro</v>
          </cell>
          <cell r="G515">
            <v>8</v>
          </cell>
          <cell r="H515" t="str">
            <v>mec</v>
          </cell>
          <cell r="I515">
            <v>1</v>
          </cell>
          <cell r="J515" t="str">
            <v>low and middle</v>
          </cell>
          <cell r="K515" t="str">
            <v>males</v>
          </cell>
          <cell r="L515" t="str">
            <v>1995-2000</v>
          </cell>
          <cell r="M515">
            <v>374.24799999999999</v>
          </cell>
          <cell r="N515">
            <v>36.341999999999999</v>
          </cell>
          <cell r="O515">
            <v>6.4550000000000001</v>
          </cell>
          <cell r="P515">
            <v>23.403999999999996</v>
          </cell>
          <cell r="Q515">
            <v>47.402000000000001</v>
          </cell>
          <cell r="R515">
            <v>80.176999999999992</v>
          </cell>
          <cell r="S515">
            <v>84.65100000000001</v>
          </cell>
          <cell r="T515">
            <v>95.817000000000007</v>
          </cell>
        </row>
        <row r="516">
          <cell r="A516">
            <v>109</v>
          </cell>
          <cell r="B516">
            <v>400</v>
          </cell>
          <cell r="C516" t="str">
            <v>Jordan</v>
          </cell>
          <cell r="D516">
            <v>0</v>
          </cell>
          <cell r="E516">
            <v>3</v>
          </cell>
          <cell r="F516" t="str">
            <v>Emro</v>
          </cell>
          <cell r="G516">
            <v>8</v>
          </cell>
          <cell r="H516" t="str">
            <v>mec</v>
          </cell>
          <cell r="I516">
            <v>1</v>
          </cell>
          <cell r="J516" t="str">
            <v>low and middle</v>
          </cell>
          <cell r="K516" t="str">
            <v>males</v>
          </cell>
          <cell r="L516" t="str">
            <v>1995-2000</v>
          </cell>
          <cell r="M516">
            <v>77.959999999999994</v>
          </cell>
          <cell r="N516">
            <v>17.471</v>
          </cell>
          <cell r="O516">
            <v>2.306</v>
          </cell>
          <cell r="P516">
            <v>6.0609999999999999</v>
          </cell>
          <cell r="Q516">
            <v>6.3379999999999992</v>
          </cell>
          <cell r="R516">
            <v>10.687000000000001</v>
          </cell>
          <cell r="S516">
            <v>11.832000000000001</v>
          </cell>
          <cell r="T516">
            <v>23.265000000000001</v>
          </cell>
        </row>
        <row r="517">
          <cell r="A517">
            <v>12</v>
          </cell>
          <cell r="B517">
            <v>404</v>
          </cell>
          <cell r="C517" t="str">
            <v>Kenya</v>
          </cell>
          <cell r="D517">
            <v>0</v>
          </cell>
          <cell r="E517">
            <v>1</v>
          </cell>
          <cell r="F517" t="str">
            <v>Afro</v>
          </cell>
          <cell r="G517">
            <v>6</v>
          </cell>
          <cell r="H517" t="str">
            <v>ssa</v>
          </cell>
          <cell r="I517">
            <v>1</v>
          </cell>
          <cell r="J517" t="str">
            <v>low and middle</v>
          </cell>
          <cell r="K517" t="str">
            <v>males</v>
          </cell>
          <cell r="L517" t="str">
            <v>1995-2000</v>
          </cell>
          <cell r="M517">
            <v>891.14200000000005</v>
          </cell>
          <cell r="N517">
            <v>270.94</v>
          </cell>
          <cell r="O517">
            <v>72.126999999999995</v>
          </cell>
          <cell r="P517">
            <v>93.817000000000007</v>
          </cell>
          <cell r="Q517">
            <v>153.964</v>
          </cell>
          <cell r="R517">
            <v>125.41200000000001</v>
          </cell>
          <cell r="S517">
            <v>66.102999999999994</v>
          </cell>
          <cell r="T517">
            <v>108.779</v>
          </cell>
        </row>
        <row r="518">
          <cell r="A518">
            <v>68</v>
          </cell>
          <cell r="B518">
            <v>408</v>
          </cell>
          <cell r="C518" t="str">
            <v>Dem. People's Rep. of Korea</v>
          </cell>
          <cell r="D518">
            <v>0</v>
          </cell>
          <cell r="E518">
            <v>5</v>
          </cell>
          <cell r="F518" t="str">
            <v>Searo</v>
          </cell>
          <cell r="G518">
            <v>5</v>
          </cell>
          <cell r="H518" t="str">
            <v>oai</v>
          </cell>
          <cell r="I518">
            <v>1</v>
          </cell>
          <cell r="J518" t="str">
            <v>low and middle</v>
          </cell>
          <cell r="K518" t="str">
            <v>males</v>
          </cell>
          <cell r="L518" t="str">
            <v>1995-2000</v>
          </cell>
          <cell r="M518">
            <v>321.94400000000002</v>
          </cell>
          <cell r="N518">
            <v>33.220999999999997</v>
          </cell>
          <cell r="O518">
            <v>3.8479999999999999</v>
          </cell>
          <cell r="P518">
            <v>15.618</v>
          </cell>
          <cell r="Q518">
            <v>31.243000000000002</v>
          </cell>
          <cell r="R518">
            <v>70.558000000000007</v>
          </cell>
          <cell r="S518">
            <v>74.698000000000008</v>
          </cell>
          <cell r="T518">
            <v>92.75800000000001</v>
          </cell>
        </row>
        <row r="519">
          <cell r="A519">
            <v>72</v>
          </cell>
          <cell r="B519">
            <v>410</v>
          </cell>
          <cell r="C519" t="str">
            <v>Republic of Korea</v>
          </cell>
          <cell r="D519">
            <v>0</v>
          </cell>
          <cell r="E519">
            <v>6</v>
          </cell>
          <cell r="F519" t="str">
            <v>Wpro</v>
          </cell>
          <cell r="G519">
            <v>5</v>
          </cell>
          <cell r="H519" t="str">
            <v>oai</v>
          </cell>
          <cell r="I519">
            <v>4</v>
          </cell>
          <cell r="J519" t="str">
            <v>high</v>
          </cell>
          <cell r="K519" t="str">
            <v>males</v>
          </cell>
          <cell r="L519" t="str">
            <v>1995-2000</v>
          </cell>
          <cell r="M519">
            <v>801.59299999999996</v>
          </cell>
          <cell r="N519">
            <v>25.486999999999998</v>
          </cell>
          <cell r="O519">
            <v>7.92</v>
          </cell>
          <cell r="P519">
            <v>36.790999999999997</v>
          </cell>
          <cell r="Q519">
            <v>83.784999999999997</v>
          </cell>
          <cell r="R519">
            <v>182.774</v>
          </cell>
          <cell r="S519">
            <v>192.209</v>
          </cell>
          <cell r="T519">
            <v>272.62699999999995</v>
          </cell>
        </row>
        <row r="520">
          <cell r="A520">
            <v>110</v>
          </cell>
          <cell r="B520">
            <v>414</v>
          </cell>
          <cell r="C520" t="str">
            <v>Kuwait</v>
          </cell>
          <cell r="D520">
            <v>0</v>
          </cell>
          <cell r="E520">
            <v>3</v>
          </cell>
          <cell r="F520" t="str">
            <v>Emro</v>
          </cell>
          <cell r="G520">
            <v>8</v>
          </cell>
          <cell r="H520" t="str">
            <v>mec</v>
          </cell>
          <cell r="I520">
            <v>4</v>
          </cell>
          <cell r="J520" t="str">
            <v>high</v>
          </cell>
          <cell r="K520" t="str">
            <v>males</v>
          </cell>
          <cell r="L520" t="str">
            <v>1995-2000</v>
          </cell>
          <cell r="M520">
            <v>12.31</v>
          </cell>
          <cell r="N520">
            <v>1.704</v>
          </cell>
          <cell r="O520">
            <v>0.36699999999999999</v>
          </cell>
          <cell r="P520">
            <v>0.66100000000000003</v>
          </cell>
          <cell r="Q520">
            <v>1.07</v>
          </cell>
          <cell r="R520">
            <v>2.5640000000000001</v>
          </cell>
          <cell r="S520">
            <v>2.3140000000000001</v>
          </cell>
          <cell r="T520">
            <v>3.63</v>
          </cell>
        </row>
        <row r="521">
          <cell r="A521">
            <v>80</v>
          </cell>
          <cell r="B521">
            <v>417</v>
          </cell>
          <cell r="C521" t="str">
            <v>Kyrgyzstan</v>
          </cell>
          <cell r="D521">
            <v>0</v>
          </cell>
          <cell r="E521">
            <v>4</v>
          </cell>
          <cell r="F521" t="str">
            <v>Euro</v>
          </cell>
          <cell r="G521">
            <v>8</v>
          </cell>
          <cell r="H521" t="str">
            <v>mec</v>
          </cell>
          <cell r="I521">
            <v>1</v>
          </cell>
          <cell r="J521" t="str">
            <v>low and middle</v>
          </cell>
          <cell r="K521" t="str">
            <v>males</v>
          </cell>
          <cell r="L521" t="str">
            <v>1995-2000</v>
          </cell>
          <cell r="M521">
            <v>92.424000000000007</v>
          </cell>
          <cell r="N521">
            <v>16.739000000000001</v>
          </cell>
          <cell r="O521">
            <v>2.21</v>
          </cell>
          <cell r="P521">
            <v>6.12</v>
          </cell>
          <cell r="Q521">
            <v>11.673</v>
          </cell>
          <cell r="R521">
            <v>14.471999999999998</v>
          </cell>
          <cell r="S521">
            <v>17.609000000000002</v>
          </cell>
          <cell r="T521">
            <v>23.601000000000003</v>
          </cell>
        </row>
        <row r="522">
          <cell r="A522">
            <v>93</v>
          </cell>
          <cell r="B522">
            <v>418</v>
          </cell>
          <cell r="C522" t="str">
            <v>Lao People's Dem. Republic</v>
          </cell>
          <cell r="D522">
            <v>0</v>
          </cell>
          <cell r="E522">
            <v>6</v>
          </cell>
          <cell r="F522" t="str">
            <v>Wpro</v>
          </cell>
          <cell r="G522">
            <v>5</v>
          </cell>
          <cell r="H522" t="str">
            <v>oai</v>
          </cell>
          <cell r="I522">
            <v>1</v>
          </cell>
          <cell r="J522" t="str">
            <v>low and middle</v>
          </cell>
          <cell r="K522" t="str">
            <v>males</v>
          </cell>
          <cell r="L522" t="str">
            <v>1995-2000</v>
          </cell>
          <cell r="M522">
            <v>179.63900000000001</v>
          </cell>
          <cell r="N522">
            <v>81.674000000000007</v>
          </cell>
          <cell r="O522">
            <v>14.610999999999999</v>
          </cell>
          <cell r="P522">
            <v>17.042999999999999</v>
          </cell>
          <cell r="Q522">
            <v>15.351000000000003</v>
          </cell>
          <cell r="R522">
            <v>17.038999999999998</v>
          </cell>
          <cell r="S522">
            <v>13.867000000000001</v>
          </cell>
          <cell r="T522">
            <v>20.054000000000002</v>
          </cell>
        </row>
        <row r="523">
          <cell r="A523">
            <v>111</v>
          </cell>
          <cell r="B523">
            <v>422</v>
          </cell>
          <cell r="C523" t="str">
            <v>Lebanon</v>
          </cell>
          <cell r="D523">
            <v>0</v>
          </cell>
          <cell r="E523">
            <v>3</v>
          </cell>
          <cell r="F523" t="str">
            <v>Emro</v>
          </cell>
          <cell r="G523">
            <v>8</v>
          </cell>
          <cell r="H523" t="str">
            <v>mec</v>
          </cell>
          <cell r="I523">
            <v>1</v>
          </cell>
          <cell r="J523" t="str">
            <v>low and middle</v>
          </cell>
          <cell r="K523" t="str">
            <v>males</v>
          </cell>
          <cell r="L523" t="str">
            <v>1995-2000</v>
          </cell>
          <cell r="M523">
            <v>52.682000000000002</v>
          </cell>
          <cell r="N523">
            <v>7.7080000000000002</v>
          </cell>
          <cell r="O523">
            <v>1.073</v>
          </cell>
          <cell r="P523">
            <v>3.1970000000000001</v>
          </cell>
          <cell r="Q523">
            <v>3.3039999999999998</v>
          </cell>
          <cell r="R523">
            <v>6.0990000000000002</v>
          </cell>
          <cell r="S523">
            <v>10.262</v>
          </cell>
          <cell r="T523">
            <v>21.039000000000001</v>
          </cell>
        </row>
        <row r="524">
          <cell r="A524">
            <v>43</v>
          </cell>
          <cell r="B524">
            <v>426</v>
          </cell>
          <cell r="C524" t="str">
            <v>Lesotho</v>
          </cell>
          <cell r="D524">
            <v>0</v>
          </cell>
          <cell r="E524">
            <v>1</v>
          </cell>
          <cell r="F524" t="str">
            <v>Afro</v>
          </cell>
          <cell r="G524">
            <v>6</v>
          </cell>
          <cell r="H524" t="str">
            <v>ssa</v>
          </cell>
          <cell r="I524">
            <v>1</v>
          </cell>
          <cell r="J524" t="str">
            <v>low and middle</v>
          </cell>
          <cell r="K524" t="str">
            <v>males</v>
          </cell>
          <cell r="L524" t="str">
            <v>1995-2000</v>
          </cell>
          <cell r="M524">
            <v>62.162999999999997</v>
          </cell>
          <cell r="N524">
            <v>24.108000000000001</v>
          </cell>
          <cell r="O524">
            <v>2.9550000000000001</v>
          </cell>
          <cell r="P524">
            <v>3.9939999999999998</v>
          </cell>
          <cell r="Q524">
            <v>6.9850000000000003</v>
          </cell>
          <cell r="R524">
            <v>8.2429999999999986</v>
          </cell>
          <cell r="S524">
            <v>5.9879999999999995</v>
          </cell>
          <cell r="T524">
            <v>9.89</v>
          </cell>
        </row>
        <row r="525">
          <cell r="A525">
            <v>137</v>
          </cell>
          <cell r="B525">
            <v>428</v>
          </cell>
          <cell r="C525" t="str">
            <v>Latvia</v>
          </cell>
          <cell r="D525">
            <v>0</v>
          </cell>
          <cell r="E525">
            <v>4</v>
          </cell>
          <cell r="F525" t="str">
            <v>Euro</v>
          </cell>
          <cell r="G525">
            <v>2</v>
          </cell>
          <cell r="H525" t="str">
            <v>fse</v>
          </cell>
          <cell r="I525">
            <v>1</v>
          </cell>
          <cell r="J525" t="str">
            <v>low and middle</v>
          </cell>
          <cell r="K525" t="str">
            <v>males</v>
          </cell>
          <cell r="L525" t="str">
            <v>1995-2000</v>
          </cell>
          <cell r="M525">
            <v>84.817999999999998</v>
          </cell>
          <cell r="N525">
            <v>1.8049999999999999</v>
          </cell>
          <cell r="O525">
            <v>0.874</v>
          </cell>
          <cell r="P525">
            <v>3.4160000000000004</v>
          </cell>
          <cell r="Q525">
            <v>7.89</v>
          </cell>
          <cell r="R525">
            <v>18.288</v>
          </cell>
          <cell r="S525">
            <v>21.247999999999998</v>
          </cell>
          <cell r="T525">
            <v>31.296999999999997</v>
          </cell>
        </row>
        <row r="526">
          <cell r="A526">
            <v>56</v>
          </cell>
          <cell r="B526">
            <v>430</v>
          </cell>
          <cell r="C526" t="str">
            <v>Liberia</v>
          </cell>
          <cell r="D526">
            <v>0</v>
          </cell>
          <cell r="E526">
            <v>1</v>
          </cell>
          <cell r="F526" t="str">
            <v>Afro</v>
          </cell>
          <cell r="G526">
            <v>6</v>
          </cell>
          <cell r="H526" t="str">
            <v>ssa</v>
          </cell>
          <cell r="I526">
            <v>1</v>
          </cell>
          <cell r="J526" t="str">
            <v>low and middle</v>
          </cell>
          <cell r="K526" t="str">
            <v>males</v>
          </cell>
          <cell r="L526" t="str">
            <v>1995-2000</v>
          </cell>
          <cell r="M526">
            <v>112.459</v>
          </cell>
          <cell r="N526">
            <v>53.171999999999997</v>
          </cell>
          <cell r="O526">
            <v>8.5210000000000008</v>
          </cell>
          <cell r="P526">
            <v>10.428000000000001</v>
          </cell>
          <cell r="Q526">
            <v>9.6069999999999993</v>
          </cell>
          <cell r="R526">
            <v>12.167999999999999</v>
          </cell>
          <cell r="S526">
            <v>8.5779999999999994</v>
          </cell>
          <cell r="T526">
            <v>9.9849999999999994</v>
          </cell>
        </row>
        <row r="527">
          <cell r="A527">
            <v>36</v>
          </cell>
          <cell r="B527">
            <v>434</v>
          </cell>
          <cell r="C527" t="str">
            <v>Libyan Arab Jamahiriya</v>
          </cell>
          <cell r="D527">
            <v>0</v>
          </cell>
          <cell r="E527">
            <v>3</v>
          </cell>
          <cell r="F527" t="str">
            <v>Emro</v>
          </cell>
          <cell r="G527">
            <v>8</v>
          </cell>
          <cell r="H527" t="str">
            <v>mec</v>
          </cell>
          <cell r="I527">
            <v>1</v>
          </cell>
          <cell r="J527" t="str">
            <v>low and middle</v>
          </cell>
          <cell r="K527" t="str">
            <v>males</v>
          </cell>
          <cell r="L527" t="str">
            <v>1995-2000</v>
          </cell>
          <cell r="M527">
            <v>71.721000000000004</v>
          </cell>
          <cell r="N527">
            <v>12.58</v>
          </cell>
          <cell r="O527">
            <v>1.387</v>
          </cell>
          <cell r="P527">
            <v>3.6760000000000002</v>
          </cell>
          <cell r="Q527">
            <v>4.984</v>
          </cell>
          <cell r="R527">
            <v>14.525</v>
          </cell>
          <cell r="S527">
            <v>16.033000000000001</v>
          </cell>
          <cell r="T527">
            <v>18.536000000000001</v>
          </cell>
        </row>
        <row r="528">
          <cell r="A528">
            <v>138</v>
          </cell>
          <cell r="B528">
            <v>440</v>
          </cell>
          <cell r="C528" t="str">
            <v>Lithuania</v>
          </cell>
          <cell r="D528">
            <v>0</v>
          </cell>
          <cell r="E528">
            <v>4</v>
          </cell>
          <cell r="F528" t="str">
            <v>Euro</v>
          </cell>
          <cell r="G528">
            <v>2</v>
          </cell>
          <cell r="H528" t="str">
            <v>fse</v>
          </cell>
          <cell r="I528">
            <v>1</v>
          </cell>
          <cell r="J528" t="str">
            <v>low and middle</v>
          </cell>
          <cell r="K528" t="str">
            <v>males</v>
          </cell>
          <cell r="L528" t="str">
            <v>1995-2000</v>
          </cell>
          <cell r="M528">
            <v>116.166</v>
          </cell>
          <cell r="N528">
            <v>2.9630000000000001</v>
          </cell>
          <cell r="O528">
            <v>0.91300000000000003</v>
          </cell>
          <cell r="P528">
            <v>4.6340000000000003</v>
          </cell>
          <cell r="Q528">
            <v>12.2</v>
          </cell>
          <cell r="R528">
            <v>23.562000000000001</v>
          </cell>
          <cell r="S528">
            <v>26.45</v>
          </cell>
          <cell r="T528">
            <v>45.443999999999996</v>
          </cell>
        </row>
        <row r="529">
          <cell r="A529">
            <v>159</v>
          </cell>
          <cell r="B529">
            <v>442</v>
          </cell>
          <cell r="C529" t="str">
            <v>Luxembourg</v>
          </cell>
          <cell r="D529">
            <v>0</v>
          </cell>
          <cell r="E529">
            <v>4</v>
          </cell>
          <cell r="F529" t="str">
            <v>Euro</v>
          </cell>
          <cell r="G529">
            <v>1</v>
          </cell>
          <cell r="H529" t="str">
            <v>eme</v>
          </cell>
          <cell r="I529">
            <v>4</v>
          </cell>
          <cell r="J529" t="str">
            <v>high</v>
          </cell>
          <cell r="K529" t="str">
            <v>males</v>
          </cell>
          <cell r="L529" t="str">
            <v>1995-2000</v>
          </cell>
          <cell r="M529">
            <v>10.154999999999999</v>
          </cell>
          <cell r="N529">
            <v>0.11799999999999999</v>
          </cell>
          <cell r="O529">
            <v>2.4E-2</v>
          </cell>
          <cell r="P529">
            <v>0.19500000000000001</v>
          </cell>
          <cell r="Q529">
            <v>0.34199999999999997</v>
          </cell>
          <cell r="R529">
            <v>1.323</v>
          </cell>
          <cell r="S529">
            <v>2.1219999999999999</v>
          </cell>
          <cell r="T529">
            <v>6.0309999999999997</v>
          </cell>
        </row>
        <row r="530">
          <cell r="A530">
            <v>70</v>
          </cell>
          <cell r="B530">
            <v>446</v>
          </cell>
          <cell r="C530" t="str">
            <v>Macau</v>
          </cell>
          <cell r="G530">
            <v>5</v>
          </cell>
          <cell r="H530" t="str">
            <v>oai</v>
          </cell>
          <cell r="I530">
            <v>4</v>
          </cell>
          <cell r="J530" t="str">
            <v>high</v>
          </cell>
          <cell r="K530" t="str">
            <v>males</v>
          </cell>
          <cell r="L530" t="str">
            <v>1995-2000</v>
          </cell>
          <cell r="M530">
            <v>5.3079999999999998</v>
          </cell>
          <cell r="N530">
            <v>0.186</v>
          </cell>
          <cell r="O530">
            <v>3.3000000000000002E-2</v>
          </cell>
          <cell r="P530">
            <v>0.10400000000000001</v>
          </cell>
          <cell r="Q530">
            <v>0.27900000000000003</v>
          </cell>
          <cell r="R530">
            <v>0.75600000000000001</v>
          </cell>
          <cell r="S530">
            <v>0.96499999999999997</v>
          </cell>
          <cell r="T530">
            <v>2.9849999999999999</v>
          </cell>
        </row>
        <row r="531">
          <cell r="A531">
            <v>13</v>
          </cell>
          <cell r="B531">
            <v>450</v>
          </cell>
          <cell r="C531" t="str">
            <v>Madagascar</v>
          </cell>
          <cell r="D531">
            <v>0</v>
          </cell>
          <cell r="E531">
            <v>1</v>
          </cell>
          <cell r="F531" t="str">
            <v>Afro</v>
          </cell>
          <cell r="G531">
            <v>6</v>
          </cell>
          <cell r="H531" t="str">
            <v>ssa</v>
          </cell>
          <cell r="I531">
            <v>1</v>
          </cell>
          <cell r="J531" t="str">
            <v>low and middle</v>
          </cell>
          <cell r="K531" t="str">
            <v>males</v>
          </cell>
          <cell r="L531" t="str">
            <v>1995-2000</v>
          </cell>
          <cell r="M531">
            <v>419.9</v>
          </cell>
          <cell r="N531">
            <v>185.94200000000001</v>
          </cell>
          <cell r="O531">
            <v>20.207999999999998</v>
          </cell>
          <cell r="P531">
            <v>36.521999999999998</v>
          </cell>
          <cell r="Q531">
            <v>36.405000000000001</v>
          </cell>
          <cell r="R531">
            <v>41.244</v>
          </cell>
          <cell r="S531">
            <v>36.069000000000003</v>
          </cell>
          <cell r="T531">
            <v>63.51</v>
          </cell>
        </row>
        <row r="532">
          <cell r="A532">
            <v>14</v>
          </cell>
          <cell r="B532">
            <v>454</v>
          </cell>
          <cell r="C532" t="str">
            <v>Malawi</v>
          </cell>
          <cell r="D532">
            <v>0</v>
          </cell>
          <cell r="E532">
            <v>1</v>
          </cell>
          <cell r="F532" t="str">
            <v>Afro</v>
          </cell>
          <cell r="G532">
            <v>6</v>
          </cell>
          <cell r="H532" t="str">
            <v>ssa</v>
          </cell>
          <cell r="I532">
            <v>1</v>
          </cell>
          <cell r="J532" t="str">
            <v>low and middle</v>
          </cell>
          <cell r="K532" t="str">
            <v>males</v>
          </cell>
          <cell r="L532" t="str">
            <v>1995-2000</v>
          </cell>
          <cell r="M532">
            <v>593.596</v>
          </cell>
          <cell r="N532">
            <v>282.05700000000002</v>
          </cell>
          <cell r="O532">
            <v>57.904000000000003</v>
          </cell>
          <cell r="P532">
            <v>43.439</v>
          </cell>
          <cell r="Q532">
            <v>76.986000000000004</v>
          </cell>
          <cell r="R532">
            <v>66.698000000000008</v>
          </cell>
          <cell r="S532">
            <v>30.614999999999998</v>
          </cell>
          <cell r="T532">
            <v>35.896999999999998</v>
          </cell>
        </row>
        <row r="533">
          <cell r="A533">
            <v>94</v>
          </cell>
          <cell r="B533">
            <v>458</v>
          </cell>
          <cell r="C533" t="str">
            <v>Malaysia</v>
          </cell>
          <cell r="D533">
            <v>0</v>
          </cell>
          <cell r="E533">
            <v>6</v>
          </cell>
          <cell r="F533" t="str">
            <v>Wpro</v>
          </cell>
          <cell r="G533">
            <v>5</v>
          </cell>
          <cell r="H533" t="str">
            <v>oai</v>
          </cell>
          <cell r="I533">
            <v>1</v>
          </cell>
          <cell r="J533" t="str">
            <v>low and middle</v>
          </cell>
          <cell r="K533" t="str">
            <v>males</v>
          </cell>
          <cell r="L533" t="str">
            <v>1995-2000</v>
          </cell>
          <cell r="M533">
            <v>284.79399999999998</v>
          </cell>
          <cell r="N533">
            <v>22.777000000000001</v>
          </cell>
          <cell r="O533">
            <v>5.5430000000000001</v>
          </cell>
          <cell r="P533">
            <v>20.731000000000002</v>
          </cell>
          <cell r="Q533">
            <v>26.9</v>
          </cell>
          <cell r="R533">
            <v>51.597999999999999</v>
          </cell>
          <cell r="S533">
            <v>58.817999999999998</v>
          </cell>
          <cell r="T533">
            <v>98.426999999999992</v>
          </cell>
        </row>
        <row r="534">
          <cell r="A534">
            <v>81</v>
          </cell>
          <cell r="B534">
            <v>462</v>
          </cell>
          <cell r="C534" t="str">
            <v>Maldives</v>
          </cell>
          <cell r="D534">
            <v>0</v>
          </cell>
          <cell r="E534">
            <v>5</v>
          </cell>
          <cell r="F534" t="str">
            <v>Searo</v>
          </cell>
          <cell r="G534">
            <v>5</v>
          </cell>
          <cell r="H534" t="str">
            <v>oai</v>
          </cell>
          <cell r="I534">
            <v>1</v>
          </cell>
          <cell r="J534" t="str">
            <v>low and middle</v>
          </cell>
          <cell r="K534" t="str">
            <v>males</v>
          </cell>
          <cell r="L534" t="str">
            <v>1995-2000</v>
          </cell>
          <cell r="M534">
            <v>4.5709999999999997</v>
          </cell>
          <cell r="N534">
            <v>1.2629999999999999</v>
          </cell>
          <cell r="O534">
            <v>0.16200000000000001</v>
          </cell>
          <cell r="P534">
            <v>0.32799999999999996</v>
          </cell>
          <cell r="Q534">
            <v>0.32100000000000001</v>
          </cell>
          <cell r="R534">
            <v>0.54200000000000004</v>
          </cell>
          <cell r="S534">
            <v>0.72899999999999998</v>
          </cell>
          <cell r="T534">
            <v>1.2259999999999998</v>
          </cell>
        </row>
        <row r="535">
          <cell r="A535">
            <v>57</v>
          </cell>
          <cell r="B535">
            <v>466</v>
          </cell>
          <cell r="C535" t="str">
            <v>Mali</v>
          </cell>
          <cell r="D535">
            <v>0</v>
          </cell>
          <cell r="E535">
            <v>1</v>
          </cell>
          <cell r="F535" t="str">
            <v>Afro</v>
          </cell>
          <cell r="G535">
            <v>6</v>
          </cell>
          <cell r="H535" t="str">
            <v>ssa</v>
          </cell>
          <cell r="I535">
            <v>1</v>
          </cell>
          <cell r="J535" t="str">
            <v>low and middle</v>
          </cell>
          <cell r="K535" t="str">
            <v>males</v>
          </cell>
          <cell r="L535" t="str">
            <v>1995-2000</v>
          </cell>
          <cell r="M535">
            <v>434.63900000000001</v>
          </cell>
          <cell r="N535">
            <v>297.74599999999998</v>
          </cell>
          <cell r="O535">
            <v>30.116</v>
          </cell>
          <cell r="P535">
            <v>26.433999999999997</v>
          </cell>
          <cell r="Q535">
            <v>17.533999999999999</v>
          </cell>
          <cell r="R535">
            <v>17.309999999999999</v>
          </cell>
          <cell r="S535">
            <v>16.100000000000001</v>
          </cell>
          <cell r="T535">
            <v>29.398999999999997</v>
          </cell>
        </row>
        <row r="536">
          <cell r="A536">
            <v>148</v>
          </cell>
          <cell r="B536">
            <v>470</v>
          </cell>
          <cell r="C536" t="str">
            <v>Malta</v>
          </cell>
          <cell r="D536">
            <v>0</v>
          </cell>
          <cell r="E536">
            <v>4</v>
          </cell>
          <cell r="F536" t="str">
            <v>Euro</v>
          </cell>
          <cell r="G536">
            <v>8</v>
          </cell>
          <cell r="H536" t="str">
            <v>mec</v>
          </cell>
          <cell r="I536">
            <v>1</v>
          </cell>
          <cell r="J536" t="str">
            <v>low and middle</v>
          </cell>
          <cell r="K536" t="str">
            <v>males</v>
          </cell>
          <cell r="L536" t="str">
            <v>1995-2000</v>
          </cell>
          <cell r="M536">
            <v>7.4720000000000004</v>
          </cell>
          <cell r="N536">
            <v>0.14199999999999999</v>
          </cell>
          <cell r="O536">
            <v>2.5000000000000001E-2</v>
          </cell>
          <cell r="P536">
            <v>0.122</v>
          </cell>
          <cell r="Q536">
            <v>0.19500000000000001</v>
          </cell>
          <cell r="R536">
            <v>0.81499999999999995</v>
          </cell>
          <cell r="S536">
            <v>1.42</v>
          </cell>
          <cell r="T536">
            <v>4.7530000000000001</v>
          </cell>
        </row>
        <row r="537">
          <cell r="A537">
            <v>171</v>
          </cell>
          <cell r="B537">
            <v>474</v>
          </cell>
          <cell r="C537" t="str">
            <v>Martinique</v>
          </cell>
          <cell r="G537">
            <v>7</v>
          </cell>
          <cell r="H537" t="str">
            <v>lac</v>
          </cell>
          <cell r="I537">
            <v>4</v>
          </cell>
          <cell r="J537" t="str">
            <v>high</v>
          </cell>
          <cell r="K537" t="str">
            <v>males</v>
          </cell>
          <cell r="L537" t="str">
            <v>1995-2000</v>
          </cell>
          <cell r="M537">
            <v>6.4029999999999996</v>
          </cell>
          <cell r="N537">
            <v>0.14000000000000001</v>
          </cell>
          <cell r="O537">
            <v>0.03</v>
          </cell>
          <cell r="P537">
            <v>0.24199999999999999</v>
          </cell>
          <cell r="Q537">
            <v>0.40700000000000003</v>
          </cell>
          <cell r="R537">
            <v>0.77900000000000003</v>
          </cell>
          <cell r="S537">
            <v>1.179</v>
          </cell>
          <cell r="T537">
            <v>3.6259999999999994</v>
          </cell>
        </row>
        <row r="538">
          <cell r="A538">
            <v>58</v>
          </cell>
          <cell r="B538">
            <v>478</v>
          </cell>
          <cell r="C538" t="str">
            <v>Mauritania</v>
          </cell>
          <cell r="D538">
            <v>0</v>
          </cell>
          <cell r="E538">
            <v>1</v>
          </cell>
          <cell r="F538" t="str">
            <v>Afro</v>
          </cell>
          <cell r="G538">
            <v>6</v>
          </cell>
          <cell r="H538" t="str">
            <v>ssa</v>
          </cell>
          <cell r="I538">
            <v>1</v>
          </cell>
          <cell r="J538" t="str">
            <v>low and middle</v>
          </cell>
          <cell r="K538" t="str">
            <v>males</v>
          </cell>
          <cell r="L538" t="str">
            <v>1995-2000</v>
          </cell>
          <cell r="M538">
            <v>86.247</v>
          </cell>
          <cell r="N538">
            <v>40.323999999999998</v>
          </cell>
          <cell r="O538">
            <v>7.0069999999999997</v>
          </cell>
          <cell r="P538">
            <v>8.8059999999999992</v>
          </cell>
          <cell r="Q538">
            <v>7.2379999999999995</v>
          </cell>
          <cell r="R538">
            <v>7.3029999999999999</v>
          </cell>
          <cell r="S538">
            <v>6.07</v>
          </cell>
          <cell r="T538">
            <v>9.4990000000000006</v>
          </cell>
        </row>
        <row r="539">
          <cell r="A539">
            <v>15</v>
          </cell>
          <cell r="B539">
            <v>480</v>
          </cell>
          <cell r="C539" t="str">
            <v>Mauritius (2)</v>
          </cell>
          <cell r="D539">
            <v>0</v>
          </cell>
          <cell r="E539">
            <v>1</v>
          </cell>
          <cell r="F539" t="str">
            <v>Afro</v>
          </cell>
          <cell r="G539">
            <v>5</v>
          </cell>
          <cell r="H539" t="str">
            <v>oai</v>
          </cell>
          <cell r="I539">
            <v>1</v>
          </cell>
          <cell r="J539" t="str">
            <v>low and middle</v>
          </cell>
          <cell r="K539" t="str">
            <v>males</v>
          </cell>
          <cell r="L539" t="str">
            <v>1995-2000</v>
          </cell>
          <cell r="M539">
            <v>20.751999999999999</v>
          </cell>
          <cell r="N539">
            <v>1.0429999999999999</v>
          </cell>
          <cell r="O539">
            <v>0.13500000000000001</v>
          </cell>
          <cell r="P539">
            <v>0.81899999999999995</v>
          </cell>
          <cell r="Q539">
            <v>2.234</v>
          </cell>
          <cell r="R539">
            <v>4.3920000000000003</v>
          </cell>
          <cell r="S539">
            <v>4.4569999999999999</v>
          </cell>
          <cell r="T539">
            <v>7.6719999999999997</v>
          </cell>
        </row>
        <row r="540">
          <cell r="A540">
            <v>181</v>
          </cell>
          <cell r="B540">
            <v>484</v>
          </cell>
          <cell r="C540" t="str">
            <v>Mexico</v>
          </cell>
          <cell r="D540">
            <v>0</v>
          </cell>
          <cell r="E540">
            <v>2</v>
          </cell>
          <cell r="F540" t="str">
            <v>Amro</v>
          </cell>
          <cell r="G540">
            <v>7</v>
          </cell>
          <cell r="H540" t="str">
            <v>lac</v>
          </cell>
          <cell r="I540">
            <v>1</v>
          </cell>
          <cell r="J540" t="str">
            <v>low and middle</v>
          </cell>
          <cell r="K540" t="str">
            <v>males</v>
          </cell>
          <cell r="L540" t="str">
            <v>1995-2000</v>
          </cell>
          <cell r="M540">
            <v>1358.856</v>
          </cell>
          <cell r="N540">
            <v>247.25399999999999</v>
          </cell>
          <cell r="O540">
            <v>32.063000000000002</v>
          </cell>
          <cell r="P540">
            <v>135.79499999999999</v>
          </cell>
          <cell r="Q540">
            <v>158.13200000000001</v>
          </cell>
          <cell r="R540">
            <v>199.05700000000002</v>
          </cell>
          <cell r="S540">
            <v>181.37799999999999</v>
          </cell>
          <cell r="T540">
            <v>405.17700000000008</v>
          </cell>
        </row>
        <row r="541">
          <cell r="A541">
            <v>71</v>
          </cell>
          <cell r="B541">
            <v>496</v>
          </cell>
          <cell r="C541" t="str">
            <v>Mongolia</v>
          </cell>
          <cell r="D541">
            <v>0</v>
          </cell>
          <cell r="E541">
            <v>6</v>
          </cell>
          <cell r="F541" t="str">
            <v>Wpro</v>
          </cell>
          <cell r="G541">
            <v>5</v>
          </cell>
          <cell r="H541" t="str">
            <v>oai</v>
          </cell>
          <cell r="I541">
            <v>1</v>
          </cell>
          <cell r="J541" t="str">
            <v>low and middle</v>
          </cell>
          <cell r="K541" t="str">
            <v>males</v>
          </cell>
          <cell r="L541" t="str">
            <v>1995-2000</v>
          </cell>
          <cell r="M541">
            <v>42.685000000000002</v>
          </cell>
          <cell r="N541">
            <v>10.771000000000001</v>
          </cell>
          <cell r="O541">
            <v>1.157</v>
          </cell>
          <cell r="P541">
            <v>2.214</v>
          </cell>
          <cell r="Q541">
            <v>3.5220000000000002</v>
          </cell>
          <cell r="R541">
            <v>6.2610000000000001</v>
          </cell>
          <cell r="S541">
            <v>6.9470000000000001</v>
          </cell>
          <cell r="T541">
            <v>11.812999999999999</v>
          </cell>
        </row>
        <row r="542">
          <cell r="A542">
            <v>126</v>
          </cell>
          <cell r="B542">
            <v>498</v>
          </cell>
          <cell r="C542" t="str">
            <v>Republic of Moldova</v>
          </cell>
          <cell r="D542">
            <v>0</v>
          </cell>
          <cell r="E542">
            <v>4</v>
          </cell>
          <cell r="F542" t="str">
            <v>Euro</v>
          </cell>
          <cell r="G542">
            <v>2</v>
          </cell>
          <cell r="H542" t="str">
            <v>fse</v>
          </cell>
          <cell r="I542">
            <v>1</v>
          </cell>
          <cell r="J542" t="str">
            <v>low and middle</v>
          </cell>
          <cell r="K542" t="str">
            <v>males</v>
          </cell>
          <cell r="L542" t="str">
            <v>1995-2000</v>
          </cell>
          <cell r="M542">
            <v>120.872</v>
          </cell>
          <cell r="N542">
            <v>6.1079999999999997</v>
          </cell>
          <cell r="O542">
            <v>1.306</v>
          </cell>
          <cell r="P542">
            <v>5.84</v>
          </cell>
          <cell r="Q542">
            <v>12.327</v>
          </cell>
          <cell r="R542">
            <v>24.31</v>
          </cell>
          <cell r="S542">
            <v>27.497</v>
          </cell>
          <cell r="T542">
            <v>43.484000000000002</v>
          </cell>
        </row>
        <row r="543">
          <cell r="A543">
            <v>37</v>
          </cell>
          <cell r="B543">
            <v>504</v>
          </cell>
          <cell r="C543" t="str">
            <v>Morocco</v>
          </cell>
          <cell r="D543">
            <v>0</v>
          </cell>
          <cell r="E543">
            <v>3</v>
          </cell>
          <cell r="F543" t="str">
            <v>Emro</v>
          </cell>
          <cell r="G543">
            <v>8</v>
          </cell>
          <cell r="H543" t="str">
            <v>mec</v>
          </cell>
          <cell r="I543">
            <v>1</v>
          </cell>
          <cell r="J543" t="str">
            <v>low and middle</v>
          </cell>
          <cell r="K543" t="str">
            <v>males</v>
          </cell>
          <cell r="L543" t="str">
            <v>1995-2000</v>
          </cell>
          <cell r="M543">
            <v>493.94</v>
          </cell>
          <cell r="N543">
            <v>129.20699999999999</v>
          </cell>
          <cell r="O543">
            <v>15.091000000000001</v>
          </cell>
          <cell r="P543">
            <v>36.747999999999998</v>
          </cell>
          <cell r="Q543">
            <v>37.954999999999998</v>
          </cell>
          <cell r="R543">
            <v>54.472999999999999</v>
          </cell>
          <cell r="S543">
            <v>69.399000000000001</v>
          </cell>
          <cell r="T543">
            <v>151.06700000000001</v>
          </cell>
        </row>
        <row r="544">
          <cell r="A544">
            <v>16</v>
          </cell>
          <cell r="B544">
            <v>508</v>
          </cell>
          <cell r="C544" t="str">
            <v>Mozambique</v>
          </cell>
          <cell r="D544">
            <v>0</v>
          </cell>
          <cell r="E544">
            <v>1</v>
          </cell>
          <cell r="F544" t="str">
            <v>Afro</v>
          </cell>
          <cell r="G544">
            <v>6</v>
          </cell>
          <cell r="H544" t="str">
            <v>ssa</v>
          </cell>
          <cell r="I544">
            <v>1</v>
          </cell>
          <cell r="J544" t="str">
            <v>low and middle</v>
          </cell>
          <cell r="K544" t="str">
            <v>males</v>
          </cell>
          <cell r="L544" t="str">
            <v>1995-2000</v>
          </cell>
          <cell r="M544">
            <v>899.59799999999996</v>
          </cell>
          <cell r="N544">
            <v>401.84899999999999</v>
          </cell>
          <cell r="O544">
            <v>82.126000000000005</v>
          </cell>
          <cell r="P544">
            <v>80.061999999999998</v>
          </cell>
          <cell r="Q544">
            <v>101.414</v>
          </cell>
          <cell r="R544">
            <v>96.381000000000014</v>
          </cell>
          <cell r="S544">
            <v>60.012</v>
          </cell>
          <cell r="T544">
            <v>77.753999999999991</v>
          </cell>
        </row>
        <row r="545">
          <cell r="A545">
            <v>112</v>
          </cell>
          <cell r="B545">
            <v>512</v>
          </cell>
          <cell r="C545" t="str">
            <v>Oman</v>
          </cell>
          <cell r="D545">
            <v>0</v>
          </cell>
          <cell r="E545">
            <v>3</v>
          </cell>
          <cell r="F545" t="str">
            <v>Emro</v>
          </cell>
          <cell r="G545">
            <v>8</v>
          </cell>
          <cell r="H545" t="str">
            <v>mec</v>
          </cell>
          <cell r="I545">
            <v>1</v>
          </cell>
          <cell r="J545" t="str">
            <v>low and middle</v>
          </cell>
          <cell r="K545" t="str">
            <v>males</v>
          </cell>
          <cell r="L545" t="str">
            <v>1995-2000</v>
          </cell>
          <cell r="M545">
            <v>29.431000000000001</v>
          </cell>
          <cell r="N545">
            <v>7.6150000000000002</v>
          </cell>
          <cell r="O545">
            <v>0.92799999999999994</v>
          </cell>
          <cell r="P545">
            <v>1.8719999999999999</v>
          </cell>
          <cell r="Q545">
            <v>2.492</v>
          </cell>
          <cell r="R545">
            <v>5.44</v>
          </cell>
          <cell r="S545">
            <v>4.1530000000000005</v>
          </cell>
          <cell r="T545">
            <v>6.931</v>
          </cell>
        </row>
        <row r="546">
          <cell r="A546">
            <v>44</v>
          </cell>
          <cell r="B546">
            <v>516</v>
          </cell>
          <cell r="C546" t="str">
            <v>Namibia</v>
          </cell>
          <cell r="D546">
            <v>0</v>
          </cell>
          <cell r="E546">
            <v>1</v>
          </cell>
          <cell r="F546" t="str">
            <v>Afro</v>
          </cell>
          <cell r="G546">
            <v>6</v>
          </cell>
          <cell r="H546" t="str">
            <v>ssa</v>
          </cell>
          <cell r="I546">
            <v>1</v>
          </cell>
          <cell r="J546" t="str">
            <v>low and middle</v>
          </cell>
          <cell r="K546" t="str">
            <v>males</v>
          </cell>
          <cell r="L546" t="str">
            <v>1995-2000</v>
          </cell>
          <cell r="M546">
            <v>55.457000000000001</v>
          </cell>
          <cell r="N546">
            <v>18.358000000000001</v>
          </cell>
          <cell r="O546">
            <v>3.798</v>
          </cell>
          <cell r="P546">
            <v>5.2149999999999999</v>
          </cell>
          <cell r="Q546">
            <v>8.2569999999999997</v>
          </cell>
          <cell r="R546">
            <v>7.83</v>
          </cell>
          <cell r="S546">
            <v>4.8380000000000001</v>
          </cell>
          <cell r="T546">
            <v>7.1610000000000005</v>
          </cell>
        </row>
        <row r="547">
          <cell r="A547">
            <v>82</v>
          </cell>
          <cell r="B547">
            <v>524</v>
          </cell>
          <cell r="C547" t="str">
            <v>Nepal</v>
          </cell>
          <cell r="D547">
            <v>0</v>
          </cell>
          <cell r="E547">
            <v>5</v>
          </cell>
          <cell r="F547" t="str">
            <v>Searo</v>
          </cell>
          <cell r="G547">
            <v>5</v>
          </cell>
          <cell r="H547" t="str">
            <v>oai</v>
          </cell>
          <cell r="I547">
            <v>1</v>
          </cell>
          <cell r="J547" t="str">
            <v>low and middle</v>
          </cell>
          <cell r="K547" t="str">
            <v>males</v>
          </cell>
          <cell r="L547" t="str">
            <v>1995-2000</v>
          </cell>
          <cell r="M547">
            <v>615.774</v>
          </cell>
          <cell r="N547">
            <v>220.42599999999999</v>
          </cell>
          <cell r="O547">
            <v>28.588000000000001</v>
          </cell>
          <cell r="P547">
            <v>50.7</v>
          </cell>
          <cell r="Q547">
            <v>48.95</v>
          </cell>
          <cell r="R547">
            <v>75.849999999999994</v>
          </cell>
          <cell r="S547">
            <v>74.512</v>
          </cell>
          <cell r="T547">
            <v>116.74800000000002</v>
          </cell>
        </row>
        <row r="548">
          <cell r="A548">
            <v>160</v>
          </cell>
          <cell r="B548">
            <v>528</v>
          </cell>
          <cell r="C548" t="str">
            <v>Netherlands</v>
          </cell>
          <cell r="D548">
            <v>0</v>
          </cell>
          <cell r="E548">
            <v>4</v>
          </cell>
          <cell r="F548" t="str">
            <v>Euro</v>
          </cell>
          <cell r="G548">
            <v>1</v>
          </cell>
          <cell r="H548" t="str">
            <v>eme</v>
          </cell>
          <cell r="I548">
            <v>4</v>
          </cell>
          <cell r="J548" t="str">
            <v>high</v>
          </cell>
          <cell r="K548" t="str">
            <v>males</v>
          </cell>
          <cell r="L548" t="str">
            <v>1995-2000</v>
          </cell>
          <cell r="M548">
            <v>342.74599999999998</v>
          </cell>
          <cell r="N548">
            <v>4.0750000000000002</v>
          </cell>
          <cell r="O548">
            <v>0.89500000000000002</v>
          </cell>
          <cell r="P548">
            <v>4.6660000000000004</v>
          </cell>
          <cell r="Q548">
            <v>11.184000000000001</v>
          </cell>
          <cell r="R548">
            <v>38.293999999999997</v>
          </cell>
          <cell r="S548">
            <v>64.453000000000003</v>
          </cell>
          <cell r="T548">
            <v>219.179</v>
          </cell>
        </row>
        <row r="549">
          <cell r="A549">
            <v>172</v>
          </cell>
          <cell r="B549">
            <v>530</v>
          </cell>
          <cell r="C549" t="str">
            <v>Netherlands Antilles</v>
          </cell>
          <cell r="G549">
            <v>7</v>
          </cell>
          <cell r="H549" t="str">
            <v>lac</v>
          </cell>
          <cell r="I549">
            <v>4</v>
          </cell>
          <cell r="J549" t="str">
            <v>high</v>
          </cell>
          <cell r="K549" t="str">
            <v>males</v>
          </cell>
          <cell r="L549" t="str">
            <v>1995-2000</v>
          </cell>
          <cell r="M549">
            <v>3.4089999999999998</v>
          </cell>
          <cell r="N549">
            <v>0.188</v>
          </cell>
          <cell r="O549">
            <v>2.7E-2</v>
          </cell>
          <cell r="P549">
            <v>0.09</v>
          </cell>
          <cell r="Q549">
            <v>0.16399999999999998</v>
          </cell>
          <cell r="R549">
            <v>0.502</v>
          </cell>
          <cell r="S549">
            <v>0.66100000000000003</v>
          </cell>
          <cell r="T549">
            <v>1.7769999999999999</v>
          </cell>
        </row>
        <row r="550">
          <cell r="A550">
            <v>206</v>
          </cell>
          <cell r="B550">
            <v>540</v>
          </cell>
          <cell r="C550" t="str">
            <v>New Caledonia</v>
          </cell>
          <cell r="G550">
            <v>5</v>
          </cell>
          <cell r="H550" t="str">
            <v>oai</v>
          </cell>
          <cell r="I550">
            <v>4</v>
          </cell>
          <cell r="J550" t="str">
            <v>high</v>
          </cell>
          <cell r="K550" t="str">
            <v>males</v>
          </cell>
          <cell r="L550" t="str">
            <v>1995-2000</v>
          </cell>
          <cell r="M550">
            <v>3.3450000000000002</v>
          </cell>
          <cell r="N550">
            <v>0.19500000000000001</v>
          </cell>
          <cell r="O550">
            <v>4.4999999999999998E-2</v>
          </cell>
          <cell r="P550">
            <v>0.27</v>
          </cell>
          <cell r="Q550">
            <v>0.27600000000000002</v>
          </cell>
          <cell r="R550">
            <v>0.65700000000000003</v>
          </cell>
          <cell r="S550">
            <v>0.71499999999999997</v>
          </cell>
          <cell r="T550">
            <v>1.1870000000000001</v>
          </cell>
        </row>
        <row r="551">
          <cell r="A551">
            <v>209</v>
          </cell>
          <cell r="B551">
            <v>548</v>
          </cell>
          <cell r="C551" t="str">
            <v>Vanuatu</v>
          </cell>
          <cell r="D551">
            <v>0</v>
          </cell>
          <cell r="E551">
            <v>6</v>
          </cell>
          <cell r="F551" t="str">
            <v>Wpro</v>
          </cell>
          <cell r="G551">
            <v>5</v>
          </cell>
          <cell r="H551" t="str">
            <v>oai</v>
          </cell>
          <cell r="I551">
            <v>1</v>
          </cell>
          <cell r="J551" t="str">
            <v>low and middle</v>
          </cell>
          <cell r="K551" t="str">
            <v>males</v>
          </cell>
          <cell r="L551" t="str">
            <v>1995-2000</v>
          </cell>
          <cell r="M551">
            <v>3.17</v>
          </cell>
          <cell r="N551">
            <v>0.82199999999999995</v>
          </cell>
          <cell r="O551">
            <v>0.107</v>
          </cell>
          <cell r="P551">
            <v>0.21299999999999999</v>
          </cell>
          <cell r="Q551">
            <v>0.22</v>
          </cell>
          <cell r="R551">
            <v>0.42</v>
          </cell>
          <cell r="S551">
            <v>0.41600000000000004</v>
          </cell>
          <cell r="T551">
            <v>0.97199999999999998</v>
          </cell>
        </row>
        <row r="552">
          <cell r="A552">
            <v>203</v>
          </cell>
          <cell r="B552">
            <v>554</v>
          </cell>
          <cell r="C552" t="str">
            <v>New Zealand</v>
          </cell>
          <cell r="D552">
            <v>0</v>
          </cell>
          <cell r="E552">
            <v>6</v>
          </cell>
          <cell r="F552" t="str">
            <v>Wpro</v>
          </cell>
          <cell r="G552">
            <v>1</v>
          </cell>
          <cell r="H552" t="str">
            <v>eme</v>
          </cell>
          <cell r="I552">
            <v>4</v>
          </cell>
          <cell r="J552" t="str">
            <v>high</v>
          </cell>
          <cell r="K552" t="str">
            <v>males</v>
          </cell>
          <cell r="L552" t="str">
            <v>1995-2000</v>
          </cell>
          <cell r="M552">
            <v>77.643000000000001</v>
          </cell>
          <cell r="N552">
            <v>1.325</v>
          </cell>
          <cell r="O552">
            <v>0.35099999999999998</v>
          </cell>
          <cell r="P552">
            <v>2.7860000000000005</v>
          </cell>
          <cell r="Q552">
            <v>3.39</v>
          </cell>
          <cell r="R552">
            <v>8.7210000000000001</v>
          </cell>
          <cell r="S552">
            <v>13.507000000000001</v>
          </cell>
          <cell r="T552">
            <v>47.562999999999995</v>
          </cell>
        </row>
        <row r="553">
          <cell r="A553">
            <v>182</v>
          </cell>
          <cell r="B553">
            <v>558</v>
          </cell>
          <cell r="C553" t="str">
            <v>Nicaragua</v>
          </cell>
          <cell r="D553">
            <v>0</v>
          </cell>
          <cell r="E553">
            <v>2</v>
          </cell>
          <cell r="F553" t="str">
            <v>Amro</v>
          </cell>
          <cell r="G553">
            <v>7</v>
          </cell>
          <cell r="H553" t="str">
            <v>lac</v>
          </cell>
          <cell r="I553">
            <v>1</v>
          </cell>
          <cell r="J553" t="str">
            <v>low and middle</v>
          </cell>
          <cell r="K553" t="str">
            <v>males</v>
          </cell>
          <cell r="L553" t="str">
            <v>1995-2000</v>
          </cell>
          <cell r="M553">
            <v>76.381</v>
          </cell>
          <cell r="N553">
            <v>28.074000000000002</v>
          </cell>
          <cell r="O553">
            <v>3.6690000000000005</v>
          </cell>
          <cell r="P553">
            <v>8.74</v>
          </cell>
          <cell r="Q553">
            <v>7.7220000000000004</v>
          </cell>
          <cell r="R553">
            <v>7.5049999999999999</v>
          </cell>
          <cell r="S553">
            <v>7.0020000000000007</v>
          </cell>
          <cell r="T553">
            <v>13.669</v>
          </cell>
        </row>
        <row r="554">
          <cell r="A554">
            <v>59</v>
          </cell>
          <cell r="B554">
            <v>562</v>
          </cell>
          <cell r="C554" t="str">
            <v>Niger</v>
          </cell>
          <cell r="D554">
            <v>0</v>
          </cell>
          <cell r="E554">
            <v>1</v>
          </cell>
          <cell r="F554" t="str">
            <v>Afro</v>
          </cell>
          <cell r="G554">
            <v>6</v>
          </cell>
          <cell r="H554" t="str">
            <v>ssa</v>
          </cell>
          <cell r="I554">
            <v>1</v>
          </cell>
          <cell r="J554" t="str">
            <v>low and middle</v>
          </cell>
          <cell r="K554" t="str">
            <v>males</v>
          </cell>
          <cell r="L554" t="str">
            <v>1995-2000</v>
          </cell>
          <cell r="M554">
            <v>440.53</v>
          </cell>
          <cell r="N554">
            <v>246.01599999999999</v>
          </cell>
          <cell r="O554">
            <v>39.726999999999997</v>
          </cell>
          <cell r="P554">
            <v>40.162000000000006</v>
          </cell>
          <cell r="Q554">
            <v>31.658999999999999</v>
          </cell>
          <cell r="R554">
            <v>30.128</v>
          </cell>
          <cell r="S554">
            <v>22.923000000000002</v>
          </cell>
          <cell r="T554">
            <v>29.914999999999999</v>
          </cell>
        </row>
        <row r="555">
          <cell r="A555">
            <v>60</v>
          </cell>
          <cell r="B555">
            <v>566</v>
          </cell>
          <cell r="C555" t="str">
            <v>Nigeria</v>
          </cell>
          <cell r="D555">
            <v>0</v>
          </cell>
          <cell r="E555">
            <v>1</v>
          </cell>
          <cell r="F555" t="str">
            <v>Afro</v>
          </cell>
          <cell r="G555">
            <v>6</v>
          </cell>
          <cell r="H555" t="str">
            <v>ssa</v>
          </cell>
          <cell r="I555">
            <v>1</v>
          </cell>
          <cell r="J555" t="str">
            <v>low and middle</v>
          </cell>
          <cell r="K555" t="str">
            <v>males</v>
          </cell>
          <cell r="L555" t="str">
            <v>1995-2000</v>
          </cell>
          <cell r="M555">
            <v>4017.22</v>
          </cell>
          <cell r="N555">
            <v>1631.068</v>
          </cell>
          <cell r="O555">
            <v>452.23700000000002</v>
          </cell>
          <cell r="P555">
            <v>421.11699999999996</v>
          </cell>
          <cell r="Q555">
            <v>421.06900000000007</v>
          </cell>
          <cell r="R555">
            <v>422.858</v>
          </cell>
          <cell r="S555">
            <v>290.363</v>
          </cell>
          <cell r="T555">
            <v>378.50800000000004</v>
          </cell>
        </row>
        <row r="556">
          <cell r="A556">
            <v>139</v>
          </cell>
          <cell r="B556">
            <v>578</v>
          </cell>
          <cell r="C556" t="str">
            <v>Norway</v>
          </cell>
          <cell r="D556">
            <v>0</v>
          </cell>
          <cell r="E556">
            <v>4</v>
          </cell>
          <cell r="F556" t="str">
            <v>Euro</v>
          </cell>
          <cell r="G556">
            <v>1</v>
          </cell>
          <cell r="H556" t="str">
            <v>eme</v>
          </cell>
          <cell r="I556">
            <v>4</v>
          </cell>
          <cell r="J556" t="str">
            <v>high</v>
          </cell>
          <cell r="K556" t="str">
            <v>males</v>
          </cell>
          <cell r="L556" t="str">
            <v>1995-2000</v>
          </cell>
          <cell r="M556">
            <v>114.16500000000001</v>
          </cell>
          <cell r="N556">
            <v>1.018</v>
          </cell>
          <cell r="O556">
            <v>0.25800000000000001</v>
          </cell>
          <cell r="P556">
            <v>1.6270000000000002</v>
          </cell>
          <cell r="Q556">
            <v>3.593</v>
          </cell>
          <cell r="R556">
            <v>10.312999999999999</v>
          </cell>
          <cell r="S556">
            <v>17.055</v>
          </cell>
          <cell r="T556">
            <v>80.300999999999988</v>
          </cell>
        </row>
        <row r="557">
          <cell r="A557">
            <v>83</v>
          </cell>
          <cell r="B557">
            <v>586</v>
          </cell>
          <cell r="C557" t="str">
            <v>Pakistan</v>
          </cell>
          <cell r="D557">
            <v>0</v>
          </cell>
          <cell r="E557">
            <v>3</v>
          </cell>
          <cell r="F557" t="str">
            <v>Emro</v>
          </cell>
          <cell r="G557">
            <v>8</v>
          </cell>
          <cell r="H557" t="str">
            <v>mec</v>
          </cell>
          <cell r="I557">
            <v>1</v>
          </cell>
          <cell r="J557" t="str">
            <v>low and middle</v>
          </cell>
          <cell r="K557" t="str">
            <v>males</v>
          </cell>
          <cell r="L557" t="str">
            <v>1995-2000</v>
          </cell>
          <cell r="M557">
            <v>3047.1439999999998</v>
          </cell>
          <cell r="N557">
            <v>1431.1790000000001</v>
          </cell>
          <cell r="O557">
            <v>127.16500000000001</v>
          </cell>
          <cell r="P557">
            <v>110.75</v>
          </cell>
          <cell r="Q557">
            <v>168.131</v>
          </cell>
          <cell r="R557">
            <v>308.58499999999998</v>
          </cell>
          <cell r="S557">
            <v>347.70699999999999</v>
          </cell>
          <cell r="T557">
            <v>553.62699999999995</v>
          </cell>
        </row>
        <row r="558">
          <cell r="A558">
            <v>183</v>
          </cell>
          <cell r="B558">
            <v>591</v>
          </cell>
          <cell r="C558" t="str">
            <v>Panama</v>
          </cell>
          <cell r="D558">
            <v>0</v>
          </cell>
          <cell r="E558">
            <v>2</v>
          </cell>
          <cell r="F558" t="str">
            <v>Amro</v>
          </cell>
          <cell r="G558">
            <v>7</v>
          </cell>
          <cell r="H558" t="str">
            <v>lac</v>
          </cell>
          <cell r="I558">
            <v>1</v>
          </cell>
          <cell r="J558" t="str">
            <v>low and middle</v>
          </cell>
          <cell r="K558" t="str">
            <v>males</v>
          </cell>
          <cell r="L558" t="str">
            <v>1995-2000</v>
          </cell>
          <cell r="M558">
            <v>39.752000000000002</v>
          </cell>
          <cell r="N558">
            <v>4.7080000000000002</v>
          </cell>
          <cell r="O558">
            <v>0.76600000000000001</v>
          </cell>
          <cell r="P558">
            <v>2.8419999999999996</v>
          </cell>
          <cell r="Q558">
            <v>3.2189999999999994</v>
          </cell>
          <cell r="R558">
            <v>5.1680000000000001</v>
          </cell>
          <cell r="S558">
            <v>5.9719999999999995</v>
          </cell>
          <cell r="T558">
            <v>17.076999999999998</v>
          </cell>
        </row>
        <row r="559">
          <cell r="A559">
            <v>207</v>
          </cell>
          <cell r="B559">
            <v>598</v>
          </cell>
          <cell r="C559" t="str">
            <v>Papua New Guinea</v>
          </cell>
          <cell r="D559">
            <v>0</v>
          </cell>
          <cell r="E559">
            <v>6</v>
          </cell>
          <cell r="F559" t="str">
            <v>Wpro</v>
          </cell>
          <cell r="G559">
            <v>5</v>
          </cell>
          <cell r="H559" t="str">
            <v>oai</v>
          </cell>
          <cell r="I559">
            <v>1</v>
          </cell>
          <cell r="J559" t="str">
            <v>low and middle</v>
          </cell>
          <cell r="K559" t="str">
            <v>males</v>
          </cell>
          <cell r="L559" t="str">
            <v>1995-2000</v>
          </cell>
          <cell r="M559">
            <v>118.181</v>
          </cell>
          <cell r="N559">
            <v>29.587</v>
          </cell>
          <cell r="O559">
            <v>4.2789999999999999</v>
          </cell>
          <cell r="P559">
            <v>10.358000000000001</v>
          </cell>
          <cell r="Q559">
            <v>13.414999999999999</v>
          </cell>
          <cell r="R559">
            <v>21.875999999999998</v>
          </cell>
          <cell r="S559">
            <v>19.868000000000002</v>
          </cell>
          <cell r="T559">
            <v>18.797999999999998</v>
          </cell>
        </row>
        <row r="560">
          <cell r="A560">
            <v>192</v>
          </cell>
          <cell r="B560">
            <v>600</v>
          </cell>
          <cell r="C560" t="str">
            <v>Paraguay</v>
          </cell>
          <cell r="D560">
            <v>0</v>
          </cell>
          <cell r="E560">
            <v>2</v>
          </cell>
          <cell r="F560" t="str">
            <v>Amro</v>
          </cell>
          <cell r="G560">
            <v>7</v>
          </cell>
          <cell r="H560" t="str">
            <v>lac</v>
          </cell>
          <cell r="I560">
            <v>1</v>
          </cell>
          <cell r="J560" t="str">
            <v>low and middle</v>
          </cell>
          <cell r="K560" t="str">
            <v>males</v>
          </cell>
          <cell r="L560" t="str">
            <v>1995-2000</v>
          </cell>
          <cell r="M560">
            <v>74.989000000000004</v>
          </cell>
          <cell r="N560">
            <v>22.315999999999999</v>
          </cell>
          <cell r="O560">
            <v>2.536</v>
          </cell>
          <cell r="P560">
            <v>4.8550000000000004</v>
          </cell>
          <cell r="Q560">
            <v>5.9290000000000003</v>
          </cell>
          <cell r="R560">
            <v>9.6440000000000001</v>
          </cell>
          <cell r="S560">
            <v>9.2550000000000008</v>
          </cell>
          <cell r="T560">
            <v>20.454000000000001</v>
          </cell>
        </row>
        <row r="561">
          <cell r="A561">
            <v>193</v>
          </cell>
          <cell r="B561">
            <v>604</v>
          </cell>
          <cell r="C561" t="str">
            <v>Peru</v>
          </cell>
          <cell r="D561">
            <v>0</v>
          </cell>
          <cell r="E561">
            <v>2</v>
          </cell>
          <cell r="F561" t="str">
            <v>Amro</v>
          </cell>
          <cell r="G561">
            <v>7</v>
          </cell>
          <cell r="H561" t="str">
            <v>lac</v>
          </cell>
          <cell r="I561">
            <v>1</v>
          </cell>
          <cell r="J561" t="str">
            <v>low and middle</v>
          </cell>
          <cell r="K561" t="str">
            <v>males</v>
          </cell>
          <cell r="L561" t="str">
            <v>1995-2000</v>
          </cell>
          <cell r="M561">
            <v>434.68400000000003</v>
          </cell>
          <cell r="N561">
            <v>112.54</v>
          </cell>
          <cell r="O561">
            <v>16.364000000000001</v>
          </cell>
          <cell r="P561">
            <v>31.195999999999998</v>
          </cell>
          <cell r="Q561">
            <v>37.896999999999998</v>
          </cell>
          <cell r="R561">
            <v>58.4</v>
          </cell>
          <cell r="S561">
            <v>61.233999999999995</v>
          </cell>
          <cell r="T561">
            <v>117.053</v>
          </cell>
        </row>
        <row r="562">
          <cell r="A562">
            <v>96</v>
          </cell>
          <cell r="B562">
            <v>608</v>
          </cell>
          <cell r="C562" t="str">
            <v>Philippines</v>
          </cell>
          <cell r="D562">
            <v>0</v>
          </cell>
          <cell r="E562">
            <v>6</v>
          </cell>
          <cell r="F562" t="str">
            <v>Wpro</v>
          </cell>
          <cell r="G562">
            <v>5</v>
          </cell>
          <cell r="H562" t="str">
            <v>oai</v>
          </cell>
          <cell r="I562">
            <v>1</v>
          </cell>
          <cell r="J562" t="str">
            <v>low and middle</v>
          </cell>
          <cell r="K562" t="str">
            <v>males</v>
          </cell>
          <cell r="L562" t="str">
            <v>1995-2000</v>
          </cell>
          <cell r="M562">
            <v>1131.261</v>
          </cell>
          <cell r="N562">
            <v>259.42700000000002</v>
          </cell>
          <cell r="O562">
            <v>35.1</v>
          </cell>
          <cell r="P562">
            <v>84.043999999999997</v>
          </cell>
          <cell r="Q562">
            <v>97.15</v>
          </cell>
          <cell r="R562">
            <v>169.03199999999998</v>
          </cell>
          <cell r="S562">
            <v>172.541</v>
          </cell>
          <cell r="T562">
            <v>313.96700000000004</v>
          </cell>
        </row>
        <row r="563">
          <cell r="A563">
            <v>125</v>
          </cell>
          <cell r="B563">
            <v>616</v>
          </cell>
          <cell r="C563" t="str">
            <v>Poland</v>
          </cell>
          <cell r="D563">
            <v>0</v>
          </cell>
          <cell r="E563">
            <v>4</v>
          </cell>
          <cell r="F563" t="str">
            <v>Euro</v>
          </cell>
          <cell r="G563">
            <v>2</v>
          </cell>
          <cell r="H563" t="str">
            <v>fse</v>
          </cell>
          <cell r="I563">
            <v>1</v>
          </cell>
          <cell r="J563" t="str">
            <v>low and middle</v>
          </cell>
          <cell r="K563" t="str">
            <v>males</v>
          </cell>
          <cell r="L563" t="str">
            <v>1995-2000</v>
          </cell>
          <cell r="M563">
            <v>1023.578</v>
          </cell>
          <cell r="N563">
            <v>21.295999999999999</v>
          </cell>
          <cell r="O563">
            <v>4.508</v>
          </cell>
          <cell r="P563">
            <v>25.374000000000002</v>
          </cell>
          <cell r="Q563">
            <v>70.704999999999998</v>
          </cell>
          <cell r="R563">
            <v>187.62</v>
          </cell>
          <cell r="S563">
            <v>244.06099999999998</v>
          </cell>
          <cell r="T563">
            <v>470.01400000000007</v>
          </cell>
        </row>
        <row r="564">
          <cell r="A564">
            <v>149</v>
          </cell>
          <cell r="B564">
            <v>620</v>
          </cell>
          <cell r="C564" t="str">
            <v>Portugal</v>
          </cell>
          <cell r="D564">
            <v>0</v>
          </cell>
          <cell r="E564">
            <v>4</v>
          </cell>
          <cell r="F564" t="str">
            <v>Euro</v>
          </cell>
          <cell r="G564">
            <v>1</v>
          </cell>
          <cell r="H564" t="str">
            <v>eme</v>
          </cell>
          <cell r="I564">
            <v>4</v>
          </cell>
          <cell r="J564" t="str">
            <v>high</v>
          </cell>
          <cell r="K564" t="str">
            <v>males</v>
          </cell>
          <cell r="L564" t="str">
            <v>1995-2000</v>
          </cell>
          <cell r="M564">
            <v>277.23399999999998</v>
          </cell>
          <cell r="N564">
            <v>3.3460000000000001</v>
          </cell>
          <cell r="O564">
            <v>1.131</v>
          </cell>
          <cell r="P564">
            <v>7.8469999999999995</v>
          </cell>
          <cell r="Q564">
            <v>11.405999999999999</v>
          </cell>
          <cell r="R564">
            <v>31.335000000000001</v>
          </cell>
          <cell r="S564">
            <v>53.902000000000001</v>
          </cell>
          <cell r="T564">
            <v>168.26699999999997</v>
          </cell>
        </row>
        <row r="565">
          <cell r="A565">
            <v>55</v>
          </cell>
          <cell r="B565">
            <v>624</v>
          </cell>
          <cell r="C565" t="str">
            <v>Guinea-Bissau</v>
          </cell>
          <cell r="D565">
            <v>0</v>
          </cell>
          <cell r="E565">
            <v>1</v>
          </cell>
          <cell r="F565" t="str">
            <v>Afro</v>
          </cell>
          <cell r="G565">
            <v>6</v>
          </cell>
          <cell r="H565" t="str">
            <v>ssa</v>
          </cell>
          <cell r="I565">
            <v>1</v>
          </cell>
          <cell r="J565" t="str">
            <v>low and middle</v>
          </cell>
          <cell r="K565" t="str">
            <v>males</v>
          </cell>
          <cell r="L565" t="str">
            <v>1995-2000</v>
          </cell>
          <cell r="M565">
            <v>59.037999999999997</v>
          </cell>
          <cell r="N565">
            <v>26.951000000000001</v>
          </cell>
          <cell r="O565">
            <v>6.12</v>
          </cell>
          <cell r="P565">
            <v>4.9270000000000005</v>
          </cell>
          <cell r="Q565">
            <v>5.0060000000000002</v>
          </cell>
          <cell r="R565">
            <v>5.6080000000000005</v>
          </cell>
          <cell r="S565">
            <v>4.4640000000000004</v>
          </cell>
          <cell r="T565">
            <v>5.9619999999999997</v>
          </cell>
        </row>
        <row r="566">
          <cell r="A566">
            <v>91</v>
          </cell>
          <cell r="B566">
            <v>626</v>
          </cell>
          <cell r="C566" t="str">
            <v>East Timor</v>
          </cell>
          <cell r="K566" t="str">
            <v>males</v>
          </cell>
          <cell r="L566" t="str">
            <v>1995-2000</v>
          </cell>
          <cell r="M566">
            <v>33.787999999999997</v>
          </cell>
          <cell r="N566">
            <v>14.33</v>
          </cell>
          <cell r="O566">
            <v>2.101</v>
          </cell>
          <cell r="P566">
            <v>3.4119999999999999</v>
          </cell>
          <cell r="Q566">
            <v>4.1050000000000004</v>
          </cell>
          <cell r="R566">
            <v>4.1880000000000006</v>
          </cell>
          <cell r="S566">
            <v>2.7839999999999998</v>
          </cell>
          <cell r="T566">
            <v>2.8679999999999999</v>
          </cell>
        </row>
        <row r="567">
          <cell r="A567">
            <v>173</v>
          </cell>
          <cell r="B567">
            <v>630</v>
          </cell>
          <cell r="C567" t="str">
            <v>Puerto Rico</v>
          </cell>
          <cell r="G567">
            <v>7</v>
          </cell>
          <cell r="H567" t="str">
            <v>lac</v>
          </cell>
          <cell r="I567">
            <v>1</v>
          </cell>
          <cell r="J567" t="str">
            <v>low and middle</v>
          </cell>
          <cell r="K567" t="str">
            <v>males</v>
          </cell>
          <cell r="L567" t="str">
            <v>1995-2000</v>
          </cell>
          <cell r="M567">
            <v>88.149000000000001</v>
          </cell>
          <cell r="N567">
            <v>2.56</v>
          </cell>
          <cell r="O567">
            <v>0.39599999999999996</v>
          </cell>
          <cell r="P567">
            <v>5.83</v>
          </cell>
          <cell r="Q567">
            <v>10.471</v>
          </cell>
          <cell r="R567">
            <v>13.823</v>
          </cell>
          <cell r="S567">
            <v>13.199</v>
          </cell>
          <cell r="T567">
            <v>41.87</v>
          </cell>
        </row>
        <row r="568">
          <cell r="A568">
            <v>113</v>
          </cell>
          <cell r="B568">
            <v>634</v>
          </cell>
          <cell r="C568" t="str">
            <v>Qatar</v>
          </cell>
          <cell r="D568">
            <v>0</v>
          </cell>
          <cell r="E568">
            <v>3</v>
          </cell>
          <cell r="F568" t="str">
            <v>Emro</v>
          </cell>
          <cell r="G568">
            <v>8</v>
          </cell>
          <cell r="H568" t="str">
            <v>mec</v>
          </cell>
          <cell r="I568">
            <v>4</v>
          </cell>
          <cell r="J568" t="str">
            <v>high</v>
          </cell>
          <cell r="K568" t="str">
            <v>males</v>
          </cell>
          <cell r="L568" t="str">
            <v>1995-2000</v>
          </cell>
          <cell r="M568">
            <v>8.3849999999999998</v>
          </cell>
          <cell r="N568">
            <v>0.745</v>
          </cell>
          <cell r="O568">
            <v>0.126</v>
          </cell>
          <cell r="P568">
            <v>0.313</v>
          </cell>
          <cell r="Q568">
            <v>1.2949999999999999</v>
          </cell>
          <cell r="R568">
            <v>2.9539999999999997</v>
          </cell>
          <cell r="S568">
            <v>1.8220000000000001</v>
          </cell>
          <cell r="T568">
            <v>1.1299999999999999</v>
          </cell>
        </row>
        <row r="569">
          <cell r="A569">
            <v>17</v>
          </cell>
          <cell r="B569">
            <v>638</v>
          </cell>
          <cell r="C569" t="str">
            <v>Reunion</v>
          </cell>
          <cell r="G569">
            <v>5</v>
          </cell>
          <cell r="H569" t="str">
            <v>oai</v>
          </cell>
          <cell r="I569">
            <v>4</v>
          </cell>
          <cell r="J569" t="str">
            <v>high</v>
          </cell>
          <cell r="K569" t="str">
            <v>males</v>
          </cell>
          <cell r="L569" t="str">
            <v>1995-2000</v>
          </cell>
          <cell r="M569">
            <v>10.006</v>
          </cell>
          <cell r="N569">
            <v>0.36699999999999999</v>
          </cell>
          <cell r="O569">
            <v>6.4000000000000001E-2</v>
          </cell>
          <cell r="P569">
            <v>0.42299999999999999</v>
          </cell>
          <cell r="Q569">
            <v>0.98</v>
          </cell>
          <cell r="R569">
            <v>1.9890000000000001</v>
          </cell>
          <cell r="S569">
            <v>2.234</v>
          </cell>
          <cell r="T569">
            <v>3.9489999999999998</v>
          </cell>
        </row>
        <row r="570">
          <cell r="A570">
            <v>127</v>
          </cell>
          <cell r="B570">
            <v>642</v>
          </cell>
          <cell r="C570" t="str">
            <v>Romania</v>
          </cell>
          <cell r="D570">
            <v>0</v>
          </cell>
          <cell r="E570">
            <v>4</v>
          </cell>
          <cell r="F570" t="str">
            <v>Euro</v>
          </cell>
          <cell r="G570">
            <v>2</v>
          </cell>
          <cell r="H570" t="str">
            <v>fse</v>
          </cell>
          <cell r="I570">
            <v>1</v>
          </cell>
          <cell r="J570" t="str">
            <v>low and middle</v>
          </cell>
          <cell r="K570" t="str">
            <v>males</v>
          </cell>
          <cell r="L570" t="str">
            <v>1995-2000</v>
          </cell>
          <cell r="M570">
            <v>697.54700000000003</v>
          </cell>
          <cell r="N570">
            <v>21.780999999999999</v>
          </cell>
          <cell r="O570">
            <v>5.319</v>
          </cell>
          <cell r="P570">
            <v>20.692999999999998</v>
          </cell>
          <cell r="Q570">
            <v>47.854999999999997</v>
          </cell>
          <cell r="R570">
            <v>120.108</v>
          </cell>
          <cell r="S570">
            <v>161.04499999999999</v>
          </cell>
          <cell r="T570">
            <v>320.74599999999992</v>
          </cell>
        </row>
        <row r="571">
          <cell r="A571">
            <v>128</v>
          </cell>
          <cell r="B571">
            <v>643</v>
          </cell>
          <cell r="C571" t="str">
            <v>Russian Federation</v>
          </cell>
          <cell r="D571">
            <v>0</v>
          </cell>
          <cell r="E571">
            <v>4</v>
          </cell>
          <cell r="F571" t="str">
            <v>Euro</v>
          </cell>
          <cell r="G571">
            <v>2</v>
          </cell>
          <cell r="H571" t="str">
            <v>fse</v>
          </cell>
          <cell r="I571">
            <v>1</v>
          </cell>
          <cell r="J571" t="str">
            <v>low and middle</v>
          </cell>
          <cell r="K571" t="str">
            <v>males</v>
          </cell>
          <cell r="L571" t="str">
            <v>1995-2000</v>
          </cell>
          <cell r="M571">
            <v>5272.4219999999996</v>
          </cell>
          <cell r="N571">
            <v>95.302999999999997</v>
          </cell>
          <cell r="O571">
            <v>37.825000000000003</v>
          </cell>
          <cell r="P571">
            <v>257.762</v>
          </cell>
          <cell r="Q571">
            <v>744.18700000000001</v>
          </cell>
          <cell r="R571">
            <v>1265.027</v>
          </cell>
          <cell r="S571">
            <v>1365.509</v>
          </cell>
          <cell r="T571">
            <v>1506.8090000000002</v>
          </cell>
        </row>
        <row r="572">
          <cell r="A572">
            <v>18</v>
          </cell>
          <cell r="B572">
            <v>646</v>
          </cell>
          <cell r="C572" t="str">
            <v>Rwanda</v>
          </cell>
          <cell r="D572">
            <v>0</v>
          </cell>
          <cell r="E572">
            <v>1</v>
          </cell>
          <cell r="F572" t="str">
            <v>Afro</v>
          </cell>
          <cell r="G572">
            <v>6</v>
          </cell>
          <cell r="H572" t="str">
            <v>ssa</v>
          </cell>
          <cell r="I572">
            <v>1</v>
          </cell>
          <cell r="J572" t="str">
            <v>low and middle</v>
          </cell>
          <cell r="K572" t="str">
            <v>males</v>
          </cell>
          <cell r="L572" t="str">
            <v>1995-2000</v>
          </cell>
          <cell r="M572">
            <v>349.26</v>
          </cell>
          <cell r="N572">
            <v>159.334</v>
          </cell>
          <cell r="O572">
            <v>36.921999999999997</v>
          </cell>
          <cell r="P572">
            <v>33.878</v>
          </cell>
          <cell r="Q572">
            <v>44.803000000000004</v>
          </cell>
          <cell r="R572">
            <v>38.734999999999999</v>
          </cell>
          <cell r="S572">
            <v>18.597000000000001</v>
          </cell>
          <cell r="T572">
            <v>16.991</v>
          </cell>
        </row>
        <row r="573">
          <cell r="A573">
            <v>114</v>
          </cell>
          <cell r="B573">
            <v>682</v>
          </cell>
          <cell r="C573" t="str">
            <v>Saudi Arabia</v>
          </cell>
          <cell r="D573">
            <v>0</v>
          </cell>
          <cell r="E573">
            <v>3</v>
          </cell>
          <cell r="F573" t="str">
            <v>Emro</v>
          </cell>
          <cell r="G573">
            <v>8</v>
          </cell>
          <cell r="H573" t="str">
            <v>mec</v>
          </cell>
          <cell r="I573">
            <v>1</v>
          </cell>
          <cell r="J573" t="str">
            <v>low and middle</v>
          </cell>
          <cell r="K573" t="str">
            <v>males</v>
          </cell>
          <cell r="L573" t="str">
            <v>1995-2000</v>
          </cell>
          <cell r="M573">
            <v>248.899</v>
          </cell>
          <cell r="N573">
            <v>53.326000000000001</v>
          </cell>
          <cell r="O573">
            <v>6.1059999999999999</v>
          </cell>
          <cell r="P573">
            <v>14.274000000000001</v>
          </cell>
          <cell r="Q573">
            <v>25.085999999999999</v>
          </cell>
          <cell r="R573">
            <v>46.891999999999996</v>
          </cell>
          <cell r="S573">
            <v>39.314999999999998</v>
          </cell>
          <cell r="T573">
            <v>63.9</v>
          </cell>
        </row>
        <row r="574">
          <cell r="A574">
            <v>61</v>
          </cell>
          <cell r="B574">
            <v>686</v>
          </cell>
          <cell r="C574" t="str">
            <v>Senegal</v>
          </cell>
          <cell r="D574">
            <v>0</v>
          </cell>
          <cell r="E574">
            <v>1</v>
          </cell>
          <cell r="F574" t="str">
            <v>Afro</v>
          </cell>
          <cell r="G574">
            <v>6</v>
          </cell>
          <cell r="H574" t="str">
            <v>ssa</v>
          </cell>
          <cell r="I574">
            <v>1</v>
          </cell>
          <cell r="J574" t="str">
            <v>low and middle</v>
          </cell>
          <cell r="K574" t="str">
            <v>males</v>
          </cell>
          <cell r="L574" t="str">
            <v>1995-2000</v>
          </cell>
          <cell r="M574">
            <v>307.75599999999997</v>
          </cell>
          <cell r="N574">
            <v>108.20099999999999</v>
          </cell>
          <cell r="O574">
            <v>29.835999999999999</v>
          </cell>
          <cell r="P574">
            <v>36.923000000000002</v>
          </cell>
          <cell r="Q574">
            <v>30.948</v>
          </cell>
          <cell r="R574">
            <v>35.149000000000001</v>
          </cell>
          <cell r="S574">
            <v>30.353000000000002</v>
          </cell>
          <cell r="T574">
            <v>36.345999999999997</v>
          </cell>
        </row>
        <row r="575">
          <cell r="A575">
            <v>62</v>
          </cell>
          <cell r="B575">
            <v>694</v>
          </cell>
          <cell r="C575" t="str">
            <v>Sierra Leone</v>
          </cell>
          <cell r="D575">
            <v>0</v>
          </cell>
          <cell r="E575">
            <v>1</v>
          </cell>
          <cell r="F575" t="str">
            <v>Afro</v>
          </cell>
          <cell r="G575">
            <v>6</v>
          </cell>
          <cell r="H575" t="str">
            <v>ssa</v>
          </cell>
          <cell r="I575">
            <v>1</v>
          </cell>
          <cell r="J575" t="str">
            <v>low and middle</v>
          </cell>
          <cell r="K575" t="str">
            <v>males</v>
          </cell>
          <cell r="L575" t="str">
            <v>1995-2000</v>
          </cell>
          <cell r="M575">
            <v>303.10199999999998</v>
          </cell>
          <cell r="N575">
            <v>152.749</v>
          </cell>
          <cell r="O575">
            <v>33.036999999999999</v>
          </cell>
          <cell r="P575">
            <v>26.723999999999997</v>
          </cell>
          <cell r="Q575">
            <v>27.844000000000001</v>
          </cell>
          <cell r="R575">
            <v>26.347999999999999</v>
          </cell>
          <cell r="S575">
            <v>17.491</v>
          </cell>
          <cell r="T575">
            <v>18.909000000000002</v>
          </cell>
        </row>
        <row r="576">
          <cell r="A576">
            <v>97</v>
          </cell>
          <cell r="B576">
            <v>702</v>
          </cell>
          <cell r="C576" t="str">
            <v>Singapore</v>
          </cell>
          <cell r="D576">
            <v>0</v>
          </cell>
          <cell r="E576">
            <v>6</v>
          </cell>
          <cell r="F576" t="str">
            <v>Wpro</v>
          </cell>
          <cell r="G576">
            <v>5</v>
          </cell>
          <cell r="H576" t="str">
            <v>oai</v>
          </cell>
          <cell r="I576">
            <v>4</v>
          </cell>
          <cell r="J576" t="str">
            <v>high</v>
          </cell>
          <cell r="K576" t="str">
            <v>males</v>
          </cell>
          <cell r="L576" t="str">
            <v>1995-2000</v>
          </cell>
          <cell r="M576">
            <v>46.118000000000002</v>
          </cell>
          <cell r="N576">
            <v>0.85699999999999998</v>
          </cell>
          <cell r="O576">
            <v>0.249</v>
          </cell>
          <cell r="P576">
            <v>1.149</v>
          </cell>
          <cell r="Q576">
            <v>2.8719999999999999</v>
          </cell>
          <cell r="R576">
            <v>8.1810000000000009</v>
          </cell>
          <cell r="S576">
            <v>10.963000000000001</v>
          </cell>
          <cell r="T576">
            <v>21.847000000000001</v>
          </cell>
        </row>
        <row r="577">
          <cell r="A577">
            <v>129</v>
          </cell>
          <cell r="B577">
            <v>703</v>
          </cell>
          <cell r="C577" t="str">
            <v>Slovakia</v>
          </cell>
          <cell r="D577">
            <v>0</v>
          </cell>
          <cell r="E577">
            <v>4</v>
          </cell>
          <cell r="F577" t="str">
            <v>Euro</v>
          </cell>
          <cell r="G577">
            <v>2</v>
          </cell>
          <cell r="H577" t="str">
            <v>fse</v>
          </cell>
          <cell r="I577">
            <v>1</v>
          </cell>
          <cell r="J577" t="str">
            <v>low and middle</v>
          </cell>
          <cell r="K577" t="str">
            <v>males</v>
          </cell>
          <cell r="L577" t="str">
            <v>1995-2000</v>
          </cell>
          <cell r="M577">
            <v>137.17400000000001</v>
          </cell>
          <cell r="N577">
            <v>2.1070000000000002</v>
          </cell>
          <cell r="O577">
            <v>0.47399999999999998</v>
          </cell>
          <cell r="P577">
            <v>2.7570000000000001</v>
          </cell>
          <cell r="Q577">
            <v>8.2750000000000004</v>
          </cell>
          <cell r="R577">
            <v>25.411999999999999</v>
          </cell>
          <cell r="S577">
            <v>31.052999999999997</v>
          </cell>
          <cell r="T577">
            <v>67.096000000000004</v>
          </cell>
        </row>
        <row r="578">
          <cell r="A578">
            <v>99</v>
          </cell>
          <cell r="B578">
            <v>704</v>
          </cell>
          <cell r="C578" t="str">
            <v>Viet Nam</v>
          </cell>
          <cell r="D578">
            <v>0</v>
          </cell>
          <cell r="E578">
            <v>6</v>
          </cell>
          <cell r="F578" t="str">
            <v>Wpro</v>
          </cell>
          <cell r="G578">
            <v>5</v>
          </cell>
          <cell r="H578" t="str">
            <v>oai</v>
          </cell>
          <cell r="I578">
            <v>1</v>
          </cell>
          <cell r="J578" t="str">
            <v>low and middle</v>
          </cell>
          <cell r="K578" t="str">
            <v>males</v>
          </cell>
          <cell r="L578" t="str">
            <v>1995-2000</v>
          </cell>
          <cell r="M578">
            <v>1330.98</v>
          </cell>
          <cell r="N578">
            <v>250.828</v>
          </cell>
          <cell r="O578">
            <v>66.292000000000002</v>
          </cell>
          <cell r="P578">
            <v>115.62800000000001</v>
          </cell>
          <cell r="Q578">
            <v>123.79100000000001</v>
          </cell>
          <cell r="R578">
            <v>151.16499999999999</v>
          </cell>
          <cell r="S578">
            <v>216.50299999999999</v>
          </cell>
          <cell r="T578">
            <v>406.77300000000008</v>
          </cell>
        </row>
        <row r="579">
          <cell r="A579">
            <v>150</v>
          </cell>
          <cell r="B579">
            <v>705</v>
          </cell>
          <cell r="C579" t="str">
            <v>Slovenia</v>
          </cell>
          <cell r="D579">
            <v>0</v>
          </cell>
          <cell r="E579">
            <v>4</v>
          </cell>
          <cell r="F579" t="str">
            <v>Euro</v>
          </cell>
          <cell r="G579">
            <v>2</v>
          </cell>
          <cell r="H579" t="str">
            <v>fse</v>
          </cell>
          <cell r="I579">
            <v>1</v>
          </cell>
          <cell r="J579" t="str">
            <v>low and middle</v>
          </cell>
          <cell r="K579" t="str">
            <v>males</v>
          </cell>
          <cell r="L579" t="str">
            <v>1995-2000</v>
          </cell>
          <cell r="M579">
            <v>51.063000000000002</v>
          </cell>
          <cell r="N579">
            <v>0.44500000000000001</v>
          </cell>
          <cell r="O579">
            <v>0.14100000000000001</v>
          </cell>
          <cell r="P579">
            <v>1.4620000000000002</v>
          </cell>
          <cell r="Q579">
            <v>3.1680000000000001</v>
          </cell>
          <cell r="R579">
            <v>8.9819999999999993</v>
          </cell>
          <cell r="S579">
            <v>12.352</v>
          </cell>
          <cell r="T579">
            <v>24.513000000000002</v>
          </cell>
        </row>
        <row r="580">
          <cell r="A580">
            <v>19</v>
          </cell>
          <cell r="B580">
            <v>706</v>
          </cell>
          <cell r="C580" t="str">
            <v>Somalia</v>
          </cell>
          <cell r="D580">
            <v>0</v>
          </cell>
          <cell r="E580">
            <v>3</v>
          </cell>
          <cell r="F580" t="str">
            <v>Emro</v>
          </cell>
          <cell r="G580">
            <v>6</v>
          </cell>
          <cell r="H580" t="str">
            <v>ssa</v>
          </cell>
          <cell r="I580">
            <v>1</v>
          </cell>
          <cell r="J580" t="str">
            <v>low and middle</v>
          </cell>
          <cell r="K580" t="str">
            <v>males</v>
          </cell>
          <cell r="L580" t="str">
            <v>1995-2000</v>
          </cell>
          <cell r="M580">
            <v>443.62799999999999</v>
          </cell>
          <cell r="N580">
            <v>254.286</v>
          </cell>
          <cell r="O580">
            <v>38.74</v>
          </cell>
          <cell r="P580">
            <v>39.606999999999999</v>
          </cell>
          <cell r="Q580">
            <v>30.943000000000005</v>
          </cell>
          <cell r="R580">
            <v>28.418999999999997</v>
          </cell>
          <cell r="S580">
            <v>21.795000000000002</v>
          </cell>
          <cell r="T580">
            <v>29.837999999999997</v>
          </cell>
        </row>
        <row r="581">
          <cell r="A581">
            <v>45</v>
          </cell>
          <cell r="B581">
            <v>710</v>
          </cell>
          <cell r="C581" t="str">
            <v>South Africa</v>
          </cell>
          <cell r="D581">
            <v>0</v>
          </cell>
          <cell r="E581">
            <v>1</v>
          </cell>
          <cell r="F581" t="str">
            <v>Afro</v>
          </cell>
          <cell r="G581">
            <v>6</v>
          </cell>
          <cell r="H581" t="str">
            <v>ssa</v>
          </cell>
          <cell r="I581">
            <v>1</v>
          </cell>
          <cell r="J581" t="str">
            <v>low and middle</v>
          </cell>
          <cell r="K581" t="str">
            <v>males</v>
          </cell>
          <cell r="L581" t="str">
            <v>1995-2000</v>
          </cell>
          <cell r="M581">
            <v>1300.633</v>
          </cell>
          <cell r="N581">
            <v>264.47199999999998</v>
          </cell>
          <cell r="O581">
            <v>46.325999999999993</v>
          </cell>
          <cell r="P581">
            <v>111.57400000000001</v>
          </cell>
          <cell r="Q581">
            <v>239.18700000000001</v>
          </cell>
          <cell r="R581">
            <v>288.41899999999998</v>
          </cell>
          <cell r="S581">
            <v>182.89500000000001</v>
          </cell>
          <cell r="T581">
            <v>167.76</v>
          </cell>
        </row>
        <row r="582">
          <cell r="A582">
            <v>23</v>
          </cell>
          <cell r="B582">
            <v>716</v>
          </cell>
          <cell r="C582" t="str">
            <v>Zimbabwe</v>
          </cell>
          <cell r="D582">
            <v>0</v>
          </cell>
          <cell r="E582">
            <v>1</v>
          </cell>
          <cell r="F582" t="str">
            <v>Afro</v>
          </cell>
          <cell r="G582">
            <v>6</v>
          </cell>
          <cell r="H582" t="str">
            <v>ssa</v>
          </cell>
          <cell r="I582">
            <v>1</v>
          </cell>
          <cell r="J582" t="str">
            <v>low and middle</v>
          </cell>
          <cell r="K582" t="str">
            <v>males</v>
          </cell>
          <cell r="L582" t="str">
            <v>1995-2000</v>
          </cell>
          <cell r="M582">
            <v>490.90800000000002</v>
          </cell>
          <cell r="N582">
            <v>112.57899999999999</v>
          </cell>
          <cell r="O582">
            <v>27.468</v>
          </cell>
          <cell r="P582">
            <v>54.914000000000001</v>
          </cell>
          <cell r="Q582">
            <v>118.80600000000001</v>
          </cell>
          <cell r="R582">
            <v>92.911000000000001</v>
          </cell>
          <cell r="S582">
            <v>37.698</v>
          </cell>
          <cell r="T582">
            <v>46.532000000000004</v>
          </cell>
        </row>
        <row r="583">
          <cell r="A583">
            <v>151</v>
          </cell>
          <cell r="B583">
            <v>724</v>
          </cell>
          <cell r="C583" t="str">
            <v>Spain</v>
          </cell>
          <cell r="D583">
            <v>0</v>
          </cell>
          <cell r="E583">
            <v>4</v>
          </cell>
          <cell r="F583" t="str">
            <v>Euro</v>
          </cell>
          <cell r="G583">
            <v>1</v>
          </cell>
          <cell r="H583" t="str">
            <v>eme</v>
          </cell>
          <cell r="I583">
            <v>4</v>
          </cell>
          <cell r="J583" t="str">
            <v>high</v>
          </cell>
          <cell r="K583" t="str">
            <v>males</v>
          </cell>
          <cell r="L583" t="str">
            <v>1995-2000</v>
          </cell>
          <cell r="M583">
            <v>980.95500000000004</v>
          </cell>
          <cell r="N583">
            <v>8.234</v>
          </cell>
          <cell r="O583">
            <v>2.5840000000000001</v>
          </cell>
          <cell r="P583">
            <v>28.597999999999999</v>
          </cell>
          <cell r="Q583">
            <v>39.552</v>
          </cell>
          <cell r="R583">
            <v>100.816</v>
          </cell>
          <cell r="S583">
            <v>179.328</v>
          </cell>
          <cell r="T583">
            <v>621.84299999999996</v>
          </cell>
        </row>
        <row r="584">
          <cell r="A584">
            <v>40</v>
          </cell>
          <cell r="B584">
            <v>732</v>
          </cell>
          <cell r="C584" t="str">
            <v>Western Sahara</v>
          </cell>
          <cell r="G584">
            <v>8</v>
          </cell>
          <cell r="H584" t="str">
            <v>mec</v>
          </cell>
          <cell r="K584" t="str">
            <v>males</v>
          </cell>
          <cell r="L584" t="str">
            <v>1995-2000</v>
          </cell>
          <cell r="M584">
            <v>6.0990000000000002</v>
          </cell>
          <cell r="N584">
            <v>2.052</v>
          </cell>
          <cell r="O584">
            <v>0.25900000000000001</v>
          </cell>
          <cell r="P584">
            <v>0.56800000000000006</v>
          </cell>
          <cell r="Q584">
            <v>0.55699999999999994</v>
          </cell>
          <cell r="R584">
            <v>0.80800000000000005</v>
          </cell>
          <cell r="S584">
            <v>0.754</v>
          </cell>
          <cell r="T584">
            <v>1.1010000000000002</v>
          </cell>
        </row>
        <row r="585">
          <cell r="A585">
            <v>38</v>
          </cell>
          <cell r="B585">
            <v>736</v>
          </cell>
          <cell r="C585" t="str">
            <v>Sudan</v>
          </cell>
          <cell r="D585">
            <v>0</v>
          </cell>
          <cell r="E585">
            <v>3</v>
          </cell>
          <cell r="F585" t="str">
            <v>Emro</v>
          </cell>
          <cell r="G585">
            <v>6</v>
          </cell>
          <cell r="H585" t="str">
            <v>ssa</v>
          </cell>
          <cell r="I585">
            <v>1</v>
          </cell>
          <cell r="J585" t="str">
            <v>low and middle</v>
          </cell>
          <cell r="K585" t="str">
            <v>males</v>
          </cell>
          <cell r="L585" t="str">
            <v>1995-2000</v>
          </cell>
          <cell r="M585">
            <v>860.26800000000003</v>
          </cell>
          <cell r="N585">
            <v>286.976</v>
          </cell>
          <cell r="O585">
            <v>80.122</v>
          </cell>
          <cell r="P585">
            <v>109.066</v>
          </cell>
          <cell r="Q585">
            <v>93.646999999999991</v>
          </cell>
          <cell r="R585">
            <v>97.855999999999995</v>
          </cell>
          <cell r="S585">
            <v>79.344999999999999</v>
          </cell>
          <cell r="T585">
            <v>113.25600000000001</v>
          </cell>
        </row>
        <row r="586">
          <cell r="A586">
            <v>194</v>
          </cell>
          <cell r="B586">
            <v>740</v>
          </cell>
          <cell r="C586" t="str">
            <v>Suriname</v>
          </cell>
          <cell r="D586">
            <v>0</v>
          </cell>
          <cell r="E586">
            <v>2</v>
          </cell>
          <cell r="F586" t="str">
            <v>Amro</v>
          </cell>
          <cell r="G586">
            <v>7</v>
          </cell>
          <cell r="H586" t="str">
            <v>lac</v>
          </cell>
          <cell r="I586">
            <v>1</v>
          </cell>
          <cell r="J586" t="str">
            <v>low and middle</v>
          </cell>
          <cell r="K586" t="str">
            <v>males</v>
          </cell>
          <cell r="L586" t="str">
            <v>1995-2000</v>
          </cell>
          <cell r="M586">
            <v>6.7450000000000001</v>
          </cell>
          <cell r="N586">
            <v>0.84199999999999997</v>
          </cell>
          <cell r="O586">
            <v>0.109</v>
          </cell>
          <cell r="P586">
            <v>0.47600000000000003</v>
          </cell>
          <cell r="Q586">
            <v>0.63100000000000001</v>
          </cell>
          <cell r="R586">
            <v>0.86599999999999999</v>
          </cell>
          <cell r="S586">
            <v>1.3879999999999999</v>
          </cell>
          <cell r="T586">
            <v>2.4329999999999998</v>
          </cell>
        </row>
        <row r="587">
          <cell r="A587">
            <v>46</v>
          </cell>
          <cell r="B587">
            <v>748</v>
          </cell>
          <cell r="C587" t="str">
            <v>Swaziland</v>
          </cell>
          <cell r="D587">
            <v>0</v>
          </cell>
          <cell r="E587">
            <v>1</v>
          </cell>
          <cell r="F587" t="str">
            <v>Afro</v>
          </cell>
          <cell r="G587">
            <v>6</v>
          </cell>
          <cell r="H587" t="str">
            <v>ssa</v>
          </cell>
          <cell r="I587">
            <v>1</v>
          </cell>
          <cell r="J587" t="str">
            <v>low and middle</v>
          </cell>
          <cell r="K587" t="str">
            <v>males</v>
          </cell>
          <cell r="L587" t="str">
            <v>1995-2000</v>
          </cell>
          <cell r="M587">
            <v>23.036000000000001</v>
          </cell>
          <cell r="N587">
            <v>10.045</v>
          </cell>
          <cell r="O587">
            <v>1.7989999999999999</v>
          </cell>
          <cell r="P587">
            <v>2.6850000000000001</v>
          </cell>
          <cell r="Q587">
            <v>1.7790000000000004</v>
          </cell>
          <cell r="R587">
            <v>1.9550000000000001</v>
          </cell>
          <cell r="S587">
            <v>1.8010000000000002</v>
          </cell>
          <cell r="T587">
            <v>2.972</v>
          </cell>
        </row>
        <row r="588">
          <cell r="A588">
            <v>140</v>
          </cell>
          <cell r="B588">
            <v>752</v>
          </cell>
          <cell r="C588" t="str">
            <v>Sweden</v>
          </cell>
          <cell r="D588">
            <v>0</v>
          </cell>
          <cell r="E588">
            <v>4</v>
          </cell>
          <cell r="F588" t="str">
            <v>Euro</v>
          </cell>
          <cell r="G588">
            <v>1</v>
          </cell>
          <cell r="H588" t="str">
            <v>eme</v>
          </cell>
          <cell r="I588">
            <v>4</v>
          </cell>
          <cell r="J588" t="str">
            <v>high</v>
          </cell>
          <cell r="K588" t="str">
            <v>males</v>
          </cell>
          <cell r="L588" t="str">
            <v>1995-2000</v>
          </cell>
          <cell r="M588">
            <v>243.387</v>
          </cell>
          <cell r="N588">
            <v>1.6240000000000001</v>
          </cell>
          <cell r="O588">
            <v>0.39800000000000002</v>
          </cell>
          <cell r="P588">
            <v>2.56</v>
          </cell>
          <cell r="Q588">
            <v>5.82</v>
          </cell>
          <cell r="R588">
            <v>21.417999999999999</v>
          </cell>
          <cell r="S588">
            <v>33.968000000000004</v>
          </cell>
          <cell r="T588">
            <v>177.59899999999999</v>
          </cell>
        </row>
        <row r="589">
          <cell r="A589">
            <v>161</v>
          </cell>
          <cell r="B589">
            <v>756</v>
          </cell>
          <cell r="C589" t="str">
            <v>Switzerland</v>
          </cell>
          <cell r="D589">
            <v>0</v>
          </cell>
          <cell r="E589">
            <v>4</v>
          </cell>
          <cell r="F589" t="str">
            <v>Euro</v>
          </cell>
          <cell r="G589">
            <v>1</v>
          </cell>
          <cell r="H589" t="str">
            <v>eme</v>
          </cell>
          <cell r="I589">
            <v>4</v>
          </cell>
          <cell r="J589" t="str">
            <v>high</v>
          </cell>
          <cell r="K589" t="str">
            <v>males</v>
          </cell>
          <cell r="L589" t="str">
            <v>1995-2000</v>
          </cell>
          <cell r="M589">
            <v>160.08600000000001</v>
          </cell>
          <cell r="N589">
            <v>2.0550000000000002</v>
          </cell>
          <cell r="O589">
            <v>0.61699999999999999</v>
          </cell>
          <cell r="P589">
            <v>4.1769999999999996</v>
          </cell>
          <cell r="Q589">
            <v>8.0950000000000006</v>
          </cell>
          <cell r="R589">
            <v>17.323</v>
          </cell>
          <cell r="S589">
            <v>25.055999999999997</v>
          </cell>
          <cell r="T589">
            <v>102.76299999999999</v>
          </cell>
        </row>
        <row r="590">
          <cell r="A590">
            <v>115</v>
          </cell>
          <cell r="B590">
            <v>760</v>
          </cell>
          <cell r="C590" t="str">
            <v>Syrian Arab Republic</v>
          </cell>
          <cell r="D590">
            <v>0</v>
          </cell>
          <cell r="E590">
            <v>3</v>
          </cell>
          <cell r="F590" t="str">
            <v>Emro</v>
          </cell>
          <cell r="G590">
            <v>8</v>
          </cell>
          <cell r="H590" t="str">
            <v>mec</v>
          </cell>
          <cell r="I590">
            <v>1</v>
          </cell>
          <cell r="J590" t="str">
            <v>low and middle</v>
          </cell>
          <cell r="K590" t="str">
            <v>males</v>
          </cell>
          <cell r="L590" t="str">
            <v>1995-2000</v>
          </cell>
          <cell r="M590">
            <v>210.136</v>
          </cell>
          <cell r="N590">
            <v>56.302</v>
          </cell>
          <cell r="O590">
            <v>8.2059999999999995</v>
          </cell>
          <cell r="P590">
            <v>18.201000000000001</v>
          </cell>
          <cell r="Q590">
            <v>16.614000000000001</v>
          </cell>
          <cell r="R590">
            <v>24.28</v>
          </cell>
          <cell r="S590">
            <v>30.907</v>
          </cell>
          <cell r="T590">
            <v>55.625999999999998</v>
          </cell>
        </row>
        <row r="591">
          <cell r="A591">
            <v>85</v>
          </cell>
          <cell r="B591">
            <v>762</v>
          </cell>
          <cell r="C591" t="str">
            <v>Tajikistan</v>
          </cell>
          <cell r="D591">
            <v>0</v>
          </cell>
          <cell r="E591">
            <v>4</v>
          </cell>
          <cell r="F591" t="str">
            <v>Euro</v>
          </cell>
          <cell r="G591">
            <v>8</v>
          </cell>
          <cell r="H591" t="str">
            <v>mec</v>
          </cell>
          <cell r="I591">
            <v>1</v>
          </cell>
          <cell r="J591" t="str">
            <v>low and middle</v>
          </cell>
          <cell r="K591" t="str">
            <v>males</v>
          </cell>
          <cell r="L591" t="str">
            <v>1995-2000</v>
          </cell>
          <cell r="M591">
            <v>111.38500000000001</v>
          </cell>
          <cell r="N591">
            <v>41.5</v>
          </cell>
          <cell r="O591">
            <v>3.9550000000000001</v>
          </cell>
          <cell r="P591">
            <v>5.4349999999999996</v>
          </cell>
          <cell r="Q591">
            <v>9.048</v>
          </cell>
          <cell r="R591">
            <v>12.128</v>
          </cell>
          <cell r="S591">
            <v>15.768000000000001</v>
          </cell>
          <cell r="T591">
            <v>23.551000000000002</v>
          </cell>
        </row>
        <row r="592">
          <cell r="A592">
            <v>98</v>
          </cell>
          <cell r="B592">
            <v>764</v>
          </cell>
          <cell r="C592" t="str">
            <v>Thailand</v>
          </cell>
          <cell r="D592">
            <v>0</v>
          </cell>
          <cell r="E592">
            <v>5</v>
          </cell>
          <cell r="F592" t="str">
            <v>Searo</v>
          </cell>
          <cell r="G592">
            <v>5</v>
          </cell>
          <cell r="H592" t="str">
            <v>oai</v>
          </cell>
          <cell r="I592">
            <v>1</v>
          </cell>
          <cell r="J592" t="str">
            <v>low and middle</v>
          </cell>
          <cell r="K592" t="str">
            <v>males</v>
          </cell>
          <cell r="L592" t="str">
            <v>1995-2000</v>
          </cell>
          <cell r="M592">
            <v>1132.4549999999999</v>
          </cell>
          <cell r="N592">
            <v>96.846999999999994</v>
          </cell>
          <cell r="O592">
            <v>29.395</v>
          </cell>
          <cell r="P592">
            <v>92.292000000000002</v>
          </cell>
          <cell r="Q592">
            <v>193.23</v>
          </cell>
          <cell r="R592">
            <v>229.50900000000001</v>
          </cell>
          <cell r="S592">
            <v>176.40600000000001</v>
          </cell>
          <cell r="T592">
            <v>314.77599999999995</v>
          </cell>
        </row>
        <row r="593">
          <cell r="A593">
            <v>63</v>
          </cell>
          <cell r="B593">
            <v>768</v>
          </cell>
          <cell r="C593" t="str">
            <v>Togo</v>
          </cell>
          <cell r="D593">
            <v>0</v>
          </cell>
          <cell r="E593">
            <v>1</v>
          </cell>
          <cell r="F593" t="str">
            <v>Afro</v>
          </cell>
          <cell r="G593">
            <v>6</v>
          </cell>
          <cell r="H593" t="str">
            <v>ssa</v>
          </cell>
          <cell r="I593">
            <v>1</v>
          </cell>
          <cell r="J593" t="str">
            <v>low and middle</v>
          </cell>
          <cell r="K593" t="str">
            <v>males</v>
          </cell>
          <cell r="L593" t="str">
            <v>1995-2000</v>
          </cell>
          <cell r="M593">
            <v>173.227</v>
          </cell>
          <cell r="N593">
            <v>64.331999999999994</v>
          </cell>
          <cell r="O593">
            <v>15.157</v>
          </cell>
          <cell r="P593">
            <v>16.605999999999998</v>
          </cell>
          <cell r="Q593">
            <v>24.568000000000001</v>
          </cell>
          <cell r="R593">
            <v>22.454000000000001</v>
          </cell>
          <cell r="S593">
            <v>12.471</v>
          </cell>
          <cell r="T593">
            <v>17.638999999999999</v>
          </cell>
        </row>
        <row r="594">
          <cell r="A594">
            <v>174</v>
          </cell>
          <cell r="B594">
            <v>780</v>
          </cell>
          <cell r="C594" t="str">
            <v>Trinidad and Tobago</v>
          </cell>
          <cell r="D594">
            <v>0</v>
          </cell>
          <cell r="E594">
            <v>2</v>
          </cell>
          <cell r="F594" t="str">
            <v>Amro</v>
          </cell>
          <cell r="G594">
            <v>7</v>
          </cell>
          <cell r="H594" t="str">
            <v>lac</v>
          </cell>
          <cell r="I594">
            <v>1</v>
          </cell>
          <cell r="J594" t="str">
            <v>low and middle</v>
          </cell>
          <cell r="K594" t="str">
            <v>males</v>
          </cell>
          <cell r="L594" t="str">
            <v>1995-2000</v>
          </cell>
          <cell r="M594">
            <v>20.454000000000001</v>
          </cell>
          <cell r="N594">
            <v>0.91300000000000003</v>
          </cell>
          <cell r="O594">
            <v>0.16400000000000001</v>
          </cell>
          <cell r="P594">
            <v>0.90300000000000002</v>
          </cell>
          <cell r="Q594">
            <v>1.383</v>
          </cell>
          <cell r="R594">
            <v>3.34</v>
          </cell>
          <cell r="S594">
            <v>3.7290000000000001</v>
          </cell>
          <cell r="T594">
            <v>10.022</v>
          </cell>
        </row>
        <row r="595">
          <cell r="A595">
            <v>117</v>
          </cell>
          <cell r="B595">
            <v>784</v>
          </cell>
          <cell r="C595" t="str">
            <v>United Arab Emirates</v>
          </cell>
          <cell r="D595">
            <v>0</v>
          </cell>
          <cell r="E595">
            <v>3</v>
          </cell>
          <cell r="F595" t="str">
            <v>Emro</v>
          </cell>
          <cell r="G595">
            <v>8</v>
          </cell>
          <cell r="H595" t="str">
            <v>mec</v>
          </cell>
          <cell r="I595">
            <v>4</v>
          </cell>
          <cell r="J595" t="str">
            <v>high</v>
          </cell>
          <cell r="K595" t="str">
            <v>males</v>
          </cell>
          <cell r="L595" t="str">
            <v>1995-2000</v>
          </cell>
          <cell r="M595">
            <v>23.812000000000001</v>
          </cell>
          <cell r="N595">
            <v>2.427</v>
          </cell>
          <cell r="O595">
            <v>0.29499999999999998</v>
          </cell>
          <cell r="P595">
            <v>0.47899999999999998</v>
          </cell>
          <cell r="Q595">
            <v>2.2320000000000002</v>
          </cell>
          <cell r="R595">
            <v>7.7609999999999992</v>
          </cell>
          <cell r="S595">
            <v>5.14</v>
          </cell>
          <cell r="T595">
            <v>5.4780000000000006</v>
          </cell>
        </row>
        <row r="596">
          <cell r="A596">
            <v>39</v>
          </cell>
          <cell r="B596">
            <v>788</v>
          </cell>
          <cell r="C596" t="str">
            <v>Tunisia</v>
          </cell>
          <cell r="D596">
            <v>0</v>
          </cell>
          <cell r="E596">
            <v>3</v>
          </cell>
          <cell r="F596" t="str">
            <v>Emro</v>
          </cell>
          <cell r="G596">
            <v>8</v>
          </cell>
          <cell r="H596" t="str">
            <v>mec</v>
          </cell>
          <cell r="I596">
            <v>1</v>
          </cell>
          <cell r="J596" t="str">
            <v>low and middle</v>
          </cell>
          <cell r="K596" t="str">
            <v>males</v>
          </cell>
          <cell r="L596" t="str">
            <v>1995-2000</v>
          </cell>
          <cell r="M596">
            <v>170.37899999999999</v>
          </cell>
          <cell r="N596">
            <v>19.122</v>
          </cell>
          <cell r="O596">
            <v>3.12</v>
          </cell>
          <cell r="P596">
            <v>9.1229999999999993</v>
          </cell>
          <cell r="Q596">
            <v>10.731</v>
          </cell>
          <cell r="R596">
            <v>19.928000000000001</v>
          </cell>
          <cell r="S596">
            <v>31.245000000000001</v>
          </cell>
          <cell r="T596">
            <v>77.11</v>
          </cell>
        </row>
        <row r="597">
          <cell r="A597">
            <v>116</v>
          </cell>
          <cell r="B597">
            <v>792</v>
          </cell>
          <cell r="C597" t="str">
            <v>Turkey</v>
          </cell>
          <cell r="D597">
            <v>0</v>
          </cell>
          <cell r="E597">
            <v>4</v>
          </cell>
          <cell r="F597" t="str">
            <v>Euro</v>
          </cell>
          <cell r="G597">
            <v>8</v>
          </cell>
          <cell r="H597" t="str">
            <v>mec</v>
          </cell>
          <cell r="I597">
            <v>1</v>
          </cell>
          <cell r="J597" t="str">
            <v>low and middle</v>
          </cell>
          <cell r="K597" t="str">
            <v>males</v>
          </cell>
          <cell r="L597" t="str">
            <v>1995-2000</v>
          </cell>
          <cell r="M597">
            <v>1143.8030000000001</v>
          </cell>
          <cell r="N597">
            <v>248.715</v>
          </cell>
          <cell r="O597">
            <v>29.131999999999998</v>
          </cell>
          <cell r="P597">
            <v>62.706000000000003</v>
          </cell>
          <cell r="Q597">
            <v>75.900999999999996</v>
          </cell>
          <cell r="R597">
            <v>156.184</v>
          </cell>
          <cell r="S597">
            <v>210.82300000000001</v>
          </cell>
          <cell r="T597">
            <v>360.34199999999998</v>
          </cell>
        </row>
        <row r="598">
          <cell r="A598">
            <v>86</v>
          </cell>
          <cell r="B598">
            <v>795</v>
          </cell>
          <cell r="C598" t="str">
            <v>Turkmenistan</v>
          </cell>
          <cell r="D598">
            <v>0</v>
          </cell>
          <cell r="E598">
            <v>4</v>
          </cell>
          <cell r="F598" t="str">
            <v>Euro</v>
          </cell>
          <cell r="G598">
            <v>8</v>
          </cell>
          <cell r="H598" t="str">
            <v>mec</v>
          </cell>
          <cell r="I598">
            <v>1</v>
          </cell>
          <cell r="J598" t="str">
            <v>low and middle</v>
          </cell>
          <cell r="K598" t="str">
            <v>males</v>
          </cell>
          <cell r="L598" t="str">
            <v>1995-2000</v>
          </cell>
          <cell r="M598">
            <v>83.933999999999997</v>
          </cell>
          <cell r="N598">
            <v>26.143000000000001</v>
          </cell>
          <cell r="O598">
            <v>2.4289999999999998</v>
          </cell>
          <cell r="P598">
            <v>4.9640000000000004</v>
          </cell>
          <cell r="Q598">
            <v>8.3559999999999999</v>
          </cell>
          <cell r="R598">
            <v>11.648</v>
          </cell>
          <cell r="S598">
            <v>13.954000000000001</v>
          </cell>
          <cell r="T598">
            <v>16.440000000000001</v>
          </cell>
        </row>
        <row r="599">
          <cell r="A599">
            <v>20</v>
          </cell>
          <cell r="B599">
            <v>800</v>
          </cell>
          <cell r="C599" t="str">
            <v>Uganda</v>
          </cell>
          <cell r="D599">
            <v>0</v>
          </cell>
          <cell r="E599">
            <v>1</v>
          </cell>
          <cell r="F599" t="str">
            <v>Afro</v>
          </cell>
          <cell r="G599">
            <v>6</v>
          </cell>
          <cell r="H599" t="str">
            <v>ssa</v>
          </cell>
          <cell r="I599">
            <v>1</v>
          </cell>
          <cell r="J599" t="str">
            <v>low and middle</v>
          </cell>
          <cell r="K599" t="str">
            <v>males</v>
          </cell>
          <cell r="L599" t="str">
            <v>1995-2000</v>
          </cell>
          <cell r="M599">
            <v>1126.8879999999999</v>
          </cell>
          <cell r="N599">
            <v>479.70400000000001</v>
          </cell>
          <cell r="O599">
            <v>105.09399999999999</v>
          </cell>
          <cell r="P599">
            <v>113.71099999999998</v>
          </cell>
          <cell r="Q599">
            <v>176.49699999999999</v>
          </cell>
          <cell r="R599">
            <v>130.44400000000002</v>
          </cell>
          <cell r="S599">
            <v>56.248000000000005</v>
          </cell>
          <cell r="T599">
            <v>65.19</v>
          </cell>
        </row>
        <row r="600">
          <cell r="A600">
            <v>130</v>
          </cell>
          <cell r="B600">
            <v>804</v>
          </cell>
          <cell r="C600" t="str">
            <v>Ukraine</v>
          </cell>
          <cell r="D600">
            <v>0</v>
          </cell>
          <cell r="E600">
            <v>4</v>
          </cell>
          <cell r="F600" t="str">
            <v>Euro</v>
          </cell>
          <cell r="G600">
            <v>2</v>
          </cell>
          <cell r="H600" t="str">
            <v>fse</v>
          </cell>
          <cell r="I600">
            <v>1</v>
          </cell>
          <cell r="J600" t="str">
            <v>low and middle</v>
          </cell>
          <cell r="K600" t="str">
            <v>males</v>
          </cell>
          <cell r="L600" t="str">
            <v>1995-2000</v>
          </cell>
          <cell r="M600">
            <v>1720.5889999999999</v>
          </cell>
          <cell r="N600">
            <v>39.012999999999998</v>
          </cell>
          <cell r="O600">
            <v>12.01</v>
          </cell>
          <cell r="P600">
            <v>62.634</v>
          </cell>
          <cell r="Q600">
            <v>151.613</v>
          </cell>
          <cell r="R600">
            <v>354.97900000000004</v>
          </cell>
          <cell r="S600">
            <v>439.322</v>
          </cell>
          <cell r="T600">
            <v>661.01799999999992</v>
          </cell>
        </row>
        <row r="601">
          <cell r="A601">
            <v>152</v>
          </cell>
          <cell r="B601">
            <v>807</v>
          </cell>
          <cell r="C601" t="str">
            <v>TFYR Macedonia</v>
          </cell>
          <cell r="D601">
            <v>0</v>
          </cell>
          <cell r="E601">
            <v>4</v>
          </cell>
          <cell r="F601" t="str">
            <v>Euro</v>
          </cell>
          <cell r="G601">
            <v>2</v>
          </cell>
          <cell r="H601" t="str">
            <v>fse</v>
          </cell>
          <cell r="I601">
            <v>1</v>
          </cell>
          <cell r="J601" t="str">
            <v>low and middle</v>
          </cell>
          <cell r="K601" t="str">
            <v>males</v>
          </cell>
          <cell r="L601" t="str">
            <v>1995-2000</v>
          </cell>
          <cell r="M601">
            <v>42.161999999999999</v>
          </cell>
          <cell r="N601">
            <v>2.2690000000000001</v>
          </cell>
          <cell r="O601">
            <v>0.27100000000000002</v>
          </cell>
          <cell r="P601">
            <v>0.96799999999999997</v>
          </cell>
          <cell r="Q601">
            <v>2.004</v>
          </cell>
          <cell r="R601">
            <v>6.011000000000001</v>
          </cell>
          <cell r="S601">
            <v>9.6850000000000005</v>
          </cell>
          <cell r="T601">
            <v>20.954000000000001</v>
          </cell>
        </row>
        <row r="602">
          <cell r="A602">
            <v>35</v>
          </cell>
          <cell r="B602">
            <v>818</v>
          </cell>
          <cell r="C602" t="str">
            <v>Egypt</v>
          </cell>
          <cell r="D602">
            <v>0</v>
          </cell>
          <cell r="E602">
            <v>3</v>
          </cell>
          <cell r="F602" t="str">
            <v>Emro</v>
          </cell>
          <cell r="G602">
            <v>8</v>
          </cell>
          <cell r="H602" t="str">
            <v>mec</v>
          </cell>
          <cell r="I602">
            <v>1</v>
          </cell>
          <cell r="J602" t="str">
            <v>low and middle</v>
          </cell>
          <cell r="K602" t="str">
            <v>males</v>
          </cell>
          <cell r="L602" t="str">
            <v>1995-2000</v>
          </cell>
          <cell r="M602">
            <v>1161.923</v>
          </cell>
          <cell r="N602">
            <v>288.05</v>
          </cell>
          <cell r="O602">
            <v>32.08</v>
          </cell>
          <cell r="P602">
            <v>50.474000000000004</v>
          </cell>
          <cell r="Q602">
            <v>85.174999999999997</v>
          </cell>
          <cell r="R602">
            <v>167.94300000000001</v>
          </cell>
          <cell r="S602">
            <v>215.65300000000002</v>
          </cell>
          <cell r="T602">
            <v>322.548</v>
          </cell>
        </row>
        <row r="603">
          <cell r="A603">
            <v>141</v>
          </cell>
          <cell r="B603">
            <v>826</v>
          </cell>
          <cell r="C603" t="str">
            <v>United Kingdom</v>
          </cell>
          <cell r="D603">
            <v>0</v>
          </cell>
          <cell r="E603">
            <v>4</v>
          </cell>
          <cell r="F603" t="str">
            <v>Euro</v>
          </cell>
          <cell r="G603">
            <v>1</v>
          </cell>
          <cell r="H603" t="str">
            <v>eme</v>
          </cell>
          <cell r="I603">
            <v>4</v>
          </cell>
          <cell r="J603" t="str">
            <v>high</v>
          </cell>
          <cell r="K603" t="str">
            <v>males</v>
          </cell>
          <cell r="L603" t="str">
            <v>1995-2000</v>
          </cell>
          <cell r="M603">
            <v>1570.2170000000001</v>
          </cell>
          <cell r="N603">
            <v>16.030999999999999</v>
          </cell>
          <cell r="O603">
            <v>3.4420000000000002</v>
          </cell>
          <cell r="P603">
            <v>21.064</v>
          </cell>
          <cell r="Q603">
            <v>39.72</v>
          </cell>
          <cell r="R603">
            <v>150.71699999999998</v>
          </cell>
          <cell r="S603">
            <v>290.40800000000002</v>
          </cell>
          <cell r="T603">
            <v>1048.835</v>
          </cell>
        </row>
        <row r="604">
          <cell r="A604">
            <v>21</v>
          </cell>
          <cell r="B604">
            <v>834</v>
          </cell>
          <cell r="C604" t="str">
            <v>United Rep. of Tanzania</v>
          </cell>
          <cell r="D604">
            <v>0</v>
          </cell>
          <cell r="E604">
            <v>1</v>
          </cell>
          <cell r="F604" t="str">
            <v>Afro</v>
          </cell>
          <cell r="G604">
            <v>6</v>
          </cell>
          <cell r="H604" t="str">
            <v>ssa</v>
          </cell>
          <cell r="I604">
            <v>1</v>
          </cell>
          <cell r="J604" t="str">
            <v>low and middle</v>
          </cell>
          <cell r="K604" t="str">
            <v>males</v>
          </cell>
          <cell r="L604" t="str">
            <v>1995-2000</v>
          </cell>
          <cell r="M604">
            <v>1248.1179999999999</v>
          </cell>
          <cell r="N604">
            <v>462.82600000000002</v>
          </cell>
          <cell r="O604">
            <v>113.687</v>
          </cell>
          <cell r="P604">
            <v>129.73500000000001</v>
          </cell>
          <cell r="Q604">
            <v>190.476</v>
          </cell>
          <cell r="R604">
            <v>167.98</v>
          </cell>
          <cell r="S604">
            <v>83.507000000000005</v>
          </cell>
          <cell r="T604">
            <v>99.907000000000011</v>
          </cell>
        </row>
        <row r="605">
          <cell r="A605">
            <v>199</v>
          </cell>
          <cell r="B605">
            <v>840</v>
          </cell>
          <cell r="C605" t="str">
            <v>United States of America</v>
          </cell>
          <cell r="D605">
            <v>0</v>
          </cell>
          <cell r="E605">
            <v>2</v>
          </cell>
          <cell r="F605" t="str">
            <v>Amro</v>
          </cell>
          <cell r="G605">
            <v>1</v>
          </cell>
          <cell r="H605" t="str">
            <v>eme</v>
          </cell>
          <cell r="I605">
            <v>4</v>
          </cell>
          <cell r="J605" t="str">
            <v>high</v>
          </cell>
          <cell r="K605" t="str">
            <v>males</v>
          </cell>
          <cell r="L605" t="str">
            <v>1995-2000</v>
          </cell>
          <cell r="M605">
            <v>5998.7820000000002</v>
          </cell>
          <cell r="N605">
            <v>93.74</v>
          </cell>
          <cell r="O605">
            <v>25.213999999999999</v>
          </cell>
          <cell r="P605">
            <v>185.244</v>
          </cell>
          <cell r="Q605">
            <v>422.67700000000002</v>
          </cell>
          <cell r="R605">
            <v>794.23500000000001</v>
          </cell>
          <cell r="S605">
            <v>1003.873</v>
          </cell>
          <cell r="T605">
            <v>3473.799</v>
          </cell>
        </row>
        <row r="606">
          <cell r="A606">
            <v>49</v>
          </cell>
          <cell r="B606">
            <v>854</v>
          </cell>
          <cell r="C606" t="str">
            <v>Burkina Faso</v>
          </cell>
          <cell r="D606">
            <v>0</v>
          </cell>
          <cell r="E606">
            <v>1</v>
          </cell>
          <cell r="F606" t="str">
            <v>Afro</v>
          </cell>
          <cell r="G606">
            <v>6</v>
          </cell>
          <cell r="H606" t="str">
            <v>ssa</v>
          </cell>
          <cell r="I606">
            <v>1</v>
          </cell>
          <cell r="J606" t="str">
            <v>low and middle</v>
          </cell>
          <cell r="K606" t="str">
            <v>males</v>
          </cell>
          <cell r="L606" t="str">
            <v>1995-2000</v>
          </cell>
          <cell r="M606">
            <v>529.80499999999995</v>
          </cell>
          <cell r="N606">
            <v>232.35300000000001</v>
          </cell>
          <cell r="O606">
            <v>51.497</v>
          </cell>
          <cell r="P606">
            <v>50.895000000000003</v>
          </cell>
          <cell r="Q606">
            <v>63.744</v>
          </cell>
          <cell r="R606">
            <v>58.243000000000002</v>
          </cell>
          <cell r="S606">
            <v>32.927</v>
          </cell>
          <cell r="T606">
            <v>40.146000000000001</v>
          </cell>
        </row>
        <row r="607">
          <cell r="A607">
            <v>195</v>
          </cell>
          <cell r="B607">
            <v>858</v>
          </cell>
          <cell r="C607" t="str">
            <v>Uruguay</v>
          </cell>
          <cell r="D607">
            <v>0</v>
          </cell>
          <cell r="E607">
            <v>2</v>
          </cell>
          <cell r="F607" t="str">
            <v>Amro</v>
          </cell>
          <cell r="G607">
            <v>7</v>
          </cell>
          <cell r="H607" t="str">
            <v>lac</v>
          </cell>
          <cell r="I607">
            <v>1</v>
          </cell>
          <cell r="J607" t="str">
            <v>low and middle</v>
          </cell>
          <cell r="K607" t="str">
            <v>males</v>
          </cell>
          <cell r="L607" t="str">
            <v>1995-2000</v>
          </cell>
          <cell r="M607">
            <v>81.846000000000004</v>
          </cell>
          <cell r="N607">
            <v>3.4830000000000001</v>
          </cell>
          <cell r="O607">
            <v>0.49299999999999999</v>
          </cell>
          <cell r="P607">
            <v>2.4470000000000001</v>
          </cell>
          <cell r="Q607">
            <v>3.5720000000000001</v>
          </cell>
          <cell r="R607">
            <v>11.033000000000001</v>
          </cell>
          <cell r="S607">
            <v>17.596</v>
          </cell>
          <cell r="T607">
            <v>43.222000000000001</v>
          </cell>
        </row>
        <row r="608">
          <cell r="A608">
            <v>87</v>
          </cell>
          <cell r="B608">
            <v>860</v>
          </cell>
          <cell r="C608" t="str">
            <v>Uzbekistan</v>
          </cell>
          <cell r="D608">
            <v>0</v>
          </cell>
          <cell r="E608">
            <v>4</v>
          </cell>
          <cell r="F608" t="str">
            <v>Euro</v>
          </cell>
          <cell r="G608">
            <v>8</v>
          </cell>
          <cell r="H608" t="str">
            <v>mec</v>
          </cell>
          <cell r="I608">
            <v>1</v>
          </cell>
          <cell r="J608" t="str">
            <v>low and middle</v>
          </cell>
          <cell r="K608" t="str">
            <v>males</v>
          </cell>
          <cell r="L608" t="str">
            <v>1995-2000</v>
          </cell>
          <cell r="M608">
            <v>414.39100000000002</v>
          </cell>
          <cell r="N608">
            <v>114.274</v>
          </cell>
          <cell r="O608">
            <v>11.975</v>
          </cell>
          <cell r="P608">
            <v>24.748999999999999</v>
          </cell>
          <cell r="Q608">
            <v>42.725999999999999</v>
          </cell>
          <cell r="R608">
            <v>58.043999999999997</v>
          </cell>
          <cell r="S608">
            <v>67.462999999999994</v>
          </cell>
          <cell r="T608">
            <v>95.16</v>
          </cell>
        </row>
        <row r="609">
          <cell r="A609">
            <v>196</v>
          </cell>
          <cell r="B609">
            <v>862</v>
          </cell>
          <cell r="C609" t="str">
            <v>Venezuela</v>
          </cell>
          <cell r="D609">
            <v>0</v>
          </cell>
          <cell r="E609">
            <v>2</v>
          </cell>
          <cell r="F609" t="str">
            <v>Amro</v>
          </cell>
          <cell r="G609">
            <v>7</v>
          </cell>
          <cell r="H609" t="str">
            <v>lac</v>
          </cell>
          <cell r="I609">
            <v>1</v>
          </cell>
          <cell r="J609" t="str">
            <v>low and middle</v>
          </cell>
          <cell r="K609" t="str">
            <v>males</v>
          </cell>
          <cell r="L609" t="str">
            <v>1995-2000</v>
          </cell>
          <cell r="M609">
            <v>306.88799999999998</v>
          </cell>
          <cell r="N609">
            <v>40.959000000000003</v>
          </cell>
          <cell r="O609">
            <v>7.0920000000000005</v>
          </cell>
          <cell r="P609">
            <v>28.493000000000002</v>
          </cell>
          <cell r="Q609">
            <v>32.474000000000004</v>
          </cell>
          <cell r="R609">
            <v>51.129000000000005</v>
          </cell>
          <cell r="S609">
            <v>49.033999999999999</v>
          </cell>
          <cell r="T609">
            <v>97.706999999999994</v>
          </cell>
        </row>
        <row r="610">
          <cell r="A610">
            <v>214</v>
          </cell>
          <cell r="B610">
            <v>882</v>
          </cell>
          <cell r="C610" t="str">
            <v>Samoa</v>
          </cell>
          <cell r="D610">
            <v>0</v>
          </cell>
          <cell r="E610">
            <v>6</v>
          </cell>
          <cell r="F610" t="str">
            <v>Wpro</v>
          </cell>
          <cell r="G610">
            <v>5</v>
          </cell>
          <cell r="H610" t="str">
            <v>oai</v>
          </cell>
          <cell r="I610">
            <v>1</v>
          </cell>
          <cell r="J610" t="str">
            <v>low and middle</v>
          </cell>
          <cell r="K610" t="str">
            <v>males</v>
          </cell>
          <cell r="L610" t="str">
            <v>1995-2000</v>
          </cell>
          <cell r="M610">
            <v>2.3919999999999999</v>
          </cell>
          <cell r="N610">
            <v>0.32300000000000001</v>
          </cell>
          <cell r="O610">
            <v>4.1000000000000002E-2</v>
          </cell>
          <cell r="P610">
            <v>0.121</v>
          </cell>
          <cell r="Q610">
            <v>0.14399999999999999</v>
          </cell>
          <cell r="R610">
            <v>0.34</v>
          </cell>
          <cell r="S610">
            <v>0.52100000000000002</v>
          </cell>
          <cell r="T610">
            <v>0.90200000000000002</v>
          </cell>
        </row>
        <row r="611">
          <cell r="A611">
            <v>118</v>
          </cell>
          <cell r="B611">
            <v>887</v>
          </cell>
          <cell r="C611" t="str">
            <v>Yemen</v>
          </cell>
          <cell r="D611">
            <v>0</v>
          </cell>
          <cell r="E611">
            <v>3</v>
          </cell>
          <cell r="F611" t="str">
            <v>Emro</v>
          </cell>
          <cell r="G611">
            <v>8</v>
          </cell>
          <cell r="H611" t="str">
            <v>mec</v>
          </cell>
          <cell r="I611">
            <v>1</v>
          </cell>
          <cell r="J611" t="str">
            <v>low and middle</v>
          </cell>
          <cell r="K611" t="str">
            <v>males</v>
          </cell>
          <cell r="L611" t="str">
            <v>1995-2000</v>
          </cell>
          <cell r="M611">
            <v>427.75</v>
          </cell>
          <cell r="N611">
            <v>221.023</v>
          </cell>
          <cell r="O611">
            <v>21.988</v>
          </cell>
          <cell r="P611">
            <v>40.43</v>
          </cell>
          <cell r="Q611">
            <v>31.613999999999997</v>
          </cell>
          <cell r="R611">
            <v>31.233999999999998</v>
          </cell>
          <cell r="S611">
            <v>33.348999999999997</v>
          </cell>
          <cell r="T611">
            <v>48.111999999999995</v>
          </cell>
        </row>
        <row r="612">
          <cell r="A612">
            <v>153</v>
          </cell>
          <cell r="B612">
            <v>891</v>
          </cell>
          <cell r="C612" t="str">
            <v>Yugoslavia</v>
          </cell>
          <cell r="D612">
            <v>0</v>
          </cell>
          <cell r="E612">
            <v>4</v>
          </cell>
          <cell r="F612" t="str">
            <v>Euro</v>
          </cell>
          <cell r="G612">
            <v>2</v>
          </cell>
          <cell r="H612" t="str">
            <v>fse</v>
          </cell>
          <cell r="I612">
            <v>1</v>
          </cell>
          <cell r="J612" t="str">
            <v>low and middle</v>
          </cell>
          <cell r="K612" t="str">
            <v>males</v>
          </cell>
          <cell r="L612" t="str">
            <v>1995-2000</v>
          </cell>
          <cell r="M612">
            <v>269.41399999999999</v>
          </cell>
          <cell r="N612">
            <v>10.163</v>
          </cell>
          <cell r="O612">
            <v>1.2130000000000001</v>
          </cell>
          <cell r="P612">
            <v>4.9220000000000006</v>
          </cell>
          <cell r="Q612">
            <v>11.237000000000002</v>
          </cell>
          <cell r="R612">
            <v>38.079000000000001</v>
          </cell>
          <cell r="S612">
            <v>68.084999999999994</v>
          </cell>
          <cell r="T612">
            <v>135.715</v>
          </cell>
        </row>
        <row r="613">
          <cell r="A613">
            <v>22</v>
          </cell>
          <cell r="B613">
            <v>894</v>
          </cell>
          <cell r="C613" t="str">
            <v>Zambia</v>
          </cell>
          <cell r="D613">
            <v>0</v>
          </cell>
          <cell r="E613">
            <v>1</v>
          </cell>
          <cell r="F613" t="str">
            <v>Afro</v>
          </cell>
          <cell r="G613">
            <v>6</v>
          </cell>
          <cell r="H613" t="str">
            <v>ssa</v>
          </cell>
          <cell r="I613">
            <v>1</v>
          </cell>
          <cell r="J613" t="str">
            <v>low and middle</v>
          </cell>
          <cell r="K613" t="str">
            <v>males</v>
          </cell>
          <cell r="L613" t="str">
            <v>1995-2000</v>
          </cell>
          <cell r="M613">
            <v>431.50599999999997</v>
          </cell>
          <cell r="N613">
            <v>139.96600000000001</v>
          </cell>
          <cell r="O613">
            <v>33.151000000000003</v>
          </cell>
          <cell r="P613">
            <v>47.372</v>
          </cell>
          <cell r="Q613">
            <v>86.227000000000004</v>
          </cell>
          <cell r="R613">
            <v>65.293000000000006</v>
          </cell>
          <cell r="S613">
            <v>26.823999999999998</v>
          </cell>
          <cell r="T613">
            <v>32.672999999999995</v>
          </cell>
        </row>
        <row r="614">
          <cell r="A614">
            <v>1</v>
          </cell>
          <cell r="B614">
            <v>900</v>
          </cell>
          <cell r="C614" t="str">
            <v>World total</v>
          </cell>
          <cell r="K614" t="str">
            <v>males</v>
          </cell>
          <cell r="L614" t="str">
            <v>1995-2000</v>
          </cell>
          <cell r="M614">
            <v>137581.58300000001</v>
          </cell>
          <cell r="N614">
            <v>27018.807000000001</v>
          </cell>
          <cell r="O614">
            <v>4976.9050000000007</v>
          </cell>
          <cell r="P614">
            <v>7969.4250000000011</v>
          </cell>
          <cell r="Q614">
            <v>11855.838</v>
          </cell>
          <cell r="R614">
            <v>19614.427</v>
          </cell>
          <cell r="S614">
            <v>22730.446</v>
          </cell>
          <cell r="T614">
            <v>43415.735000000001</v>
          </cell>
        </row>
        <row r="615">
          <cell r="A615">
            <v>2</v>
          </cell>
          <cell r="B615">
            <v>901</v>
          </cell>
          <cell r="C615" t="str">
            <v>More developed regions (*)</v>
          </cell>
          <cell r="K615" t="str">
            <v>males</v>
          </cell>
          <cell r="L615" t="str">
            <v>1995-2000</v>
          </cell>
          <cell r="M615">
            <v>30625.838</v>
          </cell>
          <cell r="N615">
            <v>453.88900000000001</v>
          </cell>
          <cell r="O615">
            <v>130.59100000000001</v>
          </cell>
          <cell r="P615">
            <v>866.36599999999999</v>
          </cell>
          <cell r="Q615">
            <v>2088.9459999999999</v>
          </cell>
          <cell r="R615">
            <v>4717.6149999999998</v>
          </cell>
          <cell r="S615">
            <v>6400.4070000000002</v>
          </cell>
          <cell r="T615">
            <v>15968.023999999998</v>
          </cell>
        </row>
        <row r="616">
          <cell r="A616">
            <v>3</v>
          </cell>
          <cell r="B616">
            <v>902</v>
          </cell>
          <cell r="C616" t="str">
            <v>Less developed regions (+)</v>
          </cell>
          <cell r="K616" t="str">
            <v>males</v>
          </cell>
          <cell r="L616" t="str">
            <v>1995-2000</v>
          </cell>
          <cell r="M616">
            <v>106955.74400000001</v>
          </cell>
          <cell r="N616">
            <v>26564.917000000001</v>
          </cell>
          <cell r="O616">
            <v>4846.3140000000003</v>
          </cell>
          <cell r="P616">
            <v>7103.0590000000002</v>
          </cell>
          <cell r="Q616">
            <v>9766.8919999999998</v>
          </cell>
          <cell r="R616">
            <v>14896.812000000002</v>
          </cell>
          <cell r="S616">
            <v>16330.039000000001</v>
          </cell>
          <cell r="T616">
            <v>27447.710999999999</v>
          </cell>
        </row>
        <row r="617">
          <cell r="A617">
            <v>5</v>
          </cell>
          <cell r="B617">
            <v>903</v>
          </cell>
          <cell r="C617" t="str">
            <v>Africa</v>
          </cell>
          <cell r="K617" t="str">
            <v>males</v>
          </cell>
          <cell r="L617" t="str">
            <v>1995-2000</v>
          </cell>
          <cell r="M617">
            <v>26836.300999999999</v>
          </cell>
          <cell r="N617">
            <v>10622.416999999999</v>
          </cell>
          <cell r="O617">
            <v>2268.7719999999999</v>
          </cell>
          <cell r="P617">
            <v>2512.3490000000002</v>
          </cell>
          <cell r="Q617">
            <v>3195.0230000000001</v>
          </cell>
          <cell r="R617">
            <v>3149.3680000000004</v>
          </cell>
          <cell r="S617">
            <v>2138.79</v>
          </cell>
          <cell r="T617">
            <v>2949.5820000000003</v>
          </cell>
        </row>
        <row r="618">
          <cell r="A618">
            <v>162</v>
          </cell>
          <cell r="B618">
            <v>904</v>
          </cell>
          <cell r="C618" t="str">
            <v>Latin America and the Caribbean</v>
          </cell>
          <cell r="K618" t="str">
            <v>males</v>
          </cell>
          <cell r="L618" t="str">
            <v>1995-2000</v>
          </cell>
          <cell r="M618">
            <v>9155.9079999999994</v>
          </cell>
          <cell r="N618">
            <v>1458.5650000000001</v>
          </cell>
          <cell r="O618">
            <v>220.988</v>
          </cell>
          <cell r="P618">
            <v>808.01600000000008</v>
          </cell>
          <cell r="Q618">
            <v>1088.559</v>
          </cell>
          <cell r="R618">
            <v>1439.8340000000001</v>
          </cell>
          <cell r="S618">
            <v>1334.848</v>
          </cell>
          <cell r="T618">
            <v>2805.0980000000004</v>
          </cell>
        </row>
        <row r="619">
          <cell r="A619">
            <v>197</v>
          </cell>
          <cell r="B619">
            <v>905</v>
          </cell>
          <cell r="C619" t="str">
            <v>Northern America (12)</v>
          </cell>
          <cell r="K619" t="str">
            <v>males</v>
          </cell>
          <cell r="L619" t="str">
            <v>1995-2000</v>
          </cell>
          <cell r="M619">
            <v>6566.0050000000001</v>
          </cell>
          <cell r="N619">
            <v>101.086</v>
          </cell>
          <cell r="O619">
            <v>27.38</v>
          </cell>
          <cell r="P619">
            <v>198.715</v>
          </cell>
          <cell r="Q619">
            <v>453.33100000000002</v>
          </cell>
          <cell r="R619">
            <v>860.346</v>
          </cell>
          <cell r="S619">
            <v>1104.703</v>
          </cell>
          <cell r="T619">
            <v>3820.444</v>
          </cell>
        </row>
        <row r="620">
          <cell r="A620">
            <v>65</v>
          </cell>
          <cell r="B620">
            <v>906</v>
          </cell>
          <cell r="C620" t="str">
            <v>Eastern Asia</v>
          </cell>
          <cell r="K620" t="str">
            <v>males</v>
          </cell>
          <cell r="L620" t="str">
            <v>1995-2000</v>
          </cell>
          <cell r="M620">
            <v>28206.026999999998</v>
          </cell>
          <cell r="N620">
            <v>2388.2640000000001</v>
          </cell>
          <cell r="O620">
            <v>374.17</v>
          </cell>
          <cell r="P620">
            <v>1077.433</v>
          </cell>
          <cell r="Q620">
            <v>1809.181</v>
          </cell>
          <cell r="R620">
            <v>4231.3589999999995</v>
          </cell>
          <cell r="S620">
            <v>6357.1710000000003</v>
          </cell>
          <cell r="T620">
            <v>11968.449000000001</v>
          </cell>
        </row>
        <row r="621">
          <cell r="A621">
            <v>119</v>
          </cell>
          <cell r="B621">
            <v>908</v>
          </cell>
          <cell r="C621" t="str">
            <v>Europe</v>
          </cell>
          <cell r="K621" t="str">
            <v>males</v>
          </cell>
          <cell r="L621" t="str">
            <v>1995-2000</v>
          </cell>
          <cell r="M621">
            <v>20963.687999999998</v>
          </cell>
          <cell r="N621">
            <v>325.476</v>
          </cell>
          <cell r="O621">
            <v>95.367999999999995</v>
          </cell>
          <cell r="P621">
            <v>612.55899999999997</v>
          </cell>
          <cell r="Q621">
            <v>1539.5609999999999</v>
          </cell>
          <cell r="R621">
            <v>3465.7650000000003</v>
          </cell>
          <cell r="S621">
            <v>4677.7309999999998</v>
          </cell>
          <cell r="T621">
            <v>10247.228000000001</v>
          </cell>
        </row>
        <row r="622">
          <cell r="A622">
            <v>200</v>
          </cell>
          <cell r="B622">
            <v>909</v>
          </cell>
          <cell r="C622" t="str">
            <v>Oceania</v>
          </cell>
          <cell r="K622" t="str">
            <v>males</v>
          </cell>
          <cell r="L622" t="str">
            <v>1995-2000</v>
          </cell>
          <cell r="M622">
            <v>598.298</v>
          </cell>
          <cell r="N622">
            <v>42.182000000000002</v>
          </cell>
          <cell r="O622">
            <v>6.8320000000000007</v>
          </cell>
          <cell r="P622">
            <v>25.366</v>
          </cell>
          <cell r="Q622">
            <v>35.759</v>
          </cell>
          <cell r="R622">
            <v>74.691000000000003</v>
          </cell>
          <cell r="S622">
            <v>101.27600000000001</v>
          </cell>
          <cell r="T622">
            <v>312.19200000000001</v>
          </cell>
        </row>
        <row r="623">
          <cell r="A623">
            <v>6</v>
          </cell>
          <cell r="B623">
            <v>910</v>
          </cell>
          <cell r="C623" t="str">
            <v>Eastern Africa (1)</v>
          </cell>
          <cell r="K623" t="str">
            <v>males</v>
          </cell>
          <cell r="L623" t="str">
            <v>1995-2000</v>
          </cell>
          <cell r="M623">
            <v>10430.14</v>
          </cell>
          <cell r="N623">
            <v>4273.0600000000004</v>
          </cell>
          <cell r="O623">
            <v>916.23</v>
          </cell>
          <cell r="P623">
            <v>1004.4259999999999</v>
          </cell>
          <cell r="Q623">
            <v>1470.558</v>
          </cell>
          <cell r="R623">
            <v>1262.8489999999999</v>
          </cell>
          <cell r="S623">
            <v>661.88199999999995</v>
          </cell>
          <cell r="T623">
            <v>841.13499999999999</v>
          </cell>
        </row>
        <row r="624">
          <cell r="A624">
            <v>24</v>
          </cell>
          <cell r="B624">
            <v>911</v>
          </cell>
          <cell r="C624" t="str">
            <v>Middle Africa (3)</v>
          </cell>
          <cell r="K624" t="str">
            <v>males</v>
          </cell>
          <cell r="L624" t="str">
            <v>1995-2000</v>
          </cell>
          <cell r="M624">
            <v>3573.9760000000001</v>
          </cell>
          <cell r="N624">
            <v>1629.6890000000001</v>
          </cell>
          <cell r="O624">
            <v>327.92599999999999</v>
          </cell>
          <cell r="P624">
            <v>326.69200000000001</v>
          </cell>
          <cell r="Q624">
            <v>364.22399999999999</v>
          </cell>
          <cell r="R624">
            <v>352.84500000000003</v>
          </cell>
          <cell r="S624">
            <v>237.63</v>
          </cell>
          <cell r="T624">
            <v>334.97</v>
          </cell>
        </row>
        <row r="625">
          <cell r="A625">
            <v>33</v>
          </cell>
          <cell r="B625">
            <v>912</v>
          </cell>
          <cell r="C625" t="str">
            <v>Northern Africa</v>
          </cell>
          <cell r="K625" t="str">
            <v>males</v>
          </cell>
          <cell r="L625" t="str">
            <v>1995-2000</v>
          </cell>
          <cell r="M625">
            <v>3211.471</v>
          </cell>
          <cell r="N625">
            <v>864.35</v>
          </cell>
          <cell r="O625">
            <v>150.554</v>
          </cell>
          <cell r="P625">
            <v>238.6</v>
          </cell>
          <cell r="Q625">
            <v>261.822</v>
          </cell>
          <cell r="R625">
            <v>396.30500000000001</v>
          </cell>
          <cell r="S625">
            <v>474.11199999999997</v>
          </cell>
          <cell r="T625">
            <v>825.72800000000007</v>
          </cell>
        </row>
        <row r="626">
          <cell r="A626">
            <v>41</v>
          </cell>
          <cell r="B626">
            <v>913</v>
          </cell>
          <cell r="C626" t="str">
            <v>Southern Africa</v>
          </cell>
          <cell r="K626" t="str">
            <v>males</v>
          </cell>
          <cell r="L626" t="str">
            <v>1995-2000</v>
          </cell>
          <cell r="M626">
            <v>1497.7159999999999</v>
          </cell>
          <cell r="N626">
            <v>331.71300000000002</v>
          </cell>
          <cell r="O626">
            <v>57.445</v>
          </cell>
          <cell r="P626">
            <v>129.67500000000001</v>
          </cell>
          <cell r="Q626">
            <v>269.971</v>
          </cell>
          <cell r="R626">
            <v>317.49200000000002</v>
          </cell>
          <cell r="S626">
            <v>199.48500000000001</v>
          </cell>
          <cell r="T626">
            <v>191.935</v>
          </cell>
        </row>
        <row r="627">
          <cell r="A627">
            <v>47</v>
          </cell>
          <cell r="B627">
            <v>914</v>
          </cell>
          <cell r="C627" t="str">
            <v>Western Africa (4)</v>
          </cell>
          <cell r="K627" t="str">
            <v>males</v>
          </cell>
          <cell r="L627" t="str">
            <v>1995-2000</v>
          </cell>
          <cell r="M627">
            <v>8122.9979999999996</v>
          </cell>
          <cell r="N627">
            <v>3523.605</v>
          </cell>
          <cell r="O627">
            <v>816.61699999999996</v>
          </cell>
          <cell r="P627">
            <v>812.95600000000002</v>
          </cell>
          <cell r="Q627">
            <v>828.44800000000009</v>
          </cell>
          <cell r="R627">
            <v>819.87699999999995</v>
          </cell>
          <cell r="S627">
            <v>565.68100000000004</v>
          </cell>
          <cell r="T627">
            <v>755.81399999999996</v>
          </cell>
        </row>
        <row r="628">
          <cell r="A628">
            <v>163</v>
          </cell>
          <cell r="B628">
            <v>915</v>
          </cell>
          <cell r="C628" t="str">
            <v>Caribbean (10)</v>
          </cell>
          <cell r="K628" t="str">
            <v>males</v>
          </cell>
          <cell r="L628" t="str">
            <v>1995-2000</v>
          </cell>
          <cell r="M628">
            <v>784.34</v>
          </cell>
          <cell r="N628">
            <v>116.486</v>
          </cell>
          <cell r="O628">
            <v>25.798999999999999</v>
          </cell>
          <cell r="P628">
            <v>54.926000000000002</v>
          </cell>
          <cell r="Q628">
            <v>80.284000000000006</v>
          </cell>
          <cell r="R628">
            <v>109.71</v>
          </cell>
          <cell r="S628">
            <v>105.833</v>
          </cell>
          <cell r="T628">
            <v>291.30199999999996</v>
          </cell>
        </row>
        <row r="629">
          <cell r="A629">
            <v>175</v>
          </cell>
          <cell r="B629">
            <v>916</v>
          </cell>
          <cell r="C629" t="str">
            <v>Central America</v>
          </cell>
          <cell r="K629" t="str">
            <v>males</v>
          </cell>
          <cell r="L629" t="str">
            <v>1995-2000</v>
          </cell>
          <cell r="M629">
            <v>1933.7149999999999</v>
          </cell>
          <cell r="N629">
            <v>397.09</v>
          </cell>
          <cell r="O629">
            <v>53.301000000000002</v>
          </cell>
          <cell r="P629">
            <v>197.303</v>
          </cell>
          <cell r="Q629">
            <v>223.38399999999999</v>
          </cell>
          <cell r="R629">
            <v>269.04700000000003</v>
          </cell>
          <cell r="S629">
            <v>248.51400000000001</v>
          </cell>
          <cell r="T629">
            <v>545.07599999999991</v>
          </cell>
        </row>
        <row r="630">
          <cell r="A630">
            <v>88</v>
          </cell>
          <cell r="B630">
            <v>920</v>
          </cell>
          <cell r="C630" t="str">
            <v>South-eastern Asia</v>
          </cell>
          <cell r="K630" t="str">
            <v>males</v>
          </cell>
          <cell r="L630" t="str">
            <v>1995-2000</v>
          </cell>
          <cell r="M630">
            <v>9692.3629999999994</v>
          </cell>
          <cell r="N630">
            <v>1985.03</v>
          </cell>
          <cell r="O630">
            <v>345.39099999999996</v>
          </cell>
          <cell r="P630">
            <v>769.07799999999997</v>
          </cell>
          <cell r="Q630">
            <v>982.86400000000003</v>
          </cell>
          <cell r="R630">
            <v>1465.287</v>
          </cell>
          <cell r="S630">
            <v>1561.41</v>
          </cell>
          <cell r="T630">
            <v>2583.3030000000003</v>
          </cell>
        </row>
        <row r="631">
          <cell r="A631">
            <v>73</v>
          </cell>
          <cell r="B631">
            <v>921</v>
          </cell>
          <cell r="C631" t="str">
            <v>South-central Asia</v>
          </cell>
          <cell r="K631" t="str">
            <v>males</v>
          </cell>
          <cell r="L631" t="str">
            <v>1995-2000</v>
          </cell>
          <cell r="M631">
            <v>32377.812999999998</v>
          </cell>
          <cell r="N631">
            <v>9209.3420000000006</v>
          </cell>
          <cell r="O631">
            <v>1544.664</v>
          </cell>
          <cell r="P631">
            <v>1770.54</v>
          </cell>
          <cell r="Q631">
            <v>2513.2539999999999</v>
          </cell>
          <cell r="R631">
            <v>4507.018</v>
          </cell>
          <cell r="S631">
            <v>4947.2790000000005</v>
          </cell>
          <cell r="T631">
            <v>7885.7159999999994</v>
          </cell>
        </row>
        <row r="632">
          <cell r="A632">
            <v>100</v>
          </cell>
          <cell r="B632">
            <v>922</v>
          </cell>
          <cell r="C632" t="str">
            <v>Western Asia</v>
          </cell>
          <cell r="K632" t="str">
            <v>males</v>
          </cell>
          <cell r="L632" t="str">
            <v>1995-2000</v>
          </cell>
          <cell r="M632">
            <v>3184.5419999999999</v>
          </cell>
          <cell r="N632">
            <v>885.62800000000004</v>
          </cell>
          <cell r="O632">
            <v>93.35</v>
          </cell>
          <cell r="P632">
            <v>195.636</v>
          </cell>
          <cell r="Q632">
            <v>238.339</v>
          </cell>
          <cell r="R632">
            <v>419.99799999999999</v>
          </cell>
          <cell r="S632">
            <v>505.88900000000001</v>
          </cell>
          <cell r="T632">
            <v>845.702</v>
          </cell>
        </row>
        <row r="633">
          <cell r="A633">
            <v>120</v>
          </cell>
          <cell r="B633">
            <v>923</v>
          </cell>
          <cell r="C633" t="str">
            <v>Eastern Europe</v>
          </cell>
          <cell r="K633" t="str">
            <v>males</v>
          </cell>
          <cell r="L633" t="str">
            <v>1995-2000</v>
          </cell>
          <cell r="M633">
            <v>10272</v>
          </cell>
          <cell r="N633">
            <v>206.14400000000001</v>
          </cell>
          <cell r="O633">
            <v>67.442000000000007</v>
          </cell>
          <cell r="P633">
            <v>407.91899999999998</v>
          </cell>
          <cell r="Q633">
            <v>1123.3040000000001</v>
          </cell>
          <cell r="R633">
            <v>2219.2910000000002</v>
          </cell>
          <cell r="S633">
            <v>2571.7939999999999</v>
          </cell>
          <cell r="T633">
            <v>3676.1060000000002</v>
          </cell>
        </row>
        <row r="634">
          <cell r="A634">
            <v>131</v>
          </cell>
          <cell r="B634">
            <v>924</v>
          </cell>
          <cell r="C634" t="str">
            <v>Northern Europe (7)</v>
          </cell>
          <cell r="K634" t="str">
            <v>males</v>
          </cell>
          <cell r="L634" t="str">
            <v>1995-2000</v>
          </cell>
          <cell r="M634">
            <v>2551.1080000000002</v>
          </cell>
          <cell r="N634">
            <v>28.727</v>
          </cell>
          <cell r="O634">
            <v>7.3330000000000002</v>
          </cell>
          <cell r="P634">
            <v>42.067000000000007</v>
          </cell>
          <cell r="Q634">
            <v>88.894999999999996</v>
          </cell>
          <cell r="R634">
            <v>282.50299999999999</v>
          </cell>
          <cell r="S634">
            <v>471.40700000000004</v>
          </cell>
          <cell r="T634">
            <v>1630.1760000000002</v>
          </cell>
        </row>
        <row r="635">
          <cell r="A635">
            <v>142</v>
          </cell>
          <cell r="B635">
            <v>925</v>
          </cell>
          <cell r="C635" t="str">
            <v>Southern Europe (8)</v>
          </cell>
          <cell r="K635" t="str">
            <v>males</v>
          </cell>
          <cell r="L635" t="str">
            <v>1995-2000</v>
          </cell>
          <cell r="M635">
            <v>3689.8159999999998</v>
          </cell>
          <cell r="N635">
            <v>50.515000000000001</v>
          </cell>
          <cell r="O635">
            <v>10.754</v>
          </cell>
          <cell r="P635">
            <v>80.358000000000004</v>
          </cell>
          <cell r="Q635">
            <v>131.95500000000001</v>
          </cell>
          <cell r="R635">
            <v>401.697</v>
          </cell>
          <cell r="S635">
            <v>737.827</v>
          </cell>
          <cell r="T635">
            <v>2276.71</v>
          </cell>
        </row>
        <row r="636">
          <cell r="A636">
            <v>154</v>
          </cell>
          <cell r="B636">
            <v>926</v>
          </cell>
          <cell r="C636" t="str">
            <v>Western Europe (9)</v>
          </cell>
          <cell r="K636" t="str">
            <v>males</v>
          </cell>
          <cell r="L636" t="str">
            <v>1995-2000</v>
          </cell>
          <cell r="M636">
            <v>4450.7640000000001</v>
          </cell>
          <cell r="N636">
            <v>40.090000000000003</v>
          </cell>
          <cell r="O636">
            <v>9.8390000000000004</v>
          </cell>
          <cell r="P636">
            <v>82.215000000000003</v>
          </cell>
          <cell r="Q636">
            <v>195.40699999999998</v>
          </cell>
          <cell r="R636">
            <v>562.274</v>
          </cell>
          <cell r="S636">
            <v>896.70299999999997</v>
          </cell>
          <cell r="T636">
            <v>2664.2360000000003</v>
          </cell>
        </row>
        <row r="637">
          <cell r="A637">
            <v>201</v>
          </cell>
          <cell r="B637">
            <v>927</v>
          </cell>
          <cell r="C637" t="str">
            <v>Australia/New Zealand</v>
          </cell>
          <cell r="K637" t="str">
            <v>males</v>
          </cell>
          <cell r="L637" t="str">
            <v>1995-2000</v>
          </cell>
          <cell r="M637">
            <v>442.73599999999999</v>
          </cell>
          <cell r="N637">
            <v>6.4</v>
          </cell>
          <cell r="O637">
            <v>1.657</v>
          </cell>
          <cell r="P637">
            <v>12.323</v>
          </cell>
          <cell r="Q637">
            <v>19.5</v>
          </cell>
          <cell r="R637">
            <v>46.804000000000002</v>
          </cell>
          <cell r="S637">
            <v>74.444999999999993</v>
          </cell>
          <cell r="T637">
            <v>281.60700000000003</v>
          </cell>
        </row>
        <row r="638">
          <cell r="A638">
            <v>204</v>
          </cell>
          <cell r="B638">
            <v>928</v>
          </cell>
          <cell r="C638" t="str">
            <v>Melanesia</v>
          </cell>
          <cell r="K638" t="str">
            <v>males</v>
          </cell>
          <cell r="L638" t="str">
            <v>1995-2000</v>
          </cell>
          <cell r="M638">
            <v>139.75899999999999</v>
          </cell>
          <cell r="N638">
            <v>33.067</v>
          </cell>
          <cell r="O638">
            <v>4.766</v>
          </cell>
          <cell r="P638">
            <v>11.756</v>
          </cell>
          <cell r="Q638">
            <v>14.93</v>
          </cell>
          <cell r="R638">
            <v>25.375</v>
          </cell>
          <cell r="S638">
            <v>23.885000000000002</v>
          </cell>
          <cell r="T638">
            <v>25.98</v>
          </cell>
        </row>
        <row r="639">
          <cell r="A639">
            <v>184</v>
          </cell>
          <cell r="B639">
            <v>931</v>
          </cell>
          <cell r="C639" t="str">
            <v>South America (11)</v>
          </cell>
          <cell r="K639" t="str">
            <v>males</v>
          </cell>
          <cell r="L639" t="str">
            <v>1995-2000</v>
          </cell>
          <cell r="M639">
            <v>6437.8530000000001</v>
          </cell>
          <cell r="N639">
            <v>944.98900000000003</v>
          </cell>
          <cell r="O639">
            <v>141.88800000000001</v>
          </cell>
          <cell r="P639">
            <v>555.78700000000003</v>
          </cell>
          <cell r="Q639">
            <v>784.89100000000008</v>
          </cell>
          <cell r="R639">
            <v>1061.077</v>
          </cell>
          <cell r="S639">
            <v>980.50099999999998</v>
          </cell>
          <cell r="T639">
            <v>1968.72</v>
          </cell>
        </row>
        <row r="640">
          <cell r="A640">
            <v>64</v>
          </cell>
          <cell r="B640">
            <v>935</v>
          </cell>
          <cell r="C640" t="str">
            <v>Asia</v>
          </cell>
          <cell r="K640" t="str">
            <v>males</v>
          </cell>
          <cell r="L640" t="str">
            <v>1995-2000</v>
          </cell>
          <cell r="M640">
            <v>73460.744999999995</v>
          </cell>
          <cell r="N640">
            <v>14468.263999999999</v>
          </cell>
          <cell r="O640">
            <v>2357.5749999999998</v>
          </cell>
          <cell r="P640">
            <v>3812.6869999999999</v>
          </cell>
          <cell r="Q640">
            <v>5543.637999999999</v>
          </cell>
          <cell r="R640">
            <v>10623.662</v>
          </cell>
          <cell r="S640">
            <v>13371.749</v>
          </cell>
          <cell r="T640">
            <v>23283.17</v>
          </cell>
        </row>
        <row r="641">
          <cell r="A641">
            <v>4</v>
          </cell>
          <cell r="B641">
            <v>941</v>
          </cell>
          <cell r="C641" t="str">
            <v>Least developed countries (#)</v>
          </cell>
          <cell r="K641" t="str">
            <v>males</v>
          </cell>
          <cell r="L641" t="str">
            <v>1995-2000</v>
          </cell>
          <cell r="M641">
            <v>22750.358</v>
          </cell>
          <cell r="N641">
            <v>9637.4310000000005</v>
          </cell>
          <cell r="O641">
            <v>1778.7269999999999</v>
          </cell>
          <cell r="P641">
            <v>2109.1559999999999</v>
          </cell>
          <cell r="Q641">
            <v>2456.029</v>
          </cell>
          <cell r="R641">
            <v>2526.4340000000002</v>
          </cell>
          <cell r="S641">
            <v>1783.6</v>
          </cell>
          <cell r="T641">
            <v>2458.9809999999998</v>
          </cell>
        </row>
        <row r="642">
          <cell r="A642">
            <v>210</v>
          </cell>
          <cell r="B642">
            <v>954</v>
          </cell>
          <cell r="C642" t="str">
            <v>Micronesia (14)</v>
          </cell>
          <cell r="K642" t="str">
            <v>males</v>
          </cell>
          <cell r="L642" t="str">
            <v>1995-2000</v>
          </cell>
          <cell r="M642">
            <v>7.3449999999999998</v>
          </cell>
          <cell r="N642">
            <v>1.9039999999999999</v>
          </cell>
          <cell r="O642">
            <v>0.26</v>
          </cell>
          <cell r="P642">
            <v>0.69499999999999995</v>
          </cell>
          <cell r="Q642">
            <v>0.70499999999999996</v>
          </cell>
          <cell r="R642">
            <v>1.022</v>
          </cell>
          <cell r="S642">
            <v>1.0230000000000001</v>
          </cell>
          <cell r="T642">
            <v>1.736</v>
          </cell>
        </row>
        <row r="643">
          <cell r="A643">
            <v>212</v>
          </cell>
          <cell r="B643">
            <v>957</v>
          </cell>
          <cell r="C643" t="str">
            <v>Polynesia (15)</v>
          </cell>
          <cell r="K643" t="str">
            <v>males</v>
          </cell>
          <cell r="L643" t="str">
            <v>1995-2000</v>
          </cell>
          <cell r="M643">
            <v>8.4580000000000002</v>
          </cell>
          <cell r="N643">
            <v>0.81100000000000005</v>
          </cell>
          <cell r="O643">
            <v>0.14900000000000002</v>
          </cell>
          <cell r="P643">
            <v>0.59200000000000008</v>
          </cell>
          <cell r="Q643">
            <v>0.624</v>
          </cell>
          <cell r="R643">
            <v>1.49</v>
          </cell>
          <cell r="S643">
            <v>1.923</v>
          </cell>
          <cell r="T643">
            <v>2.8689999999999998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ation Rate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ept+slope projection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8"/>
  <sheetViews>
    <sheetView workbookViewId="0">
      <pane ySplit="1" topLeftCell="A2" activePane="bottomLeft" state="frozen"/>
      <selection pane="bottomLeft" activeCell="B5" sqref="B5"/>
    </sheetView>
  </sheetViews>
  <sheetFormatPr baseColWidth="10" defaultColWidth="8.83203125" defaultRowHeight="12"/>
  <cols>
    <col min="1" max="1" width="4.6640625" style="146" customWidth="1"/>
    <col min="2" max="2" width="22.5" style="144" customWidth="1"/>
    <col min="3" max="3" width="30.6640625" style="145" customWidth="1"/>
    <col min="4" max="8" width="6.6640625" style="145" customWidth="1"/>
    <col min="9" max="9" width="13.5" style="145" customWidth="1"/>
    <col min="10" max="10" width="25.6640625" style="145" customWidth="1"/>
    <col min="11" max="11" width="15.83203125" style="145" customWidth="1"/>
    <col min="12" max="12" width="14.33203125" style="145" customWidth="1"/>
    <col min="13" max="13" width="12.33203125" style="145" customWidth="1"/>
    <col min="14" max="14" width="14" style="145" customWidth="1"/>
    <col min="15" max="16" width="11.5" style="145" customWidth="1"/>
    <col min="17" max="19" width="16.33203125" style="148" customWidth="1"/>
    <col min="20" max="20" width="33.83203125" style="145" customWidth="1"/>
    <col min="21" max="21" width="92.6640625" style="148" customWidth="1"/>
    <col min="22" max="16384" width="8.83203125" style="145"/>
  </cols>
  <sheetData>
    <row r="1" spans="1:21" s="144" customFormat="1" ht="39">
      <c r="A1" s="141" t="s">
        <v>46</v>
      </c>
      <c r="B1" s="142" t="s">
        <v>47</v>
      </c>
      <c r="C1" s="142" t="s">
        <v>48</v>
      </c>
      <c r="D1" s="142" t="s">
        <v>49</v>
      </c>
      <c r="E1" s="142" t="s">
        <v>50</v>
      </c>
      <c r="F1" s="142" t="s">
        <v>51</v>
      </c>
      <c r="G1" s="142" t="s">
        <v>52</v>
      </c>
      <c r="H1" s="142" t="s">
        <v>53</v>
      </c>
      <c r="I1" s="142" t="s">
        <v>54</v>
      </c>
      <c r="J1" s="142" t="s">
        <v>55</v>
      </c>
      <c r="K1" s="142" t="s">
        <v>56</v>
      </c>
      <c r="L1" s="142" t="s">
        <v>57</v>
      </c>
      <c r="M1" s="142" t="s">
        <v>58</v>
      </c>
      <c r="N1" s="142" t="s">
        <v>59</v>
      </c>
      <c r="O1" s="142" t="s">
        <v>60</v>
      </c>
      <c r="P1" s="142" t="s">
        <v>61</v>
      </c>
      <c r="Q1" s="143" t="s">
        <v>62</v>
      </c>
      <c r="R1" s="143" t="s">
        <v>63</v>
      </c>
      <c r="S1" s="143" t="s">
        <v>64</v>
      </c>
      <c r="T1" s="142" t="s">
        <v>65</v>
      </c>
      <c r="U1" s="143" t="s">
        <v>66</v>
      </c>
    </row>
    <row r="4" spans="1:21" ht="13">
      <c r="B4" s="144" t="s">
        <v>94</v>
      </c>
      <c r="C4" s="147" t="s">
        <v>89</v>
      </c>
    </row>
    <row r="5" spans="1:21" ht="13">
      <c r="C5" s="149" t="s">
        <v>90</v>
      </c>
    </row>
    <row r="6" spans="1:21" ht="13">
      <c r="C6" s="150" t="s">
        <v>91</v>
      </c>
    </row>
    <row r="7" spans="1:21" ht="13">
      <c r="C7" s="151" t="s">
        <v>92</v>
      </c>
    </row>
    <row r="8" spans="1:21" ht="13">
      <c r="C8" s="152" t="s">
        <v>93</v>
      </c>
    </row>
  </sheetData>
  <autoFilter ref="P1" xr:uid="{00000000-0009-0000-0000-000000000000}"/>
  <pageMargins left="0.1" right="0.1" top="0.25" bottom="0.25" header="0.3" footer="0.3"/>
  <pageSetup fitToWidth="3" fitToHeight="3" orientation="landscape"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5"/>
  <sheetViews>
    <sheetView workbookViewId="0">
      <selection activeCell="C4" sqref="C4"/>
    </sheetView>
  </sheetViews>
  <sheetFormatPr baseColWidth="10" defaultColWidth="8.83203125" defaultRowHeight="15"/>
  <cols>
    <col min="1" max="1" width="6.5" style="1" customWidth="1"/>
    <col min="2" max="2" width="20.83203125" customWidth="1"/>
    <col min="3" max="17" width="9.83203125" customWidth="1"/>
    <col min="18" max="18" width="9.5" customWidth="1"/>
  </cols>
  <sheetData>
    <row r="1" spans="1:18">
      <c r="B1" s="5"/>
      <c r="C1" s="3"/>
    </row>
    <row r="2" spans="1:18" ht="19">
      <c r="A2" s="68" t="s">
        <v>25</v>
      </c>
      <c r="B2" s="13"/>
      <c r="C2" s="13"/>
      <c r="D2" s="13"/>
      <c r="E2" s="13"/>
      <c r="F2" s="13"/>
      <c r="G2" s="13"/>
      <c r="H2" s="13"/>
      <c r="I2" s="13"/>
      <c r="J2" s="18"/>
      <c r="K2" s="18"/>
      <c r="L2" s="18"/>
      <c r="M2" s="13"/>
      <c r="N2" s="13"/>
      <c r="O2" s="13"/>
      <c r="P2" s="13"/>
      <c r="Q2" s="13"/>
      <c r="R2" s="13"/>
    </row>
    <row r="3" spans="1:18" ht="12.75" customHeight="1">
      <c r="A3" s="68"/>
      <c r="B3" s="13"/>
      <c r="C3" s="13"/>
      <c r="D3" s="13"/>
      <c r="E3" s="13"/>
      <c r="F3" s="13"/>
      <c r="G3" s="13"/>
      <c r="H3" s="13"/>
      <c r="I3" s="13"/>
      <c r="J3" s="69"/>
      <c r="K3" s="18"/>
      <c r="L3" s="18"/>
      <c r="M3" s="13"/>
      <c r="N3" s="13"/>
      <c r="O3" s="13"/>
      <c r="P3" s="13"/>
      <c r="Q3" s="13"/>
      <c r="R3" s="13"/>
    </row>
    <row r="4" spans="1:18" ht="12.75" customHeight="1">
      <c r="A4" s="16"/>
      <c r="B4" s="70" t="s">
        <v>24</v>
      </c>
      <c r="C4" s="13" t="s">
        <v>26</v>
      </c>
      <c r="D4" s="13"/>
      <c r="E4" s="13"/>
      <c r="F4" s="13"/>
      <c r="G4" s="13"/>
      <c r="H4" s="13"/>
      <c r="I4" s="13"/>
      <c r="J4" s="71"/>
      <c r="K4" s="18"/>
      <c r="L4" s="18"/>
      <c r="M4" s="13"/>
      <c r="N4" s="13"/>
      <c r="O4" s="13"/>
      <c r="P4" s="13"/>
      <c r="Q4" s="13"/>
      <c r="R4" s="13"/>
    </row>
    <row r="5" spans="1:18" ht="12.75" customHeight="1">
      <c r="A5" s="16"/>
      <c r="B5" s="70" t="s">
        <v>19</v>
      </c>
      <c r="C5" s="72">
        <v>2015</v>
      </c>
      <c r="D5" s="13"/>
      <c r="E5" s="13"/>
      <c r="F5" s="13"/>
      <c r="G5" s="13"/>
      <c r="H5" s="13"/>
      <c r="I5" s="13"/>
      <c r="J5" s="73"/>
      <c r="K5" s="18"/>
      <c r="L5" s="18"/>
      <c r="M5" s="13"/>
      <c r="N5" s="13"/>
      <c r="O5" s="13"/>
      <c r="P5" s="13"/>
      <c r="Q5" s="13"/>
      <c r="R5" s="13"/>
    </row>
    <row r="6" spans="1:18" ht="12.75" customHeight="1">
      <c r="A6" s="16"/>
      <c r="B6" s="17" t="s">
        <v>0</v>
      </c>
      <c r="C6" s="74">
        <v>0.1</v>
      </c>
      <c r="D6" s="13"/>
      <c r="E6" s="13"/>
      <c r="F6" s="13"/>
      <c r="G6" s="13"/>
      <c r="H6" s="13"/>
      <c r="I6" s="13"/>
      <c r="J6" s="13"/>
      <c r="K6" s="13"/>
      <c r="L6" s="13"/>
      <c r="M6" s="13"/>
      <c r="N6" s="13"/>
      <c r="O6" s="13"/>
      <c r="P6" s="13"/>
      <c r="Q6" s="13"/>
      <c r="R6" s="13"/>
    </row>
    <row r="7" spans="1:18" ht="12.75" customHeight="1">
      <c r="A7" s="16"/>
      <c r="B7" s="17"/>
      <c r="C7" s="75"/>
      <c r="D7" s="13"/>
      <c r="E7" s="13"/>
      <c r="F7" s="13"/>
      <c r="G7" s="13"/>
      <c r="H7" s="13"/>
      <c r="I7" s="13"/>
      <c r="J7" s="13"/>
      <c r="K7" s="13"/>
      <c r="L7" s="13"/>
      <c r="M7" s="13"/>
      <c r="N7" s="13"/>
      <c r="O7" s="13"/>
      <c r="P7" s="13"/>
      <c r="Q7" s="13"/>
      <c r="R7" s="13"/>
    </row>
    <row r="8" spans="1:18" ht="12.75" customHeight="1">
      <c r="A8" s="16"/>
      <c r="B8" s="17"/>
      <c r="C8" s="75"/>
      <c r="D8" s="13"/>
      <c r="E8" s="13"/>
      <c r="F8" s="13"/>
      <c r="G8" s="13"/>
      <c r="H8" s="13"/>
      <c r="I8" s="13"/>
      <c r="J8" s="13"/>
      <c r="K8" s="13"/>
      <c r="L8" s="13"/>
      <c r="M8" s="13"/>
      <c r="N8" s="13"/>
      <c r="O8" s="13"/>
      <c r="P8" s="13"/>
      <c r="Q8" s="13"/>
      <c r="R8" s="13"/>
    </row>
    <row r="9" spans="1:18" ht="19">
      <c r="A9" s="68" t="s">
        <v>27</v>
      </c>
      <c r="B9" s="13"/>
      <c r="C9" s="13"/>
      <c r="D9" s="13"/>
      <c r="E9" s="13"/>
      <c r="F9" s="13"/>
      <c r="G9" s="13"/>
      <c r="H9" s="13"/>
      <c r="I9" s="13"/>
      <c r="J9" s="13"/>
      <c r="K9" s="13"/>
      <c r="L9" s="13"/>
      <c r="M9" s="13"/>
      <c r="N9" s="13"/>
      <c r="O9" s="13"/>
      <c r="P9" s="13"/>
      <c r="Q9" s="13"/>
      <c r="R9" s="13"/>
    </row>
    <row r="10" spans="1:18" ht="12.75" customHeight="1">
      <c r="A10" s="68"/>
      <c r="B10" s="13"/>
      <c r="C10" s="13"/>
      <c r="D10" s="13"/>
      <c r="E10" s="13"/>
      <c r="F10" s="13"/>
      <c r="G10" s="13"/>
      <c r="H10" s="13"/>
      <c r="I10" s="13"/>
      <c r="J10" s="13"/>
      <c r="K10" s="28"/>
      <c r="L10" s="28"/>
      <c r="M10" s="28"/>
      <c r="N10" s="28"/>
      <c r="O10" s="28"/>
      <c r="P10" s="28"/>
      <c r="Q10" s="28"/>
      <c r="R10" s="28"/>
    </row>
    <row r="11" spans="1:18" ht="12.75" customHeight="1">
      <c r="A11" s="16"/>
      <c r="B11" s="14" t="s">
        <v>28</v>
      </c>
      <c r="C11" s="13"/>
      <c r="D11" s="13"/>
      <c r="E11" s="13"/>
      <c r="F11" s="13"/>
      <c r="G11" s="77"/>
      <c r="H11" s="28"/>
      <c r="I11" s="28"/>
      <c r="J11" s="28"/>
      <c r="K11" s="77"/>
      <c r="L11" s="28"/>
      <c r="M11" s="28"/>
      <c r="N11" s="28"/>
      <c r="O11" s="77"/>
      <c r="P11" s="28"/>
      <c r="Q11" s="28"/>
      <c r="R11" s="28"/>
    </row>
    <row r="12" spans="1:18" ht="54" customHeight="1">
      <c r="A12" s="136"/>
      <c r="B12" s="137" t="s">
        <v>29</v>
      </c>
      <c r="C12" s="138" t="s">
        <v>30</v>
      </c>
      <c r="D12" s="138" t="s">
        <v>31</v>
      </c>
      <c r="E12" s="139" t="s">
        <v>32</v>
      </c>
      <c r="F12" s="121"/>
      <c r="G12" s="118"/>
      <c r="H12" s="118"/>
      <c r="I12" s="118"/>
      <c r="J12" s="117"/>
      <c r="K12" s="105"/>
      <c r="L12" s="105"/>
      <c r="M12" s="105"/>
      <c r="N12" s="117"/>
      <c r="O12" s="118"/>
      <c r="P12" s="118"/>
      <c r="Q12" s="28"/>
      <c r="R12" s="28"/>
    </row>
    <row r="13" spans="1:18" ht="12.75" customHeight="1">
      <c r="A13" s="125">
        <v>1</v>
      </c>
      <c r="B13" s="126"/>
      <c r="C13" s="127"/>
      <c r="D13" s="128"/>
      <c r="E13" s="129"/>
      <c r="F13" s="13"/>
      <c r="G13" s="122"/>
      <c r="H13" s="122"/>
      <c r="I13" s="122"/>
      <c r="J13" s="28"/>
      <c r="K13" s="106"/>
      <c r="L13" s="106"/>
      <c r="M13" s="107"/>
      <c r="N13" s="28"/>
      <c r="O13" s="108"/>
      <c r="P13" s="109"/>
      <c r="Q13" s="28"/>
      <c r="R13" s="119"/>
    </row>
    <row r="14" spans="1:18" ht="12.75" customHeight="1">
      <c r="A14" s="125">
        <v>2</v>
      </c>
      <c r="B14" s="126"/>
      <c r="C14" s="127"/>
      <c r="D14" s="128"/>
      <c r="E14" s="129"/>
      <c r="F14" s="13"/>
      <c r="G14" s="122"/>
      <c r="H14" s="122"/>
      <c r="I14" s="122"/>
      <c r="J14" s="28"/>
      <c r="K14" s="106"/>
      <c r="L14" s="106"/>
      <c r="M14" s="107"/>
      <c r="N14" s="28"/>
      <c r="O14" s="109"/>
      <c r="P14" s="109"/>
      <c r="Q14" s="28"/>
      <c r="R14" s="119"/>
    </row>
    <row r="15" spans="1:18" ht="12.75" customHeight="1">
      <c r="A15" s="125">
        <v>3</v>
      </c>
      <c r="B15" s="126"/>
      <c r="C15" s="127"/>
      <c r="D15" s="130"/>
      <c r="E15" s="129"/>
      <c r="F15" s="13"/>
      <c r="G15" s="122"/>
      <c r="H15" s="122"/>
      <c r="I15" s="122"/>
      <c r="J15" s="28"/>
      <c r="K15" s="106"/>
      <c r="L15" s="106"/>
      <c r="M15" s="107"/>
      <c r="N15" s="28"/>
      <c r="O15" s="109"/>
      <c r="P15" s="109"/>
      <c r="Q15" s="28"/>
      <c r="R15" s="119"/>
    </row>
    <row r="16" spans="1:18" ht="12.75" customHeight="1">
      <c r="A16" s="125">
        <v>4</v>
      </c>
      <c r="B16" s="126"/>
      <c r="C16" s="127"/>
      <c r="D16" s="130"/>
      <c r="E16" s="129"/>
      <c r="F16" s="18"/>
      <c r="G16" s="122"/>
      <c r="H16" s="122"/>
      <c r="I16" s="122"/>
      <c r="J16" s="28"/>
      <c r="K16" s="106"/>
      <c r="L16" s="106"/>
      <c r="M16" s="107"/>
      <c r="N16" s="28"/>
      <c r="O16" s="109"/>
      <c r="P16" s="109"/>
      <c r="Q16" s="28"/>
      <c r="R16" s="119"/>
    </row>
    <row r="17" spans="1:25" ht="12.75" customHeight="1">
      <c r="A17" s="125">
        <v>5</v>
      </c>
      <c r="B17" s="126"/>
      <c r="C17" s="131"/>
      <c r="D17" s="132"/>
      <c r="E17" s="129"/>
      <c r="F17" s="18"/>
      <c r="G17" s="122"/>
      <c r="H17" s="122"/>
      <c r="I17" s="122"/>
      <c r="J17" s="28"/>
      <c r="K17" s="106"/>
      <c r="L17" s="106"/>
      <c r="M17" s="120"/>
      <c r="N17" s="28"/>
      <c r="O17" s="109"/>
      <c r="P17" s="109"/>
      <c r="Q17" s="28"/>
      <c r="R17" s="119"/>
      <c r="V17" s="4"/>
      <c r="W17" s="2"/>
      <c r="X17" s="4"/>
    </row>
    <row r="18" spans="1:25" ht="12.75" customHeight="1">
      <c r="A18" s="133">
        <v>6</v>
      </c>
      <c r="B18" s="134"/>
      <c r="C18" s="127"/>
      <c r="D18" s="130"/>
      <c r="E18" s="129"/>
      <c r="F18" s="18"/>
      <c r="G18" s="122"/>
      <c r="H18" s="122"/>
      <c r="I18" s="122"/>
      <c r="J18" s="28"/>
      <c r="K18" s="106"/>
      <c r="L18" s="106"/>
      <c r="M18" s="107"/>
      <c r="N18" s="28"/>
      <c r="O18" s="110"/>
      <c r="P18" s="111"/>
      <c r="Q18" s="28"/>
      <c r="R18" s="119"/>
      <c r="V18" s="4"/>
      <c r="W18" s="6"/>
      <c r="X18" s="4"/>
    </row>
    <row r="19" spans="1:25" ht="12.75" customHeight="1">
      <c r="A19" s="125">
        <v>7</v>
      </c>
      <c r="B19" s="126"/>
      <c r="C19" s="127"/>
      <c r="D19" s="128"/>
      <c r="E19" s="129"/>
      <c r="F19" s="18"/>
      <c r="G19" s="122"/>
      <c r="H19" s="122"/>
      <c r="I19" s="122"/>
      <c r="J19" s="28"/>
      <c r="K19" s="106"/>
      <c r="L19" s="106"/>
      <c r="M19" s="107"/>
      <c r="N19" s="28"/>
      <c r="O19" s="109"/>
      <c r="P19" s="109"/>
      <c r="Q19" s="28"/>
      <c r="R19" s="119"/>
      <c r="V19" s="4"/>
      <c r="W19" s="6"/>
      <c r="X19" s="4"/>
    </row>
    <row r="20" spans="1:25" ht="12.75" customHeight="1">
      <c r="A20" s="125">
        <v>8</v>
      </c>
      <c r="B20" s="126"/>
      <c r="C20" s="127"/>
      <c r="D20" s="132"/>
      <c r="E20" s="129"/>
      <c r="F20" s="18"/>
      <c r="G20" s="123"/>
      <c r="H20" s="123"/>
      <c r="I20" s="123"/>
      <c r="J20" s="28"/>
      <c r="K20" s="106"/>
      <c r="L20" s="106"/>
      <c r="M20" s="112"/>
      <c r="N20" s="28"/>
      <c r="O20" s="110"/>
      <c r="P20" s="110"/>
      <c r="Q20" s="28"/>
      <c r="R20" s="119"/>
      <c r="V20" s="4"/>
      <c r="W20" s="6"/>
      <c r="X20" s="4"/>
    </row>
    <row r="21" spans="1:25" ht="12.75" customHeight="1">
      <c r="A21" s="133">
        <v>9</v>
      </c>
      <c r="B21" s="134"/>
      <c r="C21" s="135"/>
      <c r="D21" s="132"/>
      <c r="E21" s="129"/>
      <c r="F21" s="18"/>
      <c r="G21" s="124"/>
      <c r="H21" s="123"/>
      <c r="I21" s="124"/>
      <c r="J21" s="28"/>
      <c r="K21" s="113"/>
      <c r="L21" s="114"/>
      <c r="M21" s="115"/>
      <c r="N21" s="28"/>
      <c r="O21" s="113"/>
      <c r="P21" s="113"/>
      <c r="Q21" s="28"/>
      <c r="R21" s="119"/>
      <c r="V21" s="4"/>
      <c r="W21" s="6"/>
      <c r="X21" s="4"/>
    </row>
    <row r="22" spans="1:25" ht="12.75" customHeight="1">
      <c r="A22" s="133">
        <v>10</v>
      </c>
      <c r="B22" s="134"/>
      <c r="C22" s="127"/>
      <c r="D22" s="132"/>
      <c r="E22" s="129"/>
      <c r="F22" s="18"/>
      <c r="G22" s="123"/>
      <c r="H22" s="123"/>
      <c r="I22" s="123"/>
      <c r="J22" s="28"/>
      <c r="K22" s="109"/>
      <c r="L22" s="110"/>
      <c r="M22" s="116"/>
      <c r="N22" s="28"/>
      <c r="O22" s="109"/>
      <c r="P22" s="109"/>
      <c r="Q22" s="28"/>
      <c r="R22" s="119"/>
      <c r="V22" s="4"/>
      <c r="W22" s="6"/>
      <c r="X22" s="4"/>
    </row>
    <row r="23" spans="1:25" ht="12.75" customHeight="1">
      <c r="A23" s="76"/>
      <c r="B23" s="77"/>
      <c r="C23" s="78"/>
      <c r="D23" s="78"/>
      <c r="E23" s="28"/>
      <c r="F23" s="28"/>
      <c r="G23" s="13"/>
      <c r="H23" s="13"/>
      <c r="I23" s="13"/>
      <c r="J23" s="13"/>
      <c r="K23" s="28"/>
      <c r="L23" s="28"/>
      <c r="M23" s="28"/>
      <c r="N23" s="28"/>
      <c r="O23" s="28"/>
      <c r="P23" s="28"/>
      <c r="Q23" s="28"/>
      <c r="R23" s="28"/>
      <c r="W23" s="4"/>
      <c r="X23" s="6"/>
      <c r="Y23" s="4"/>
    </row>
    <row r="24" spans="1:25" ht="12.75" customHeight="1">
      <c r="A24" s="76"/>
      <c r="B24" s="77"/>
      <c r="C24" s="78"/>
      <c r="D24" s="78"/>
      <c r="E24" s="28"/>
      <c r="F24" s="28"/>
      <c r="G24" s="13"/>
      <c r="H24" s="13"/>
      <c r="I24" s="13"/>
      <c r="J24" s="13"/>
      <c r="K24" s="13"/>
      <c r="L24" s="13"/>
      <c r="M24" s="13"/>
      <c r="N24" s="13"/>
      <c r="O24" s="13"/>
      <c r="P24" s="13"/>
      <c r="Q24" s="13"/>
      <c r="R24" s="49"/>
    </row>
    <row r="25" spans="1:25" ht="19">
      <c r="A25" s="79" t="s">
        <v>33</v>
      </c>
      <c r="B25" s="77"/>
      <c r="C25" s="78"/>
      <c r="D25" s="78"/>
      <c r="E25" s="28"/>
      <c r="F25" s="28"/>
      <c r="G25" s="13"/>
      <c r="H25" s="13"/>
      <c r="I25" s="13"/>
      <c r="J25" s="13"/>
      <c r="K25" s="13"/>
      <c r="L25" s="13"/>
      <c r="M25" s="13"/>
      <c r="N25" s="13"/>
      <c r="O25" s="13"/>
      <c r="P25" s="13"/>
      <c r="Q25" s="13"/>
      <c r="R25" s="49"/>
    </row>
    <row r="26" spans="1:25" ht="12.75" customHeight="1" thickBot="1">
      <c r="A26" s="16"/>
      <c r="B26" s="13"/>
      <c r="C26" s="13"/>
      <c r="D26" s="13"/>
      <c r="E26" s="13"/>
      <c r="F26" s="13"/>
      <c r="G26" s="13"/>
      <c r="H26" s="13"/>
      <c r="I26" s="13"/>
      <c r="J26" s="13"/>
      <c r="K26" s="13"/>
      <c r="L26" s="13"/>
      <c r="M26" s="13"/>
      <c r="N26" s="13"/>
      <c r="O26" s="13"/>
      <c r="P26" s="13"/>
      <c r="Q26" s="13"/>
      <c r="R26" s="13"/>
    </row>
    <row r="27" spans="1:25" ht="12.75" customHeight="1">
      <c r="A27" s="230" t="s">
        <v>1</v>
      </c>
      <c r="B27" s="80" t="s">
        <v>34</v>
      </c>
      <c r="C27" s="228" t="s">
        <v>38</v>
      </c>
      <c r="D27" s="229"/>
      <c r="E27" s="228" t="s">
        <v>39</v>
      </c>
      <c r="F27" s="229"/>
      <c r="G27" s="228" t="s">
        <v>40</v>
      </c>
      <c r="H27" s="229"/>
      <c r="I27" s="228" t="s">
        <v>41</v>
      </c>
      <c r="J27" s="229"/>
      <c r="K27" s="228" t="s">
        <v>42</v>
      </c>
      <c r="L27" s="229"/>
      <c r="M27" s="228" t="s">
        <v>43</v>
      </c>
      <c r="N27" s="229"/>
      <c r="O27" s="228" t="s">
        <v>44</v>
      </c>
      <c r="P27" s="229"/>
      <c r="Q27" s="228" t="s">
        <v>45</v>
      </c>
      <c r="R27" s="229"/>
    </row>
    <row r="28" spans="1:25" ht="12.75" customHeight="1" thickBot="1">
      <c r="A28" s="231"/>
      <c r="B28" s="81" t="s">
        <v>2</v>
      </c>
      <c r="C28" s="81" t="s">
        <v>35</v>
      </c>
      <c r="D28" s="82" t="s">
        <v>36</v>
      </c>
      <c r="E28" s="81" t="s">
        <v>35</v>
      </c>
      <c r="F28" s="82" t="s">
        <v>37</v>
      </c>
      <c r="G28" s="140" t="s">
        <v>35</v>
      </c>
      <c r="H28" s="140" t="s">
        <v>37</v>
      </c>
      <c r="I28" s="81" t="s">
        <v>35</v>
      </c>
      <c r="J28" s="82" t="s">
        <v>37</v>
      </c>
      <c r="K28" s="81" t="s">
        <v>35</v>
      </c>
      <c r="L28" s="82" t="s">
        <v>37</v>
      </c>
      <c r="M28" s="81" t="s">
        <v>35</v>
      </c>
      <c r="N28" s="82" t="s">
        <v>37</v>
      </c>
      <c r="O28" s="81" t="s">
        <v>35</v>
      </c>
      <c r="P28" s="82" t="s">
        <v>37</v>
      </c>
      <c r="Q28" s="81" t="s">
        <v>35</v>
      </c>
      <c r="R28" s="82" t="s">
        <v>37</v>
      </c>
    </row>
    <row r="29" spans="1:25" ht="12.75" customHeight="1">
      <c r="A29" s="83">
        <v>1997</v>
      </c>
      <c r="B29" s="84"/>
      <c r="C29" s="84"/>
      <c r="D29" s="85"/>
      <c r="E29" s="86"/>
      <c r="F29" s="86"/>
      <c r="G29" s="84"/>
      <c r="H29" s="85"/>
      <c r="I29" s="86"/>
      <c r="J29" s="86"/>
      <c r="K29" s="87"/>
      <c r="L29" s="85"/>
      <c r="M29" s="86"/>
      <c r="N29" s="86"/>
      <c r="O29" s="84"/>
      <c r="P29" s="86"/>
      <c r="Q29" s="88"/>
      <c r="R29" s="89"/>
    </row>
    <row r="30" spans="1:25" ht="12.75" customHeight="1">
      <c r="A30" s="90">
        <v>1998</v>
      </c>
      <c r="B30" s="91">
        <v>1.1299999999999999E-2</v>
      </c>
      <c r="C30" s="92"/>
      <c r="D30" s="93"/>
      <c r="E30" s="94"/>
      <c r="F30" s="95"/>
      <c r="G30" s="92"/>
      <c r="H30" s="93"/>
      <c r="I30" s="95"/>
      <c r="J30" s="95"/>
      <c r="K30" s="92"/>
      <c r="L30" s="93"/>
      <c r="M30" s="95"/>
      <c r="N30" s="95"/>
      <c r="O30" s="92"/>
      <c r="P30" s="95"/>
      <c r="Q30" s="96"/>
      <c r="R30" s="97"/>
    </row>
    <row r="31" spans="1:25" ht="12.75" customHeight="1">
      <c r="A31" s="90">
        <v>1999</v>
      </c>
      <c r="B31" s="91">
        <v>1.47E-2</v>
      </c>
      <c r="C31" s="92"/>
      <c r="D31" s="93"/>
      <c r="E31" s="94"/>
      <c r="F31" s="95"/>
      <c r="G31" s="92"/>
      <c r="H31" s="93"/>
      <c r="I31" s="95"/>
      <c r="J31" s="95"/>
      <c r="K31" s="92"/>
      <c r="L31" s="93"/>
      <c r="M31" s="95"/>
      <c r="N31" s="95"/>
      <c r="O31" s="92"/>
      <c r="P31" s="95"/>
      <c r="Q31" s="96"/>
      <c r="R31" s="97"/>
    </row>
    <row r="32" spans="1:25" ht="12.75" customHeight="1">
      <c r="A32" s="90">
        <v>2000</v>
      </c>
      <c r="B32" s="91">
        <v>2.1600000000000001E-2</v>
      </c>
      <c r="C32" s="92"/>
      <c r="D32" s="93"/>
      <c r="E32" s="94"/>
      <c r="F32" s="95"/>
      <c r="G32" s="92"/>
      <c r="H32" s="93"/>
      <c r="I32" s="95"/>
      <c r="J32" s="95"/>
      <c r="K32" s="92"/>
      <c r="L32" s="93"/>
      <c r="M32" s="95"/>
      <c r="N32" s="95"/>
      <c r="O32" s="92"/>
      <c r="P32" s="95"/>
      <c r="Q32" s="96"/>
      <c r="R32" s="97"/>
    </row>
    <row r="33" spans="1:18" ht="12.75" customHeight="1">
      <c r="A33" s="90">
        <v>2001</v>
      </c>
      <c r="B33" s="91">
        <v>2.2700000000000001E-2</v>
      </c>
      <c r="C33" s="92"/>
      <c r="D33" s="93"/>
      <c r="E33" s="94"/>
      <c r="F33" s="95"/>
      <c r="G33" s="92"/>
      <c r="H33" s="93"/>
      <c r="I33" s="94"/>
      <c r="J33" s="95"/>
      <c r="K33" s="92"/>
      <c r="L33" s="93"/>
      <c r="M33" s="94"/>
      <c r="N33" s="95"/>
      <c r="O33" s="92"/>
      <c r="P33" s="95"/>
      <c r="Q33" s="96"/>
      <c r="R33" s="97"/>
    </row>
    <row r="34" spans="1:18" ht="12.75" customHeight="1">
      <c r="A34" s="90">
        <v>2002</v>
      </c>
      <c r="B34" s="91">
        <v>1.6199999999999999E-2</v>
      </c>
      <c r="C34" s="92"/>
      <c r="D34" s="93"/>
      <c r="E34" s="94"/>
      <c r="F34" s="94"/>
      <c r="G34" s="92"/>
      <c r="H34" s="93"/>
      <c r="I34" s="94"/>
      <c r="J34" s="94"/>
      <c r="K34" s="92"/>
      <c r="L34" s="93"/>
      <c r="M34" s="94"/>
      <c r="N34" s="94"/>
      <c r="O34" s="92"/>
      <c r="P34" s="95"/>
      <c r="Q34" s="96"/>
      <c r="R34" s="97"/>
    </row>
    <row r="35" spans="1:18" ht="12.75" customHeight="1">
      <c r="A35" s="90">
        <v>2003</v>
      </c>
      <c r="B35" s="91">
        <v>2.1600000000000001E-2</v>
      </c>
      <c r="C35" s="92"/>
      <c r="D35" s="93"/>
      <c r="E35" s="94"/>
      <c r="F35" s="94"/>
      <c r="G35" s="92"/>
      <c r="H35" s="93"/>
      <c r="I35" s="94"/>
      <c r="J35" s="94"/>
      <c r="K35" s="92"/>
      <c r="L35" s="93"/>
      <c r="M35" s="94"/>
      <c r="N35" s="94"/>
      <c r="O35" s="92"/>
      <c r="P35" s="95"/>
      <c r="Q35" s="96"/>
      <c r="R35" s="97"/>
    </row>
    <row r="36" spans="1:18" ht="12.75" customHeight="1">
      <c r="A36" s="90">
        <v>2004</v>
      </c>
      <c r="B36" s="91">
        <v>2.8299999999999999E-2</v>
      </c>
      <c r="C36" s="92"/>
      <c r="D36" s="93"/>
      <c r="E36" s="94"/>
      <c r="F36" s="94"/>
      <c r="G36" s="92"/>
      <c r="H36" s="93"/>
      <c r="I36" s="94"/>
      <c r="J36" s="94"/>
      <c r="K36" s="92"/>
      <c r="L36" s="93"/>
      <c r="M36" s="94"/>
      <c r="N36" s="94"/>
      <c r="O36" s="92"/>
      <c r="P36" s="95"/>
      <c r="Q36" s="96"/>
      <c r="R36" s="97"/>
    </row>
    <row r="37" spans="1:18" ht="12.75" customHeight="1">
      <c r="A37" s="90">
        <v>2005</v>
      </c>
      <c r="B37" s="91">
        <v>3.3300000000000003E-2</v>
      </c>
      <c r="C37" s="92"/>
      <c r="D37" s="93"/>
      <c r="E37" s="94"/>
      <c r="F37" s="94"/>
      <c r="G37" s="92"/>
      <c r="H37" s="93"/>
      <c r="I37" s="94"/>
      <c r="J37" s="94"/>
      <c r="K37" s="92"/>
      <c r="L37" s="93"/>
      <c r="M37" s="94"/>
      <c r="N37" s="94"/>
      <c r="O37" s="92"/>
      <c r="P37" s="95"/>
      <c r="Q37" s="96"/>
      <c r="R37" s="97"/>
    </row>
    <row r="38" spans="1:18" ht="12.75" customHeight="1">
      <c r="A38" s="90">
        <v>2006</v>
      </c>
      <c r="B38" s="91">
        <v>3.2500000000000001E-2</v>
      </c>
      <c r="C38" s="92"/>
      <c r="D38" s="93"/>
      <c r="E38" s="94"/>
      <c r="F38" s="94"/>
      <c r="G38" s="92"/>
      <c r="H38" s="93"/>
      <c r="I38" s="94"/>
      <c r="J38" s="94"/>
      <c r="K38" s="92"/>
      <c r="L38" s="93"/>
      <c r="M38" s="94"/>
      <c r="N38" s="94"/>
      <c r="O38" s="92"/>
      <c r="P38" s="95"/>
      <c r="Q38" s="96"/>
      <c r="R38" s="97"/>
    </row>
    <row r="39" spans="1:18" ht="12.75" customHeight="1">
      <c r="A39" s="90">
        <v>2007</v>
      </c>
      <c r="B39" s="91">
        <v>3.4299999999999997E-2</v>
      </c>
      <c r="C39" s="92"/>
      <c r="D39" s="93"/>
      <c r="E39" s="94"/>
      <c r="F39" s="94"/>
      <c r="G39" s="92"/>
      <c r="H39" s="93"/>
      <c r="I39" s="94"/>
      <c r="J39" s="94"/>
      <c r="K39" s="92"/>
      <c r="L39" s="93"/>
      <c r="M39" s="94"/>
      <c r="N39" s="94"/>
      <c r="O39" s="92"/>
      <c r="P39" s="95"/>
      <c r="Q39" s="96"/>
      <c r="R39" s="97"/>
    </row>
    <row r="40" spans="1:18" ht="12.75" customHeight="1">
      <c r="A40" s="90">
        <v>2008</v>
      </c>
      <c r="B40" s="91">
        <v>2.1899999999999999E-2</v>
      </c>
      <c r="C40" s="92"/>
      <c r="D40" s="93"/>
      <c r="E40" s="94"/>
      <c r="F40" s="94"/>
      <c r="G40" s="92"/>
      <c r="H40" s="93"/>
      <c r="I40" s="94"/>
      <c r="J40" s="94"/>
      <c r="K40" s="92"/>
      <c r="L40" s="93"/>
      <c r="M40" s="94"/>
      <c r="N40" s="94"/>
      <c r="O40" s="92"/>
      <c r="P40" s="95"/>
      <c r="Q40" s="96"/>
      <c r="R40" s="97"/>
    </row>
    <row r="41" spans="1:18" ht="12.75" customHeight="1">
      <c r="A41" s="90">
        <v>2009</v>
      </c>
      <c r="B41" s="91">
        <v>9.1999999999999998E-3</v>
      </c>
      <c r="C41" s="92"/>
      <c r="D41" s="93"/>
      <c r="E41" s="95"/>
      <c r="F41" s="94"/>
      <c r="G41" s="92"/>
      <c r="H41" s="93"/>
      <c r="I41" s="94"/>
      <c r="J41" s="94"/>
      <c r="K41" s="92"/>
      <c r="L41" s="93"/>
      <c r="M41" s="94"/>
      <c r="N41" s="94"/>
      <c r="O41" s="92"/>
      <c r="P41" s="95"/>
      <c r="Q41" s="96"/>
      <c r="R41" s="97"/>
    </row>
    <row r="42" spans="1:18" ht="12.75" customHeight="1" thickBot="1">
      <c r="A42" s="98">
        <v>2010</v>
      </c>
      <c r="B42" s="99"/>
      <c r="C42" s="100"/>
      <c r="D42" s="101"/>
      <c r="E42" s="102"/>
      <c r="F42" s="102"/>
      <c r="G42" s="100"/>
      <c r="H42" s="101"/>
      <c r="I42" s="102"/>
      <c r="J42" s="102"/>
      <c r="K42" s="100"/>
      <c r="L42" s="101"/>
      <c r="M42" s="102"/>
      <c r="N42" s="102"/>
      <c r="O42" s="100"/>
      <c r="P42" s="102"/>
      <c r="Q42" s="103"/>
      <c r="R42" s="104"/>
    </row>
    <row r="43" spans="1:18">
      <c r="A43" s="7"/>
      <c r="B43" s="4"/>
      <c r="C43" s="4"/>
      <c r="D43" s="4"/>
      <c r="E43" s="4"/>
      <c r="F43" s="4"/>
      <c r="G43" s="4"/>
      <c r="H43" s="4"/>
      <c r="I43" s="4"/>
      <c r="J43" s="4"/>
      <c r="K43" s="4"/>
      <c r="L43" s="4"/>
      <c r="M43" s="4"/>
    </row>
    <row r="44" spans="1:18">
      <c r="A44" s="7"/>
      <c r="B44" s="4"/>
      <c r="C44" s="4"/>
      <c r="D44" s="4"/>
      <c r="E44" s="4"/>
      <c r="F44" s="4"/>
      <c r="G44" s="4"/>
      <c r="H44" s="4"/>
      <c r="I44" s="4"/>
      <c r="J44" s="4"/>
      <c r="K44" s="4"/>
      <c r="L44" s="4"/>
      <c r="M44" s="4"/>
    </row>
    <row r="45" spans="1:18">
      <c r="A45" s="7"/>
      <c r="B45" s="4"/>
      <c r="C45" s="4"/>
      <c r="D45" s="4"/>
      <c r="E45" s="4"/>
      <c r="F45" s="4"/>
      <c r="G45" s="4"/>
      <c r="H45" s="4"/>
      <c r="I45" s="4"/>
      <c r="J45" s="4"/>
      <c r="K45" s="4"/>
      <c r="L45" s="4"/>
      <c r="M45" s="4"/>
    </row>
  </sheetData>
  <mergeCells count="9">
    <mergeCell ref="M27:N27"/>
    <mergeCell ref="O27:P27"/>
    <mergeCell ref="Q27:R27"/>
    <mergeCell ref="A27:A28"/>
    <mergeCell ref="C27:D27"/>
    <mergeCell ref="E27:F27"/>
    <mergeCell ref="G27:H27"/>
    <mergeCell ref="I27:J27"/>
    <mergeCell ref="K27:L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V103"/>
  <sheetViews>
    <sheetView topLeftCell="A28" workbookViewId="0">
      <selection activeCell="B43" sqref="B43"/>
    </sheetView>
  </sheetViews>
  <sheetFormatPr baseColWidth="10" defaultColWidth="8.83203125" defaultRowHeight="14"/>
  <cols>
    <col min="1" max="1" width="39.83203125" style="13" customWidth="1"/>
    <col min="2" max="2" width="11.1640625" style="16" customWidth="1"/>
    <col min="3" max="3" width="8.5" style="16" customWidth="1"/>
    <col min="4" max="5" width="9.6640625" style="16" customWidth="1"/>
    <col min="6" max="10" width="11.6640625" style="16" customWidth="1"/>
    <col min="11" max="11" width="7.6640625" style="16" customWidth="1"/>
    <col min="12" max="12" width="30.5" style="13" customWidth="1"/>
    <col min="13" max="13" width="9.83203125" style="13" bestFit="1" customWidth="1"/>
    <col min="14" max="15" width="8.83203125" style="13"/>
    <col min="16" max="16" width="27.5" style="13" customWidth="1"/>
    <col min="17" max="17" width="10.33203125" style="13" customWidth="1"/>
    <col min="18" max="19" width="8.83203125" style="13"/>
    <col min="20" max="20" width="26.83203125" style="13" customWidth="1"/>
    <col min="21" max="21" width="11.6640625" style="13" customWidth="1"/>
    <col min="22" max="22" width="11.83203125" style="13" customWidth="1"/>
    <col min="23" max="16384" width="8.83203125" style="13"/>
  </cols>
  <sheetData>
    <row r="1" spans="1:22" ht="12.75" customHeight="1">
      <c r="A1" s="40" t="s">
        <v>4</v>
      </c>
      <c r="B1" s="50" t="s">
        <v>712</v>
      </c>
      <c r="C1" s="38"/>
      <c r="D1" s="38"/>
      <c r="E1" s="38"/>
      <c r="F1" s="39"/>
      <c r="G1" s="39"/>
      <c r="H1" s="39"/>
      <c r="I1" s="51"/>
      <c r="K1" s="12"/>
    </row>
    <row r="2" spans="1:22" ht="12.75" customHeight="1">
      <c r="A2" s="52" t="s">
        <v>5</v>
      </c>
      <c r="B2" s="43" t="s">
        <v>713</v>
      </c>
      <c r="C2" s="171"/>
      <c r="D2" s="171"/>
      <c r="E2" s="171"/>
      <c r="F2" s="171"/>
      <c r="G2" s="171"/>
      <c r="H2" s="171"/>
      <c r="I2" s="53"/>
    </row>
    <row r="3" spans="1:22" ht="12.75" customHeight="1">
      <c r="A3" s="52" t="s">
        <v>6</v>
      </c>
      <c r="B3" s="54"/>
      <c r="C3" s="55"/>
      <c r="D3" s="171"/>
      <c r="E3" s="171"/>
      <c r="F3" s="171"/>
      <c r="G3" s="171"/>
      <c r="H3" s="171"/>
      <c r="I3" s="53"/>
    </row>
    <row r="4" spans="1:22" ht="12.75" customHeight="1">
      <c r="A4" s="52" t="s">
        <v>7</v>
      </c>
      <c r="B4" s="43" t="s">
        <v>714</v>
      </c>
      <c r="C4" s="171"/>
      <c r="D4" s="171"/>
      <c r="E4" s="171"/>
      <c r="F4" s="171"/>
      <c r="G4" s="171"/>
      <c r="H4" s="171"/>
      <c r="I4" s="53"/>
    </row>
    <row r="5" spans="1:22" ht="12.75" customHeight="1">
      <c r="A5" s="52" t="s">
        <v>8</v>
      </c>
      <c r="B5" s="61">
        <v>2016</v>
      </c>
      <c r="C5" s="56"/>
      <c r="D5" s="171"/>
      <c r="E5" s="171"/>
      <c r="F5" s="171"/>
      <c r="G5" s="171"/>
      <c r="H5" s="171"/>
      <c r="I5" s="53"/>
    </row>
    <row r="6" spans="1:22" ht="12.75" customHeight="1">
      <c r="A6" s="52" t="s">
        <v>19</v>
      </c>
      <c r="B6" s="43">
        <v>2018</v>
      </c>
      <c r="C6" s="56"/>
      <c r="D6" s="171"/>
      <c r="E6" s="171"/>
      <c r="F6" s="171"/>
      <c r="G6" s="171"/>
      <c r="H6" s="171"/>
      <c r="I6" s="53"/>
      <c r="K6" s="12"/>
    </row>
    <row r="7" spans="1:22" ht="12.75" customHeight="1" thickBot="1">
      <c r="A7" s="57" t="s">
        <v>24</v>
      </c>
      <c r="B7" s="47" t="s">
        <v>715</v>
      </c>
      <c r="C7" s="58"/>
      <c r="D7" s="59"/>
      <c r="E7" s="59"/>
      <c r="F7" s="59"/>
      <c r="G7" s="59"/>
      <c r="H7" s="59"/>
      <c r="I7" s="60"/>
      <c r="K7" s="12"/>
    </row>
    <row r="8" spans="1:22" ht="12.75" customHeight="1">
      <c r="A8" s="14"/>
      <c r="G8" s="12"/>
      <c r="H8" s="12"/>
      <c r="I8" s="12"/>
      <c r="J8" s="12"/>
      <c r="K8" s="18"/>
    </row>
    <row r="9" spans="1:22" ht="12.75" customHeight="1">
      <c r="A9" s="10" t="s">
        <v>9</v>
      </c>
      <c r="B9" s="11" t="s">
        <v>10</v>
      </c>
      <c r="C9" s="11" t="s">
        <v>11</v>
      </c>
      <c r="F9" s="10" t="s">
        <v>694</v>
      </c>
      <c r="G9" s="11" t="s">
        <v>10</v>
      </c>
      <c r="H9" s="11" t="s">
        <v>11</v>
      </c>
      <c r="I9" s="17"/>
      <c r="K9" s="18"/>
      <c r="L9" s="10" t="s">
        <v>648</v>
      </c>
      <c r="M9" s="11" t="s">
        <v>10</v>
      </c>
      <c r="N9" s="11" t="s">
        <v>11</v>
      </c>
      <c r="P9" s="10" t="s">
        <v>729</v>
      </c>
      <c r="Q9" s="11" t="s">
        <v>10</v>
      </c>
      <c r="R9" s="11" t="s">
        <v>11</v>
      </c>
      <c r="T9" s="10" t="s">
        <v>742</v>
      </c>
      <c r="U9" s="11" t="s">
        <v>10</v>
      </c>
      <c r="V9" s="11" t="s">
        <v>11</v>
      </c>
    </row>
    <row r="10" spans="1:22" ht="12.75" customHeight="1">
      <c r="A10" s="18" t="s">
        <v>12</v>
      </c>
      <c r="B10" s="12">
        <v>15</v>
      </c>
      <c r="C10" s="12" t="s">
        <v>711</v>
      </c>
      <c r="D10" s="12"/>
      <c r="E10" s="12"/>
      <c r="F10" s="13" t="s">
        <v>660</v>
      </c>
      <c r="G10" s="16">
        <v>125</v>
      </c>
      <c r="H10" s="16" t="s">
        <v>655</v>
      </c>
      <c r="I10" s="12"/>
      <c r="K10" s="18"/>
      <c r="L10" s="13" t="s">
        <v>651</v>
      </c>
      <c r="M10" s="16">
        <v>426</v>
      </c>
      <c r="N10" s="16" t="s">
        <v>700</v>
      </c>
      <c r="P10" s="13" t="s">
        <v>719</v>
      </c>
      <c r="Q10" s="16">
        <f>50000+40000</f>
        <v>90000</v>
      </c>
      <c r="R10" s="16" t="s">
        <v>655</v>
      </c>
      <c r="T10" s="13" t="s">
        <v>743</v>
      </c>
      <c r="U10" s="16">
        <v>100</v>
      </c>
      <c r="V10" s="16" t="s">
        <v>655</v>
      </c>
    </row>
    <row r="11" spans="1:22" ht="12.75" customHeight="1">
      <c r="A11" s="18" t="s">
        <v>797</v>
      </c>
      <c r="B11" s="12">
        <v>12</v>
      </c>
      <c r="C11" s="12" t="s">
        <v>711</v>
      </c>
      <c r="D11" s="12"/>
      <c r="E11" s="12"/>
      <c r="F11" s="13" t="s">
        <v>645</v>
      </c>
      <c r="G11" s="16">
        <v>7534</v>
      </c>
      <c r="H11" s="16" t="s">
        <v>655</v>
      </c>
      <c r="I11" s="12"/>
      <c r="K11" s="18"/>
      <c r="L11" s="13" t="s">
        <v>649</v>
      </c>
      <c r="M11" s="16">
        <v>133</v>
      </c>
      <c r="N11" s="16" t="s">
        <v>700</v>
      </c>
      <c r="P11" s="13" t="s">
        <v>720</v>
      </c>
      <c r="Q11" s="16">
        <v>184011</v>
      </c>
      <c r="R11" s="16" t="s">
        <v>655</v>
      </c>
      <c r="T11" s="13" t="s">
        <v>744</v>
      </c>
      <c r="U11" s="16">
        <v>150</v>
      </c>
      <c r="V11" s="16" t="s">
        <v>655</v>
      </c>
    </row>
    <row r="12" spans="1:22" ht="12.75" customHeight="1">
      <c r="A12" s="13" t="s">
        <v>798</v>
      </c>
      <c r="B12" s="16">
        <f>B10-B11</f>
        <v>3</v>
      </c>
      <c r="C12" s="12" t="s">
        <v>711</v>
      </c>
      <c r="D12" s="12"/>
      <c r="E12" s="12"/>
      <c r="F12" s="13" t="s">
        <v>664</v>
      </c>
      <c r="G12" s="16">
        <v>15900</v>
      </c>
      <c r="H12" s="16" t="s">
        <v>655</v>
      </c>
      <c r="I12" s="12"/>
      <c r="K12" s="18"/>
      <c r="L12" s="13" t="s">
        <v>657</v>
      </c>
      <c r="M12" s="16">
        <v>72</v>
      </c>
      <c r="N12" s="16" t="s">
        <v>700</v>
      </c>
      <c r="P12" s="13" t="s">
        <v>767</v>
      </c>
      <c r="Q12" s="16">
        <v>100200</v>
      </c>
      <c r="R12" s="16" t="s">
        <v>655</v>
      </c>
      <c r="T12" s="13" t="s">
        <v>745</v>
      </c>
      <c r="U12" s="16">
        <v>75</v>
      </c>
      <c r="V12" s="16" t="s">
        <v>655</v>
      </c>
    </row>
    <row r="13" spans="1:22" ht="12.75" customHeight="1">
      <c r="A13" s="13" t="s">
        <v>799</v>
      </c>
      <c r="B13" s="26">
        <f>B11/B10</f>
        <v>0.8</v>
      </c>
      <c r="C13" s="16" t="s">
        <v>788</v>
      </c>
      <c r="D13" s="12"/>
      <c r="E13" s="12"/>
      <c r="F13" s="13" t="s">
        <v>666</v>
      </c>
      <c r="G13" s="177">
        <v>5899.98</v>
      </c>
      <c r="H13" s="16" t="s">
        <v>655</v>
      </c>
      <c r="I13" s="12"/>
      <c r="J13" s="12"/>
      <c r="K13" s="18"/>
      <c r="L13" s="13" t="s">
        <v>650</v>
      </c>
      <c r="M13" s="177">
        <v>57.868299999999998</v>
      </c>
      <c r="N13" s="16" t="s">
        <v>700</v>
      </c>
      <c r="P13" s="13" t="s">
        <v>722</v>
      </c>
      <c r="Q13" s="16">
        <v>800</v>
      </c>
      <c r="R13" s="16" t="s">
        <v>655</v>
      </c>
      <c r="T13" s="13" t="s">
        <v>746</v>
      </c>
      <c r="U13" s="16">
        <v>3.25</v>
      </c>
      <c r="V13" s="16" t="s">
        <v>655</v>
      </c>
    </row>
    <row r="14" spans="1:22" ht="12.75" customHeight="1">
      <c r="A14" s="13" t="s">
        <v>874</v>
      </c>
      <c r="B14" s="194">
        <f>1-B13</f>
        <v>0.19999999999999996</v>
      </c>
      <c r="C14" s="16" t="s">
        <v>788</v>
      </c>
      <c r="D14" s="12"/>
      <c r="E14" s="12"/>
      <c r="F14" s="13" t="s">
        <v>773</v>
      </c>
      <c r="G14" s="16">
        <f>5100+16900</f>
        <v>22000</v>
      </c>
      <c r="H14" s="16" t="s">
        <v>655</v>
      </c>
      <c r="I14" s="12"/>
      <c r="J14" s="12"/>
      <c r="L14" s="13" t="s">
        <v>652</v>
      </c>
      <c r="M14" s="16">
        <v>350</v>
      </c>
      <c r="N14" s="16" t="s">
        <v>655</v>
      </c>
      <c r="P14" s="13" t="s">
        <v>723</v>
      </c>
      <c r="Q14" s="16">
        <v>300</v>
      </c>
      <c r="R14" s="16" t="s">
        <v>655</v>
      </c>
      <c r="T14" s="13" t="s">
        <v>747</v>
      </c>
      <c r="U14" s="16">
        <v>137.15</v>
      </c>
      <c r="V14" s="16" t="s">
        <v>655</v>
      </c>
    </row>
    <row r="15" spans="1:22" ht="12.75" customHeight="1">
      <c r="A15" s="18" t="s">
        <v>0</v>
      </c>
      <c r="B15" s="20">
        <f>Comparisons!C6</f>
        <v>0.1</v>
      </c>
      <c r="C15" s="12" t="s">
        <v>788</v>
      </c>
      <c r="D15" s="12"/>
      <c r="E15" s="12"/>
      <c r="F15" s="13" t="s">
        <v>661</v>
      </c>
      <c r="G15" s="16">
        <v>1800</v>
      </c>
      <c r="H15" s="16" t="s">
        <v>655</v>
      </c>
      <c r="I15" s="12"/>
      <c r="J15" s="22"/>
      <c r="L15" s="13" t="s">
        <v>653</v>
      </c>
      <c r="M15" s="16">
        <v>525</v>
      </c>
      <c r="N15" s="16" t="s">
        <v>655</v>
      </c>
      <c r="P15" s="13" t="s">
        <v>724</v>
      </c>
      <c r="Q15" s="16">
        <f>70+1+1+2</f>
        <v>74</v>
      </c>
      <c r="R15" s="16" t="s">
        <v>768</v>
      </c>
      <c r="T15" s="13" t="s">
        <v>748</v>
      </c>
      <c r="U15" s="16">
        <v>32.5</v>
      </c>
      <c r="V15" s="16" t="s">
        <v>655</v>
      </c>
    </row>
    <row r="16" spans="1:22" s="27" customFormat="1" ht="12.75" customHeight="1">
      <c r="A16" s="18" t="s">
        <v>800</v>
      </c>
      <c r="B16" s="25">
        <v>67.194999999999993</v>
      </c>
      <c r="C16" s="12" t="s">
        <v>23</v>
      </c>
      <c r="D16" s="12"/>
      <c r="E16" s="12"/>
      <c r="F16" s="13" t="s">
        <v>663</v>
      </c>
      <c r="G16" s="177">
        <v>14231.98</v>
      </c>
      <c r="H16" s="16" t="s">
        <v>655</v>
      </c>
      <c r="I16" s="12"/>
      <c r="J16" s="22"/>
      <c r="K16" s="9"/>
      <c r="L16" s="13" t="s">
        <v>656</v>
      </c>
      <c r="M16" s="27">
        <v>600</v>
      </c>
      <c r="N16" s="16" t="s">
        <v>655</v>
      </c>
      <c r="P16" s="13" t="s">
        <v>725</v>
      </c>
      <c r="Q16" s="16">
        <v>7</v>
      </c>
      <c r="R16" s="16" t="s">
        <v>768</v>
      </c>
      <c r="T16" s="175" t="s">
        <v>749</v>
      </c>
      <c r="U16" s="27">
        <v>1.95</v>
      </c>
      <c r="V16" s="16" t="s">
        <v>655</v>
      </c>
    </row>
    <row r="17" spans="1:22" ht="12.75" customHeight="1">
      <c r="A17" s="18" t="s">
        <v>717</v>
      </c>
      <c r="B17" s="25">
        <v>65.122</v>
      </c>
      <c r="C17" s="12" t="s">
        <v>23</v>
      </c>
      <c r="D17" s="12"/>
      <c r="E17" s="12"/>
      <c r="F17" s="13" t="s">
        <v>662</v>
      </c>
      <c r="G17" s="177">
        <f>2263.63*22</f>
        <v>49799.86</v>
      </c>
      <c r="H17" s="16" t="s">
        <v>655</v>
      </c>
      <c r="I17" s="12"/>
      <c r="J17" s="22"/>
      <c r="K17" s="172"/>
      <c r="L17" s="13" t="s">
        <v>654</v>
      </c>
      <c r="M17" s="177">
        <v>896</v>
      </c>
      <c r="N17" s="16" t="s">
        <v>655</v>
      </c>
      <c r="P17" s="13" t="s">
        <v>726</v>
      </c>
      <c r="Q17" s="16">
        <f>1600*(2+5)</f>
        <v>11200</v>
      </c>
      <c r="R17" s="16" t="s">
        <v>655</v>
      </c>
      <c r="T17" s="175" t="s">
        <v>750</v>
      </c>
      <c r="U17" s="16">
        <v>1.95</v>
      </c>
      <c r="V17" s="16" t="s">
        <v>655</v>
      </c>
    </row>
    <row r="18" spans="1:22" ht="12.75" customHeight="1">
      <c r="A18" s="18" t="s">
        <v>796</v>
      </c>
      <c r="B18" s="25">
        <v>68.388999999999996</v>
      </c>
      <c r="C18" s="12" t="s">
        <v>23</v>
      </c>
      <c r="D18" s="12"/>
      <c r="E18" s="12"/>
      <c r="F18" s="178" t="s">
        <v>687</v>
      </c>
      <c r="G18" s="179">
        <v>1</v>
      </c>
      <c r="H18" s="179" t="s">
        <v>702</v>
      </c>
      <c r="I18" s="12"/>
      <c r="J18" s="22"/>
      <c r="K18" s="172"/>
      <c r="L18" s="13" t="s">
        <v>658</v>
      </c>
      <c r="M18" s="16">
        <v>94900</v>
      </c>
      <c r="N18" s="16" t="s">
        <v>655</v>
      </c>
      <c r="T18" s="175" t="s">
        <v>751</v>
      </c>
      <c r="U18" s="16">
        <v>2.6</v>
      </c>
      <c r="V18" s="16" t="s">
        <v>655</v>
      </c>
    </row>
    <row r="19" spans="1:22" ht="12.75" customHeight="1">
      <c r="A19" s="13" t="s">
        <v>718</v>
      </c>
      <c r="B19" s="16">
        <v>2360</v>
      </c>
      <c r="C19" s="16" t="s">
        <v>716</v>
      </c>
      <c r="D19" s="12"/>
      <c r="E19" s="12"/>
      <c r="F19" s="178" t="s">
        <v>688</v>
      </c>
      <c r="G19" s="179">
        <v>24</v>
      </c>
      <c r="H19" s="179" t="s">
        <v>702</v>
      </c>
      <c r="I19" s="12"/>
      <c r="J19" s="22"/>
      <c r="K19" s="172"/>
      <c r="L19" s="13" t="s">
        <v>761</v>
      </c>
      <c r="M19" s="16">
        <v>1500</v>
      </c>
      <c r="N19" s="16" t="s">
        <v>655</v>
      </c>
      <c r="T19" s="13" t="s">
        <v>752</v>
      </c>
      <c r="U19" s="12">
        <v>24163</v>
      </c>
      <c r="V19" s="16" t="s">
        <v>759</v>
      </c>
    </row>
    <row r="20" spans="1:22" ht="12.75" customHeight="1">
      <c r="A20" s="13" t="s">
        <v>793</v>
      </c>
      <c r="B20" s="16">
        <v>1397</v>
      </c>
      <c r="C20" s="16" t="s">
        <v>794</v>
      </c>
      <c r="D20" s="12"/>
      <c r="E20" s="12"/>
      <c r="F20" s="13" t="s">
        <v>667</v>
      </c>
      <c r="G20" s="16">
        <f>20526+42000+1400</f>
        <v>63926</v>
      </c>
      <c r="H20" s="16" t="s">
        <v>655</v>
      </c>
      <c r="I20" s="12"/>
      <c r="J20" s="22"/>
      <c r="N20" s="16"/>
      <c r="T20" s="13" t="s">
        <v>753</v>
      </c>
      <c r="U20" s="12">
        <f>54873+52103+49026</f>
        <v>156002</v>
      </c>
      <c r="V20" s="16" t="s">
        <v>759</v>
      </c>
    </row>
    <row r="21" spans="1:22" ht="12.75" customHeight="1">
      <c r="A21" s="13" t="s">
        <v>802</v>
      </c>
      <c r="B21" s="192">
        <v>1.7999999999999999E-2</v>
      </c>
      <c r="C21" s="16" t="s">
        <v>788</v>
      </c>
      <c r="D21" s="12"/>
      <c r="E21" s="12"/>
      <c r="F21" s="13" t="s">
        <v>668</v>
      </c>
      <c r="G21" s="16">
        <v>20934</v>
      </c>
      <c r="H21" s="16" t="s">
        <v>655</v>
      </c>
      <c r="I21" s="12"/>
      <c r="J21" s="22"/>
      <c r="K21" s="172"/>
      <c r="L21" s="10" t="s">
        <v>727</v>
      </c>
      <c r="M21" s="11" t="s">
        <v>10</v>
      </c>
      <c r="N21" s="11" t="s">
        <v>11</v>
      </c>
      <c r="P21" s="10" t="s">
        <v>732</v>
      </c>
      <c r="Q21" s="11" t="s">
        <v>10</v>
      </c>
      <c r="R21" s="11" t="s">
        <v>11</v>
      </c>
      <c r="T21" s="13" t="s">
        <v>754</v>
      </c>
      <c r="U21" s="12">
        <v>49439</v>
      </c>
      <c r="V21" s="16" t="s">
        <v>759</v>
      </c>
    </row>
    <row r="22" spans="1:22" ht="12.75" customHeight="1">
      <c r="A22" s="13" t="s">
        <v>801</v>
      </c>
      <c r="B22" s="192">
        <v>2.1999999999999999E-2</v>
      </c>
      <c r="C22" s="16" t="s">
        <v>788</v>
      </c>
      <c r="D22" s="12"/>
      <c r="E22" s="12"/>
      <c r="F22" s="13" t="s">
        <v>669</v>
      </c>
      <c r="G22" s="16">
        <f>7458.66666666666*6</f>
        <v>44751.999999999956</v>
      </c>
      <c r="H22" s="16" t="s">
        <v>655</v>
      </c>
      <c r="I22" s="12"/>
      <c r="J22" s="22"/>
      <c r="K22" s="172"/>
      <c r="L22" s="13" t="s">
        <v>689</v>
      </c>
      <c r="M22" s="16">
        <f>7850+255+125</f>
        <v>8230</v>
      </c>
      <c r="N22" s="16" t="s">
        <v>655</v>
      </c>
      <c r="P22" s="13" t="s">
        <v>730</v>
      </c>
      <c r="Q22" s="16">
        <v>2026700</v>
      </c>
      <c r="R22" s="16" t="s">
        <v>655</v>
      </c>
      <c r="T22" s="13" t="s">
        <v>755</v>
      </c>
      <c r="U22" s="12">
        <v>13535</v>
      </c>
      <c r="V22" s="16" t="s">
        <v>758</v>
      </c>
    </row>
    <row r="23" spans="1:22" ht="12.75" customHeight="1">
      <c r="A23" s="13" t="s">
        <v>880</v>
      </c>
      <c r="B23" s="196">
        <f>AVERAGE(B21:B22)</f>
        <v>1.9999999999999997E-2</v>
      </c>
      <c r="C23" s="16" t="s">
        <v>788</v>
      </c>
      <c r="D23" s="12"/>
      <c r="E23" s="12"/>
      <c r="F23" s="13" t="s">
        <v>670</v>
      </c>
      <c r="G23" s="12">
        <f>8400+12000</f>
        <v>20400</v>
      </c>
      <c r="H23" s="16" t="s">
        <v>655</v>
      </c>
      <c r="I23" s="12"/>
      <c r="J23" s="22"/>
      <c r="K23" s="172"/>
      <c r="L23" s="13" t="s">
        <v>691</v>
      </c>
      <c r="M23" s="16">
        <v>175</v>
      </c>
      <c r="N23" s="16" t="s">
        <v>655</v>
      </c>
      <c r="P23" s="13" t="s">
        <v>731</v>
      </c>
      <c r="Q23" s="16">
        <v>4200</v>
      </c>
      <c r="R23" s="16" t="s">
        <v>655</v>
      </c>
      <c r="T23" s="13" t="s">
        <v>756</v>
      </c>
      <c r="U23" s="12">
        <v>225985</v>
      </c>
      <c r="V23" s="16" t="s">
        <v>758</v>
      </c>
    </row>
    <row r="24" spans="1:22" ht="12.75" customHeight="1">
      <c r="A24" s="10" t="s">
        <v>641</v>
      </c>
      <c r="B24" s="11" t="s">
        <v>10</v>
      </c>
      <c r="C24" s="11" t="s">
        <v>11</v>
      </c>
      <c r="D24" s="12"/>
      <c r="E24" s="12"/>
      <c r="F24" s="13" t="s">
        <v>671</v>
      </c>
      <c r="G24" s="12">
        <v>28800</v>
      </c>
      <c r="H24" s="16" t="s">
        <v>655</v>
      </c>
      <c r="I24" s="12"/>
      <c r="J24" s="22"/>
      <c r="K24" s="172"/>
      <c r="L24" s="13" t="s">
        <v>690</v>
      </c>
      <c r="M24" s="16">
        <v>1200</v>
      </c>
      <c r="N24" s="16" t="s">
        <v>697</v>
      </c>
      <c r="P24" s="13" t="s">
        <v>733</v>
      </c>
      <c r="Q24" s="16">
        <v>224428</v>
      </c>
      <c r="R24" s="16" t="s">
        <v>655</v>
      </c>
      <c r="T24" s="13" t="s">
        <v>757</v>
      </c>
      <c r="U24" s="12">
        <v>26579</v>
      </c>
      <c r="V24" s="16" t="s">
        <v>758</v>
      </c>
    </row>
    <row r="25" spans="1:22" ht="12.75" customHeight="1">
      <c r="A25" s="18" t="s">
        <v>795</v>
      </c>
      <c r="B25" s="177">
        <f>628900+44932+61375+76400+13452+77750</f>
        <v>902809</v>
      </c>
      <c r="C25" s="16" t="s">
        <v>655</v>
      </c>
      <c r="D25" s="12"/>
      <c r="E25" s="12"/>
      <c r="F25" s="13" t="s">
        <v>672</v>
      </c>
      <c r="G25" s="12">
        <v>14400</v>
      </c>
      <c r="H25" s="16" t="s">
        <v>655</v>
      </c>
      <c r="I25" s="12"/>
      <c r="J25" s="22"/>
      <c r="K25" s="172"/>
      <c r="L25" s="13" t="s">
        <v>692</v>
      </c>
      <c r="M25" s="16">
        <v>1676</v>
      </c>
      <c r="N25" s="16" t="s">
        <v>698</v>
      </c>
      <c r="P25" s="18" t="s">
        <v>735</v>
      </c>
      <c r="Q25" s="16">
        <v>232960</v>
      </c>
      <c r="R25" s="16" t="s">
        <v>655</v>
      </c>
      <c r="T25" s="13" t="s">
        <v>743</v>
      </c>
      <c r="U25" s="177">
        <f>2622665/100</f>
        <v>26226.65</v>
      </c>
      <c r="V25" s="16" t="s">
        <v>781</v>
      </c>
    </row>
    <row r="26" spans="1:22" ht="12.75" customHeight="1">
      <c r="A26" s="18" t="s">
        <v>643</v>
      </c>
      <c r="B26" s="174">
        <f>17523362.8+2628504.42</f>
        <v>20151867.219999999</v>
      </c>
      <c r="C26" s="16" t="s">
        <v>655</v>
      </c>
      <c r="D26" s="12"/>
      <c r="E26" s="12"/>
      <c r="F26" s="19" t="s">
        <v>673</v>
      </c>
      <c r="G26" s="12">
        <v>9150</v>
      </c>
      <c r="H26" s="16" t="s">
        <v>655</v>
      </c>
      <c r="I26" s="12"/>
      <c r="J26" s="22"/>
      <c r="K26" s="172"/>
      <c r="L26" s="13" t="s">
        <v>693</v>
      </c>
      <c r="M26" s="177">
        <v>16.576000000000001</v>
      </c>
      <c r="N26" s="16" t="s">
        <v>655</v>
      </c>
      <c r="Q26" s="16"/>
      <c r="R26" s="16"/>
      <c r="T26" s="13" t="s">
        <v>744</v>
      </c>
      <c r="U26" s="177">
        <f>6142800/150</f>
        <v>40952</v>
      </c>
      <c r="V26" s="16" t="s">
        <v>781</v>
      </c>
    </row>
    <row r="27" spans="1:22" ht="12.75" customHeight="1">
      <c r="A27" s="18" t="s">
        <v>703</v>
      </c>
      <c r="B27" s="174">
        <v>500</v>
      </c>
      <c r="C27" s="16" t="s">
        <v>655</v>
      </c>
      <c r="D27" s="12"/>
      <c r="E27" s="12"/>
      <c r="F27" s="18" t="s">
        <v>674</v>
      </c>
      <c r="G27" s="16">
        <v>61000</v>
      </c>
      <c r="H27" s="16" t="s">
        <v>655</v>
      </c>
      <c r="I27" s="12"/>
      <c r="J27" s="22"/>
      <c r="K27" s="172"/>
      <c r="L27" s="13" t="s">
        <v>696</v>
      </c>
      <c r="M27" s="16">
        <v>1600</v>
      </c>
      <c r="N27" s="16" t="s">
        <v>699</v>
      </c>
      <c r="T27" s="13" t="s">
        <v>745</v>
      </c>
      <c r="U27" s="177">
        <f>1966999/75</f>
        <v>26226.653333333332</v>
      </c>
      <c r="V27" s="16" t="s">
        <v>781</v>
      </c>
    </row>
    <row r="28" spans="1:22" ht="12.75" customHeight="1">
      <c r="A28" s="13" t="s">
        <v>704</v>
      </c>
      <c r="B28" s="16">
        <v>210</v>
      </c>
      <c r="C28" s="16" t="s">
        <v>700</v>
      </c>
      <c r="D28" s="12"/>
      <c r="E28" s="12"/>
      <c r="F28" s="18" t="s">
        <v>675</v>
      </c>
      <c r="G28" s="16">
        <v>12200</v>
      </c>
      <c r="H28" s="16" t="s">
        <v>655</v>
      </c>
      <c r="I28" s="12"/>
      <c r="J28" s="22"/>
      <c r="K28" s="172"/>
      <c r="L28" s="13" t="s">
        <v>695</v>
      </c>
      <c r="M28" s="16">
        <v>4267772</v>
      </c>
      <c r="N28" s="16" t="s">
        <v>655</v>
      </c>
    </row>
    <row r="29" spans="1:22" ht="12.75" customHeight="1">
      <c r="D29" s="12"/>
      <c r="E29" s="12"/>
      <c r="F29" s="178" t="s">
        <v>683</v>
      </c>
      <c r="G29" s="180">
        <v>2</v>
      </c>
      <c r="H29" s="180" t="s">
        <v>701</v>
      </c>
      <c r="I29" s="12"/>
      <c r="J29" s="22"/>
      <c r="K29" s="172"/>
      <c r="M29" s="16"/>
      <c r="N29" s="16"/>
    </row>
    <row r="30" spans="1:22" ht="12.75" customHeight="1">
      <c r="D30" s="12"/>
      <c r="E30" s="12"/>
      <c r="F30" s="178" t="s">
        <v>684</v>
      </c>
      <c r="G30" s="180"/>
      <c r="H30" s="180" t="s">
        <v>702</v>
      </c>
      <c r="I30" s="12"/>
      <c r="J30" s="22"/>
      <c r="K30" s="172"/>
      <c r="Q30" s="16"/>
      <c r="R30" s="16"/>
    </row>
    <row r="31" spans="1:22" ht="12.75" customHeight="1">
      <c r="A31" s="10" t="s">
        <v>647</v>
      </c>
      <c r="B31" s="11" t="s">
        <v>10</v>
      </c>
      <c r="C31" s="11" t="s">
        <v>11</v>
      </c>
      <c r="D31" s="12"/>
      <c r="E31" s="12"/>
      <c r="F31" s="178" t="s">
        <v>676</v>
      </c>
      <c r="G31" s="180"/>
      <c r="H31" s="180" t="s">
        <v>701</v>
      </c>
      <c r="I31" s="12"/>
      <c r="J31" s="22"/>
      <c r="K31" s="172"/>
      <c r="L31" s="10" t="s">
        <v>728</v>
      </c>
      <c r="M31" s="11" t="s">
        <v>10</v>
      </c>
      <c r="N31" s="11" t="s">
        <v>11</v>
      </c>
      <c r="P31" s="10" t="s">
        <v>736</v>
      </c>
      <c r="Q31" s="11" t="s">
        <v>10</v>
      </c>
      <c r="R31" s="11" t="s">
        <v>11</v>
      </c>
    </row>
    <row r="32" spans="1:22" ht="12.75" customHeight="1">
      <c r="A32" s="18" t="s">
        <v>659</v>
      </c>
      <c r="B32" s="173">
        <v>481040</v>
      </c>
      <c r="C32" s="16" t="s">
        <v>655</v>
      </c>
      <c r="D32" s="12"/>
      <c r="E32" s="12"/>
      <c r="F32" s="15" t="s">
        <v>678</v>
      </c>
      <c r="G32" s="12">
        <v>210000</v>
      </c>
      <c r="H32" s="16" t="s">
        <v>655</v>
      </c>
      <c r="I32" s="12"/>
      <c r="J32" s="22"/>
      <c r="K32" s="172"/>
      <c r="L32" s="13" t="s">
        <v>705</v>
      </c>
      <c r="M32" s="176">
        <v>16712390</v>
      </c>
      <c r="N32" s="16" t="s">
        <v>655</v>
      </c>
      <c r="P32" s="13" t="s">
        <v>738</v>
      </c>
      <c r="Q32" s="16">
        <f>2660+2340+4390+1122</f>
        <v>10512</v>
      </c>
      <c r="R32" s="16" t="s">
        <v>655</v>
      </c>
    </row>
    <row r="33" spans="1:18" ht="12.75" customHeight="1">
      <c r="A33" s="18" t="s">
        <v>644</v>
      </c>
      <c r="B33" s="173">
        <v>1100</v>
      </c>
      <c r="C33" s="16" t="s">
        <v>655</v>
      </c>
      <c r="D33" s="12"/>
      <c r="E33" s="12"/>
      <c r="F33" s="15" t="s">
        <v>679</v>
      </c>
      <c r="G33" s="12">
        <v>420000</v>
      </c>
      <c r="H33" s="16" t="s">
        <v>655</v>
      </c>
      <c r="I33" s="12"/>
      <c r="J33" s="22"/>
      <c r="K33" s="172"/>
      <c r="L33" s="13" t="s">
        <v>706</v>
      </c>
      <c r="M33" s="176">
        <v>570271</v>
      </c>
      <c r="N33" s="16" t="s">
        <v>762</v>
      </c>
      <c r="P33" s="13" t="s">
        <v>737</v>
      </c>
      <c r="Q33" s="16">
        <f>300*(4+7+11)</f>
        <v>6600</v>
      </c>
      <c r="R33" s="16" t="s">
        <v>655</v>
      </c>
    </row>
    <row r="34" spans="1:18" ht="12.75" customHeight="1">
      <c r="A34" s="18" t="s">
        <v>760</v>
      </c>
      <c r="B34" s="173">
        <v>900</v>
      </c>
      <c r="C34" s="16" t="s">
        <v>655</v>
      </c>
      <c r="D34" s="12"/>
      <c r="E34" s="12"/>
      <c r="F34" s="15" t="s">
        <v>680</v>
      </c>
      <c r="G34" s="12">
        <v>72000</v>
      </c>
      <c r="H34" s="16" t="s">
        <v>655</v>
      </c>
      <c r="I34" s="12"/>
      <c r="J34" s="22"/>
      <c r="K34" s="172"/>
      <c r="L34" s="13" t="s">
        <v>707</v>
      </c>
      <c r="M34" s="176">
        <v>18685</v>
      </c>
      <c r="N34" s="16" t="s">
        <v>762</v>
      </c>
      <c r="P34" s="13" t="s">
        <v>644</v>
      </c>
      <c r="Q34" s="16">
        <f>3*1100</f>
        <v>3300</v>
      </c>
      <c r="R34" s="16" t="s">
        <v>655</v>
      </c>
    </row>
    <row r="35" spans="1:18" ht="12.75" customHeight="1">
      <c r="A35" s="18" t="s">
        <v>645</v>
      </c>
      <c r="B35" s="173">
        <v>612</v>
      </c>
      <c r="C35" s="16" t="s">
        <v>655</v>
      </c>
      <c r="D35" s="12"/>
      <c r="E35" s="12"/>
      <c r="F35" s="15" t="s">
        <v>681</v>
      </c>
      <c r="G35" s="12">
        <v>420000</v>
      </c>
      <c r="H35" s="16" t="s">
        <v>655</v>
      </c>
      <c r="I35" s="12"/>
      <c r="J35" s="22"/>
      <c r="K35" s="172"/>
      <c r="L35" s="13" t="s">
        <v>709</v>
      </c>
      <c r="M35" s="183">
        <f>31405/M39</f>
        <v>65427.083333333336</v>
      </c>
      <c r="N35" s="16" t="s">
        <v>762</v>
      </c>
      <c r="Q35" s="16"/>
      <c r="R35" s="16"/>
    </row>
    <row r="36" spans="1:18" ht="12.75" customHeight="1">
      <c r="A36" s="18" t="s">
        <v>646</v>
      </c>
      <c r="B36" s="173">
        <v>600</v>
      </c>
      <c r="C36" s="16" t="s">
        <v>655</v>
      </c>
      <c r="D36" s="12"/>
      <c r="E36" s="12"/>
      <c r="F36" s="15" t="s">
        <v>682</v>
      </c>
      <c r="G36" s="177">
        <f>86400+3079.545454545*44+12087.2266666666*30+21000</f>
        <v>605516.79999997804</v>
      </c>
      <c r="H36" s="16" t="s">
        <v>655</v>
      </c>
      <c r="I36" s="12"/>
      <c r="J36" s="22"/>
      <c r="K36" s="172"/>
      <c r="L36" s="13" t="s">
        <v>708</v>
      </c>
      <c r="M36" s="183">
        <f>14623/M40</f>
        <v>20309.722222222223</v>
      </c>
      <c r="N36" s="16" t="s">
        <v>762</v>
      </c>
      <c r="P36" s="10" t="s">
        <v>739</v>
      </c>
      <c r="Q36" s="11" t="s">
        <v>10</v>
      </c>
      <c r="R36" s="11" t="s">
        <v>11</v>
      </c>
    </row>
    <row r="37" spans="1:18" ht="12.75" customHeight="1">
      <c r="A37" s="18"/>
      <c r="B37" s="24"/>
      <c r="C37" s="12"/>
      <c r="D37" s="12"/>
      <c r="E37" s="12"/>
      <c r="F37" s="15" t="s">
        <v>737</v>
      </c>
      <c r="G37" s="12">
        <v>210000</v>
      </c>
      <c r="H37" s="16" t="s">
        <v>655</v>
      </c>
      <c r="I37" s="12"/>
      <c r="J37" s="22"/>
      <c r="K37" s="172"/>
      <c r="L37" s="13" t="s">
        <v>710</v>
      </c>
      <c r="M37" s="183">
        <f>159676/M41</f>
        <v>456217.1428571429</v>
      </c>
      <c r="N37" s="16" t="s">
        <v>766</v>
      </c>
      <c r="P37" s="13" t="s">
        <v>741</v>
      </c>
      <c r="Q37" s="16">
        <v>144000</v>
      </c>
      <c r="R37" s="16" t="s">
        <v>655</v>
      </c>
    </row>
    <row r="38" spans="1:18" ht="12.75" customHeight="1">
      <c r="A38" s="18"/>
      <c r="B38" s="24"/>
      <c r="C38" s="12"/>
      <c r="D38" s="12"/>
      <c r="E38" s="12"/>
      <c r="F38" s="178" t="s">
        <v>677</v>
      </c>
      <c r="G38" s="180">
        <v>45</v>
      </c>
      <c r="H38" s="179" t="s">
        <v>701</v>
      </c>
      <c r="I38" s="12"/>
      <c r="J38" s="22"/>
      <c r="K38" s="172"/>
      <c r="L38" s="13" t="s">
        <v>734</v>
      </c>
      <c r="M38" s="176">
        <v>37332</v>
      </c>
      <c r="N38" s="16" t="s">
        <v>655</v>
      </c>
      <c r="P38" s="13" t="s">
        <v>740</v>
      </c>
      <c r="Q38" s="16">
        <v>3140</v>
      </c>
      <c r="R38" s="16" t="s">
        <v>655</v>
      </c>
    </row>
    <row r="39" spans="1:18" ht="12.75" customHeight="1">
      <c r="A39" s="18"/>
      <c r="B39" s="24"/>
      <c r="C39" s="12"/>
      <c r="D39" s="12"/>
      <c r="E39" s="12"/>
      <c r="F39" s="178" t="s">
        <v>686</v>
      </c>
      <c r="G39" s="180">
        <v>150</v>
      </c>
      <c r="H39" s="179" t="s">
        <v>702</v>
      </c>
      <c r="I39" s="12"/>
      <c r="J39" s="22"/>
      <c r="K39" s="172"/>
      <c r="L39" s="13" t="s">
        <v>763</v>
      </c>
      <c r="M39" s="16">
        <v>0.48</v>
      </c>
      <c r="N39" s="16" t="s">
        <v>655</v>
      </c>
      <c r="P39" s="13" t="s">
        <v>690</v>
      </c>
      <c r="Q39" s="16">
        <v>50</v>
      </c>
      <c r="R39" s="16" t="s">
        <v>697</v>
      </c>
    </row>
    <row r="40" spans="1:18" ht="12.75" customHeight="1">
      <c r="A40" s="18"/>
      <c r="B40" s="24"/>
      <c r="C40" s="12"/>
      <c r="D40" s="12"/>
      <c r="E40" s="12"/>
      <c r="F40" s="178" t="s">
        <v>685</v>
      </c>
      <c r="G40" s="180">
        <v>1500</v>
      </c>
      <c r="H40" s="180" t="s">
        <v>702</v>
      </c>
      <c r="I40" s="12"/>
      <c r="J40" s="22"/>
      <c r="K40" s="172"/>
      <c r="L40" s="13" t="s">
        <v>764</v>
      </c>
      <c r="M40" s="16">
        <v>0.72</v>
      </c>
      <c r="N40" s="16" t="s">
        <v>655</v>
      </c>
    </row>
    <row r="41" spans="1:18" ht="12.75" customHeight="1">
      <c r="A41" s="18"/>
      <c r="B41" s="24"/>
      <c r="C41" s="12"/>
      <c r="D41" s="12"/>
      <c r="E41" s="12"/>
      <c r="F41" s="15"/>
      <c r="G41" s="12"/>
      <c r="H41" s="12"/>
      <c r="I41" s="12"/>
      <c r="J41" s="22"/>
      <c r="K41" s="172"/>
      <c r="L41" s="13" t="s">
        <v>765</v>
      </c>
      <c r="M41" s="16">
        <v>0.35</v>
      </c>
      <c r="N41" s="16" t="s">
        <v>655</v>
      </c>
    </row>
    <row r="42" spans="1:18" ht="12.75" customHeight="1">
      <c r="A42" s="18"/>
      <c r="B42" s="24"/>
      <c r="C42" s="12"/>
      <c r="D42" s="12"/>
      <c r="E42" s="12"/>
      <c r="F42" s="15"/>
      <c r="G42" s="12"/>
      <c r="H42" s="12"/>
      <c r="I42" s="12"/>
      <c r="J42" s="22"/>
      <c r="K42" s="172"/>
    </row>
    <row r="43" spans="1:18">
      <c r="A43" s="18"/>
      <c r="B43" s="24"/>
      <c r="C43" s="12"/>
      <c r="D43" s="12"/>
      <c r="E43" s="12"/>
      <c r="G43" s="12"/>
      <c r="H43" s="12"/>
      <c r="I43" s="12"/>
      <c r="J43" s="22"/>
      <c r="K43" s="172"/>
    </row>
    <row r="44" spans="1:18">
      <c r="A44" s="18"/>
      <c r="B44" s="20"/>
      <c r="C44" s="12"/>
      <c r="D44" s="12"/>
      <c r="E44" s="12"/>
      <c r="G44" s="12"/>
      <c r="H44" s="12"/>
      <c r="I44" s="12"/>
      <c r="M44" s="13" t="s">
        <v>3</v>
      </c>
    </row>
    <row r="45" spans="1:18">
      <c r="B45" s="26"/>
      <c r="K45" s="12"/>
      <c r="M45" s="18"/>
      <c r="N45" s="18"/>
    </row>
    <row r="46" spans="1:18" ht="45">
      <c r="A46" s="8" t="s">
        <v>20</v>
      </c>
      <c r="B46" s="8" t="s">
        <v>13</v>
      </c>
      <c r="C46" s="8" t="s">
        <v>21</v>
      </c>
      <c r="D46" s="8" t="s">
        <v>14</v>
      </c>
      <c r="E46" s="8" t="s">
        <v>22</v>
      </c>
      <c r="F46" s="8" t="s">
        <v>17</v>
      </c>
      <c r="G46" s="8" t="s">
        <v>16</v>
      </c>
      <c r="H46" s="8" t="s">
        <v>18</v>
      </c>
      <c r="I46" s="8" t="s">
        <v>769</v>
      </c>
      <c r="J46" s="8" t="s">
        <v>15</v>
      </c>
      <c r="K46" s="8" t="s">
        <v>782</v>
      </c>
      <c r="L46" s="12"/>
      <c r="M46" s="12"/>
      <c r="N46" s="12"/>
    </row>
    <row r="47" spans="1:18">
      <c r="A47" s="28" t="s">
        <v>803</v>
      </c>
      <c r="B47" s="29">
        <f>B25*B13</f>
        <v>722247.20000000007</v>
      </c>
      <c r="C47" s="172" t="s">
        <v>655</v>
      </c>
      <c r="D47" s="30">
        <v>1</v>
      </c>
      <c r="E47" s="30">
        <v>1</v>
      </c>
      <c r="F47" s="31">
        <f>E47*D47*B47</f>
        <v>722247.20000000007</v>
      </c>
      <c r="G47" s="32">
        <f t="shared" ref="G47:G78" si="0">F47/$B$17</f>
        <v>11090.679033199227</v>
      </c>
      <c r="H47" s="187"/>
      <c r="I47" s="187"/>
      <c r="J47" s="187"/>
      <c r="K47" s="12" t="s">
        <v>783</v>
      </c>
      <c r="M47" s="12"/>
      <c r="N47" s="12"/>
    </row>
    <row r="48" spans="1:18">
      <c r="A48" s="28" t="s">
        <v>806</v>
      </c>
      <c r="B48" s="29">
        <f>(B26+B27*B28)*B13</f>
        <v>16205493.776000001</v>
      </c>
      <c r="C48" s="172" t="s">
        <v>655</v>
      </c>
      <c r="D48" s="30">
        <v>1</v>
      </c>
      <c r="E48" s="30">
        <v>1</v>
      </c>
      <c r="F48" s="31">
        <f>E48*D48*B48</f>
        <v>16205493.776000001</v>
      </c>
      <c r="G48" s="32">
        <f t="shared" si="0"/>
        <v>248848.21989496637</v>
      </c>
      <c r="H48" s="188"/>
      <c r="I48" s="188"/>
      <c r="J48" s="188"/>
      <c r="K48" s="12" t="s">
        <v>783</v>
      </c>
      <c r="M48" s="18"/>
      <c r="N48" s="23"/>
    </row>
    <row r="49" spans="1:16">
      <c r="A49" s="28" t="s">
        <v>786</v>
      </c>
      <c r="B49" s="29">
        <f>SUM(B32:B36)</f>
        <v>484252</v>
      </c>
      <c r="C49" s="172" t="s">
        <v>655</v>
      </c>
      <c r="D49" s="30">
        <v>1</v>
      </c>
      <c r="E49" s="30">
        <v>1</v>
      </c>
      <c r="F49" s="31">
        <f t="shared" ref="F49:F55" si="1">E49*D49*B49</f>
        <v>484252</v>
      </c>
      <c r="G49" s="32">
        <f t="shared" si="0"/>
        <v>7436.0738306563062</v>
      </c>
      <c r="H49" s="188"/>
      <c r="I49" s="188"/>
      <c r="J49" s="188"/>
      <c r="K49" s="12" t="s">
        <v>784</v>
      </c>
      <c r="L49" s="18"/>
      <c r="M49" s="23"/>
      <c r="P49" s="13" t="s">
        <v>3</v>
      </c>
    </row>
    <row r="50" spans="1:16">
      <c r="A50" s="13" t="s">
        <v>770</v>
      </c>
      <c r="B50" s="29">
        <f>SUM(G10:G17)</f>
        <v>117290.81999999999</v>
      </c>
      <c r="C50" s="172" t="s">
        <v>655</v>
      </c>
      <c r="D50" s="30">
        <v>1</v>
      </c>
      <c r="E50" s="30">
        <v>1</v>
      </c>
      <c r="F50" s="31">
        <f t="shared" si="1"/>
        <v>117290.81999999999</v>
      </c>
      <c r="G50" s="32">
        <f t="shared" si="0"/>
        <v>1801.0936396302325</v>
      </c>
      <c r="H50" s="188"/>
      <c r="I50" s="188"/>
      <c r="J50" s="188"/>
      <c r="K50" s="12" t="s">
        <v>783</v>
      </c>
      <c r="L50" s="18"/>
      <c r="M50" s="23"/>
    </row>
    <row r="51" spans="1:16">
      <c r="A51" s="13" t="s">
        <v>771</v>
      </c>
      <c r="B51" s="29">
        <f>SUM(G20:G28)</f>
        <v>275561.99999999994</v>
      </c>
      <c r="C51" s="172" t="s">
        <v>655</v>
      </c>
      <c r="D51" s="30">
        <v>1</v>
      </c>
      <c r="E51" s="30">
        <v>1</v>
      </c>
      <c r="F51" s="31">
        <f t="shared" si="1"/>
        <v>275561.99999999994</v>
      </c>
      <c r="G51" s="32">
        <f t="shared" si="0"/>
        <v>4231.473234851509</v>
      </c>
      <c r="H51" s="188"/>
      <c r="I51" s="188"/>
      <c r="J51" s="188"/>
      <c r="K51" s="12" t="s">
        <v>783</v>
      </c>
      <c r="L51" s="18"/>
      <c r="M51" s="23"/>
    </row>
    <row r="52" spans="1:16">
      <c r="A52" s="13" t="s">
        <v>772</v>
      </c>
      <c r="B52" s="29">
        <f>SUM(G32:G37)</f>
        <v>1937516.7999999779</v>
      </c>
      <c r="C52" s="172" t="s">
        <v>655</v>
      </c>
      <c r="D52" s="30">
        <v>1</v>
      </c>
      <c r="E52" s="30">
        <v>1</v>
      </c>
      <c r="F52" s="31">
        <f t="shared" si="1"/>
        <v>1937516.7999999779</v>
      </c>
      <c r="G52" s="32">
        <f t="shared" si="0"/>
        <v>29752.108350480299</v>
      </c>
      <c r="H52" s="188"/>
      <c r="I52" s="188"/>
      <c r="J52" s="188"/>
      <c r="K52" s="12" t="s">
        <v>784</v>
      </c>
      <c r="L52" s="18"/>
      <c r="M52" s="23"/>
    </row>
    <row r="53" spans="1:16">
      <c r="A53" s="13" t="s">
        <v>774</v>
      </c>
      <c r="B53" s="29">
        <f>(M10*M14+M11*M15+M12*M16+M13*M17+M18+M19)</f>
        <v>410374.99680000002</v>
      </c>
      <c r="C53" s="172" t="s">
        <v>655</v>
      </c>
      <c r="D53" s="16">
        <v>1</v>
      </c>
      <c r="E53" s="16">
        <v>1</v>
      </c>
      <c r="F53" s="31">
        <f t="shared" si="1"/>
        <v>410374.99680000002</v>
      </c>
      <c r="G53" s="32">
        <f t="shared" si="0"/>
        <v>6301.6338073155002</v>
      </c>
      <c r="H53" s="188"/>
      <c r="I53" s="188"/>
      <c r="J53" s="188"/>
      <c r="K53" s="12" t="s">
        <v>783</v>
      </c>
      <c r="L53" s="18"/>
      <c r="M53" s="23"/>
    </row>
    <row r="54" spans="1:16">
      <c r="A54" s="13" t="s">
        <v>775</v>
      </c>
      <c r="B54" s="29">
        <f>M22</f>
        <v>8230</v>
      </c>
      <c r="C54" s="172" t="s">
        <v>655</v>
      </c>
      <c r="D54" s="16">
        <f>M24</f>
        <v>1200</v>
      </c>
      <c r="E54" s="16">
        <v>1</v>
      </c>
      <c r="F54" s="31">
        <f t="shared" si="1"/>
        <v>9876000</v>
      </c>
      <c r="G54" s="32">
        <f t="shared" si="0"/>
        <v>151653.81898590337</v>
      </c>
      <c r="H54" s="188"/>
      <c r="I54" s="188"/>
      <c r="J54" s="188"/>
      <c r="K54" s="12" t="s">
        <v>784</v>
      </c>
      <c r="L54" s="18"/>
      <c r="M54" s="23"/>
    </row>
    <row r="55" spans="1:16">
      <c r="A55" s="13" t="s">
        <v>776</v>
      </c>
      <c r="B55" s="29">
        <f>M23</f>
        <v>175</v>
      </c>
      <c r="C55" s="172" t="s">
        <v>655</v>
      </c>
      <c r="D55" s="16">
        <f>M25</f>
        <v>1676</v>
      </c>
      <c r="E55" s="16">
        <v>1</v>
      </c>
      <c r="F55" s="31">
        <f t="shared" si="1"/>
        <v>293300</v>
      </c>
      <c r="G55" s="32">
        <f t="shared" si="0"/>
        <v>4503.8543042289857</v>
      </c>
      <c r="H55" s="188"/>
      <c r="I55" s="188"/>
      <c r="J55" s="188"/>
      <c r="K55" s="12" t="s">
        <v>784</v>
      </c>
      <c r="L55" s="18"/>
      <c r="M55" s="23"/>
    </row>
    <row r="56" spans="1:16">
      <c r="A56" s="13" t="s">
        <v>695</v>
      </c>
      <c r="B56" s="29">
        <f>M28</f>
        <v>4267772</v>
      </c>
      <c r="C56" s="172" t="s">
        <v>655</v>
      </c>
      <c r="D56" s="16">
        <v>1</v>
      </c>
      <c r="E56" s="16">
        <v>1</v>
      </c>
      <c r="F56" s="31">
        <f t="shared" ref="F56:F61" si="2">E56*D56*B56</f>
        <v>4267772</v>
      </c>
      <c r="G56" s="32">
        <f t="shared" si="0"/>
        <v>65535.026565523171</v>
      </c>
      <c r="H56" s="188"/>
      <c r="I56" s="188"/>
      <c r="J56" s="188"/>
      <c r="K56" s="12" t="s">
        <v>784</v>
      </c>
      <c r="L56" s="18"/>
      <c r="M56" s="23"/>
    </row>
    <row r="57" spans="1:16">
      <c r="A57" s="13" t="s">
        <v>693</v>
      </c>
      <c r="B57" s="29">
        <f>M26</f>
        <v>16.576000000000001</v>
      </c>
      <c r="C57" s="172" t="s">
        <v>655</v>
      </c>
      <c r="D57" s="16">
        <f>M27</f>
        <v>1600</v>
      </c>
      <c r="E57" s="16">
        <v>1</v>
      </c>
      <c r="F57" s="31">
        <f>E57*D57*B57</f>
        <v>26521.600000000002</v>
      </c>
      <c r="G57" s="32">
        <f t="shared" si="0"/>
        <v>407.26021928073465</v>
      </c>
      <c r="H57" s="188"/>
      <c r="I57" s="188"/>
      <c r="J57" s="188"/>
      <c r="K57" s="12" t="s">
        <v>784</v>
      </c>
      <c r="L57" s="18"/>
      <c r="M57" s="23"/>
    </row>
    <row r="58" spans="1:16">
      <c r="A58" s="13" t="s">
        <v>705</v>
      </c>
      <c r="B58" s="191">
        <f>M32</f>
        <v>16712390</v>
      </c>
      <c r="C58" s="172" t="s">
        <v>655</v>
      </c>
      <c r="D58" s="176"/>
      <c r="E58" s="16">
        <v>1</v>
      </c>
      <c r="F58" s="31">
        <f>E58*D58*B58</f>
        <v>0</v>
      </c>
      <c r="G58" s="32">
        <f t="shared" si="0"/>
        <v>0</v>
      </c>
      <c r="H58" s="188"/>
      <c r="I58" s="188"/>
      <c r="J58" s="188"/>
      <c r="K58" s="12" t="s">
        <v>784</v>
      </c>
      <c r="L58" s="18"/>
      <c r="M58" s="23"/>
    </row>
    <row r="59" spans="1:16">
      <c r="A59" s="13" t="s">
        <v>777</v>
      </c>
      <c r="B59" s="182">
        <f>M40</f>
        <v>0.72</v>
      </c>
      <c r="C59" s="172" t="s">
        <v>655</v>
      </c>
      <c r="D59" s="183"/>
      <c r="E59" s="16">
        <v>1</v>
      </c>
      <c r="F59" s="31">
        <f t="shared" si="2"/>
        <v>0</v>
      </c>
      <c r="G59" s="32">
        <f t="shared" si="0"/>
        <v>0</v>
      </c>
      <c r="H59" s="188"/>
      <c r="I59" s="188"/>
      <c r="J59" s="188"/>
      <c r="K59" s="12" t="s">
        <v>785</v>
      </c>
      <c r="L59" s="18"/>
      <c r="M59" s="23"/>
    </row>
    <row r="60" spans="1:16">
      <c r="A60" s="13" t="s">
        <v>778</v>
      </c>
      <c r="B60" s="182">
        <f>M39</f>
        <v>0.48</v>
      </c>
      <c r="C60" s="172" t="s">
        <v>655</v>
      </c>
      <c r="D60" s="183"/>
      <c r="E60" s="16">
        <v>1</v>
      </c>
      <c r="F60" s="31">
        <f t="shared" si="2"/>
        <v>0</v>
      </c>
      <c r="G60" s="32">
        <f t="shared" si="0"/>
        <v>0</v>
      </c>
      <c r="H60" s="188"/>
      <c r="I60" s="188"/>
      <c r="J60" s="188"/>
      <c r="K60" s="12" t="s">
        <v>785</v>
      </c>
      <c r="L60" s="18"/>
      <c r="M60" s="23"/>
    </row>
    <row r="61" spans="1:16">
      <c r="A61" s="13" t="s">
        <v>710</v>
      </c>
      <c r="B61" s="182">
        <f>M41</f>
        <v>0.35</v>
      </c>
      <c r="C61" s="172" t="s">
        <v>655</v>
      </c>
      <c r="D61" s="183"/>
      <c r="E61" s="16">
        <v>1</v>
      </c>
      <c r="F61" s="31">
        <f t="shared" si="2"/>
        <v>0</v>
      </c>
      <c r="G61" s="32">
        <f t="shared" si="0"/>
        <v>0</v>
      </c>
      <c r="H61" s="188"/>
      <c r="I61" s="188"/>
      <c r="J61" s="188"/>
      <c r="K61" s="12" t="s">
        <v>785</v>
      </c>
      <c r="L61" s="18"/>
      <c r="M61" s="23"/>
    </row>
    <row r="62" spans="1:16">
      <c r="A62" s="13" t="s">
        <v>847</v>
      </c>
      <c r="B62" s="29">
        <f>M38*B13</f>
        <v>29865.600000000002</v>
      </c>
      <c r="C62" s="172" t="s">
        <v>655</v>
      </c>
      <c r="D62" s="16">
        <v>1</v>
      </c>
      <c r="E62" s="16">
        <v>1</v>
      </c>
      <c r="F62" s="31">
        <f t="shared" ref="F62" si="3">E62*D62*B62</f>
        <v>29865.600000000002</v>
      </c>
      <c r="G62" s="32">
        <f t="shared" si="0"/>
        <v>458.60999355056668</v>
      </c>
      <c r="H62" s="188"/>
      <c r="I62" s="188"/>
      <c r="J62" s="188"/>
      <c r="K62" s="12" t="s">
        <v>783</v>
      </c>
      <c r="L62" s="18"/>
      <c r="M62" s="23"/>
    </row>
    <row r="63" spans="1:16">
      <c r="A63" s="13" t="s">
        <v>817</v>
      </c>
      <c r="B63" s="29">
        <f>SUM(Q10,B13*(Q11+Q12),B13*Q13*Q15,B13*Q14*Q16,Q17)</f>
        <v>377608.80000000005</v>
      </c>
      <c r="C63" s="172" t="s">
        <v>655</v>
      </c>
      <c r="D63" s="16">
        <v>1</v>
      </c>
      <c r="E63" s="16">
        <v>1</v>
      </c>
      <c r="F63" s="31">
        <f t="shared" ref="F63:F65" si="4">E63*D63*B63</f>
        <v>377608.80000000005</v>
      </c>
      <c r="G63" s="32">
        <f t="shared" si="0"/>
        <v>5798.4828475783925</v>
      </c>
      <c r="H63" s="188"/>
      <c r="I63" s="188"/>
      <c r="J63" s="188"/>
      <c r="K63" s="12" t="s">
        <v>783</v>
      </c>
      <c r="L63" s="18"/>
      <c r="M63" s="23"/>
    </row>
    <row r="64" spans="1:16">
      <c r="A64" s="13" t="s">
        <v>779</v>
      </c>
      <c r="B64" s="29">
        <f>SUM(Q22:Q23)</f>
        <v>2030900</v>
      </c>
      <c r="C64" s="172" t="s">
        <v>820</v>
      </c>
      <c r="D64" s="16">
        <v>1</v>
      </c>
      <c r="E64" s="16">
        <v>1</v>
      </c>
      <c r="F64" s="31">
        <f t="shared" si="4"/>
        <v>2030900</v>
      </c>
      <c r="G64" s="32">
        <f t="shared" si="0"/>
        <v>31186.081508553176</v>
      </c>
      <c r="H64" s="188"/>
      <c r="I64" s="188"/>
      <c r="J64" s="188"/>
      <c r="K64" s="12" t="s">
        <v>783</v>
      </c>
      <c r="L64" s="18"/>
      <c r="M64" s="23"/>
    </row>
    <row r="65" spans="1:14">
      <c r="A65" s="13" t="s">
        <v>821</v>
      </c>
      <c r="B65" s="29">
        <f>Q24*B13</f>
        <v>179542.40000000002</v>
      </c>
      <c r="C65" s="172" t="s">
        <v>655</v>
      </c>
      <c r="D65" s="16">
        <v>1</v>
      </c>
      <c r="E65" s="16">
        <v>1</v>
      </c>
      <c r="F65" s="31">
        <f t="shared" si="4"/>
        <v>179542.40000000002</v>
      </c>
      <c r="G65" s="32">
        <f t="shared" si="0"/>
        <v>2757.0160621602536</v>
      </c>
      <c r="H65" s="188"/>
      <c r="I65" s="188"/>
      <c r="J65" s="188"/>
      <c r="K65" s="12" t="s">
        <v>783</v>
      </c>
      <c r="L65" s="18"/>
      <c r="M65" s="23"/>
    </row>
    <row r="66" spans="1:14">
      <c r="A66" s="13" t="s">
        <v>819</v>
      </c>
      <c r="B66" s="29">
        <f>Q25*B13</f>
        <v>186368</v>
      </c>
      <c r="C66" s="172" t="s">
        <v>655</v>
      </c>
      <c r="D66" s="16">
        <v>1</v>
      </c>
      <c r="E66" s="16">
        <v>1</v>
      </c>
      <c r="F66" s="31">
        <f t="shared" ref="F66:F69" si="5">E66*D66*B66</f>
        <v>186368</v>
      </c>
      <c r="G66" s="32">
        <f t="shared" si="0"/>
        <v>2861.8285679186756</v>
      </c>
      <c r="H66" s="188"/>
      <c r="I66" s="188"/>
      <c r="J66" s="188"/>
      <c r="K66" s="12" t="s">
        <v>783</v>
      </c>
      <c r="L66" s="18"/>
      <c r="M66" s="23"/>
    </row>
    <row r="67" spans="1:14">
      <c r="A67" s="13" t="s">
        <v>780</v>
      </c>
      <c r="B67" s="29">
        <f>SUM(Q32:Q34)</f>
        <v>20412</v>
      </c>
      <c r="C67" s="172" t="s">
        <v>820</v>
      </c>
      <c r="D67" s="16">
        <v>1</v>
      </c>
      <c r="E67" s="16">
        <v>1</v>
      </c>
      <c r="F67" s="31">
        <f t="shared" si="5"/>
        <v>20412</v>
      </c>
      <c r="G67" s="32">
        <f t="shared" si="0"/>
        <v>313.44246184085256</v>
      </c>
      <c r="H67" s="188"/>
      <c r="I67" s="188"/>
      <c r="J67" s="188"/>
      <c r="K67" s="12" t="s">
        <v>783</v>
      </c>
      <c r="L67" s="18"/>
      <c r="M67" s="23"/>
    </row>
    <row r="68" spans="1:14">
      <c r="A68" s="13" t="s">
        <v>825</v>
      </c>
      <c r="B68" s="29">
        <f>Q37*B13</f>
        <v>115200</v>
      </c>
      <c r="C68" s="172" t="s">
        <v>655</v>
      </c>
      <c r="D68" s="16">
        <v>1</v>
      </c>
      <c r="E68" s="16">
        <v>1</v>
      </c>
      <c r="F68" s="31">
        <f t="shared" si="5"/>
        <v>115200</v>
      </c>
      <c r="G68" s="32">
        <f t="shared" si="0"/>
        <v>1768.9874389607198</v>
      </c>
      <c r="H68" s="188"/>
      <c r="I68" s="188"/>
      <c r="J68" s="188"/>
      <c r="K68" s="12" t="s">
        <v>784</v>
      </c>
      <c r="L68" s="18"/>
      <c r="M68" s="23"/>
    </row>
    <row r="69" spans="1:14">
      <c r="A69" s="13" t="s">
        <v>826</v>
      </c>
      <c r="B69" s="29">
        <f>Q38*B13</f>
        <v>2512</v>
      </c>
      <c r="C69" s="172" t="s">
        <v>655</v>
      </c>
      <c r="D69" s="16">
        <f>Q39</f>
        <v>50</v>
      </c>
      <c r="E69" s="16">
        <v>1</v>
      </c>
      <c r="F69" s="31">
        <f t="shared" si="5"/>
        <v>125600</v>
      </c>
      <c r="G69" s="32">
        <f t="shared" si="0"/>
        <v>1928.6876938668959</v>
      </c>
      <c r="H69" s="188"/>
      <c r="I69" s="188"/>
      <c r="J69" s="188"/>
      <c r="K69" s="12" t="s">
        <v>783</v>
      </c>
      <c r="L69" s="18"/>
      <c r="M69" s="23"/>
    </row>
    <row r="70" spans="1:14">
      <c r="A70" s="13" t="s">
        <v>828</v>
      </c>
      <c r="B70" s="29">
        <f>U10</f>
        <v>100</v>
      </c>
      <c r="C70" s="172" t="s">
        <v>655</v>
      </c>
      <c r="D70" s="189"/>
      <c r="E70" s="16">
        <v>1</v>
      </c>
      <c r="F70" s="31">
        <f t="shared" ref="F70:F78" si="6">E70*D70*B70</f>
        <v>0</v>
      </c>
      <c r="G70" s="32">
        <f t="shared" si="0"/>
        <v>0</v>
      </c>
      <c r="H70" s="188"/>
      <c r="I70" s="188"/>
      <c r="J70" s="188"/>
      <c r="K70" s="12" t="s">
        <v>785</v>
      </c>
      <c r="L70" s="18"/>
      <c r="M70" s="23"/>
    </row>
    <row r="71" spans="1:14">
      <c r="A71" s="13" t="s">
        <v>829</v>
      </c>
      <c r="B71" s="29">
        <f>U11</f>
        <v>150</v>
      </c>
      <c r="C71" s="172" t="s">
        <v>655</v>
      </c>
      <c r="D71" s="189"/>
      <c r="E71" s="16">
        <v>1</v>
      </c>
      <c r="F71" s="31">
        <f t="shared" si="6"/>
        <v>0</v>
      </c>
      <c r="G71" s="32">
        <f t="shared" si="0"/>
        <v>0</v>
      </c>
      <c r="H71" s="188"/>
      <c r="I71" s="188"/>
      <c r="J71" s="188"/>
      <c r="K71" s="12" t="s">
        <v>785</v>
      </c>
      <c r="L71" s="18"/>
      <c r="M71" s="23"/>
    </row>
    <row r="72" spans="1:14">
      <c r="A72" s="13" t="s">
        <v>830</v>
      </c>
      <c r="B72" s="29">
        <f>U12</f>
        <v>75</v>
      </c>
      <c r="C72" s="172" t="s">
        <v>655</v>
      </c>
      <c r="D72" s="189"/>
      <c r="E72" s="16">
        <v>1</v>
      </c>
      <c r="F72" s="31">
        <f t="shared" si="6"/>
        <v>0</v>
      </c>
      <c r="G72" s="32">
        <f t="shared" si="0"/>
        <v>0</v>
      </c>
      <c r="H72" s="188"/>
      <c r="I72" s="188"/>
      <c r="J72" s="188"/>
      <c r="K72" s="12" t="s">
        <v>785</v>
      </c>
      <c r="L72" s="18"/>
      <c r="M72" s="23"/>
    </row>
    <row r="73" spans="1:14">
      <c r="A73" s="13" t="s">
        <v>831</v>
      </c>
      <c r="B73" s="29">
        <f>U13</f>
        <v>3.25</v>
      </c>
      <c r="C73" s="172" t="s">
        <v>655</v>
      </c>
      <c r="D73" s="190"/>
      <c r="E73" s="16">
        <v>1</v>
      </c>
      <c r="F73" s="31">
        <f t="shared" si="6"/>
        <v>0</v>
      </c>
      <c r="G73" s="32">
        <f t="shared" si="0"/>
        <v>0</v>
      </c>
      <c r="H73" s="188"/>
      <c r="I73" s="188"/>
      <c r="J73" s="188"/>
      <c r="K73" s="12" t="s">
        <v>785</v>
      </c>
      <c r="L73" s="18"/>
      <c r="M73" s="23"/>
    </row>
    <row r="74" spans="1:14">
      <c r="A74" s="13" t="s">
        <v>832</v>
      </c>
      <c r="B74" s="29">
        <f t="shared" ref="B74:B78" si="7">U14</f>
        <v>137.15</v>
      </c>
      <c r="C74" s="172" t="s">
        <v>655</v>
      </c>
      <c r="D74" s="190"/>
      <c r="E74" s="16">
        <v>1</v>
      </c>
      <c r="F74" s="31">
        <f t="shared" si="6"/>
        <v>0</v>
      </c>
      <c r="G74" s="32">
        <f t="shared" si="0"/>
        <v>0</v>
      </c>
      <c r="H74" s="188"/>
      <c r="I74" s="188"/>
      <c r="J74" s="188"/>
      <c r="K74" s="12" t="s">
        <v>785</v>
      </c>
      <c r="L74" s="18"/>
      <c r="M74" s="23"/>
    </row>
    <row r="75" spans="1:14">
      <c r="A75" s="13" t="s">
        <v>833</v>
      </c>
      <c r="B75" s="29">
        <f t="shared" si="7"/>
        <v>32.5</v>
      </c>
      <c r="C75" s="172" t="s">
        <v>655</v>
      </c>
      <c r="D75" s="190"/>
      <c r="E75" s="16">
        <v>1</v>
      </c>
      <c r="F75" s="31">
        <f t="shared" si="6"/>
        <v>0</v>
      </c>
      <c r="G75" s="32">
        <f t="shared" si="0"/>
        <v>0</v>
      </c>
      <c r="H75" s="188"/>
      <c r="I75" s="188"/>
      <c r="J75" s="188"/>
      <c r="K75" s="12" t="s">
        <v>785</v>
      </c>
      <c r="L75" s="18"/>
      <c r="M75" s="23"/>
    </row>
    <row r="76" spans="1:14">
      <c r="A76" s="13" t="s">
        <v>834</v>
      </c>
      <c r="B76" s="29">
        <f t="shared" si="7"/>
        <v>1.95</v>
      </c>
      <c r="C76" s="172" t="s">
        <v>655</v>
      </c>
      <c r="D76" s="190"/>
      <c r="E76" s="16">
        <v>1</v>
      </c>
      <c r="F76" s="31">
        <f t="shared" si="6"/>
        <v>0</v>
      </c>
      <c r="G76" s="32">
        <f t="shared" si="0"/>
        <v>0</v>
      </c>
      <c r="H76" s="188"/>
      <c r="I76" s="188"/>
      <c r="J76" s="188"/>
      <c r="K76" s="12" t="s">
        <v>785</v>
      </c>
      <c r="L76" s="18"/>
      <c r="M76" s="23"/>
    </row>
    <row r="77" spans="1:14">
      <c r="A77" s="13" t="s">
        <v>835</v>
      </c>
      <c r="B77" s="29">
        <f t="shared" si="7"/>
        <v>1.95</v>
      </c>
      <c r="C77" s="172" t="s">
        <v>655</v>
      </c>
      <c r="D77" s="190"/>
      <c r="E77" s="16">
        <v>1</v>
      </c>
      <c r="F77" s="31">
        <f t="shared" si="6"/>
        <v>0</v>
      </c>
      <c r="G77" s="32">
        <f t="shared" si="0"/>
        <v>0</v>
      </c>
      <c r="H77" s="188"/>
      <c r="I77" s="188"/>
      <c r="J77" s="188"/>
      <c r="K77" s="12" t="s">
        <v>785</v>
      </c>
      <c r="L77" s="18"/>
      <c r="M77" s="23"/>
    </row>
    <row r="78" spans="1:14">
      <c r="A78" s="13" t="s">
        <v>836</v>
      </c>
      <c r="B78" s="29">
        <f t="shared" si="7"/>
        <v>2.6</v>
      </c>
      <c r="C78" s="172" t="s">
        <v>655</v>
      </c>
      <c r="D78" s="190"/>
      <c r="E78" s="16">
        <v>1</v>
      </c>
      <c r="F78" s="31">
        <f t="shared" si="6"/>
        <v>0</v>
      </c>
      <c r="G78" s="32">
        <f t="shared" si="0"/>
        <v>0</v>
      </c>
      <c r="H78" s="188"/>
      <c r="I78" s="188"/>
      <c r="J78" s="188"/>
      <c r="K78" s="12" t="s">
        <v>785</v>
      </c>
      <c r="L78" s="18"/>
      <c r="M78" s="23"/>
    </row>
    <row r="79" spans="1:14">
      <c r="A79" s="28" t="s">
        <v>804</v>
      </c>
      <c r="B79" s="29">
        <f>B25*(1-B13)</f>
        <v>180561.79999999996</v>
      </c>
      <c r="C79" s="172" t="s">
        <v>805</v>
      </c>
      <c r="D79" s="30">
        <v>1</v>
      </c>
      <c r="E79" s="30">
        <v>1</v>
      </c>
      <c r="F79" s="31">
        <f>E79*D79*B79</f>
        <v>180561.79999999996</v>
      </c>
      <c r="G79" s="32">
        <f>F79/B18</f>
        <v>2640.2169939610167</v>
      </c>
      <c r="H79" s="188"/>
      <c r="I79" s="188"/>
      <c r="J79" s="188"/>
      <c r="K79" s="12" t="s">
        <v>783</v>
      </c>
      <c r="M79" s="12"/>
      <c r="N79" s="12"/>
    </row>
    <row r="80" spans="1:14">
      <c r="A80" s="28" t="s">
        <v>807</v>
      </c>
      <c r="B80" s="29">
        <f>(B26+B27*B28)*(1-B13)</f>
        <v>4051373.4439999987</v>
      </c>
      <c r="C80" s="172" t="s">
        <v>805</v>
      </c>
      <c r="D80" s="30">
        <v>1</v>
      </c>
      <c r="E80" s="30">
        <v>1</v>
      </c>
      <c r="F80" s="31">
        <f>E80*D80*B80</f>
        <v>4051373.4439999987</v>
      </c>
      <c r="G80" s="32">
        <f>F80/B18</f>
        <v>59240.132828378817</v>
      </c>
      <c r="H80" s="188"/>
      <c r="I80" s="188"/>
      <c r="J80" s="188"/>
      <c r="K80" s="12" t="s">
        <v>783</v>
      </c>
      <c r="M80" s="23"/>
    </row>
    <row r="81" spans="1:22">
      <c r="A81" s="28" t="s">
        <v>808</v>
      </c>
      <c r="B81" s="29">
        <f>SUM(B64:B68)</f>
        <v>2532422.4</v>
      </c>
      <c r="C81" s="172" t="s">
        <v>805</v>
      </c>
      <c r="D81" s="30">
        <v>1</v>
      </c>
      <c r="E81" s="30">
        <v>1</v>
      </c>
      <c r="F81" s="31">
        <f t="shared" ref="F81:F84" si="8">E81*D81*B81</f>
        <v>2532422.4</v>
      </c>
      <c r="G81" s="32">
        <f t="shared" ref="G81:G103" si="9">F81/$B$17</f>
        <v>38887.356039433675</v>
      </c>
      <c r="H81" s="188"/>
      <c r="I81" s="188"/>
      <c r="J81" s="188"/>
      <c r="K81" s="12" t="s">
        <v>784</v>
      </c>
    </row>
    <row r="82" spans="1:22">
      <c r="A82" s="13" t="s">
        <v>809</v>
      </c>
      <c r="B82" s="29">
        <f>SUM(G42:G49)</f>
        <v>267374.97275882191</v>
      </c>
      <c r="C82" s="172" t="s">
        <v>805</v>
      </c>
      <c r="D82" s="30">
        <v>1</v>
      </c>
      <c r="E82" s="30">
        <v>1</v>
      </c>
      <c r="F82" s="31">
        <f t="shared" si="8"/>
        <v>267374.97275882191</v>
      </c>
      <c r="G82" s="32">
        <f t="shared" si="9"/>
        <v>4105.7549331842065</v>
      </c>
      <c r="H82" s="188"/>
      <c r="I82" s="188"/>
      <c r="J82" s="188"/>
      <c r="K82" s="12" t="s">
        <v>783</v>
      </c>
    </row>
    <row r="83" spans="1:22">
      <c r="A83" s="13" t="s">
        <v>810</v>
      </c>
      <c r="B83" s="29">
        <f>SUM(G52:G60)</f>
        <v>258153.70223273206</v>
      </c>
      <c r="C83" s="172" t="s">
        <v>805</v>
      </c>
      <c r="D83" s="30">
        <v>1</v>
      </c>
      <c r="E83" s="30">
        <v>1</v>
      </c>
      <c r="F83" s="31">
        <f t="shared" si="8"/>
        <v>258153.70223273206</v>
      </c>
      <c r="G83" s="32">
        <f t="shared" si="9"/>
        <v>3964.1550049558068</v>
      </c>
      <c r="H83" s="188"/>
      <c r="I83" s="188"/>
      <c r="J83" s="188"/>
      <c r="K83" s="12" t="s">
        <v>783</v>
      </c>
    </row>
    <row r="84" spans="1:22">
      <c r="A84" s="13" t="s">
        <v>811</v>
      </c>
      <c r="B84" s="29">
        <f>SUM(G64:G69)</f>
        <v>40816.043733300568</v>
      </c>
      <c r="C84" s="172" t="s">
        <v>805</v>
      </c>
      <c r="D84" s="30">
        <v>1</v>
      </c>
      <c r="E84" s="30">
        <v>1</v>
      </c>
      <c r="F84" s="31">
        <f t="shared" si="8"/>
        <v>40816.043733300568</v>
      </c>
      <c r="G84" s="32">
        <f t="shared" si="9"/>
        <v>626.76274889132037</v>
      </c>
      <c r="H84" s="188"/>
      <c r="I84" s="188"/>
      <c r="J84" s="188"/>
      <c r="K84" s="12" t="s">
        <v>784</v>
      </c>
    </row>
    <row r="85" spans="1:22" s="16" customFormat="1">
      <c r="A85" s="13" t="s">
        <v>812</v>
      </c>
      <c r="B85" s="29">
        <f>M64</f>
        <v>0</v>
      </c>
      <c r="C85" s="172" t="s">
        <v>805</v>
      </c>
      <c r="D85" s="176"/>
      <c r="E85" s="16">
        <v>1</v>
      </c>
      <c r="F85" s="31">
        <f>E85*D85*B85</f>
        <v>0</v>
      </c>
      <c r="G85" s="32">
        <f t="shared" si="9"/>
        <v>0</v>
      </c>
      <c r="H85" s="188"/>
      <c r="I85" s="188"/>
      <c r="J85" s="188"/>
      <c r="K85" s="12" t="s">
        <v>784</v>
      </c>
      <c r="L85" s="13"/>
      <c r="M85" s="13"/>
      <c r="N85" s="13"/>
      <c r="O85" s="13"/>
      <c r="P85" s="13"/>
      <c r="Q85" s="13"/>
      <c r="R85" s="13"/>
      <c r="S85" s="13"/>
      <c r="T85" s="13"/>
      <c r="U85" s="13"/>
      <c r="V85" s="13"/>
    </row>
    <row r="86" spans="1:22" s="16" customFormat="1">
      <c r="A86" s="13" t="s">
        <v>813</v>
      </c>
      <c r="B86" s="182">
        <f>M72</f>
        <v>0</v>
      </c>
      <c r="C86" s="172" t="s">
        <v>805</v>
      </c>
      <c r="D86" s="183"/>
      <c r="E86" s="16">
        <v>1</v>
      </c>
      <c r="F86" s="31">
        <f t="shared" ref="F86:F103" si="10">E86*D86*B86</f>
        <v>0</v>
      </c>
      <c r="G86" s="32">
        <f t="shared" si="9"/>
        <v>0</v>
      </c>
      <c r="H86" s="188"/>
      <c r="I86" s="188"/>
      <c r="J86" s="188"/>
      <c r="K86" s="12" t="s">
        <v>785</v>
      </c>
      <c r="L86" s="13"/>
      <c r="M86" s="13"/>
      <c r="N86" s="13"/>
      <c r="O86" s="13"/>
      <c r="P86" s="13"/>
      <c r="Q86" s="13"/>
      <c r="R86" s="13"/>
      <c r="S86" s="13"/>
      <c r="T86" s="13"/>
      <c r="U86" s="13"/>
      <c r="V86" s="13"/>
    </row>
    <row r="87" spans="1:22" s="16" customFormat="1">
      <c r="A87" s="13" t="s">
        <v>814</v>
      </c>
      <c r="B87" s="182">
        <f>M71</f>
        <v>0</v>
      </c>
      <c r="C87" s="172" t="s">
        <v>805</v>
      </c>
      <c r="D87" s="183"/>
      <c r="E87" s="16">
        <v>1</v>
      </c>
      <c r="F87" s="31">
        <f t="shared" si="10"/>
        <v>0</v>
      </c>
      <c r="G87" s="32">
        <f t="shared" si="9"/>
        <v>0</v>
      </c>
      <c r="H87" s="188"/>
      <c r="I87" s="188"/>
      <c r="J87" s="188"/>
      <c r="K87" s="12" t="s">
        <v>785</v>
      </c>
      <c r="L87" s="13"/>
      <c r="M87" s="13"/>
      <c r="N87" s="13"/>
      <c r="O87" s="13"/>
      <c r="P87" s="13"/>
      <c r="Q87" s="13"/>
      <c r="R87" s="13"/>
      <c r="S87" s="13"/>
      <c r="T87" s="13"/>
      <c r="U87" s="13"/>
      <c r="V87" s="13"/>
    </row>
    <row r="88" spans="1:22" s="16" customFormat="1">
      <c r="A88" s="13" t="s">
        <v>815</v>
      </c>
      <c r="B88" s="182">
        <f>M73</f>
        <v>0</v>
      </c>
      <c r="C88" s="172" t="s">
        <v>805</v>
      </c>
      <c r="D88" s="183"/>
      <c r="E88" s="16">
        <v>1</v>
      </c>
      <c r="F88" s="31">
        <f t="shared" si="10"/>
        <v>0</v>
      </c>
      <c r="G88" s="32">
        <f t="shared" si="9"/>
        <v>0</v>
      </c>
      <c r="H88" s="188"/>
      <c r="I88" s="188"/>
      <c r="J88" s="188"/>
      <c r="K88" s="12" t="s">
        <v>785</v>
      </c>
      <c r="L88" s="13"/>
      <c r="M88" s="13"/>
      <c r="N88" s="13"/>
      <c r="O88" s="13"/>
      <c r="P88" s="13"/>
      <c r="Q88" s="13"/>
      <c r="R88" s="13"/>
      <c r="S88" s="13"/>
      <c r="T88" s="13"/>
      <c r="U88" s="13"/>
      <c r="V88" s="13"/>
    </row>
    <row r="89" spans="1:22" s="16" customFormat="1">
      <c r="A89" s="13" t="s">
        <v>816</v>
      </c>
      <c r="B89" s="29">
        <f>M38*(1-B13)</f>
        <v>7466.3999999999987</v>
      </c>
      <c r="C89" s="172" t="s">
        <v>805</v>
      </c>
      <c r="D89" s="16">
        <v>1</v>
      </c>
      <c r="E89" s="16">
        <v>1</v>
      </c>
      <c r="F89" s="31">
        <f t="shared" si="10"/>
        <v>7466.3999999999987</v>
      </c>
      <c r="G89" s="32">
        <f t="shared" si="9"/>
        <v>114.65249838764164</v>
      </c>
      <c r="H89" s="188"/>
      <c r="I89" s="188"/>
      <c r="J89" s="188"/>
      <c r="K89" s="12" t="s">
        <v>783</v>
      </c>
      <c r="L89" s="13"/>
      <c r="M89" s="13"/>
      <c r="N89" s="13"/>
      <c r="O89" s="13"/>
      <c r="P89" s="13"/>
      <c r="Q89" s="13"/>
      <c r="R89" s="13"/>
      <c r="S89" s="13"/>
      <c r="T89" s="13"/>
      <c r="U89" s="13"/>
      <c r="V89" s="13"/>
    </row>
    <row r="90" spans="1:22">
      <c r="A90" s="13" t="s">
        <v>818</v>
      </c>
      <c r="B90" s="29">
        <f>SUM((1-B13)*(Q11+Q12),(1-B13)*Q13*Q15,(1-B13)*Q14*Q16)</f>
        <v>69102.199999999983</v>
      </c>
      <c r="C90" s="172" t="s">
        <v>805</v>
      </c>
      <c r="D90" s="16">
        <v>1</v>
      </c>
      <c r="E90" s="16">
        <v>1</v>
      </c>
      <c r="F90" s="31">
        <f t="shared" si="10"/>
        <v>69102.199999999983</v>
      </c>
      <c r="G90" s="32">
        <f t="shared" si="9"/>
        <v>1061.1191302478423</v>
      </c>
      <c r="H90" s="188"/>
      <c r="I90" s="188"/>
      <c r="J90" s="188"/>
      <c r="K90" s="12" t="s">
        <v>783</v>
      </c>
    </row>
    <row r="91" spans="1:22">
      <c r="A91" s="13" t="s">
        <v>822</v>
      </c>
      <c r="B91" s="29">
        <f>Q24*(1-B13)</f>
        <v>44885.599999999991</v>
      </c>
      <c r="C91" s="172" t="s">
        <v>805</v>
      </c>
      <c r="D91" s="16">
        <v>1</v>
      </c>
      <c r="E91" s="16">
        <v>1</v>
      </c>
      <c r="F91" s="31">
        <f t="shared" si="10"/>
        <v>44885.599999999991</v>
      </c>
      <c r="G91" s="32">
        <f t="shared" si="9"/>
        <v>689.25401554006316</v>
      </c>
      <c r="H91" s="188"/>
      <c r="I91" s="188"/>
      <c r="J91" s="188"/>
      <c r="K91" s="12" t="s">
        <v>783</v>
      </c>
    </row>
    <row r="92" spans="1:22">
      <c r="A92" s="13" t="s">
        <v>823</v>
      </c>
      <c r="B92" s="29">
        <f>Q25*(1-B13)</f>
        <v>46591.999999999993</v>
      </c>
      <c r="C92" s="172" t="s">
        <v>805</v>
      </c>
      <c r="D92" s="16">
        <v>1</v>
      </c>
      <c r="E92" s="16">
        <v>1</v>
      </c>
      <c r="F92" s="31">
        <f t="shared" si="10"/>
        <v>46591.999999999993</v>
      </c>
      <c r="G92" s="32">
        <f t="shared" si="9"/>
        <v>715.45714197966879</v>
      </c>
      <c r="H92" s="188"/>
      <c r="I92" s="188"/>
      <c r="J92" s="188"/>
      <c r="K92" s="12" t="s">
        <v>783</v>
      </c>
    </row>
    <row r="93" spans="1:22">
      <c r="A93" s="13" t="s">
        <v>824</v>
      </c>
      <c r="B93" s="29">
        <f>Q37*(1-B13)</f>
        <v>28799.999999999993</v>
      </c>
      <c r="C93" s="172" t="s">
        <v>805</v>
      </c>
      <c r="D93" s="16">
        <v>1</v>
      </c>
      <c r="E93" s="16">
        <v>1</v>
      </c>
      <c r="F93" s="31">
        <f t="shared" si="10"/>
        <v>28799.999999999993</v>
      </c>
      <c r="G93" s="32">
        <f t="shared" si="9"/>
        <v>442.24685974017984</v>
      </c>
      <c r="H93" s="188"/>
      <c r="I93" s="188"/>
      <c r="J93" s="188"/>
      <c r="K93" s="12" t="s">
        <v>784</v>
      </c>
    </row>
    <row r="94" spans="1:22">
      <c r="A94" s="13" t="s">
        <v>827</v>
      </c>
      <c r="B94" s="29">
        <f>Q38*(1-B13)</f>
        <v>627.99999999999989</v>
      </c>
      <c r="C94" s="172" t="s">
        <v>805</v>
      </c>
      <c r="D94" s="16">
        <f>Q39</f>
        <v>50</v>
      </c>
      <c r="E94" s="16">
        <v>1</v>
      </c>
      <c r="F94" s="31">
        <f t="shared" si="10"/>
        <v>31399.999999999993</v>
      </c>
      <c r="G94" s="32">
        <f t="shared" si="9"/>
        <v>482.17192346672391</v>
      </c>
      <c r="H94" s="188"/>
      <c r="I94" s="188"/>
      <c r="J94" s="188"/>
      <c r="K94" s="12" t="s">
        <v>783</v>
      </c>
    </row>
    <row r="95" spans="1:22">
      <c r="A95" s="13" t="s">
        <v>837</v>
      </c>
      <c r="B95" s="29">
        <f>U10</f>
        <v>100</v>
      </c>
      <c r="C95" s="172" t="s">
        <v>805</v>
      </c>
      <c r="D95" s="177">
        <f>U57</f>
        <v>0</v>
      </c>
      <c r="E95" s="16">
        <v>1</v>
      </c>
      <c r="F95" s="31">
        <f t="shared" si="10"/>
        <v>0</v>
      </c>
      <c r="G95" s="32">
        <f t="shared" si="9"/>
        <v>0</v>
      </c>
      <c r="H95" s="188"/>
      <c r="I95" s="188"/>
      <c r="J95" s="188"/>
      <c r="K95" s="12" t="s">
        <v>785</v>
      </c>
    </row>
    <row r="96" spans="1:22">
      <c r="A96" s="13" t="s">
        <v>838</v>
      </c>
      <c r="B96" s="29">
        <f t="shared" ref="B96:B103" si="11">U11</f>
        <v>150</v>
      </c>
      <c r="C96" s="172" t="s">
        <v>805</v>
      </c>
      <c r="D96" s="177">
        <f t="shared" ref="D96:D97" si="12">U58</f>
        <v>0</v>
      </c>
      <c r="E96" s="16">
        <v>1</v>
      </c>
      <c r="F96" s="31">
        <f t="shared" si="10"/>
        <v>0</v>
      </c>
      <c r="G96" s="32">
        <f t="shared" si="9"/>
        <v>0</v>
      </c>
      <c r="H96" s="188"/>
      <c r="I96" s="188"/>
      <c r="J96" s="188"/>
      <c r="K96" s="12" t="s">
        <v>785</v>
      </c>
    </row>
    <row r="97" spans="1:11">
      <c r="A97" s="13" t="s">
        <v>839</v>
      </c>
      <c r="B97" s="29">
        <f t="shared" si="11"/>
        <v>75</v>
      </c>
      <c r="C97" s="172" t="s">
        <v>805</v>
      </c>
      <c r="D97" s="177">
        <f t="shared" si="12"/>
        <v>0</v>
      </c>
      <c r="E97" s="16">
        <v>1</v>
      </c>
      <c r="F97" s="31">
        <f t="shared" si="10"/>
        <v>0</v>
      </c>
      <c r="G97" s="32">
        <f t="shared" si="9"/>
        <v>0</v>
      </c>
      <c r="H97" s="188"/>
      <c r="I97" s="188"/>
      <c r="J97" s="188"/>
      <c r="K97" s="12" t="s">
        <v>785</v>
      </c>
    </row>
    <row r="98" spans="1:11">
      <c r="A98" s="13" t="s">
        <v>840</v>
      </c>
      <c r="B98" s="29">
        <f t="shared" si="11"/>
        <v>3.25</v>
      </c>
      <c r="C98" s="172" t="s">
        <v>805</v>
      </c>
      <c r="D98" s="16">
        <f>U51</f>
        <v>0</v>
      </c>
      <c r="E98" s="16">
        <v>1</v>
      </c>
      <c r="F98" s="31">
        <f t="shared" si="10"/>
        <v>0</v>
      </c>
      <c r="G98" s="32">
        <f t="shared" si="9"/>
        <v>0</v>
      </c>
      <c r="H98" s="188"/>
      <c r="I98" s="188"/>
      <c r="J98" s="188"/>
      <c r="K98" s="12" t="s">
        <v>785</v>
      </c>
    </row>
    <row r="99" spans="1:11">
      <c r="A99" s="13" t="s">
        <v>842</v>
      </c>
      <c r="B99" s="29">
        <f t="shared" si="11"/>
        <v>137.15</v>
      </c>
      <c r="C99" s="172" t="s">
        <v>805</v>
      </c>
      <c r="D99" s="16">
        <f t="shared" ref="D99:D103" si="13">U52</f>
        <v>0</v>
      </c>
      <c r="E99" s="16">
        <v>1</v>
      </c>
      <c r="F99" s="31">
        <f t="shared" si="10"/>
        <v>0</v>
      </c>
      <c r="G99" s="32">
        <f t="shared" si="9"/>
        <v>0</v>
      </c>
      <c r="H99" s="188"/>
      <c r="I99" s="188"/>
      <c r="J99" s="188"/>
      <c r="K99" s="12" t="s">
        <v>785</v>
      </c>
    </row>
    <row r="100" spans="1:11">
      <c r="A100" s="13" t="s">
        <v>841</v>
      </c>
      <c r="B100" s="29">
        <f t="shared" si="11"/>
        <v>32.5</v>
      </c>
      <c r="C100" s="172" t="s">
        <v>805</v>
      </c>
      <c r="D100" s="16">
        <f t="shared" si="13"/>
        <v>0</v>
      </c>
      <c r="E100" s="16">
        <v>1</v>
      </c>
      <c r="F100" s="31">
        <f t="shared" si="10"/>
        <v>0</v>
      </c>
      <c r="G100" s="32">
        <f t="shared" si="9"/>
        <v>0</v>
      </c>
      <c r="H100" s="188"/>
      <c r="I100" s="188"/>
      <c r="J100" s="188"/>
      <c r="K100" s="12" t="s">
        <v>785</v>
      </c>
    </row>
    <row r="101" spans="1:11">
      <c r="A101" s="13" t="s">
        <v>843</v>
      </c>
      <c r="B101" s="29">
        <f t="shared" si="11"/>
        <v>1.95</v>
      </c>
      <c r="C101" s="172" t="s">
        <v>805</v>
      </c>
      <c r="D101" s="16">
        <f t="shared" si="13"/>
        <v>0</v>
      </c>
      <c r="E101" s="16">
        <v>1</v>
      </c>
      <c r="F101" s="31">
        <f t="shared" si="10"/>
        <v>0</v>
      </c>
      <c r="G101" s="32">
        <f t="shared" si="9"/>
        <v>0</v>
      </c>
      <c r="H101" s="188"/>
      <c r="I101" s="188"/>
      <c r="J101" s="188"/>
      <c r="K101" s="12" t="s">
        <v>785</v>
      </c>
    </row>
    <row r="102" spans="1:11">
      <c r="A102" s="13" t="s">
        <v>844</v>
      </c>
      <c r="B102" s="29">
        <f t="shared" si="11"/>
        <v>1.95</v>
      </c>
      <c r="C102" s="172" t="s">
        <v>805</v>
      </c>
      <c r="D102" s="16">
        <f t="shared" si="13"/>
        <v>0</v>
      </c>
      <c r="E102" s="16">
        <v>1</v>
      </c>
      <c r="F102" s="31">
        <f t="shared" si="10"/>
        <v>0</v>
      </c>
      <c r="G102" s="32">
        <f t="shared" si="9"/>
        <v>0</v>
      </c>
      <c r="H102" s="188"/>
      <c r="I102" s="188"/>
      <c r="J102" s="188"/>
      <c r="K102" s="12" t="s">
        <v>785</v>
      </c>
    </row>
    <row r="103" spans="1:11">
      <c r="A103" s="13" t="s">
        <v>845</v>
      </c>
      <c r="B103" s="29">
        <f t="shared" si="11"/>
        <v>2.6</v>
      </c>
      <c r="C103" s="172" t="s">
        <v>805</v>
      </c>
      <c r="D103" s="16">
        <f t="shared" si="13"/>
        <v>0</v>
      </c>
      <c r="E103" s="16">
        <v>1</v>
      </c>
      <c r="F103" s="31">
        <f t="shared" si="10"/>
        <v>0</v>
      </c>
      <c r="G103" s="32">
        <f t="shared" si="9"/>
        <v>0</v>
      </c>
      <c r="H103" s="188"/>
      <c r="I103" s="188"/>
      <c r="J103" s="188"/>
      <c r="K103" s="12" t="s">
        <v>785</v>
      </c>
    </row>
  </sheetData>
  <pageMargins left="0" right="0" top="0.25" bottom="0.25" header="0.3" footer="0.3"/>
  <pageSetup orientation="landscape" r:id="rId1"/>
  <ignoredErrors>
    <ignoredError sqref="B64 B23" formulaRange="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A1:Z89"/>
  <sheetViews>
    <sheetView tabSelected="1" zoomScale="85" zoomScaleNormal="85" workbookViewId="0">
      <selection activeCell="I24" sqref="I24"/>
    </sheetView>
  </sheetViews>
  <sheetFormatPr baseColWidth="10" defaultColWidth="8.83203125" defaultRowHeight="14"/>
  <cols>
    <col min="1" max="1" width="39.83203125" style="13" customWidth="1"/>
    <col min="2" max="2" width="10" style="16" customWidth="1"/>
    <col min="3" max="3" width="8.5" style="16" customWidth="1"/>
    <col min="4" max="5" width="9.6640625" style="16" customWidth="1"/>
    <col min="6" max="6" width="21.6640625" style="16" customWidth="1"/>
    <col min="7" max="8" width="11.6640625" style="16" customWidth="1"/>
    <col min="9" max="9" width="28.5" style="16" customWidth="1"/>
    <col min="10" max="10" width="11.6640625" style="16" customWidth="1"/>
    <col min="11" max="11" width="7.6640625" style="16" hidden="1" customWidth="1"/>
    <col min="12" max="12" width="30.5" style="13" customWidth="1"/>
    <col min="13" max="13" width="9.83203125" style="13" bestFit="1" customWidth="1"/>
    <col min="14" max="15" width="8.83203125" style="13"/>
    <col min="16" max="16" width="27.5" style="13" customWidth="1"/>
    <col min="17" max="17" width="17.83203125" style="13" customWidth="1"/>
    <col min="18" max="19" width="8.83203125" style="13"/>
    <col min="20" max="20" width="26.83203125" style="13" customWidth="1"/>
    <col min="21" max="21" width="11.6640625" style="13" customWidth="1"/>
    <col min="22" max="22" width="11.83203125" style="13" customWidth="1"/>
    <col min="23" max="16384" width="8.83203125" style="13"/>
  </cols>
  <sheetData>
    <row r="1" spans="1:25" ht="12.75" customHeight="1">
      <c r="A1" s="40" t="s">
        <v>4</v>
      </c>
      <c r="B1" s="50" t="s">
        <v>712</v>
      </c>
      <c r="C1" s="38"/>
      <c r="D1" s="38"/>
      <c r="E1" s="38"/>
      <c r="F1" s="39"/>
      <c r="G1" s="39"/>
      <c r="H1" s="39"/>
      <c r="I1" s="51"/>
      <c r="K1" s="12"/>
    </row>
    <row r="2" spans="1:25" ht="12.75" customHeight="1">
      <c r="A2" s="52" t="s">
        <v>5</v>
      </c>
      <c r="B2" s="43" t="s">
        <v>713</v>
      </c>
      <c r="C2" s="171"/>
      <c r="D2" s="171"/>
      <c r="E2" s="171"/>
      <c r="F2" s="171"/>
      <c r="G2" s="171"/>
      <c r="H2" s="171"/>
      <c r="I2" s="53"/>
    </row>
    <row r="3" spans="1:25" ht="12.75" customHeight="1">
      <c r="A3" s="52" t="s">
        <v>6</v>
      </c>
      <c r="B3" s="54"/>
      <c r="C3" s="55"/>
      <c r="D3" s="171"/>
      <c r="E3" s="171"/>
      <c r="F3" s="171"/>
      <c r="G3" s="171"/>
      <c r="H3" s="171"/>
      <c r="I3" s="53"/>
    </row>
    <row r="4" spans="1:25" ht="12.75" customHeight="1">
      <c r="A4" s="52" t="s">
        <v>7</v>
      </c>
      <c r="B4" s="43" t="s">
        <v>714</v>
      </c>
      <c r="C4" s="171"/>
      <c r="D4" s="171"/>
      <c r="E4" s="171"/>
      <c r="F4" s="171"/>
      <c r="G4" s="171"/>
      <c r="H4" s="171"/>
      <c r="I4" s="53"/>
    </row>
    <row r="5" spans="1:25" ht="12.75" customHeight="1">
      <c r="A5" s="52" t="s">
        <v>8</v>
      </c>
      <c r="B5" s="61">
        <v>2016</v>
      </c>
      <c r="C5" s="56"/>
      <c r="D5" s="171"/>
      <c r="E5" s="171"/>
      <c r="F5" s="171"/>
      <c r="G5" s="171"/>
      <c r="H5" s="171"/>
      <c r="I5" s="53"/>
    </row>
    <row r="6" spans="1:25" ht="12.75" customHeight="1">
      <c r="A6" s="52" t="s">
        <v>19</v>
      </c>
      <c r="B6" s="43">
        <v>2018</v>
      </c>
      <c r="C6" s="56"/>
      <c r="D6" s="171"/>
      <c r="E6" s="171"/>
      <c r="F6" s="171"/>
      <c r="G6" s="171"/>
      <c r="H6" s="171"/>
      <c r="I6" s="53"/>
      <c r="K6" s="12"/>
      <c r="L6" s="204" t="s">
        <v>888</v>
      </c>
      <c r="M6" s="204">
        <v>0</v>
      </c>
    </row>
    <row r="7" spans="1:25" ht="12.75" customHeight="1" thickBot="1">
      <c r="A7" s="57" t="s">
        <v>24</v>
      </c>
      <c r="B7" s="47" t="s">
        <v>715</v>
      </c>
      <c r="C7" s="58"/>
      <c r="D7" s="59"/>
      <c r="E7" s="59"/>
      <c r="F7" s="59"/>
      <c r="G7" s="59"/>
      <c r="H7" s="59"/>
      <c r="I7" s="60"/>
      <c r="K7" s="12"/>
      <c r="L7" s="204" t="s">
        <v>887</v>
      </c>
      <c r="M7" s="204">
        <v>0</v>
      </c>
    </row>
    <row r="8" spans="1:25" ht="12.75" customHeight="1">
      <c r="A8" s="14"/>
      <c r="G8" s="12"/>
      <c r="H8" s="12"/>
      <c r="I8" s="12"/>
      <c r="J8" s="12"/>
      <c r="K8" s="18"/>
    </row>
    <row r="9" spans="1:25" ht="12.75" customHeight="1">
      <c r="A9" s="10" t="s">
        <v>9</v>
      </c>
      <c r="B9" s="11" t="s">
        <v>10</v>
      </c>
      <c r="C9" s="11" t="s">
        <v>11</v>
      </c>
      <c r="F9" s="10" t="s">
        <v>694</v>
      </c>
      <c r="G9" s="11" t="s">
        <v>10</v>
      </c>
      <c r="H9" s="11" t="s">
        <v>11</v>
      </c>
      <c r="I9" s="17"/>
      <c r="K9" s="18"/>
      <c r="L9" s="10" t="s">
        <v>648</v>
      </c>
      <c r="M9" s="11" t="s">
        <v>10</v>
      </c>
      <c r="N9" s="11" t="s">
        <v>11</v>
      </c>
      <c r="P9" s="10" t="s">
        <v>729</v>
      </c>
      <c r="Q9" s="11" t="s">
        <v>10</v>
      </c>
      <c r="R9" s="11" t="s">
        <v>11</v>
      </c>
      <c r="T9" s="10" t="s">
        <v>742</v>
      </c>
      <c r="U9" s="11" t="s">
        <v>10</v>
      </c>
      <c r="V9" s="11" t="s">
        <v>11</v>
      </c>
    </row>
    <row r="10" spans="1:25" ht="12.75" customHeight="1">
      <c r="A10" s="18" t="s">
        <v>12</v>
      </c>
      <c r="B10" s="12">
        <f>'0 - Total Costs'!B10</f>
        <v>15</v>
      </c>
      <c r="C10" s="12" t="s">
        <v>711</v>
      </c>
      <c r="D10" s="12"/>
      <c r="E10" s="12"/>
      <c r="F10" s="13" t="s">
        <v>660</v>
      </c>
      <c r="G10" s="177">
        <f>'0 - Total Costs'!G10*$B$20</f>
        <v>5.2966101694915252E-2</v>
      </c>
      <c r="H10" s="16" t="s">
        <v>655</v>
      </c>
      <c r="I10" s="12"/>
      <c r="K10" s="18"/>
      <c r="L10" s="204" t="s">
        <v>651</v>
      </c>
      <c r="M10" s="205">
        <f>'0 - Total Costs'!M10*B$20</f>
        <v>0.18050847457627117</v>
      </c>
      <c r="N10" s="206" t="s">
        <v>700</v>
      </c>
      <c r="P10" s="13" t="s">
        <v>719</v>
      </c>
      <c r="Q10" s="23">
        <f>'0 - Total Costs'!Q10*$B$20</f>
        <v>38.135593220338983</v>
      </c>
      <c r="R10" s="16" t="s">
        <v>655</v>
      </c>
      <c r="T10" s="13" t="s">
        <v>743</v>
      </c>
      <c r="U10" s="177">
        <f>'0 - Total Costs'!U10</f>
        <v>100</v>
      </c>
      <c r="V10" s="16" t="s">
        <v>655</v>
      </c>
    </row>
    <row r="11" spans="1:25" ht="12.75" customHeight="1">
      <c r="A11" s="198" t="s">
        <v>885</v>
      </c>
      <c r="B11" s="176">
        <v>1</v>
      </c>
      <c r="C11" s="176" t="s">
        <v>716</v>
      </c>
      <c r="D11" s="12"/>
      <c r="E11" s="12"/>
      <c r="F11" s="13" t="s">
        <v>645</v>
      </c>
      <c r="G11" s="177">
        <f>'0 - Total Costs'!G11*$B$20</f>
        <v>3.192372881355932</v>
      </c>
      <c r="H11" s="16" t="s">
        <v>655</v>
      </c>
      <c r="I11" s="12"/>
      <c r="K11" s="18"/>
      <c r="L11" s="204" t="s">
        <v>649</v>
      </c>
      <c r="M11" s="205">
        <f>'0 - Total Costs'!M11*B$20</f>
        <v>5.635593220338983E-2</v>
      </c>
      <c r="N11" s="206" t="s">
        <v>700</v>
      </c>
      <c r="P11" s="13" t="s">
        <v>720</v>
      </c>
      <c r="Q11" s="23">
        <f>'0 - Total Costs'!Q11*$B$20</f>
        <v>77.97076271186441</v>
      </c>
      <c r="R11" s="16" t="s">
        <v>655</v>
      </c>
      <c r="T11" s="13" t="s">
        <v>744</v>
      </c>
      <c r="U11" s="177">
        <f>'0 - Total Costs'!U11</f>
        <v>150</v>
      </c>
      <c r="V11" s="16" t="s">
        <v>655</v>
      </c>
    </row>
    <row r="12" spans="1:25" ht="12.75" customHeight="1">
      <c r="A12" s="18"/>
      <c r="B12" s="21"/>
      <c r="C12" s="12"/>
      <c r="D12" s="12"/>
      <c r="E12" s="12"/>
      <c r="F12" s="13" t="s">
        <v>664</v>
      </c>
      <c r="G12" s="177">
        <f>'0 - Total Costs'!G12*$B$20</f>
        <v>6.7372881355932197</v>
      </c>
      <c r="H12" s="16" t="s">
        <v>655</v>
      </c>
      <c r="I12" s="12"/>
      <c r="K12" s="18"/>
      <c r="L12" s="204" t="s">
        <v>657</v>
      </c>
      <c r="M12" s="205">
        <f>'0 - Total Costs'!M12*B$20</f>
        <v>3.0508474576271184E-2</v>
      </c>
      <c r="N12" s="206" t="s">
        <v>700</v>
      </c>
      <c r="P12" s="13" t="s">
        <v>721</v>
      </c>
      <c r="Q12" s="23">
        <f>'0 - Total Costs'!Q12*$B$20</f>
        <v>42.457627118644069</v>
      </c>
      <c r="R12" s="16" t="s">
        <v>655</v>
      </c>
      <c r="T12" s="13" t="s">
        <v>745</v>
      </c>
      <c r="U12" s="177">
        <f>'0 - Total Costs'!U12</f>
        <v>75</v>
      </c>
      <c r="V12" s="16" t="s">
        <v>655</v>
      </c>
    </row>
    <row r="13" spans="1:25" ht="12.75" customHeight="1">
      <c r="A13" s="18" t="s">
        <v>0</v>
      </c>
      <c r="B13" s="20">
        <f>Comparisons!C6</f>
        <v>0.1</v>
      </c>
      <c r="C13" s="12" t="s">
        <v>788</v>
      </c>
      <c r="D13" s="12"/>
      <c r="E13" s="12"/>
      <c r="F13" s="13" t="s">
        <v>666</v>
      </c>
      <c r="G13" s="177">
        <f>'0 - Total Costs'!G13*$B$20</f>
        <v>2.4999915254237286</v>
      </c>
      <c r="H13" s="16" t="s">
        <v>655</v>
      </c>
      <c r="I13" s="12"/>
      <c r="J13" s="12"/>
      <c r="K13" s="18"/>
      <c r="L13" s="204" t="s">
        <v>650</v>
      </c>
      <c r="M13" s="205">
        <f>'0 - Total Costs'!M13*B$20</f>
        <v>2.4520466101694914E-2</v>
      </c>
      <c r="N13" s="206" t="s">
        <v>700</v>
      </c>
      <c r="P13" s="13" t="s">
        <v>722</v>
      </c>
      <c r="Q13" s="23">
        <f>'0 - Total Costs'!Q13</f>
        <v>800</v>
      </c>
      <c r="R13" s="16" t="s">
        <v>655</v>
      </c>
      <c r="T13" s="13" t="s">
        <v>746</v>
      </c>
      <c r="U13" s="177">
        <f>'0 - Total Costs'!U13</f>
        <v>3.25</v>
      </c>
      <c r="V13" s="16" t="s">
        <v>655</v>
      </c>
    </row>
    <row r="14" spans="1:25" ht="12.75" customHeight="1">
      <c r="A14" s="18" t="s">
        <v>717</v>
      </c>
      <c r="B14" s="25">
        <v>65.122</v>
      </c>
      <c r="C14" s="12" t="s">
        <v>23</v>
      </c>
      <c r="D14" s="12"/>
      <c r="E14" s="12"/>
      <c r="F14" s="13" t="s">
        <v>665</v>
      </c>
      <c r="G14" s="177">
        <f>'0 - Total Costs'!G14*$B$20</f>
        <v>9.3220338983050848</v>
      </c>
      <c r="H14" s="16" t="s">
        <v>655</v>
      </c>
      <c r="I14" s="12"/>
      <c r="J14" s="12"/>
      <c r="L14" s="204" t="s">
        <v>652</v>
      </c>
      <c r="M14" s="205">
        <f>'0 - Total Costs'!M14*B20</f>
        <v>0.14830508474576271</v>
      </c>
      <c r="N14" s="206" t="s">
        <v>655</v>
      </c>
      <c r="P14" s="13" t="s">
        <v>723</v>
      </c>
      <c r="Q14" s="23">
        <f>'0 - Total Costs'!Q14</f>
        <v>300</v>
      </c>
      <c r="R14" s="16" t="s">
        <v>655</v>
      </c>
      <c r="T14" s="13" t="s">
        <v>747</v>
      </c>
      <c r="U14" s="177">
        <f>'0 - Total Costs'!U14</f>
        <v>137.15</v>
      </c>
      <c r="V14" s="16" t="s">
        <v>655</v>
      </c>
    </row>
    <row r="15" spans="1:25" ht="12.75" customHeight="1">
      <c r="A15" s="18"/>
      <c r="B15" s="25"/>
      <c r="C15" s="12"/>
      <c r="D15" s="12"/>
      <c r="E15" s="12"/>
      <c r="F15" s="13" t="s">
        <v>661</v>
      </c>
      <c r="G15" s="177">
        <f>'0 - Total Costs'!G15*$B$20</f>
        <v>0.76271186440677963</v>
      </c>
      <c r="H15" s="16" t="s">
        <v>655</v>
      </c>
      <c r="I15" s="12"/>
      <c r="J15" s="22"/>
      <c r="L15" s="204" t="s">
        <v>653</v>
      </c>
      <c r="M15" s="205">
        <f>B20*'0 - Total Costs'!M15</f>
        <v>0.22245762711864406</v>
      </c>
      <c r="N15" s="206" t="s">
        <v>655</v>
      </c>
      <c r="P15" s="13" t="s">
        <v>724</v>
      </c>
      <c r="Q15" s="23">
        <f>'0 - Total Costs'!Q15*$B$20</f>
        <v>3.1355932203389829E-2</v>
      </c>
      <c r="R15" s="16" t="s">
        <v>768</v>
      </c>
      <c r="T15" s="13" t="s">
        <v>748</v>
      </c>
      <c r="U15" s="177">
        <f>'0 - Total Costs'!U15</f>
        <v>32.5</v>
      </c>
      <c r="V15" s="16" t="s">
        <v>655</v>
      </c>
    </row>
    <row r="16" spans="1:25" s="27" customFormat="1" ht="12.75" customHeight="1">
      <c r="A16" s="13"/>
      <c r="B16" s="16"/>
      <c r="C16" s="16"/>
      <c r="D16" s="12"/>
      <c r="E16" s="12"/>
      <c r="F16" s="13" t="s">
        <v>663</v>
      </c>
      <c r="G16" s="177">
        <f>'0 - Total Costs'!G16*$B$20</f>
        <v>6.0305</v>
      </c>
      <c r="H16" s="16" t="s">
        <v>655</v>
      </c>
      <c r="I16" s="12"/>
      <c r="J16" s="22"/>
      <c r="K16" s="9"/>
      <c r="L16" s="204" t="s">
        <v>656</v>
      </c>
      <c r="M16" s="205">
        <f>B20*'0 - Total Costs'!M16</f>
        <v>0.25423728813559321</v>
      </c>
      <c r="N16" s="206" t="s">
        <v>655</v>
      </c>
      <c r="P16" s="13" t="s">
        <v>725</v>
      </c>
      <c r="Q16" s="23">
        <f>'0 - Total Costs'!Q16*$B$20</f>
        <v>2.9661016949152543E-3</v>
      </c>
      <c r="R16" s="16" t="s">
        <v>768</v>
      </c>
      <c r="T16" s="175" t="s">
        <v>749</v>
      </c>
      <c r="U16" s="177">
        <f>'0 - Total Costs'!U16</f>
        <v>1.95</v>
      </c>
      <c r="V16" s="16" t="s">
        <v>655</v>
      </c>
      <c r="Y16" s="197" t="s">
        <v>884</v>
      </c>
    </row>
    <row r="17" spans="1:26" ht="12.75" customHeight="1">
      <c r="A17" s="13" t="s">
        <v>718</v>
      </c>
      <c r="B17" s="16">
        <f>'0 - Total Costs'!B19</f>
        <v>2360</v>
      </c>
      <c r="C17" s="16" t="s">
        <v>716</v>
      </c>
      <c r="D17" s="12"/>
      <c r="E17" s="12"/>
      <c r="F17" s="13" t="s">
        <v>662</v>
      </c>
      <c r="G17" s="177">
        <f>'0 - Total Costs'!G17*$B$20</f>
        <v>21.10163559322034</v>
      </c>
      <c r="H17" s="16" t="s">
        <v>655</v>
      </c>
      <c r="I17" s="12"/>
      <c r="J17" s="22"/>
      <c r="K17" s="172"/>
      <c r="L17" s="204" t="s">
        <v>654</v>
      </c>
      <c r="M17" s="205">
        <f>'0 - Total Costs'!M17*B20</f>
        <v>0.37966101694915255</v>
      </c>
      <c r="N17" s="206" t="s">
        <v>655</v>
      </c>
      <c r="P17" s="13" t="s">
        <v>726</v>
      </c>
      <c r="Q17" s="23">
        <f>'0 - Total Costs'!Q17*$B$20</f>
        <v>4.7457627118644066</v>
      </c>
      <c r="R17" s="16" t="s">
        <v>655</v>
      </c>
      <c r="T17" s="175" t="s">
        <v>750</v>
      </c>
      <c r="U17" s="177">
        <f>'0 - Total Costs'!U17</f>
        <v>1.95</v>
      </c>
      <c r="V17" s="16" t="s">
        <v>655</v>
      </c>
      <c r="Y17" s="198" t="s">
        <v>881</v>
      </c>
      <c r="Z17" s="183">
        <v>0</v>
      </c>
    </row>
    <row r="18" spans="1:26" ht="12.75" customHeight="1">
      <c r="A18" s="13" t="s">
        <v>792</v>
      </c>
      <c r="B18" s="16">
        <v>903</v>
      </c>
      <c r="C18" s="16" t="s">
        <v>716</v>
      </c>
      <c r="D18" s="12"/>
      <c r="E18" s="12"/>
      <c r="F18" s="178" t="s">
        <v>687</v>
      </c>
      <c r="G18" s="177">
        <f>'0 - Total Costs'!G18</f>
        <v>1</v>
      </c>
      <c r="H18" s="179" t="s">
        <v>702</v>
      </c>
      <c r="I18" s="12"/>
      <c r="J18" s="22"/>
      <c r="K18" s="172"/>
      <c r="L18" s="204" t="s">
        <v>658</v>
      </c>
      <c r="M18" s="205">
        <f>'0 - Total Costs'!M18*B$20</f>
        <v>40.211864406779661</v>
      </c>
      <c r="N18" s="206" t="s">
        <v>655</v>
      </c>
      <c r="T18" s="175" t="s">
        <v>751</v>
      </c>
      <c r="U18" s="177">
        <f>'0 - Total Costs'!U18</f>
        <v>2.6</v>
      </c>
      <c r="V18" s="16" t="s">
        <v>655</v>
      </c>
      <c r="Y18" s="198" t="s">
        <v>882</v>
      </c>
      <c r="Z18" s="183">
        <v>0</v>
      </c>
    </row>
    <row r="19" spans="1:26" ht="12.75" customHeight="1">
      <c r="A19" s="13" t="s">
        <v>868</v>
      </c>
      <c r="B19" s="23">
        <v>91.024285714285725</v>
      </c>
      <c r="C19" s="16" t="s">
        <v>787</v>
      </c>
      <c r="D19" s="12"/>
      <c r="E19" s="12"/>
      <c r="F19" s="178" t="s">
        <v>688</v>
      </c>
      <c r="G19" s="177">
        <f>'0 - Total Costs'!G19</f>
        <v>24</v>
      </c>
      <c r="H19" s="179" t="s">
        <v>702</v>
      </c>
      <c r="I19" s="12"/>
      <c r="J19" s="22"/>
      <c r="K19" s="172"/>
      <c r="L19" s="204" t="s">
        <v>761</v>
      </c>
      <c r="M19" s="205">
        <f>'0 - Total Costs'!M19*B$20</f>
        <v>0.63559322033898302</v>
      </c>
      <c r="N19" s="206" t="s">
        <v>655</v>
      </c>
      <c r="T19" s="13" t="s">
        <v>752</v>
      </c>
      <c r="U19" s="177" t="e">
        <f>Z17*#REF!</f>
        <v>#REF!</v>
      </c>
      <c r="V19" s="16" t="s">
        <v>759</v>
      </c>
      <c r="Y19" s="198" t="s">
        <v>883</v>
      </c>
      <c r="Z19" s="183">
        <v>0</v>
      </c>
    </row>
    <row r="20" spans="1:26" ht="12.75" customHeight="1">
      <c r="A20" s="13" t="s">
        <v>896</v>
      </c>
      <c r="B20" s="24">
        <f>B11/B17</f>
        <v>4.2372881355932202E-4</v>
      </c>
      <c r="C20" s="16" t="s">
        <v>788</v>
      </c>
      <c r="D20" s="12"/>
      <c r="E20" s="12"/>
      <c r="F20" s="13" t="s">
        <v>667</v>
      </c>
      <c r="G20" s="177">
        <f>'0 - Total Costs'!G20*$B$20</f>
        <v>27.087288135593219</v>
      </c>
      <c r="H20" s="16" t="s">
        <v>655</v>
      </c>
      <c r="I20" s="12"/>
      <c r="J20" s="22"/>
      <c r="N20" s="16"/>
      <c r="T20" s="13" t="s">
        <v>753</v>
      </c>
      <c r="U20" s="177" t="e">
        <f>Z18*#REF!</f>
        <v>#REF!</v>
      </c>
      <c r="V20" s="16" t="s">
        <v>759</v>
      </c>
      <c r="Y20" s="198"/>
      <c r="Z20" s="198"/>
    </row>
    <row r="21" spans="1:26" ht="12.75" customHeight="1">
      <c r="A21" s="13" t="s">
        <v>791</v>
      </c>
      <c r="B21" s="23">
        <f>B19*B11</f>
        <v>91.024285714285725</v>
      </c>
      <c r="C21" s="16" t="s">
        <v>787</v>
      </c>
      <c r="D21" s="12"/>
      <c r="E21" s="12"/>
      <c r="F21" s="13" t="s">
        <v>668</v>
      </c>
      <c r="G21" s="177">
        <f>'0 - Total Costs'!G21*$B$20</f>
        <v>8.8703389830508463</v>
      </c>
      <c r="H21" s="16" t="s">
        <v>655</v>
      </c>
      <c r="I21" s="12"/>
      <c r="J21" s="22"/>
      <c r="K21" s="172"/>
      <c r="L21" s="10" t="s">
        <v>727</v>
      </c>
      <c r="M21" s="11" t="s">
        <v>10</v>
      </c>
      <c r="N21" s="11" t="s">
        <v>11</v>
      </c>
      <c r="P21" s="10" t="s">
        <v>732</v>
      </c>
      <c r="Q21" s="11" t="s">
        <v>10</v>
      </c>
      <c r="R21" s="11" t="s">
        <v>11</v>
      </c>
      <c r="T21" s="13" t="s">
        <v>754</v>
      </c>
      <c r="U21" s="177" t="e">
        <f>Z19*#REF!</f>
        <v>#REF!</v>
      </c>
      <c r="V21" s="16" t="s">
        <v>759</v>
      </c>
      <c r="Y21" s="198" t="s">
        <v>865</v>
      </c>
      <c r="Z21" s="176">
        <v>0</v>
      </c>
    </row>
    <row r="22" spans="1:26" ht="12.75" customHeight="1">
      <c r="A22" s="13" t="s">
        <v>789</v>
      </c>
      <c r="B22" s="20">
        <v>0.4</v>
      </c>
      <c r="C22" s="16" t="s">
        <v>788</v>
      </c>
      <c r="D22" s="12"/>
      <c r="E22" s="12"/>
      <c r="F22" s="13" t="s">
        <v>669</v>
      </c>
      <c r="G22" s="177">
        <f>'0 - Total Costs'!G22*$B$20</f>
        <v>18.96271186440676</v>
      </c>
      <c r="H22" s="16" t="s">
        <v>655</v>
      </c>
      <c r="I22" s="12"/>
      <c r="J22" s="22"/>
      <c r="K22" s="172"/>
      <c r="L22" s="217" t="s">
        <v>872</v>
      </c>
      <c r="M22" s="218">
        <f>'0 - Total Costs'!M22/M29</f>
        <v>228.61111111111111</v>
      </c>
      <c r="N22" s="219" t="s">
        <v>655</v>
      </c>
      <c r="P22" s="13" t="s">
        <v>730</v>
      </c>
      <c r="Q22" s="177">
        <f>'0 - Total Costs'!Q22*$B$20</f>
        <v>858.77118644067798</v>
      </c>
      <c r="R22" s="16" t="s">
        <v>655</v>
      </c>
      <c r="T22" s="13" t="s">
        <v>755</v>
      </c>
      <c r="U22" s="23">
        <f>0</f>
        <v>0</v>
      </c>
      <c r="V22" s="16" t="s">
        <v>758</v>
      </c>
      <c r="Y22" s="198" t="s">
        <v>866</v>
      </c>
      <c r="Z22" s="176">
        <v>0</v>
      </c>
    </row>
    <row r="23" spans="1:26" ht="12.75" customHeight="1">
      <c r="A23" s="13" t="s">
        <v>790</v>
      </c>
      <c r="B23" s="177">
        <f>B22*B21</f>
        <v>36.409714285714294</v>
      </c>
      <c r="C23" s="16" t="s">
        <v>787</v>
      </c>
      <c r="D23" s="12"/>
      <c r="E23" s="12"/>
      <c r="F23" s="13" t="s">
        <v>670</v>
      </c>
      <c r="G23" s="177">
        <f>'0 - Total Costs'!G23*$B$20</f>
        <v>8.6440677966101696</v>
      </c>
      <c r="H23" s="16" t="s">
        <v>655</v>
      </c>
      <c r="I23" s="12"/>
      <c r="J23" s="22"/>
      <c r="K23" s="172"/>
      <c r="L23" s="13" t="s">
        <v>691</v>
      </c>
      <c r="M23" s="23">
        <f>'0 - Total Costs'!M23</f>
        <v>175</v>
      </c>
      <c r="N23" s="16" t="s">
        <v>655</v>
      </c>
      <c r="P23" s="13" t="s">
        <v>731</v>
      </c>
      <c r="Q23" s="177">
        <f>'0 - Total Costs'!Q23*$B$20</f>
        <v>1.7796610169491525</v>
      </c>
      <c r="R23" s="16" t="s">
        <v>655</v>
      </c>
      <c r="T23" s="13" t="s">
        <v>756</v>
      </c>
      <c r="U23" s="23" t="e">
        <f>SUM(U20:U21)</f>
        <v>#REF!</v>
      </c>
      <c r="V23" s="16" t="s">
        <v>758</v>
      </c>
      <c r="Y23" s="198" t="s">
        <v>867</v>
      </c>
      <c r="Z23" s="176">
        <v>0</v>
      </c>
    </row>
    <row r="24" spans="1:26" ht="12.75" customHeight="1">
      <c r="A24" s="13" t="s">
        <v>869</v>
      </c>
      <c r="B24" s="177">
        <f>'0 - Total Costs'!B20*B20</f>
        <v>0.5919491525423729</v>
      </c>
      <c r="C24" s="16" t="s">
        <v>794</v>
      </c>
      <c r="D24" s="12"/>
      <c r="E24" s="12"/>
      <c r="F24" s="13" t="s">
        <v>671</v>
      </c>
      <c r="G24" s="177">
        <f>'0 - Total Costs'!G24*$B$20</f>
        <v>12.203389830508474</v>
      </c>
      <c r="H24" s="16" t="s">
        <v>655</v>
      </c>
      <c r="I24" s="12"/>
      <c r="J24" s="22"/>
      <c r="K24" s="172"/>
      <c r="L24" s="217" t="s">
        <v>690</v>
      </c>
      <c r="M24" s="218">
        <f>'0 - Total Costs'!M24*$B$20</f>
        <v>0.50847457627118642</v>
      </c>
      <c r="N24" s="219" t="s">
        <v>697</v>
      </c>
      <c r="P24" s="13" t="s">
        <v>733</v>
      </c>
      <c r="Q24" s="177">
        <f>'0 - Total Costs'!Q24*$B$20</f>
        <v>95.096610169491527</v>
      </c>
      <c r="R24" s="16" t="s">
        <v>655</v>
      </c>
      <c r="T24" s="13" t="s">
        <v>757</v>
      </c>
      <c r="U24" s="23" t="e">
        <f>U19</f>
        <v>#REF!</v>
      </c>
      <c r="V24" s="16" t="s">
        <v>758</v>
      </c>
    </row>
    <row r="25" spans="1:26" ht="12.75" customHeight="1">
      <c r="D25" s="12"/>
      <c r="E25" s="12"/>
      <c r="F25" s="13" t="s">
        <v>672</v>
      </c>
      <c r="G25" s="177">
        <f>'0 - Total Costs'!G25*$B$20</f>
        <v>6.101694915254237</v>
      </c>
      <c r="H25" s="16" t="s">
        <v>655</v>
      </c>
      <c r="I25" s="12"/>
      <c r="J25" s="22"/>
      <c r="K25" s="172"/>
      <c r="L25" s="13" t="s">
        <v>692</v>
      </c>
      <c r="M25" s="23">
        <f>'0 - Total Costs'!M25*$B$20</f>
        <v>0.71016949152542375</v>
      </c>
      <c r="N25" s="16" t="s">
        <v>698</v>
      </c>
      <c r="P25" s="18" t="s">
        <v>735</v>
      </c>
      <c r="Q25" s="177">
        <f>'0 - Total Costs'!Q25*$B$20</f>
        <v>98.711864406779654</v>
      </c>
      <c r="R25" s="16" t="s">
        <v>655</v>
      </c>
      <c r="T25" s="13" t="s">
        <v>743</v>
      </c>
      <c r="U25" s="23" t="e">
        <f>SUM(U19:U21)</f>
        <v>#REF!</v>
      </c>
      <c r="V25" s="16" t="s">
        <v>781</v>
      </c>
    </row>
    <row r="26" spans="1:26" ht="12.75" customHeight="1">
      <c r="A26" s="204" t="s">
        <v>870</v>
      </c>
      <c r="B26" s="206">
        <v>6</v>
      </c>
      <c r="C26" s="206" t="s">
        <v>702</v>
      </c>
      <c r="D26" s="12"/>
      <c r="E26" s="12"/>
      <c r="F26" s="19" t="s">
        <v>673</v>
      </c>
      <c r="G26" s="177">
        <f>'0 - Total Costs'!G26*$B$20</f>
        <v>3.8771186440677967</v>
      </c>
      <c r="H26" s="16" t="s">
        <v>655</v>
      </c>
      <c r="I26" s="12"/>
      <c r="J26" s="22"/>
      <c r="K26" s="172"/>
      <c r="L26" s="217" t="s">
        <v>693</v>
      </c>
      <c r="M26" s="218">
        <f>'0 - Total Costs'!M26</f>
        <v>16.576000000000001</v>
      </c>
      <c r="N26" s="219" t="s">
        <v>655</v>
      </c>
      <c r="Q26" s="16"/>
      <c r="R26" s="16"/>
      <c r="T26" s="13" t="s">
        <v>744</v>
      </c>
      <c r="U26" s="23" t="e">
        <f>U21</f>
        <v>#REF!</v>
      </c>
      <c r="V26" s="16" t="s">
        <v>781</v>
      </c>
    </row>
    <row r="27" spans="1:26" ht="12.75" customHeight="1">
      <c r="D27" s="12"/>
      <c r="E27" s="12"/>
      <c r="F27" s="18" t="s">
        <v>674</v>
      </c>
      <c r="G27" s="177">
        <f>'0 - Total Costs'!G27*$B$20</f>
        <v>25.847457627118644</v>
      </c>
      <c r="H27" s="16" t="s">
        <v>655</v>
      </c>
      <c r="I27" s="12"/>
      <c r="J27" s="22"/>
      <c r="K27" s="172"/>
      <c r="L27" s="13" t="s">
        <v>696</v>
      </c>
      <c r="M27" s="23">
        <f>'0 - Total Costs'!M27*B20</f>
        <v>0.67796610169491522</v>
      </c>
      <c r="N27" s="16" t="s">
        <v>699</v>
      </c>
      <c r="P27" s="10" t="s">
        <v>736</v>
      </c>
      <c r="Q27" s="11" t="s">
        <v>10</v>
      </c>
      <c r="R27" s="11" t="s">
        <v>11</v>
      </c>
      <c r="T27" s="13" t="s">
        <v>745</v>
      </c>
      <c r="U27" s="23" t="e">
        <f>U25</f>
        <v>#REF!</v>
      </c>
      <c r="V27" s="16" t="s">
        <v>781</v>
      </c>
    </row>
    <row r="28" spans="1:26" ht="12.75" customHeight="1">
      <c r="A28" s="10" t="s">
        <v>641</v>
      </c>
      <c r="B28" s="11" t="s">
        <v>10</v>
      </c>
      <c r="C28" s="11" t="s">
        <v>11</v>
      </c>
      <c r="D28" s="12"/>
      <c r="E28" s="12"/>
      <c r="F28" s="18" t="s">
        <v>675</v>
      </c>
      <c r="G28" s="177">
        <f>'0 - Total Costs'!G28*$B$20</f>
        <v>5.1694915254237284</v>
      </c>
      <c r="H28" s="16" t="s">
        <v>655</v>
      </c>
      <c r="I28" s="12"/>
      <c r="J28" s="22"/>
      <c r="K28" s="172"/>
      <c r="L28" s="217" t="s">
        <v>695</v>
      </c>
      <c r="M28" s="218">
        <f>'0 - Total Costs'!M28*B20</f>
        <v>1808.3779661016949</v>
      </c>
      <c r="N28" s="219" t="s">
        <v>655</v>
      </c>
      <c r="P28" s="13" t="s">
        <v>738</v>
      </c>
      <c r="Q28" s="177">
        <f>'0 - Total Costs'!Q32*$B$20</f>
        <v>4.4542372881355927</v>
      </c>
      <c r="R28" s="16" t="s">
        <v>655</v>
      </c>
    </row>
    <row r="29" spans="1:26" ht="12.75" customHeight="1">
      <c r="A29" s="18" t="s">
        <v>642</v>
      </c>
      <c r="B29" s="177">
        <f>'0 - Total Costs'!B25*B20</f>
        <v>382.54618644067796</v>
      </c>
      <c r="C29" s="16" t="s">
        <v>655</v>
      </c>
      <c r="D29" s="12"/>
      <c r="E29" s="12"/>
      <c r="F29" s="178" t="s">
        <v>683</v>
      </c>
      <c r="G29" s="177">
        <f>'0 - Total Costs'!G29</f>
        <v>2</v>
      </c>
      <c r="H29" s="180" t="s">
        <v>701</v>
      </c>
      <c r="I29" s="12"/>
      <c r="J29" s="22"/>
      <c r="K29" s="172"/>
      <c r="L29" s="18" t="s">
        <v>871</v>
      </c>
      <c r="M29" s="12">
        <v>36</v>
      </c>
      <c r="N29" s="12" t="s">
        <v>711</v>
      </c>
      <c r="P29" s="13" t="s">
        <v>737</v>
      </c>
      <c r="Q29" s="177">
        <f>'0 - Total Costs'!Q33*$B$20</f>
        <v>2.7966101694915255</v>
      </c>
      <c r="R29" s="16" t="s">
        <v>655</v>
      </c>
      <c r="T29" s="199" t="s">
        <v>848</v>
      </c>
      <c r="U29" s="200" t="s">
        <v>10</v>
      </c>
      <c r="V29" s="200" t="s">
        <v>11</v>
      </c>
    </row>
    <row r="30" spans="1:26" ht="12.75" customHeight="1">
      <c r="A30" s="18" t="s">
        <v>643</v>
      </c>
      <c r="B30" s="177">
        <f>'0 - Total Costs'!B26*B20</f>
        <v>8538.9267881355918</v>
      </c>
      <c r="C30" s="16" t="s">
        <v>655</v>
      </c>
      <c r="D30" s="12"/>
      <c r="E30" s="12"/>
      <c r="F30" s="178" t="s">
        <v>684</v>
      </c>
      <c r="G30" s="177">
        <f>'0 - Total Costs'!G30</f>
        <v>0</v>
      </c>
      <c r="H30" s="180" t="s">
        <v>702</v>
      </c>
      <c r="I30" s="12"/>
      <c r="J30" s="22"/>
      <c r="K30" s="172"/>
      <c r="P30" s="13" t="s">
        <v>644</v>
      </c>
      <c r="Q30" s="177">
        <f>'0 - Total Costs'!Q34*$B$20</f>
        <v>1.3983050847457628</v>
      </c>
      <c r="R30" s="16" t="s">
        <v>655</v>
      </c>
      <c r="T30" s="201" t="s">
        <v>849</v>
      </c>
      <c r="U30" s="202">
        <v>0</v>
      </c>
      <c r="V30" s="203" t="s">
        <v>759</v>
      </c>
    </row>
    <row r="31" spans="1:26" ht="12.75" customHeight="1">
      <c r="A31" s="18" t="s">
        <v>703</v>
      </c>
      <c r="B31" s="177">
        <f>'0 - Total Costs'!B27</f>
        <v>500</v>
      </c>
      <c r="C31" s="16" t="s">
        <v>655</v>
      </c>
      <c r="D31" s="12"/>
      <c r="E31" s="12"/>
      <c r="F31" s="178" t="s">
        <v>676</v>
      </c>
      <c r="G31" s="177">
        <f>'0 - Total Costs'!G31</f>
        <v>0</v>
      </c>
      <c r="H31" s="180" t="s">
        <v>701</v>
      </c>
      <c r="I31" s="12"/>
      <c r="J31" s="22"/>
      <c r="K31" s="172"/>
      <c r="L31" s="10" t="s">
        <v>728</v>
      </c>
      <c r="M31" s="11" t="s">
        <v>10</v>
      </c>
      <c r="N31" s="11" t="s">
        <v>11</v>
      </c>
      <c r="Q31" s="16"/>
      <c r="R31" s="16"/>
      <c r="T31" s="201" t="s">
        <v>850</v>
      </c>
      <c r="U31" s="203">
        <v>0</v>
      </c>
      <c r="V31" s="203" t="s">
        <v>759</v>
      </c>
    </row>
    <row r="32" spans="1:26" ht="12.75" customHeight="1">
      <c r="A32" s="13" t="s">
        <v>704</v>
      </c>
      <c r="B32" s="177">
        <f>'0 - Total Costs'!B28*B20</f>
        <v>8.8983050847457626E-2</v>
      </c>
      <c r="C32" s="16" t="s">
        <v>700</v>
      </c>
      <c r="D32" s="12"/>
      <c r="E32" s="12"/>
      <c r="F32" s="224" t="s">
        <v>678</v>
      </c>
      <c r="G32" s="218">
        <f>'0 - Total Costs'!G32*$B$20</f>
        <v>88.983050847457619</v>
      </c>
      <c r="H32" s="219" t="s">
        <v>655</v>
      </c>
      <c r="I32" s="12"/>
      <c r="J32" s="22"/>
      <c r="K32" s="172"/>
      <c r="L32" s="13" t="s">
        <v>705</v>
      </c>
      <c r="M32" s="23">
        <f>(SUM(U30:U32)*U40+U33*U41+U34*U42)+(SUM(U35:U37)*U43+U38*U44+U39*U45)</f>
        <v>0</v>
      </c>
      <c r="N32" s="16" t="s">
        <v>655</v>
      </c>
      <c r="P32" s="10" t="s">
        <v>739</v>
      </c>
      <c r="Q32" s="11" t="s">
        <v>10</v>
      </c>
      <c r="R32" s="11" t="s">
        <v>11</v>
      </c>
      <c r="T32" s="201" t="s">
        <v>851</v>
      </c>
      <c r="U32" s="203">
        <v>0</v>
      </c>
      <c r="V32" s="203" t="s">
        <v>759</v>
      </c>
    </row>
    <row r="33" spans="1:22" ht="12.75" customHeight="1">
      <c r="D33" s="12"/>
      <c r="E33" s="12"/>
      <c r="F33" s="224" t="s">
        <v>679</v>
      </c>
      <c r="G33" s="218">
        <f>'0 - Total Costs'!G33*$B$20</f>
        <v>177.96610169491524</v>
      </c>
      <c r="H33" s="219" t="s">
        <v>655</v>
      </c>
      <c r="I33" s="12"/>
      <c r="J33" s="22"/>
      <c r="K33" s="172"/>
      <c r="L33" s="13" t="s">
        <v>706</v>
      </c>
      <c r="M33" s="23" t="e">
        <f>SUM(U19:U21)</f>
        <v>#REF!</v>
      </c>
      <c r="N33" s="16" t="s">
        <v>762</v>
      </c>
      <c r="P33" s="217" t="s">
        <v>741</v>
      </c>
      <c r="Q33" s="218">
        <f>'0 - Total Costs'!Q37*B20</f>
        <v>61.016949152542374</v>
      </c>
      <c r="R33" s="219" t="s">
        <v>655</v>
      </c>
      <c r="T33" s="201" t="s">
        <v>852</v>
      </c>
      <c r="U33" s="203">
        <v>0</v>
      </c>
      <c r="V33" s="203" t="s">
        <v>759</v>
      </c>
    </row>
    <row r="34" spans="1:22" ht="12.75" customHeight="1">
      <c r="D34" s="12"/>
      <c r="E34" s="12"/>
      <c r="F34" s="224" t="s">
        <v>680</v>
      </c>
      <c r="G34" s="218">
        <f>'0 - Total Costs'!G34*$B$20</f>
        <v>30.508474576271187</v>
      </c>
      <c r="H34" s="219" t="s">
        <v>655</v>
      </c>
      <c r="I34" s="12"/>
      <c r="J34" s="22"/>
      <c r="K34" s="172"/>
      <c r="L34" s="18" t="s">
        <v>707</v>
      </c>
      <c r="M34" s="23" t="e">
        <f>SUM(U19:U21)*M42*M44</f>
        <v>#REF!</v>
      </c>
      <c r="N34" s="12" t="s">
        <v>762</v>
      </c>
      <c r="P34" s="217" t="s">
        <v>740</v>
      </c>
      <c r="Q34" s="218">
        <f>'0 - Total Costs'!Q38</f>
        <v>3140</v>
      </c>
      <c r="R34" s="219" t="s">
        <v>655</v>
      </c>
      <c r="T34" s="201" t="s">
        <v>853</v>
      </c>
      <c r="U34" s="203">
        <v>0</v>
      </c>
      <c r="V34" s="203" t="s">
        <v>759</v>
      </c>
    </row>
    <row r="35" spans="1:22" ht="12.75" customHeight="1">
      <c r="A35" s="10" t="s">
        <v>647</v>
      </c>
      <c r="B35" s="11" t="s">
        <v>10</v>
      </c>
      <c r="C35" s="11" t="s">
        <v>11</v>
      </c>
      <c r="D35" s="12"/>
      <c r="E35" s="12"/>
      <c r="F35" s="224" t="s">
        <v>681</v>
      </c>
      <c r="G35" s="218">
        <f>'0 - Total Costs'!G35*$B$20</f>
        <v>177.96610169491524</v>
      </c>
      <c r="H35" s="219" t="s">
        <v>655</v>
      </c>
      <c r="I35" s="12"/>
      <c r="J35" s="22"/>
      <c r="K35" s="172"/>
      <c r="L35" s="18" t="s">
        <v>709</v>
      </c>
      <c r="M35" s="23">
        <f>B24*B10</f>
        <v>8.8792372881355934</v>
      </c>
      <c r="N35" s="12" t="s">
        <v>762</v>
      </c>
      <c r="P35" s="217" t="s">
        <v>690</v>
      </c>
      <c r="Q35" s="218">
        <f>'0 - Total Costs'!Q39*B20</f>
        <v>2.1186440677966101E-2</v>
      </c>
      <c r="R35" s="219" t="s">
        <v>697</v>
      </c>
      <c r="T35" s="201" t="s">
        <v>854</v>
      </c>
      <c r="U35" s="203">
        <v>0</v>
      </c>
      <c r="V35" s="203" t="s">
        <v>759</v>
      </c>
    </row>
    <row r="36" spans="1:22" ht="12.75" customHeight="1">
      <c r="A36" s="217" t="s">
        <v>659</v>
      </c>
      <c r="B36" s="218">
        <f>'0 - Total Costs'!B32*$B$20</f>
        <v>203.83050847457628</v>
      </c>
      <c r="C36" s="219" t="s">
        <v>655</v>
      </c>
      <c r="D36" s="12"/>
      <c r="E36" s="12"/>
      <c r="F36" s="224" t="s">
        <v>682</v>
      </c>
      <c r="G36" s="218">
        <f>'0 - Total Costs'!G36*$B$20</f>
        <v>256.57491525422796</v>
      </c>
      <c r="H36" s="219" t="s">
        <v>655</v>
      </c>
      <c r="I36" s="12"/>
      <c r="J36" s="22"/>
      <c r="K36" s="172"/>
      <c r="L36" s="18" t="s">
        <v>877</v>
      </c>
      <c r="M36" s="23">
        <f>B26*B11</f>
        <v>6</v>
      </c>
      <c r="N36" s="12" t="s">
        <v>762</v>
      </c>
      <c r="T36" s="201" t="s">
        <v>855</v>
      </c>
      <c r="U36" s="203">
        <v>0</v>
      </c>
      <c r="V36" s="203" t="s">
        <v>759</v>
      </c>
    </row>
    <row r="37" spans="1:22" ht="12.75" customHeight="1">
      <c r="A37" s="18" t="s">
        <v>644</v>
      </c>
      <c r="B37" s="23">
        <f>'0 - Total Costs'!B33*$B$20</f>
        <v>0.46610169491525422</v>
      </c>
      <c r="C37" s="12" t="s">
        <v>655</v>
      </c>
      <c r="D37" s="12"/>
      <c r="E37" s="12"/>
      <c r="F37" s="224" t="s">
        <v>737</v>
      </c>
      <c r="G37" s="218">
        <f>'0 - Total Costs'!G37*$B$20</f>
        <v>88.983050847457619</v>
      </c>
      <c r="H37" s="219" t="s">
        <v>655</v>
      </c>
      <c r="I37" s="12"/>
      <c r="J37" s="22"/>
      <c r="K37" s="172"/>
      <c r="L37" s="13" t="s">
        <v>878</v>
      </c>
      <c r="M37" s="23">
        <f>M36</f>
        <v>6</v>
      </c>
      <c r="N37" s="16" t="s">
        <v>766</v>
      </c>
      <c r="T37" s="201" t="s">
        <v>856</v>
      </c>
      <c r="U37" s="203">
        <v>0</v>
      </c>
      <c r="V37" s="203" t="s">
        <v>759</v>
      </c>
    </row>
    <row r="38" spans="1:22" ht="12.75" customHeight="1">
      <c r="A38" s="18" t="s">
        <v>760</v>
      </c>
      <c r="B38" s="23">
        <f>'0 - Total Costs'!B34*$B$20</f>
        <v>0.38135593220338981</v>
      </c>
      <c r="C38" s="12" t="s">
        <v>655</v>
      </c>
      <c r="D38" s="12"/>
      <c r="E38" s="12"/>
      <c r="F38" s="226" t="s">
        <v>677</v>
      </c>
      <c r="G38" s="23">
        <f>'0 - Total Costs'!G38</f>
        <v>45</v>
      </c>
      <c r="H38" s="180" t="s">
        <v>701</v>
      </c>
      <c r="I38" s="12"/>
      <c r="J38" s="22"/>
      <c r="K38" s="172"/>
      <c r="L38" s="13" t="s">
        <v>734</v>
      </c>
      <c r="M38" s="177">
        <f>'0 - Total Costs'!M38*B$20</f>
        <v>15.81864406779661</v>
      </c>
      <c r="N38" s="16" t="s">
        <v>655</v>
      </c>
      <c r="T38" s="201" t="s">
        <v>857</v>
      </c>
      <c r="U38" s="203">
        <v>0</v>
      </c>
      <c r="V38" s="203" t="s">
        <v>759</v>
      </c>
    </row>
    <row r="39" spans="1:22" ht="12.75" customHeight="1">
      <c r="A39" s="18" t="s">
        <v>645</v>
      </c>
      <c r="B39" s="23">
        <f>'0 - Total Costs'!B35*$B$20</f>
        <v>0.2593220338983051</v>
      </c>
      <c r="C39" s="12" t="s">
        <v>655</v>
      </c>
      <c r="D39" s="12"/>
      <c r="E39" s="12"/>
      <c r="F39" s="226" t="s">
        <v>686</v>
      </c>
      <c r="G39" s="23">
        <f>'0 - Total Costs'!G39</f>
        <v>150</v>
      </c>
      <c r="H39" s="180" t="s">
        <v>702</v>
      </c>
      <c r="I39" s="12"/>
      <c r="J39" s="22"/>
      <c r="K39" s="172"/>
      <c r="L39" s="13" t="s">
        <v>763</v>
      </c>
      <c r="M39" s="181">
        <f>'0 - Total Costs'!M39</f>
        <v>0.48</v>
      </c>
      <c r="N39" s="16" t="s">
        <v>655</v>
      </c>
      <c r="T39" s="201" t="s">
        <v>858</v>
      </c>
      <c r="U39" s="203">
        <v>0</v>
      </c>
      <c r="V39" s="203" t="s">
        <v>759</v>
      </c>
    </row>
    <row r="40" spans="1:22" ht="12.75" customHeight="1">
      <c r="A40" s="18" t="s">
        <v>646</v>
      </c>
      <c r="B40" s="23">
        <f>'0 - Total Costs'!B36*$B$20</f>
        <v>0.25423728813559321</v>
      </c>
      <c r="C40" s="12" t="s">
        <v>655</v>
      </c>
      <c r="D40" s="12"/>
      <c r="E40" s="12"/>
      <c r="F40" s="226" t="s">
        <v>685</v>
      </c>
      <c r="G40" s="23">
        <f>'0 - Total Costs'!G40</f>
        <v>1500</v>
      </c>
      <c r="H40" s="180" t="s">
        <v>702</v>
      </c>
      <c r="I40" s="12"/>
      <c r="J40" s="22"/>
      <c r="K40" s="172"/>
      <c r="L40" s="13" t="s">
        <v>764</v>
      </c>
      <c r="M40" s="181">
        <f>'0 - Total Costs'!M40</f>
        <v>0.72</v>
      </c>
      <c r="N40" s="16" t="s">
        <v>655</v>
      </c>
      <c r="T40" s="13" t="s">
        <v>860</v>
      </c>
      <c r="U40" s="16">
        <v>10</v>
      </c>
      <c r="V40" s="16" t="s">
        <v>655</v>
      </c>
    </row>
    <row r="41" spans="1:22" ht="12.75" customHeight="1">
      <c r="A41" s="18"/>
      <c r="B41" s="24"/>
      <c r="C41" s="12"/>
      <c r="D41" s="12"/>
      <c r="E41" s="12"/>
      <c r="F41" s="15"/>
      <c r="G41" s="12"/>
      <c r="H41" s="12"/>
      <c r="I41" s="12"/>
      <c r="J41" s="22"/>
      <c r="K41" s="172"/>
      <c r="L41" s="13" t="s">
        <v>765</v>
      </c>
      <c r="M41" s="181">
        <f>'0 - Total Costs'!M41</f>
        <v>0.35</v>
      </c>
      <c r="N41" s="16" t="s">
        <v>655</v>
      </c>
      <c r="T41" s="13" t="s">
        <v>859</v>
      </c>
      <c r="U41" s="16">
        <v>60</v>
      </c>
      <c r="V41" s="16" t="s">
        <v>655</v>
      </c>
    </row>
    <row r="42" spans="1:22" ht="12.75" customHeight="1">
      <c r="A42" s="18"/>
      <c r="B42" s="24"/>
      <c r="C42" s="12"/>
      <c r="D42" s="12"/>
      <c r="E42" s="12"/>
      <c r="F42" s="15"/>
      <c r="G42" s="12"/>
      <c r="H42" s="12"/>
      <c r="I42" s="12"/>
      <c r="J42" s="22"/>
      <c r="K42" s="172"/>
      <c r="L42" s="13" t="s">
        <v>873</v>
      </c>
      <c r="M42" s="193">
        <f>(0.33+0.66)/2</f>
        <v>0.495</v>
      </c>
      <c r="N42" s="16" t="s">
        <v>788</v>
      </c>
      <c r="T42" s="13" t="s">
        <v>861</v>
      </c>
      <c r="U42" s="16">
        <v>160</v>
      </c>
      <c r="V42" s="16" t="s">
        <v>655</v>
      </c>
    </row>
    <row r="43" spans="1:22" ht="12.75" customHeight="1">
      <c r="A43" s="18"/>
      <c r="B43" s="24"/>
      <c r="C43" s="12"/>
      <c r="D43" s="12"/>
      <c r="E43" s="12"/>
      <c r="G43" s="12"/>
      <c r="H43" s="12"/>
      <c r="I43" s="12"/>
      <c r="J43" s="22"/>
      <c r="K43" s="172"/>
      <c r="T43" s="13" t="s">
        <v>862</v>
      </c>
      <c r="U43" s="16">
        <v>50</v>
      </c>
      <c r="V43" s="16" t="s">
        <v>655</v>
      </c>
    </row>
    <row r="44" spans="1:22" ht="12.75" customHeight="1">
      <c r="A44" s="18"/>
      <c r="B44" s="20"/>
      <c r="C44" s="12"/>
      <c r="D44" s="12"/>
      <c r="E44" s="12"/>
      <c r="G44" s="12"/>
      <c r="H44" s="12"/>
      <c r="I44" s="12"/>
      <c r="L44" s="207" t="s">
        <v>886</v>
      </c>
      <c r="M44" s="207">
        <v>0</v>
      </c>
      <c r="T44" s="13" t="s">
        <v>863</v>
      </c>
      <c r="U44" s="16">
        <v>100</v>
      </c>
      <c r="V44" s="16" t="s">
        <v>655</v>
      </c>
    </row>
    <row r="45" spans="1:22" ht="12.75" customHeight="1">
      <c r="B45" s="26"/>
      <c r="K45" s="12"/>
      <c r="M45" s="18"/>
      <c r="N45" s="18"/>
      <c r="P45" s="225"/>
      <c r="T45" s="13" t="s">
        <v>864</v>
      </c>
      <c r="U45" s="16">
        <v>200</v>
      </c>
      <c r="V45" s="16" t="s">
        <v>655</v>
      </c>
    </row>
    <row r="46" spans="1:22" ht="45">
      <c r="A46" s="8" t="s">
        <v>20</v>
      </c>
      <c r="B46" s="8" t="s">
        <v>13</v>
      </c>
      <c r="C46" s="8" t="s">
        <v>21</v>
      </c>
      <c r="D46" s="8" t="s">
        <v>14</v>
      </c>
      <c r="E46" s="8" t="s">
        <v>22</v>
      </c>
      <c r="F46" s="8" t="s">
        <v>17</v>
      </c>
      <c r="G46" s="8" t="s">
        <v>16</v>
      </c>
      <c r="H46" s="8" t="s">
        <v>18</v>
      </c>
      <c r="I46" s="8" t="s">
        <v>769</v>
      </c>
      <c r="J46" s="8" t="s">
        <v>15</v>
      </c>
      <c r="K46" s="8" t="s">
        <v>782</v>
      </c>
      <c r="L46" s="12" t="s">
        <v>891</v>
      </c>
      <c r="M46" s="12" t="s">
        <v>892</v>
      </c>
      <c r="N46" s="12" t="s">
        <v>893</v>
      </c>
      <c r="P46" s="13" t="s">
        <v>897</v>
      </c>
      <c r="Q46" s="13" t="s">
        <v>898</v>
      </c>
      <c r="R46" s="13" t="s">
        <v>899</v>
      </c>
    </row>
    <row r="47" spans="1:22" ht="12.75" customHeight="1">
      <c r="A47" s="208" t="s">
        <v>779</v>
      </c>
      <c r="B47" s="209">
        <f>SUM(Q22:Q23)</f>
        <v>860.55084745762713</v>
      </c>
      <c r="C47" s="210" t="s">
        <v>820</v>
      </c>
      <c r="D47" s="211">
        <v>1</v>
      </c>
      <c r="E47" s="212">
        <v>1</v>
      </c>
      <c r="F47" s="213">
        <f>E47*D47*B47</f>
        <v>860.55084745762713</v>
      </c>
      <c r="G47" s="214">
        <f>F47/'0 - Total Costs'!B16</f>
        <v>12.806769067008368</v>
      </c>
      <c r="H47" s="214">
        <f>G47</f>
        <v>12.806769067008368</v>
      </c>
      <c r="I47" s="214">
        <f>H47</f>
        <v>12.806769067008368</v>
      </c>
      <c r="J47" s="214">
        <f>I47*((1+'0 - Total Costs'!$B$23)^2)</f>
        <v>13.324162537315505</v>
      </c>
      <c r="K47" s="12" t="s">
        <v>783</v>
      </c>
      <c r="L47" s="18">
        <v>1</v>
      </c>
      <c r="M47" s="23">
        <f>1-L47</f>
        <v>0</v>
      </c>
      <c r="N47" s="222">
        <f>M47*J47</f>
        <v>0</v>
      </c>
      <c r="P47" s="227">
        <f>+(B56*D56) + SUM(B57:B59)</f>
        <v>3394.8692203389828</v>
      </c>
      <c r="Q47" s="227">
        <f>P47/65.12</f>
        <v>52.132512597343101</v>
      </c>
      <c r="R47" s="227">
        <f>Q47/15</f>
        <v>3.4755008398228733</v>
      </c>
    </row>
    <row r="48" spans="1:22" ht="12.75" customHeight="1">
      <c r="A48" s="208" t="s">
        <v>780</v>
      </c>
      <c r="B48" s="209">
        <f>SUM(Q28:Q30)</f>
        <v>8.6491525423728817</v>
      </c>
      <c r="C48" s="210" t="s">
        <v>820</v>
      </c>
      <c r="D48" s="212">
        <v>1</v>
      </c>
      <c r="E48" s="212">
        <v>1</v>
      </c>
      <c r="F48" s="213">
        <f>E48*D48*B48</f>
        <v>8.6491525423728817</v>
      </c>
      <c r="G48" s="214">
        <f>F48/'0 - Total Costs'!B16</f>
        <v>0.12871720429158245</v>
      </c>
      <c r="H48" s="214">
        <f>G48</f>
        <v>0.12871720429158245</v>
      </c>
      <c r="I48" s="214">
        <f>H48</f>
        <v>0.12871720429158245</v>
      </c>
      <c r="J48" s="214">
        <f>I48*((1+'0 - Total Costs'!$B$23)^2)</f>
        <v>0.1339173793449624</v>
      </c>
      <c r="K48" s="12" t="s">
        <v>783</v>
      </c>
      <c r="L48" s="18">
        <v>1</v>
      </c>
      <c r="M48" s="23">
        <f t="shared" ref="M48:M76" si="0">1-L48</f>
        <v>0</v>
      </c>
      <c r="N48" s="222">
        <f t="shared" ref="N48:N76" si="1">M48*J48</f>
        <v>0</v>
      </c>
    </row>
    <row r="49" spans="1:16" ht="12.75" customHeight="1">
      <c r="A49" s="215" t="s">
        <v>803</v>
      </c>
      <c r="B49" s="209">
        <f>B29*'0 - Total Costs'!B13</f>
        <v>306.03694915254238</v>
      </c>
      <c r="C49" s="210" t="s">
        <v>655</v>
      </c>
      <c r="D49" s="216">
        <v>1</v>
      </c>
      <c r="E49" s="216">
        <v>1</v>
      </c>
      <c r="F49" s="213">
        <f>E49*D49*B49</f>
        <v>306.03694915254238</v>
      </c>
      <c r="G49" s="214">
        <f t="shared" ref="G49:G66" si="2">F49/$B$14</f>
        <v>4.6994402683047571</v>
      </c>
      <c r="H49" s="214">
        <f>G49/(1+'0 - Total Costs'!$B$22)^(2017-$B$5)</f>
        <v>4.5982781490261813</v>
      </c>
      <c r="I49" s="214">
        <f>H49/(1+$B$13)^(2017-$B$5)</f>
        <v>4.1802528627510736</v>
      </c>
      <c r="J49" s="214">
        <f>I49*((1+'0 - Total Costs'!$B$23)^2)</f>
        <v>4.349135078406217</v>
      </c>
      <c r="K49" s="12" t="s">
        <v>783</v>
      </c>
      <c r="L49" s="13">
        <v>1</v>
      </c>
      <c r="M49" s="23">
        <f t="shared" si="0"/>
        <v>0</v>
      </c>
      <c r="N49" s="222">
        <f t="shared" si="1"/>
        <v>0</v>
      </c>
    </row>
    <row r="50" spans="1:16" ht="12.75" customHeight="1">
      <c r="A50" s="215" t="s">
        <v>806</v>
      </c>
      <c r="B50" s="209">
        <f>SUM(B30,B31*B32)*'0 - Total Costs'!B13</f>
        <v>6866.7346508474575</v>
      </c>
      <c r="C50" s="210" t="s">
        <v>655</v>
      </c>
      <c r="D50" s="216">
        <v>1</v>
      </c>
      <c r="E50" s="216">
        <v>1</v>
      </c>
      <c r="F50" s="213">
        <f t="shared" ref="F50:F76" si="3">E50*D50*B50</f>
        <v>6866.7346508474575</v>
      </c>
      <c r="G50" s="214">
        <f t="shared" si="2"/>
        <v>105.44416097244337</v>
      </c>
      <c r="H50" s="214">
        <f>G50/(1+'0 - Total Costs'!$B$22)^(2017-$B$5)</f>
        <v>103.17432580473911</v>
      </c>
      <c r="I50" s="214">
        <f t="shared" ref="I50:I66" si="4">H50/(1+$B$13)^(2017-$B$5)</f>
        <v>93.794841640671919</v>
      </c>
      <c r="J50" s="214">
        <f>I50*((1+'0 - Total Costs'!$B$23)^2)</f>
        <v>97.584153242955068</v>
      </c>
      <c r="K50" s="12" t="s">
        <v>783</v>
      </c>
      <c r="L50" s="13">
        <v>1</v>
      </c>
      <c r="M50" s="23">
        <f t="shared" si="0"/>
        <v>0</v>
      </c>
      <c r="N50" s="222">
        <f t="shared" si="1"/>
        <v>0</v>
      </c>
    </row>
    <row r="51" spans="1:16" ht="12.75" customHeight="1">
      <c r="A51" s="215" t="s">
        <v>786</v>
      </c>
      <c r="B51" s="209">
        <f>SUM(B36:B40)</f>
        <v>205.19152542372882</v>
      </c>
      <c r="C51" s="210" t="s">
        <v>655</v>
      </c>
      <c r="D51" s="216">
        <v>1</v>
      </c>
      <c r="E51" s="216">
        <v>1</v>
      </c>
      <c r="F51" s="213">
        <f t="shared" si="3"/>
        <v>205.19152542372882</v>
      </c>
      <c r="G51" s="214">
        <f t="shared" si="2"/>
        <v>3.15087874180352</v>
      </c>
      <c r="H51" s="214">
        <f>G51/(1+'0 - Total Costs'!$B$22)^(2017-$B$5)</f>
        <v>3.0830516064613698</v>
      </c>
      <c r="I51" s="214">
        <f t="shared" si="4"/>
        <v>2.8027741876921541</v>
      </c>
      <c r="J51" s="214">
        <f>I51*((1+'0 - Total Costs'!$B$23)^2)</f>
        <v>2.916006264874917</v>
      </c>
      <c r="K51" s="12" t="s">
        <v>784</v>
      </c>
      <c r="L51" s="13">
        <v>1</v>
      </c>
      <c r="M51" s="23">
        <f t="shared" si="0"/>
        <v>0</v>
      </c>
      <c r="N51" s="222">
        <f t="shared" si="1"/>
        <v>0</v>
      </c>
    </row>
    <row r="52" spans="1:16" ht="12.75" customHeight="1">
      <c r="A52" s="208" t="s">
        <v>770</v>
      </c>
      <c r="B52" s="209">
        <f>SUM(G10:G17)</f>
        <v>49.6995</v>
      </c>
      <c r="C52" s="210" t="s">
        <v>655</v>
      </c>
      <c r="D52" s="216">
        <v>1</v>
      </c>
      <c r="E52" s="216">
        <v>1</v>
      </c>
      <c r="F52" s="213">
        <f t="shared" si="3"/>
        <v>49.6995</v>
      </c>
      <c r="G52" s="214">
        <f t="shared" si="2"/>
        <v>0.76317527102975957</v>
      </c>
      <c r="H52" s="214">
        <f>G52/(1+'0 - Total Costs'!$B$22)^(2017-$B$5)</f>
        <v>0.74674684053792517</v>
      </c>
      <c r="I52" s="214">
        <f t="shared" si="4"/>
        <v>0.67886076412538643</v>
      </c>
      <c r="J52" s="214">
        <f>I52*((1+'0 - Total Costs'!$B$23)^2)</f>
        <v>0.70628673899605199</v>
      </c>
      <c r="K52" s="12" t="s">
        <v>783</v>
      </c>
      <c r="L52" s="18">
        <v>1</v>
      </c>
      <c r="M52" s="23">
        <f t="shared" si="0"/>
        <v>0</v>
      </c>
      <c r="N52" s="222">
        <f t="shared" si="1"/>
        <v>0</v>
      </c>
      <c r="P52" s="13" t="s">
        <v>3</v>
      </c>
    </row>
    <row r="53" spans="1:16" ht="12.75" customHeight="1">
      <c r="A53" s="208" t="s">
        <v>771</v>
      </c>
      <c r="B53" s="209">
        <f>SUM(G20:G28)</f>
        <v>116.76355932203387</v>
      </c>
      <c r="C53" s="210" t="s">
        <v>655</v>
      </c>
      <c r="D53" s="216">
        <v>1</v>
      </c>
      <c r="E53" s="216">
        <v>1</v>
      </c>
      <c r="F53" s="213">
        <f t="shared" si="3"/>
        <v>116.76355932203387</v>
      </c>
      <c r="G53" s="214">
        <f t="shared" si="2"/>
        <v>1.7929971334116561</v>
      </c>
      <c r="H53" s="214">
        <f>G53/(1+'0 - Total Costs'!$B$22)^(2017-$B$5)</f>
        <v>1.7544003262344972</v>
      </c>
      <c r="I53" s="214">
        <f t="shared" si="4"/>
        <v>1.5949093874859064</v>
      </c>
      <c r="J53" s="214">
        <f>I53*((1+'0 - Total Costs'!$B$23)^2)</f>
        <v>1.659343726740337</v>
      </c>
      <c r="K53" s="12" t="s">
        <v>783</v>
      </c>
      <c r="L53" s="18">
        <v>0</v>
      </c>
      <c r="M53" s="23">
        <f t="shared" si="0"/>
        <v>1</v>
      </c>
      <c r="N53" s="222">
        <f t="shared" si="1"/>
        <v>1.659343726740337</v>
      </c>
    </row>
    <row r="54" spans="1:16" ht="12.75" customHeight="1">
      <c r="A54" s="208" t="s">
        <v>846</v>
      </c>
      <c r="B54" s="209">
        <f>SUM(G32:G37)</f>
        <v>820.98169491524482</v>
      </c>
      <c r="C54" s="210" t="s">
        <v>655</v>
      </c>
      <c r="D54" s="216">
        <v>1</v>
      </c>
      <c r="E54" s="216">
        <v>1</v>
      </c>
      <c r="F54" s="213">
        <f t="shared" si="3"/>
        <v>820.98169491524482</v>
      </c>
      <c r="G54" s="214">
        <f t="shared" si="2"/>
        <v>12.606825572237414</v>
      </c>
      <c r="H54" s="214">
        <f>G54/(1+'0 - Total Costs'!$B$22)^(2017-$B$5)</f>
        <v>12.335445765398644</v>
      </c>
      <c r="I54" s="214">
        <f t="shared" si="4"/>
        <v>11.214041604907857</v>
      </c>
      <c r="J54" s="214">
        <f>I54*((1+'0 - Total Costs'!$B$23)^2)</f>
        <v>11.667088885746134</v>
      </c>
      <c r="K54" s="12" t="s">
        <v>784</v>
      </c>
      <c r="L54" s="18">
        <v>1</v>
      </c>
      <c r="M54" s="23">
        <f t="shared" si="0"/>
        <v>0</v>
      </c>
      <c r="N54" s="222">
        <f t="shared" si="1"/>
        <v>0</v>
      </c>
    </row>
    <row r="55" spans="1:16" ht="12.75" customHeight="1">
      <c r="A55" s="208" t="s">
        <v>774</v>
      </c>
      <c r="B55" s="209">
        <f>(M10*M14+M11*M15+M12*M16+M13*M17+M18+M19)*M7</f>
        <v>0</v>
      </c>
      <c r="C55" s="210" t="s">
        <v>655</v>
      </c>
      <c r="D55" s="212">
        <v>1</v>
      </c>
      <c r="E55" s="212">
        <v>1</v>
      </c>
      <c r="F55" s="213">
        <f t="shared" si="3"/>
        <v>0</v>
      </c>
      <c r="G55" s="214">
        <f t="shared" si="2"/>
        <v>0</v>
      </c>
      <c r="H55" s="214">
        <f>G55/(1+'0 - Total Costs'!$B$22)^(2017-$B$5)</f>
        <v>0</v>
      </c>
      <c r="I55" s="214">
        <f t="shared" si="4"/>
        <v>0</v>
      </c>
      <c r="J55" s="214">
        <f>I55*((1+'0 - Total Costs'!$B$23)^2)</f>
        <v>0</v>
      </c>
      <c r="K55" s="12" t="s">
        <v>783</v>
      </c>
      <c r="L55" s="18">
        <v>0</v>
      </c>
      <c r="M55" s="23">
        <f t="shared" si="0"/>
        <v>1</v>
      </c>
      <c r="N55" s="222">
        <f t="shared" si="1"/>
        <v>0</v>
      </c>
    </row>
    <row r="56" spans="1:16" ht="12.75" customHeight="1">
      <c r="A56" s="208" t="s">
        <v>875</v>
      </c>
      <c r="B56" s="209">
        <f>M22</f>
        <v>228.61111111111111</v>
      </c>
      <c r="C56" s="210" t="s">
        <v>655</v>
      </c>
      <c r="D56" s="211">
        <f>M24*'0 - Total Costs'!B11</f>
        <v>6.101694915254237</v>
      </c>
      <c r="E56" s="212">
        <v>1</v>
      </c>
      <c r="F56" s="213">
        <f t="shared" si="3"/>
        <v>1394.9152542372881</v>
      </c>
      <c r="G56" s="214">
        <f t="shared" si="2"/>
        <v>21.420030930212342</v>
      </c>
      <c r="H56" s="214">
        <f>G56/(1+'0 - Total Costs'!$B$22)^(2017-$B$5)</f>
        <v>20.958934373984679</v>
      </c>
      <c r="I56" s="214">
        <f t="shared" si="4"/>
        <v>19.053576703622433</v>
      </c>
      <c r="J56" s="214">
        <f>I56*((1+'0 - Total Costs'!$B$23)^2)</f>
        <v>19.823341202448781</v>
      </c>
      <c r="K56" s="12" t="s">
        <v>784</v>
      </c>
      <c r="L56" s="18">
        <v>0</v>
      </c>
      <c r="M56" s="23">
        <f t="shared" si="0"/>
        <v>1</v>
      </c>
      <c r="N56" s="222">
        <f t="shared" si="1"/>
        <v>19.823341202448781</v>
      </c>
    </row>
    <row r="57" spans="1:16" ht="12.75" customHeight="1">
      <c r="A57" s="208" t="s">
        <v>776</v>
      </c>
      <c r="B57" s="209">
        <f>M23</f>
        <v>175</v>
      </c>
      <c r="C57" s="210" t="s">
        <v>655</v>
      </c>
      <c r="D57" s="211">
        <f>M25</f>
        <v>0.71016949152542375</v>
      </c>
      <c r="E57" s="212">
        <v>1</v>
      </c>
      <c r="F57" s="213">
        <f t="shared" si="3"/>
        <v>124.27966101694915</v>
      </c>
      <c r="G57" s="214">
        <f t="shared" si="2"/>
        <v>1.9084128407749938</v>
      </c>
      <c r="H57" s="214">
        <f>G57/(1+'0 - Total Costs'!$B$22)^(2017-$B$5)</f>
        <v>1.8673315467465692</v>
      </c>
      <c r="I57" s="214">
        <f t="shared" si="4"/>
        <v>1.697574133405972</v>
      </c>
      <c r="J57" s="214">
        <f>I57*((1+'0 - Total Costs'!$B$23)^2)</f>
        <v>1.7661561283955731</v>
      </c>
      <c r="K57" s="12" t="s">
        <v>784</v>
      </c>
      <c r="L57" s="18">
        <v>0</v>
      </c>
      <c r="M57" s="23">
        <f t="shared" si="0"/>
        <v>1</v>
      </c>
      <c r="N57" s="222">
        <f t="shared" si="1"/>
        <v>1.7661561283955731</v>
      </c>
    </row>
    <row r="58" spans="1:16" ht="12.75" customHeight="1">
      <c r="A58" s="208" t="s">
        <v>695</v>
      </c>
      <c r="B58" s="209">
        <f>M28</f>
        <v>1808.3779661016949</v>
      </c>
      <c r="C58" s="210" t="s">
        <v>655</v>
      </c>
      <c r="D58" s="211">
        <v>1</v>
      </c>
      <c r="E58" s="212">
        <v>1</v>
      </c>
      <c r="F58" s="213">
        <f t="shared" si="3"/>
        <v>1808.3779661016949</v>
      </c>
      <c r="G58" s="214">
        <f t="shared" si="2"/>
        <v>27.769079053187784</v>
      </c>
      <c r="H58" s="214">
        <f>G58/(1+'0 - Total Costs'!$B$22)^(2017-$B$5)</f>
        <v>27.171310228168085</v>
      </c>
      <c r="I58" s="214">
        <f t="shared" si="4"/>
        <v>24.701191116516441</v>
      </c>
      <c r="J58" s="214">
        <f>I58*((1+'0 - Total Costs'!$B$23)^2)</f>
        <v>25.699119237623705</v>
      </c>
      <c r="K58" s="12" t="s">
        <v>784</v>
      </c>
      <c r="L58" s="18">
        <v>0</v>
      </c>
      <c r="M58" s="23">
        <f t="shared" si="0"/>
        <v>1</v>
      </c>
      <c r="N58" s="222">
        <f t="shared" si="1"/>
        <v>25.699119237623705</v>
      </c>
    </row>
    <row r="59" spans="1:16" ht="12.75" customHeight="1">
      <c r="A59" s="208" t="s">
        <v>693</v>
      </c>
      <c r="B59" s="209">
        <f>M26</f>
        <v>16.576000000000001</v>
      </c>
      <c r="C59" s="210" t="s">
        <v>655</v>
      </c>
      <c r="D59" s="211">
        <f>M27</f>
        <v>0.67796610169491522</v>
      </c>
      <c r="E59" s="212">
        <v>1</v>
      </c>
      <c r="F59" s="213">
        <f>E59*D59*B59</f>
        <v>11.237966101694916</v>
      </c>
      <c r="G59" s="214">
        <f t="shared" si="2"/>
        <v>0.17256788952573501</v>
      </c>
      <c r="H59" s="214">
        <f>G59/(1+'0 - Total Costs'!$B$22)^(2017-$B$5)</f>
        <v>0.16885312086666832</v>
      </c>
      <c r="I59" s="214">
        <f t="shared" si="4"/>
        <v>0.15350283715151664</v>
      </c>
      <c r="J59" s="214">
        <f>I59*((1+'0 - Total Costs'!$B$23)^2)</f>
        <v>0.15970435177243791</v>
      </c>
      <c r="K59" s="12" t="s">
        <v>784</v>
      </c>
      <c r="L59" s="18">
        <v>0</v>
      </c>
      <c r="M59" s="23">
        <f t="shared" si="0"/>
        <v>1</v>
      </c>
      <c r="N59" s="222">
        <f t="shared" si="1"/>
        <v>0.15970435177243791</v>
      </c>
    </row>
    <row r="60" spans="1:16" ht="12.75" customHeight="1">
      <c r="A60" s="208" t="s">
        <v>879</v>
      </c>
      <c r="B60" s="220">
        <f>M40</f>
        <v>0.72</v>
      </c>
      <c r="C60" s="210" t="s">
        <v>655</v>
      </c>
      <c r="D60" s="211">
        <f>(M36*'0 - Total Costs'!B11)*M6</f>
        <v>0</v>
      </c>
      <c r="E60" s="212">
        <v>1</v>
      </c>
      <c r="F60" s="213">
        <f t="shared" si="3"/>
        <v>0</v>
      </c>
      <c r="G60" s="214">
        <f t="shared" si="2"/>
        <v>0</v>
      </c>
      <c r="H60" s="214">
        <f>G60/(1+'0 - Total Costs'!$B$22)^(2017-$B$5)</f>
        <v>0</v>
      </c>
      <c r="I60" s="214">
        <f t="shared" si="4"/>
        <v>0</v>
      </c>
      <c r="J60" s="214">
        <f>I60*((1+'0 - Total Costs'!$B$23)^2)</f>
        <v>0</v>
      </c>
      <c r="K60" s="12" t="s">
        <v>783</v>
      </c>
      <c r="L60" s="18">
        <v>0</v>
      </c>
      <c r="M60" s="23">
        <f t="shared" si="0"/>
        <v>1</v>
      </c>
      <c r="N60" s="222">
        <f t="shared" si="1"/>
        <v>0</v>
      </c>
    </row>
    <row r="61" spans="1:16" ht="12.75" customHeight="1">
      <c r="A61" s="208" t="s">
        <v>847</v>
      </c>
      <c r="B61" s="209">
        <f>M38*'0 - Total Costs'!B13</f>
        <v>12.654915254237288</v>
      </c>
      <c r="C61" s="210" t="s">
        <v>655</v>
      </c>
      <c r="D61" s="211">
        <v>1</v>
      </c>
      <c r="E61" s="212">
        <v>1</v>
      </c>
      <c r="F61" s="213">
        <f t="shared" si="3"/>
        <v>12.654915254237288</v>
      </c>
      <c r="G61" s="214">
        <f t="shared" si="2"/>
        <v>0.19432626845362994</v>
      </c>
      <c r="H61" s="214">
        <f>G61/(1+'0 - Total Costs'!$B$22)^(2017-$B$5)</f>
        <v>0.19014311981764181</v>
      </c>
      <c r="I61" s="214">
        <f t="shared" si="4"/>
        <v>0.17285738165240164</v>
      </c>
      <c r="J61" s="214">
        <f>I61*((1+'0 - Total Costs'!$B$23)^2)</f>
        <v>0.17984081987115866</v>
      </c>
      <c r="K61" s="12" t="s">
        <v>783</v>
      </c>
      <c r="L61" s="18">
        <v>1</v>
      </c>
      <c r="M61" s="23">
        <f t="shared" si="0"/>
        <v>0</v>
      </c>
      <c r="N61" s="222">
        <f t="shared" si="1"/>
        <v>0</v>
      </c>
    </row>
    <row r="62" spans="1:16" ht="12.75" customHeight="1">
      <c r="A62" s="208" t="s">
        <v>817</v>
      </c>
      <c r="B62" s="209">
        <f>SUM(Q10,'0 - Total Costs'!B13*(Q11+Q12),'0 - Total Costs'!B13*Q13*Q15,'0 - Total Costs'!B13*Q14*Q16,Q17)</f>
        <v>160.00372881355935</v>
      </c>
      <c r="C62" s="210" t="s">
        <v>655</v>
      </c>
      <c r="D62" s="211">
        <v>1</v>
      </c>
      <c r="E62" s="212">
        <v>1</v>
      </c>
      <c r="F62" s="213">
        <f t="shared" si="3"/>
        <v>160.00372881355935</v>
      </c>
      <c r="G62" s="214">
        <f t="shared" si="2"/>
        <v>2.4569842574484713</v>
      </c>
      <c r="H62" s="214">
        <f>G62/(1+'0 - Total Costs'!$B$22)^(2017-$B$5)</f>
        <v>2.4040941853703242</v>
      </c>
      <c r="I62" s="214">
        <f t="shared" si="4"/>
        <v>2.1855401685184765</v>
      </c>
      <c r="J62" s="214">
        <f>I62*((1+'0 - Total Costs'!$B$23)^2)</f>
        <v>2.2738359913266231</v>
      </c>
      <c r="K62" s="12" t="s">
        <v>784</v>
      </c>
      <c r="L62" s="18">
        <v>1</v>
      </c>
      <c r="M62" s="23">
        <f t="shared" si="0"/>
        <v>0</v>
      </c>
      <c r="N62" s="222">
        <f t="shared" si="1"/>
        <v>0</v>
      </c>
    </row>
    <row r="63" spans="1:16" ht="12.75" customHeight="1">
      <c r="A63" s="208" t="s">
        <v>821</v>
      </c>
      <c r="B63" s="209">
        <f>Q24*'0 - Total Costs'!B13</f>
        <v>76.077288135593221</v>
      </c>
      <c r="C63" s="210" t="s">
        <v>655</v>
      </c>
      <c r="D63" s="211">
        <v>1</v>
      </c>
      <c r="E63" s="212">
        <v>1</v>
      </c>
      <c r="F63" s="213">
        <f t="shared" si="3"/>
        <v>76.077288135593221</v>
      </c>
      <c r="G63" s="214">
        <f t="shared" si="2"/>
        <v>1.1682271449831581</v>
      </c>
      <c r="H63" s="214">
        <f>G63/(1+'0 - Total Costs'!$B$22)^(2017-$B$5)</f>
        <v>1.1430793982222682</v>
      </c>
      <c r="I63" s="214">
        <f t="shared" si="4"/>
        <v>1.0391630892929711</v>
      </c>
      <c r="J63" s="214">
        <f>I63*((1+'0 - Total Costs'!$B$23)^2)</f>
        <v>1.0811452781004072</v>
      </c>
      <c r="K63" s="12" t="s">
        <v>783</v>
      </c>
      <c r="L63" s="18">
        <v>1</v>
      </c>
      <c r="M63" s="23">
        <f t="shared" si="0"/>
        <v>0</v>
      </c>
      <c r="N63" s="222">
        <f t="shared" si="1"/>
        <v>0</v>
      </c>
    </row>
    <row r="64" spans="1:16" ht="12.75" customHeight="1">
      <c r="A64" s="208" t="s">
        <v>819</v>
      </c>
      <c r="B64" s="209">
        <f>Q25*'0 - Total Costs'!B13</f>
        <v>78.969491525423734</v>
      </c>
      <c r="C64" s="210" t="s">
        <v>655</v>
      </c>
      <c r="D64" s="211">
        <v>1</v>
      </c>
      <c r="E64" s="212">
        <v>1</v>
      </c>
      <c r="F64" s="213">
        <f t="shared" si="3"/>
        <v>78.969491525423734</v>
      </c>
      <c r="G64" s="214">
        <f t="shared" si="2"/>
        <v>1.2126392236943542</v>
      </c>
      <c r="H64" s="214">
        <f>G64/(1+'0 - Total Costs'!$B$22)^(2017-$B$5)</f>
        <v>1.1865354439279394</v>
      </c>
      <c r="I64" s="214">
        <f t="shared" si="4"/>
        <v>1.0786685853890357</v>
      </c>
      <c r="J64" s="214">
        <f>I64*((1+'0 - Total Costs'!$B$23)^2)</f>
        <v>1.1222467962387528</v>
      </c>
      <c r="K64" s="12"/>
      <c r="L64" s="18">
        <v>1</v>
      </c>
      <c r="M64" s="23">
        <f t="shared" si="0"/>
        <v>0</v>
      </c>
      <c r="N64" s="222">
        <f t="shared" si="1"/>
        <v>0</v>
      </c>
    </row>
    <row r="65" spans="1:14" ht="12.75" customHeight="1">
      <c r="A65" s="208" t="s">
        <v>825</v>
      </c>
      <c r="B65" s="209">
        <f>Q33*'0 - Total Costs'!B13</f>
        <v>48.813559322033903</v>
      </c>
      <c r="C65" s="210" t="s">
        <v>655</v>
      </c>
      <c r="D65" s="211">
        <v>1</v>
      </c>
      <c r="E65" s="212">
        <v>1</v>
      </c>
      <c r="F65" s="213">
        <f t="shared" si="3"/>
        <v>48.813559322033903</v>
      </c>
      <c r="G65" s="214">
        <f t="shared" si="2"/>
        <v>0.74957094871216956</v>
      </c>
      <c r="H65" s="214">
        <f>G65/(1+'0 - Total Costs'!$B$22)^(2017-$B$5)</f>
        <v>0.73343537055985275</v>
      </c>
      <c r="I65" s="214">
        <f t="shared" si="4"/>
        <v>0.66675942778168429</v>
      </c>
      <c r="J65" s="214">
        <f>I65*((1+'0 - Total Costs'!$B$23)^2)</f>
        <v>0.69369650866406429</v>
      </c>
      <c r="K65" s="12"/>
      <c r="L65" s="18">
        <v>1</v>
      </c>
      <c r="M65" s="23">
        <f t="shared" si="0"/>
        <v>0</v>
      </c>
      <c r="N65" s="222">
        <f t="shared" si="1"/>
        <v>0</v>
      </c>
    </row>
    <row r="66" spans="1:14" ht="12.75" customHeight="1">
      <c r="A66" s="208" t="s">
        <v>826</v>
      </c>
      <c r="B66" s="209">
        <f>Q34</f>
        <v>3140</v>
      </c>
      <c r="C66" s="210" t="s">
        <v>655</v>
      </c>
      <c r="D66" s="211">
        <f>Q35*'0 - Total Costs'!B13</f>
        <v>1.6949152542372881E-2</v>
      </c>
      <c r="E66" s="212">
        <v>1</v>
      </c>
      <c r="F66" s="213">
        <f t="shared" si="3"/>
        <v>53.220338983050844</v>
      </c>
      <c r="G66" s="214">
        <f t="shared" si="2"/>
        <v>0.81724054824868464</v>
      </c>
      <c r="H66" s="214">
        <f>G66/(1+'0 - Total Costs'!$B$22)^(2017-$B$5)</f>
        <v>0.79964828595761706</v>
      </c>
      <c r="I66" s="214">
        <f t="shared" si="4"/>
        <v>0.72695298723419721</v>
      </c>
      <c r="J66" s="214">
        <f>I66*((1+'0 - Total Costs'!$B$23)^2)</f>
        <v>0.75632188791845878</v>
      </c>
      <c r="K66" s="12"/>
      <c r="L66" s="18">
        <v>1</v>
      </c>
      <c r="M66" s="23">
        <f t="shared" si="0"/>
        <v>0</v>
      </c>
      <c r="N66" s="222">
        <f t="shared" si="1"/>
        <v>0</v>
      </c>
    </row>
    <row r="67" spans="1:14" ht="12.75" customHeight="1">
      <c r="A67" s="221" t="s">
        <v>804</v>
      </c>
      <c r="B67" s="209">
        <f>B29*'0 - Total Costs'!B14</f>
        <v>76.50923728813558</v>
      </c>
      <c r="C67" s="210" t="s">
        <v>805</v>
      </c>
      <c r="D67" s="212">
        <v>1</v>
      </c>
      <c r="E67" s="212">
        <v>1</v>
      </c>
      <c r="F67" s="213">
        <f t="shared" si="3"/>
        <v>76.50923728813558</v>
      </c>
      <c r="G67" s="214">
        <f>F67/'0 - Total Costs'!$B$18</f>
        <v>1.1187360143902614</v>
      </c>
      <c r="H67" s="214">
        <f>G67/(1+'0 - Total Costs'!$B$23)^(2018-$B$5)</f>
        <v>1.0752941314785289</v>
      </c>
      <c r="I67" s="214">
        <f>H67/(1+$B$13)^(2018-$B$5)</f>
        <v>0.88867283593266844</v>
      </c>
      <c r="J67" s="214">
        <f>I67*((1+'0 - Total Costs'!$B$23)^2)</f>
        <v>0.92457521850434821</v>
      </c>
      <c r="K67" s="13"/>
      <c r="L67" s="13">
        <v>1</v>
      </c>
      <c r="M67" s="23">
        <f t="shared" si="0"/>
        <v>0</v>
      </c>
      <c r="N67" s="222">
        <f t="shared" si="1"/>
        <v>0</v>
      </c>
    </row>
    <row r="68" spans="1:14" ht="12.75" customHeight="1">
      <c r="A68" s="221" t="s">
        <v>807</v>
      </c>
      <c r="B68" s="209">
        <f>SUM(B30,B31*B32)*'0 - Total Costs'!B14</f>
        <v>1716.6836627118639</v>
      </c>
      <c r="C68" s="210" t="s">
        <v>805</v>
      </c>
      <c r="D68" s="212">
        <v>1</v>
      </c>
      <c r="E68" s="212">
        <v>1</v>
      </c>
      <c r="F68" s="213">
        <f t="shared" si="3"/>
        <v>1716.6836627118639</v>
      </c>
      <c r="G68" s="214">
        <f>F68/'0 - Total Costs'!$B$18</f>
        <v>25.101751198465603</v>
      </c>
      <c r="H68" s="214">
        <f>G68/(1+'0 - Total Costs'!$B$23)^(2018-$B$5)</f>
        <v>24.127019606368322</v>
      </c>
      <c r="I68" s="214">
        <f t="shared" ref="I68:I76" si="5">H68/(1+$B$13)^(2018-$B$5)</f>
        <v>19.939685625097784</v>
      </c>
      <c r="J68" s="214">
        <f>I68*((1+'0 - Total Costs'!$B$23)^2)</f>
        <v>20.745248924351735</v>
      </c>
      <c r="K68" s="13"/>
      <c r="L68" s="13">
        <v>1</v>
      </c>
      <c r="M68" s="23">
        <f t="shared" si="0"/>
        <v>0</v>
      </c>
      <c r="N68" s="222">
        <f t="shared" si="1"/>
        <v>0</v>
      </c>
    </row>
    <row r="69" spans="1:14" ht="12.75" customHeight="1">
      <c r="A69" s="221" t="s">
        <v>876</v>
      </c>
      <c r="B69" s="209">
        <f>M22</f>
        <v>228.61111111111111</v>
      </c>
      <c r="C69" s="210" t="s">
        <v>805</v>
      </c>
      <c r="D69" s="211">
        <f>M24*'0 - Total Costs'!B12</f>
        <v>1.5254237288135593</v>
      </c>
      <c r="E69" s="212">
        <v>1</v>
      </c>
      <c r="F69" s="213">
        <f t="shared" si="3"/>
        <v>348.72881355932202</v>
      </c>
      <c r="G69" s="214">
        <f>F69/'0 - Total Costs'!$B$18</f>
        <v>5.0991945131427867</v>
      </c>
      <c r="H69" s="214">
        <f>G69/(1+'0 - Total Costs'!$B$23)^(2018-$B$5)</f>
        <v>4.9011865754928747</v>
      </c>
      <c r="I69" s="214">
        <f t="shared" si="5"/>
        <v>4.0505674177627053</v>
      </c>
      <c r="J69" s="214">
        <f>I69*((1+'0 - Total Costs'!$B$23)^2)</f>
        <v>4.2142103414403183</v>
      </c>
      <c r="K69" s="13"/>
      <c r="L69" s="13">
        <v>0</v>
      </c>
      <c r="M69" s="23">
        <f t="shared" si="0"/>
        <v>1</v>
      </c>
      <c r="N69" s="222">
        <f t="shared" si="1"/>
        <v>4.2142103414403183</v>
      </c>
    </row>
    <row r="70" spans="1:14" ht="12.75" customHeight="1">
      <c r="A70" s="221" t="s">
        <v>813</v>
      </c>
      <c r="B70" s="220">
        <f>M40</f>
        <v>0.72</v>
      </c>
      <c r="C70" s="210" t="s">
        <v>805</v>
      </c>
      <c r="D70" s="212">
        <f>M6*(M36*'0 - Total Costs'!B12)</f>
        <v>0</v>
      </c>
      <c r="E70" s="212">
        <v>1</v>
      </c>
      <c r="F70" s="213">
        <f t="shared" si="3"/>
        <v>0</v>
      </c>
      <c r="G70" s="214">
        <f>F70/'0 - Total Costs'!$B$18</f>
        <v>0</v>
      </c>
      <c r="H70" s="214">
        <f>G70/(1+'0 - Total Costs'!$B$23)^(2018-$B$5)</f>
        <v>0</v>
      </c>
      <c r="I70" s="214">
        <f t="shared" si="5"/>
        <v>0</v>
      </c>
      <c r="J70" s="214">
        <f>I70*((1+'0 - Total Costs'!$B$23)^2)</f>
        <v>0</v>
      </c>
      <c r="L70" s="13">
        <v>0</v>
      </c>
      <c r="M70" s="23">
        <f t="shared" si="0"/>
        <v>1</v>
      </c>
      <c r="N70" s="222">
        <f t="shared" si="1"/>
        <v>0</v>
      </c>
    </row>
    <row r="71" spans="1:14" ht="12.75" customHeight="1">
      <c r="A71" s="221" t="s">
        <v>816</v>
      </c>
      <c r="B71" s="209">
        <f>M38*'0 - Total Costs'!B14</f>
        <v>3.1637288135593211</v>
      </c>
      <c r="C71" s="210" t="s">
        <v>805</v>
      </c>
      <c r="D71" s="212">
        <v>1</v>
      </c>
      <c r="E71" s="212">
        <v>1</v>
      </c>
      <c r="F71" s="213">
        <f t="shared" si="3"/>
        <v>3.1637288135593211</v>
      </c>
      <c r="G71" s="214">
        <f>F71/'0 - Total Costs'!$B$18</f>
        <v>4.6260784827374599E-2</v>
      </c>
      <c r="H71" s="214">
        <f>G71/(1+'0 - Total Costs'!$B$23)^(2018-$B$5)</f>
        <v>4.446442217164033E-2</v>
      </c>
      <c r="I71" s="214">
        <f t="shared" si="5"/>
        <v>3.6747456340198617E-2</v>
      </c>
      <c r="J71" s="214">
        <f>I71*((1+'0 - Total Costs'!$B$23)^2)</f>
        <v>3.8232053576342642E-2</v>
      </c>
      <c r="L71" s="13">
        <v>0</v>
      </c>
      <c r="M71" s="23">
        <f t="shared" si="0"/>
        <v>1</v>
      </c>
      <c r="N71" s="222">
        <f t="shared" si="1"/>
        <v>3.8232053576342642E-2</v>
      </c>
    </row>
    <row r="72" spans="1:14" ht="12.75" customHeight="1">
      <c r="A72" s="221" t="s">
        <v>818</v>
      </c>
      <c r="B72" s="209">
        <f>SUM('0 - Total Costs'!B14*(Q11+Q12),'0 - Total Costs'!B14*Q13*Q15,'0 - Total Costs'!B14*Q14*Q16)</f>
        <v>29.280593220338979</v>
      </c>
      <c r="C72" s="210" t="s">
        <v>805</v>
      </c>
      <c r="D72" s="212">
        <v>1</v>
      </c>
      <c r="E72" s="212">
        <v>1</v>
      </c>
      <c r="F72" s="213">
        <f t="shared" si="3"/>
        <v>29.280593220338979</v>
      </c>
      <c r="G72" s="214">
        <f>F72/'0 - Total Costs'!$B$18</f>
        <v>0.42814770241323868</v>
      </c>
      <c r="H72" s="214">
        <f>G72/(1+'0 - Total Costs'!$B$23)^(2018-$B$5)</f>
        <v>0.4115222053183763</v>
      </c>
      <c r="I72" s="214">
        <f t="shared" si="5"/>
        <v>0.34010099613088945</v>
      </c>
      <c r="J72" s="214">
        <f>I72*((1+'0 - Total Costs'!$B$23)^2)</f>
        <v>0.3538410763745774</v>
      </c>
      <c r="L72" s="13">
        <v>1</v>
      </c>
      <c r="M72" s="23">
        <f t="shared" si="0"/>
        <v>0</v>
      </c>
      <c r="N72" s="222">
        <f t="shared" si="1"/>
        <v>0</v>
      </c>
    </row>
    <row r="73" spans="1:14" ht="12.75" customHeight="1">
      <c r="A73" s="221" t="s">
        <v>822</v>
      </c>
      <c r="B73" s="209">
        <f>Q24*'0 - Total Costs'!B14</f>
        <v>19.019322033898302</v>
      </c>
      <c r="C73" s="210" t="s">
        <v>805</v>
      </c>
      <c r="D73" s="212">
        <v>1</v>
      </c>
      <c r="E73" s="212">
        <v>1</v>
      </c>
      <c r="F73" s="213">
        <f t="shared" si="3"/>
        <v>19.019322033898302</v>
      </c>
      <c r="G73" s="214">
        <f>F73/'0 - Total Costs'!$B$18</f>
        <v>0.27810498813988072</v>
      </c>
      <c r="H73" s="214">
        <f>G73/(1+'0 - Total Costs'!$B$23)^(2018-$B$5)</f>
        <v>0.26730583250661355</v>
      </c>
      <c r="I73" s="214">
        <f t="shared" si="5"/>
        <v>0.22091391116249051</v>
      </c>
      <c r="J73" s="214">
        <f>I73*((1+'0 - Total Costs'!$B$23)^2)</f>
        <v>0.22983883317345513</v>
      </c>
      <c r="L73" s="13">
        <v>1</v>
      </c>
      <c r="M73" s="23">
        <f t="shared" si="0"/>
        <v>0</v>
      </c>
      <c r="N73" s="222">
        <f t="shared" si="1"/>
        <v>0</v>
      </c>
    </row>
    <row r="74" spans="1:14" ht="12.75" customHeight="1">
      <c r="A74" s="221" t="s">
        <v>823</v>
      </c>
      <c r="B74" s="209">
        <f>Q25*'0 - Total Costs'!B14</f>
        <v>19.742372881355926</v>
      </c>
      <c r="C74" s="210" t="s">
        <v>805</v>
      </c>
      <c r="D74" s="212">
        <v>1</v>
      </c>
      <c r="E74" s="212">
        <v>1</v>
      </c>
      <c r="F74" s="213">
        <f t="shared" si="3"/>
        <v>19.742372881355926</v>
      </c>
      <c r="G74" s="214">
        <f>F74/'0 - Total Costs'!$B$18</f>
        <v>0.28867760723736169</v>
      </c>
      <c r="H74" s="214">
        <f>G74/(1+'0 - Total Costs'!$B$23)^(2018-$B$5)</f>
        <v>0.27746790391903275</v>
      </c>
      <c r="I74" s="214">
        <f t="shared" si="5"/>
        <v>0.22931231728845677</v>
      </c>
      <c r="J74" s="214">
        <f>I74*((1+'0 - Total Costs'!$B$23)^2)</f>
        <v>0.23857653490691041</v>
      </c>
      <c r="L74" s="13">
        <v>1</v>
      </c>
      <c r="M74" s="23">
        <f t="shared" si="0"/>
        <v>0</v>
      </c>
      <c r="N74" s="222">
        <f t="shared" si="1"/>
        <v>0</v>
      </c>
    </row>
    <row r="75" spans="1:14" ht="12.75" customHeight="1">
      <c r="A75" s="221" t="s">
        <v>824</v>
      </c>
      <c r="B75" s="209">
        <f>Q33*'0 - Total Costs'!B14</f>
        <v>12.203389830508472</v>
      </c>
      <c r="C75" s="210" t="s">
        <v>805</v>
      </c>
      <c r="D75" s="212">
        <v>1</v>
      </c>
      <c r="E75" s="212">
        <v>1</v>
      </c>
      <c r="F75" s="213">
        <f t="shared" si="3"/>
        <v>12.203389830508472</v>
      </c>
      <c r="G75" s="214">
        <f>F75/'0 - Total Costs'!$B$18</f>
        <v>0.17844082864946809</v>
      </c>
      <c r="H75" s="214">
        <f>G75/(1+'0 - Total Costs'!$B$23)^(2018-$B$5)</f>
        <v>0.17151175379610542</v>
      </c>
      <c r="I75" s="214">
        <f t="shared" si="5"/>
        <v>0.14174525107116148</v>
      </c>
      <c r="J75" s="214">
        <f>I75*((1+'0 - Total Costs'!$B$23)^2)</f>
        <v>0.14747175921443639</v>
      </c>
      <c r="L75" s="13">
        <v>1</v>
      </c>
      <c r="M75" s="23">
        <f t="shared" si="0"/>
        <v>0</v>
      </c>
      <c r="N75" s="222">
        <f t="shared" si="1"/>
        <v>0</v>
      </c>
    </row>
    <row r="76" spans="1:14" ht="12.75" customHeight="1">
      <c r="A76" s="221" t="s">
        <v>827</v>
      </c>
      <c r="B76" s="209">
        <f>Q34*'0 - Total Costs'!B14</f>
        <v>627.99999999999989</v>
      </c>
      <c r="C76" s="210" t="s">
        <v>805</v>
      </c>
      <c r="D76" s="212">
        <v>1</v>
      </c>
      <c r="E76" s="212">
        <v>1</v>
      </c>
      <c r="F76" s="213">
        <f t="shared" si="3"/>
        <v>627.99999999999989</v>
      </c>
      <c r="G76" s="214">
        <f>F76/'0 - Total Costs'!$B$18</f>
        <v>9.1827633098890153</v>
      </c>
      <c r="H76" s="214">
        <f>G76/(1+'0 - Total Costs'!$B$23)^(2018-$B$5)</f>
        <v>8.826185418962913</v>
      </c>
      <c r="I76" s="214">
        <f t="shared" si="5"/>
        <v>7.2943681148453816</v>
      </c>
      <c r="J76" s="214">
        <f>I76*((1+'0 - Total Costs'!$B$23)^2)</f>
        <v>7.5890605866851351</v>
      </c>
      <c r="L76" s="13">
        <v>1</v>
      </c>
      <c r="M76" s="23">
        <f t="shared" si="0"/>
        <v>0</v>
      </c>
      <c r="N76" s="222">
        <f t="shared" si="1"/>
        <v>0</v>
      </c>
    </row>
    <row r="77" spans="1:14">
      <c r="B77" s="29"/>
      <c r="C77" s="172"/>
      <c r="F77" s="31"/>
      <c r="G77" s="32"/>
      <c r="H77" s="195"/>
      <c r="I77" s="32"/>
      <c r="J77" s="32"/>
    </row>
    <row r="78" spans="1:14">
      <c r="B78" s="33"/>
      <c r="E78" s="177"/>
      <c r="G78" s="34"/>
      <c r="I78" s="16" t="s">
        <v>889</v>
      </c>
      <c r="J78" s="34">
        <f>SUM(J47:J76)</f>
        <v>220.37655738496636</v>
      </c>
    </row>
    <row r="79" spans="1:14">
      <c r="A79" s="10"/>
      <c r="B79" s="35"/>
      <c r="C79" s="11"/>
      <c r="D79" s="12"/>
      <c r="E79" s="12"/>
      <c r="G79" s="12"/>
      <c r="H79" s="12"/>
      <c r="I79" s="12" t="s">
        <v>890</v>
      </c>
      <c r="J79" s="36">
        <f>J78/15</f>
        <v>14.691770492331091</v>
      </c>
    </row>
    <row r="80" spans="1:14">
      <c r="B80" s="184"/>
      <c r="G80" s="12"/>
      <c r="H80" s="12"/>
      <c r="I80" s="12"/>
      <c r="J80" s="12"/>
    </row>
    <row r="81" spans="1:10">
      <c r="B81" s="186"/>
      <c r="C81" s="15"/>
      <c r="G81" s="12"/>
      <c r="H81" s="12"/>
      <c r="I81" s="12" t="s">
        <v>894</v>
      </c>
      <c r="J81" s="223">
        <f>SUM(N47:N76)</f>
        <v>53.360107041997502</v>
      </c>
    </row>
    <row r="82" spans="1:10">
      <c r="B82" s="186"/>
      <c r="C82" s="15"/>
      <c r="G82" s="12"/>
      <c r="H82" s="12"/>
      <c r="I82" s="12" t="s">
        <v>895</v>
      </c>
      <c r="J82" s="36">
        <f>J81/15</f>
        <v>3.5573404694665003</v>
      </c>
    </row>
    <row r="83" spans="1:10" ht="15" thickBot="1">
      <c r="B83" s="37"/>
      <c r="C83" s="15"/>
      <c r="G83" s="12"/>
      <c r="H83" s="12"/>
      <c r="I83" s="12"/>
      <c r="J83" s="12"/>
    </row>
    <row r="84" spans="1:10" ht="15" thickBot="1">
      <c r="A84" s="62"/>
      <c r="B84" s="63"/>
      <c r="C84" s="64"/>
      <c r="D84" s="65"/>
      <c r="E84" s="172"/>
      <c r="F84" s="12"/>
      <c r="G84" s="12"/>
      <c r="H84" s="12"/>
      <c r="I84" s="12"/>
      <c r="J84" s="18"/>
    </row>
    <row r="85" spans="1:10">
      <c r="A85" s="40"/>
      <c r="B85" s="185"/>
      <c r="C85" s="42"/>
      <c r="D85" s="66"/>
      <c r="E85" s="67"/>
      <c r="F85" s="172"/>
      <c r="G85" s="172"/>
      <c r="H85" s="172"/>
      <c r="I85" s="12"/>
      <c r="J85" s="23"/>
    </row>
    <row r="86" spans="1:10">
      <c r="A86" s="41"/>
      <c r="B86" s="185"/>
      <c r="C86" s="42"/>
      <c r="D86" s="66"/>
      <c r="E86" s="67"/>
      <c r="F86" s="171"/>
      <c r="G86" s="171"/>
      <c r="H86" s="171"/>
      <c r="I86" s="12"/>
    </row>
    <row r="87" spans="1:10" ht="15" thickBot="1">
      <c r="A87" s="45"/>
      <c r="B87" s="46"/>
      <c r="C87" s="46"/>
      <c r="D87" s="66"/>
      <c r="E87" s="67"/>
      <c r="F87" s="171"/>
      <c r="G87" s="171"/>
      <c r="H87" s="171"/>
    </row>
    <row r="88" spans="1:10">
      <c r="A88" s="40"/>
      <c r="B88" s="42"/>
      <c r="C88" s="42"/>
      <c r="D88" s="44"/>
      <c r="E88" s="67"/>
      <c r="F88" s="171"/>
      <c r="G88" s="171"/>
      <c r="H88" s="171"/>
      <c r="J88" s="13"/>
    </row>
    <row r="89" spans="1:10">
      <c r="A89" s="41"/>
      <c r="B89" s="42"/>
      <c r="C89" s="42"/>
      <c r="D89" s="44"/>
      <c r="E89" s="67"/>
      <c r="F89" s="48"/>
      <c r="G89" s="48"/>
      <c r="H89" s="48"/>
      <c r="J89" s="1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226"/>
  <sheetViews>
    <sheetView workbookViewId="0">
      <pane ySplit="2" topLeftCell="A3" activePane="bottomLeft" state="frozen"/>
      <selection activeCell="C1" sqref="C1"/>
      <selection pane="bottomLeft" activeCell="C225" sqref="C225"/>
    </sheetView>
  </sheetViews>
  <sheetFormatPr baseColWidth="10" defaultColWidth="8.83203125" defaultRowHeight="15" outlineLevelRow="1"/>
  <cols>
    <col min="1" max="1" width="28" style="160" hidden="1" customWidth="1"/>
    <col min="2" max="2" width="17" style="160" hidden="1" customWidth="1"/>
    <col min="3" max="3" width="25.83203125" style="160" bestFit="1" customWidth="1"/>
    <col min="4" max="4" width="12" style="160" hidden="1" customWidth="1"/>
    <col min="5" max="9" width="12.1640625" style="163" customWidth="1"/>
    <col min="10" max="26" width="9" style="164" customWidth="1"/>
    <col min="27" max="27" width="8" style="165" customWidth="1"/>
    <col min="28" max="28" width="8.83203125" style="165"/>
    <col min="29" max="16384" width="8.83203125" style="163"/>
  </cols>
  <sheetData>
    <row r="1" spans="1:16384" s="154" customFormat="1" ht="14.25" hidden="1" customHeight="1" outlineLevel="1">
      <c r="A1" s="153"/>
      <c r="B1" s="153"/>
      <c r="C1" s="153"/>
      <c r="D1" s="153" t="s">
        <v>1</v>
      </c>
      <c r="E1" s="154" t="str">
        <f>E2&amp;"y"</f>
        <v>1990y</v>
      </c>
      <c r="F1" s="154" t="str">
        <f t="shared" ref="F1:BQ1" si="0">F2&amp;"y"</f>
        <v>1991y</v>
      </c>
      <c r="G1" s="154" t="str">
        <f t="shared" si="0"/>
        <v>1992y</v>
      </c>
      <c r="H1" s="154" t="str">
        <f t="shared" si="0"/>
        <v>1993y</v>
      </c>
      <c r="I1" s="154" t="str">
        <f t="shared" si="0"/>
        <v>1994y</v>
      </c>
      <c r="J1" s="154" t="str">
        <f t="shared" si="0"/>
        <v>1995y</v>
      </c>
      <c r="K1" s="154" t="str">
        <f t="shared" si="0"/>
        <v>1996y</v>
      </c>
      <c r="L1" s="154" t="str">
        <f t="shared" si="0"/>
        <v>1997y</v>
      </c>
      <c r="M1" s="154" t="str">
        <f t="shared" si="0"/>
        <v>1998y</v>
      </c>
      <c r="N1" s="154" t="str">
        <f t="shared" si="0"/>
        <v>1999y</v>
      </c>
      <c r="O1" s="154" t="str">
        <f t="shared" si="0"/>
        <v>2000y</v>
      </c>
      <c r="P1" s="154" t="str">
        <f t="shared" si="0"/>
        <v>2001y</v>
      </c>
      <c r="Q1" s="154" t="str">
        <f t="shared" si="0"/>
        <v>2002y</v>
      </c>
      <c r="R1" s="154" t="str">
        <f t="shared" si="0"/>
        <v>2003y</v>
      </c>
      <c r="S1" s="154" t="str">
        <f t="shared" si="0"/>
        <v>2004y</v>
      </c>
      <c r="T1" s="154" t="str">
        <f t="shared" si="0"/>
        <v>2005y</v>
      </c>
      <c r="U1" s="154" t="str">
        <f t="shared" si="0"/>
        <v>2006y</v>
      </c>
      <c r="V1" s="154" t="str">
        <f t="shared" si="0"/>
        <v>2007y</v>
      </c>
      <c r="W1" s="154" t="str">
        <f t="shared" si="0"/>
        <v>2008y</v>
      </c>
      <c r="X1" s="154" t="str">
        <f t="shared" si="0"/>
        <v>2009y</v>
      </c>
      <c r="Y1" s="154" t="str">
        <f t="shared" si="0"/>
        <v>2010y</v>
      </c>
      <c r="Z1" s="154" t="str">
        <f t="shared" si="0"/>
        <v>2011y</v>
      </c>
      <c r="AA1" s="155" t="str">
        <f t="shared" si="0"/>
        <v>2012y</v>
      </c>
      <c r="AB1" s="155" t="str">
        <f t="shared" si="0"/>
        <v>2013y</v>
      </c>
      <c r="AC1" s="154" t="str">
        <f t="shared" si="0"/>
        <v>y</v>
      </c>
      <c r="AD1" s="154" t="str">
        <f t="shared" si="0"/>
        <v>y</v>
      </c>
      <c r="AE1" s="154" t="str">
        <f t="shared" si="0"/>
        <v>y</v>
      </c>
      <c r="AF1" s="154" t="str">
        <f t="shared" si="0"/>
        <v>y</v>
      </c>
      <c r="AG1" s="154" t="str">
        <f t="shared" si="0"/>
        <v>y</v>
      </c>
      <c r="AH1" s="154" t="str">
        <f t="shared" si="0"/>
        <v>y</v>
      </c>
      <c r="AI1" s="154" t="str">
        <f t="shared" si="0"/>
        <v>y</v>
      </c>
      <c r="AJ1" s="154" t="str">
        <f t="shared" si="0"/>
        <v>y</v>
      </c>
      <c r="AK1" s="154" t="str">
        <f t="shared" si="0"/>
        <v>y</v>
      </c>
      <c r="AL1" s="154" t="str">
        <f t="shared" si="0"/>
        <v>y</v>
      </c>
      <c r="AM1" s="154" t="str">
        <f t="shared" si="0"/>
        <v>y</v>
      </c>
      <c r="AN1" s="154" t="str">
        <f t="shared" si="0"/>
        <v>y</v>
      </c>
      <c r="AO1" s="154" t="str">
        <f t="shared" si="0"/>
        <v>y</v>
      </c>
      <c r="AP1" s="154" t="str">
        <f t="shared" si="0"/>
        <v>y</v>
      </c>
      <c r="AQ1" s="154" t="str">
        <f t="shared" si="0"/>
        <v>y</v>
      </c>
      <c r="AR1" s="154" t="str">
        <f t="shared" si="0"/>
        <v>y</v>
      </c>
      <c r="AS1" s="154" t="str">
        <f t="shared" si="0"/>
        <v>y</v>
      </c>
      <c r="AT1" s="154" t="str">
        <f t="shared" si="0"/>
        <v>y</v>
      </c>
      <c r="AU1" s="154" t="str">
        <f t="shared" si="0"/>
        <v>y</v>
      </c>
      <c r="AV1" s="154" t="str">
        <f t="shared" si="0"/>
        <v>y</v>
      </c>
      <c r="AW1" s="154" t="str">
        <f t="shared" si="0"/>
        <v>y</v>
      </c>
      <c r="AX1" s="154" t="str">
        <f t="shared" si="0"/>
        <v>y</v>
      </c>
      <c r="AY1" s="154" t="str">
        <f t="shared" si="0"/>
        <v>y</v>
      </c>
      <c r="AZ1" s="154" t="str">
        <f t="shared" si="0"/>
        <v>y</v>
      </c>
      <c r="BA1" s="154" t="str">
        <f t="shared" si="0"/>
        <v>y</v>
      </c>
      <c r="BB1" s="154" t="str">
        <f t="shared" si="0"/>
        <v>y</v>
      </c>
      <c r="BC1" s="154" t="str">
        <f t="shared" si="0"/>
        <v>y</v>
      </c>
      <c r="BD1" s="154" t="str">
        <f t="shared" si="0"/>
        <v>y</v>
      </c>
      <c r="BE1" s="154" t="str">
        <f t="shared" si="0"/>
        <v>y</v>
      </c>
      <c r="BF1" s="154" t="str">
        <f t="shared" si="0"/>
        <v>y</v>
      </c>
      <c r="BG1" s="154" t="str">
        <f t="shared" si="0"/>
        <v>y</v>
      </c>
      <c r="BH1" s="154" t="str">
        <f t="shared" si="0"/>
        <v>y</v>
      </c>
      <c r="BI1" s="154" t="str">
        <f t="shared" si="0"/>
        <v>y</v>
      </c>
      <c r="BJ1" s="154" t="str">
        <f t="shared" si="0"/>
        <v>y</v>
      </c>
      <c r="BK1" s="154" t="str">
        <f t="shared" si="0"/>
        <v>y</v>
      </c>
      <c r="BL1" s="154" t="str">
        <f t="shared" si="0"/>
        <v>y</v>
      </c>
      <c r="BM1" s="154" t="str">
        <f t="shared" si="0"/>
        <v>y</v>
      </c>
      <c r="BN1" s="154" t="str">
        <f t="shared" si="0"/>
        <v>y</v>
      </c>
      <c r="BO1" s="154" t="str">
        <f t="shared" si="0"/>
        <v>y</v>
      </c>
      <c r="BP1" s="154" t="str">
        <f t="shared" si="0"/>
        <v>y</v>
      </c>
      <c r="BQ1" s="154" t="str">
        <f t="shared" si="0"/>
        <v>y</v>
      </c>
      <c r="BR1" s="154" t="str">
        <f t="shared" ref="BR1:EC1" si="1">BR2&amp;"y"</f>
        <v>y</v>
      </c>
      <c r="BS1" s="154" t="str">
        <f t="shared" si="1"/>
        <v>y</v>
      </c>
      <c r="BT1" s="154" t="str">
        <f t="shared" si="1"/>
        <v>y</v>
      </c>
      <c r="BU1" s="154" t="str">
        <f t="shared" si="1"/>
        <v>y</v>
      </c>
      <c r="BV1" s="154" t="str">
        <f t="shared" si="1"/>
        <v>y</v>
      </c>
      <c r="BW1" s="154" t="str">
        <f t="shared" si="1"/>
        <v>y</v>
      </c>
      <c r="BX1" s="154" t="str">
        <f t="shared" si="1"/>
        <v>y</v>
      </c>
      <c r="BY1" s="154" t="str">
        <f t="shared" si="1"/>
        <v>y</v>
      </c>
      <c r="BZ1" s="154" t="str">
        <f t="shared" si="1"/>
        <v>y</v>
      </c>
      <c r="CA1" s="154" t="str">
        <f t="shared" si="1"/>
        <v>y</v>
      </c>
      <c r="CB1" s="154" t="str">
        <f t="shared" si="1"/>
        <v>y</v>
      </c>
      <c r="CC1" s="154" t="str">
        <f t="shared" si="1"/>
        <v>y</v>
      </c>
      <c r="CD1" s="154" t="str">
        <f t="shared" si="1"/>
        <v>y</v>
      </c>
      <c r="CE1" s="154" t="str">
        <f t="shared" si="1"/>
        <v>y</v>
      </c>
      <c r="CF1" s="154" t="str">
        <f t="shared" si="1"/>
        <v>y</v>
      </c>
      <c r="CG1" s="154" t="str">
        <f t="shared" si="1"/>
        <v>y</v>
      </c>
      <c r="CH1" s="154" t="str">
        <f t="shared" si="1"/>
        <v>y</v>
      </c>
      <c r="CI1" s="154" t="str">
        <f t="shared" si="1"/>
        <v>y</v>
      </c>
      <c r="CJ1" s="154" t="str">
        <f t="shared" si="1"/>
        <v>y</v>
      </c>
      <c r="CK1" s="154" t="str">
        <f t="shared" si="1"/>
        <v>y</v>
      </c>
      <c r="CL1" s="154" t="str">
        <f t="shared" si="1"/>
        <v>y</v>
      </c>
      <c r="CM1" s="154" t="str">
        <f t="shared" si="1"/>
        <v>y</v>
      </c>
      <c r="CN1" s="154" t="str">
        <f t="shared" si="1"/>
        <v>y</v>
      </c>
      <c r="CO1" s="154" t="str">
        <f t="shared" si="1"/>
        <v>y</v>
      </c>
      <c r="CP1" s="154" t="str">
        <f t="shared" si="1"/>
        <v>y</v>
      </c>
      <c r="CQ1" s="154" t="str">
        <f t="shared" si="1"/>
        <v>y</v>
      </c>
      <c r="CR1" s="154" t="str">
        <f t="shared" si="1"/>
        <v>y</v>
      </c>
      <c r="CS1" s="154" t="str">
        <f t="shared" si="1"/>
        <v>y</v>
      </c>
      <c r="CT1" s="154" t="str">
        <f t="shared" si="1"/>
        <v>y</v>
      </c>
      <c r="CU1" s="154" t="str">
        <f t="shared" si="1"/>
        <v>y</v>
      </c>
      <c r="CV1" s="154" t="str">
        <f t="shared" si="1"/>
        <v>y</v>
      </c>
      <c r="CW1" s="154" t="str">
        <f t="shared" si="1"/>
        <v>y</v>
      </c>
      <c r="CX1" s="154" t="str">
        <f t="shared" si="1"/>
        <v>y</v>
      </c>
      <c r="CY1" s="154" t="str">
        <f t="shared" si="1"/>
        <v>y</v>
      </c>
      <c r="CZ1" s="154" t="str">
        <f t="shared" si="1"/>
        <v>y</v>
      </c>
      <c r="DA1" s="154" t="str">
        <f t="shared" si="1"/>
        <v>y</v>
      </c>
      <c r="DB1" s="154" t="str">
        <f t="shared" si="1"/>
        <v>y</v>
      </c>
      <c r="DC1" s="154" t="str">
        <f t="shared" si="1"/>
        <v>y</v>
      </c>
      <c r="DD1" s="154" t="str">
        <f t="shared" si="1"/>
        <v>y</v>
      </c>
      <c r="DE1" s="154" t="str">
        <f t="shared" si="1"/>
        <v>y</v>
      </c>
      <c r="DF1" s="154" t="str">
        <f t="shared" si="1"/>
        <v>y</v>
      </c>
      <c r="DG1" s="154" t="str">
        <f t="shared" si="1"/>
        <v>y</v>
      </c>
      <c r="DH1" s="154" t="str">
        <f t="shared" si="1"/>
        <v>y</v>
      </c>
      <c r="DI1" s="154" t="str">
        <f t="shared" si="1"/>
        <v>y</v>
      </c>
      <c r="DJ1" s="154" t="str">
        <f t="shared" si="1"/>
        <v>y</v>
      </c>
      <c r="DK1" s="154" t="str">
        <f t="shared" si="1"/>
        <v>y</v>
      </c>
      <c r="DL1" s="154" t="str">
        <f t="shared" si="1"/>
        <v>y</v>
      </c>
      <c r="DM1" s="154" t="str">
        <f t="shared" si="1"/>
        <v>y</v>
      </c>
      <c r="DN1" s="154" t="str">
        <f t="shared" si="1"/>
        <v>y</v>
      </c>
      <c r="DO1" s="154" t="str">
        <f t="shared" si="1"/>
        <v>y</v>
      </c>
      <c r="DP1" s="154" t="str">
        <f t="shared" si="1"/>
        <v>y</v>
      </c>
      <c r="DQ1" s="154" t="str">
        <f t="shared" si="1"/>
        <v>y</v>
      </c>
      <c r="DR1" s="154" t="str">
        <f t="shared" si="1"/>
        <v>y</v>
      </c>
      <c r="DS1" s="154" t="str">
        <f t="shared" si="1"/>
        <v>y</v>
      </c>
      <c r="DT1" s="154" t="str">
        <f t="shared" si="1"/>
        <v>y</v>
      </c>
      <c r="DU1" s="154" t="str">
        <f t="shared" si="1"/>
        <v>y</v>
      </c>
      <c r="DV1" s="154" t="str">
        <f t="shared" si="1"/>
        <v>y</v>
      </c>
      <c r="DW1" s="154" t="str">
        <f t="shared" si="1"/>
        <v>y</v>
      </c>
      <c r="DX1" s="154" t="str">
        <f t="shared" si="1"/>
        <v>y</v>
      </c>
      <c r="DY1" s="154" t="str">
        <f t="shared" si="1"/>
        <v>y</v>
      </c>
      <c r="DZ1" s="154" t="str">
        <f t="shared" si="1"/>
        <v>y</v>
      </c>
      <c r="EA1" s="154" t="str">
        <f t="shared" si="1"/>
        <v>y</v>
      </c>
      <c r="EB1" s="154" t="str">
        <f t="shared" si="1"/>
        <v>y</v>
      </c>
      <c r="EC1" s="154" t="str">
        <f t="shared" si="1"/>
        <v>y</v>
      </c>
      <c r="ED1" s="154" t="str">
        <f t="shared" ref="ED1:GO1" si="2">ED2&amp;"y"</f>
        <v>y</v>
      </c>
      <c r="EE1" s="154" t="str">
        <f t="shared" si="2"/>
        <v>y</v>
      </c>
      <c r="EF1" s="154" t="str">
        <f t="shared" si="2"/>
        <v>y</v>
      </c>
      <c r="EG1" s="154" t="str">
        <f t="shared" si="2"/>
        <v>y</v>
      </c>
      <c r="EH1" s="154" t="str">
        <f t="shared" si="2"/>
        <v>y</v>
      </c>
      <c r="EI1" s="154" t="str">
        <f t="shared" si="2"/>
        <v>y</v>
      </c>
      <c r="EJ1" s="154" t="str">
        <f t="shared" si="2"/>
        <v>y</v>
      </c>
      <c r="EK1" s="154" t="str">
        <f t="shared" si="2"/>
        <v>y</v>
      </c>
      <c r="EL1" s="154" t="str">
        <f t="shared" si="2"/>
        <v>y</v>
      </c>
      <c r="EM1" s="154" t="str">
        <f t="shared" si="2"/>
        <v>y</v>
      </c>
      <c r="EN1" s="154" t="str">
        <f t="shared" si="2"/>
        <v>y</v>
      </c>
      <c r="EO1" s="154" t="str">
        <f t="shared" si="2"/>
        <v>y</v>
      </c>
      <c r="EP1" s="154" t="str">
        <f t="shared" si="2"/>
        <v>y</v>
      </c>
      <c r="EQ1" s="154" t="str">
        <f t="shared" si="2"/>
        <v>y</v>
      </c>
      <c r="ER1" s="154" t="str">
        <f t="shared" si="2"/>
        <v>y</v>
      </c>
      <c r="ES1" s="154" t="str">
        <f t="shared" si="2"/>
        <v>y</v>
      </c>
      <c r="ET1" s="154" t="str">
        <f t="shared" si="2"/>
        <v>y</v>
      </c>
      <c r="EU1" s="154" t="str">
        <f t="shared" si="2"/>
        <v>y</v>
      </c>
      <c r="EV1" s="154" t="str">
        <f t="shared" si="2"/>
        <v>y</v>
      </c>
      <c r="EW1" s="154" t="str">
        <f t="shared" si="2"/>
        <v>y</v>
      </c>
      <c r="EX1" s="154" t="str">
        <f t="shared" si="2"/>
        <v>y</v>
      </c>
      <c r="EY1" s="154" t="str">
        <f t="shared" si="2"/>
        <v>y</v>
      </c>
      <c r="EZ1" s="154" t="str">
        <f t="shared" si="2"/>
        <v>y</v>
      </c>
      <c r="FA1" s="154" t="str">
        <f t="shared" si="2"/>
        <v>y</v>
      </c>
      <c r="FB1" s="154" t="str">
        <f t="shared" si="2"/>
        <v>y</v>
      </c>
      <c r="FC1" s="154" t="str">
        <f t="shared" si="2"/>
        <v>y</v>
      </c>
      <c r="FD1" s="154" t="str">
        <f t="shared" si="2"/>
        <v>y</v>
      </c>
      <c r="FE1" s="154" t="str">
        <f t="shared" si="2"/>
        <v>y</v>
      </c>
      <c r="FF1" s="154" t="str">
        <f t="shared" si="2"/>
        <v>y</v>
      </c>
      <c r="FG1" s="154" t="str">
        <f t="shared" si="2"/>
        <v>y</v>
      </c>
      <c r="FH1" s="154" t="str">
        <f t="shared" si="2"/>
        <v>y</v>
      </c>
      <c r="FI1" s="154" t="str">
        <f t="shared" si="2"/>
        <v>y</v>
      </c>
      <c r="FJ1" s="154" t="str">
        <f t="shared" si="2"/>
        <v>y</v>
      </c>
      <c r="FK1" s="154" t="str">
        <f t="shared" si="2"/>
        <v>y</v>
      </c>
      <c r="FL1" s="154" t="str">
        <f t="shared" si="2"/>
        <v>y</v>
      </c>
      <c r="FM1" s="154" t="str">
        <f t="shared" si="2"/>
        <v>y</v>
      </c>
      <c r="FN1" s="154" t="str">
        <f t="shared" si="2"/>
        <v>y</v>
      </c>
      <c r="FO1" s="154" t="str">
        <f t="shared" si="2"/>
        <v>y</v>
      </c>
      <c r="FP1" s="154" t="str">
        <f t="shared" si="2"/>
        <v>y</v>
      </c>
      <c r="FQ1" s="154" t="str">
        <f t="shared" si="2"/>
        <v>y</v>
      </c>
      <c r="FR1" s="154" t="str">
        <f t="shared" si="2"/>
        <v>y</v>
      </c>
      <c r="FS1" s="154" t="str">
        <f t="shared" si="2"/>
        <v>y</v>
      </c>
      <c r="FT1" s="154" t="str">
        <f t="shared" si="2"/>
        <v>y</v>
      </c>
      <c r="FU1" s="154" t="str">
        <f t="shared" si="2"/>
        <v>y</v>
      </c>
      <c r="FV1" s="154" t="str">
        <f t="shared" si="2"/>
        <v>y</v>
      </c>
      <c r="FW1" s="154" t="str">
        <f t="shared" si="2"/>
        <v>y</v>
      </c>
      <c r="FX1" s="154" t="str">
        <f t="shared" si="2"/>
        <v>y</v>
      </c>
      <c r="FY1" s="154" t="str">
        <f t="shared" si="2"/>
        <v>y</v>
      </c>
      <c r="FZ1" s="154" t="str">
        <f t="shared" si="2"/>
        <v>y</v>
      </c>
      <c r="GA1" s="154" t="str">
        <f t="shared" si="2"/>
        <v>y</v>
      </c>
      <c r="GB1" s="154" t="str">
        <f t="shared" si="2"/>
        <v>y</v>
      </c>
      <c r="GC1" s="154" t="str">
        <f t="shared" si="2"/>
        <v>y</v>
      </c>
      <c r="GD1" s="154" t="str">
        <f t="shared" si="2"/>
        <v>y</v>
      </c>
      <c r="GE1" s="154" t="str">
        <f t="shared" si="2"/>
        <v>y</v>
      </c>
      <c r="GF1" s="154" t="str">
        <f t="shared" si="2"/>
        <v>y</v>
      </c>
      <c r="GG1" s="154" t="str">
        <f t="shared" si="2"/>
        <v>y</v>
      </c>
      <c r="GH1" s="154" t="str">
        <f t="shared" si="2"/>
        <v>y</v>
      </c>
      <c r="GI1" s="154" t="str">
        <f t="shared" si="2"/>
        <v>y</v>
      </c>
      <c r="GJ1" s="154" t="str">
        <f t="shared" si="2"/>
        <v>y</v>
      </c>
      <c r="GK1" s="154" t="str">
        <f t="shared" si="2"/>
        <v>y</v>
      </c>
      <c r="GL1" s="154" t="str">
        <f t="shared" si="2"/>
        <v>y</v>
      </c>
      <c r="GM1" s="154" t="str">
        <f t="shared" si="2"/>
        <v>y</v>
      </c>
      <c r="GN1" s="154" t="str">
        <f t="shared" si="2"/>
        <v>y</v>
      </c>
      <c r="GO1" s="154" t="str">
        <f t="shared" si="2"/>
        <v>y</v>
      </c>
      <c r="GP1" s="154" t="str">
        <f t="shared" ref="GP1:JA1" si="3">GP2&amp;"y"</f>
        <v>y</v>
      </c>
      <c r="GQ1" s="154" t="str">
        <f t="shared" si="3"/>
        <v>y</v>
      </c>
      <c r="GR1" s="154" t="str">
        <f t="shared" si="3"/>
        <v>y</v>
      </c>
      <c r="GS1" s="154" t="str">
        <f t="shared" si="3"/>
        <v>y</v>
      </c>
      <c r="GT1" s="154" t="str">
        <f t="shared" si="3"/>
        <v>y</v>
      </c>
      <c r="GU1" s="154" t="str">
        <f t="shared" si="3"/>
        <v>y</v>
      </c>
      <c r="GV1" s="154" t="str">
        <f t="shared" si="3"/>
        <v>y</v>
      </c>
      <c r="GW1" s="154" t="str">
        <f t="shared" si="3"/>
        <v>y</v>
      </c>
      <c r="GX1" s="154" t="str">
        <f t="shared" si="3"/>
        <v>y</v>
      </c>
      <c r="GY1" s="154" t="str">
        <f t="shared" si="3"/>
        <v>y</v>
      </c>
      <c r="GZ1" s="154" t="str">
        <f t="shared" si="3"/>
        <v>y</v>
      </c>
      <c r="HA1" s="154" t="str">
        <f t="shared" si="3"/>
        <v>y</v>
      </c>
      <c r="HB1" s="154" t="str">
        <f t="shared" si="3"/>
        <v>y</v>
      </c>
      <c r="HC1" s="154" t="str">
        <f t="shared" si="3"/>
        <v>y</v>
      </c>
      <c r="HD1" s="154" t="str">
        <f t="shared" si="3"/>
        <v>y</v>
      </c>
      <c r="HE1" s="154" t="str">
        <f t="shared" si="3"/>
        <v>y</v>
      </c>
      <c r="HF1" s="154" t="str">
        <f t="shared" si="3"/>
        <v>y</v>
      </c>
      <c r="HG1" s="154" t="str">
        <f t="shared" si="3"/>
        <v>y</v>
      </c>
      <c r="HH1" s="154" t="str">
        <f t="shared" si="3"/>
        <v>y</v>
      </c>
      <c r="HI1" s="154" t="str">
        <f t="shared" si="3"/>
        <v>y</v>
      </c>
      <c r="HJ1" s="154" t="str">
        <f t="shared" si="3"/>
        <v>y</v>
      </c>
      <c r="HK1" s="154" t="str">
        <f t="shared" si="3"/>
        <v>y</v>
      </c>
      <c r="HL1" s="154" t="str">
        <f t="shared" si="3"/>
        <v>y</v>
      </c>
      <c r="HM1" s="154" t="str">
        <f t="shared" si="3"/>
        <v>y</v>
      </c>
      <c r="HN1" s="154" t="str">
        <f t="shared" si="3"/>
        <v>y</v>
      </c>
      <c r="HO1" s="154" t="str">
        <f t="shared" si="3"/>
        <v>y</v>
      </c>
      <c r="HP1" s="154" t="str">
        <f t="shared" si="3"/>
        <v>y</v>
      </c>
      <c r="HQ1" s="154" t="str">
        <f t="shared" si="3"/>
        <v>y</v>
      </c>
      <c r="HR1" s="154" t="str">
        <f t="shared" si="3"/>
        <v>y</v>
      </c>
      <c r="HS1" s="154" t="str">
        <f t="shared" si="3"/>
        <v>y</v>
      </c>
      <c r="HT1" s="154" t="str">
        <f t="shared" si="3"/>
        <v>y</v>
      </c>
      <c r="HU1" s="154" t="str">
        <f t="shared" si="3"/>
        <v>y</v>
      </c>
      <c r="HV1" s="154" t="str">
        <f t="shared" si="3"/>
        <v>y</v>
      </c>
      <c r="HW1" s="154" t="str">
        <f t="shared" si="3"/>
        <v>y</v>
      </c>
      <c r="HX1" s="154" t="str">
        <f t="shared" si="3"/>
        <v>y</v>
      </c>
      <c r="HY1" s="154" t="str">
        <f t="shared" si="3"/>
        <v>y</v>
      </c>
      <c r="HZ1" s="154" t="str">
        <f t="shared" si="3"/>
        <v>y</v>
      </c>
      <c r="IA1" s="154" t="str">
        <f t="shared" si="3"/>
        <v>y</v>
      </c>
      <c r="IB1" s="154" t="str">
        <f t="shared" si="3"/>
        <v>y</v>
      </c>
      <c r="IC1" s="154" t="str">
        <f t="shared" si="3"/>
        <v>y</v>
      </c>
      <c r="ID1" s="154" t="str">
        <f t="shared" si="3"/>
        <v>y</v>
      </c>
      <c r="IE1" s="154" t="str">
        <f t="shared" si="3"/>
        <v>y</v>
      </c>
      <c r="IF1" s="154" t="str">
        <f t="shared" si="3"/>
        <v>y</v>
      </c>
      <c r="IG1" s="154" t="str">
        <f t="shared" si="3"/>
        <v>y</v>
      </c>
      <c r="IH1" s="154" t="str">
        <f t="shared" si="3"/>
        <v>y</v>
      </c>
      <c r="II1" s="154" t="str">
        <f t="shared" si="3"/>
        <v>y</v>
      </c>
      <c r="IJ1" s="154" t="str">
        <f t="shared" si="3"/>
        <v>y</v>
      </c>
      <c r="IK1" s="154" t="str">
        <f t="shared" si="3"/>
        <v>y</v>
      </c>
      <c r="IL1" s="154" t="str">
        <f t="shared" si="3"/>
        <v>y</v>
      </c>
      <c r="IM1" s="154" t="str">
        <f t="shared" si="3"/>
        <v>y</v>
      </c>
      <c r="IN1" s="154" t="str">
        <f t="shared" si="3"/>
        <v>y</v>
      </c>
      <c r="IO1" s="154" t="str">
        <f t="shared" si="3"/>
        <v>y</v>
      </c>
      <c r="IP1" s="154" t="str">
        <f t="shared" si="3"/>
        <v>y</v>
      </c>
      <c r="IQ1" s="154" t="str">
        <f t="shared" si="3"/>
        <v>y</v>
      </c>
      <c r="IR1" s="154" t="str">
        <f t="shared" si="3"/>
        <v>y</v>
      </c>
      <c r="IS1" s="154" t="str">
        <f t="shared" si="3"/>
        <v>y</v>
      </c>
      <c r="IT1" s="154" t="str">
        <f t="shared" si="3"/>
        <v>y</v>
      </c>
      <c r="IU1" s="154" t="str">
        <f t="shared" si="3"/>
        <v>y</v>
      </c>
      <c r="IV1" s="154" t="str">
        <f t="shared" si="3"/>
        <v>y</v>
      </c>
      <c r="IW1" s="154" t="str">
        <f t="shared" si="3"/>
        <v>y</v>
      </c>
      <c r="IX1" s="154" t="str">
        <f t="shared" si="3"/>
        <v>y</v>
      </c>
      <c r="IY1" s="154" t="str">
        <f t="shared" si="3"/>
        <v>y</v>
      </c>
      <c r="IZ1" s="154" t="str">
        <f t="shared" si="3"/>
        <v>y</v>
      </c>
      <c r="JA1" s="154" t="str">
        <f t="shared" si="3"/>
        <v>y</v>
      </c>
      <c r="JB1" s="154" t="str">
        <f t="shared" ref="JB1:LM1" si="4">JB2&amp;"y"</f>
        <v>y</v>
      </c>
      <c r="JC1" s="154" t="str">
        <f t="shared" si="4"/>
        <v>y</v>
      </c>
      <c r="JD1" s="154" t="str">
        <f t="shared" si="4"/>
        <v>y</v>
      </c>
      <c r="JE1" s="154" t="str">
        <f t="shared" si="4"/>
        <v>y</v>
      </c>
      <c r="JF1" s="154" t="str">
        <f t="shared" si="4"/>
        <v>y</v>
      </c>
      <c r="JG1" s="154" t="str">
        <f t="shared" si="4"/>
        <v>y</v>
      </c>
      <c r="JH1" s="154" t="str">
        <f t="shared" si="4"/>
        <v>y</v>
      </c>
      <c r="JI1" s="154" t="str">
        <f t="shared" si="4"/>
        <v>y</v>
      </c>
      <c r="JJ1" s="154" t="str">
        <f t="shared" si="4"/>
        <v>y</v>
      </c>
      <c r="JK1" s="154" t="str">
        <f t="shared" si="4"/>
        <v>y</v>
      </c>
      <c r="JL1" s="154" t="str">
        <f t="shared" si="4"/>
        <v>y</v>
      </c>
      <c r="JM1" s="154" t="str">
        <f t="shared" si="4"/>
        <v>y</v>
      </c>
      <c r="JN1" s="154" t="str">
        <f t="shared" si="4"/>
        <v>y</v>
      </c>
      <c r="JO1" s="154" t="str">
        <f t="shared" si="4"/>
        <v>y</v>
      </c>
      <c r="JP1" s="154" t="str">
        <f t="shared" si="4"/>
        <v>y</v>
      </c>
      <c r="JQ1" s="154" t="str">
        <f t="shared" si="4"/>
        <v>y</v>
      </c>
      <c r="JR1" s="154" t="str">
        <f t="shared" si="4"/>
        <v>y</v>
      </c>
      <c r="JS1" s="154" t="str">
        <f t="shared" si="4"/>
        <v>y</v>
      </c>
      <c r="JT1" s="154" t="str">
        <f t="shared" si="4"/>
        <v>y</v>
      </c>
      <c r="JU1" s="154" t="str">
        <f t="shared" si="4"/>
        <v>y</v>
      </c>
      <c r="JV1" s="154" t="str">
        <f t="shared" si="4"/>
        <v>y</v>
      </c>
      <c r="JW1" s="154" t="str">
        <f t="shared" si="4"/>
        <v>y</v>
      </c>
      <c r="JX1" s="154" t="str">
        <f t="shared" si="4"/>
        <v>y</v>
      </c>
      <c r="JY1" s="154" t="str">
        <f t="shared" si="4"/>
        <v>y</v>
      </c>
      <c r="JZ1" s="154" t="str">
        <f t="shared" si="4"/>
        <v>y</v>
      </c>
      <c r="KA1" s="154" t="str">
        <f t="shared" si="4"/>
        <v>y</v>
      </c>
      <c r="KB1" s="154" t="str">
        <f t="shared" si="4"/>
        <v>y</v>
      </c>
      <c r="KC1" s="154" t="str">
        <f t="shared" si="4"/>
        <v>y</v>
      </c>
      <c r="KD1" s="154" t="str">
        <f t="shared" si="4"/>
        <v>y</v>
      </c>
      <c r="KE1" s="154" t="str">
        <f t="shared" si="4"/>
        <v>y</v>
      </c>
      <c r="KF1" s="154" t="str">
        <f t="shared" si="4"/>
        <v>y</v>
      </c>
      <c r="KG1" s="154" t="str">
        <f t="shared" si="4"/>
        <v>y</v>
      </c>
      <c r="KH1" s="154" t="str">
        <f t="shared" si="4"/>
        <v>y</v>
      </c>
      <c r="KI1" s="154" t="str">
        <f t="shared" si="4"/>
        <v>y</v>
      </c>
      <c r="KJ1" s="154" t="str">
        <f t="shared" si="4"/>
        <v>y</v>
      </c>
      <c r="KK1" s="154" t="str">
        <f t="shared" si="4"/>
        <v>y</v>
      </c>
      <c r="KL1" s="154" t="str">
        <f t="shared" si="4"/>
        <v>y</v>
      </c>
      <c r="KM1" s="154" t="str">
        <f t="shared" si="4"/>
        <v>y</v>
      </c>
      <c r="KN1" s="154" t="str">
        <f t="shared" si="4"/>
        <v>y</v>
      </c>
      <c r="KO1" s="154" t="str">
        <f t="shared" si="4"/>
        <v>y</v>
      </c>
      <c r="KP1" s="154" t="str">
        <f t="shared" si="4"/>
        <v>y</v>
      </c>
      <c r="KQ1" s="154" t="str">
        <f t="shared" si="4"/>
        <v>y</v>
      </c>
      <c r="KR1" s="154" t="str">
        <f t="shared" si="4"/>
        <v>y</v>
      </c>
      <c r="KS1" s="154" t="str">
        <f t="shared" si="4"/>
        <v>y</v>
      </c>
      <c r="KT1" s="154" t="str">
        <f t="shared" si="4"/>
        <v>y</v>
      </c>
      <c r="KU1" s="154" t="str">
        <f t="shared" si="4"/>
        <v>y</v>
      </c>
      <c r="KV1" s="154" t="str">
        <f t="shared" si="4"/>
        <v>y</v>
      </c>
      <c r="KW1" s="154" t="str">
        <f t="shared" si="4"/>
        <v>y</v>
      </c>
      <c r="KX1" s="154" t="str">
        <f t="shared" si="4"/>
        <v>y</v>
      </c>
      <c r="KY1" s="154" t="str">
        <f t="shared" si="4"/>
        <v>y</v>
      </c>
      <c r="KZ1" s="154" t="str">
        <f t="shared" si="4"/>
        <v>y</v>
      </c>
      <c r="LA1" s="154" t="str">
        <f t="shared" si="4"/>
        <v>y</v>
      </c>
      <c r="LB1" s="154" t="str">
        <f t="shared" si="4"/>
        <v>y</v>
      </c>
      <c r="LC1" s="154" t="str">
        <f t="shared" si="4"/>
        <v>y</v>
      </c>
      <c r="LD1" s="154" t="str">
        <f t="shared" si="4"/>
        <v>y</v>
      </c>
      <c r="LE1" s="154" t="str">
        <f t="shared" si="4"/>
        <v>y</v>
      </c>
      <c r="LF1" s="154" t="str">
        <f t="shared" si="4"/>
        <v>y</v>
      </c>
      <c r="LG1" s="154" t="str">
        <f t="shared" si="4"/>
        <v>y</v>
      </c>
      <c r="LH1" s="154" t="str">
        <f t="shared" si="4"/>
        <v>y</v>
      </c>
      <c r="LI1" s="154" t="str">
        <f t="shared" si="4"/>
        <v>y</v>
      </c>
      <c r="LJ1" s="154" t="str">
        <f t="shared" si="4"/>
        <v>y</v>
      </c>
      <c r="LK1" s="154" t="str">
        <f t="shared" si="4"/>
        <v>y</v>
      </c>
      <c r="LL1" s="154" t="str">
        <f t="shared" si="4"/>
        <v>y</v>
      </c>
      <c r="LM1" s="154" t="str">
        <f t="shared" si="4"/>
        <v>y</v>
      </c>
      <c r="LN1" s="154" t="str">
        <f t="shared" ref="LN1:NY1" si="5">LN2&amp;"y"</f>
        <v>y</v>
      </c>
      <c r="LO1" s="154" t="str">
        <f t="shared" si="5"/>
        <v>y</v>
      </c>
      <c r="LP1" s="154" t="str">
        <f t="shared" si="5"/>
        <v>y</v>
      </c>
      <c r="LQ1" s="154" t="str">
        <f t="shared" si="5"/>
        <v>y</v>
      </c>
      <c r="LR1" s="154" t="str">
        <f t="shared" si="5"/>
        <v>y</v>
      </c>
      <c r="LS1" s="154" t="str">
        <f t="shared" si="5"/>
        <v>y</v>
      </c>
      <c r="LT1" s="154" t="str">
        <f t="shared" si="5"/>
        <v>y</v>
      </c>
      <c r="LU1" s="154" t="str">
        <f t="shared" si="5"/>
        <v>y</v>
      </c>
      <c r="LV1" s="154" t="str">
        <f t="shared" si="5"/>
        <v>y</v>
      </c>
      <c r="LW1" s="154" t="str">
        <f t="shared" si="5"/>
        <v>y</v>
      </c>
      <c r="LX1" s="154" t="str">
        <f t="shared" si="5"/>
        <v>y</v>
      </c>
      <c r="LY1" s="154" t="str">
        <f t="shared" si="5"/>
        <v>y</v>
      </c>
      <c r="LZ1" s="154" t="str">
        <f t="shared" si="5"/>
        <v>y</v>
      </c>
      <c r="MA1" s="154" t="str">
        <f t="shared" si="5"/>
        <v>y</v>
      </c>
      <c r="MB1" s="154" t="str">
        <f t="shared" si="5"/>
        <v>y</v>
      </c>
      <c r="MC1" s="154" t="str">
        <f t="shared" si="5"/>
        <v>y</v>
      </c>
      <c r="MD1" s="154" t="str">
        <f t="shared" si="5"/>
        <v>y</v>
      </c>
      <c r="ME1" s="154" t="str">
        <f t="shared" si="5"/>
        <v>y</v>
      </c>
      <c r="MF1" s="154" t="str">
        <f t="shared" si="5"/>
        <v>y</v>
      </c>
      <c r="MG1" s="154" t="str">
        <f t="shared" si="5"/>
        <v>y</v>
      </c>
      <c r="MH1" s="154" t="str">
        <f t="shared" si="5"/>
        <v>y</v>
      </c>
      <c r="MI1" s="154" t="str">
        <f t="shared" si="5"/>
        <v>y</v>
      </c>
      <c r="MJ1" s="154" t="str">
        <f t="shared" si="5"/>
        <v>y</v>
      </c>
      <c r="MK1" s="154" t="str">
        <f t="shared" si="5"/>
        <v>y</v>
      </c>
      <c r="ML1" s="154" t="str">
        <f t="shared" si="5"/>
        <v>y</v>
      </c>
      <c r="MM1" s="154" t="str">
        <f t="shared" si="5"/>
        <v>y</v>
      </c>
      <c r="MN1" s="154" t="str">
        <f t="shared" si="5"/>
        <v>y</v>
      </c>
      <c r="MO1" s="154" t="str">
        <f t="shared" si="5"/>
        <v>y</v>
      </c>
      <c r="MP1" s="154" t="str">
        <f t="shared" si="5"/>
        <v>y</v>
      </c>
      <c r="MQ1" s="154" t="str">
        <f t="shared" si="5"/>
        <v>y</v>
      </c>
      <c r="MR1" s="154" t="str">
        <f t="shared" si="5"/>
        <v>y</v>
      </c>
      <c r="MS1" s="154" t="str">
        <f t="shared" si="5"/>
        <v>y</v>
      </c>
      <c r="MT1" s="154" t="str">
        <f t="shared" si="5"/>
        <v>y</v>
      </c>
      <c r="MU1" s="154" t="str">
        <f t="shared" si="5"/>
        <v>y</v>
      </c>
      <c r="MV1" s="154" t="str">
        <f t="shared" si="5"/>
        <v>y</v>
      </c>
      <c r="MW1" s="154" t="str">
        <f t="shared" si="5"/>
        <v>y</v>
      </c>
      <c r="MX1" s="154" t="str">
        <f t="shared" si="5"/>
        <v>y</v>
      </c>
      <c r="MY1" s="154" t="str">
        <f t="shared" si="5"/>
        <v>y</v>
      </c>
      <c r="MZ1" s="154" t="str">
        <f t="shared" si="5"/>
        <v>y</v>
      </c>
      <c r="NA1" s="154" t="str">
        <f t="shared" si="5"/>
        <v>y</v>
      </c>
      <c r="NB1" s="154" t="str">
        <f t="shared" si="5"/>
        <v>y</v>
      </c>
      <c r="NC1" s="154" t="str">
        <f t="shared" si="5"/>
        <v>y</v>
      </c>
      <c r="ND1" s="154" t="str">
        <f t="shared" si="5"/>
        <v>y</v>
      </c>
      <c r="NE1" s="154" t="str">
        <f t="shared" si="5"/>
        <v>y</v>
      </c>
      <c r="NF1" s="154" t="str">
        <f t="shared" si="5"/>
        <v>y</v>
      </c>
      <c r="NG1" s="154" t="str">
        <f t="shared" si="5"/>
        <v>y</v>
      </c>
      <c r="NH1" s="154" t="str">
        <f t="shared" si="5"/>
        <v>y</v>
      </c>
      <c r="NI1" s="154" t="str">
        <f t="shared" si="5"/>
        <v>y</v>
      </c>
      <c r="NJ1" s="154" t="str">
        <f t="shared" si="5"/>
        <v>y</v>
      </c>
      <c r="NK1" s="154" t="str">
        <f t="shared" si="5"/>
        <v>y</v>
      </c>
      <c r="NL1" s="154" t="str">
        <f t="shared" si="5"/>
        <v>y</v>
      </c>
      <c r="NM1" s="154" t="str">
        <f t="shared" si="5"/>
        <v>y</v>
      </c>
      <c r="NN1" s="154" t="str">
        <f t="shared" si="5"/>
        <v>y</v>
      </c>
      <c r="NO1" s="154" t="str">
        <f t="shared" si="5"/>
        <v>y</v>
      </c>
      <c r="NP1" s="154" t="str">
        <f t="shared" si="5"/>
        <v>y</v>
      </c>
      <c r="NQ1" s="154" t="str">
        <f t="shared" si="5"/>
        <v>y</v>
      </c>
      <c r="NR1" s="154" t="str">
        <f t="shared" si="5"/>
        <v>y</v>
      </c>
      <c r="NS1" s="154" t="str">
        <f t="shared" si="5"/>
        <v>y</v>
      </c>
      <c r="NT1" s="154" t="str">
        <f t="shared" si="5"/>
        <v>y</v>
      </c>
      <c r="NU1" s="154" t="str">
        <f t="shared" si="5"/>
        <v>y</v>
      </c>
      <c r="NV1" s="154" t="str">
        <f t="shared" si="5"/>
        <v>y</v>
      </c>
      <c r="NW1" s="154" t="str">
        <f t="shared" si="5"/>
        <v>y</v>
      </c>
      <c r="NX1" s="154" t="str">
        <f t="shared" si="5"/>
        <v>y</v>
      </c>
      <c r="NY1" s="154" t="str">
        <f t="shared" si="5"/>
        <v>y</v>
      </c>
      <c r="NZ1" s="154" t="str">
        <f t="shared" ref="NZ1:QK1" si="6">NZ2&amp;"y"</f>
        <v>y</v>
      </c>
      <c r="OA1" s="154" t="str">
        <f t="shared" si="6"/>
        <v>y</v>
      </c>
      <c r="OB1" s="154" t="str">
        <f t="shared" si="6"/>
        <v>y</v>
      </c>
      <c r="OC1" s="154" t="str">
        <f t="shared" si="6"/>
        <v>y</v>
      </c>
      <c r="OD1" s="154" t="str">
        <f t="shared" si="6"/>
        <v>y</v>
      </c>
      <c r="OE1" s="154" t="str">
        <f t="shared" si="6"/>
        <v>y</v>
      </c>
      <c r="OF1" s="154" t="str">
        <f t="shared" si="6"/>
        <v>y</v>
      </c>
      <c r="OG1" s="154" t="str">
        <f t="shared" si="6"/>
        <v>y</v>
      </c>
      <c r="OH1" s="154" t="str">
        <f t="shared" si="6"/>
        <v>y</v>
      </c>
      <c r="OI1" s="154" t="str">
        <f t="shared" si="6"/>
        <v>y</v>
      </c>
      <c r="OJ1" s="154" t="str">
        <f t="shared" si="6"/>
        <v>y</v>
      </c>
      <c r="OK1" s="154" t="str">
        <f t="shared" si="6"/>
        <v>y</v>
      </c>
      <c r="OL1" s="154" t="str">
        <f t="shared" si="6"/>
        <v>y</v>
      </c>
      <c r="OM1" s="154" t="str">
        <f t="shared" si="6"/>
        <v>y</v>
      </c>
      <c r="ON1" s="154" t="str">
        <f t="shared" si="6"/>
        <v>y</v>
      </c>
      <c r="OO1" s="154" t="str">
        <f t="shared" si="6"/>
        <v>y</v>
      </c>
      <c r="OP1" s="154" t="str">
        <f t="shared" si="6"/>
        <v>y</v>
      </c>
      <c r="OQ1" s="154" t="str">
        <f t="shared" si="6"/>
        <v>y</v>
      </c>
      <c r="OR1" s="154" t="str">
        <f t="shared" si="6"/>
        <v>y</v>
      </c>
      <c r="OS1" s="154" t="str">
        <f t="shared" si="6"/>
        <v>y</v>
      </c>
      <c r="OT1" s="154" t="str">
        <f t="shared" si="6"/>
        <v>y</v>
      </c>
      <c r="OU1" s="154" t="str">
        <f t="shared" si="6"/>
        <v>y</v>
      </c>
      <c r="OV1" s="154" t="str">
        <f t="shared" si="6"/>
        <v>y</v>
      </c>
      <c r="OW1" s="154" t="str">
        <f t="shared" si="6"/>
        <v>y</v>
      </c>
      <c r="OX1" s="154" t="str">
        <f t="shared" si="6"/>
        <v>y</v>
      </c>
      <c r="OY1" s="154" t="str">
        <f t="shared" si="6"/>
        <v>y</v>
      </c>
      <c r="OZ1" s="154" t="str">
        <f t="shared" si="6"/>
        <v>y</v>
      </c>
      <c r="PA1" s="154" t="str">
        <f t="shared" si="6"/>
        <v>y</v>
      </c>
      <c r="PB1" s="154" t="str">
        <f t="shared" si="6"/>
        <v>y</v>
      </c>
      <c r="PC1" s="154" t="str">
        <f t="shared" si="6"/>
        <v>y</v>
      </c>
      <c r="PD1" s="154" t="str">
        <f t="shared" si="6"/>
        <v>y</v>
      </c>
      <c r="PE1" s="154" t="str">
        <f t="shared" si="6"/>
        <v>y</v>
      </c>
      <c r="PF1" s="154" t="str">
        <f t="shared" si="6"/>
        <v>y</v>
      </c>
      <c r="PG1" s="154" t="str">
        <f t="shared" si="6"/>
        <v>y</v>
      </c>
      <c r="PH1" s="154" t="str">
        <f t="shared" si="6"/>
        <v>y</v>
      </c>
      <c r="PI1" s="154" t="str">
        <f t="shared" si="6"/>
        <v>y</v>
      </c>
      <c r="PJ1" s="154" t="str">
        <f t="shared" si="6"/>
        <v>y</v>
      </c>
      <c r="PK1" s="154" t="str">
        <f t="shared" si="6"/>
        <v>y</v>
      </c>
      <c r="PL1" s="154" t="str">
        <f t="shared" si="6"/>
        <v>y</v>
      </c>
      <c r="PM1" s="154" t="str">
        <f t="shared" si="6"/>
        <v>y</v>
      </c>
      <c r="PN1" s="154" t="str">
        <f t="shared" si="6"/>
        <v>y</v>
      </c>
      <c r="PO1" s="154" t="str">
        <f t="shared" si="6"/>
        <v>y</v>
      </c>
      <c r="PP1" s="154" t="str">
        <f t="shared" si="6"/>
        <v>y</v>
      </c>
      <c r="PQ1" s="154" t="str">
        <f t="shared" si="6"/>
        <v>y</v>
      </c>
      <c r="PR1" s="154" t="str">
        <f t="shared" si="6"/>
        <v>y</v>
      </c>
      <c r="PS1" s="154" t="str">
        <f t="shared" si="6"/>
        <v>y</v>
      </c>
      <c r="PT1" s="154" t="str">
        <f t="shared" si="6"/>
        <v>y</v>
      </c>
      <c r="PU1" s="154" t="str">
        <f t="shared" si="6"/>
        <v>y</v>
      </c>
      <c r="PV1" s="154" t="str">
        <f t="shared" si="6"/>
        <v>y</v>
      </c>
      <c r="PW1" s="154" t="str">
        <f t="shared" si="6"/>
        <v>y</v>
      </c>
      <c r="PX1" s="154" t="str">
        <f t="shared" si="6"/>
        <v>y</v>
      </c>
      <c r="PY1" s="154" t="str">
        <f t="shared" si="6"/>
        <v>y</v>
      </c>
      <c r="PZ1" s="154" t="str">
        <f t="shared" si="6"/>
        <v>y</v>
      </c>
      <c r="QA1" s="154" t="str">
        <f t="shared" si="6"/>
        <v>y</v>
      </c>
      <c r="QB1" s="154" t="str">
        <f t="shared" si="6"/>
        <v>y</v>
      </c>
      <c r="QC1" s="154" t="str">
        <f t="shared" si="6"/>
        <v>y</v>
      </c>
      <c r="QD1" s="154" t="str">
        <f t="shared" si="6"/>
        <v>y</v>
      </c>
      <c r="QE1" s="154" t="str">
        <f t="shared" si="6"/>
        <v>y</v>
      </c>
      <c r="QF1" s="154" t="str">
        <f t="shared" si="6"/>
        <v>y</v>
      </c>
      <c r="QG1" s="154" t="str">
        <f t="shared" si="6"/>
        <v>y</v>
      </c>
      <c r="QH1" s="154" t="str">
        <f t="shared" si="6"/>
        <v>y</v>
      </c>
      <c r="QI1" s="154" t="str">
        <f t="shared" si="6"/>
        <v>y</v>
      </c>
      <c r="QJ1" s="154" t="str">
        <f t="shared" si="6"/>
        <v>y</v>
      </c>
      <c r="QK1" s="154" t="str">
        <f t="shared" si="6"/>
        <v>y</v>
      </c>
      <c r="QL1" s="154" t="str">
        <f t="shared" ref="QL1:SW1" si="7">QL2&amp;"y"</f>
        <v>y</v>
      </c>
      <c r="QM1" s="154" t="str">
        <f t="shared" si="7"/>
        <v>y</v>
      </c>
      <c r="QN1" s="154" t="str">
        <f t="shared" si="7"/>
        <v>y</v>
      </c>
      <c r="QO1" s="154" t="str">
        <f t="shared" si="7"/>
        <v>y</v>
      </c>
      <c r="QP1" s="154" t="str">
        <f t="shared" si="7"/>
        <v>y</v>
      </c>
      <c r="QQ1" s="154" t="str">
        <f t="shared" si="7"/>
        <v>y</v>
      </c>
      <c r="QR1" s="154" t="str">
        <f t="shared" si="7"/>
        <v>y</v>
      </c>
      <c r="QS1" s="154" t="str">
        <f t="shared" si="7"/>
        <v>y</v>
      </c>
      <c r="QT1" s="154" t="str">
        <f t="shared" si="7"/>
        <v>y</v>
      </c>
      <c r="QU1" s="154" t="str">
        <f t="shared" si="7"/>
        <v>y</v>
      </c>
      <c r="QV1" s="154" t="str">
        <f t="shared" si="7"/>
        <v>y</v>
      </c>
      <c r="QW1" s="154" t="str">
        <f t="shared" si="7"/>
        <v>y</v>
      </c>
      <c r="QX1" s="154" t="str">
        <f t="shared" si="7"/>
        <v>y</v>
      </c>
      <c r="QY1" s="154" t="str">
        <f t="shared" si="7"/>
        <v>y</v>
      </c>
      <c r="QZ1" s="154" t="str">
        <f t="shared" si="7"/>
        <v>y</v>
      </c>
      <c r="RA1" s="154" t="str">
        <f t="shared" si="7"/>
        <v>y</v>
      </c>
      <c r="RB1" s="154" t="str">
        <f t="shared" si="7"/>
        <v>y</v>
      </c>
      <c r="RC1" s="154" t="str">
        <f t="shared" si="7"/>
        <v>y</v>
      </c>
      <c r="RD1" s="154" t="str">
        <f t="shared" si="7"/>
        <v>y</v>
      </c>
      <c r="RE1" s="154" t="str">
        <f t="shared" si="7"/>
        <v>y</v>
      </c>
      <c r="RF1" s="154" t="str">
        <f t="shared" si="7"/>
        <v>y</v>
      </c>
      <c r="RG1" s="154" t="str">
        <f t="shared" si="7"/>
        <v>y</v>
      </c>
      <c r="RH1" s="154" t="str">
        <f t="shared" si="7"/>
        <v>y</v>
      </c>
      <c r="RI1" s="154" t="str">
        <f t="shared" si="7"/>
        <v>y</v>
      </c>
      <c r="RJ1" s="154" t="str">
        <f t="shared" si="7"/>
        <v>y</v>
      </c>
      <c r="RK1" s="154" t="str">
        <f t="shared" si="7"/>
        <v>y</v>
      </c>
      <c r="RL1" s="154" t="str">
        <f t="shared" si="7"/>
        <v>y</v>
      </c>
      <c r="RM1" s="154" t="str">
        <f t="shared" si="7"/>
        <v>y</v>
      </c>
      <c r="RN1" s="154" t="str">
        <f t="shared" si="7"/>
        <v>y</v>
      </c>
      <c r="RO1" s="154" t="str">
        <f t="shared" si="7"/>
        <v>y</v>
      </c>
      <c r="RP1" s="154" t="str">
        <f t="shared" si="7"/>
        <v>y</v>
      </c>
      <c r="RQ1" s="154" t="str">
        <f t="shared" si="7"/>
        <v>y</v>
      </c>
      <c r="RR1" s="154" t="str">
        <f t="shared" si="7"/>
        <v>y</v>
      </c>
      <c r="RS1" s="154" t="str">
        <f t="shared" si="7"/>
        <v>y</v>
      </c>
      <c r="RT1" s="154" t="str">
        <f t="shared" si="7"/>
        <v>y</v>
      </c>
      <c r="RU1" s="154" t="str">
        <f t="shared" si="7"/>
        <v>y</v>
      </c>
      <c r="RV1" s="154" t="str">
        <f t="shared" si="7"/>
        <v>y</v>
      </c>
      <c r="RW1" s="154" t="str">
        <f t="shared" si="7"/>
        <v>y</v>
      </c>
      <c r="RX1" s="154" t="str">
        <f t="shared" si="7"/>
        <v>y</v>
      </c>
      <c r="RY1" s="154" t="str">
        <f t="shared" si="7"/>
        <v>y</v>
      </c>
      <c r="RZ1" s="154" t="str">
        <f t="shared" si="7"/>
        <v>y</v>
      </c>
      <c r="SA1" s="154" t="str">
        <f t="shared" si="7"/>
        <v>y</v>
      </c>
      <c r="SB1" s="154" t="str">
        <f t="shared" si="7"/>
        <v>y</v>
      </c>
      <c r="SC1" s="154" t="str">
        <f t="shared" si="7"/>
        <v>y</v>
      </c>
      <c r="SD1" s="154" t="str">
        <f t="shared" si="7"/>
        <v>y</v>
      </c>
      <c r="SE1" s="154" t="str">
        <f t="shared" si="7"/>
        <v>y</v>
      </c>
      <c r="SF1" s="154" t="str">
        <f t="shared" si="7"/>
        <v>y</v>
      </c>
      <c r="SG1" s="154" t="str">
        <f t="shared" si="7"/>
        <v>y</v>
      </c>
      <c r="SH1" s="154" t="str">
        <f t="shared" si="7"/>
        <v>y</v>
      </c>
      <c r="SI1" s="154" t="str">
        <f t="shared" si="7"/>
        <v>y</v>
      </c>
      <c r="SJ1" s="154" t="str">
        <f t="shared" si="7"/>
        <v>y</v>
      </c>
      <c r="SK1" s="154" t="str">
        <f t="shared" si="7"/>
        <v>y</v>
      </c>
      <c r="SL1" s="154" t="str">
        <f t="shared" si="7"/>
        <v>y</v>
      </c>
      <c r="SM1" s="154" t="str">
        <f t="shared" si="7"/>
        <v>y</v>
      </c>
      <c r="SN1" s="154" t="str">
        <f t="shared" si="7"/>
        <v>y</v>
      </c>
      <c r="SO1" s="154" t="str">
        <f t="shared" si="7"/>
        <v>y</v>
      </c>
      <c r="SP1" s="154" t="str">
        <f t="shared" si="7"/>
        <v>y</v>
      </c>
      <c r="SQ1" s="154" t="str">
        <f t="shared" si="7"/>
        <v>y</v>
      </c>
      <c r="SR1" s="154" t="str">
        <f t="shared" si="7"/>
        <v>y</v>
      </c>
      <c r="SS1" s="154" t="str">
        <f t="shared" si="7"/>
        <v>y</v>
      </c>
      <c r="ST1" s="154" t="str">
        <f t="shared" si="7"/>
        <v>y</v>
      </c>
      <c r="SU1" s="154" t="str">
        <f t="shared" si="7"/>
        <v>y</v>
      </c>
      <c r="SV1" s="154" t="str">
        <f t="shared" si="7"/>
        <v>y</v>
      </c>
      <c r="SW1" s="154" t="str">
        <f t="shared" si="7"/>
        <v>y</v>
      </c>
      <c r="SX1" s="154" t="str">
        <f t="shared" ref="SX1:VI1" si="8">SX2&amp;"y"</f>
        <v>y</v>
      </c>
      <c r="SY1" s="154" t="str">
        <f t="shared" si="8"/>
        <v>y</v>
      </c>
      <c r="SZ1" s="154" t="str">
        <f t="shared" si="8"/>
        <v>y</v>
      </c>
      <c r="TA1" s="154" t="str">
        <f t="shared" si="8"/>
        <v>y</v>
      </c>
      <c r="TB1" s="154" t="str">
        <f t="shared" si="8"/>
        <v>y</v>
      </c>
      <c r="TC1" s="154" t="str">
        <f t="shared" si="8"/>
        <v>y</v>
      </c>
      <c r="TD1" s="154" t="str">
        <f t="shared" si="8"/>
        <v>y</v>
      </c>
      <c r="TE1" s="154" t="str">
        <f t="shared" si="8"/>
        <v>y</v>
      </c>
      <c r="TF1" s="154" t="str">
        <f t="shared" si="8"/>
        <v>y</v>
      </c>
      <c r="TG1" s="154" t="str">
        <f t="shared" si="8"/>
        <v>y</v>
      </c>
      <c r="TH1" s="154" t="str">
        <f t="shared" si="8"/>
        <v>y</v>
      </c>
      <c r="TI1" s="154" t="str">
        <f t="shared" si="8"/>
        <v>y</v>
      </c>
      <c r="TJ1" s="154" t="str">
        <f t="shared" si="8"/>
        <v>y</v>
      </c>
      <c r="TK1" s="154" t="str">
        <f t="shared" si="8"/>
        <v>y</v>
      </c>
      <c r="TL1" s="154" t="str">
        <f t="shared" si="8"/>
        <v>y</v>
      </c>
      <c r="TM1" s="154" t="str">
        <f t="shared" si="8"/>
        <v>y</v>
      </c>
      <c r="TN1" s="154" t="str">
        <f t="shared" si="8"/>
        <v>y</v>
      </c>
      <c r="TO1" s="154" t="str">
        <f t="shared" si="8"/>
        <v>y</v>
      </c>
      <c r="TP1" s="154" t="str">
        <f t="shared" si="8"/>
        <v>y</v>
      </c>
      <c r="TQ1" s="154" t="str">
        <f t="shared" si="8"/>
        <v>y</v>
      </c>
      <c r="TR1" s="154" t="str">
        <f t="shared" si="8"/>
        <v>y</v>
      </c>
      <c r="TS1" s="154" t="str">
        <f t="shared" si="8"/>
        <v>y</v>
      </c>
      <c r="TT1" s="154" t="str">
        <f t="shared" si="8"/>
        <v>y</v>
      </c>
      <c r="TU1" s="154" t="str">
        <f t="shared" si="8"/>
        <v>y</v>
      </c>
      <c r="TV1" s="154" t="str">
        <f t="shared" si="8"/>
        <v>y</v>
      </c>
      <c r="TW1" s="154" t="str">
        <f t="shared" si="8"/>
        <v>y</v>
      </c>
      <c r="TX1" s="154" t="str">
        <f t="shared" si="8"/>
        <v>y</v>
      </c>
      <c r="TY1" s="154" t="str">
        <f t="shared" si="8"/>
        <v>y</v>
      </c>
      <c r="TZ1" s="154" t="str">
        <f t="shared" si="8"/>
        <v>y</v>
      </c>
      <c r="UA1" s="154" t="str">
        <f t="shared" si="8"/>
        <v>y</v>
      </c>
      <c r="UB1" s="154" t="str">
        <f t="shared" si="8"/>
        <v>y</v>
      </c>
      <c r="UC1" s="154" t="str">
        <f t="shared" si="8"/>
        <v>y</v>
      </c>
      <c r="UD1" s="154" t="str">
        <f t="shared" si="8"/>
        <v>y</v>
      </c>
      <c r="UE1" s="154" t="str">
        <f t="shared" si="8"/>
        <v>y</v>
      </c>
      <c r="UF1" s="154" t="str">
        <f t="shared" si="8"/>
        <v>y</v>
      </c>
      <c r="UG1" s="154" t="str">
        <f t="shared" si="8"/>
        <v>y</v>
      </c>
      <c r="UH1" s="154" t="str">
        <f t="shared" si="8"/>
        <v>y</v>
      </c>
      <c r="UI1" s="154" t="str">
        <f t="shared" si="8"/>
        <v>y</v>
      </c>
      <c r="UJ1" s="154" t="str">
        <f t="shared" si="8"/>
        <v>y</v>
      </c>
      <c r="UK1" s="154" t="str">
        <f t="shared" si="8"/>
        <v>y</v>
      </c>
      <c r="UL1" s="154" t="str">
        <f t="shared" si="8"/>
        <v>y</v>
      </c>
      <c r="UM1" s="154" t="str">
        <f t="shared" si="8"/>
        <v>y</v>
      </c>
      <c r="UN1" s="154" t="str">
        <f t="shared" si="8"/>
        <v>y</v>
      </c>
      <c r="UO1" s="154" t="str">
        <f t="shared" si="8"/>
        <v>y</v>
      </c>
      <c r="UP1" s="154" t="str">
        <f t="shared" si="8"/>
        <v>y</v>
      </c>
      <c r="UQ1" s="154" t="str">
        <f t="shared" si="8"/>
        <v>y</v>
      </c>
      <c r="UR1" s="154" t="str">
        <f t="shared" si="8"/>
        <v>y</v>
      </c>
      <c r="US1" s="154" t="str">
        <f t="shared" si="8"/>
        <v>y</v>
      </c>
      <c r="UT1" s="154" t="str">
        <f t="shared" si="8"/>
        <v>y</v>
      </c>
      <c r="UU1" s="154" t="str">
        <f t="shared" si="8"/>
        <v>y</v>
      </c>
      <c r="UV1" s="154" t="str">
        <f t="shared" si="8"/>
        <v>y</v>
      </c>
      <c r="UW1" s="154" t="str">
        <f t="shared" si="8"/>
        <v>y</v>
      </c>
      <c r="UX1" s="154" t="str">
        <f t="shared" si="8"/>
        <v>y</v>
      </c>
      <c r="UY1" s="154" t="str">
        <f t="shared" si="8"/>
        <v>y</v>
      </c>
      <c r="UZ1" s="154" t="str">
        <f t="shared" si="8"/>
        <v>y</v>
      </c>
      <c r="VA1" s="154" t="str">
        <f t="shared" si="8"/>
        <v>y</v>
      </c>
      <c r="VB1" s="154" t="str">
        <f t="shared" si="8"/>
        <v>y</v>
      </c>
      <c r="VC1" s="154" t="str">
        <f t="shared" si="8"/>
        <v>y</v>
      </c>
      <c r="VD1" s="154" t="str">
        <f t="shared" si="8"/>
        <v>y</v>
      </c>
      <c r="VE1" s="154" t="str">
        <f t="shared" si="8"/>
        <v>y</v>
      </c>
      <c r="VF1" s="154" t="str">
        <f t="shared" si="8"/>
        <v>y</v>
      </c>
      <c r="VG1" s="154" t="str">
        <f t="shared" si="8"/>
        <v>y</v>
      </c>
      <c r="VH1" s="154" t="str">
        <f t="shared" si="8"/>
        <v>y</v>
      </c>
      <c r="VI1" s="154" t="str">
        <f t="shared" si="8"/>
        <v>y</v>
      </c>
      <c r="VJ1" s="154" t="str">
        <f t="shared" ref="VJ1:XU1" si="9">VJ2&amp;"y"</f>
        <v>y</v>
      </c>
      <c r="VK1" s="154" t="str">
        <f t="shared" si="9"/>
        <v>y</v>
      </c>
      <c r="VL1" s="154" t="str">
        <f t="shared" si="9"/>
        <v>y</v>
      </c>
      <c r="VM1" s="154" t="str">
        <f t="shared" si="9"/>
        <v>y</v>
      </c>
      <c r="VN1" s="154" t="str">
        <f t="shared" si="9"/>
        <v>y</v>
      </c>
      <c r="VO1" s="154" t="str">
        <f t="shared" si="9"/>
        <v>y</v>
      </c>
      <c r="VP1" s="154" t="str">
        <f t="shared" si="9"/>
        <v>y</v>
      </c>
      <c r="VQ1" s="154" t="str">
        <f t="shared" si="9"/>
        <v>y</v>
      </c>
      <c r="VR1" s="154" t="str">
        <f t="shared" si="9"/>
        <v>y</v>
      </c>
      <c r="VS1" s="154" t="str">
        <f t="shared" si="9"/>
        <v>y</v>
      </c>
      <c r="VT1" s="154" t="str">
        <f t="shared" si="9"/>
        <v>y</v>
      </c>
      <c r="VU1" s="154" t="str">
        <f t="shared" si="9"/>
        <v>y</v>
      </c>
      <c r="VV1" s="154" t="str">
        <f t="shared" si="9"/>
        <v>y</v>
      </c>
      <c r="VW1" s="154" t="str">
        <f t="shared" si="9"/>
        <v>y</v>
      </c>
      <c r="VX1" s="154" t="str">
        <f t="shared" si="9"/>
        <v>y</v>
      </c>
      <c r="VY1" s="154" t="str">
        <f t="shared" si="9"/>
        <v>y</v>
      </c>
      <c r="VZ1" s="154" t="str">
        <f t="shared" si="9"/>
        <v>y</v>
      </c>
      <c r="WA1" s="154" t="str">
        <f t="shared" si="9"/>
        <v>y</v>
      </c>
      <c r="WB1" s="154" t="str">
        <f t="shared" si="9"/>
        <v>y</v>
      </c>
      <c r="WC1" s="154" t="str">
        <f t="shared" si="9"/>
        <v>y</v>
      </c>
      <c r="WD1" s="154" t="str">
        <f t="shared" si="9"/>
        <v>y</v>
      </c>
      <c r="WE1" s="154" t="str">
        <f t="shared" si="9"/>
        <v>y</v>
      </c>
      <c r="WF1" s="154" t="str">
        <f t="shared" si="9"/>
        <v>y</v>
      </c>
      <c r="WG1" s="154" t="str">
        <f t="shared" si="9"/>
        <v>y</v>
      </c>
      <c r="WH1" s="154" t="str">
        <f t="shared" si="9"/>
        <v>y</v>
      </c>
      <c r="WI1" s="154" t="str">
        <f t="shared" si="9"/>
        <v>y</v>
      </c>
      <c r="WJ1" s="154" t="str">
        <f t="shared" si="9"/>
        <v>y</v>
      </c>
      <c r="WK1" s="154" t="str">
        <f t="shared" si="9"/>
        <v>y</v>
      </c>
      <c r="WL1" s="154" t="str">
        <f t="shared" si="9"/>
        <v>y</v>
      </c>
      <c r="WM1" s="154" t="str">
        <f t="shared" si="9"/>
        <v>y</v>
      </c>
      <c r="WN1" s="154" t="str">
        <f t="shared" si="9"/>
        <v>y</v>
      </c>
      <c r="WO1" s="154" t="str">
        <f t="shared" si="9"/>
        <v>y</v>
      </c>
      <c r="WP1" s="154" t="str">
        <f t="shared" si="9"/>
        <v>y</v>
      </c>
      <c r="WQ1" s="154" t="str">
        <f t="shared" si="9"/>
        <v>y</v>
      </c>
      <c r="WR1" s="154" t="str">
        <f t="shared" si="9"/>
        <v>y</v>
      </c>
      <c r="WS1" s="154" t="str">
        <f t="shared" si="9"/>
        <v>y</v>
      </c>
      <c r="WT1" s="154" t="str">
        <f t="shared" si="9"/>
        <v>y</v>
      </c>
      <c r="WU1" s="154" t="str">
        <f t="shared" si="9"/>
        <v>y</v>
      </c>
      <c r="WV1" s="154" t="str">
        <f t="shared" si="9"/>
        <v>y</v>
      </c>
      <c r="WW1" s="154" t="str">
        <f t="shared" si="9"/>
        <v>y</v>
      </c>
      <c r="WX1" s="154" t="str">
        <f t="shared" si="9"/>
        <v>y</v>
      </c>
      <c r="WY1" s="154" t="str">
        <f t="shared" si="9"/>
        <v>y</v>
      </c>
      <c r="WZ1" s="154" t="str">
        <f t="shared" si="9"/>
        <v>y</v>
      </c>
      <c r="XA1" s="154" t="str">
        <f t="shared" si="9"/>
        <v>y</v>
      </c>
      <c r="XB1" s="154" t="str">
        <f t="shared" si="9"/>
        <v>y</v>
      </c>
      <c r="XC1" s="154" t="str">
        <f t="shared" si="9"/>
        <v>y</v>
      </c>
      <c r="XD1" s="154" t="str">
        <f t="shared" si="9"/>
        <v>y</v>
      </c>
      <c r="XE1" s="154" t="str">
        <f t="shared" si="9"/>
        <v>y</v>
      </c>
      <c r="XF1" s="154" t="str">
        <f t="shared" si="9"/>
        <v>y</v>
      </c>
      <c r="XG1" s="154" t="str">
        <f t="shared" si="9"/>
        <v>y</v>
      </c>
      <c r="XH1" s="154" t="str">
        <f t="shared" si="9"/>
        <v>y</v>
      </c>
      <c r="XI1" s="154" t="str">
        <f t="shared" si="9"/>
        <v>y</v>
      </c>
      <c r="XJ1" s="154" t="str">
        <f t="shared" si="9"/>
        <v>y</v>
      </c>
      <c r="XK1" s="154" t="str">
        <f t="shared" si="9"/>
        <v>y</v>
      </c>
      <c r="XL1" s="154" t="str">
        <f t="shared" si="9"/>
        <v>y</v>
      </c>
      <c r="XM1" s="154" t="str">
        <f t="shared" si="9"/>
        <v>y</v>
      </c>
      <c r="XN1" s="154" t="str">
        <f t="shared" si="9"/>
        <v>y</v>
      </c>
      <c r="XO1" s="154" t="str">
        <f t="shared" si="9"/>
        <v>y</v>
      </c>
      <c r="XP1" s="154" t="str">
        <f t="shared" si="9"/>
        <v>y</v>
      </c>
      <c r="XQ1" s="154" t="str">
        <f t="shared" si="9"/>
        <v>y</v>
      </c>
      <c r="XR1" s="154" t="str">
        <f t="shared" si="9"/>
        <v>y</v>
      </c>
      <c r="XS1" s="154" t="str">
        <f t="shared" si="9"/>
        <v>y</v>
      </c>
      <c r="XT1" s="154" t="str">
        <f t="shared" si="9"/>
        <v>y</v>
      </c>
      <c r="XU1" s="154" t="str">
        <f t="shared" si="9"/>
        <v>y</v>
      </c>
      <c r="XV1" s="154" t="str">
        <f t="shared" ref="XV1:AAG1" si="10">XV2&amp;"y"</f>
        <v>y</v>
      </c>
      <c r="XW1" s="154" t="str">
        <f t="shared" si="10"/>
        <v>y</v>
      </c>
      <c r="XX1" s="154" t="str">
        <f t="shared" si="10"/>
        <v>y</v>
      </c>
      <c r="XY1" s="154" t="str">
        <f t="shared" si="10"/>
        <v>y</v>
      </c>
      <c r="XZ1" s="154" t="str">
        <f t="shared" si="10"/>
        <v>y</v>
      </c>
      <c r="YA1" s="154" t="str">
        <f t="shared" si="10"/>
        <v>y</v>
      </c>
      <c r="YB1" s="154" t="str">
        <f t="shared" si="10"/>
        <v>y</v>
      </c>
      <c r="YC1" s="154" t="str">
        <f t="shared" si="10"/>
        <v>y</v>
      </c>
      <c r="YD1" s="154" t="str">
        <f t="shared" si="10"/>
        <v>y</v>
      </c>
      <c r="YE1" s="154" t="str">
        <f t="shared" si="10"/>
        <v>y</v>
      </c>
      <c r="YF1" s="154" t="str">
        <f t="shared" si="10"/>
        <v>y</v>
      </c>
      <c r="YG1" s="154" t="str">
        <f t="shared" si="10"/>
        <v>y</v>
      </c>
      <c r="YH1" s="154" t="str">
        <f t="shared" si="10"/>
        <v>y</v>
      </c>
      <c r="YI1" s="154" t="str">
        <f t="shared" si="10"/>
        <v>y</v>
      </c>
      <c r="YJ1" s="154" t="str">
        <f t="shared" si="10"/>
        <v>y</v>
      </c>
      <c r="YK1" s="154" t="str">
        <f t="shared" si="10"/>
        <v>y</v>
      </c>
      <c r="YL1" s="154" t="str">
        <f t="shared" si="10"/>
        <v>y</v>
      </c>
      <c r="YM1" s="154" t="str">
        <f t="shared" si="10"/>
        <v>y</v>
      </c>
      <c r="YN1" s="154" t="str">
        <f t="shared" si="10"/>
        <v>y</v>
      </c>
      <c r="YO1" s="154" t="str">
        <f t="shared" si="10"/>
        <v>y</v>
      </c>
      <c r="YP1" s="154" t="str">
        <f t="shared" si="10"/>
        <v>y</v>
      </c>
      <c r="YQ1" s="154" t="str">
        <f t="shared" si="10"/>
        <v>y</v>
      </c>
      <c r="YR1" s="154" t="str">
        <f t="shared" si="10"/>
        <v>y</v>
      </c>
      <c r="YS1" s="154" t="str">
        <f t="shared" si="10"/>
        <v>y</v>
      </c>
      <c r="YT1" s="154" t="str">
        <f t="shared" si="10"/>
        <v>y</v>
      </c>
      <c r="YU1" s="154" t="str">
        <f t="shared" si="10"/>
        <v>y</v>
      </c>
      <c r="YV1" s="154" t="str">
        <f t="shared" si="10"/>
        <v>y</v>
      </c>
      <c r="YW1" s="154" t="str">
        <f t="shared" si="10"/>
        <v>y</v>
      </c>
      <c r="YX1" s="154" t="str">
        <f t="shared" si="10"/>
        <v>y</v>
      </c>
      <c r="YY1" s="154" t="str">
        <f t="shared" si="10"/>
        <v>y</v>
      </c>
      <c r="YZ1" s="154" t="str">
        <f t="shared" si="10"/>
        <v>y</v>
      </c>
      <c r="ZA1" s="154" t="str">
        <f t="shared" si="10"/>
        <v>y</v>
      </c>
      <c r="ZB1" s="154" t="str">
        <f t="shared" si="10"/>
        <v>y</v>
      </c>
      <c r="ZC1" s="154" t="str">
        <f t="shared" si="10"/>
        <v>y</v>
      </c>
      <c r="ZD1" s="154" t="str">
        <f t="shared" si="10"/>
        <v>y</v>
      </c>
      <c r="ZE1" s="154" t="str">
        <f t="shared" si="10"/>
        <v>y</v>
      </c>
      <c r="ZF1" s="154" t="str">
        <f t="shared" si="10"/>
        <v>y</v>
      </c>
      <c r="ZG1" s="154" t="str">
        <f t="shared" si="10"/>
        <v>y</v>
      </c>
      <c r="ZH1" s="154" t="str">
        <f t="shared" si="10"/>
        <v>y</v>
      </c>
      <c r="ZI1" s="154" t="str">
        <f t="shared" si="10"/>
        <v>y</v>
      </c>
      <c r="ZJ1" s="154" t="str">
        <f t="shared" si="10"/>
        <v>y</v>
      </c>
      <c r="ZK1" s="154" t="str">
        <f t="shared" si="10"/>
        <v>y</v>
      </c>
      <c r="ZL1" s="154" t="str">
        <f t="shared" si="10"/>
        <v>y</v>
      </c>
      <c r="ZM1" s="154" t="str">
        <f t="shared" si="10"/>
        <v>y</v>
      </c>
      <c r="ZN1" s="154" t="str">
        <f t="shared" si="10"/>
        <v>y</v>
      </c>
      <c r="ZO1" s="154" t="str">
        <f t="shared" si="10"/>
        <v>y</v>
      </c>
      <c r="ZP1" s="154" t="str">
        <f t="shared" si="10"/>
        <v>y</v>
      </c>
      <c r="ZQ1" s="154" t="str">
        <f t="shared" si="10"/>
        <v>y</v>
      </c>
      <c r="ZR1" s="154" t="str">
        <f t="shared" si="10"/>
        <v>y</v>
      </c>
      <c r="ZS1" s="154" t="str">
        <f t="shared" si="10"/>
        <v>y</v>
      </c>
      <c r="ZT1" s="154" t="str">
        <f t="shared" si="10"/>
        <v>y</v>
      </c>
      <c r="ZU1" s="154" t="str">
        <f t="shared" si="10"/>
        <v>y</v>
      </c>
      <c r="ZV1" s="154" t="str">
        <f t="shared" si="10"/>
        <v>y</v>
      </c>
      <c r="ZW1" s="154" t="str">
        <f t="shared" si="10"/>
        <v>y</v>
      </c>
      <c r="ZX1" s="154" t="str">
        <f t="shared" si="10"/>
        <v>y</v>
      </c>
      <c r="ZY1" s="154" t="str">
        <f t="shared" si="10"/>
        <v>y</v>
      </c>
      <c r="ZZ1" s="154" t="str">
        <f t="shared" si="10"/>
        <v>y</v>
      </c>
      <c r="AAA1" s="154" t="str">
        <f t="shared" si="10"/>
        <v>y</v>
      </c>
      <c r="AAB1" s="154" t="str">
        <f t="shared" si="10"/>
        <v>y</v>
      </c>
      <c r="AAC1" s="154" t="str">
        <f t="shared" si="10"/>
        <v>y</v>
      </c>
      <c r="AAD1" s="154" t="str">
        <f t="shared" si="10"/>
        <v>y</v>
      </c>
      <c r="AAE1" s="154" t="str">
        <f t="shared" si="10"/>
        <v>y</v>
      </c>
      <c r="AAF1" s="154" t="str">
        <f t="shared" si="10"/>
        <v>y</v>
      </c>
      <c r="AAG1" s="154" t="str">
        <f t="shared" si="10"/>
        <v>y</v>
      </c>
      <c r="AAH1" s="154" t="str">
        <f t="shared" ref="AAH1:ACS1" si="11">AAH2&amp;"y"</f>
        <v>y</v>
      </c>
      <c r="AAI1" s="154" t="str">
        <f t="shared" si="11"/>
        <v>y</v>
      </c>
      <c r="AAJ1" s="154" t="str">
        <f t="shared" si="11"/>
        <v>y</v>
      </c>
      <c r="AAK1" s="154" t="str">
        <f t="shared" si="11"/>
        <v>y</v>
      </c>
      <c r="AAL1" s="154" t="str">
        <f t="shared" si="11"/>
        <v>y</v>
      </c>
      <c r="AAM1" s="154" t="str">
        <f t="shared" si="11"/>
        <v>y</v>
      </c>
      <c r="AAN1" s="154" t="str">
        <f t="shared" si="11"/>
        <v>y</v>
      </c>
      <c r="AAO1" s="154" t="str">
        <f t="shared" si="11"/>
        <v>y</v>
      </c>
      <c r="AAP1" s="154" t="str">
        <f t="shared" si="11"/>
        <v>y</v>
      </c>
      <c r="AAQ1" s="154" t="str">
        <f t="shared" si="11"/>
        <v>y</v>
      </c>
      <c r="AAR1" s="154" t="str">
        <f t="shared" si="11"/>
        <v>y</v>
      </c>
      <c r="AAS1" s="154" t="str">
        <f t="shared" si="11"/>
        <v>y</v>
      </c>
      <c r="AAT1" s="154" t="str">
        <f t="shared" si="11"/>
        <v>y</v>
      </c>
      <c r="AAU1" s="154" t="str">
        <f t="shared" si="11"/>
        <v>y</v>
      </c>
      <c r="AAV1" s="154" t="str">
        <f t="shared" si="11"/>
        <v>y</v>
      </c>
      <c r="AAW1" s="154" t="str">
        <f t="shared" si="11"/>
        <v>y</v>
      </c>
      <c r="AAX1" s="154" t="str">
        <f t="shared" si="11"/>
        <v>y</v>
      </c>
      <c r="AAY1" s="154" t="str">
        <f t="shared" si="11"/>
        <v>y</v>
      </c>
      <c r="AAZ1" s="154" t="str">
        <f t="shared" si="11"/>
        <v>y</v>
      </c>
      <c r="ABA1" s="154" t="str">
        <f t="shared" si="11"/>
        <v>y</v>
      </c>
      <c r="ABB1" s="154" t="str">
        <f t="shared" si="11"/>
        <v>y</v>
      </c>
      <c r="ABC1" s="154" t="str">
        <f t="shared" si="11"/>
        <v>y</v>
      </c>
      <c r="ABD1" s="154" t="str">
        <f t="shared" si="11"/>
        <v>y</v>
      </c>
      <c r="ABE1" s="154" t="str">
        <f t="shared" si="11"/>
        <v>y</v>
      </c>
      <c r="ABF1" s="154" t="str">
        <f t="shared" si="11"/>
        <v>y</v>
      </c>
      <c r="ABG1" s="154" t="str">
        <f t="shared" si="11"/>
        <v>y</v>
      </c>
      <c r="ABH1" s="154" t="str">
        <f t="shared" si="11"/>
        <v>y</v>
      </c>
      <c r="ABI1" s="154" t="str">
        <f t="shared" si="11"/>
        <v>y</v>
      </c>
      <c r="ABJ1" s="154" t="str">
        <f t="shared" si="11"/>
        <v>y</v>
      </c>
      <c r="ABK1" s="154" t="str">
        <f t="shared" si="11"/>
        <v>y</v>
      </c>
      <c r="ABL1" s="154" t="str">
        <f t="shared" si="11"/>
        <v>y</v>
      </c>
      <c r="ABM1" s="154" t="str">
        <f t="shared" si="11"/>
        <v>y</v>
      </c>
      <c r="ABN1" s="154" t="str">
        <f t="shared" si="11"/>
        <v>y</v>
      </c>
      <c r="ABO1" s="154" t="str">
        <f t="shared" si="11"/>
        <v>y</v>
      </c>
      <c r="ABP1" s="154" t="str">
        <f t="shared" si="11"/>
        <v>y</v>
      </c>
      <c r="ABQ1" s="154" t="str">
        <f t="shared" si="11"/>
        <v>y</v>
      </c>
      <c r="ABR1" s="154" t="str">
        <f t="shared" si="11"/>
        <v>y</v>
      </c>
      <c r="ABS1" s="154" t="str">
        <f t="shared" si="11"/>
        <v>y</v>
      </c>
      <c r="ABT1" s="154" t="str">
        <f t="shared" si="11"/>
        <v>y</v>
      </c>
      <c r="ABU1" s="154" t="str">
        <f t="shared" si="11"/>
        <v>y</v>
      </c>
      <c r="ABV1" s="154" t="str">
        <f t="shared" si="11"/>
        <v>y</v>
      </c>
      <c r="ABW1" s="154" t="str">
        <f t="shared" si="11"/>
        <v>y</v>
      </c>
      <c r="ABX1" s="154" t="str">
        <f t="shared" si="11"/>
        <v>y</v>
      </c>
      <c r="ABY1" s="154" t="str">
        <f t="shared" si="11"/>
        <v>y</v>
      </c>
      <c r="ABZ1" s="154" t="str">
        <f t="shared" si="11"/>
        <v>y</v>
      </c>
      <c r="ACA1" s="154" t="str">
        <f t="shared" si="11"/>
        <v>y</v>
      </c>
      <c r="ACB1" s="154" t="str">
        <f t="shared" si="11"/>
        <v>y</v>
      </c>
      <c r="ACC1" s="154" t="str">
        <f t="shared" si="11"/>
        <v>y</v>
      </c>
      <c r="ACD1" s="154" t="str">
        <f t="shared" si="11"/>
        <v>y</v>
      </c>
      <c r="ACE1" s="154" t="str">
        <f t="shared" si="11"/>
        <v>y</v>
      </c>
      <c r="ACF1" s="154" t="str">
        <f t="shared" si="11"/>
        <v>y</v>
      </c>
      <c r="ACG1" s="154" t="str">
        <f t="shared" si="11"/>
        <v>y</v>
      </c>
      <c r="ACH1" s="154" t="str">
        <f t="shared" si="11"/>
        <v>y</v>
      </c>
      <c r="ACI1" s="154" t="str">
        <f t="shared" si="11"/>
        <v>y</v>
      </c>
      <c r="ACJ1" s="154" t="str">
        <f t="shared" si="11"/>
        <v>y</v>
      </c>
      <c r="ACK1" s="154" t="str">
        <f t="shared" si="11"/>
        <v>y</v>
      </c>
      <c r="ACL1" s="154" t="str">
        <f t="shared" si="11"/>
        <v>y</v>
      </c>
      <c r="ACM1" s="154" t="str">
        <f t="shared" si="11"/>
        <v>y</v>
      </c>
      <c r="ACN1" s="154" t="str">
        <f t="shared" si="11"/>
        <v>y</v>
      </c>
      <c r="ACO1" s="154" t="str">
        <f t="shared" si="11"/>
        <v>y</v>
      </c>
      <c r="ACP1" s="154" t="str">
        <f t="shared" si="11"/>
        <v>y</v>
      </c>
      <c r="ACQ1" s="154" t="str">
        <f t="shared" si="11"/>
        <v>y</v>
      </c>
      <c r="ACR1" s="154" t="str">
        <f t="shared" si="11"/>
        <v>y</v>
      </c>
      <c r="ACS1" s="154" t="str">
        <f t="shared" si="11"/>
        <v>y</v>
      </c>
      <c r="ACT1" s="154" t="str">
        <f t="shared" ref="ACT1:AFE1" si="12">ACT2&amp;"y"</f>
        <v>y</v>
      </c>
      <c r="ACU1" s="154" t="str">
        <f t="shared" si="12"/>
        <v>y</v>
      </c>
      <c r="ACV1" s="154" t="str">
        <f t="shared" si="12"/>
        <v>y</v>
      </c>
      <c r="ACW1" s="154" t="str">
        <f t="shared" si="12"/>
        <v>y</v>
      </c>
      <c r="ACX1" s="154" t="str">
        <f t="shared" si="12"/>
        <v>y</v>
      </c>
      <c r="ACY1" s="154" t="str">
        <f t="shared" si="12"/>
        <v>y</v>
      </c>
      <c r="ACZ1" s="154" t="str">
        <f t="shared" si="12"/>
        <v>y</v>
      </c>
      <c r="ADA1" s="154" t="str">
        <f t="shared" si="12"/>
        <v>y</v>
      </c>
      <c r="ADB1" s="154" t="str">
        <f t="shared" si="12"/>
        <v>y</v>
      </c>
      <c r="ADC1" s="154" t="str">
        <f t="shared" si="12"/>
        <v>y</v>
      </c>
      <c r="ADD1" s="154" t="str">
        <f t="shared" si="12"/>
        <v>y</v>
      </c>
      <c r="ADE1" s="154" t="str">
        <f t="shared" si="12"/>
        <v>y</v>
      </c>
      <c r="ADF1" s="154" t="str">
        <f t="shared" si="12"/>
        <v>y</v>
      </c>
      <c r="ADG1" s="154" t="str">
        <f t="shared" si="12"/>
        <v>y</v>
      </c>
      <c r="ADH1" s="154" t="str">
        <f t="shared" si="12"/>
        <v>y</v>
      </c>
      <c r="ADI1" s="154" t="str">
        <f t="shared" si="12"/>
        <v>y</v>
      </c>
      <c r="ADJ1" s="154" t="str">
        <f t="shared" si="12"/>
        <v>y</v>
      </c>
      <c r="ADK1" s="154" t="str">
        <f t="shared" si="12"/>
        <v>y</v>
      </c>
      <c r="ADL1" s="154" t="str">
        <f t="shared" si="12"/>
        <v>y</v>
      </c>
      <c r="ADM1" s="154" t="str">
        <f t="shared" si="12"/>
        <v>y</v>
      </c>
      <c r="ADN1" s="154" t="str">
        <f t="shared" si="12"/>
        <v>y</v>
      </c>
      <c r="ADO1" s="154" t="str">
        <f t="shared" si="12"/>
        <v>y</v>
      </c>
      <c r="ADP1" s="154" t="str">
        <f t="shared" si="12"/>
        <v>y</v>
      </c>
      <c r="ADQ1" s="154" t="str">
        <f t="shared" si="12"/>
        <v>y</v>
      </c>
      <c r="ADR1" s="154" t="str">
        <f t="shared" si="12"/>
        <v>y</v>
      </c>
      <c r="ADS1" s="154" t="str">
        <f t="shared" si="12"/>
        <v>y</v>
      </c>
      <c r="ADT1" s="154" t="str">
        <f t="shared" si="12"/>
        <v>y</v>
      </c>
      <c r="ADU1" s="154" t="str">
        <f t="shared" si="12"/>
        <v>y</v>
      </c>
      <c r="ADV1" s="154" t="str">
        <f t="shared" si="12"/>
        <v>y</v>
      </c>
      <c r="ADW1" s="154" t="str">
        <f t="shared" si="12"/>
        <v>y</v>
      </c>
      <c r="ADX1" s="154" t="str">
        <f t="shared" si="12"/>
        <v>y</v>
      </c>
      <c r="ADY1" s="154" t="str">
        <f t="shared" si="12"/>
        <v>y</v>
      </c>
      <c r="ADZ1" s="154" t="str">
        <f t="shared" si="12"/>
        <v>y</v>
      </c>
      <c r="AEA1" s="154" t="str">
        <f t="shared" si="12"/>
        <v>y</v>
      </c>
      <c r="AEB1" s="154" t="str">
        <f t="shared" si="12"/>
        <v>y</v>
      </c>
      <c r="AEC1" s="154" t="str">
        <f t="shared" si="12"/>
        <v>y</v>
      </c>
      <c r="AED1" s="154" t="str">
        <f t="shared" si="12"/>
        <v>y</v>
      </c>
      <c r="AEE1" s="154" t="str">
        <f t="shared" si="12"/>
        <v>y</v>
      </c>
      <c r="AEF1" s="154" t="str">
        <f t="shared" si="12"/>
        <v>y</v>
      </c>
      <c r="AEG1" s="154" t="str">
        <f t="shared" si="12"/>
        <v>y</v>
      </c>
      <c r="AEH1" s="154" t="str">
        <f t="shared" si="12"/>
        <v>y</v>
      </c>
      <c r="AEI1" s="154" t="str">
        <f t="shared" si="12"/>
        <v>y</v>
      </c>
      <c r="AEJ1" s="154" t="str">
        <f t="shared" si="12"/>
        <v>y</v>
      </c>
      <c r="AEK1" s="154" t="str">
        <f t="shared" si="12"/>
        <v>y</v>
      </c>
      <c r="AEL1" s="154" t="str">
        <f t="shared" si="12"/>
        <v>y</v>
      </c>
      <c r="AEM1" s="154" t="str">
        <f t="shared" si="12"/>
        <v>y</v>
      </c>
      <c r="AEN1" s="154" t="str">
        <f t="shared" si="12"/>
        <v>y</v>
      </c>
      <c r="AEO1" s="154" t="str">
        <f t="shared" si="12"/>
        <v>y</v>
      </c>
      <c r="AEP1" s="154" t="str">
        <f t="shared" si="12"/>
        <v>y</v>
      </c>
      <c r="AEQ1" s="154" t="str">
        <f t="shared" si="12"/>
        <v>y</v>
      </c>
      <c r="AER1" s="154" t="str">
        <f t="shared" si="12"/>
        <v>y</v>
      </c>
      <c r="AES1" s="154" t="str">
        <f t="shared" si="12"/>
        <v>y</v>
      </c>
      <c r="AET1" s="154" t="str">
        <f t="shared" si="12"/>
        <v>y</v>
      </c>
      <c r="AEU1" s="154" t="str">
        <f t="shared" si="12"/>
        <v>y</v>
      </c>
      <c r="AEV1" s="154" t="str">
        <f t="shared" si="12"/>
        <v>y</v>
      </c>
      <c r="AEW1" s="154" t="str">
        <f t="shared" si="12"/>
        <v>y</v>
      </c>
      <c r="AEX1" s="154" t="str">
        <f t="shared" si="12"/>
        <v>y</v>
      </c>
      <c r="AEY1" s="154" t="str">
        <f t="shared" si="12"/>
        <v>y</v>
      </c>
      <c r="AEZ1" s="154" t="str">
        <f t="shared" si="12"/>
        <v>y</v>
      </c>
      <c r="AFA1" s="154" t="str">
        <f t="shared" si="12"/>
        <v>y</v>
      </c>
      <c r="AFB1" s="154" t="str">
        <f t="shared" si="12"/>
        <v>y</v>
      </c>
      <c r="AFC1" s="154" t="str">
        <f t="shared" si="12"/>
        <v>y</v>
      </c>
      <c r="AFD1" s="154" t="str">
        <f t="shared" si="12"/>
        <v>y</v>
      </c>
      <c r="AFE1" s="154" t="str">
        <f t="shared" si="12"/>
        <v>y</v>
      </c>
      <c r="AFF1" s="154" t="str">
        <f t="shared" ref="AFF1:AHQ1" si="13">AFF2&amp;"y"</f>
        <v>y</v>
      </c>
      <c r="AFG1" s="154" t="str">
        <f t="shared" si="13"/>
        <v>y</v>
      </c>
      <c r="AFH1" s="154" t="str">
        <f t="shared" si="13"/>
        <v>y</v>
      </c>
      <c r="AFI1" s="154" t="str">
        <f t="shared" si="13"/>
        <v>y</v>
      </c>
      <c r="AFJ1" s="154" t="str">
        <f t="shared" si="13"/>
        <v>y</v>
      </c>
      <c r="AFK1" s="154" t="str">
        <f t="shared" si="13"/>
        <v>y</v>
      </c>
      <c r="AFL1" s="154" t="str">
        <f t="shared" si="13"/>
        <v>y</v>
      </c>
      <c r="AFM1" s="154" t="str">
        <f t="shared" si="13"/>
        <v>y</v>
      </c>
      <c r="AFN1" s="154" t="str">
        <f t="shared" si="13"/>
        <v>y</v>
      </c>
      <c r="AFO1" s="154" t="str">
        <f t="shared" si="13"/>
        <v>y</v>
      </c>
      <c r="AFP1" s="154" t="str">
        <f t="shared" si="13"/>
        <v>y</v>
      </c>
      <c r="AFQ1" s="154" t="str">
        <f t="shared" si="13"/>
        <v>y</v>
      </c>
      <c r="AFR1" s="154" t="str">
        <f t="shared" si="13"/>
        <v>y</v>
      </c>
      <c r="AFS1" s="154" t="str">
        <f t="shared" si="13"/>
        <v>y</v>
      </c>
      <c r="AFT1" s="154" t="str">
        <f t="shared" si="13"/>
        <v>y</v>
      </c>
      <c r="AFU1" s="154" t="str">
        <f t="shared" si="13"/>
        <v>y</v>
      </c>
      <c r="AFV1" s="154" t="str">
        <f t="shared" si="13"/>
        <v>y</v>
      </c>
      <c r="AFW1" s="154" t="str">
        <f t="shared" si="13"/>
        <v>y</v>
      </c>
      <c r="AFX1" s="154" t="str">
        <f t="shared" si="13"/>
        <v>y</v>
      </c>
      <c r="AFY1" s="154" t="str">
        <f t="shared" si="13"/>
        <v>y</v>
      </c>
      <c r="AFZ1" s="154" t="str">
        <f t="shared" si="13"/>
        <v>y</v>
      </c>
      <c r="AGA1" s="154" t="str">
        <f t="shared" si="13"/>
        <v>y</v>
      </c>
      <c r="AGB1" s="154" t="str">
        <f t="shared" si="13"/>
        <v>y</v>
      </c>
      <c r="AGC1" s="154" t="str">
        <f t="shared" si="13"/>
        <v>y</v>
      </c>
      <c r="AGD1" s="154" t="str">
        <f t="shared" si="13"/>
        <v>y</v>
      </c>
      <c r="AGE1" s="154" t="str">
        <f t="shared" si="13"/>
        <v>y</v>
      </c>
      <c r="AGF1" s="154" t="str">
        <f t="shared" si="13"/>
        <v>y</v>
      </c>
      <c r="AGG1" s="154" t="str">
        <f t="shared" si="13"/>
        <v>y</v>
      </c>
      <c r="AGH1" s="154" t="str">
        <f t="shared" si="13"/>
        <v>y</v>
      </c>
      <c r="AGI1" s="154" t="str">
        <f t="shared" si="13"/>
        <v>y</v>
      </c>
      <c r="AGJ1" s="154" t="str">
        <f t="shared" si="13"/>
        <v>y</v>
      </c>
      <c r="AGK1" s="154" t="str">
        <f t="shared" si="13"/>
        <v>y</v>
      </c>
      <c r="AGL1" s="154" t="str">
        <f t="shared" si="13"/>
        <v>y</v>
      </c>
      <c r="AGM1" s="154" t="str">
        <f t="shared" si="13"/>
        <v>y</v>
      </c>
      <c r="AGN1" s="154" t="str">
        <f t="shared" si="13"/>
        <v>y</v>
      </c>
      <c r="AGO1" s="154" t="str">
        <f t="shared" si="13"/>
        <v>y</v>
      </c>
      <c r="AGP1" s="154" t="str">
        <f t="shared" si="13"/>
        <v>y</v>
      </c>
      <c r="AGQ1" s="154" t="str">
        <f t="shared" si="13"/>
        <v>y</v>
      </c>
      <c r="AGR1" s="154" t="str">
        <f t="shared" si="13"/>
        <v>y</v>
      </c>
      <c r="AGS1" s="154" t="str">
        <f t="shared" si="13"/>
        <v>y</v>
      </c>
      <c r="AGT1" s="154" t="str">
        <f t="shared" si="13"/>
        <v>y</v>
      </c>
      <c r="AGU1" s="154" t="str">
        <f t="shared" si="13"/>
        <v>y</v>
      </c>
      <c r="AGV1" s="154" t="str">
        <f t="shared" si="13"/>
        <v>y</v>
      </c>
      <c r="AGW1" s="154" t="str">
        <f t="shared" si="13"/>
        <v>y</v>
      </c>
      <c r="AGX1" s="154" t="str">
        <f t="shared" si="13"/>
        <v>y</v>
      </c>
      <c r="AGY1" s="154" t="str">
        <f t="shared" si="13"/>
        <v>y</v>
      </c>
      <c r="AGZ1" s="154" t="str">
        <f t="shared" si="13"/>
        <v>y</v>
      </c>
      <c r="AHA1" s="154" t="str">
        <f t="shared" si="13"/>
        <v>y</v>
      </c>
      <c r="AHB1" s="154" t="str">
        <f t="shared" si="13"/>
        <v>y</v>
      </c>
      <c r="AHC1" s="154" t="str">
        <f t="shared" si="13"/>
        <v>y</v>
      </c>
      <c r="AHD1" s="154" t="str">
        <f t="shared" si="13"/>
        <v>y</v>
      </c>
      <c r="AHE1" s="154" t="str">
        <f t="shared" si="13"/>
        <v>y</v>
      </c>
      <c r="AHF1" s="154" t="str">
        <f t="shared" si="13"/>
        <v>y</v>
      </c>
      <c r="AHG1" s="154" t="str">
        <f t="shared" si="13"/>
        <v>y</v>
      </c>
      <c r="AHH1" s="154" t="str">
        <f t="shared" si="13"/>
        <v>y</v>
      </c>
      <c r="AHI1" s="154" t="str">
        <f t="shared" si="13"/>
        <v>y</v>
      </c>
      <c r="AHJ1" s="154" t="str">
        <f t="shared" si="13"/>
        <v>y</v>
      </c>
      <c r="AHK1" s="154" t="str">
        <f t="shared" si="13"/>
        <v>y</v>
      </c>
      <c r="AHL1" s="154" t="str">
        <f t="shared" si="13"/>
        <v>y</v>
      </c>
      <c r="AHM1" s="154" t="str">
        <f t="shared" si="13"/>
        <v>y</v>
      </c>
      <c r="AHN1" s="154" t="str">
        <f t="shared" si="13"/>
        <v>y</v>
      </c>
      <c r="AHO1" s="154" t="str">
        <f t="shared" si="13"/>
        <v>y</v>
      </c>
      <c r="AHP1" s="154" t="str">
        <f t="shared" si="13"/>
        <v>y</v>
      </c>
      <c r="AHQ1" s="154" t="str">
        <f t="shared" si="13"/>
        <v>y</v>
      </c>
      <c r="AHR1" s="154" t="str">
        <f t="shared" ref="AHR1:AKC1" si="14">AHR2&amp;"y"</f>
        <v>y</v>
      </c>
      <c r="AHS1" s="154" t="str">
        <f t="shared" si="14"/>
        <v>y</v>
      </c>
      <c r="AHT1" s="154" t="str">
        <f t="shared" si="14"/>
        <v>y</v>
      </c>
      <c r="AHU1" s="154" t="str">
        <f t="shared" si="14"/>
        <v>y</v>
      </c>
      <c r="AHV1" s="154" t="str">
        <f t="shared" si="14"/>
        <v>y</v>
      </c>
      <c r="AHW1" s="154" t="str">
        <f t="shared" si="14"/>
        <v>y</v>
      </c>
      <c r="AHX1" s="154" t="str">
        <f t="shared" si="14"/>
        <v>y</v>
      </c>
      <c r="AHY1" s="154" t="str">
        <f t="shared" si="14"/>
        <v>y</v>
      </c>
      <c r="AHZ1" s="154" t="str">
        <f t="shared" si="14"/>
        <v>y</v>
      </c>
      <c r="AIA1" s="154" t="str">
        <f t="shared" si="14"/>
        <v>y</v>
      </c>
      <c r="AIB1" s="154" t="str">
        <f t="shared" si="14"/>
        <v>y</v>
      </c>
      <c r="AIC1" s="154" t="str">
        <f t="shared" si="14"/>
        <v>y</v>
      </c>
      <c r="AID1" s="154" t="str">
        <f t="shared" si="14"/>
        <v>y</v>
      </c>
      <c r="AIE1" s="154" t="str">
        <f t="shared" si="14"/>
        <v>y</v>
      </c>
      <c r="AIF1" s="154" t="str">
        <f t="shared" si="14"/>
        <v>y</v>
      </c>
      <c r="AIG1" s="154" t="str">
        <f t="shared" si="14"/>
        <v>y</v>
      </c>
      <c r="AIH1" s="154" t="str">
        <f t="shared" si="14"/>
        <v>y</v>
      </c>
      <c r="AII1" s="154" t="str">
        <f t="shared" si="14"/>
        <v>y</v>
      </c>
      <c r="AIJ1" s="154" t="str">
        <f t="shared" si="14"/>
        <v>y</v>
      </c>
      <c r="AIK1" s="154" t="str">
        <f t="shared" si="14"/>
        <v>y</v>
      </c>
      <c r="AIL1" s="154" t="str">
        <f t="shared" si="14"/>
        <v>y</v>
      </c>
      <c r="AIM1" s="154" t="str">
        <f t="shared" si="14"/>
        <v>y</v>
      </c>
      <c r="AIN1" s="154" t="str">
        <f t="shared" si="14"/>
        <v>y</v>
      </c>
      <c r="AIO1" s="154" t="str">
        <f t="shared" si="14"/>
        <v>y</v>
      </c>
      <c r="AIP1" s="154" t="str">
        <f t="shared" si="14"/>
        <v>y</v>
      </c>
      <c r="AIQ1" s="154" t="str">
        <f t="shared" si="14"/>
        <v>y</v>
      </c>
      <c r="AIR1" s="154" t="str">
        <f t="shared" si="14"/>
        <v>y</v>
      </c>
      <c r="AIS1" s="154" t="str">
        <f t="shared" si="14"/>
        <v>y</v>
      </c>
      <c r="AIT1" s="154" t="str">
        <f t="shared" si="14"/>
        <v>y</v>
      </c>
      <c r="AIU1" s="154" t="str">
        <f t="shared" si="14"/>
        <v>y</v>
      </c>
      <c r="AIV1" s="154" t="str">
        <f t="shared" si="14"/>
        <v>y</v>
      </c>
      <c r="AIW1" s="154" t="str">
        <f t="shared" si="14"/>
        <v>y</v>
      </c>
      <c r="AIX1" s="154" t="str">
        <f t="shared" si="14"/>
        <v>y</v>
      </c>
      <c r="AIY1" s="154" t="str">
        <f t="shared" si="14"/>
        <v>y</v>
      </c>
      <c r="AIZ1" s="154" t="str">
        <f t="shared" si="14"/>
        <v>y</v>
      </c>
      <c r="AJA1" s="154" t="str">
        <f t="shared" si="14"/>
        <v>y</v>
      </c>
      <c r="AJB1" s="154" t="str">
        <f t="shared" si="14"/>
        <v>y</v>
      </c>
      <c r="AJC1" s="154" t="str">
        <f t="shared" si="14"/>
        <v>y</v>
      </c>
      <c r="AJD1" s="154" t="str">
        <f t="shared" si="14"/>
        <v>y</v>
      </c>
      <c r="AJE1" s="154" t="str">
        <f t="shared" si="14"/>
        <v>y</v>
      </c>
      <c r="AJF1" s="154" t="str">
        <f t="shared" si="14"/>
        <v>y</v>
      </c>
      <c r="AJG1" s="154" t="str">
        <f t="shared" si="14"/>
        <v>y</v>
      </c>
      <c r="AJH1" s="154" t="str">
        <f t="shared" si="14"/>
        <v>y</v>
      </c>
      <c r="AJI1" s="154" t="str">
        <f t="shared" si="14"/>
        <v>y</v>
      </c>
      <c r="AJJ1" s="154" t="str">
        <f t="shared" si="14"/>
        <v>y</v>
      </c>
      <c r="AJK1" s="154" t="str">
        <f t="shared" si="14"/>
        <v>y</v>
      </c>
      <c r="AJL1" s="154" t="str">
        <f t="shared" si="14"/>
        <v>y</v>
      </c>
      <c r="AJM1" s="154" t="str">
        <f t="shared" si="14"/>
        <v>y</v>
      </c>
      <c r="AJN1" s="154" t="str">
        <f t="shared" si="14"/>
        <v>y</v>
      </c>
      <c r="AJO1" s="154" t="str">
        <f t="shared" si="14"/>
        <v>y</v>
      </c>
      <c r="AJP1" s="154" t="str">
        <f t="shared" si="14"/>
        <v>y</v>
      </c>
      <c r="AJQ1" s="154" t="str">
        <f t="shared" si="14"/>
        <v>y</v>
      </c>
      <c r="AJR1" s="154" t="str">
        <f t="shared" si="14"/>
        <v>y</v>
      </c>
      <c r="AJS1" s="154" t="str">
        <f t="shared" si="14"/>
        <v>y</v>
      </c>
      <c r="AJT1" s="154" t="str">
        <f t="shared" si="14"/>
        <v>y</v>
      </c>
      <c r="AJU1" s="154" t="str">
        <f t="shared" si="14"/>
        <v>y</v>
      </c>
      <c r="AJV1" s="154" t="str">
        <f t="shared" si="14"/>
        <v>y</v>
      </c>
      <c r="AJW1" s="154" t="str">
        <f t="shared" si="14"/>
        <v>y</v>
      </c>
      <c r="AJX1" s="154" t="str">
        <f t="shared" si="14"/>
        <v>y</v>
      </c>
      <c r="AJY1" s="154" t="str">
        <f t="shared" si="14"/>
        <v>y</v>
      </c>
      <c r="AJZ1" s="154" t="str">
        <f t="shared" si="14"/>
        <v>y</v>
      </c>
      <c r="AKA1" s="154" t="str">
        <f t="shared" si="14"/>
        <v>y</v>
      </c>
      <c r="AKB1" s="154" t="str">
        <f t="shared" si="14"/>
        <v>y</v>
      </c>
      <c r="AKC1" s="154" t="str">
        <f t="shared" si="14"/>
        <v>y</v>
      </c>
      <c r="AKD1" s="154" t="str">
        <f t="shared" ref="AKD1:AMO1" si="15">AKD2&amp;"y"</f>
        <v>y</v>
      </c>
      <c r="AKE1" s="154" t="str">
        <f t="shared" si="15"/>
        <v>y</v>
      </c>
      <c r="AKF1" s="154" t="str">
        <f t="shared" si="15"/>
        <v>y</v>
      </c>
      <c r="AKG1" s="154" t="str">
        <f t="shared" si="15"/>
        <v>y</v>
      </c>
      <c r="AKH1" s="154" t="str">
        <f t="shared" si="15"/>
        <v>y</v>
      </c>
      <c r="AKI1" s="154" t="str">
        <f t="shared" si="15"/>
        <v>y</v>
      </c>
      <c r="AKJ1" s="154" t="str">
        <f t="shared" si="15"/>
        <v>y</v>
      </c>
      <c r="AKK1" s="154" t="str">
        <f t="shared" si="15"/>
        <v>y</v>
      </c>
      <c r="AKL1" s="154" t="str">
        <f t="shared" si="15"/>
        <v>y</v>
      </c>
      <c r="AKM1" s="154" t="str">
        <f t="shared" si="15"/>
        <v>y</v>
      </c>
      <c r="AKN1" s="154" t="str">
        <f t="shared" si="15"/>
        <v>y</v>
      </c>
      <c r="AKO1" s="154" t="str">
        <f t="shared" si="15"/>
        <v>y</v>
      </c>
      <c r="AKP1" s="154" t="str">
        <f t="shared" si="15"/>
        <v>y</v>
      </c>
      <c r="AKQ1" s="154" t="str">
        <f t="shared" si="15"/>
        <v>y</v>
      </c>
      <c r="AKR1" s="154" t="str">
        <f t="shared" si="15"/>
        <v>y</v>
      </c>
      <c r="AKS1" s="154" t="str">
        <f t="shared" si="15"/>
        <v>y</v>
      </c>
      <c r="AKT1" s="154" t="str">
        <f t="shared" si="15"/>
        <v>y</v>
      </c>
      <c r="AKU1" s="154" t="str">
        <f t="shared" si="15"/>
        <v>y</v>
      </c>
      <c r="AKV1" s="154" t="str">
        <f t="shared" si="15"/>
        <v>y</v>
      </c>
      <c r="AKW1" s="154" t="str">
        <f t="shared" si="15"/>
        <v>y</v>
      </c>
      <c r="AKX1" s="154" t="str">
        <f t="shared" si="15"/>
        <v>y</v>
      </c>
      <c r="AKY1" s="154" t="str">
        <f t="shared" si="15"/>
        <v>y</v>
      </c>
      <c r="AKZ1" s="154" t="str">
        <f t="shared" si="15"/>
        <v>y</v>
      </c>
      <c r="ALA1" s="154" t="str">
        <f t="shared" si="15"/>
        <v>y</v>
      </c>
      <c r="ALB1" s="154" t="str">
        <f t="shared" si="15"/>
        <v>y</v>
      </c>
      <c r="ALC1" s="154" t="str">
        <f t="shared" si="15"/>
        <v>y</v>
      </c>
      <c r="ALD1" s="154" t="str">
        <f t="shared" si="15"/>
        <v>y</v>
      </c>
      <c r="ALE1" s="154" t="str">
        <f t="shared" si="15"/>
        <v>y</v>
      </c>
      <c r="ALF1" s="154" t="str">
        <f t="shared" si="15"/>
        <v>y</v>
      </c>
      <c r="ALG1" s="154" t="str">
        <f t="shared" si="15"/>
        <v>y</v>
      </c>
      <c r="ALH1" s="154" t="str">
        <f t="shared" si="15"/>
        <v>y</v>
      </c>
      <c r="ALI1" s="154" t="str">
        <f t="shared" si="15"/>
        <v>y</v>
      </c>
      <c r="ALJ1" s="154" t="str">
        <f t="shared" si="15"/>
        <v>y</v>
      </c>
      <c r="ALK1" s="154" t="str">
        <f t="shared" si="15"/>
        <v>y</v>
      </c>
      <c r="ALL1" s="154" t="str">
        <f t="shared" si="15"/>
        <v>y</v>
      </c>
      <c r="ALM1" s="154" t="str">
        <f t="shared" si="15"/>
        <v>y</v>
      </c>
      <c r="ALN1" s="154" t="str">
        <f t="shared" si="15"/>
        <v>y</v>
      </c>
      <c r="ALO1" s="154" t="str">
        <f t="shared" si="15"/>
        <v>y</v>
      </c>
      <c r="ALP1" s="154" t="str">
        <f t="shared" si="15"/>
        <v>y</v>
      </c>
      <c r="ALQ1" s="154" t="str">
        <f t="shared" si="15"/>
        <v>y</v>
      </c>
      <c r="ALR1" s="154" t="str">
        <f t="shared" si="15"/>
        <v>y</v>
      </c>
      <c r="ALS1" s="154" t="str">
        <f t="shared" si="15"/>
        <v>y</v>
      </c>
      <c r="ALT1" s="154" t="str">
        <f t="shared" si="15"/>
        <v>y</v>
      </c>
      <c r="ALU1" s="154" t="str">
        <f t="shared" si="15"/>
        <v>y</v>
      </c>
      <c r="ALV1" s="154" t="str">
        <f t="shared" si="15"/>
        <v>y</v>
      </c>
      <c r="ALW1" s="154" t="str">
        <f t="shared" si="15"/>
        <v>y</v>
      </c>
      <c r="ALX1" s="154" t="str">
        <f t="shared" si="15"/>
        <v>y</v>
      </c>
      <c r="ALY1" s="154" t="str">
        <f t="shared" si="15"/>
        <v>y</v>
      </c>
      <c r="ALZ1" s="154" t="str">
        <f t="shared" si="15"/>
        <v>y</v>
      </c>
      <c r="AMA1" s="154" t="str">
        <f t="shared" si="15"/>
        <v>y</v>
      </c>
      <c r="AMB1" s="154" t="str">
        <f t="shared" si="15"/>
        <v>y</v>
      </c>
      <c r="AMC1" s="154" t="str">
        <f t="shared" si="15"/>
        <v>y</v>
      </c>
      <c r="AMD1" s="154" t="str">
        <f t="shared" si="15"/>
        <v>y</v>
      </c>
      <c r="AME1" s="154" t="str">
        <f t="shared" si="15"/>
        <v>y</v>
      </c>
      <c r="AMF1" s="154" t="str">
        <f t="shared" si="15"/>
        <v>y</v>
      </c>
      <c r="AMG1" s="154" t="str">
        <f t="shared" si="15"/>
        <v>y</v>
      </c>
      <c r="AMH1" s="154" t="str">
        <f t="shared" si="15"/>
        <v>y</v>
      </c>
      <c r="AMI1" s="154" t="str">
        <f t="shared" si="15"/>
        <v>y</v>
      </c>
      <c r="AMJ1" s="154" t="str">
        <f t="shared" si="15"/>
        <v>y</v>
      </c>
      <c r="AMK1" s="154" t="str">
        <f t="shared" si="15"/>
        <v>y</v>
      </c>
      <c r="AML1" s="154" t="str">
        <f t="shared" si="15"/>
        <v>y</v>
      </c>
      <c r="AMM1" s="154" t="str">
        <f t="shared" si="15"/>
        <v>y</v>
      </c>
      <c r="AMN1" s="154" t="str">
        <f t="shared" si="15"/>
        <v>y</v>
      </c>
      <c r="AMO1" s="154" t="str">
        <f t="shared" si="15"/>
        <v>y</v>
      </c>
      <c r="AMP1" s="154" t="str">
        <f t="shared" ref="AMP1:APA1" si="16">AMP2&amp;"y"</f>
        <v>y</v>
      </c>
      <c r="AMQ1" s="154" t="str">
        <f t="shared" si="16"/>
        <v>y</v>
      </c>
      <c r="AMR1" s="154" t="str">
        <f t="shared" si="16"/>
        <v>y</v>
      </c>
      <c r="AMS1" s="154" t="str">
        <f t="shared" si="16"/>
        <v>y</v>
      </c>
      <c r="AMT1" s="154" t="str">
        <f t="shared" si="16"/>
        <v>y</v>
      </c>
      <c r="AMU1" s="154" t="str">
        <f t="shared" si="16"/>
        <v>y</v>
      </c>
      <c r="AMV1" s="154" t="str">
        <f t="shared" si="16"/>
        <v>y</v>
      </c>
      <c r="AMW1" s="154" t="str">
        <f t="shared" si="16"/>
        <v>y</v>
      </c>
      <c r="AMX1" s="154" t="str">
        <f t="shared" si="16"/>
        <v>y</v>
      </c>
      <c r="AMY1" s="154" t="str">
        <f t="shared" si="16"/>
        <v>y</v>
      </c>
      <c r="AMZ1" s="154" t="str">
        <f t="shared" si="16"/>
        <v>y</v>
      </c>
      <c r="ANA1" s="154" t="str">
        <f t="shared" si="16"/>
        <v>y</v>
      </c>
      <c r="ANB1" s="154" t="str">
        <f t="shared" si="16"/>
        <v>y</v>
      </c>
      <c r="ANC1" s="154" t="str">
        <f t="shared" si="16"/>
        <v>y</v>
      </c>
      <c r="AND1" s="154" t="str">
        <f t="shared" si="16"/>
        <v>y</v>
      </c>
      <c r="ANE1" s="154" t="str">
        <f t="shared" si="16"/>
        <v>y</v>
      </c>
      <c r="ANF1" s="154" t="str">
        <f t="shared" si="16"/>
        <v>y</v>
      </c>
      <c r="ANG1" s="154" t="str">
        <f t="shared" si="16"/>
        <v>y</v>
      </c>
      <c r="ANH1" s="154" t="str">
        <f t="shared" si="16"/>
        <v>y</v>
      </c>
      <c r="ANI1" s="154" t="str">
        <f t="shared" si="16"/>
        <v>y</v>
      </c>
      <c r="ANJ1" s="154" t="str">
        <f t="shared" si="16"/>
        <v>y</v>
      </c>
      <c r="ANK1" s="154" t="str">
        <f t="shared" si="16"/>
        <v>y</v>
      </c>
      <c r="ANL1" s="154" t="str">
        <f t="shared" si="16"/>
        <v>y</v>
      </c>
      <c r="ANM1" s="154" t="str">
        <f t="shared" si="16"/>
        <v>y</v>
      </c>
      <c r="ANN1" s="154" t="str">
        <f t="shared" si="16"/>
        <v>y</v>
      </c>
      <c r="ANO1" s="154" t="str">
        <f t="shared" si="16"/>
        <v>y</v>
      </c>
      <c r="ANP1" s="154" t="str">
        <f t="shared" si="16"/>
        <v>y</v>
      </c>
      <c r="ANQ1" s="154" t="str">
        <f t="shared" si="16"/>
        <v>y</v>
      </c>
      <c r="ANR1" s="154" t="str">
        <f t="shared" si="16"/>
        <v>y</v>
      </c>
      <c r="ANS1" s="154" t="str">
        <f t="shared" si="16"/>
        <v>y</v>
      </c>
      <c r="ANT1" s="154" t="str">
        <f t="shared" si="16"/>
        <v>y</v>
      </c>
      <c r="ANU1" s="154" t="str">
        <f t="shared" si="16"/>
        <v>y</v>
      </c>
      <c r="ANV1" s="154" t="str">
        <f t="shared" si="16"/>
        <v>y</v>
      </c>
      <c r="ANW1" s="154" t="str">
        <f t="shared" si="16"/>
        <v>y</v>
      </c>
      <c r="ANX1" s="154" t="str">
        <f t="shared" si="16"/>
        <v>y</v>
      </c>
      <c r="ANY1" s="154" t="str">
        <f t="shared" si="16"/>
        <v>y</v>
      </c>
      <c r="ANZ1" s="154" t="str">
        <f t="shared" si="16"/>
        <v>y</v>
      </c>
      <c r="AOA1" s="154" t="str">
        <f t="shared" si="16"/>
        <v>y</v>
      </c>
      <c r="AOB1" s="154" t="str">
        <f t="shared" si="16"/>
        <v>y</v>
      </c>
      <c r="AOC1" s="154" t="str">
        <f t="shared" si="16"/>
        <v>y</v>
      </c>
      <c r="AOD1" s="154" t="str">
        <f t="shared" si="16"/>
        <v>y</v>
      </c>
      <c r="AOE1" s="154" t="str">
        <f t="shared" si="16"/>
        <v>y</v>
      </c>
      <c r="AOF1" s="154" t="str">
        <f t="shared" si="16"/>
        <v>y</v>
      </c>
      <c r="AOG1" s="154" t="str">
        <f t="shared" si="16"/>
        <v>y</v>
      </c>
      <c r="AOH1" s="154" t="str">
        <f t="shared" si="16"/>
        <v>y</v>
      </c>
      <c r="AOI1" s="154" t="str">
        <f t="shared" si="16"/>
        <v>y</v>
      </c>
      <c r="AOJ1" s="154" t="str">
        <f t="shared" si="16"/>
        <v>y</v>
      </c>
      <c r="AOK1" s="154" t="str">
        <f t="shared" si="16"/>
        <v>y</v>
      </c>
      <c r="AOL1" s="154" t="str">
        <f t="shared" si="16"/>
        <v>y</v>
      </c>
      <c r="AOM1" s="154" t="str">
        <f t="shared" si="16"/>
        <v>y</v>
      </c>
      <c r="AON1" s="154" t="str">
        <f t="shared" si="16"/>
        <v>y</v>
      </c>
      <c r="AOO1" s="154" t="str">
        <f t="shared" si="16"/>
        <v>y</v>
      </c>
      <c r="AOP1" s="154" t="str">
        <f t="shared" si="16"/>
        <v>y</v>
      </c>
      <c r="AOQ1" s="154" t="str">
        <f t="shared" si="16"/>
        <v>y</v>
      </c>
      <c r="AOR1" s="154" t="str">
        <f t="shared" si="16"/>
        <v>y</v>
      </c>
      <c r="AOS1" s="154" t="str">
        <f t="shared" si="16"/>
        <v>y</v>
      </c>
      <c r="AOT1" s="154" t="str">
        <f t="shared" si="16"/>
        <v>y</v>
      </c>
      <c r="AOU1" s="154" t="str">
        <f t="shared" si="16"/>
        <v>y</v>
      </c>
      <c r="AOV1" s="154" t="str">
        <f t="shared" si="16"/>
        <v>y</v>
      </c>
      <c r="AOW1" s="154" t="str">
        <f t="shared" si="16"/>
        <v>y</v>
      </c>
      <c r="AOX1" s="154" t="str">
        <f t="shared" si="16"/>
        <v>y</v>
      </c>
      <c r="AOY1" s="154" t="str">
        <f t="shared" si="16"/>
        <v>y</v>
      </c>
      <c r="AOZ1" s="154" t="str">
        <f t="shared" si="16"/>
        <v>y</v>
      </c>
      <c r="APA1" s="154" t="str">
        <f t="shared" si="16"/>
        <v>y</v>
      </c>
      <c r="APB1" s="154" t="str">
        <f t="shared" ref="APB1:ARM1" si="17">APB2&amp;"y"</f>
        <v>y</v>
      </c>
      <c r="APC1" s="154" t="str">
        <f t="shared" si="17"/>
        <v>y</v>
      </c>
      <c r="APD1" s="154" t="str">
        <f t="shared" si="17"/>
        <v>y</v>
      </c>
      <c r="APE1" s="154" t="str">
        <f t="shared" si="17"/>
        <v>y</v>
      </c>
      <c r="APF1" s="154" t="str">
        <f t="shared" si="17"/>
        <v>y</v>
      </c>
      <c r="APG1" s="154" t="str">
        <f t="shared" si="17"/>
        <v>y</v>
      </c>
      <c r="APH1" s="154" t="str">
        <f t="shared" si="17"/>
        <v>y</v>
      </c>
      <c r="API1" s="154" t="str">
        <f t="shared" si="17"/>
        <v>y</v>
      </c>
      <c r="APJ1" s="154" t="str">
        <f t="shared" si="17"/>
        <v>y</v>
      </c>
      <c r="APK1" s="154" t="str">
        <f t="shared" si="17"/>
        <v>y</v>
      </c>
      <c r="APL1" s="154" t="str">
        <f t="shared" si="17"/>
        <v>y</v>
      </c>
      <c r="APM1" s="154" t="str">
        <f t="shared" si="17"/>
        <v>y</v>
      </c>
      <c r="APN1" s="154" t="str">
        <f t="shared" si="17"/>
        <v>y</v>
      </c>
      <c r="APO1" s="154" t="str">
        <f t="shared" si="17"/>
        <v>y</v>
      </c>
      <c r="APP1" s="154" t="str">
        <f t="shared" si="17"/>
        <v>y</v>
      </c>
      <c r="APQ1" s="154" t="str">
        <f t="shared" si="17"/>
        <v>y</v>
      </c>
      <c r="APR1" s="154" t="str">
        <f t="shared" si="17"/>
        <v>y</v>
      </c>
      <c r="APS1" s="154" t="str">
        <f t="shared" si="17"/>
        <v>y</v>
      </c>
      <c r="APT1" s="154" t="str">
        <f t="shared" si="17"/>
        <v>y</v>
      </c>
      <c r="APU1" s="154" t="str">
        <f t="shared" si="17"/>
        <v>y</v>
      </c>
      <c r="APV1" s="154" t="str">
        <f t="shared" si="17"/>
        <v>y</v>
      </c>
      <c r="APW1" s="154" t="str">
        <f t="shared" si="17"/>
        <v>y</v>
      </c>
      <c r="APX1" s="154" t="str">
        <f t="shared" si="17"/>
        <v>y</v>
      </c>
      <c r="APY1" s="154" t="str">
        <f t="shared" si="17"/>
        <v>y</v>
      </c>
      <c r="APZ1" s="154" t="str">
        <f t="shared" si="17"/>
        <v>y</v>
      </c>
      <c r="AQA1" s="154" t="str">
        <f t="shared" si="17"/>
        <v>y</v>
      </c>
      <c r="AQB1" s="154" t="str">
        <f t="shared" si="17"/>
        <v>y</v>
      </c>
      <c r="AQC1" s="154" t="str">
        <f t="shared" si="17"/>
        <v>y</v>
      </c>
      <c r="AQD1" s="154" t="str">
        <f t="shared" si="17"/>
        <v>y</v>
      </c>
      <c r="AQE1" s="154" t="str">
        <f t="shared" si="17"/>
        <v>y</v>
      </c>
      <c r="AQF1" s="154" t="str">
        <f t="shared" si="17"/>
        <v>y</v>
      </c>
      <c r="AQG1" s="154" t="str">
        <f t="shared" si="17"/>
        <v>y</v>
      </c>
      <c r="AQH1" s="154" t="str">
        <f t="shared" si="17"/>
        <v>y</v>
      </c>
      <c r="AQI1" s="154" t="str">
        <f t="shared" si="17"/>
        <v>y</v>
      </c>
      <c r="AQJ1" s="154" t="str">
        <f t="shared" si="17"/>
        <v>y</v>
      </c>
      <c r="AQK1" s="154" t="str">
        <f t="shared" si="17"/>
        <v>y</v>
      </c>
      <c r="AQL1" s="154" t="str">
        <f t="shared" si="17"/>
        <v>y</v>
      </c>
      <c r="AQM1" s="154" t="str">
        <f t="shared" si="17"/>
        <v>y</v>
      </c>
      <c r="AQN1" s="154" t="str">
        <f t="shared" si="17"/>
        <v>y</v>
      </c>
      <c r="AQO1" s="154" t="str">
        <f t="shared" si="17"/>
        <v>y</v>
      </c>
      <c r="AQP1" s="154" t="str">
        <f t="shared" si="17"/>
        <v>y</v>
      </c>
      <c r="AQQ1" s="154" t="str">
        <f t="shared" si="17"/>
        <v>y</v>
      </c>
      <c r="AQR1" s="154" t="str">
        <f t="shared" si="17"/>
        <v>y</v>
      </c>
      <c r="AQS1" s="154" t="str">
        <f t="shared" si="17"/>
        <v>y</v>
      </c>
      <c r="AQT1" s="154" t="str">
        <f t="shared" si="17"/>
        <v>y</v>
      </c>
      <c r="AQU1" s="154" t="str">
        <f t="shared" si="17"/>
        <v>y</v>
      </c>
      <c r="AQV1" s="154" t="str">
        <f t="shared" si="17"/>
        <v>y</v>
      </c>
      <c r="AQW1" s="154" t="str">
        <f t="shared" si="17"/>
        <v>y</v>
      </c>
      <c r="AQX1" s="154" t="str">
        <f t="shared" si="17"/>
        <v>y</v>
      </c>
      <c r="AQY1" s="154" t="str">
        <f t="shared" si="17"/>
        <v>y</v>
      </c>
      <c r="AQZ1" s="154" t="str">
        <f t="shared" si="17"/>
        <v>y</v>
      </c>
      <c r="ARA1" s="154" t="str">
        <f t="shared" si="17"/>
        <v>y</v>
      </c>
      <c r="ARB1" s="154" t="str">
        <f t="shared" si="17"/>
        <v>y</v>
      </c>
      <c r="ARC1" s="154" t="str">
        <f t="shared" si="17"/>
        <v>y</v>
      </c>
      <c r="ARD1" s="154" t="str">
        <f t="shared" si="17"/>
        <v>y</v>
      </c>
      <c r="ARE1" s="154" t="str">
        <f t="shared" si="17"/>
        <v>y</v>
      </c>
      <c r="ARF1" s="154" t="str">
        <f t="shared" si="17"/>
        <v>y</v>
      </c>
      <c r="ARG1" s="154" t="str">
        <f t="shared" si="17"/>
        <v>y</v>
      </c>
      <c r="ARH1" s="154" t="str">
        <f t="shared" si="17"/>
        <v>y</v>
      </c>
      <c r="ARI1" s="154" t="str">
        <f t="shared" si="17"/>
        <v>y</v>
      </c>
      <c r="ARJ1" s="154" t="str">
        <f t="shared" si="17"/>
        <v>y</v>
      </c>
      <c r="ARK1" s="154" t="str">
        <f t="shared" si="17"/>
        <v>y</v>
      </c>
      <c r="ARL1" s="154" t="str">
        <f t="shared" si="17"/>
        <v>y</v>
      </c>
      <c r="ARM1" s="154" t="str">
        <f t="shared" si="17"/>
        <v>y</v>
      </c>
      <c r="ARN1" s="154" t="str">
        <f t="shared" ref="ARN1:ATY1" si="18">ARN2&amp;"y"</f>
        <v>y</v>
      </c>
      <c r="ARO1" s="154" t="str">
        <f t="shared" si="18"/>
        <v>y</v>
      </c>
      <c r="ARP1" s="154" t="str">
        <f t="shared" si="18"/>
        <v>y</v>
      </c>
      <c r="ARQ1" s="154" t="str">
        <f t="shared" si="18"/>
        <v>y</v>
      </c>
      <c r="ARR1" s="154" t="str">
        <f t="shared" si="18"/>
        <v>y</v>
      </c>
      <c r="ARS1" s="154" t="str">
        <f t="shared" si="18"/>
        <v>y</v>
      </c>
      <c r="ART1" s="154" t="str">
        <f t="shared" si="18"/>
        <v>y</v>
      </c>
      <c r="ARU1" s="154" t="str">
        <f t="shared" si="18"/>
        <v>y</v>
      </c>
      <c r="ARV1" s="154" t="str">
        <f t="shared" si="18"/>
        <v>y</v>
      </c>
      <c r="ARW1" s="154" t="str">
        <f t="shared" si="18"/>
        <v>y</v>
      </c>
      <c r="ARX1" s="154" t="str">
        <f t="shared" si="18"/>
        <v>y</v>
      </c>
      <c r="ARY1" s="154" t="str">
        <f t="shared" si="18"/>
        <v>y</v>
      </c>
      <c r="ARZ1" s="154" t="str">
        <f t="shared" si="18"/>
        <v>y</v>
      </c>
      <c r="ASA1" s="154" t="str">
        <f t="shared" si="18"/>
        <v>y</v>
      </c>
      <c r="ASB1" s="154" t="str">
        <f t="shared" si="18"/>
        <v>y</v>
      </c>
      <c r="ASC1" s="154" t="str">
        <f t="shared" si="18"/>
        <v>y</v>
      </c>
      <c r="ASD1" s="154" t="str">
        <f t="shared" si="18"/>
        <v>y</v>
      </c>
      <c r="ASE1" s="154" t="str">
        <f t="shared" si="18"/>
        <v>y</v>
      </c>
      <c r="ASF1" s="154" t="str">
        <f t="shared" si="18"/>
        <v>y</v>
      </c>
      <c r="ASG1" s="154" t="str">
        <f t="shared" si="18"/>
        <v>y</v>
      </c>
      <c r="ASH1" s="154" t="str">
        <f t="shared" si="18"/>
        <v>y</v>
      </c>
      <c r="ASI1" s="154" t="str">
        <f t="shared" si="18"/>
        <v>y</v>
      </c>
      <c r="ASJ1" s="154" t="str">
        <f t="shared" si="18"/>
        <v>y</v>
      </c>
      <c r="ASK1" s="154" t="str">
        <f t="shared" si="18"/>
        <v>y</v>
      </c>
      <c r="ASL1" s="154" t="str">
        <f t="shared" si="18"/>
        <v>y</v>
      </c>
      <c r="ASM1" s="154" t="str">
        <f t="shared" si="18"/>
        <v>y</v>
      </c>
      <c r="ASN1" s="154" t="str">
        <f t="shared" si="18"/>
        <v>y</v>
      </c>
      <c r="ASO1" s="154" t="str">
        <f t="shared" si="18"/>
        <v>y</v>
      </c>
      <c r="ASP1" s="154" t="str">
        <f t="shared" si="18"/>
        <v>y</v>
      </c>
      <c r="ASQ1" s="154" t="str">
        <f t="shared" si="18"/>
        <v>y</v>
      </c>
      <c r="ASR1" s="154" t="str">
        <f t="shared" si="18"/>
        <v>y</v>
      </c>
      <c r="ASS1" s="154" t="str">
        <f t="shared" si="18"/>
        <v>y</v>
      </c>
      <c r="AST1" s="154" t="str">
        <f t="shared" si="18"/>
        <v>y</v>
      </c>
      <c r="ASU1" s="154" t="str">
        <f t="shared" si="18"/>
        <v>y</v>
      </c>
      <c r="ASV1" s="154" t="str">
        <f t="shared" si="18"/>
        <v>y</v>
      </c>
      <c r="ASW1" s="154" t="str">
        <f t="shared" si="18"/>
        <v>y</v>
      </c>
      <c r="ASX1" s="154" t="str">
        <f t="shared" si="18"/>
        <v>y</v>
      </c>
      <c r="ASY1" s="154" t="str">
        <f t="shared" si="18"/>
        <v>y</v>
      </c>
      <c r="ASZ1" s="154" t="str">
        <f t="shared" si="18"/>
        <v>y</v>
      </c>
      <c r="ATA1" s="154" t="str">
        <f t="shared" si="18"/>
        <v>y</v>
      </c>
      <c r="ATB1" s="154" t="str">
        <f t="shared" si="18"/>
        <v>y</v>
      </c>
      <c r="ATC1" s="154" t="str">
        <f t="shared" si="18"/>
        <v>y</v>
      </c>
      <c r="ATD1" s="154" t="str">
        <f t="shared" si="18"/>
        <v>y</v>
      </c>
      <c r="ATE1" s="154" t="str">
        <f t="shared" si="18"/>
        <v>y</v>
      </c>
      <c r="ATF1" s="154" t="str">
        <f t="shared" si="18"/>
        <v>y</v>
      </c>
      <c r="ATG1" s="154" t="str">
        <f t="shared" si="18"/>
        <v>y</v>
      </c>
      <c r="ATH1" s="154" t="str">
        <f t="shared" si="18"/>
        <v>y</v>
      </c>
      <c r="ATI1" s="154" t="str">
        <f t="shared" si="18"/>
        <v>y</v>
      </c>
      <c r="ATJ1" s="154" t="str">
        <f t="shared" si="18"/>
        <v>y</v>
      </c>
      <c r="ATK1" s="154" t="str">
        <f t="shared" si="18"/>
        <v>y</v>
      </c>
      <c r="ATL1" s="154" t="str">
        <f t="shared" si="18"/>
        <v>y</v>
      </c>
      <c r="ATM1" s="154" t="str">
        <f t="shared" si="18"/>
        <v>y</v>
      </c>
      <c r="ATN1" s="154" t="str">
        <f t="shared" si="18"/>
        <v>y</v>
      </c>
      <c r="ATO1" s="154" t="str">
        <f t="shared" si="18"/>
        <v>y</v>
      </c>
      <c r="ATP1" s="154" t="str">
        <f t="shared" si="18"/>
        <v>y</v>
      </c>
      <c r="ATQ1" s="154" t="str">
        <f t="shared" si="18"/>
        <v>y</v>
      </c>
      <c r="ATR1" s="154" t="str">
        <f t="shared" si="18"/>
        <v>y</v>
      </c>
      <c r="ATS1" s="154" t="str">
        <f t="shared" si="18"/>
        <v>y</v>
      </c>
      <c r="ATT1" s="154" t="str">
        <f t="shared" si="18"/>
        <v>y</v>
      </c>
      <c r="ATU1" s="154" t="str">
        <f t="shared" si="18"/>
        <v>y</v>
      </c>
      <c r="ATV1" s="154" t="str">
        <f t="shared" si="18"/>
        <v>y</v>
      </c>
      <c r="ATW1" s="154" t="str">
        <f t="shared" si="18"/>
        <v>y</v>
      </c>
      <c r="ATX1" s="154" t="str">
        <f t="shared" si="18"/>
        <v>y</v>
      </c>
      <c r="ATY1" s="154" t="str">
        <f t="shared" si="18"/>
        <v>y</v>
      </c>
      <c r="ATZ1" s="154" t="str">
        <f t="shared" ref="ATZ1:AWK1" si="19">ATZ2&amp;"y"</f>
        <v>y</v>
      </c>
      <c r="AUA1" s="154" t="str">
        <f t="shared" si="19"/>
        <v>y</v>
      </c>
      <c r="AUB1" s="154" t="str">
        <f t="shared" si="19"/>
        <v>y</v>
      </c>
      <c r="AUC1" s="154" t="str">
        <f t="shared" si="19"/>
        <v>y</v>
      </c>
      <c r="AUD1" s="154" t="str">
        <f t="shared" si="19"/>
        <v>y</v>
      </c>
      <c r="AUE1" s="154" t="str">
        <f t="shared" si="19"/>
        <v>y</v>
      </c>
      <c r="AUF1" s="154" t="str">
        <f t="shared" si="19"/>
        <v>y</v>
      </c>
      <c r="AUG1" s="154" t="str">
        <f t="shared" si="19"/>
        <v>y</v>
      </c>
      <c r="AUH1" s="154" t="str">
        <f t="shared" si="19"/>
        <v>y</v>
      </c>
      <c r="AUI1" s="154" t="str">
        <f t="shared" si="19"/>
        <v>y</v>
      </c>
      <c r="AUJ1" s="154" t="str">
        <f t="shared" si="19"/>
        <v>y</v>
      </c>
      <c r="AUK1" s="154" t="str">
        <f t="shared" si="19"/>
        <v>y</v>
      </c>
      <c r="AUL1" s="154" t="str">
        <f t="shared" si="19"/>
        <v>y</v>
      </c>
      <c r="AUM1" s="154" t="str">
        <f t="shared" si="19"/>
        <v>y</v>
      </c>
      <c r="AUN1" s="154" t="str">
        <f t="shared" si="19"/>
        <v>y</v>
      </c>
      <c r="AUO1" s="154" t="str">
        <f t="shared" si="19"/>
        <v>y</v>
      </c>
      <c r="AUP1" s="154" t="str">
        <f t="shared" si="19"/>
        <v>y</v>
      </c>
      <c r="AUQ1" s="154" t="str">
        <f t="shared" si="19"/>
        <v>y</v>
      </c>
      <c r="AUR1" s="154" t="str">
        <f t="shared" si="19"/>
        <v>y</v>
      </c>
      <c r="AUS1" s="154" t="str">
        <f t="shared" si="19"/>
        <v>y</v>
      </c>
      <c r="AUT1" s="154" t="str">
        <f t="shared" si="19"/>
        <v>y</v>
      </c>
      <c r="AUU1" s="154" t="str">
        <f t="shared" si="19"/>
        <v>y</v>
      </c>
      <c r="AUV1" s="154" t="str">
        <f t="shared" si="19"/>
        <v>y</v>
      </c>
      <c r="AUW1" s="154" t="str">
        <f t="shared" si="19"/>
        <v>y</v>
      </c>
      <c r="AUX1" s="154" t="str">
        <f t="shared" si="19"/>
        <v>y</v>
      </c>
      <c r="AUY1" s="154" t="str">
        <f t="shared" si="19"/>
        <v>y</v>
      </c>
      <c r="AUZ1" s="154" t="str">
        <f t="shared" si="19"/>
        <v>y</v>
      </c>
      <c r="AVA1" s="154" t="str">
        <f t="shared" si="19"/>
        <v>y</v>
      </c>
      <c r="AVB1" s="154" t="str">
        <f t="shared" si="19"/>
        <v>y</v>
      </c>
      <c r="AVC1" s="154" t="str">
        <f t="shared" si="19"/>
        <v>y</v>
      </c>
      <c r="AVD1" s="154" t="str">
        <f t="shared" si="19"/>
        <v>y</v>
      </c>
      <c r="AVE1" s="154" t="str">
        <f t="shared" si="19"/>
        <v>y</v>
      </c>
      <c r="AVF1" s="154" t="str">
        <f t="shared" si="19"/>
        <v>y</v>
      </c>
      <c r="AVG1" s="154" t="str">
        <f t="shared" si="19"/>
        <v>y</v>
      </c>
      <c r="AVH1" s="154" t="str">
        <f t="shared" si="19"/>
        <v>y</v>
      </c>
      <c r="AVI1" s="154" t="str">
        <f t="shared" si="19"/>
        <v>y</v>
      </c>
      <c r="AVJ1" s="154" t="str">
        <f t="shared" si="19"/>
        <v>y</v>
      </c>
      <c r="AVK1" s="154" t="str">
        <f t="shared" si="19"/>
        <v>y</v>
      </c>
      <c r="AVL1" s="154" t="str">
        <f t="shared" si="19"/>
        <v>y</v>
      </c>
      <c r="AVM1" s="154" t="str">
        <f t="shared" si="19"/>
        <v>y</v>
      </c>
      <c r="AVN1" s="154" t="str">
        <f t="shared" si="19"/>
        <v>y</v>
      </c>
      <c r="AVO1" s="154" t="str">
        <f t="shared" si="19"/>
        <v>y</v>
      </c>
      <c r="AVP1" s="154" t="str">
        <f t="shared" si="19"/>
        <v>y</v>
      </c>
      <c r="AVQ1" s="154" t="str">
        <f t="shared" si="19"/>
        <v>y</v>
      </c>
      <c r="AVR1" s="154" t="str">
        <f t="shared" si="19"/>
        <v>y</v>
      </c>
      <c r="AVS1" s="154" t="str">
        <f t="shared" si="19"/>
        <v>y</v>
      </c>
      <c r="AVT1" s="154" t="str">
        <f t="shared" si="19"/>
        <v>y</v>
      </c>
      <c r="AVU1" s="154" t="str">
        <f t="shared" si="19"/>
        <v>y</v>
      </c>
      <c r="AVV1" s="154" t="str">
        <f t="shared" si="19"/>
        <v>y</v>
      </c>
      <c r="AVW1" s="154" t="str">
        <f t="shared" si="19"/>
        <v>y</v>
      </c>
      <c r="AVX1" s="154" t="str">
        <f t="shared" si="19"/>
        <v>y</v>
      </c>
      <c r="AVY1" s="154" t="str">
        <f t="shared" si="19"/>
        <v>y</v>
      </c>
      <c r="AVZ1" s="154" t="str">
        <f t="shared" si="19"/>
        <v>y</v>
      </c>
      <c r="AWA1" s="154" t="str">
        <f t="shared" si="19"/>
        <v>y</v>
      </c>
      <c r="AWB1" s="154" t="str">
        <f t="shared" si="19"/>
        <v>y</v>
      </c>
      <c r="AWC1" s="154" t="str">
        <f t="shared" si="19"/>
        <v>y</v>
      </c>
      <c r="AWD1" s="154" t="str">
        <f t="shared" si="19"/>
        <v>y</v>
      </c>
      <c r="AWE1" s="154" t="str">
        <f t="shared" si="19"/>
        <v>y</v>
      </c>
      <c r="AWF1" s="154" t="str">
        <f t="shared" si="19"/>
        <v>y</v>
      </c>
      <c r="AWG1" s="154" t="str">
        <f t="shared" si="19"/>
        <v>y</v>
      </c>
      <c r="AWH1" s="154" t="str">
        <f t="shared" si="19"/>
        <v>y</v>
      </c>
      <c r="AWI1" s="154" t="str">
        <f t="shared" si="19"/>
        <v>y</v>
      </c>
      <c r="AWJ1" s="154" t="str">
        <f t="shared" si="19"/>
        <v>y</v>
      </c>
      <c r="AWK1" s="154" t="str">
        <f t="shared" si="19"/>
        <v>y</v>
      </c>
      <c r="AWL1" s="154" t="str">
        <f t="shared" ref="AWL1:AYW1" si="20">AWL2&amp;"y"</f>
        <v>y</v>
      </c>
      <c r="AWM1" s="154" t="str">
        <f t="shared" si="20"/>
        <v>y</v>
      </c>
      <c r="AWN1" s="154" t="str">
        <f t="shared" si="20"/>
        <v>y</v>
      </c>
      <c r="AWO1" s="154" t="str">
        <f t="shared" si="20"/>
        <v>y</v>
      </c>
      <c r="AWP1" s="154" t="str">
        <f t="shared" si="20"/>
        <v>y</v>
      </c>
      <c r="AWQ1" s="154" t="str">
        <f t="shared" si="20"/>
        <v>y</v>
      </c>
      <c r="AWR1" s="154" t="str">
        <f t="shared" si="20"/>
        <v>y</v>
      </c>
      <c r="AWS1" s="154" t="str">
        <f t="shared" si="20"/>
        <v>y</v>
      </c>
      <c r="AWT1" s="154" t="str">
        <f t="shared" si="20"/>
        <v>y</v>
      </c>
      <c r="AWU1" s="154" t="str">
        <f t="shared" si="20"/>
        <v>y</v>
      </c>
      <c r="AWV1" s="154" t="str">
        <f t="shared" si="20"/>
        <v>y</v>
      </c>
      <c r="AWW1" s="154" t="str">
        <f t="shared" si="20"/>
        <v>y</v>
      </c>
      <c r="AWX1" s="154" t="str">
        <f t="shared" si="20"/>
        <v>y</v>
      </c>
      <c r="AWY1" s="154" t="str">
        <f t="shared" si="20"/>
        <v>y</v>
      </c>
      <c r="AWZ1" s="154" t="str">
        <f t="shared" si="20"/>
        <v>y</v>
      </c>
      <c r="AXA1" s="154" t="str">
        <f t="shared" si="20"/>
        <v>y</v>
      </c>
      <c r="AXB1" s="154" t="str">
        <f t="shared" si="20"/>
        <v>y</v>
      </c>
      <c r="AXC1" s="154" t="str">
        <f t="shared" si="20"/>
        <v>y</v>
      </c>
      <c r="AXD1" s="154" t="str">
        <f t="shared" si="20"/>
        <v>y</v>
      </c>
      <c r="AXE1" s="154" t="str">
        <f t="shared" si="20"/>
        <v>y</v>
      </c>
      <c r="AXF1" s="154" t="str">
        <f t="shared" si="20"/>
        <v>y</v>
      </c>
      <c r="AXG1" s="154" t="str">
        <f t="shared" si="20"/>
        <v>y</v>
      </c>
      <c r="AXH1" s="154" t="str">
        <f t="shared" si="20"/>
        <v>y</v>
      </c>
      <c r="AXI1" s="154" t="str">
        <f t="shared" si="20"/>
        <v>y</v>
      </c>
      <c r="AXJ1" s="154" t="str">
        <f t="shared" si="20"/>
        <v>y</v>
      </c>
      <c r="AXK1" s="154" t="str">
        <f t="shared" si="20"/>
        <v>y</v>
      </c>
      <c r="AXL1" s="154" t="str">
        <f t="shared" si="20"/>
        <v>y</v>
      </c>
      <c r="AXM1" s="154" t="str">
        <f t="shared" si="20"/>
        <v>y</v>
      </c>
      <c r="AXN1" s="154" t="str">
        <f t="shared" si="20"/>
        <v>y</v>
      </c>
      <c r="AXO1" s="154" t="str">
        <f t="shared" si="20"/>
        <v>y</v>
      </c>
      <c r="AXP1" s="154" t="str">
        <f t="shared" si="20"/>
        <v>y</v>
      </c>
      <c r="AXQ1" s="154" t="str">
        <f t="shared" si="20"/>
        <v>y</v>
      </c>
      <c r="AXR1" s="154" t="str">
        <f t="shared" si="20"/>
        <v>y</v>
      </c>
      <c r="AXS1" s="154" t="str">
        <f t="shared" si="20"/>
        <v>y</v>
      </c>
      <c r="AXT1" s="154" t="str">
        <f t="shared" si="20"/>
        <v>y</v>
      </c>
      <c r="AXU1" s="154" t="str">
        <f t="shared" si="20"/>
        <v>y</v>
      </c>
      <c r="AXV1" s="154" t="str">
        <f t="shared" si="20"/>
        <v>y</v>
      </c>
      <c r="AXW1" s="154" t="str">
        <f t="shared" si="20"/>
        <v>y</v>
      </c>
      <c r="AXX1" s="154" t="str">
        <f t="shared" si="20"/>
        <v>y</v>
      </c>
      <c r="AXY1" s="154" t="str">
        <f t="shared" si="20"/>
        <v>y</v>
      </c>
      <c r="AXZ1" s="154" t="str">
        <f t="shared" si="20"/>
        <v>y</v>
      </c>
      <c r="AYA1" s="154" t="str">
        <f t="shared" si="20"/>
        <v>y</v>
      </c>
      <c r="AYB1" s="154" t="str">
        <f t="shared" si="20"/>
        <v>y</v>
      </c>
      <c r="AYC1" s="154" t="str">
        <f t="shared" si="20"/>
        <v>y</v>
      </c>
      <c r="AYD1" s="154" t="str">
        <f t="shared" si="20"/>
        <v>y</v>
      </c>
      <c r="AYE1" s="154" t="str">
        <f t="shared" si="20"/>
        <v>y</v>
      </c>
      <c r="AYF1" s="154" t="str">
        <f t="shared" si="20"/>
        <v>y</v>
      </c>
      <c r="AYG1" s="154" t="str">
        <f t="shared" si="20"/>
        <v>y</v>
      </c>
      <c r="AYH1" s="154" t="str">
        <f t="shared" si="20"/>
        <v>y</v>
      </c>
      <c r="AYI1" s="154" t="str">
        <f t="shared" si="20"/>
        <v>y</v>
      </c>
      <c r="AYJ1" s="154" t="str">
        <f t="shared" si="20"/>
        <v>y</v>
      </c>
      <c r="AYK1" s="154" t="str">
        <f t="shared" si="20"/>
        <v>y</v>
      </c>
      <c r="AYL1" s="154" t="str">
        <f t="shared" si="20"/>
        <v>y</v>
      </c>
      <c r="AYM1" s="154" t="str">
        <f t="shared" si="20"/>
        <v>y</v>
      </c>
      <c r="AYN1" s="154" t="str">
        <f t="shared" si="20"/>
        <v>y</v>
      </c>
      <c r="AYO1" s="154" t="str">
        <f t="shared" si="20"/>
        <v>y</v>
      </c>
      <c r="AYP1" s="154" t="str">
        <f t="shared" si="20"/>
        <v>y</v>
      </c>
      <c r="AYQ1" s="154" t="str">
        <f t="shared" si="20"/>
        <v>y</v>
      </c>
      <c r="AYR1" s="154" t="str">
        <f t="shared" si="20"/>
        <v>y</v>
      </c>
      <c r="AYS1" s="154" t="str">
        <f t="shared" si="20"/>
        <v>y</v>
      </c>
      <c r="AYT1" s="154" t="str">
        <f t="shared" si="20"/>
        <v>y</v>
      </c>
      <c r="AYU1" s="154" t="str">
        <f t="shared" si="20"/>
        <v>y</v>
      </c>
      <c r="AYV1" s="154" t="str">
        <f t="shared" si="20"/>
        <v>y</v>
      </c>
      <c r="AYW1" s="154" t="str">
        <f t="shared" si="20"/>
        <v>y</v>
      </c>
      <c r="AYX1" s="154" t="str">
        <f t="shared" ref="AYX1:BBI1" si="21">AYX2&amp;"y"</f>
        <v>y</v>
      </c>
      <c r="AYY1" s="154" t="str">
        <f t="shared" si="21"/>
        <v>y</v>
      </c>
      <c r="AYZ1" s="154" t="str">
        <f t="shared" si="21"/>
        <v>y</v>
      </c>
      <c r="AZA1" s="154" t="str">
        <f t="shared" si="21"/>
        <v>y</v>
      </c>
      <c r="AZB1" s="154" t="str">
        <f t="shared" si="21"/>
        <v>y</v>
      </c>
      <c r="AZC1" s="154" t="str">
        <f t="shared" si="21"/>
        <v>y</v>
      </c>
      <c r="AZD1" s="154" t="str">
        <f t="shared" si="21"/>
        <v>y</v>
      </c>
      <c r="AZE1" s="154" t="str">
        <f t="shared" si="21"/>
        <v>y</v>
      </c>
      <c r="AZF1" s="154" t="str">
        <f t="shared" si="21"/>
        <v>y</v>
      </c>
      <c r="AZG1" s="154" t="str">
        <f t="shared" si="21"/>
        <v>y</v>
      </c>
      <c r="AZH1" s="154" t="str">
        <f t="shared" si="21"/>
        <v>y</v>
      </c>
      <c r="AZI1" s="154" t="str">
        <f t="shared" si="21"/>
        <v>y</v>
      </c>
      <c r="AZJ1" s="154" t="str">
        <f t="shared" si="21"/>
        <v>y</v>
      </c>
      <c r="AZK1" s="154" t="str">
        <f t="shared" si="21"/>
        <v>y</v>
      </c>
      <c r="AZL1" s="154" t="str">
        <f t="shared" si="21"/>
        <v>y</v>
      </c>
      <c r="AZM1" s="154" t="str">
        <f t="shared" si="21"/>
        <v>y</v>
      </c>
      <c r="AZN1" s="154" t="str">
        <f t="shared" si="21"/>
        <v>y</v>
      </c>
      <c r="AZO1" s="154" t="str">
        <f t="shared" si="21"/>
        <v>y</v>
      </c>
      <c r="AZP1" s="154" t="str">
        <f t="shared" si="21"/>
        <v>y</v>
      </c>
      <c r="AZQ1" s="154" t="str">
        <f t="shared" si="21"/>
        <v>y</v>
      </c>
      <c r="AZR1" s="154" t="str">
        <f t="shared" si="21"/>
        <v>y</v>
      </c>
      <c r="AZS1" s="154" t="str">
        <f t="shared" si="21"/>
        <v>y</v>
      </c>
      <c r="AZT1" s="154" t="str">
        <f t="shared" si="21"/>
        <v>y</v>
      </c>
      <c r="AZU1" s="154" t="str">
        <f t="shared" si="21"/>
        <v>y</v>
      </c>
      <c r="AZV1" s="154" t="str">
        <f t="shared" si="21"/>
        <v>y</v>
      </c>
      <c r="AZW1" s="154" t="str">
        <f t="shared" si="21"/>
        <v>y</v>
      </c>
      <c r="AZX1" s="154" t="str">
        <f t="shared" si="21"/>
        <v>y</v>
      </c>
      <c r="AZY1" s="154" t="str">
        <f t="shared" si="21"/>
        <v>y</v>
      </c>
      <c r="AZZ1" s="154" t="str">
        <f t="shared" si="21"/>
        <v>y</v>
      </c>
      <c r="BAA1" s="154" t="str">
        <f t="shared" si="21"/>
        <v>y</v>
      </c>
      <c r="BAB1" s="154" t="str">
        <f t="shared" si="21"/>
        <v>y</v>
      </c>
      <c r="BAC1" s="154" t="str">
        <f t="shared" si="21"/>
        <v>y</v>
      </c>
      <c r="BAD1" s="154" t="str">
        <f t="shared" si="21"/>
        <v>y</v>
      </c>
      <c r="BAE1" s="154" t="str">
        <f t="shared" si="21"/>
        <v>y</v>
      </c>
      <c r="BAF1" s="154" t="str">
        <f t="shared" si="21"/>
        <v>y</v>
      </c>
      <c r="BAG1" s="154" t="str">
        <f t="shared" si="21"/>
        <v>y</v>
      </c>
      <c r="BAH1" s="154" t="str">
        <f t="shared" si="21"/>
        <v>y</v>
      </c>
      <c r="BAI1" s="154" t="str">
        <f t="shared" si="21"/>
        <v>y</v>
      </c>
      <c r="BAJ1" s="154" t="str">
        <f t="shared" si="21"/>
        <v>y</v>
      </c>
      <c r="BAK1" s="154" t="str">
        <f t="shared" si="21"/>
        <v>y</v>
      </c>
      <c r="BAL1" s="154" t="str">
        <f t="shared" si="21"/>
        <v>y</v>
      </c>
      <c r="BAM1" s="154" t="str">
        <f t="shared" si="21"/>
        <v>y</v>
      </c>
      <c r="BAN1" s="154" t="str">
        <f t="shared" si="21"/>
        <v>y</v>
      </c>
      <c r="BAO1" s="154" t="str">
        <f t="shared" si="21"/>
        <v>y</v>
      </c>
      <c r="BAP1" s="154" t="str">
        <f t="shared" si="21"/>
        <v>y</v>
      </c>
      <c r="BAQ1" s="154" t="str">
        <f t="shared" si="21"/>
        <v>y</v>
      </c>
      <c r="BAR1" s="154" t="str">
        <f t="shared" si="21"/>
        <v>y</v>
      </c>
      <c r="BAS1" s="154" t="str">
        <f t="shared" si="21"/>
        <v>y</v>
      </c>
      <c r="BAT1" s="154" t="str">
        <f t="shared" si="21"/>
        <v>y</v>
      </c>
      <c r="BAU1" s="154" t="str">
        <f t="shared" si="21"/>
        <v>y</v>
      </c>
      <c r="BAV1" s="154" t="str">
        <f t="shared" si="21"/>
        <v>y</v>
      </c>
      <c r="BAW1" s="154" t="str">
        <f t="shared" si="21"/>
        <v>y</v>
      </c>
      <c r="BAX1" s="154" t="str">
        <f t="shared" si="21"/>
        <v>y</v>
      </c>
      <c r="BAY1" s="154" t="str">
        <f t="shared" si="21"/>
        <v>y</v>
      </c>
      <c r="BAZ1" s="154" t="str">
        <f t="shared" si="21"/>
        <v>y</v>
      </c>
      <c r="BBA1" s="154" t="str">
        <f t="shared" si="21"/>
        <v>y</v>
      </c>
      <c r="BBB1" s="154" t="str">
        <f t="shared" si="21"/>
        <v>y</v>
      </c>
      <c r="BBC1" s="154" t="str">
        <f t="shared" si="21"/>
        <v>y</v>
      </c>
      <c r="BBD1" s="154" t="str">
        <f t="shared" si="21"/>
        <v>y</v>
      </c>
      <c r="BBE1" s="154" t="str">
        <f t="shared" si="21"/>
        <v>y</v>
      </c>
      <c r="BBF1" s="154" t="str">
        <f t="shared" si="21"/>
        <v>y</v>
      </c>
      <c r="BBG1" s="154" t="str">
        <f t="shared" si="21"/>
        <v>y</v>
      </c>
      <c r="BBH1" s="154" t="str">
        <f t="shared" si="21"/>
        <v>y</v>
      </c>
      <c r="BBI1" s="154" t="str">
        <f t="shared" si="21"/>
        <v>y</v>
      </c>
      <c r="BBJ1" s="154" t="str">
        <f t="shared" ref="BBJ1:BDU1" si="22">BBJ2&amp;"y"</f>
        <v>y</v>
      </c>
      <c r="BBK1" s="154" t="str">
        <f t="shared" si="22"/>
        <v>y</v>
      </c>
      <c r="BBL1" s="154" t="str">
        <f t="shared" si="22"/>
        <v>y</v>
      </c>
      <c r="BBM1" s="154" t="str">
        <f t="shared" si="22"/>
        <v>y</v>
      </c>
      <c r="BBN1" s="154" t="str">
        <f t="shared" si="22"/>
        <v>y</v>
      </c>
      <c r="BBO1" s="154" t="str">
        <f t="shared" si="22"/>
        <v>y</v>
      </c>
      <c r="BBP1" s="154" t="str">
        <f t="shared" si="22"/>
        <v>y</v>
      </c>
      <c r="BBQ1" s="154" t="str">
        <f t="shared" si="22"/>
        <v>y</v>
      </c>
      <c r="BBR1" s="154" t="str">
        <f t="shared" si="22"/>
        <v>y</v>
      </c>
      <c r="BBS1" s="154" t="str">
        <f t="shared" si="22"/>
        <v>y</v>
      </c>
      <c r="BBT1" s="154" t="str">
        <f t="shared" si="22"/>
        <v>y</v>
      </c>
      <c r="BBU1" s="154" t="str">
        <f t="shared" si="22"/>
        <v>y</v>
      </c>
      <c r="BBV1" s="154" t="str">
        <f t="shared" si="22"/>
        <v>y</v>
      </c>
      <c r="BBW1" s="154" t="str">
        <f t="shared" si="22"/>
        <v>y</v>
      </c>
      <c r="BBX1" s="154" t="str">
        <f t="shared" si="22"/>
        <v>y</v>
      </c>
      <c r="BBY1" s="154" t="str">
        <f t="shared" si="22"/>
        <v>y</v>
      </c>
      <c r="BBZ1" s="154" t="str">
        <f t="shared" si="22"/>
        <v>y</v>
      </c>
      <c r="BCA1" s="154" t="str">
        <f t="shared" si="22"/>
        <v>y</v>
      </c>
      <c r="BCB1" s="154" t="str">
        <f t="shared" si="22"/>
        <v>y</v>
      </c>
      <c r="BCC1" s="154" t="str">
        <f t="shared" si="22"/>
        <v>y</v>
      </c>
      <c r="BCD1" s="154" t="str">
        <f t="shared" si="22"/>
        <v>y</v>
      </c>
      <c r="BCE1" s="154" t="str">
        <f t="shared" si="22"/>
        <v>y</v>
      </c>
      <c r="BCF1" s="154" t="str">
        <f t="shared" si="22"/>
        <v>y</v>
      </c>
      <c r="BCG1" s="154" t="str">
        <f t="shared" si="22"/>
        <v>y</v>
      </c>
      <c r="BCH1" s="154" t="str">
        <f t="shared" si="22"/>
        <v>y</v>
      </c>
      <c r="BCI1" s="154" t="str">
        <f t="shared" si="22"/>
        <v>y</v>
      </c>
      <c r="BCJ1" s="154" t="str">
        <f t="shared" si="22"/>
        <v>y</v>
      </c>
      <c r="BCK1" s="154" t="str">
        <f t="shared" si="22"/>
        <v>y</v>
      </c>
      <c r="BCL1" s="154" t="str">
        <f t="shared" si="22"/>
        <v>y</v>
      </c>
      <c r="BCM1" s="154" t="str">
        <f t="shared" si="22"/>
        <v>y</v>
      </c>
      <c r="BCN1" s="154" t="str">
        <f t="shared" si="22"/>
        <v>y</v>
      </c>
      <c r="BCO1" s="154" t="str">
        <f t="shared" si="22"/>
        <v>y</v>
      </c>
      <c r="BCP1" s="154" t="str">
        <f t="shared" si="22"/>
        <v>y</v>
      </c>
      <c r="BCQ1" s="154" t="str">
        <f t="shared" si="22"/>
        <v>y</v>
      </c>
      <c r="BCR1" s="154" t="str">
        <f t="shared" si="22"/>
        <v>y</v>
      </c>
      <c r="BCS1" s="154" t="str">
        <f t="shared" si="22"/>
        <v>y</v>
      </c>
      <c r="BCT1" s="154" t="str">
        <f t="shared" si="22"/>
        <v>y</v>
      </c>
      <c r="BCU1" s="154" t="str">
        <f t="shared" si="22"/>
        <v>y</v>
      </c>
      <c r="BCV1" s="154" t="str">
        <f t="shared" si="22"/>
        <v>y</v>
      </c>
      <c r="BCW1" s="154" t="str">
        <f t="shared" si="22"/>
        <v>y</v>
      </c>
      <c r="BCX1" s="154" t="str">
        <f t="shared" si="22"/>
        <v>y</v>
      </c>
      <c r="BCY1" s="154" t="str">
        <f t="shared" si="22"/>
        <v>y</v>
      </c>
      <c r="BCZ1" s="154" t="str">
        <f t="shared" si="22"/>
        <v>y</v>
      </c>
      <c r="BDA1" s="154" t="str">
        <f t="shared" si="22"/>
        <v>y</v>
      </c>
      <c r="BDB1" s="154" t="str">
        <f t="shared" si="22"/>
        <v>y</v>
      </c>
      <c r="BDC1" s="154" t="str">
        <f t="shared" si="22"/>
        <v>y</v>
      </c>
      <c r="BDD1" s="154" t="str">
        <f t="shared" si="22"/>
        <v>y</v>
      </c>
      <c r="BDE1" s="154" t="str">
        <f t="shared" si="22"/>
        <v>y</v>
      </c>
      <c r="BDF1" s="154" t="str">
        <f t="shared" si="22"/>
        <v>y</v>
      </c>
      <c r="BDG1" s="154" t="str">
        <f t="shared" si="22"/>
        <v>y</v>
      </c>
      <c r="BDH1" s="154" t="str">
        <f t="shared" si="22"/>
        <v>y</v>
      </c>
      <c r="BDI1" s="154" t="str">
        <f t="shared" si="22"/>
        <v>y</v>
      </c>
      <c r="BDJ1" s="154" t="str">
        <f t="shared" si="22"/>
        <v>y</v>
      </c>
      <c r="BDK1" s="154" t="str">
        <f t="shared" si="22"/>
        <v>y</v>
      </c>
      <c r="BDL1" s="154" t="str">
        <f t="shared" si="22"/>
        <v>y</v>
      </c>
      <c r="BDM1" s="154" t="str">
        <f t="shared" si="22"/>
        <v>y</v>
      </c>
      <c r="BDN1" s="154" t="str">
        <f t="shared" si="22"/>
        <v>y</v>
      </c>
      <c r="BDO1" s="154" t="str">
        <f t="shared" si="22"/>
        <v>y</v>
      </c>
      <c r="BDP1" s="154" t="str">
        <f t="shared" si="22"/>
        <v>y</v>
      </c>
      <c r="BDQ1" s="154" t="str">
        <f t="shared" si="22"/>
        <v>y</v>
      </c>
      <c r="BDR1" s="154" t="str">
        <f t="shared" si="22"/>
        <v>y</v>
      </c>
      <c r="BDS1" s="154" t="str">
        <f t="shared" si="22"/>
        <v>y</v>
      </c>
      <c r="BDT1" s="154" t="str">
        <f t="shared" si="22"/>
        <v>y</v>
      </c>
      <c r="BDU1" s="154" t="str">
        <f t="shared" si="22"/>
        <v>y</v>
      </c>
      <c r="BDV1" s="154" t="str">
        <f t="shared" ref="BDV1:BGG1" si="23">BDV2&amp;"y"</f>
        <v>y</v>
      </c>
      <c r="BDW1" s="154" t="str">
        <f t="shared" si="23"/>
        <v>y</v>
      </c>
      <c r="BDX1" s="154" t="str">
        <f t="shared" si="23"/>
        <v>y</v>
      </c>
      <c r="BDY1" s="154" t="str">
        <f t="shared" si="23"/>
        <v>y</v>
      </c>
      <c r="BDZ1" s="154" t="str">
        <f t="shared" si="23"/>
        <v>y</v>
      </c>
      <c r="BEA1" s="154" t="str">
        <f t="shared" si="23"/>
        <v>y</v>
      </c>
      <c r="BEB1" s="154" t="str">
        <f t="shared" si="23"/>
        <v>y</v>
      </c>
      <c r="BEC1" s="154" t="str">
        <f t="shared" si="23"/>
        <v>y</v>
      </c>
      <c r="BED1" s="154" t="str">
        <f t="shared" si="23"/>
        <v>y</v>
      </c>
      <c r="BEE1" s="154" t="str">
        <f t="shared" si="23"/>
        <v>y</v>
      </c>
      <c r="BEF1" s="154" t="str">
        <f t="shared" si="23"/>
        <v>y</v>
      </c>
      <c r="BEG1" s="154" t="str">
        <f t="shared" si="23"/>
        <v>y</v>
      </c>
      <c r="BEH1" s="154" t="str">
        <f t="shared" si="23"/>
        <v>y</v>
      </c>
      <c r="BEI1" s="154" t="str">
        <f t="shared" si="23"/>
        <v>y</v>
      </c>
      <c r="BEJ1" s="154" t="str">
        <f t="shared" si="23"/>
        <v>y</v>
      </c>
      <c r="BEK1" s="154" t="str">
        <f t="shared" si="23"/>
        <v>y</v>
      </c>
      <c r="BEL1" s="154" t="str">
        <f t="shared" si="23"/>
        <v>y</v>
      </c>
      <c r="BEM1" s="154" t="str">
        <f t="shared" si="23"/>
        <v>y</v>
      </c>
      <c r="BEN1" s="154" t="str">
        <f t="shared" si="23"/>
        <v>y</v>
      </c>
      <c r="BEO1" s="154" t="str">
        <f t="shared" si="23"/>
        <v>y</v>
      </c>
      <c r="BEP1" s="154" t="str">
        <f t="shared" si="23"/>
        <v>y</v>
      </c>
      <c r="BEQ1" s="154" t="str">
        <f t="shared" si="23"/>
        <v>y</v>
      </c>
      <c r="BER1" s="154" t="str">
        <f t="shared" si="23"/>
        <v>y</v>
      </c>
      <c r="BES1" s="154" t="str">
        <f t="shared" si="23"/>
        <v>y</v>
      </c>
      <c r="BET1" s="154" t="str">
        <f t="shared" si="23"/>
        <v>y</v>
      </c>
      <c r="BEU1" s="154" t="str">
        <f t="shared" si="23"/>
        <v>y</v>
      </c>
      <c r="BEV1" s="154" t="str">
        <f t="shared" si="23"/>
        <v>y</v>
      </c>
      <c r="BEW1" s="154" t="str">
        <f t="shared" si="23"/>
        <v>y</v>
      </c>
      <c r="BEX1" s="154" t="str">
        <f t="shared" si="23"/>
        <v>y</v>
      </c>
      <c r="BEY1" s="154" t="str">
        <f t="shared" si="23"/>
        <v>y</v>
      </c>
      <c r="BEZ1" s="154" t="str">
        <f t="shared" si="23"/>
        <v>y</v>
      </c>
      <c r="BFA1" s="154" t="str">
        <f t="shared" si="23"/>
        <v>y</v>
      </c>
      <c r="BFB1" s="154" t="str">
        <f t="shared" si="23"/>
        <v>y</v>
      </c>
      <c r="BFC1" s="154" t="str">
        <f t="shared" si="23"/>
        <v>y</v>
      </c>
      <c r="BFD1" s="154" t="str">
        <f t="shared" si="23"/>
        <v>y</v>
      </c>
      <c r="BFE1" s="154" t="str">
        <f t="shared" si="23"/>
        <v>y</v>
      </c>
      <c r="BFF1" s="154" t="str">
        <f t="shared" si="23"/>
        <v>y</v>
      </c>
      <c r="BFG1" s="154" t="str">
        <f t="shared" si="23"/>
        <v>y</v>
      </c>
      <c r="BFH1" s="154" t="str">
        <f t="shared" si="23"/>
        <v>y</v>
      </c>
      <c r="BFI1" s="154" t="str">
        <f t="shared" si="23"/>
        <v>y</v>
      </c>
      <c r="BFJ1" s="154" t="str">
        <f t="shared" si="23"/>
        <v>y</v>
      </c>
      <c r="BFK1" s="154" t="str">
        <f t="shared" si="23"/>
        <v>y</v>
      </c>
      <c r="BFL1" s="154" t="str">
        <f t="shared" si="23"/>
        <v>y</v>
      </c>
      <c r="BFM1" s="154" t="str">
        <f t="shared" si="23"/>
        <v>y</v>
      </c>
      <c r="BFN1" s="154" t="str">
        <f t="shared" si="23"/>
        <v>y</v>
      </c>
      <c r="BFO1" s="154" t="str">
        <f t="shared" si="23"/>
        <v>y</v>
      </c>
      <c r="BFP1" s="154" t="str">
        <f t="shared" si="23"/>
        <v>y</v>
      </c>
      <c r="BFQ1" s="154" t="str">
        <f t="shared" si="23"/>
        <v>y</v>
      </c>
      <c r="BFR1" s="154" t="str">
        <f t="shared" si="23"/>
        <v>y</v>
      </c>
      <c r="BFS1" s="154" t="str">
        <f t="shared" si="23"/>
        <v>y</v>
      </c>
      <c r="BFT1" s="154" t="str">
        <f t="shared" si="23"/>
        <v>y</v>
      </c>
      <c r="BFU1" s="154" t="str">
        <f t="shared" si="23"/>
        <v>y</v>
      </c>
      <c r="BFV1" s="154" t="str">
        <f t="shared" si="23"/>
        <v>y</v>
      </c>
      <c r="BFW1" s="154" t="str">
        <f t="shared" si="23"/>
        <v>y</v>
      </c>
      <c r="BFX1" s="154" t="str">
        <f t="shared" si="23"/>
        <v>y</v>
      </c>
      <c r="BFY1" s="154" t="str">
        <f t="shared" si="23"/>
        <v>y</v>
      </c>
      <c r="BFZ1" s="154" t="str">
        <f t="shared" si="23"/>
        <v>y</v>
      </c>
      <c r="BGA1" s="154" t="str">
        <f t="shared" si="23"/>
        <v>y</v>
      </c>
      <c r="BGB1" s="154" t="str">
        <f t="shared" si="23"/>
        <v>y</v>
      </c>
      <c r="BGC1" s="154" t="str">
        <f t="shared" si="23"/>
        <v>y</v>
      </c>
      <c r="BGD1" s="154" t="str">
        <f t="shared" si="23"/>
        <v>y</v>
      </c>
      <c r="BGE1" s="154" t="str">
        <f t="shared" si="23"/>
        <v>y</v>
      </c>
      <c r="BGF1" s="154" t="str">
        <f t="shared" si="23"/>
        <v>y</v>
      </c>
      <c r="BGG1" s="154" t="str">
        <f t="shared" si="23"/>
        <v>y</v>
      </c>
      <c r="BGH1" s="154" t="str">
        <f t="shared" ref="BGH1:BIS1" si="24">BGH2&amp;"y"</f>
        <v>y</v>
      </c>
      <c r="BGI1" s="154" t="str">
        <f t="shared" si="24"/>
        <v>y</v>
      </c>
      <c r="BGJ1" s="154" t="str">
        <f t="shared" si="24"/>
        <v>y</v>
      </c>
      <c r="BGK1" s="154" t="str">
        <f t="shared" si="24"/>
        <v>y</v>
      </c>
      <c r="BGL1" s="154" t="str">
        <f t="shared" si="24"/>
        <v>y</v>
      </c>
      <c r="BGM1" s="154" t="str">
        <f t="shared" si="24"/>
        <v>y</v>
      </c>
      <c r="BGN1" s="154" t="str">
        <f t="shared" si="24"/>
        <v>y</v>
      </c>
      <c r="BGO1" s="154" t="str">
        <f t="shared" si="24"/>
        <v>y</v>
      </c>
      <c r="BGP1" s="154" t="str">
        <f t="shared" si="24"/>
        <v>y</v>
      </c>
      <c r="BGQ1" s="154" t="str">
        <f t="shared" si="24"/>
        <v>y</v>
      </c>
      <c r="BGR1" s="154" t="str">
        <f t="shared" si="24"/>
        <v>y</v>
      </c>
      <c r="BGS1" s="154" t="str">
        <f t="shared" si="24"/>
        <v>y</v>
      </c>
      <c r="BGT1" s="154" t="str">
        <f t="shared" si="24"/>
        <v>y</v>
      </c>
      <c r="BGU1" s="154" t="str">
        <f t="shared" si="24"/>
        <v>y</v>
      </c>
      <c r="BGV1" s="154" t="str">
        <f t="shared" si="24"/>
        <v>y</v>
      </c>
      <c r="BGW1" s="154" t="str">
        <f t="shared" si="24"/>
        <v>y</v>
      </c>
      <c r="BGX1" s="154" t="str">
        <f t="shared" si="24"/>
        <v>y</v>
      </c>
      <c r="BGY1" s="154" t="str">
        <f t="shared" si="24"/>
        <v>y</v>
      </c>
      <c r="BGZ1" s="154" t="str">
        <f t="shared" si="24"/>
        <v>y</v>
      </c>
      <c r="BHA1" s="154" t="str">
        <f t="shared" si="24"/>
        <v>y</v>
      </c>
      <c r="BHB1" s="154" t="str">
        <f t="shared" si="24"/>
        <v>y</v>
      </c>
      <c r="BHC1" s="154" t="str">
        <f t="shared" si="24"/>
        <v>y</v>
      </c>
      <c r="BHD1" s="154" t="str">
        <f t="shared" si="24"/>
        <v>y</v>
      </c>
      <c r="BHE1" s="154" t="str">
        <f t="shared" si="24"/>
        <v>y</v>
      </c>
      <c r="BHF1" s="154" t="str">
        <f t="shared" si="24"/>
        <v>y</v>
      </c>
      <c r="BHG1" s="154" t="str">
        <f t="shared" si="24"/>
        <v>y</v>
      </c>
      <c r="BHH1" s="154" t="str">
        <f t="shared" si="24"/>
        <v>y</v>
      </c>
      <c r="BHI1" s="154" t="str">
        <f t="shared" si="24"/>
        <v>y</v>
      </c>
      <c r="BHJ1" s="154" t="str">
        <f t="shared" si="24"/>
        <v>y</v>
      </c>
      <c r="BHK1" s="154" t="str">
        <f t="shared" si="24"/>
        <v>y</v>
      </c>
      <c r="BHL1" s="154" t="str">
        <f t="shared" si="24"/>
        <v>y</v>
      </c>
      <c r="BHM1" s="154" t="str">
        <f t="shared" si="24"/>
        <v>y</v>
      </c>
      <c r="BHN1" s="154" t="str">
        <f t="shared" si="24"/>
        <v>y</v>
      </c>
      <c r="BHO1" s="154" t="str">
        <f t="shared" si="24"/>
        <v>y</v>
      </c>
      <c r="BHP1" s="154" t="str">
        <f t="shared" si="24"/>
        <v>y</v>
      </c>
      <c r="BHQ1" s="154" t="str">
        <f t="shared" si="24"/>
        <v>y</v>
      </c>
      <c r="BHR1" s="154" t="str">
        <f t="shared" si="24"/>
        <v>y</v>
      </c>
      <c r="BHS1" s="154" t="str">
        <f t="shared" si="24"/>
        <v>y</v>
      </c>
      <c r="BHT1" s="154" t="str">
        <f t="shared" si="24"/>
        <v>y</v>
      </c>
      <c r="BHU1" s="154" t="str">
        <f t="shared" si="24"/>
        <v>y</v>
      </c>
      <c r="BHV1" s="154" t="str">
        <f t="shared" si="24"/>
        <v>y</v>
      </c>
      <c r="BHW1" s="154" t="str">
        <f t="shared" si="24"/>
        <v>y</v>
      </c>
      <c r="BHX1" s="154" t="str">
        <f t="shared" si="24"/>
        <v>y</v>
      </c>
      <c r="BHY1" s="154" t="str">
        <f t="shared" si="24"/>
        <v>y</v>
      </c>
      <c r="BHZ1" s="154" t="str">
        <f t="shared" si="24"/>
        <v>y</v>
      </c>
      <c r="BIA1" s="154" t="str">
        <f t="shared" si="24"/>
        <v>y</v>
      </c>
      <c r="BIB1" s="154" t="str">
        <f t="shared" si="24"/>
        <v>y</v>
      </c>
      <c r="BIC1" s="154" t="str">
        <f t="shared" si="24"/>
        <v>y</v>
      </c>
      <c r="BID1" s="154" t="str">
        <f t="shared" si="24"/>
        <v>y</v>
      </c>
      <c r="BIE1" s="154" t="str">
        <f t="shared" si="24"/>
        <v>y</v>
      </c>
      <c r="BIF1" s="154" t="str">
        <f t="shared" si="24"/>
        <v>y</v>
      </c>
      <c r="BIG1" s="154" t="str">
        <f t="shared" si="24"/>
        <v>y</v>
      </c>
      <c r="BIH1" s="154" t="str">
        <f t="shared" si="24"/>
        <v>y</v>
      </c>
      <c r="BII1" s="154" t="str">
        <f t="shared" si="24"/>
        <v>y</v>
      </c>
      <c r="BIJ1" s="154" t="str">
        <f t="shared" si="24"/>
        <v>y</v>
      </c>
      <c r="BIK1" s="154" t="str">
        <f t="shared" si="24"/>
        <v>y</v>
      </c>
      <c r="BIL1" s="154" t="str">
        <f t="shared" si="24"/>
        <v>y</v>
      </c>
      <c r="BIM1" s="154" t="str">
        <f t="shared" si="24"/>
        <v>y</v>
      </c>
      <c r="BIN1" s="154" t="str">
        <f t="shared" si="24"/>
        <v>y</v>
      </c>
      <c r="BIO1" s="154" t="str">
        <f t="shared" si="24"/>
        <v>y</v>
      </c>
      <c r="BIP1" s="154" t="str">
        <f t="shared" si="24"/>
        <v>y</v>
      </c>
      <c r="BIQ1" s="154" t="str">
        <f t="shared" si="24"/>
        <v>y</v>
      </c>
      <c r="BIR1" s="154" t="str">
        <f t="shared" si="24"/>
        <v>y</v>
      </c>
      <c r="BIS1" s="154" t="str">
        <f t="shared" si="24"/>
        <v>y</v>
      </c>
      <c r="BIT1" s="154" t="str">
        <f t="shared" ref="BIT1:BLE1" si="25">BIT2&amp;"y"</f>
        <v>y</v>
      </c>
      <c r="BIU1" s="154" t="str">
        <f t="shared" si="25"/>
        <v>y</v>
      </c>
      <c r="BIV1" s="154" t="str">
        <f t="shared" si="25"/>
        <v>y</v>
      </c>
      <c r="BIW1" s="154" t="str">
        <f t="shared" si="25"/>
        <v>y</v>
      </c>
      <c r="BIX1" s="154" t="str">
        <f t="shared" si="25"/>
        <v>y</v>
      </c>
      <c r="BIY1" s="154" t="str">
        <f t="shared" si="25"/>
        <v>y</v>
      </c>
      <c r="BIZ1" s="154" t="str">
        <f t="shared" si="25"/>
        <v>y</v>
      </c>
      <c r="BJA1" s="154" t="str">
        <f t="shared" si="25"/>
        <v>y</v>
      </c>
      <c r="BJB1" s="154" t="str">
        <f t="shared" si="25"/>
        <v>y</v>
      </c>
      <c r="BJC1" s="154" t="str">
        <f t="shared" si="25"/>
        <v>y</v>
      </c>
      <c r="BJD1" s="154" t="str">
        <f t="shared" si="25"/>
        <v>y</v>
      </c>
      <c r="BJE1" s="154" t="str">
        <f t="shared" si="25"/>
        <v>y</v>
      </c>
      <c r="BJF1" s="154" t="str">
        <f t="shared" si="25"/>
        <v>y</v>
      </c>
      <c r="BJG1" s="154" t="str">
        <f t="shared" si="25"/>
        <v>y</v>
      </c>
      <c r="BJH1" s="154" t="str">
        <f t="shared" si="25"/>
        <v>y</v>
      </c>
      <c r="BJI1" s="154" t="str">
        <f t="shared" si="25"/>
        <v>y</v>
      </c>
      <c r="BJJ1" s="154" t="str">
        <f t="shared" si="25"/>
        <v>y</v>
      </c>
      <c r="BJK1" s="154" t="str">
        <f t="shared" si="25"/>
        <v>y</v>
      </c>
      <c r="BJL1" s="154" t="str">
        <f t="shared" si="25"/>
        <v>y</v>
      </c>
      <c r="BJM1" s="154" t="str">
        <f t="shared" si="25"/>
        <v>y</v>
      </c>
      <c r="BJN1" s="154" t="str">
        <f t="shared" si="25"/>
        <v>y</v>
      </c>
      <c r="BJO1" s="154" t="str">
        <f t="shared" si="25"/>
        <v>y</v>
      </c>
      <c r="BJP1" s="154" t="str">
        <f t="shared" si="25"/>
        <v>y</v>
      </c>
      <c r="BJQ1" s="154" t="str">
        <f t="shared" si="25"/>
        <v>y</v>
      </c>
      <c r="BJR1" s="154" t="str">
        <f t="shared" si="25"/>
        <v>y</v>
      </c>
      <c r="BJS1" s="154" t="str">
        <f t="shared" si="25"/>
        <v>y</v>
      </c>
      <c r="BJT1" s="154" t="str">
        <f t="shared" si="25"/>
        <v>y</v>
      </c>
      <c r="BJU1" s="154" t="str">
        <f t="shared" si="25"/>
        <v>y</v>
      </c>
      <c r="BJV1" s="154" t="str">
        <f t="shared" si="25"/>
        <v>y</v>
      </c>
      <c r="BJW1" s="154" t="str">
        <f t="shared" si="25"/>
        <v>y</v>
      </c>
      <c r="BJX1" s="154" t="str">
        <f t="shared" si="25"/>
        <v>y</v>
      </c>
      <c r="BJY1" s="154" t="str">
        <f t="shared" si="25"/>
        <v>y</v>
      </c>
      <c r="BJZ1" s="154" t="str">
        <f t="shared" si="25"/>
        <v>y</v>
      </c>
      <c r="BKA1" s="154" t="str">
        <f t="shared" si="25"/>
        <v>y</v>
      </c>
      <c r="BKB1" s="154" t="str">
        <f t="shared" si="25"/>
        <v>y</v>
      </c>
      <c r="BKC1" s="154" t="str">
        <f t="shared" si="25"/>
        <v>y</v>
      </c>
      <c r="BKD1" s="154" t="str">
        <f t="shared" si="25"/>
        <v>y</v>
      </c>
      <c r="BKE1" s="154" t="str">
        <f t="shared" si="25"/>
        <v>y</v>
      </c>
      <c r="BKF1" s="154" t="str">
        <f t="shared" si="25"/>
        <v>y</v>
      </c>
      <c r="BKG1" s="154" t="str">
        <f t="shared" si="25"/>
        <v>y</v>
      </c>
      <c r="BKH1" s="154" t="str">
        <f t="shared" si="25"/>
        <v>y</v>
      </c>
      <c r="BKI1" s="154" t="str">
        <f t="shared" si="25"/>
        <v>y</v>
      </c>
      <c r="BKJ1" s="154" t="str">
        <f t="shared" si="25"/>
        <v>y</v>
      </c>
      <c r="BKK1" s="154" t="str">
        <f t="shared" si="25"/>
        <v>y</v>
      </c>
      <c r="BKL1" s="154" t="str">
        <f t="shared" si="25"/>
        <v>y</v>
      </c>
      <c r="BKM1" s="154" t="str">
        <f t="shared" si="25"/>
        <v>y</v>
      </c>
      <c r="BKN1" s="154" t="str">
        <f t="shared" si="25"/>
        <v>y</v>
      </c>
      <c r="BKO1" s="154" t="str">
        <f t="shared" si="25"/>
        <v>y</v>
      </c>
      <c r="BKP1" s="154" t="str">
        <f t="shared" si="25"/>
        <v>y</v>
      </c>
      <c r="BKQ1" s="154" t="str">
        <f t="shared" si="25"/>
        <v>y</v>
      </c>
      <c r="BKR1" s="154" t="str">
        <f t="shared" si="25"/>
        <v>y</v>
      </c>
      <c r="BKS1" s="154" t="str">
        <f t="shared" si="25"/>
        <v>y</v>
      </c>
      <c r="BKT1" s="154" t="str">
        <f t="shared" si="25"/>
        <v>y</v>
      </c>
      <c r="BKU1" s="154" t="str">
        <f t="shared" si="25"/>
        <v>y</v>
      </c>
      <c r="BKV1" s="154" t="str">
        <f t="shared" si="25"/>
        <v>y</v>
      </c>
      <c r="BKW1" s="154" t="str">
        <f t="shared" si="25"/>
        <v>y</v>
      </c>
      <c r="BKX1" s="154" t="str">
        <f t="shared" si="25"/>
        <v>y</v>
      </c>
      <c r="BKY1" s="154" t="str">
        <f t="shared" si="25"/>
        <v>y</v>
      </c>
      <c r="BKZ1" s="154" t="str">
        <f t="shared" si="25"/>
        <v>y</v>
      </c>
      <c r="BLA1" s="154" t="str">
        <f t="shared" si="25"/>
        <v>y</v>
      </c>
      <c r="BLB1" s="154" t="str">
        <f t="shared" si="25"/>
        <v>y</v>
      </c>
      <c r="BLC1" s="154" t="str">
        <f t="shared" si="25"/>
        <v>y</v>
      </c>
      <c r="BLD1" s="154" t="str">
        <f t="shared" si="25"/>
        <v>y</v>
      </c>
      <c r="BLE1" s="154" t="str">
        <f t="shared" si="25"/>
        <v>y</v>
      </c>
      <c r="BLF1" s="154" t="str">
        <f t="shared" ref="BLF1:BNQ1" si="26">BLF2&amp;"y"</f>
        <v>y</v>
      </c>
      <c r="BLG1" s="154" t="str">
        <f t="shared" si="26"/>
        <v>y</v>
      </c>
      <c r="BLH1" s="154" t="str">
        <f t="shared" si="26"/>
        <v>y</v>
      </c>
      <c r="BLI1" s="154" t="str">
        <f t="shared" si="26"/>
        <v>y</v>
      </c>
      <c r="BLJ1" s="154" t="str">
        <f t="shared" si="26"/>
        <v>y</v>
      </c>
      <c r="BLK1" s="154" t="str">
        <f t="shared" si="26"/>
        <v>y</v>
      </c>
      <c r="BLL1" s="154" t="str">
        <f t="shared" si="26"/>
        <v>y</v>
      </c>
      <c r="BLM1" s="154" t="str">
        <f t="shared" si="26"/>
        <v>y</v>
      </c>
      <c r="BLN1" s="154" t="str">
        <f t="shared" si="26"/>
        <v>y</v>
      </c>
      <c r="BLO1" s="154" t="str">
        <f t="shared" si="26"/>
        <v>y</v>
      </c>
      <c r="BLP1" s="154" t="str">
        <f t="shared" si="26"/>
        <v>y</v>
      </c>
      <c r="BLQ1" s="154" t="str">
        <f t="shared" si="26"/>
        <v>y</v>
      </c>
      <c r="BLR1" s="154" t="str">
        <f t="shared" si="26"/>
        <v>y</v>
      </c>
      <c r="BLS1" s="154" t="str">
        <f t="shared" si="26"/>
        <v>y</v>
      </c>
      <c r="BLT1" s="154" t="str">
        <f t="shared" si="26"/>
        <v>y</v>
      </c>
      <c r="BLU1" s="154" t="str">
        <f t="shared" si="26"/>
        <v>y</v>
      </c>
      <c r="BLV1" s="154" t="str">
        <f t="shared" si="26"/>
        <v>y</v>
      </c>
      <c r="BLW1" s="154" t="str">
        <f t="shared" si="26"/>
        <v>y</v>
      </c>
      <c r="BLX1" s="154" t="str">
        <f t="shared" si="26"/>
        <v>y</v>
      </c>
      <c r="BLY1" s="154" t="str">
        <f t="shared" si="26"/>
        <v>y</v>
      </c>
      <c r="BLZ1" s="154" t="str">
        <f t="shared" si="26"/>
        <v>y</v>
      </c>
      <c r="BMA1" s="154" t="str">
        <f t="shared" si="26"/>
        <v>y</v>
      </c>
      <c r="BMB1" s="154" t="str">
        <f t="shared" si="26"/>
        <v>y</v>
      </c>
      <c r="BMC1" s="154" t="str">
        <f t="shared" si="26"/>
        <v>y</v>
      </c>
      <c r="BMD1" s="154" t="str">
        <f t="shared" si="26"/>
        <v>y</v>
      </c>
      <c r="BME1" s="154" t="str">
        <f t="shared" si="26"/>
        <v>y</v>
      </c>
      <c r="BMF1" s="154" t="str">
        <f t="shared" si="26"/>
        <v>y</v>
      </c>
      <c r="BMG1" s="154" t="str">
        <f t="shared" si="26"/>
        <v>y</v>
      </c>
      <c r="BMH1" s="154" t="str">
        <f t="shared" si="26"/>
        <v>y</v>
      </c>
      <c r="BMI1" s="154" t="str">
        <f t="shared" si="26"/>
        <v>y</v>
      </c>
      <c r="BMJ1" s="154" t="str">
        <f t="shared" si="26"/>
        <v>y</v>
      </c>
      <c r="BMK1" s="154" t="str">
        <f t="shared" si="26"/>
        <v>y</v>
      </c>
      <c r="BML1" s="154" t="str">
        <f t="shared" si="26"/>
        <v>y</v>
      </c>
      <c r="BMM1" s="154" t="str">
        <f t="shared" si="26"/>
        <v>y</v>
      </c>
      <c r="BMN1" s="154" t="str">
        <f t="shared" si="26"/>
        <v>y</v>
      </c>
      <c r="BMO1" s="154" t="str">
        <f t="shared" si="26"/>
        <v>y</v>
      </c>
      <c r="BMP1" s="154" t="str">
        <f t="shared" si="26"/>
        <v>y</v>
      </c>
      <c r="BMQ1" s="154" t="str">
        <f t="shared" si="26"/>
        <v>y</v>
      </c>
      <c r="BMR1" s="154" t="str">
        <f t="shared" si="26"/>
        <v>y</v>
      </c>
      <c r="BMS1" s="154" t="str">
        <f t="shared" si="26"/>
        <v>y</v>
      </c>
      <c r="BMT1" s="154" t="str">
        <f t="shared" si="26"/>
        <v>y</v>
      </c>
      <c r="BMU1" s="154" t="str">
        <f t="shared" si="26"/>
        <v>y</v>
      </c>
      <c r="BMV1" s="154" t="str">
        <f t="shared" si="26"/>
        <v>y</v>
      </c>
      <c r="BMW1" s="154" t="str">
        <f t="shared" si="26"/>
        <v>y</v>
      </c>
      <c r="BMX1" s="154" t="str">
        <f t="shared" si="26"/>
        <v>y</v>
      </c>
      <c r="BMY1" s="154" t="str">
        <f t="shared" si="26"/>
        <v>y</v>
      </c>
      <c r="BMZ1" s="154" t="str">
        <f t="shared" si="26"/>
        <v>y</v>
      </c>
      <c r="BNA1" s="154" t="str">
        <f t="shared" si="26"/>
        <v>y</v>
      </c>
      <c r="BNB1" s="154" t="str">
        <f t="shared" si="26"/>
        <v>y</v>
      </c>
      <c r="BNC1" s="154" t="str">
        <f t="shared" si="26"/>
        <v>y</v>
      </c>
      <c r="BND1" s="154" t="str">
        <f t="shared" si="26"/>
        <v>y</v>
      </c>
      <c r="BNE1" s="154" t="str">
        <f t="shared" si="26"/>
        <v>y</v>
      </c>
      <c r="BNF1" s="154" t="str">
        <f t="shared" si="26"/>
        <v>y</v>
      </c>
      <c r="BNG1" s="154" t="str">
        <f t="shared" si="26"/>
        <v>y</v>
      </c>
      <c r="BNH1" s="154" t="str">
        <f t="shared" si="26"/>
        <v>y</v>
      </c>
      <c r="BNI1" s="154" t="str">
        <f t="shared" si="26"/>
        <v>y</v>
      </c>
      <c r="BNJ1" s="154" t="str">
        <f t="shared" si="26"/>
        <v>y</v>
      </c>
      <c r="BNK1" s="154" t="str">
        <f t="shared" si="26"/>
        <v>y</v>
      </c>
      <c r="BNL1" s="154" t="str">
        <f t="shared" si="26"/>
        <v>y</v>
      </c>
      <c r="BNM1" s="154" t="str">
        <f t="shared" si="26"/>
        <v>y</v>
      </c>
      <c r="BNN1" s="154" t="str">
        <f t="shared" si="26"/>
        <v>y</v>
      </c>
      <c r="BNO1" s="154" t="str">
        <f t="shared" si="26"/>
        <v>y</v>
      </c>
      <c r="BNP1" s="154" t="str">
        <f t="shared" si="26"/>
        <v>y</v>
      </c>
      <c r="BNQ1" s="154" t="str">
        <f t="shared" si="26"/>
        <v>y</v>
      </c>
      <c r="BNR1" s="154" t="str">
        <f t="shared" ref="BNR1:BQC1" si="27">BNR2&amp;"y"</f>
        <v>y</v>
      </c>
      <c r="BNS1" s="154" t="str">
        <f t="shared" si="27"/>
        <v>y</v>
      </c>
      <c r="BNT1" s="154" t="str">
        <f t="shared" si="27"/>
        <v>y</v>
      </c>
      <c r="BNU1" s="154" t="str">
        <f t="shared" si="27"/>
        <v>y</v>
      </c>
      <c r="BNV1" s="154" t="str">
        <f t="shared" si="27"/>
        <v>y</v>
      </c>
      <c r="BNW1" s="154" t="str">
        <f t="shared" si="27"/>
        <v>y</v>
      </c>
      <c r="BNX1" s="154" t="str">
        <f t="shared" si="27"/>
        <v>y</v>
      </c>
      <c r="BNY1" s="154" t="str">
        <f t="shared" si="27"/>
        <v>y</v>
      </c>
      <c r="BNZ1" s="154" t="str">
        <f t="shared" si="27"/>
        <v>y</v>
      </c>
      <c r="BOA1" s="154" t="str">
        <f t="shared" si="27"/>
        <v>y</v>
      </c>
      <c r="BOB1" s="154" t="str">
        <f t="shared" si="27"/>
        <v>y</v>
      </c>
      <c r="BOC1" s="154" t="str">
        <f t="shared" si="27"/>
        <v>y</v>
      </c>
      <c r="BOD1" s="154" t="str">
        <f t="shared" si="27"/>
        <v>y</v>
      </c>
      <c r="BOE1" s="154" t="str">
        <f t="shared" si="27"/>
        <v>y</v>
      </c>
      <c r="BOF1" s="154" t="str">
        <f t="shared" si="27"/>
        <v>y</v>
      </c>
      <c r="BOG1" s="154" t="str">
        <f t="shared" si="27"/>
        <v>y</v>
      </c>
      <c r="BOH1" s="154" t="str">
        <f t="shared" si="27"/>
        <v>y</v>
      </c>
      <c r="BOI1" s="154" t="str">
        <f t="shared" si="27"/>
        <v>y</v>
      </c>
      <c r="BOJ1" s="154" t="str">
        <f t="shared" si="27"/>
        <v>y</v>
      </c>
      <c r="BOK1" s="154" t="str">
        <f t="shared" si="27"/>
        <v>y</v>
      </c>
      <c r="BOL1" s="154" t="str">
        <f t="shared" si="27"/>
        <v>y</v>
      </c>
      <c r="BOM1" s="154" t="str">
        <f t="shared" si="27"/>
        <v>y</v>
      </c>
      <c r="BON1" s="154" t="str">
        <f t="shared" si="27"/>
        <v>y</v>
      </c>
      <c r="BOO1" s="154" t="str">
        <f t="shared" si="27"/>
        <v>y</v>
      </c>
      <c r="BOP1" s="154" t="str">
        <f t="shared" si="27"/>
        <v>y</v>
      </c>
      <c r="BOQ1" s="154" t="str">
        <f t="shared" si="27"/>
        <v>y</v>
      </c>
      <c r="BOR1" s="154" t="str">
        <f t="shared" si="27"/>
        <v>y</v>
      </c>
      <c r="BOS1" s="154" t="str">
        <f t="shared" si="27"/>
        <v>y</v>
      </c>
      <c r="BOT1" s="154" t="str">
        <f t="shared" si="27"/>
        <v>y</v>
      </c>
      <c r="BOU1" s="154" t="str">
        <f t="shared" si="27"/>
        <v>y</v>
      </c>
      <c r="BOV1" s="154" t="str">
        <f t="shared" si="27"/>
        <v>y</v>
      </c>
      <c r="BOW1" s="154" t="str">
        <f t="shared" si="27"/>
        <v>y</v>
      </c>
      <c r="BOX1" s="154" t="str">
        <f t="shared" si="27"/>
        <v>y</v>
      </c>
      <c r="BOY1" s="154" t="str">
        <f t="shared" si="27"/>
        <v>y</v>
      </c>
      <c r="BOZ1" s="154" t="str">
        <f t="shared" si="27"/>
        <v>y</v>
      </c>
      <c r="BPA1" s="154" t="str">
        <f t="shared" si="27"/>
        <v>y</v>
      </c>
      <c r="BPB1" s="154" t="str">
        <f t="shared" si="27"/>
        <v>y</v>
      </c>
      <c r="BPC1" s="154" t="str">
        <f t="shared" si="27"/>
        <v>y</v>
      </c>
      <c r="BPD1" s="154" t="str">
        <f t="shared" si="27"/>
        <v>y</v>
      </c>
      <c r="BPE1" s="154" t="str">
        <f t="shared" si="27"/>
        <v>y</v>
      </c>
      <c r="BPF1" s="154" t="str">
        <f t="shared" si="27"/>
        <v>y</v>
      </c>
      <c r="BPG1" s="154" t="str">
        <f t="shared" si="27"/>
        <v>y</v>
      </c>
      <c r="BPH1" s="154" t="str">
        <f t="shared" si="27"/>
        <v>y</v>
      </c>
      <c r="BPI1" s="154" t="str">
        <f t="shared" si="27"/>
        <v>y</v>
      </c>
      <c r="BPJ1" s="154" t="str">
        <f t="shared" si="27"/>
        <v>y</v>
      </c>
      <c r="BPK1" s="154" t="str">
        <f t="shared" si="27"/>
        <v>y</v>
      </c>
      <c r="BPL1" s="154" t="str">
        <f t="shared" si="27"/>
        <v>y</v>
      </c>
      <c r="BPM1" s="154" t="str">
        <f t="shared" si="27"/>
        <v>y</v>
      </c>
      <c r="BPN1" s="154" t="str">
        <f t="shared" si="27"/>
        <v>y</v>
      </c>
      <c r="BPO1" s="154" t="str">
        <f t="shared" si="27"/>
        <v>y</v>
      </c>
      <c r="BPP1" s="154" t="str">
        <f t="shared" si="27"/>
        <v>y</v>
      </c>
      <c r="BPQ1" s="154" t="str">
        <f t="shared" si="27"/>
        <v>y</v>
      </c>
      <c r="BPR1" s="154" t="str">
        <f t="shared" si="27"/>
        <v>y</v>
      </c>
      <c r="BPS1" s="154" t="str">
        <f t="shared" si="27"/>
        <v>y</v>
      </c>
      <c r="BPT1" s="154" t="str">
        <f t="shared" si="27"/>
        <v>y</v>
      </c>
      <c r="BPU1" s="154" t="str">
        <f t="shared" si="27"/>
        <v>y</v>
      </c>
      <c r="BPV1" s="154" t="str">
        <f t="shared" si="27"/>
        <v>y</v>
      </c>
      <c r="BPW1" s="154" t="str">
        <f t="shared" si="27"/>
        <v>y</v>
      </c>
      <c r="BPX1" s="154" t="str">
        <f t="shared" si="27"/>
        <v>y</v>
      </c>
      <c r="BPY1" s="154" t="str">
        <f t="shared" si="27"/>
        <v>y</v>
      </c>
      <c r="BPZ1" s="154" t="str">
        <f t="shared" si="27"/>
        <v>y</v>
      </c>
      <c r="BQA1" s="154" t="str">
        <f t="shared" si="27"/>
        <v>y</v>
      </c>
      <c r="BQB1" s="154" t="str">
        <f t="shared" si="27"/>
        <v>y</v>
      </c>
      <c r="BQC1" s="154" t="str">
        <f t="shared" si="27"/>
        <v>y</v>
      </c>
      <c r="BQD1" s="154" t="str">
        <f t="shared" ref="BQD1:BSO1" si="28">BQD2&amp;"y"</f>
        <v>y</v>
      </c>
      <c r="BQE1" s="154" t="str">
        <f t="shared" si="28"/>
        <v>y</v>
      </c>
      <c r="BQF1" s="154" t="str">
        <f t="shared" si="28"/>
        <v>y</v>
      </c>
      <c r="BQG1" s="154" t="str">
        <f t="shared" si="28"/>
        <v>y</v>
      </c>
      <c r="BQH1" s="154" t="str">
        <f t="shared" si="28"/>
        <v>y</v>
      </c>
      <c r="BQI1" s="154" t="str">
        <f t="shared" si="28"/>
        <v>y</v>
      </c>
      <c r="BQJ1" s="154" t="str">
        <f t="shared" si="28"/>
        <v>y</v>
      </c>
      <c r="BQK1" s="154" t="str">
        <f t="shared" si="28"/>
        <v>y</v>
      </c>
      <c r="BQL1" s="154" t="str">
        <f t="shared" si="28"/>
        <v>y</v>
      </c>
      <c r="BQM1" s="154" t="str">
        <f t="shared" si="28"/>
        <v>y</v>
      </c>
      <c r="BQN1" s="154" t="str">
        <f t="shared" si="28"/>
        <v>y</v>
      </c>
      <c r="BQO1" s="154" t="str">
        <f t="shared" si="28"/>
        <v>y</v>
      </c>
      <c r="BQP1" s="154" t="str">
        <f t="shared" si="28"/>
        <v>y</v>
      </c>
      <c r="BQQ1" s="154" t="str">
        <f t="shared" si="28"/>
        <v>y</v>
      </c>
      <c r="BQR1" s="154" t="str">
        <f t="shared" si="28"/>
        <v>y</v>
      </c>
      <c r="BQS1" s="154" t="str">
        <f t="shared" si="28"/>
        <v>y</v>
      </c>
      <c r="BQT1" s="154" t="str">
        <f t="shared" si="28"/>
        <v>y</v>
      </c>
      <c r="BQU1" s="154" t="str">
        <f t="shared" si="28"/>
        <v>y</v>
      </c>
      <c r="BQV1" s="154" t="str">
        <f t="shared" si="28"/>
        <v>y</v>
      </c>
      <c r="BQW1" s="154" t="str">
        <f t="shared" si="28"/>
        <v>y</v>
      </c>
      <c r="BQX1" s="154" t="str">
        <f t="shared" si="28"/>
        <v>y</v>
      </c>
      <c r="BQY1" s="154" t="str">
        <f t="shared" si="28"/>
        <v>y</v>
      </c>
      <c r="BQZ1" s="154" t="str">
        <f t="shared" si="28"/>
        <v>y</v>
      </c>
      <c r="BRA1" s="154" t="str">
        <f t="shared" si="28"/>
        <v>y</v>
      </c>
      <c r="BRB1" s="154" t="str">
        <f t="shared" si="28"/>
        <v>y</v>
      </c>
      <c r="BRC1" s="154" t="str">
        <f t="shared" si="28"/>
        <v>y</v>
      </c>
      <c r="BRD1" s="154" t="str">
        <f t="shared" si="28"/>
        <v>y</v>
      </c>
      <c r="BRE1" s="154" t="str">
        <f t="shared" si="28"/>
        <v>y</v>
      </c>
      <c r="BRF1" s="154" t="str">
        <f t="shared" si="28"/>
        <v>y</v>
      </c>
      <c r="BRG1" s="154" t="str">
        <f t="shared" si="28"/>
        <v>y</v>
      </c>
      <c r="BRH1" s="154" t="str">
        <f t="shared" si="28"/>
        <v>y</v>
      </c>
      <c r="BRI1" s="154" t="str">
        <f t="shared" si="28"/>
        <v>y</v>
      </c>
      <c r="BRJ1" s="154" t="str">
        <f t="shared" si="28"/>
        <v>y</v>
      </c>
      <c r="BRK1" s="154" t="str">
        <f t="shared" si="28"/>
        <v>y</v>
      </c>
      <c r="BRL1" s="154" t="str">
        <f t="shared" si="28"/>
        <v>y</v>
      </c>
      <c r="BRM1" s="154" t="str">
        <f t="shared" si="28"/>
        <v>y</v>
      </c>
      <c r="BRN1" s="154" t="str">
        <f t="shared" si="28"/>
        <v>y</v>
      </c>
      <c r="BRO1" s="154" t="str">
        <f t="shared" si="28"/>
        <v>y</v>
      </c>
      <c r="BRP1" s="154" t="str">
        <f t="shared" si="28"/>
        <v>y</v>
      </c>
      <c r="BRQ1" s="154" t="str">
        <f t="shared" si="28"/>
        <v>y</v>
      </c>
      <c r="BRR1" s="154" t="str">
        <f t="shared" si="28"/>
        <v>y</v>
      </c>
      <c r="BRS1" s="154" t="str">
        <f t="shared" si="28"/>
        <v>y</v>
      </c>
      <c r="BRT1" s="154" t="str">
        <f t="shared" si="28"/>
        <v>y</v>
      </c>
      <c r="BRU1" s="154" t="str">
        <f t="shared" si="28"/>
        <v>y</v>
      </c>
      <c r="BRV1" s="154" t="str">
        <f t="shared" si="28"/>
        <v>y</v>
      </c>
      <c r="BRW1" s="154" t="str">
        <f t="shared" si="28"/>
        <v>y</v>
      </c>
      <c r="BRX1" s="154" t="str">
        <f t="shared" si="28"/>
        <v>y</v>
      </c>
      <c r="BRY1" s="154" t="str">
        <f t="shared" si="28"/>
        <v>y</v>
      </c>
      <c r="BRZ1" s="154" t="str">
        <f t="shared" si="28"/>
        <v>y</v>
      </c>
      <c r="BSA1" s="154" t="str">
        <f t="shared" si="28"/>
        <v>y</v>
      </c>
      <c r="BSB1" s="154" t="str">
        <f t="shared" si="28"/>
        <v>y</v>
      </c>
      <c r="BSC1" s="154" t="str">
        <f t="shared" si="28"/>
        <v>y</v>
      </c>
      <c r="BSD1" s="154" t="str">
        <f t="shared" si="28"/>
        <v>y</v>
      </c>
      <c r="BSE1" s="154" t="str">
        <f t="shared" si="28"/>
        <v>y</v>
      </c>
      <c r="BSF1" s="154" t="str">
        <f t="shared" si="28"/>
        <v>y</v>
      </c>
      <c r="BSG1" s="154" t="str">
        <f t="shared" si="28"/>
        <v>y</v>
      </c>
      <c r="BSH1" s="154" t="str">
        <f t="shared" si="28"/>
        <v>y</v>
      </c>
      <c r="BSI1" s="154" t="str">
        <f t="shared" si="28"/>
        <v>y</v>
      </c>
      <c r="BSJ1" s="154" t="str">
        <f t="shared" si="28"/>
        <v>y</v>
      </c>
      <c r="BSK1" s="154" t="str">
        <f t="shared" si="28"/>
        <v>y</v>
      </c>
      <c r="BSL1" s="154" t="str">
        <f t="shared" si="28"/>
        <v>y</v>
      </c>
      <c r="BSM1" s="154" t="str">
        <f t="shared" si="28"/>
        <v>y</v>
      </c>
      <c r="BSN1" s="154" t="str">
        <f t="shared" si="28"/>
        <v>y</v>
      </c>
      <c r="BSO1" s="154" t="str">
        <f t="shared" si="28"/>
        <v>y</v>
      </c>
      <c r="BSP1" s="154" t="str">
        <f t="shared" ref="BSP1:BVA1" si="29">BSP2&amp;"y"</f>
        <v>y</v>
      </c>
      <c r="BSQ1" s="154" t="str">
        <f t="shared" si="29"/>
        <v>y</v>
      </c>
      <c r="BSR1" s="154" t="str">
        <f t="shared" si="29"/>
        <v>y</v>
      </c>
      <c r="BSS1" s="154" t="str">
        <f t="shared" si="29"/>
        <v>y</v>
      </c>
      <c r="BST1" s="154" t="str">
        <f t="shared" si="29"/>
        <v>y</v>
      </c>
      <c r="BSU1" s="154" t="str">
        <f t="shared" si="29"/>
        <v>y</v>
      </c>
      <c r="BSV1" s="154" t="str">
        <f t="shared" si="29"/>
        <v>y</v>
      </c>
      <c r="BSW1" s="154" t="str">
        <f t="shared" si="29"/>
        <v>y</v>
      </c>
      <c r="BSX1" s="154" t="str">
        <f t="shared" si="29"/>
        <v>y</v>
      </c>
      <c r="BSY1" s="154" t="str">
        <f t="shared" si="29"/>
        <v>y</v>
      </c>
      <c r="BSZ1" s="154" t="str">
        <f t="shared" si="29"/>
        <v>y</v>
      </c>
      <c r="BTA1" s="154" t="str">
        <f t="shared" si="29"/>
        <v>y</v>
      </c>
      <c r="BTB1" s="154" t="str">
        <f t="shared" si="29"/>
        <v>y</v>
      </c>
      <c r="BTC1" s="154" t="str">
        <f t="shared" si="29"/>
        <v>y</v>
      </c>
      <c r="BTD1" s="154" t="str">
        <f t="shared" si="29"/>
        <v>y</v>
      </c>
      <c r="BTE1" s="154" t="str">
        <f t="shared" si="29"/>
        <v>y</v>
      </c>
      <c r="BTF1" s="154" t="str">
        <f t="shared" si="29"/>
        <v>y</v>
      </c>
      <c r="BTG1" s="154" t="str">
        <f t="shared" si="29"/>
        <v>y</v>
      </c>
      <c r="BTH1" s="154" t="str">
        <f t="shared" si="29"/>
        <v>y</v>
      </c>
      <c r="BTI1" s="154" t="str">
        <f t="shared" si="29"/>
        <v>y</v>
      </c>
      <c r="BTJ1" s="154" t="str">
        <f t="shared" si="29"/>
        <v>y</v>
      </c>
      <c r="BTK1" s="154" t="str">
        <f t="shared" si="29"/>
        <v>y</v>
      </c>
      <c r="BTL1" s="154" t="str">
        <f t="shared" si="29"/>
        <v>y</v>
      </c>
      <c r="BTM1" s="154" t="str">
        <f t="shared" si="29"/>
        <v>y</v>
      </c>
      <c r="BTN1" s="154" t="str">
        <f t="shared" si="29"/>
        <v>y</v>
      </c>
      <c r="BTO1" s="154" t="str">
        <f t="shared" si="29"/>
        <v>y</v>
      </c>
      <c r="BTP1" s="154" t="str">
        <f t="shared" si="29"/>
        <v>y</v>
      </c>
      <c r="BTQ1" s="154" t="str">
        <f t="shared" si="29"/>
        <v>y</v>
      </c>
      <c r="BTR1" s="154" t="str">
        <f t="shared" si="29"/>
        <v>y</v>
      </c>
      <c r="BTS1" s="154" t="str">
        <f t="shared" si="29"/>
        <v>y</v>
      </c>
      <c r="BTT1" s="154" t="str">
        <f t="shared" si="29"/>
        <v>y</v>
      </c>
      <c r="BTU1" s="154" t="str">
        <f t="shared" si="29"/>
        <v>y</v>
      </c>
      <c r="BTV1" s="154" t="str">
        <f t="shared" si="29"/>
        <v>y</v>
      </c>
      <c r="BTW1" s="154" t="str">
        <f t="shared" si="29"/>
        <v>y</v>
      </c>
      <c r="BTX1" s="154" t="str">
        <f t="shared" si="29"/>
        <v>y</v>
      </c>
      <c r="BTY1" s="154" t="str">
        <f t="shared" si="29"/>
        <v>y</v>
      </c>
      <c r="BTZ1" s="154" t="str">
        <f t="shared" si="29"/>
        <v>y</v>
      </c>
      <c r="BUA1" s="154" t="str">
        <f t="shared" si="29"/>
        <v>y</v>
      </c>
      <c r="BUB1" s="154" t="str">
        <f t="shared" si="29"/>
        <v>y</v>
      </c>
      <c r="BUC1" s="154" t="str">
        <f t="shared" si="29"/>
        <v>y</v>
      </c>
      <c r="BUD1" s="154" t="str">
        <f t="shared" si="29"/>
        <v>y</v>
      </c>
      <c r="BUE1" s="154" t="str">
        <f t="shared" si="29"/>
        <v>y</v>
      </c>
      <c r="BUF1" s="154" t="str">
        <f t="shared" si="29"/>
        <v>y</v>
      </c>
      <c r="BUG1" s="154" t="str">
        <f t="shared" si="29"/>
        <v>y</v>
      </c>
      <c r="BUH1" s="154" t="str">
        <f t="shared" si="29"/>
        <v>y</v>
      </c>
      <c r="BUI1" s="154" t="str">
        <f t="shared" si="29"/>
        <v>y</v>
      </c>
      <c r="BUJ1" s="154" t="str">
        <f t="shared" si="29"/>
        <v>y</v>
      </c>
      <c r="BUK1" s="154" t="str">
        <f t="shared" si="29"/>
        <v>y</v>
      </c>
      <c r="BUL1" s="154" t="str">
        <f t="shared" si="29"/>
        <v>y</v>
      </c>
      <c r="BUM1" s="154" t="str">
        <f t="shared" si="29"/>
        <v>y</v>
      </c>
      <c r="BUN1" s="154" t="str">
        <f t="shared" si="29"/>
        <v>y</v>
      </c>
      <c r="BUO1" s="154" t="str">
        <f t="shared" si="29"/>
        <v>y</v>
      </c>
      <c r="BUP1" s="154" t="str">
        <f t="shared" si="29"/>
        <v>y</v>
      </c>
      <c r="BUQ1" s="154" t="str">
        <f t="shared" si="29"/>
        <v>y</v>
      </c>
      <c r="BUR1" s="154" t="str">
        <f t="shared" si="29"/>
        <v>y</v>
      </c>
      <c r="BUS1" s="154" t="str">
        <f t="shared" si="29"/>
        <v>y</v>
      </c>
      <c r="BUT1" s="154" t="str">
        <f t="shared" si="29"/>
        <v>y</v>
      </c>
      <c r="BUU1" s="154" t="str">
        <f t="shared" si="29"/>
        <v>y</v>
      </c>
      <c r="BUV1" s="154" t="str">
        <f t="shared" si="29"/>
        <v>y</v>
      </c>
      <c r="BUW1" s="154" t="str">
        <f t="shared" si="29"/>
        <v>y</v>
      </c>
      <c r="BUX1" s="154" t="str">
        <f t="shared" si="29"/>
        <v>y</v>
      </c>
      <c r="BUY1" s="154" t="str">
        <f t="shared" si="29"/>
        <v>y</v>
      </c>
      <c r="BUZ1" s="154" t="str">
        <f t="shared" si="29"/>
        <v>y</v>
      </c>
      <c r="BVA1" s="154" t="str">
        <f t="shared" si="29"/>
        <v>y</v>
      </c>
      <c r="BVB1" s="154" t="str">
        <f t="shared" ref="BVB1:BXM1" si="30">BVB2&amp;"y"</f>
        <v>y</v>
      </c>
      <c r="BVC1" s="154" t="str">
        <f t="shared" si="30"/>
        <v>y</v>
      </c>
      <c r="BVD1" s="154" t="str">
        <f t="shared" si="30"/>
        <v>y</v>
      </c>
      <c r="BVE1" s="154" t="str">
        <f t="shared" si="30"/>
        <v>y</v>
      </c>
      <c r="BVF1" s="154" t="str">
        <f t="shared" si="30"/>
        <v>y</v>
      </c>
      <c r="BVG1" s="154" t="str">
        <f t="shared" si="30"/>
        <v>y</v>
      </c>
      <c r="BVH1" s="154" t="str">
        <f t="shared" si="30"/>
        <v>y</v>
      </c>
      <c r="BVI1" s="154" t="str">
        <f t="shared" si="30"/>
        <v>y</v>
      </c>
      <c r="BVJ1" s="154" t="str">
        <f t="shared" si="30"/>
        <v>y</v>
      </c>
      <c r="BVK1" s="154" t="str">
        <f t="shared" si="30"/>
        <v>y</v>
      </c>
      <c r="BVL1" s="154" t="str">
        <f t="shared" si="30"/>
        <v>y</v>
      </c>
      <c r="BVM1" s="154" t="str">
        <f t="shared" si="30"/>
        <v>y</v>
      </c>
      <c r="BVN1" s="154" t="str">
        <f t="shared" si="30"/>
        <v>y</v>
      </c>
      <c r="BVO1" s="154" t="str">
        <f t="shared" si="30"/>
        <v>y</v>
      </c>
      <c r="BVP1" s="154" t="str">
        <f t="shared" si="30"/>
        <v>y</v>
      </c>
      <c r="BVQ1" s="154" t="str">
        <f t="shared" si="30"/>
        <v>y</v>
      </c>
      <c r="BVR1" s="154" t="str">
        <f t="shared" si="30"/>
        <v>y</v>
      </c>
      <c r="BVS1" s="154" t="str">
        <f t="shared" si="30"/>
        <v>y</v>
      </c>
      <c r="BVT1" s="154" t="str">
        <f t="shared" si="30"/>
        <v>y</v>
      </c>
      <c r="BVU1" s="154" t="str">
        <f t="shared" si="30"/>
        <v>y</v>
      </c>
      <c r="BVV1" s="154" t="str">
        <f t="shared" si="30"/>
        <v>y</v>
      </c>
      <c r="BVW1" s="154" t="str">
        <f t="shared" si="30"/>
        <v>y</v>
      </c>
      <c r="BVX1" s="154" t="str">
        <f t="shared" si="30"/>
        <v>y</v>
      </c>
      <c r="BVY1" s="154" t="str">
        <f t="shared" si="30"/>
        <v>y</v>
      </c>
      <c r="BVZ1" s="154" t="str">
        <f t="shared" si="30"/>
        <v>y</v>
      </c>
      <c r="BWA1" s="154" t="str">
        <f t="shared" si="30"/>
        <v>y</v>
      </c>
      <c r="BWB1" s="154" t="str">
        <f t="shared" si="30"/>
        <v>y</v>
      </c>
      <c r="BWC1" s="154" t="str">
        <f t="shared" si="30"/>
        <v>y</v>
      </c>
      <c r="BWD1" s="154" t="str">
        <f t="shared" si="30"/>
        <v>y</v>
      </c>
      <c r="BWE1" s="154" t="str">
        <f t="shared" si="30"/>
        <v>y</v>
      </c>
      <c r="BWF1" s="154" t="str">
        <f t="shared" si="30"/>
        <v>y</v>
      </c>
      <c r="BWG1" s="154" t="str">
        <f t="shared" si="30"/>
        <v>y</v>
      </c>
      <c r="BWH1" s="154" t="str">
        <f t="shared" si="30"/>
        <v>y</v>
      </c>
      <c r="BWI1" s="154" t="str">
        <f t="shared" si="30"/>
        <v>y</v>
      </c>
      <c r="BWJ1" s="154" t="str">
        <f t="shared" si="30"/>
        <v>y</v>
      </c>
      <c r="BWK1" s="154" t="str">
        <f t="shared" si="30"/>
        <v>y</v>
      </c>
      <c r="BWL1" s="154" t="str">
        <f t="shared" si="30"/>
        <v>y</v>
      </c>
      <c r="BWM1" s="154" t="str">
        <f t="shared" si="30"/>
        <v>y</v>
      </c>
      <c r="BWN1" s="154" t="str">
        <f t="shared" si="30"/>
        <v>y</v>
      </c>
      <c r="BWO1" s="154" t="str">
        <f t="shared" si="30"/>
        <v>y</v>
      </c>
      <c r="BWP1" s="154" t="str">
        <f t="shared" si="30"/>
        <v>y</v>
      </c>
      <c r="BWQ1" s="154" t="str">
        <f t="shared" si="30"/>
        <v>y</v>
      </c>
      <c r="BWR1" s="154" t="str">
        <f t="shared" si="30"/>
        <v>y</v>
      </c>
      <c r="BWS1" s="154" t="str">
        <f t="shared" si="30"/>
        <v>y</v>
      </c>
      <c r="BWT1" s="154" t="str">
        <f t="shared" si="30"/>
        <v>y</v>
      </c>
      <c r="BWU1" s="154" t="str">
        <f t="shared" si="30"/>
        <v>y</v>
      </c>
      <c r="BWV1" s="154" t="str">
        <f t="shared" si="30"/>
        <v>y</v>
      </c>
      <c r="BWW1" s="154" t="str">
        <f t="shared" si="30"/>
        <v>y</v>
      </c>
      <c r="BWX1" s="154" t="str">
        <f t="shared" si="30"/>
        <v>y</v>
      </c>
      <c r="BWY1" s="154" t="str">
        <f t="shared" si="30"/>
        <v>y</v>
      </c>
      <c r="BWZ1" s="154" t="str">
        <f t="shared" si="30"/>
        <v>y</v>
      </c>
      <c r="BXA1" s="154" t="str">
        <f t="shared" si="30"/>
        <v>y</v>
      </c>
      <c r="BXB1" s="154" t="str">
        <f t="shared" si="30"/>
        <v>y</v>
      </c>
      <c r="BXC1" s="154" t="str">
        <f t="shared" si="30"/>
        <v>y</v>
      </c>
      <c r="BXD1" s="154" t="str">
        <f t="shared" si="30"/>
        <v>y</v>
      </c>
      <c r="BXE1" s="154" t="str">
        <f t="shared" si="30"/>
        <v>y</v>
      </c>
      <c r="BXF1" s="154" t="str">
        <f t="shared" si="30"/>
        <v>y</v>
      </c>
      <c r="BXG1" s="154" t="str">
        <f t="shared" si="30"/>
        <v>y</v>
      </c>
      <c r="BXH1" s="154" t="str">
        <f t="shared" si="30"/>
        <v>y</v>
      </c>
      <c r="BXI1" s="154" t="str">
        <f t="shared" si="30"/>
        <v>y</v>
      </c>
      <c r="BXJ1" s="154" t="str">
        <f t="shared" si="30"/>
        <v>y</v>
      </c>
      <c r="BXK1" s="154" t="str">
        <f t="shared" si="30"/>
        <v>y</v>
      </c>
      <c r="BXL1" s="154" t="str">
        <f t="shared" si="30"/>
        <v>y</v>
      </c>
      <c r="BXM1" s="154" t="str">
        <f t="shared" si="30"/>
        <v>y</v>
      </c>
      <c r="BXN1" s="154" t="str">
        <f t="shared" ref="BXN1:BZY1" si="31">BXN2&amp;"y"</f>
        <v>y</v>
      </c>
      <c r="BXO1" s="154" t="str">
        <f t="shared" si="31"/>
        <v>y</v>
      </c>
      <c r="BXP1" s="154" t="str">
        <f t="shared" si="31"/>
        <v>y</v>
      </c>
      <c r="BXQ1" s="154" t="str">
        <f t="shared" si="31"/>
        <v>y</v>
      </c>
      <c r="BXR1" s="154" t="str">
        <f t="shared" si="31"/>
        <v>y</v>
      </c>
      <c r="BXS1" s="154" t="str">
        <f t="shared" si="31"/>
        <v>y</v>
      </c>
      <c r="BXT1" s="154" t="str">
        <f t="shared" si="31"/>
        <v>y</v>
      </c>
      <c r="BXU1" s="154" t="str">
        <f t="shared" si="31"/>
        <v>y</v>
      </c>
      <c r="BXV1" s="154" t="str">
        <f t="shared" si="31"/>
        <v>y</v>
      </c>
      <c r="BXW1" s="154" t="str">
        <f t="shared" si="31"/>
        <v>y</v>
      </c>
      <c r="BXX1" s="154" t="str">
        <f t="shared" si="31"/>
        <v>y</v>
      </c>
      <c r="BXY1" s="154" t="str">
        <f t="shared" si="31"/>
        <v>y</v>
      </c>
      <c r="BXZ1" s="154" t="str">
        <f t="shared" si="31"/>
        <v>y</v>
      </c>
      <c r="BYA1" s="154" t="str">
        <f t="shared" si="31"/>
        <v>y</v>
      </c>
      <c r="BYB1" s="154" t="str">
        <f t="shared" si="31"/>
        <v>y</v>
      </c>
      <c r="BYC1" s="154" t="str">
        <f t="shared" si="31"/>
        <v>y</v>
      </c>
      <c r="BYD1" s="154" t="str">
        <f t="shared" si="31"/>
        <v>y</v>
      </c>
      <c r="BYE1" s="154" t="str">
        <f t="shared" si="31"/>
        <v>y</v>
      </c>
      <c r="BYF1" s="154" t="str">
        <f t="shared" si="31"/>
        <v>y</v>
      </c>
      <c r="BYG1" s="154" t="str">
        <f t="shared" si="31"/>
        <v>y</v>
      </c>
      <c r="BYH1" s="154" t="str">
        <f t="shared" si="31"/>
        <v>y</v>
      </c>
      <c r="BYI1" s="154" t="str">
        <f t="shared" si="31"/>
        <v>y</v>
      </c>
      <c r="BYJ1" s="154" t="str">
        <f t="shared" si="31"/>
        <v>y</v>
      </c>
      <c r="BYK1" s="154" t="str">
        <f t="shared" si="31"/>
        <v>y</v>
      </c>
      <c r="BYL1" s="154" t="str">
        <f t="shared" si="31"/>
        <v>y</v>
      </c>
      <c r="BYM1" s="154" t="str">
        <f t="shared" si="31"/>
        <v>y</v>
      </c>
      <c r="BYN1" s="154" t="str">
        <f t="shared" si="31"/>
        <v>y</v>
      </c>
      <c r="BYO1" s="154" t="str">
        <f t="shared" si="31"/>
        <v>y</v>
      </c>
      <c r="BYP1" s="154" t="str">
        <f t="shared" si="31"/>
        <v>y</v>
      </c>
      <c r="BYQ1" s="154" t="str">
        <f t="shared" si="31"/>
        <v>y</v>
      </c>
      <c r="BYR1" s="154" t="str">
        <f t="shared" si="31"/>
        <v>y</v>
      </c>
      <c r="BYS1" s="154" t="str">
        <f t="shared" si="31"/>
        <v>y</v>
      </c>
      <c r="BYT1" s="154" t="str">
        <f t="shared" si="31"/>
        <v>y</v>
      </c>
      <c r="BYU1" s="154" t="str">
        <f t="shared" si="31"/>
        <v>y</v>
      </c>
      <c r="BYV1" s="154" t="str">
        <f t="shared" si="31"/>
        <v>y</v>
      </c>
      <c r="BYW1" s="154" t="str">
        <f t="shared" si="31"/>
        <v>y</v>
      </c>
      <c r="BYX1" s="154" t="str">
        <f t="shared" si="31"/>
        <v>y</v>
      </c>
      <c r="BYY1" s="154" t="str">
        <f t="shared" si="31"/>
        <v>y</v>
      </c>
      <c r="BYZ1" s="154" t="str">
        <f t="shared" si="31"/>
        <v>y</v>
      </c>
      <c r="BZA1" s="154" t="str">
        <f t="shared" si="31"/>
        <v>y</v>
      </c>
      <c r="BZB1" s="154" t="str">
        <f t="shared" si="31"/>
        <v>y</v>
      </c>
      <c r="BZC1" s="154" t="str">
        <f t="shared" si="31"/>
        <v>y</v>
      </c>
      <c r="BZD1" s="154" t="str">
        <f t="shared" si="31"/>
        <v>y</v>
      </c>
      <c r="BZE1" s="154" t="str">
        <f t="shared" si="31"/>
        <v>y</v>
      </c>
      <c r="BZF1" s="154" t="str">
        <f t="shared" si="31"/>
        <v>y</v>
      </c>
      <c r="BZG1" s="154" t="str">
        <f t="shared" si="31"/>
        <v>y</v>
      </c>
      <c r="BZH1" s="154" t="str">
        <f t="shared" si="31"/>
        <v>y</v>
      </c>
      <c r="BZI1" s="154" t="str">
        <f t="shared" si="31"/>
        <v>y</v>
      </c>
      <c r="BZJ1" s="154" t="str">
        <f t="shared" si="31"/>
        <v>y</v>
      </c>
      <c r="BZK1" s="154" t="str">
        <f t="shared" si="31"/>
        <v>y</v>
      </c>
      <c r="BZL1" s="154" t="str">
        <f t="shared" si="31"/>
        <v>y</v>
      </c>
      <c r="BZM1" s="154" t="str">
        <f t="shared" si="31"/>
        <v>y</v>
      </c>
      <c r="BZN1" s="154" t="str">
        <f t="shared" si="31"/>
        <v>y</v>
      </c>
      <c r="BZO1" s="154" t="str">
        <f t="shared" si="31"/>
        <v>y</v>
      </c>
      <c r="BZP1" s="154" t="str">
        <f t="shared" si="31"/>
        <v>y</v>
      </c>
      <c r="BZQ1" s="154" t="str">
        <f t="shared" si="31"/>
        <v>y</v>
      </c>
      <c r="BZR1" s="154" t="str">
        <f t="shared" si="31"/>
        <v>y</v>
      </c>
      <c r="BZS1" s="154" t="str">
        <f t="shared" si="31"/>
        <v>y</v>
      </c>
      <c r="BZT1" s="154" t="str">
        <f t="shared" si="31"/>
        <v>y</v>
      </c>
      <c r="BZU1" s="154" t="str">
        <f t="shared" si="31"/>
        <v>y</v>
      </c>
      <c r="BZV1" s="154" t="str">
        <f t="shared" si="31"/>
        <v>y</v>
      </c>
      <c r="BZW1" s="154" t="str">
        <f t="shared" si="31"/>
        <v>y</v>
      </c>
      <c r="BZX1" s="154" t="str">
        <f t="shared" si="31"/>
        <v>y</v>
      </c>
      <c r="BZY1" s="154" t="str">
        <f t="shared" si="31"/>
        <v>y</v>
      </c>
      <c r="BZZ1" s="154" t="str">
        <f t="shared" ref="BZZ1:CCK1" si="32">BZZ2&amp;"y"</f>
        <v>y</v>
      </c>
      <c r="CAA1" s="154" t="str">
        <f t="shared" si="32"/>
        <v>y</v>
      </c>
      <c r="CAB1" s="154" t="str">
        <f t="shared" si="32"/>
        <v>y</v>
      </c>
      <c r="CAC1" s="154" t="str">
        <f t="shared" si="32"/>
        <v>y</v>
      </c>
      <c r="CAD1" s="154" t="str">
        <f t="shared" si="32"/>
        <v>y</v>
      </c>
      <c r="CAE1" s="154" t="str">
        <f t="shared" si="32"/>
        <v>y</v>
      </c>
      <c r="CAF1" s="154" t="str">
        <f t="shared" si="32"/>
        <v>y</v>
      </c>
      <c r="CAG1" s="154" t="str">
        <f t="shared" si="32"/>
        <v>y</v>
      </c>
      <c r="CAH1" s="154" t="str">
        <f t="shared" si="32"/>
        <v>y</v>
      </c>
      <c r="CAI1" s="154" t="str">
        <f t="shared" si="32"/>
        <v>y</v>
      </c>
      <c r="CAJ1" s="154" t="str">
        <f t="shared" si="32"/>
        <v>y</v>
      </c>
      <c r="CAK1" s="154" t="str">
        <f t="shared" si="32"/>
        <v>y</v>
      </c>
      <c r="CAL1" s="154" t="str">
        <f t="shared" si="32"/>
        <v>y</v>
      </c>
      <c r="CAM1" s="154" t="str">
        <f t="shared" si="32"/>
        <v>y</v>
      </c>
      <c r="CAN1" s="154" t="str">
        <f t="shared" si="32"/>
        <v>y</v>
      </c>
      <c r="CAO1" s="154" t="str">
        <f t="shared" si="32"/>
        <v>y</v>
      </c>
      <c r="CAP1" s="154" t="str">
        <f t="shared" si="32"/>
        <v>y</v>
      </c>
      <c r="CAQ1" s="154" t="str">
        <f t="shared" si="32"/>
        <v>y</v>
      </c>
      <c r="CAR1" s="154" t="str">
        <f t="shared" si="32"/>
        <v>y</v>
      </c>
      <c r="CAS1" s="154" t="str">
        <f t="shared" si="32"/>
        <v>y</v>
      </c>
      <c r="CAT1" s="154" t="str">
        <f t="shared" si="32"/>
        <v>y</v>
      </c>
      <c r="CAU1" s="154" t="str">
        <f t="shared" si="32"/>
        <v>y</v>
      </c>
      <c r="CAV1" s="154" t="str">
        <f t="shared" si="32"/>
        <v>y</v>
      </c>
      <c r="CAW1" s="154" t="str">
        <f t="shared" si="32"/>
        <v>y</v>
      </c>
      <c r="CAX1" s="154" t="str">
        <f t="shared" si="32"/>
        <v>y</v>
      </c>
      <c r="CAY1" s="154" t="str">
        <f t="shared" si="32"/>
        <v>y</v>
      </c>
      <c r="CAZ1" s="154" t="str">
        <f t="shared" si="32"/>
        <v>y</v>
      </c>
      <c r="CBA1" s="154" t="str">
        <f t="shared" si="32"/>
        <v>y</v>
      </c>
      <c r="CBB1" s="154" t="str">
        <f t="shared" si="32"/>
        <v>y</v>
      </c>
      <c r="CBC1" s="154" t="str">
        <f t="shared" si="32"/>
        <v>y</v>
      </c>
      <c r="CBD1" s="154" t="str">
        <f t="shared" si="32"/>
        <v>y</v>
      </c>
      <c r="CBE1" s="154" t="str">
        <f t="shared" si="32"/>
        <v>y</v>
      </c>
      <c r="CBF1" s="154" t="str">
        <f t="shared" si="32"/>
        <v>y</v>
      </c>
      <c r="CBG1" s="154" t="str">
        <f t="shared" si="32"/>
        <v>y</v>
      </c>
      <c r="CBH1" s="154" t="str">
        <f t="shared" si="32"/>
        <v>y</v>
      </c>
      <c r="CBI1" s="154" t="str">
        <f t="shared" si="32"/>
        <v>y</v>
      </c>
      <c r="CBJ1" s="154" t="str">
        <f t="shared" si="32"/>
        <v>y</v>
      </c>
      <c r="CBK1" s="154" t="str">
        <f t="shared" si="32"/>
        <v>y</v>
      </c>
      <c r="CBL1" s="154" t="str">
        <f t="shared" si="32"/>
        <v>y</v>
      </c>
      <c r="CBM1" s="154" t="str">
        <f t="shared" si="32"/>
        <v>y</v>
      </c>
      <c r="CBN1" s="154" t="str">
        <f t="shared" si="32"/>
        <v>y</v>
      </c>
      <c r="CBO1" s="154" t="str">
        <f t="shared" si="32"/>
        <v>y</v>
      </c>
      <c r="CBP1" s="154" t="str">
        <f t="shared" si="32"/>
        <v>y</v>
      </c>
      <c r="CBQ1" s="154" t="str">
        <f t="shared" si="32"/>
        <v>y</v>
      </c>
      <c r="CBR1" s="154" t="str">
        <f t="shared" si="32"/>
        <v>y</v>
      </c>
      <c r="CBS1" s="154" t="str">
        <f t="shared" si="32"/>
        <v>y</v>
      </c>
      <c r="CBT1" s="154" t="str">
        <f t="shared" si="32"/>
        <v>y</v>
      </c>
      <c r="CBU1" s="154" t="str">
        <f t="shared" si="32"/>
        <v>y</v>
      </c>
      <c r="CBV1" s="154" t="str">
        <f t="shared" si="32"/>
        <v>y</v>
      </c>
      <c r="CBW1" s="154" t="str">
        <f t="shared" si="32"/>
        <v>y</v>
      </c>
      <c r="CBX1" s="154" t="str">
        <f t="shared" si="32"/>
        <v>y</v>
      </c>
      <c r="CBY1" s="154" t="str">
        <f t="shared" si="32"/>
        <v>y</v>
      </c>
      <c r="CBZ1" s="154" t="str">
        <f t="shared" si="32"/>
        <v>y</v>
      </c>
      <c r="CCA1" s="154" t="str">
        <f t="shared" si="32"/>
        <v>y</v>
      </c>
      <c r="CCB1" s="154" t="str">
        <f t="shared" si="32"/>
        <v>y</v>
      </c>
      <c r="CCC1" s="154" t="str">
        <f t="shared" si="32"/>
        <v>y</v>
      </c>
      <c r="CCD1" s="154" t="str">
        <f t="shared" si="32"/>
        <v>y</v>
      </c>
      <c r="CCE1" s="154" t="str">
        <f t="shared" si="32"/>
        <v>y</v>
      </c>
      <c r="CCF1" s="154" t="str">
        <f t="shared" si="32"/>
        <v>y</v>
      </c>
      <c r="CCG1" s="154" t="str">
        <f t="shared" si="32"/>
        <v>y</v>
      </c>
      <c r="CCH1" s="154" t="str">
        <f t="shared" si="32"/>
        <v>y</v>
      </c>
      <c r="CCI1" s="154" t="str">
        <f t="shared" si="32"/>
        <v>y</v>
      </c>
      <c r="CCJ1" s="154" t="str">
        <f t="shared" si="32"/>
        <v>y</v>
      </c>
      <c r="CCK1" s="154" t="str">
        <f t="shared" si="32"/>
        <v>y</v>
      </c>
      <c r="CCL1" s="154" t="str">
        <f t="shared" ref="CCL1:CEW1" si="33">CCL2&amp;"y"</f>
        <v>y</v>
      </c>
      <c r="CCM1" s="154" t="str">
        <f t="shared" si="33"/>
        <v>y</v>
      </c>
      <c r="CCN1" s="154" t="str">
        <f t="shared" si="33"/>
        <v>y</v>
      </c>
      <c r="CCO1" s="154" t="str">
        <f t="shared" si="33"/>
        <v>y</v>
      </c>
      <c r="CCP1" s="154" t="str">
        <f t="shared" si="33"/>
        <v>y</v>
      </c>
      <c r="CCQ1" s="154" t="str">
        <f t="shared" si="33"/>
        <v>y</v>
      </c>
      <c r="CCR1" s="154" t="str">
        <f t="shared" si="33"/>
        <v>y</v>
      </c>
      <c r="CCS1" s="154" t="str">
        <f t="shared" si="33"/>
        <v>y</v>
      </c>
      <c r="CCT1" s="154" t="str">
        <f t="shared" si="33"/>
        <v>y</v>
      </c>
      <c r="CCU1" s="154" t="str">
        <f t="shared" si="33"/>
        <v>y</v>
      </c>
      <c r="CCV1" s="154" t="str">
        <f t="shared" si="33"/>
        <v>y</v>
      </c>
      <c r="CCW1" s="154" t="str">
        <f t="shared" si="33"/>
        <v>y</v>
      </c>
      <c r="CCX1" s="154" t="str">
        <f t="shared" si="33"/>
        <v>y</v>
      </c>
      <c r="CCY1" s="154" t="str">
        <f t="shared" si="33"/>
        <v>y</v>
      </c>
      <c r="CCZ1" s="154" t="str">
        <f t="shared" si="33"/>
        <v>y</v>
      </c>
      <c r="CDA1" s="154" t="str">
        <f t="shared" si="33"/>
        <v>y</v>
      </c>
      <c r="CDB1" s="154" t="str">
        <f t="shared" si="33"/>
        <v>y</v>
      </c>
      <c r="CDC1" s="154" t="str">
        <f t="shared" si="33"/>
        <v>y</v>
      </c>
      <c r="CDD1" s="154" t="str">
        <f t="shared" si="33"/>
        <v>y</v>
      </c>
      <c r="CDE1" s="154" t="str">
        <f t="shared" si="33"/>
        <v>y</v>
      </c>
      <c r="CDF1" s="154" t="str">
        <f t="shared" si="33"/>
        <v>y</v>
      </c>
      <c r="CDG1" s="154" t="str">
        <f t="shared" si="33"/>
        <v>y</v>
      </c>
      <c r="CDH1" s="154" t="str">
        <f t="shared" si="33"/>
        <v>y</v>
      </c>
      <c r="CDI1" s="154" t="str">
        <f t="shared" si="33"/>
        <v>y</v>
      </c>
      <c r="CDJ1" s="154" t="str">
        <f t="shared" si="33"/>
        <v>y</v>
      </c>
      <c r="CDK1" s="154" t="str">
        <f t="shared" si="33"/>
        <v>y</v>
      </c>
      <c r="CDL1" s="154" t="str">
        <f t="shared" si="33"/>
        <v>y</v>
      </c>
      <c r="CDM1" s="154" t="str">
        <f t="shared" si="33"/>
        <v>y</v>
      </c>
      <c r="CDN1" s="154" t="str">
        <f t="shared" si="33"/>
        <v>y</v>
      </c>
      <c r="CDO1" s="154" t="str">
        <f t="shared" si="33"/>
        <v>y</v>
      </c>
      <c r="CDP1" s="154" t="str">
        <f t="shared" si="33"/>
        <v>y</v>
      </c>
      <c r="CDQ1" s="154" t="str">
        <f t="shared" si="33"/>
        <v>y</v>
      </c>
      <c r="CDR1" s="154" t="str">
        <f t="shared" si="33"/>
        <v>y</v>
      </c>
      <c r="CDS1" s="154" t="str">
        <f t="shared" si="33"/>
        <v>y</v>
      </c>
      <c r="CDT1" s="154" t="str">
        <f t="shared" si="33"/>
        <v>y</v>
      </c>
      <c r="CDU1" s="154" t="str">
        <f t="shared" si="33"/>
        <v>y</v>
      </c>
      <c r="CDV1" s="154" t="str">
        <f t="shared" si="33"/>
        <v>y</v>
      </c>
      <c r="CDW1" s="154" t="str">
        <f t="shared" si="33"/>
        <v>y</v>
      </c>
      <c r="CDX1" s="154" t="str">
        <f t="shared" si="33"/>
        <v>y</v>
      </c>
      <c r="CDY1" s="154" t="str">
        <f t="shared" si="33"/>
        <v>y</v>
      </c>
      <c r="CDZ1" s="154" t="str">
        <f t="shared" si="33"/>
        <v>y</v>
      </c>
      <c r="CEA1" s="154" t="str">
        <f t="shared" si="33"/>
        <v>y</v>
      </c>
      <c r="CEB1" s="154" t="str">
        <f t="shared" si="33"/>
        <v>y</v>
      </c>
      <c r="CEC1" s="154" t="str">
        <f t="shared" si="33"/>
        <v>y</v>
      </c>
      <c r="CED1" s="154" t="str">
        <f t="shared" si="33"/>
        <v>y</v>
      </c>
      <c r="CEE1" s="154" t="str">
        <f t="shared" si="33"/>
        <v>y</v>
      </c>
      <c r="CEF1" s="154" t="str">
        <f t="shared" si="33"/>
        <v>y</v>
      </c>
      <c r="CEG1" s="154" t="str">
        <f t="shared" si="33"/>
        <v>y</v>
      </c>
      <c r="CEH1" s="154" t="str">
        <f t="shared" si="33"/>
        <v>y</v>
      </c>
      <c r="CEI1" s="154" t="str">
        <f t="shared" si="33"/>
        <v>y</v>
      </c>
      <c r="CEJ1" s="154" t="str">
        <f t="shared" si="33"/>
        <v>y</v>
      </c>
      <c r="CEK1" s="154" t="str">
        <f t="shared" si="33"/>
        <v>y</v>
      </c>
      <c r="CEL1" s="154" t="str">
        <f t="shared" si="33"/>
        <v>y</v>
      </c>
      <c r="CEM1" s="154" t="str">
        <f t="shared" si="33"/>
        <v>y</v>
      </c>
      <c r="CEN1" s="154" t="str">
        <f t="shared" si="33"/>
        <v>y</v>
      </c>
      <c r="CEO1" s="154" t="str">
        <f t="shared" si="33"/>
        <v>y</v>
      </c>
      <c r="CEP1" s="154" t="str">
        <f t="shared" si="33"/>
        <v>y</v>
      </c>
      <c r="CEQ1" s="154" t="str">
        <f t="shared" si="33"/>
        <v>y</v>
      </c>
      <c r="CER1" s="154" t="str">
        <f t="shared" si="33"/>
        <v>y</v>
      </c>
      <c r="CES1" s="154" t="str">
        <f t="shared" si="33"/>
        <v>y</v>
      </c>
      <c r="CET1" s="154" t="str">
        <f t="shared" si="33"/>
        <v>y</v>
      </c>
      <c r="CEU1" s="154" t="str">
        <f t="shared" si="33"/>
        <v>y</v>
      </c>
      <c r="CEV1" s="154" t="str">
        <f t="shared" si="33"/>
        <v>y</v>
      </c>
      <c r="CEW1" s="154" t="str">
        <f t="shared" si="33"/>
        <v>y</v>
      </c>
      <c r="CEX1" s="154" t="str">
        <f t="shared" ref="CEX1:CHI1" si="34">CEX2&amp;"y"</f>
        <v>y</v>
      </c>
      <c r="CEY1" s="154" t="str">
        <f t="shared" si="34"/>
        <v>y</v>
      </c>
      <c r="CEZ1" s="154" t="str">
        <f t="shared" si="34"/>
        <v>y</v>
      </c>
      <c r="CFA1" s="154" t="str">
        <f t="shared" si="34"/>
        <v>y</v>
      </c>
      <c r="CFB1" s="154" t="str">
        <f t="shared" si="34"/>
        <v>y</v>
      </c>
      <c r="CFC1" s="154" t="str">
        <f t="shared" si="34"/>
        <v>y</v>
      </c>
      <c r="CFD1" s="154" t="str">
        <f t="shared" si="34"/>
        <v>y</v>
      </c>
      <c r="CFE1" s="154" t="str">
        <f t="shared" si="34"/>
        <v>y</v>
      </c>
      <c r="CFF1" s="154" t="str">
        <f t="shared" si="34"/>
        <v>y</v>
      </c>
      <c r="CFG1" s="154" t="str">
        <f t="shared" si="34"/>
        <v>y</v>
      </c>
      <c r="CFH1" s="154" t="str">
        <f t="shared" si="34"/>
        <v>y</v>
      </c>
      <c r="CFI1" s="154" t="str">
        <f t="shared" si="34"/>
        <v>y</v>
      </c>
      <c r="CFJ1" s="154" t="str">
        <f t="shared" si="34"/>
        <v>y</v>
      </c>
      <c r="CFK1" s="154" t="str">
        <f t="shared" si="34"/>
        <v>y</v>
      </c>
      <c r="CFL1" s="154" t="str">
        <f t="shared" si="34"/>
        <v>y</v>
      </c>
      <c r="CFM1" s="154" t="str">
        <f t="shared" si="34"/>
        <v>y</v>
      </c>
      <c r="CFN1" s="154" t="str">
        <f t="shared" si="34"/>
        <v>y</v>
      </c>
      <c r="CFO1" s="154" t="str">
        <f t="shared" si="34"/>
        <v>y</v>
      </c>
      <c r="CFP1" s="154" t="str">
        <f t="shared" si="34"/>
        <v>y</v>
      </c>
      <c r="CFQ1" s="154" t="str">
        <f t="shared" si="34"/>
        <v>y</v>
      </c>
      <c r="CFR1" s="154" t="str">
        <f t="shared" si="34"/>
        <v>y</v>
      </c>
      <c r="CFS1" s="154" t="str">
        <f t="shared" si="34"/>
        <v>y</v>
      </c>
      <c r="CFT1" s="154" t="str">
        <f t="shared" si="34"/>
        <v>y</v>
      </c>
      <c r="CFU1" s="154" t="str">
        <f t="shared" si="34"/>
        <v>y</v>
      </c>
      <c r="CFV1" s="154" t="str">
        <f t="shared" si="34"/>
        <v>y</v>
      </c>
      <c r="CFW1" s="154" t="str">
        <f t="shared" si="34"/>
        <v>y</v>
      </c>
      <c r="CFX1" s="154" t="str">
        <f t="shared" si="34"/>
        <v>y</v>
      </c>
      <c r="CFY1" s="154" t="str">
        <f t="shared" si="34"/>
        <v>y</v>
      </c>
      <c r="CFZ1" s="154" t="str">
        <f t="shared" si="34"/>
        <v>y</v>
      </c>
      <c r="CGA1" s="154" t="str">
        <f t="shared" si="34"/>
        <v>y</v>
      </c>
      <c r="CGB1" s="154" t="str">
        <f t="shared" si="34"/>
        <v>y</v>
      </c>
      <c r="CGC1" s="154" t="str">
        <f t="shared" si="34"/>
        <v>y</v>
      </c>
      <c r="CGD1" s="154" t="str">
        <f t="shared" si="34"/>
        <v>y</v>
      </c>
      <c r="CGE1" s="154" t="str">
        <f t="shared" si="34"/>
        <v>y</v>
      </c>
      <c r="CGF1" s="154" t="str">
        <f t="shared" si="34"/>
        <v>y</v>
      </c>
      <c r="CGG1" s="154" t="str">
        <f t="shared" si="34"/>
        <v>y</v>
      </c>
      <c r="CGH1" s="154" t="str">
        <f t="shared" si="34"/>
        <v>y</v>
      </c>
      <c r="CGI1" s="154" t="str">
        <f t="shared" si="34"/>
        <v>y</v>
      </c>
      <c r="CGJ1" s="154" t="str">
        <f t="shared" si="34"/>
        <v>y</v>
      </c>
      <c r="CGK1" s="154" t="str">
        <f t="shared" si="34"/>
        <v>y</v>
      </c>
      <c r="CGL1" s="154" t="str">
        <f t="shared" si="34"/>
        <v>y</v>
      </c>
      <c r="CGM1" s="154" t="str">
        <f t="shared" si="34"/>
        <v>y</v>
      </c>
      <c r="CGN1" s="154" t="str">
        <f t="shared" si="34"/>
        <v>y</v>
      </c>
      <c r="CGO1" s="154" t="str">
        <f t="shared" si="34"/>
        <v>y</v>
      </c>
      <c r="CGP1" s="154" t="str">
        <f t="shared" si="34"/>
        <v>y</v>
      </c>
      <c r="CGQ1" s="154" t="str">
        <f t="shared" si="34"/>
        <v>y</v>
      </c>
      <c r="CGR1" s="154" t="str">
        <f t="shared" si="34"/>
        <v>y</v>
      </c>
      <c r="CGS1" s="154" t="str">
        <f t="shared" si="34"/>
        <v>y</v>
      </c>
      <c r="CGT1" s="154" t="str">
        <f t="shared" si="34"/>
        <v>y</v>
      </c>
      <c r="CGU1" s="154" t="str">
        <f t="shared" si="34"/>
        <v>y</v>
      </c>
      <c r="CGV1" s="154" t="str">
        <f t="shared" si="34"/>
        <v>y</v>
      </c>
      <c r="CGW1" s="154" t="str">
        <f t="shared" si="34"/>
        <v>y</v>
      </c>
      <c r="CGX1" s="154" t="str">
        <f t="shared" si="34"/>
        <v>y</v>
      </c>
      <c r="CGY1" s="154" t="str">
        <f t="shared" si="34"/>
        <v>y</v>
      </c>
      <c r="CGZ1" s="154" t="str">
        <f t="shared" si="34"/>
        <v>y</v>
      </c>
      <c r="CHA1" s="154" t="str">
        <f t="shared" si="34"/>
        <v>y</v>
      </c>
      <c r="CHB1" s="154" t="str">
        <f t="shared" si="34"/>
        <v>y</v>
      </c>
      <c r="CHC1" s="154" t="str">
        <f t="shared" si="34"/>
        <v>y</v>
      </c>
      <c r="CHD1" s="154" t="str">
        <f t="shared" si="34"/>
        <v>y</v>
      </c>
      <c r="CHE1" s="154" t="str">
        <f t="shared" si="34"/>
        <v>y</v>
      </c>
      <c r="CHF1" s="154" t="str">
        <f t="shared" si="34"/>
        <v>y</v>
      </c>
      <c r="CHG1" s="154" t="str">
        <f t="shared" si="34"/>
        <v>y</v>
      </c>
      <c r="CHH1" s="154" t="str">
        <f t="shared" si="34"/>
        <v>y</v>
      </c>
      <c r="CHI1" s="154" t="str">
        <f t="shared" si="34"/>
        <v>y</v>
      </c>
      <c r="CHJ1" s="154" t="str">
        <f t="shared" ref="CHJ1:CJU1" si="35">CHJ2&amp;"y"</f>
        <v>y</v>
      </c>
      <c r="CHK1" s="154" t="str">
        <f t="shared" si="35"/>
        <v>y</v>
      </c>
      <c r="CHL1" s="154" t="str">
        <f t="shared" si="35"/>
        <v>y</v>
      </c>
      <c r="CHM1" s="154" t="str">
        <f t="shared" si="35"/>
        <v>y</v>
      </c>
      <c r="CHN1" s="154" t="str">
        <f t="shared" si="35"/>
        <v>y</v>
      </c>
      <c r="CHO1" s="154" t="str">
        <f t="shared" si="35"/>
        <v>y</v>
      </c>
      <c r="CHP1" s="154" t="str">
        <f t="shared" si="35"/>
        <v>y</v>
      </c>
      <c r="CHQ1" s="154" t="str">
        <f t="shared" si="35"/>
        <v>y</v>
      </c>
      <c r="CHR1" s="154" t="str">
        <f t="shared" si="35"/>
        <v>y</v>
      </c>
      <c r="CHS1" s="154" t="str">
        <f t="shared" si="35"/>
        <v>y</v>
      </c>
      <c r="CHT1" s="154" t="str">
        <f t="shared" si="35"/>
        <v>y</v>
      </c>
      <c r="CHU1" s="154" t="str">
        <f t="shared" si="35"/>
        <v>y</v>
      </c>
      <c r="CHV1" s="154" t="str">
        <f t="shared" si="35"/>
        <v>y</v>
      </c>
      <c r="CHW1" s="154" t="str">
        <f t="shared" si="35"/>
        <v>y</v>
      </c>
      <c r="CHX1" s="154" t="str">
        <f t="shared" si="35"/>
        <v>y</v>
      </c>
      <c r="CHY1" s="154" t="str">
        <f t="shared" si="35"/>
        <v>y</v>
      </c>
      <c r="CHZ1" s="154" t="str">
        <f t="shared" si="35"/>
        <v>y</v>
      </c>
      <c r="CIA1" s="154" t="str">
        <f t="shared" si="35"/>
        <v>y</v>
      </c>
      <c r="CIB1" s="154" t="str">
        <f t="shared" si="35"/>
        <v>y</v>
      </c>
      <c r="CIC1" s="154" t="str">
        <f t="shared" si="35"/>
        <v>y</v>
      </c>
      <c r="CID1" s="154" t="str">
        <f t="shared" si="35"/>
        <v>y</v>
      </c>
      <c r="CIE1" s="154" t="str">
        <f t="shared" si="35"/>
        <v>y</v>
      </c>
      <c r="CIF1" s="154" t="str">
        <f t="shared" si="35"/>
        <v>y</v>
      </c>
      <c r="CIG1" s="154" t="str">
        <f t="shared" si="35"/>
        <v>y</v>
      </c>
      <c r="CIH1" s="154" t="str">
        <f t="shared" si="35"/>
        <v>y</v>
      </c>
      <c r="CII1" s="154" t="str">
        <f t="shared" si="35"/>
        <v>y</v>
      </c>
      <c r="CIJ1" s="154" t="str">
        <f t="shared" si="35"/>
        <v>y</v>
      </c>
      <c r="CIK1" s="154" t="str">
        <f t="shared" si="35"/>
        <v>y</v>
      </c>
      <c r="CIL1" s="154" t="str">
        <f t="shared" si="35"/>
        <v>y</v>
      </c>
      <c r="CIM1" s="154" t="str">
        <f t="shared" si="35"/>
        <v>y</v>
      </c>
      <c r="CIN1" s="154" t="str">
        <f t="shared" si="35"/>
        <v>y</v>
      </c>
      <c r="CIO1" s="154" t="str">
        <f t="shared" si="35"/>
        <v>y</v>
      </c>
      <c r="CIP1" s="154" t="str">
        <f t="shared" si="35"/>
        <v>y</v>
      </c>
      <c r="CIQ1" s="154" t="str">
        <f t="shared" si="35"/>
        <v>y</v>
      </c>
      <c r="CIR1" s="154" t="str">
        <f t="shared" si="35"/>
        <v>y</v>
      </c>
      <c r="CIS1" s="154" t="str">
        <f t="shared" si="35"/>
        <v>y</v>
      </c>
      <c r="CIT1" s="154" t="str">
        <f t="shared" si="35"/>
        <v>y</v>
      </c>
      <c r="CIU1" s="154" t="str">
        <f t="shared" si="35"/>
        <v>y</v>
      </c>
      <c r="CIV1" s="154" t="str">
        <f t="shared" si="35"/>
        <v>y</v>
      </c>
      <c r="CIW1" s="154" t="str">
        <f t="shared" si="35"/>
        <v>y</v>
      </c>
      <c r="CIX1" s="154" t="str">
        <f t="shared" si="35"/>
        <v>y</v>
      </c>
      <c r="CIY1" s="154" t="str">
        <f t="shared" si="35"/>
        <v>y</v>
      </c>
      <c r="CIZ1" s="154" t="str">
        <f t="shared" si="35"/>
        <v>y</v>
      </c>
      <c r="CJA1" s="154" t="str">
        <f t="shared" si="35"/>
        <v>y</v>
      </c>
      <c r="CJB1" s="154" t="str">
        <f t="shared" si="35"/>
        <v>y</v>
      </c>
      <c r="CJC1" s="154" t="str">
        <f t="shared" si="35"/>
        <v>y</v>
      </c>
      <c r="CJD1" s="154" t="str">
        <f t="shared" si="35"/>
        <v>y</v>
      </c>
      <c r="CJE1" s="154" t="str">
        <f t="shared" si="35"/>
        <v>y</v>
      </c>
      <c r="CJF1" s="154" t="str">
        <f t="shared" si="35"/>
        <v>y</v>
      </c>
      <c r="CJG1" s="154" t="str">
        <f t="shared" si="35"/>
        <v>y</v>
      </c>
      <c r="CJH1" s="154" t="str">
        <f t="shared" si="35"/>
        <v>y</v>
      </c>
      <c r="CJI1" s="154" t="str">
        <f t="shared" si="35"/>
        <v>y</v>
      </c>
      <c r="CJJ1" s="154" t="str">
        <f t="shared" si="35"/>
        <v>y</v>
      </c>
      <c r="CJK1" s="154" t="str">
        <f t="shared" si="35"/>
        <v>y</v>
      </c>
      <c r="CJL1" s="154" t="str">
        <f t="shared" si="35"/>
        <v>y</v>
      </c>
      <c r="CJM1" s="154" t="str">
        <f t="shared" si="35"/>
        <v>y</v>
      </c>
      <c r="CJN1" s="154" t="str">
        <f t="shared" si="35"/>
        <v>y</v>
      </c>
      <c r="CJO1" s="154" t="str">
        <f t="shared" si="35"/>
        <v>y</v>
      </c>
      <c r="CJP1" s="154" t="str">
        <f t="shared" si="35"/>
        <v>y</v>
      </c>
      <c r="CJQ1" s="154" t="str">
        <f t="shared" si="35"/>
        <v>y</v>
      </c>
      <c r="CJR1" s="154" t="str">
        <f t="shared" si="35"/>
        <v>y</v>
      </c>
      <c r="CJS1" s="154" t="str">
        <f t="shared" si="35"/>
        <v>y</v>
      </c>
      <c r="CJT1" s="154" t="str">
        <f t="shared" si="35"/>
        <v>y</v>
      </c>
      <c r="CJU1" s="154" t="str">
        <f t="shared" si="35"/>
        <v>y</v>
      </c>
      <c r="CJV1" s="154" t="str">
        <f t="shared" ref="CJV1:CMG1" si="36">CJV2&amp;"y"</f>
        <v>y</v>
      </c>
      <c r="CJW1" s="154" t="str">
        <f t="shared" si="36"/>
        <v>y</v>
      </c>
      <c r="CJX1" s="154" t="str">
        <f t="shared" si="36"/>
        <v>y</v>
      </c>
      <c r="CJY1" s="154" t="str">
        <f t="shared" si="36"/>
        <v>y</v>
      </c>
      <c r="CJZ1" s="154" t="str">
        <f t="shared" si="36"/>
        <v>y</v>
      </c>
      <c r="CKA1" s="154" t="str">
        <f t="shared" si="36"/>
        <v>y</v>
      </c>
      <c r="CKB1" s="154" t="str">
        <f t="shared" si="36"/>
        <v>y</v>
      </c>
      <c r="CKC1" s="154" t="str">
        <f t="shared" si="36"/>
        <v>y</v>
      </c>
      <c r="CKD1" s="154" t="str">
        <f t="shared" si="36"/>
        <v>y</v>
      </c>
      <c r="CKE1" s="154" t="str">
        <f t="shared" si="36"/>
        <v>y</v>
      </c>
      <c r="CKF1" s="154" t="str">
        <f t="shared" si="36"/>
        <v>y</v>
      </c>
      <c r="CKG1" s="154" t="str">
        <f t="shared" si="36"/>
        <v>y</v>
      </c>
      <c r="CKH1" s="154" t="str">
        <f t="shared" si="36"/>
        <v>y</v>
      </c>
      <c r="CKI1" s="154" t="str">
        <f t="shared" si="36"/>
        <v>y</v>
      </c>
      <c r="CKJ1" s="154" t="str">
        <f t="shared" si="36"/>
        <v>y</v>
      </c>
      <c r="CKK1" s="154" t="str">
        <f t="shared" si="36"/>
        <v>y</v>
      </c>
      <c r="CKL1" s="154" t="str">
        <f t="shared" si="36"/>
        <v>y</v>
      </c>
      <c r="CKM1" s="154" t="str">
        <f t="shared" si="36"/>
        <v>y</v>
      </c>
      <c r="CKN1" s="154" t="str">
        <f t="shared" si="36"/>
        <v>y</v>
      </c>
      <c r="CKO1" s="154" t="str">
        <f t="shared" si="36"/>
        <v>y</v>
      </c>
      <c r="CKP1" s="154" t="str">
        <f t="shared" si="36"/>
        <v>y</v>
      </c>
      <c r="CKQ1" s="154" t="str">
        <f t="shared" si="36"/>
        <v>y</v>
      </c>
      <c r="CKR1" s="154" t="str">
        <f t="shared" si="36"/>
        <v>y</v>
      </c>
      <c r="CKS1" s="154" t="str">
        <f t="shared" si="36"/>
        <v>y</v>
      </c>
      <c r="CKT1" s="154" t="str">
        <f t="shared" si="36"/>
        <v>y</v>
      </c>
      <c r="CKU1" s="154" t="str">
        <f t="shared" si="36"/>
        <v>y</v>
      </c>
      <c r="CKV1" s="154" t="str">
        <f t="shared" si="36"/>
        <v>y</v>
      </c>
      <c r="CKW1" s="154" t="str">
        <f t="shared" si="36"/>
        <v>y</v>
      </c>
      <c r="CKX1" s="154" t="str">
        <f t="shared" si="36"/>
        <v>y</v>
      </c>
      <c r="CKY1" s="154" t="str">
        <f t="shared" si="36"/>
        <v>y</v>
      </c>
      <c r="CKZ1" s="154" t="str">
        <f t="shared" si="36"/>
        <v>y</v>
      </c>
      <c r="CLA1" s="154" t="str">
        <f t="shared" si="36"/>
        <v>y</v>
      </c>
      <c r="CLB1" s="154" t="str">
        <f t="shared" si="36"/>
        <v>y</v>
      </c>
      <c r="CLC1" s="154" t="str">
        <f t="shared" si="36"/>
        <v>y</v>
      </c>
      <c r="CLD1" s="154" t="str">
        <f t="shared" si="36"/>
        <v>y</v>
      </c>
      <c r="CLE1" s="154" t="str">
        <f t="shared" si="36"/>
        <v>y</v>
      </c>
      <c r="CLF1" s="154" t="str">
        <f t="shared" si="36"/>
        <v>y</v>
      </c>
      <c r="CLG1" s="154" t="str">
        <f t="shared" si="36"/>
        <v>y</v>
      </c>
      <c r="CLH1" s="154" t="str">
        <f t="shared" si="36"/>
        <v>y</v>
      </c>
      <c r="CLI1" s="154" t="str">
        <f t="shared" si="36"/>
        <v>y</v>
      </c>
      <c r="CLJ1" s="154" t="str">
        <f t="shared" si="36"/>
        <v>y</v>
      </c>
      <c r="CLK1" s="154" t="str">
        <f t="shared" si="36"/>
        <v>y</v>
      </c>
      <c r="CLL1" s="154" t="str">
        <f t="shared" si="36"/>
        <v>y</v>
      </c>
      <c r="CLM1" s="154" t="str">
        <f t="shared" si="36"/>
        <v>y</v>
      </c>
      <c r="CLN1" s="154" t="str">
        <f t="shared" si="36"/>
        <v>y</v>
      </c>
      <c r="CLO1" s="154" t="str">
        <f t="shared" si="36"/>
        <v>y</v>
      </c>
      <c r="CLP1" s="154" t="str">
        <f t="shared" si="36"/>
        <v>y</v>
      </c>
      <c r="CLQ1" s="154" t="str">
        <f t="shared" si="36"/>
        <v>y</v>
      </c>
      <c r="CLR1" s="154" t="str">
        <f t="shared" si="36"/>
        <v>y</v>
      </c>
      <c r="CLS1" s="154" t="str">
        <f t="shared" si="36"/>
        <v>y</v>
      </c>
      <c r="CLT1" s="154" t="str">
        <f t="shared" si="36"/>
        <v>y</v>
      </c>
      <c r="CLU1" s="154" t="str">
        <f t="shared" si="36"/>
        <v>y</v>
      </c>
      <c r="CLV1" s="154" t="str">
        <f t="shared" si="36"/>
        <v>y</v>
      </c>
      <c r="CLW1" s="154" t="str">
        <f t="shared" si="36"/>
        <v>y</v>
      </c>
      <c r="CLX1" s="154" t="str">
        <f t="shared" si="36"/>
        <v>y</v>
      </c>
      <c r="CLY1" s="154" t="str">
        <f t="shared" si="36"/>
        <v>y</v>
      </c>
      <c r="CLZ1" s="154" t="str">
        <f t="shared" si="36"/>
        <v>y</v>
      </c>
      <c r="CMA1" s="154" t="str">
        <f t="shared" si="36"/>
        <v>y</v>
      </c>
      <c r="CMB1" s="154" t="str">
        <f t="shared" si="36"/>
        <v>y</v>
      </c>
      <c r="CMC1" s="154" t="str">
        <f t="shared" si="36"/>
        <v>y</v>
      </c>
      <c r="CMD1" s="154" t="str">
        <f t="shared" si="36"/>
        <v>y</v>
      </c>
      <c r="CME1" s="154" t="str">
        <f t="shared" si="36"/>
        <v>y</v>
      </c>
      <c r="CMF1" s="154" t="str">
        <f t="shared" si="36"/>
        <v>y</v>
      </c>
      <c r="CMG1" s="154" t="str">
        <f t="shared" si="36"/>
        <v>y</v>
      </c>
      <c r="CMH1" s="154" t="str">
        <f t="shared" ref="CMH1:COS1" si="37">CMH2&amp;"y"</f>
        <v>y</v>
      </c>
      <c r="CMI1" s="154" t="str">
        <f t="shared" si="37"/>
        <v>y</v>
      </c>
      <c r="CMJ1" s="154" t="str">
        <f t="shared" si="37"/>
        <v>y</v>
      </c>
      <c r="CMK1" s="154" t="str">
        <f t="shared" si="37"/>
        <v>y</v>
      </c>
      <c r="CML1" s="154" t="str">
        <f t="shared" si="37"/>
        <v>y</v>
      </c>
      <c r="CMM1" s="154" t="str">
        <f t="shared" si="37"/>
        <v>y</v>
      </c>
      <c r="CMN1" s="154" t="str">
        <f t="shared" si="37"/>
        <v>y</v>
      </c>
      <c r="CMO1" s="154" t="str">
        <f t="shared" si="37"/>
        <v>y</v>
      </c>
      <c r="CMP1" s="154" t="str">
        <f t="shared" si="37"/>
        <v>y</v>
      </c>
      <c r="CMQ1" s="154" t="str">
        <f t="shared" si="37"/>
        <v>y</v>
      </c>
      <c r="CMR1" s="154" t="str">
        <f t="shared" si="37"/>
        <v>y</v>
      </c>
      <c r="CMS1" s="154" t="str">
        <f t="shared" si="37"/>
        <v>y</v>
      </c>
      <c r="CMT1" s="154" t="str">
        <f t="shared" si="37"/>
        <v>y</v>
      </c>
      <c r="CMU1" s="154" t="str">
        <f t="shared" si="37"/>
        <v>y</v>
      </c>
      <c r="CMV1" s="154" t="str">
        <f t="shared" si="37"/>
        <v>y</v>
      </c>
      <c r="CMW1" s="154" t="str">
        <f t="shared" si="37"/>
        <v>y</v>
      </c>
      <c r="CMX1" s="154" t="str">
        <f t="shared" si="37"/>
        <v>y</v>
      </c>
      <c r="CMY1" s="154" t="str">
        <f t="shared" si="37"/>
        <v>y</v>
      </c>
      <c r="CMZ1" s="154" t="str">
        <f t="shared" si="37"/>
        <v>y</v>
      </c>
      <c r="CNA1" s="154" t="str">
        <f t="shared" si="37"/>
        <v>y</v>
      </c>
      <c r="CNB1" s="154" t="str">
        <f t="shared" si="37"/>
        <v>y</v>
      </c>
      <c r="CNC1" s="154" t="str">
        <f t="shared" si="37"/>
        <v>y</v>
      </c>
      <c r="CND1" s="154" t="str">
        <f t="shared" si="37"/>
        <v>y</v>
      </c>
      <c r="CNE1" s="154" t="str">
        <f t="shared" si="37"/>
        <v>y</v>
      </c>
      <c r="CNF1" s="154" t="str">
        <f t="shared" si="37"/>
        <v>y</v>
      </c>
      <c r="CNG1" s="154" t="str">
        <f t="shared" si="37"/>
        <v>y</v>
      </c>
      <c r="CNH1" s="154" t="str">
        <f t="shared" si="37"/>
        <v>y</v>
      </c>
      <c r="CNI1" s="154" t="str">
        <f t="shared" si="37"/>
        <v>y</v>
      </c>
      <c r="CNJ1" s="154" t="str">
        <f t="shared" si="37"/>
        <v>y</v>
      </c>
      <c r="CNK1" s="154" t="str">
        <f t="shared" si="37"/>
        <v>y</v>
      </c>
      <c r="CNL1" s="154" t="str">
        <f t="shared" si="37"/>
        <v>y</v>
      </c>
      <c r="CNM1" s="154" t="str">
        <f t="shared" si="37"/>
        <v>y</v>
      </c>
      <c r="CNN1" s="154" t="str">
        <f t="shared" si="37"/>
        <v>y</v>
      </c>
      <c r="CNO1" s="154" t="str">
        <f t="shared" si="37"/>
        <v>y</v>
      </c>
      <c r="CNP1" s="154" t="str">
        <f t="shared" si="37"/>
        <v>y</v>
      </c>
      <c r="CNQ1" s="154" t="str">
        <f t="shared" si="37"/>
        <v>y</v>
      </c>
      <c r="CNR1" s="154" t="str">
        <f t="shared" si="37"/>
        <v>y</v>
      </c>
      <c r="CNS1" s="154" t="str">
        <f t="shared" si="37"/>
        <v>y</v>
      </c>
      <c r="CNT1" s="154" t="str">
        <f t="shared" si="37"/>
        <v>y</v>
      </c>
      <c r="CNU1" s="154" t="str">
        <f t="shared" si="37"/>
        <v>y</v>
      </c>
      <c r="CNV1" s="154" t="str">
        <f t="shared" si="37"/>
        <v>y</v>
      </c>
      <c r="CNW1" s="154" t="str">
        <f t="shared" si="37"/>
        <v>y</v>
      </c>
      <c r="CNX1" s="154" t="str">
        <f t="shared" si="37"/>
        <v>y</v>
      </c>
      <c r="CNY1" s="154" t="str">
        <f t="shared" si="37"/>
        <v>y</v>
      </c>
      <c r="CNZ1" s="154" t="str">
        <f t="shared" si="37"/>
        <v>y</v>
      </c>
      <c r="COA1" s="154" t="str">
        <f t="shared" si="37"/>
        <v>y</v>
      </c>
      <c r="COB1" s="154" t="str">
        <f t="shared" si="37"/>
        <v>y</v>
      </c>
      <c r="COC1" s="154" t="str">
        <f t="shared" si="37"/>
        <v>y</v>
      </c>
      <c r="COD1" s="154" t="str">
        <f t="shared" si="37"/>
        <v>y</v>
      </c>
      <c r="COE1" s="154" t="str">
        <f t="shared" si="37"/>
        <v>y</v>
      </c>
      <c r="COF1" s="154" t="str">
        <f t="shared" si="37"/>
        <v>y</v>
      </c>
      <c r="COG1" s="154" t="str">
        <f t="shared" si="37"/>
        <v>y</v>
      </c>
      <c r="COH1" s="154" t="str">
        <f t="shared" si="37"/>
        <v>y</v>
      </c>
      <c r="COI1" s="154" t="str">
        <f t="shared" si="37"/>
        <v>y</v>
      </c>
      <c r="COJ1" s="154" t="str">
        <f t="shared" si="37"/>
        <v>y</v>
      </c>
      <c r="COK1" s="154" t="str">
        <f t="shared" si="37"/>
        <v>y</v>
      </c>
      <c r="COL1" s="154" t="str">
        <f t="shared" si="37"/>
        <v>y</v>
      </c>
      <c r="COM1" s="154" t="str">
        <f t="shared" si="37"/>
        <v>y</v>
      </c>
      <c r="CON1" s="154" t="str">
        <f t="shared" si="37"/>
        <v>y</v>
      </c>
      <c r="COO1" s="154" t="str">
        <f t="shared" si="37"/>
        <v>y</v>
      </c>
      <c r="COP1" s="154" t="str">
        <f t="shared" si="37"/>
        <v>y</v>
      </c>
      <c r="COQ1" s="154" t="str">
        <f t="shared" si="37"/>
        <v>y</v>
      </c>
      <c r="COR1" s="154" t="str">
        <f t="shared" si="37"/>
        <v>y</v>
      </c>
      <c r="COS1" s="154" t="str">
        <f t="shared" si="37"/>
        <v>y</v>
      </c>
      <c r="COT1" s="154" t="str">
        <f t="shared" ref="COT1:CRE1" si="38">COT2&amp;"y"</f>
        <v>y</v>
      </c>
      <c r="COU1" s="154" t="str">
        <f t="shared" si="38"/>
        <v>y</v>
      </c>
      <c r="COV1" s="154" t="str">
        <f t="shared" si="38"/>
        <v>y</v>
      </c>
      <c r="COW1" s="154" t="str">
        <f t="shared" si="38"/>
        <v>y</v>
      </c>
      <c r="COX1" s="154" t="str">
        <f t="shared" si="38"/>
        <v>y</v>
      </c>
      <c r="COY1" s="154" t="str">
        <f t="shared" si="38"/>
        <v>y</v>
      </c>
      <c r="COZ1" s="154" t="str">
        <f t="shared" si="38"/>
        <v>y</v>
      </c>
      <c r="CPA1" s="154" t="str">
        <f t="shared" si="38"/>
        <v>y</v>
      </c>
      <c r="CPB1" s="154" t="str">
        <f t="shared" si="38"/>
        <v>y</v>
      </c>
      <c r="CPC1" s="154" t="str">
        <f t="shared" si="38"/>
        <v>y</v>
      </c>
      <c r="CPD1" s="154" t="str">
        <f t="shared" si="38"/>
        <v>y</v>
      </c>
      <c r="CPE1" s="154" t="str">
        <f t="shared" si="38"/>
        <v>y</v>
      </c>
      <c r="CPF1" s="154" t="str">
        <f t="shared" si="38"/>
        <v>y</v>
      </c>
      <c r="CPG1" s="154" t="str">
        <f t="shared" si="38"/>
        <v>y</v>
      </c>
      <c r="CPH1" s="154" t="str">
        <f t="shared" si="38"/>
        <v>y</v>
      </c>
      <c r="CPI1" s="154" t="str">
        <f t="shared" si="38"/>
        <v>y</v>
      </c>
      <c r="CPJ1" s="154" t="str">
        <f t="shared" si="38"/>
        <v>y</v>
      </c>
      <c r="CPK1" s="154" t="str">
        <f t="shared" si="38"/>
        <v>y</v>
      </c>
      <c r="CPL1" s="154" t="str">
        <f t="shared" si="38"/>
        <v>y</v>
      </c>
      <c r="CPM1" s="154" t="str">
        <f t="shared" si="38"/>
        <v>y</v>
      </c>
      <c r="CPN1" s="154" t="str">
        <f t="shared" si="38"/>
        <v>y</v>
      </c>
      <c r="CPO1" s="154" t="str">
        <f t="shared" si="38"/>
        <v>y</v>
      </c>
      <c r="CPP1" s="154" t="str">
        <f t="shared" si="38"/>
        <v>y</v>
      </c>
      <c r="CPQ1" s="154" t="str">
        <f t="shared" si="38"/>
        <v>y</v>
      </c>
      <c r="CPR1" s="154" t="str">
        <f t="shared" si="38"/>
        <v>y</v>
      </c>
      <c r="CPS1" s="154" t="str">
        <f t="shared" si="38"/>
        <v>y</v>
      </c>
      <c r="CPT1" s="154" t="str">
        <f t="shared" si="38"/>
        <v>y</v>
      </c>
      <c r="CPU1" s="154" t="str">
        <f t="shared" si="38"/>
        <v>y</v>
      </c>
      <c r="CPV1" s="154" t="str">
        <f t="shared" si="38"/>
        <v>y</v>
      </c>
      <c r="CPW1" s="154" t="str">
        <f t="shared" si="38"/>
        <v>y</v>
      </c>
      <c r="CPX1" s="154" t="str">
        <f t="shared" si="38"/>
        <v>y</v>
      </c>
      <c r="CPY1" s="154" t="str">
        <f t="shared" si="38"/>
        <v>y</v>
      </c>
      <c r="CPZ1" s="154" t="str">
        <f t="shared" si="38"/>
        <v>y</v>
      </c>
      <c r="CQA1" s="154" t="str">
        <f t="shared" si="38"/>
        <v>y</v>
      </c>
      <c r="CQB1" s="154" t="str">
        <f t="shared" si="38"/>
        <v>y</v>
      </c>
      <c r="CQC1" s="154" t="str">
        <f t="shared" si="38"/>
        <v>y</v>
      </c>
      <c r="CQD1" s="154" t="str">
        <f t="shared" si="38"/>
        <v>y</v>
      </c>
      <c r="CQE1" s="154" t="str">
        <f t="shared" si="38"/>
        <v>y</v>
      </c>
      <c r="CQF1" s="154" t="str">
        <f t="shared" si="38"/>
        <v>y</v>
      </c>
      <c r="CQG1" s="154" t="str">
        <f t="shared" si="38"/>
        <v>y</v>
      </c>
      <c r="CQH1" s="154" t="str">
        <f t="shared" si="38"/>
        <v>y</v>
      </c>
      <c r="CQI1" s="154" t="str">
        <f t="shared" si="38"/>
        <v>y</v>
      </c>
      <c r="CQJ1" s="154" t="str">
        <f t="shared" si="38"/>
        <v>y</v>
      </c>
      <c r="CQK1" s="154" t="str">
        <f t="shared" si="38"/>
        <v>y</v>
      </c>
      <c r="CQL1" s="154" t="str">
        <f t="shared" si="38"/>
        <v>y</v>
      </c>
      <c r="CQM1" s="154" t="str">
        <f t="shared" si="38"/>
        <v>y</v>
      </c>
      <c r="CQN1" s="154" t="str">
        <f t="shared" si="38"/>
        <v>y</v>
      </c>
      <c r="CQO1" s="154" t="str">
        <f t="shared" si="38"/>
        <v>y</v>
      </c>
      <c r="CQP1" s="154" t="str">
        <f t="shared" si="38"/>
        <v>y</v>
      </c>
      <c r="CQQ1" s="154" t="str">
        <f t="shared" si="38"/>
        <v>y</v>
      </c>
      <c r="CQR1" s="154" t="str">
        <f t="shared" si="38"/>
        <v>y</v>
      </c>
      <c r="CQS1" s="154" t="str">
        <f t="shared" si="38"/>
        <v>y</v>
      </c>
      <c r="CQT1" s="154" t="str">
        <f t="shared" si="38"/>
        <v>y</v>
      </c>
      <c r="CQU1" s="154" t="str">
        <f t="shared" si="38"/>
        <v>y</v>
      </c>
      <c r="CQV1" s="154" t="str">
        <f t="shared" si="38"/>
        <v>y</v>
      </c>
      <c r="CQW1" s="154" t="str">
        <f t="shared" si="38"/>
        <v>y</v>
      </c>
      <c r="CQX1" s="154" t="str">
        <f t="shared" si="38"/>
        <v>y</v>
      </c>
      <c r="CQY1" s="154" t="str">
        <f t="shared" si="38"/>
        <v>y</v>
      </c>
      <c r="CQZ1" s="154" t="str">
        <f t="shared" si="38"/>
        <v>y</v>
      </c>
      <c r="CRA1" s="154" t="str">
        <f t="shared" si="38"/>
        <v>y</v>
      </c>
      <c r="CRB1" s="154" t="str">
        <f t="shared" si="38"/>
        <v>y</v>
      </c>
      <c r="CRC1" s="154" t="str">
        <f t="shared" si="38"/>
        <v>y</v>
      </c>
      <c r="CRD1" s="154" t="str">
        <f t="shared" si="38"/>
        <v>y</v>
      </c>
      <c r="CRE1" s="154" t="str">
        <f t="shared" si="38"/>
        <v>y</v>
      </c>
      <c r="CRF1" s="154" t="str">
        <f t="shared" ref="CRF1:CTQ1" si="39">CRF2&amp;"y"</f>
        <v>y</v>
      </c>
      <c r="CRG1" s="154" t="str">
        <f t="shared" si="39"/>
        <v>y</v>
      </c>
      <c r="CRH1" s="154" t="str">
        <f t="shared" si="39"/>
        <v>y</v>
      </c>
      <c r="CRI1" s="154" t="str">
        <f t="shared" si="39"/>
        <v>y</v>
      </c>
      <c r="CRJ1" s="154" t="str">
        <f t="shared" si="39"/>
        <v>y</v>
      </c>
      <c r="CRK1" s="154" t="str">
        <f t="shared" si="39"/>
        <v>y</v>
      </c>
      <c r="CRL1" s="154" t="str">
        <f t="shared" si="39"/>
        <v>y</v>
      </c>
      <c r="CRM1" s="154" t="str">
        <f t="shared" si="39"/>
        <v>y</v>
      </c>
      <c r="CRN1" s="154" t="str">
        <f t="shared" si="39"/>
        <v>y</v>
      </c>
      <c r="CRO1" s="154" t="str">
        <f t="shared" si="39"/>
        <v>y</v>
      </c>
      <c r="CRP1" s="154" t="str">
        <f t="shared" si="39"/>
        <v>y</v>
      </c>
      <c r="CRQ1" s="154" t="str">
        <f t="shared" si="39"/>
        <v>y</v>
      </c>
      <c r="CRR1" s="154" t="str">
        <f t="shared" si="39"/>
        <v>y</v>
      </c>
      <c r="CRS1" s="154" t="str">
        <f t="shared" si="39"/>
        <v>y</v>
      </c>
      <c r="CRT1" s="154" t="str">
        <f t="shared" si="39"/>
        <v>y</v>
      </c>
      <c r="CRU1" s="154" t="str">
        <f t="shared" si="39"/>
        <v>y</v>
      </c>
      <c r="CRV1" s="154" t="str">
        <f t="shared" si="39"/>
        <v>y</v>
      </c>
      <c r="CRW1" s="154" t="str">
        <f t="shared" si="39"/>
        <v>y</v>
      </c>
      <c r="CRX1" s="154" t="str">
        <f t="shared" si="39"/>
        <v>y</v>
      </c>
      <c r="CRY1" s="154" t="str">
        <f t="shared" si="39"/>
        <v>y</v>
      </c>
      <c r="CRZ1" s="154" t="str">
        <f t="shared" si="39"/>
        <v>y</v>
      </c>
      <c r="CSA1" s="154" t="str">
        <f t="shared" si="39"/>
        <v>y</v>
      </c>
      <c r="CSB1" s="154" t="str">
        <f t="shared" si="39"/>
        <v>y</v>
      </c>
      <c r="CSC1" s="154" t="str">
        <f t="shared" si="39"/>
        <v>y</v>
      </c>
      <c r="CSD1" s="154" t="str">
        <f t="shared" si="39"/>
        <v>y</v>
      </c>
      <c r="CSE1" s="154" t="str">
        <f t="shared" si="39"/>
        <v>y</v>
      </c>
      <c r="CSF1" s="154" t="str">
        <f t="shared" si="39"/>
        <v>y</v>
      </c>
      <c r="CSG1" s="154" t="str">
        <f t="shared" si="39"/>
        <v>y</v>
      </c>
      <c r="CSH1" s="154" t="str">
        <f t="shared" si="39"/>
        <v>y</v>
      </c>
      <c r="CSI1" s="154" t="str">
        <f t="shared" si="39"/>
        <v>y</v>
      </c>
      <c r="CSJ1" s="154" t="str">
        <f t="shared" si="39"/>
        <v>y</v>
      </c>
      <c r="CSK1" s="154" t="str">
        <f t="shared" si="39"/>
        <v>y</v>
      </c>
      <c r="CSL1" s="154" t="str">
        <f t="shared" si="39"/>
        <v>y</v>
      </c>
      <c r="CSM1" s="154" t="str">
        <f t="shared" si="39"/>
        <v>y</v>
      </c>
      <c r="CSN1" s="154" t="str">
        <f t="shared" si="39"/>
        <v>y</v>
      </c>
      <c r="CSO1" s="154" t="str">
        <f t="shared" si="39"/>
        <v>y</v>
      </c>
      <c r="CSP1" s="154" t="str">
        <f t="shared" si="39"/>
        <v>y</v>
      </c>
      <c r="CSQ1" s="154" t="str">
        <f t="shared" si="39"/>
        <v>y</v>
      </c>
      <c r="CSR1" s="154" t="str">
        <f t="shared" si="39"/>
        <v>y</v>
      </c>
      <c r="CSS1" s="154" t="str">
        <f t="shared" si="39"/>
        <v>y</v>
      </c>
      <c r="CST1" s="154" t="str">
        <f t="shared" si="39"/>
        <v>y</v>
      </c>
      <c r="CSU1" s="154" t="str">
        <f t="shared" si="39"/>
        <v>y</v>
      </c>
      <c r="CSV1" s="154" t="str">
        <f t="shared" si="39"/>
        <v>y</v>
      </c>
      <c r="CSW1" s="154" t="str">
        <f t="shared" si="39"/>
        <v>y</v>
      </c>
      <c r="CSX1" s="154" t="str">
        <f t="shared" si="39"/>
        <v>y</v>
      </c>
      <c r="CSY1" s="154" t="str">
        <f t="shared" si="39"/>
        <v>y</v>
      </c>
      <c r="CSZ1" s="154" t="str">
        <f t="shared" si="39"/>
        <v>y</v>
      </c>
      <c r="CTA1" s="154" t="str">
        <f t="shared" si="39"/>
        <v>y</v>
      </c>
      <c r="CTB1" s="154" t="str">
        <f t="shared" si="39"/>
        <v>y</v>
      </c>
      <c r="CTC1" s="154" t="str">
        <f t="shared" si="39"/>
        <v>y</v>
      </c>
      <c r="CTD1" s="154" t="str">
        <f t="shared" si="39"/>
        <v>y</v>
      </c>
      <c r="CTE1" s="154" t="str">
        <f t="shared" si="39"/>
        <v>y</v>
      </c>
      <c r="CTF1" s="154" t="str">
        <f t="shared" si="39"/>
        <v>y</v>
      </c>
      <c r="CTG1" s="154" t="str">
        <f t="shared" si="39"/>
        <v>y</v>
      </c>
      <c r="CTH1" s="154" t="str">
        <f t="shared" si="39"/>
        <v>y</v>
      </c>
      <c r="CTI1" s="154" t="str">
        <f t="shared" si="39"/>
        <v>y</v>
      </c>
      <c r="CTJ1" s="154" t="str">
        <f t="shared" si="39"/>
        <v>y</v>
      </c>
      <c r="CTK1" s="154" t="str">
        <f t="shared" si="39"/>
        <v>y</v>
      </c>
      <c r="CTL1" s="154" t="str">
        <f t="shared" si="39"/>
        <v>y</v>
      </c>
      <c r="CTM1" s="154" t="str">
        <f t="shared" si="39"/>
        <v>y</v>
      </c>
      <c r="CTN1" s="154" t="str">
        <f t="shared" si="39"/>
        <v>y</v>
      </c>
      <c r="CTO1" s="154" t="str">
        <f t="shared" si="39"/>
        <v>y</v>
      </c>
      <c r="CTP1" s="154" t="str">
        <f t="shared" si="39"/>
        <v>y</v>
      </c>
      <c r="CTQ1" s="154" t="str">
        <f t="shared" si="39"/>
        <v>y</v>
      </c>
      <c r="CTR1" s="154" t="str">
        <f t="shared" ref="CTR1:CWC1" si="40">CTR2&amp;"y"</f>
        <v>y</v>
      </c>
      <c r="CTS1" s="154" t="str">
        <f t="shared" si="40"/>
        <v>y</v>
      </c>
      <c r="CTT1" s="154" t="str">
        <f t="shared" si="40"/>
        <v>y</v>
      </c>
      <c r="CTU1" s="154" t="str">
        <f t="shared" si="40"/>
        <v>y</v>
      </c>
      <c r="CTV1" s="154" t="str">
        <f t="shared" si="40"/>
        <v>y</v>
      </c>
      <c r="CTW1" s="154" t="str">
        <f t="shared" si="40"/>
        <v>y</v>
      </c>
      <c r="CTX1" s="154" t="str">
        <f t="shared" si="40"/>
        <v>y</v>
      </c>
      <c r="CTY1" s="154" t="str">
        <f t="shared" si="40"/>
        <v>y</v>
      </c>
      <c r="CTZ1" s="154" t="str">
        <f t="shared" si="40"/>
        <v>y</v>
      </c>
      <c r="CUA1" s="154" t="str">
        <f t="shared" si="40"/>
        <v>y</v>
      </c>
      <c r="CUB1" s="154" t="str">
        <f t="shared" si="40"/>
        <v>y</v>
      </c>
      <c r="CUC1" s="154" t="str">
        <f t="shared" si="40"/>
        <v>y</v>
      </c>
      <c r="CUD1" s="154" t="str">
        <f t="shared" si="40"/>
        <v>y</v>
      </c>
      <c r="CUE1" s="154" t="str">
        <f t="shared" si="40"/>
        <v>y</v>
      </c>
      <c r="CUF1" s="154" t="str">
        <f t="shared" si="40"/>
        <v>y</v>
      </c>
      <c r="CUG1" s="154" t="str">
        <f t="shared" si="40"/>
        <v>y</v>
      </c>
      <c r="CUH1" s="154" t="str">
        <f t="shared" si="40"/>
        <v>y</v>
      </c>
      <c r="CUI1" s="154" t="str">
        <f t="shared" si="40"/>
        <v>y</v>
      </c>
      <c r="CUJ1" s="154" t="str">
        <f t="shared" si="40"/>
        <v>y</v>
      </c>
      <c r="CUK1" s="154" t="str">
        <f t="shared" si="40"/>
        <v>y</v>
      </c>
      <c r="CUL1" s="154" t="str">
        <f t="shared" si="40"/>
        <v>y</v>
      </c>
      <c r="CUM1" s="154" t="str">
        <f t="shared" si="40"/>
        <v>y</v>
      </c>
      <c r="CUN1" s="154" t="str">
        <f t="shared" si="40"/>
        <v>y</v>
      </c>
      <c r="CUO1" s="154" t="str">
        <f t="shared" si="40"/>
        <v>y</v>
      </c>
      <c r="CUP1" s="154" t="str">
        <f t="shared" si="40"/>
        <v>y</v>
      </c>
      <c r="CUQ1" s="154" t="str">
        <f t="shared" si="40"/>
        <v>y</v>
      </c>
      <c r="CUR1" s="154" t="str">
        <f t="shared" si="40"/>
        <v>y</v>
      </c>
      <c r="CUS1" s="154" t="str">
        <f t="shared" si="40"/>
        <v>y</v>
      </c>
      <c r="CUT1" s="154" t="str">
        <f t="shared" si="40"/>
        <v>y</v>
      </c>
      <c r="CUU1" s="154" t="str">
        <f t="shared" si="40"/>
        <v>y</v>
      </c>
      <c r="CUV1" s="154" t="str">
        <f t="shared" si="40"/>
        <v>y</v>
      </c>
      <c r="CUW1" s="154" t="str">
        <f t="shared" si="40"/>
        <v>y</v>
      </c>
      <c r="CUX1" s="154" t="str">
        <f t="shared" si="40"/>
        <v>y</v>
      </c>
      <c r="CUY1" s="154" t="str">
        <f t="shared" si="40"/>
        <v>y</v>
      </c>
      <c r="CUZ1" s="154" t="str">
        <f t="shared" si="40"/>
        <v>y</v>
      </c>
      <c r="CVA1" s="154" t="str">
        <f t="shared" si="40"/>
        <v>y</v>
      </c>
      <c r="CVB1" s="154" t="str">
        <f t="shared" si="40"/>
        <v>y</v>
      </c>
      <c r="CVC1" s="154" t="str">
        <f t="shared" si="40"/>
        <v>y</v>
      </c>
      <c r="CVD1" s="154" t="str">
        <f t="shared" si="40"/>
        <v>y</v>
      </c>
      <c r="CVE1" s="154" t="str">
        <f t="shared" si="40"/>
        <v>y</v>
      </c>
      <c r="CVF1" s="154" t="str">
        <f t="shared" si="40"/>
        <v>y</v>
      </c>
      <c r="CVG1" s="154" t="str">
        <f t="shared" si="40"/>
        <v>y</v>
      </c>
      <c r="CVH1" s="154" t="str">
        <f t="shared" si="40"/>
        <v>y</v>
      </c>
      <c r="CVI1" s="154" t="str">
        <f t="shared" si="40"/>
        <v>y</v>
      </c>
      <c r="CVJ1" s="154" t="str">
        <f t="shared" si="40"/>
        <v>y</v>
      </c>
      <c r="CVK1" s="154" t="str">
        <f t="shared" si="40"/>
        <v>y</v>
      </c>
      <c r="CVL1" s="154" t="str">
        <f t="shared" si="40"/>
        <v>y</v>
      </c>
      <c r="CVM1" s="154" t="str">
        <f t="shared" si="40"/>
        <v>y</v>
      </c>
      <c r="CVN1" s="154" t="str">
        <f t="shared" si="40"/>
        <v>y</v>
      </c>
      <c r="CVO1" s="154" t="str">
        <f t="shared" si="40"/>
        <v>y</v>
      </c>
      <c r="CVP1" s="154" t="str">
        <f t="shared" si="40"/>
        <v>y</v>
      </c>
      <c r="CVQ1" s="154" t="str">
        <f t="shared" si="40"/>
        <v>y</v>
      </c>
      <c r="CVR1" s="154" t="str">
        <f t="shared" si="40"/>
        <v>y</v>
      </c>
      <c r="CVS1" s="154" t="str">
        <f t="shared" si="40"/>
        <v>y</v>
      </c>
      <c r="CVT1" s="154" t="str">
        <f t="shared" si="40"/>
        <v>y</v>
      </c>
      <c r="CVU1" s="154" t="str">
        <f t="shared" si="40"/>
        <v>y</v>
      </c>
      <c r="CVV1" s="154" t="str">
        <f t="shared" si="40"/>
        <v>y</v>
      </c>
      <c r="CVW1" s="154" t="str">
        <f t="shared" si="40"/>
        <v>y</v>
      </c>
      <c r="CVX1" s="154" t="str">
        <f t="shared" si="40"/>
        <v>y</v>
      </c>
      <c r="CVY1" s="154" t="str">
        <f t="shared" si="40"/>
        <v>y</v>
      </c>
      <c r="CVZ1" s="154" t="str">
        <f t="shared" si="40"/>
        <v>y</v>
      </c>
      <c r="CWA1" s="154" t="str">
        <f t="shared" si="40"/>
        <v>y</v>
      </c>
      <c r="CWB1" s="154" t="str">
        <f t="shared" si="40"/>
        <v>y</v>
      </c>
      <c r="CWC1" s="154" t="str">
        <f t="shared" si="40"/>
        <v>y</v>
      </c>
      <c r="CWD1" s="154" t="str">
        <f t="shared" ref="CWD1:CYO1" si="41">CWD2&amp;"y"</f>
        <v>y</v>
      </c>
      <c r="CWE1" s="154" t="str">
        <f t="shared" si="41"/>
        <v>y</v>
      </c>
      <c r="CWF1" s="154" t="str">
        <f t="shared" si="41"/>
        <v>y</v>
      </c>
      <c r="CWG1" s="154" t="str">
        <f t="shared" si="41"/>
        <v>y</v>
      </c>
      <c r="CWH1" s="154" t="str">
        <f t="shared" si="41"/>
        <v>y</v>
      </c>
      <c r="CWI1" s="154" t="str">
        <f t="shared" si="41"/>
        <v>y</v>
      </c>
      <c r="CWJ1" s="154" t="str">
        <f t="shared" si="41"/>
        <v>y</v>
      </c>
      <c r="CWK1" s="154" t="str">
        <f t="shared" si="41"/>
        <v>y</v>
      </c>
      <c r="CWL1" s="154" t="str">
        <f t="shared" si="41"/>
        <v>y</v>
      </c>
      <c r="CWM1" s="154" t="str">
        <f t="shared" si="41"/>
        <v>y</v>
      </c>
      <c r="CWN1" s="154" t="str">
        <f t="shared" si="41"/>
        <v>y</v>
      </c>
      <c r="CWO1" s="154" t="str">
        <f t="shared" si="41"/>
        <v>y</v>
      </c>
      <c r="CWP1" s="154" t="str">
        <f t="shared" si="41"/>
        <v>y</v>
      </c>
      <c r="CWQ1" s="154" t="str">
        <f t="shared" si="41"/>
        <v>y</v>
      </c>
      <c r="CWR1" s="154" t="str">
        <f t="shared" si="41"/>
        <v>y</v>
      </c>
      <c r="CWS1" s="154" t="str">
        <f t="shared" si="41"/>
        <v>y</v>
      </c>
      <c r="CWT1" s="154" t="str">
        <f t="shared" si="41"/>
        <v>y</v>
      </c>
      <c r="CWU1" s="154" t="str">
        <f t="shared" si="41"/>
        <v>y</v>
      </c>
      <c r="CWV1" s="154" t="str">
        <f t="shared" si="41"/>
        <v>y</v>
      </c>
      <c r="CWW1" s="154" t="str">
        <f t="shared" si="41"/>
        <v>y</v>
      </c>
      <c r="CWX1" s="154" t="str">
        <f t="shared" si="41"/>
        <v>y</v>
      </c>
      <c r="CWY1" s="154" t="str">
        <f t="shared" si="41"/>
        <v>y</v>
      </c>
      <c r="CWZ1" s="154" t="str">
        <f t="shared" si="41"/>
        <v>y</v>
      </c>
      <c r="CXA1" s="154" t="str">
        <f t="shared" si="41"/>
        <v>y</v>
      </c>
      <c r="CXB1" s="154" t="str">
        <f t="shared" si="41"/>
        <v>y</v>
      </c>
      <c r="CXC1" s="154" t="str">
        <f t="shared" si="41"/>
        <v>y</v>
      </c>
      <c r="CXD1" s="154" t="str">
        <f t="shared" si="41"/>
        <v>y</v>
      </c>
      <c r="CXE1" s="154" t="str">
        <f t="shared" si="41"/>
        <v>y</v>
      </c>
      <c r="CXF1" s="154" t="str">
        <f t="shared" si="41"/>
        <v>y</v>
      </c>
      <c r="CXG1" s="154" t="str">
        <f t="shared" si="41"/>
        <v>y</v>
      </c>
      <c r="CXH1" s="154" t="str">
        <f t="shared" si="41"/>
        <v>y</v>
      </c>
      <c r="CXI1" s="154" t="str">
        <f t="shared" si="41"/>
        <v>y</v>
      </c>
      <c r="CXJ1" s="154" t="str">
        <f t="shared" si="41"/>
        <v>y</v>
      </c>
      <c r="CXK1" s="154" t="str">
        <f t="shared" si="41"/>
        <v>y</v>
      </c>
      <c r="CXL1" s="154" t="str">
        <f t="shared" si="41"/>
        <v>y</v>
      </c>
      <c r="CXM1" s="154" t="str">
        <f t="shared" si="41"/>
        <v>y</v>
      </c>
      <c r="CXN1" s="154" t="str">
        <f t="shared" si="41"/>
        <v>y</v>
      </c>
      <c r="CXO1" s="154" t="str">
        <f t="shared" si="41"/>
        <v>y</v>
      </c>
      <c r="CXP1" s="154" t="str">
        <f t="shared" si="41"/>
        <v>y</v>
      </c>
      <c r="CXQ1" s="154" t="str">
        <f t="shared" si="41"/>
        <v>y</v>
      </c>
      <c r="CXR1" s="154" t="str">
        <f t="shared" si="41"/>
        <v>y</v>
      </c>
      <c r="CXS1" s="154" t="str">
        <f t="shared" si="41"/>
        <v>y</v>
      </c>
      <c r="CXT1" s="154" t="str">
        <f t="shared" si="41"/>
        <v>y</v>
      </c>
      <c r="CXU1" s="154" t="str">
        <f t="shared" si="41"/>
        <v>y</v>
      </c>
      <c r="CXV1" s="154" t="str">
        <f t="shared" si="41"/>
        <v>y</v>
      </c>
      <c r="CXW1" s="154" t="str">
        <f t="shared" si="41"/>
        <v>y</v>
      </c>
      <c r="CXX1" s="154" t="str">
        <f t="shared" si="41"/>
        <v>y</v>
      </c>
      <c r="CXY1" s="154" t="str">
        <f t="shared" si="41"/>
        <v>y</v>
      </c>
      <c r="CXZ1" s="154" t="str">
        <f t="shared" si="41"/>
        <v>y</v>
      </c>
      <c r="CYA1" s="154" t="str">
        <f t="shared" si="41"/>
        <v>y</v>
      </c>
      <c r="CYB1" s="154" t="str">
        <f t="shared" si="41"/>
        <v>y</v>
      </c>
      <c r="CYC1" s="154" t="str">
        <f t="shared" si="41"/>
        <v>y</v>
      </c>
      <c r="CYD1" s="154" t="str">
        <f t="shared" si="41"/>
        <v>y</v>
      </c>
      <c r="CYE1" s="154" t="str">
        <f t="shared" si="41"/>
        <v>y</v>
      </c>
      <c r="CYF1" s="154" t="str">
        <f t="shared" si="41"/>
        <v>y</v>
      </c>
      <c r="CYG1" s="154" t="str">
        <f t="shared" si="41"/>
        <v>y</v>
      </c>
      <c r="CYH1" s="154" t="str">
        <f t="shared" si="41"/>
        <v>y</v>
      </c>
      <c r="CYI1" s="154" t="str">
        <f t="shared" si="41"/>
        <v>y</v>
      </c>
      <c r="CYJ1" s="154" t="str">
        <f t="shared" si="41"/>
        <v>y</v>
      </c>
      <c r="CYK1" s="154" t="str">
        <f t="shared" si="41"/>
        <v>y</v>
      </c>
      <c r="CYL1" s="154" t="str">
        <f t="shared" si="41"/>
        <v>y</v>
      </c>
      <c r="CYM1" s="154" t="str">
        <f t="shared" si="41"/>
        <v>y</v>
      </c>
      <c r="CYN1" s="154" t="str">
        <f t="shared" si="41"/>
        <v>y</v>
      </c>
      <c r="CYO1" s="154" t="str">
        <f t="shared" si="41"/>
        <v>y</v>
      </c>
      <c r="CYP1" s="154" t="str">
        <f t="shared" ref="CYP1:DBA1" si="42">CYP2&amp;"y"</f>
        <v>y</v>
      </c>
      <c r="CYQ1" s="154" t="str">
        <f t="shared" si="42"/>
        <v>y</v>
      </c>
      <c r="CYR1" s="154" t="str">
        <f t="shared" si="42"/>
        <v>y</v>
      </c>
      <c r="CYS1" s="154" t="str">
        <f t="shared" si="42"/>
        <v>y</v>
      </c>
      <c r="CYT1" s="154" t="str">
        <f t="shared" si="42"/>
        <v>y</v>
      </c>
      <c r="CYU1" s="154" t="str">
        <f t="shared" si="42"/>
        <v>y</v>
      </c>
      <c r="CYV1" s="154" t="str">
        <f t="shared" si="42"/>
        <v>y</v>
      </c>
      <c r="CYW1" s="154" t="str">
        <f t="shared" si="42"/>
        <v>y</v>
      </c>
      <c r="CYX1" s="154" t="str">
        <f t="shared" si="42"/>
        <v>y</v>
      </c>
      <c r="CYY1" s="154" t="str">
        <f t="shared" si="42"/>
        <v>y</v>
      </c>
      <c r="CYZ1" s="154" t="str">
        <f t="shared" si="42"/>
        <v>y</v>
      </c>
      <c r="CZA1" s="154" t="str">
        <f t="shared" si="42"/>
        <v>y</v>
      </c>
      <c r="CZB1" s="154" t="str">
        <f t="shared" si="42"/>
        <v>y</v>
      </c>
      <c r="CZC1" s="154" t="str">
        <f t="shared" si="42"/>
        <v>y</v>
      </c>
      <c r="CZD1" s="154" t="str">
        <f t="shared" si="42"/>
        <v>y</v>
      </c>
      <c r="CZE1" s="154" t="str">
        <f t="shared" si="42"/>
        <v>y</v>
      </c>
      <c r="CZF1" s="154" t="str">
        <f t="shared" si="42"/>
        <v>y</v>
      </c>
      <c r="CZG1" s="154" t="str">
        <f t="shared" si="42"/>
        <v>y</v>
      </c>
      <c r="CZH1" s="154" t="str">
        <f t="shared" si="42"/>
        <v>y</v>
      </c>
      <c r="CZI1" s="154" t="str">
        <f t="shared" si="42"/>
        <v>y</v>
      </c>
      <c r="CZJ1" s="154" t="str">
        <f t="shared" si="42"/>
        <v>y</v>
      </c>
      <c r="CZK1" s="154" t="str">
        <f t="shared" si="42"/>
        <v>y</v>
      </c>
      <c r="CZL1" s="154" t="str">
        <f t="shared" si="42"/>
        <v>y</v>
      </c>
      <c r="CZM1" s="154" t="str">
        <f t="shared" si="42"/>
        <v>y</v>
      </c>
      <c r="CZN1" s="154" t="str">
        <f t="shared" si="42"/>
        <v>y</v>
      </c>
      <c r="CZO1" s="154" t="str">
        <f t="shared" si="42"/>
        <v>y</v>
      </c>
      <c r="CZP1" s="154" t="str">
        <f t="shared" si="42"/>
        <v>y</v>
      </c>
      <c r="CZQ1" s="154" t="str">
        <f t="shared" si="42"/>
        <v>y</v>
      </c>
      <c r="CZR1" s="154" t="str">
        <f t="shared" si="42"/>
        <v>y</v>
      </c>
      <c r="CZS1" s="154" t="str">
        <f t="shared" si="42"/>
        <v>y</v>
      </c>
      <c r="CZT1" s="154" t="str">
        <f t="shared" si="42"/>
        <v>y</v>
      </c>
      <c r="CZU1" s="154" t="str">
        <f t="shared" si="42"/>
        <v>y</v>
      </c>
      <c r="CZV1" s="154" t="str">
        <f t="shared" si="42"/>
        <v>y</v>
      </c>
      <c r="CZW1" s="154" t="str">
        <f t="shared" si="42"/>
        <v>y</v>
      </c>
      <c r="CZX1" s="154" t="str">
        <f t="shared" si="42"/>
        <v>y</v>
      </c>
      <c r="CZY1" s="154" t="str">
        <f t="shared" si="42"/>
        <v>y</v>
      </c>
      <c r="CZZ1" s="154" t="str">
        <f t="shared" si="42"/>
        <v>y</v>
      </c>
      <c r="DAA1" s="154" t="str">
        <f t="shared" si="42"/>
        <v>y</v>
      </c>
      <c r="DAB1" s="154" t="str">
        <f t="shared" si="42"/>
        <v>y</v>
      </c>
      <c r="DAC1" s="154" t="str">
        <f t="shared" si="42"/>
        <v>y</v>
      </c>
      <c r="DAD1" s="154" t="str">
        <f t="shared" si="42"/>
        <v>y</v>
      </c>
      <c r="DAE1" s="154" t="str">
        <f t="shared" si="42"/>
        <v>y</v>
      </c>
      <c r="DAF1" s="154" t="str">
        <f t="shared" si="42"/>
        <v>y</v>
      </c>
      <c r="DAG1" s="154" t="str">
        <f t="shared" si="42"/>
        <v>y</v>
      </c>
      <c r="DAH1" s="154" t="str">
        <f t="shared" si="42"/>
        <v>y</v>
      </c>
      <c r="DAI1" s="154" t="str">
        <f t="shared" si="42"/>
        <v>y</v>
      </c>
      <c r="DAJ1" s="154" t="str">
        <f t="shared" si="42"/>
        <v>y</v>
      </c>
      <c r="DAK1" s="154" t="str">
        <f t="shared" si="42"/>
        <v>y</v>
      </c>
      <c r="DAL1" s="154" t="str">
        <f t="shared" si="42"/>
        <v>y</v>
      </c>
      <c r="DAM1" s="154" t="str">
        <f t="shared" si="42"/>
        <v>y</v>
      </c>
      <c r="DAN1" s="154" t="str">
        <f t="shared" si="42"/>
        <v>y</v>
      </c>
      <c r="DAO1" s="154" t="str">
        <f t="shared" si="42"/>
        <v>y</v>
      </c>
      <c r="DAP1" s="154" t="str">
        <f t="shared" si="42"/>
        <v>y</v>
      </c>
      <c r="DAQ1" s="154" t="str">
        <f t="shared" si="42"/>
        <v>y</v>
      </c>
      <c r="DAR1" s="154" t="str">
        <f t="shared" si="42"/>
        <v>y</v>
      </c>
      <c r="DAS1" s="154" t="str">
        <f t="shared" si="42"/>
        <v>y</v>
      </c>
      <c r="DAT1" s="154" t="str">
        <f t="shared" si="42"/>
        <v>y</v>
      </c>
      <c r="DAU1" s="154" t="str">
        <f t="shared" si="42"/>
        <v>y</v>
      </c>
      <c r="DAV1" s="154" t="str">
        <f t="shared" si="42"/>
        <v>y</v>
      </c>
      <c r="DAW1" s="154" t="str">
        <f t="shared" si="42"/>
        <v>y</v>
      </c>
      <c r="DAX1" s="154" t="str">
        <f t="shared" si="42"/>
        <v>y</v>
      </c>
      <c r="DAY1" s="154" t="str">
        <f t="shared" si="42"/>
        <v>y</v>
      </c>
      <c r="DAZ1" s="154" t="str">
        <f t="shared" si="42"/>
        <v>y</v>
      </c>
      <c r="DBA1" s="154" t="str">
        <f t="shared" si="42"/>
        <v>y</v>
      </c>
      <c r="DBB1" s="154" t="str">
        <f t="shared" ref="DBB1:DDM1" si="43">DBB2&amp;"y"</f>
        <v>y</v>
      </c>
      <c r="DBC1" s="154" t="str">
        <f t="shared" si="43"/>
        <v>y</v>
      </c>
      <c r="DBD1" s="154" t="str">
        <f t="shared" si="43"/>
        <v>y</v>
      </c>
      <c r="DBE1" s="154" t="str">
        <f t="shared" si="43"/>
        <v>y</v>
      </c>
      <c r="DBF1" s="154" t="str">
        <f t="shared" si="43"/>
        <v>y</v>
      </c>
      <c r="DBG1" s="154" t="str">
        <f t="shared" si="43"/>
        <v>y</v>
      </c>
      <c r="DBH1" s="154" t="str">
        <f t="shared" si="43"/>
        <v>y</v>
      </c>
      <c r="DBI1" s="154" t="str">
        <f t="shared" si="43"/>
        <v>y</v>
      </c>
      <c r="DBJ1" s="154" t="str">
        <f t="shared" si="43"/>
        <v>y</v>
      </c>
      <c r="DBK1" s="154" t="str">
        <f t="shared" si="43"/>
        <v>y</v>
      </c>
      <c r="DBL1" s="154" t="str">
        <f t="shared" si="43"/>
        <v>y</v>
      </c>
      <c r="DBM1" s="154" t="str">
        <f t="shared" si="43"/>
        <v>y</v>
      </c>
      <c r="DBN1" s="154" t="str">
        <f t="shared" si="43"/>
        <v>y</v>
      </c>
      <c r="DBO1" s="154" t="str">
        <f t="shared" si="43"/>
        <v>y</v>
      </c>
      <c r="DBP1" s="154" t="str">
        <f t="shared" si="43"/>
        <v>y</v>
      </c>
      <c r="DBQ1" s="154" t="str">
        <f t="shared" si="43"/>
        <v>y</v>
      </c>
      <c r="DBR1" s="154" t="str">
        <f t="shared" si="43"/>
        <v>y</v>
      </c>
      <c r="DBS1" s="154" t="str">
        <f t="shared" si="43"/>
        <v>y</v>
      </c>
      <c r="DBT1" s="154" t="str">
        <f t="shared" si="43"/>
        <v>y</v>
      </c>
      <c r="DBU1" s="154" t="str">
        <f t="shared" si="43"/>
        <v>y</v>
      </c>
      <c r="DBV1" s="154" t="str">
        <f t="shared" si="43"/>
        <v>y</v>
      </c>
      <c r="DBW1" s="154" t="str">
        <f t="shared" si="43"/>
        <v>y</v>
      </c>
      <c r="DBX1" s="154" t="str">
        <f t="shared" si="43"/>
        <v>y</v>
      </c>
      <c r="DBY1" s="154" t="str">
        <f t="shared" si="43"/>
        <v>y</v>
      </c>
      <c r="DBZ1" s="154" t="str">
        <f t="shared" si="43"/>
        <v>y</v>
      </c>
      <c r="DCA1" s="154" t="str">
        <f t="shared" si="43"/>
        <v>y</v>
      </c>
      <c r="DCB1" s="154" t="str">
        <f t="shared" si="43"/>
        <v>y</v>
      </c>
      <c r="DCC1" s="154" t="str">
        <f t="shared" si="43"/>
        <v>y</v>
      </c>
      <c r="DCD1" s="154" t="str">
        <f t="shared" si="43"/>
        <v>y</v>
      </c>
      <c r="DCE1" s="154" t="str">
        <f t="shared" si="43"/>
        <v>y</v>
      </c>
      <c r="DCF1" s="154" t="str">
        <f t="shared" si="43"/>
        <v>y</v>
      </c>
      <c r="DCG1" s="154" t="str">
        <f t="shared" si="43"/>
        <v>y</v>
      </c>
      <c r="DCH1" s="154" t="str">
        <f t="shared" si="43"/>
        <v>y</v>
      </c>
      <c r="DCI1" s="154" t="str">
        <f t="shared" si="43"/>
        <v>y</v>
      </c>
      <c r="DCJ1" s="154" t="str">
        <f t="shared" si="43"/>
        <v>y</v>
      </c>
      <c r="DCK1" s="154" t="str">
        <f t="shared" si="43"/>
        <v>y</v>
      </c>
      <c r="DCL1" s="154" t="str">
        <f t="shared" si="43"/>
        <v>y</v>
      </c>
      <c r="DCM1" s="154" t="str">
        <f t="shared" si="43"/>
        <v>y</v>
      </c>
      <c r="DCN1" s="154" t="str">
        <f t="shared" si="43"/>
        <v>y</v>
      </c>
      <c r="DCO1" s="154" t="str">
        <f t="shared" si="43"/>
        <v>y</v>
      </c>
      <c r="DCP1" s="154" t="str">
        <f t="shared" si="43"/>
        <v>y</v>
      </c>
      <c r="DCQ1" s="154" t="str">
        <f t="shared" si="43"/>
        <v>y</v>
      </c>
      <c r="DCR1" s="154" t="str">
        <f t="shared" si="43"/>
        <v>y</v>
      </c>
      <c r="DCS1" s="154" t="str">
        <f t="shared" si="43"/>
        <v>y</v>
      </c>
      <c r="DCT1" s="154" t="str">
        <f t="shared" si="43"/>
        <v>y</v>
      </c>
      <c r="DCU1" s="154" t="str">
        <f t="shared" si="43"/>
        <v>y</v>
      </c>
      <c r="DCV1" s="154" t="str">
        <f t="shared" si="43"/>
        <v>y</v>
      </c>
      <c r="DCW1" s="154" t="str">
        <f t="shared" si="43"/>
        <v>y</v>
      </c>
      <c r="DCX1" s="154" t="str">
        <f t="shared" si="43"/>
        <v>y</v>
      </c>
      <c r="DCY1" s="154" t="str">
        <f t="shared" si="43"/>
        <v>y</v>
      </c>
      <c r="DCZ1" s="154" t="str">
        <f t="shared" si="43"/>
        <v>y</v>
      </c>
      <c r="DDA1" s="154" t="str">
        <f t="shared" si="43"/>
        <v>y</v>
      </c>
      <c r="DDB1" s="154" t="str">
        <f t="shared" si="43"/>
        <v>y</v>
      </c>
      <c r="DDC1" s="154" t="str">
        <f t="shared" si="43"/>
        <v>y</v>
      </c>
      <c r="DDD1" s="154" t="str">
        <f t="shared" si="43"/>
        <v>y</v>
      </c>
      <c r="DDE1" s="154" t="str">
        <f t="shared" si="43"/>
        <v>y</v>
      </c>
      <c r="DDF1" s="154" t="str">
        <f t="shared" si="43"/>
        <v>y</v>
      </c>
      <c r="DDG1" s="154" t="str">
        <f t="shared" si="43"/>
        <v>y</v>
      </c>
      <c r="DDH1" s="154" t="str">
        <f t="shared" si="43"/>
        <v>y</v>
      </c>
      <c r="DDI1" s="154" t="str">
        <f t="shared" si="43"/>
        <v>y</v>
      </c>
      <c r="DDJ1" s="154" t="str">
        <f t="shared" si="43"/>
        <v>y</v>
      </c>
      <c r="DDK1" s="154" t="str">
        <f t="shared" si="43"/>
        <v>y</v>
      </c>
      <c r="DDL1" s="154" t="str">
        <f t="shared" si="43"/>
        <v>y</v>
      </c>
      <c r="DDM1" s="154" t="str">
        <f t="shared" si="43"/>
        <v>y</v>
      </c>
      <c r="DDN1" s="154" t="str">
        <f t="shared" ref="DDN1:DFY1" si="44">DDN2&amp;"y"</f>
        <v>y</v>
      </c>
      <c r="DDO1" s="154" t="str">
        <f t="shared" si="44"/>
        <v>y</v>
      </c>
      <c r="DDP1" s="154" t="str">
        <f t="shared" si="44"/>
        <v>y</v>
      </c>
      <c r="DDQ1" s="154" t="str">
        <f t="shared" si="44"/>
        <v>y</v>
      </c>
      <c r="DDR1" s="154" t="str">
        <f t="shared" si="44"/>
        <v>y</v>
      </c>
      <c r="DDS1" s="154" t="str">
        <f t="shared" si="44"/>
        <v>y</v>
      </c>
      <c r="DDT1" s="154" t="str">
        <f t="shared" si="44"/>
        <v>y</v>
      </c>
      <c r="DDU1" s="154" t="str">
        <f t="shared" si="44"/>
        <v>y</v>
      </c>
      <c r="DDV1" s="154" t="str">
        <f t="shared" si="44"/>
        <v>y</v>
      </c>
      <c r="DDW1" s="154" t="str">
        <f t="shared" si="44"/>
        <v>y</v>
      </c>
      <c r="DDX1" s="154" t="str">
        <f t="shared" si="44"/>
        <v>y</v>
      </c>
      <c r="DDY1" s="154" t="str">
        <f t="shared" si="44"/>
        <v>y</v>
      </c>
      <c r="DDZ1" s="154" t="str">
        <f t="shared" si="44"/>
        <v>y</v>
      </c>
      <c r="DEA1" s="154" t="str">
        <f t="shared" si="44"/>
        <v>y</v>
      </c>
      <c r="DEB1" s="154" t="str">
        <f t="shared" si="44"/>
        <v>y</v>
      </c>
      <c r="DEC1" s="154" t="str">
        <f t="shared" si="44"/>
        <v>y</v>
      </c>
      <c r="DED1" s="154" t="str">
        <f t="shared" si="44"/>
        <v>y</v>
      </c>
      <c r="DEE1" s="154" t="str">
        <f t="shared" si="44"/>
        <v>y</v>
      </c>
      <c r="DEF1" s="154" t="str">
        <f t="shared" si="44"/>
        <v>y</v>
      </c>
      <c r="DEG1" s="154" t="str">
        <f t="shared" si="44"/>
        <v>y</v>
      </c>
      <c r="DEH1" s="154" t="str">
        <f t="shared" si="44"/>
        <v>y</v>
      </c>
      <c r="DEI1" s="154" t="str">
        <f t="shared" si="44"/>
        <v>y</v>
      </c>
      <c r="DEJ1" s="154" t="str">
        <f t="shared" si="44"/>
        <v>y</v>
      </c>
      <c r="DEK1" s="154" t="str">
        <f t="shared" si="44"/>
        <v>y</v>
      </c>
      <c r="DEL1" s="154" t="str">
        <f t="shared" si="44"/>
        <v>y</v>
      </c>
      <c r="DEM1" s="154" t="str">
        <f t="shared" si="44"/>
        <v>y</v>
      </c>
      <c r="DEN1" s="154" t="str">
        <f t="shared" si="44"/>
        <v>y</v>
      </c>
      <c r="DEO1" s="154" t="str">
        <f t="shared" si="44"/>
        <v>y</v>
      </c>
      <c r="DEP1" s="154" t="str">
        <f t="shared" si="44"/>
        <v>y</v>
      </c>
      <c r="DEQ1" s="154" t="str">
        <f t="shared" si="44"/>
        <v>y</v>
      </c>
      <c r="DER1" s="154" t="str">
        <f t="shared" si="44"/>
        <v>y</v>
      </c>
      <c r="DES1" s="154" t="str">
        <f t="shared" si="44"/>
        <v>y</v>
      </c>
      <c r="DET1" s="154" t="str">
        <f t="shared" si="44"/>
        <v>y</v>
      </c>
      <c r="DEU1" s="154" t="str">
        <f t="shared" si="44"/>
        <v>y</v>
      </c>
      <c r="DEV1" s="154" t="str">
        <f t="shared" si="44"/>
        <v>y</v>
      </c>
      <c r="DEW1" s="154" t="str">
        <f t="shared" si="44"/>
        <v>y</v>
      </c>
      <c r="DEX1" s="154" t="str">
        <f t="shared" si="44"/>
        <v>y</v>
      </c>
      <c r="DEY1" s="154" t="str">
        <f t="shared" si="44"/>
        <v>y</v>
      </c>
      <c r="DEZ1" s="154" t="str">
        <f t="shared" si="44"/>
        <v>y</v>
      </c>
      <c r="DFA1" s="154" t="str">
        <f t="shared" si="44"/>
        <v>y</v>
      </c>
      <c r="DFB1" s="154" t="str">
        <f t="shared" si="44"/>
        <v>y</v>
      </c>
      <c r="DFC1" s="154" t="str">
        <f t="shared" si="44"/>
        <v>y</v>
      </c>
      <c r="DFD1" s="154" t="str">
        <f t="shared" si="44"/>
        <v>y</v>
      </c>
      <c r="DFE1" s="154" t="str">
        <f t="shared" si="44"/>
        <v>y</v>
      </c>
      <c r="DFF1" s="154" t="str">
        <f t="shared" si="44"/>
        <v>y</v>
      </c>
      <c r="DFG1" s="154" t="str">
        <f t="shared" si="44"/>
        <v>y</v>
      </c>
      <c r="DFH1" s="154" t="str">
        <f t="shared" si="44"/>
        <v>y</v>
      </c>
      <c r="DFI1" s="154" t="str">
        <f t="shared" si="44"/>
        <v>y</v>
      </c>
      <c r="DFJ1" s="154" t="str">
        <f t="shared" si="44"/>
        <v>y</v>
      </c>
      <c r="DFK1" s="154" t="str">
        <f t="shared" si="44"/>
        <v>y</v>
      </c>
      <c r="DFL1" s="154" t="str">
        <f t="shared" si="44"/>
        <v>y</v>
      </c>
      <c r="DFM1" s="154" t="str">
        <f t="shared" si="44"/>
        <v>y</v>
      </c>
      <c r="DFN1" s="154" t="str">
        <f t="shared" si="44"/>
        <v>y</v>
      </c>
      <c r="DFO1" s="154" t="str">
        <f t="shared" si="44"/>
        <v>y</v>
      </c>
      <c r="DFP1" s="154" t="str">
        <f t="shared" si="44"/>
        <v>y</v>
      </c>
      <c r="DFQ1" s="154" t="str">
        <f t="shared" si="44"/>
        <v>y</v>
      </c>
      <c r="DFR1" s="154" t="str">
        <f t="shared" si="44"/>
        <v>y</v>
      </c>
      <c r="DFS1" s="154" t="str">
        <f t="shared" si="44"/>
        <v>y</v>
      </c>
      <c r="DFT1" s="154" t="str">
        <f t="shared" si="44"/>
        <v>y</v>
      </c>
      <c r="DFU1" s="154" t="str">
        <f t="shared" si="44"/>
        <v>y</v>
      </c>
      <c r="DFV1" s="154" t="str">
        <f t="shared" si="44"/>
        <v>y</v>
      </c>
      <c r="DFW1" s="154" t="str">
        <f t="shared" si="44"/>
        <v>y</v>
      </c>
      <c r="DFX1" s="154" t="str">
        <f t="shared" si="44"/>
        <v>y</v>
      </c>
      <c r="DFY1" s="154" t="str">
        <f t="shared" si="44"/>
        <v>y</v>
      </c>
      <c r="DFZ1" s="154" t="str">
        <f t="shared" ref="DFZ1:DIK1" si="45">DFZ2&amp;"y"</f>
        <v>y</v>
      </c>
      <c r="DGA1" s="154" t="str">
        <f t="shared" si="45"/>
        <v>y</v>
      </c>
      <c r="DGB1" s="154" t="str">
        <f t="shared" si="45"/>
        <v>y</v>
      </c>
      <c r="DGC1" s="154" t="str">
        <f t="shared" si="45"/>
        <v>y</v>
      </c>
      <c r="DGD1" s="154" t="str">
        <f t="shared" si="45"/>
        <v>y</v>
      </c>
      <c r="DGE1" s="154" t="str">
        <f t="shared" si="45"/>
        <v>y</v>
      </c>
      <c r="DGF1" s="154" t="str">
        <f t="shared" si="45"/>
        <v>y</v>
      </c>
      <c r="DGG1" s="154" t="str">
        <f t="shared" si="45"/>
        <v>y</v>
      </c>
      <c r="DGH1" s="154" t="str">
        <f t="shared" si="45"/>
        <v>y</v>
      </c>
      <c r="DGI1" s="154" t="str">
        <f t="shared" si="45"/>
        <v>y</v>
      </c>
      <c r="DGJ1" s="154" t="str">
        <f t="shared" si="45"/>
        <v>y</v>
      </c>
      <c r="DGK1" s="154" t="str">
        <f t="shared" si="45"/>
        <v>y</v>
      </c>
      <c r="DGL1" s="154" t="str">
        <f t="shared" si="45"/>
        <v>y</v>
      </c>
      <c r="DGM1" s="154" t="str">
        <f t="shared" si="45"/>
        <v>y</v>
      </c>
      <c r="DGN1" s="154" t="str">
        <f t="shared" si="45"/>
        <v>y</v>
      </c>
      <c r="DGO1" s="154" t="str">
        <f t="shared" si="45"/>
        <v>y</v>
      </c>
      <c r="DGP1" s="154" t="str">
        <f t="shared" si="45"/>
        <v>y</v>
      </c>
      <c r="DGQ1" s="154" t="str">
        <f t="shared" si="45"/>
        <v>y</v>
      </c>
      <c r="DGR1" s="154" t="str">
        <f t="shared" si="45"/>
        <v>y</v>
      </c>
      <c r="DGS1" s="154" t="str">
        <f t="shared" si="45"/>
        <v>y</v>
      </c>
      <c r="DGT1" s="154" t="str">
        <f t="shared" si="45"/>
        <v>y</v>
      </c>
      <c r="DGU1" s="154" t="str">
        <f t="shared" si="45"/>
        <v>y</v>
      </c>
      <c r="DGV1" s="154" t="str">
        <f t="shared" si="45"/>
        <v>y</v>
      </c>
      <c r="DGW1" s="154" t="str">
        <f t="shared" si="45"/>
        <v>y</v>
      </c>
      <c r="DGX1" s="154" t="str">
        <f t="shared" si="45"/>
        <v>y</v>
      </c>
      <c r="DGY1" s="154" t="str">
        <f t="shared" si="45"/>
        <v>y</v>
      </c>
      <c r="DGZ1" s="154" t="str">
        <f t="shared" si="45"/>
        <v>y</v>
      </c>
      <c r="DHA1" s="154" t="str">
        <f t="shared" si="45"/>
        <v>y</v>
      </c>
      <c r="DHB1" s="154" t="str">
        <f t="shared" si="45"/>
        <v>y</v>
      </c>
      <c r="DHC1" s="154" t="str">
        <f t="shared" si="45"/>
        <v>y</v>
      </c>
      <c r="DHD1" s="154" t="str">
        <f t="shared" si="45"/>
        <v>y</v>
      </c>
      <c r="DHE1" s="154" t="str">
        <f t="shared" si="45"/>
        <v>y</v>
      </c>
      <c r="DHF1" s="154" t="str">
        <f t="shared" si="45"/>
        <v>y</v>
      </c>
      <c r="DHG1" s="154" t="str">
        <f t="shared" si="45"/>
        <v>y</v>
      </c>
      <c r="DHH1" s="154" t="str">
        <f t="shared" si="45"/>
        <v>y</v>
      </c>
      <c r="DHI1" s="154" t="str">
        <f t="shared" si="45"/>
        <v>y</v>
      </c>
      <c r="DHJ1" s="154" t="str">
        <f t="shared" si="45"/>
        <v>y</v>
      </c>
      <c r="DHK1" s="154" t="str">
        <f t="shared" si="45"/>
        <v>y</v>
      </c>
      <c r="DHL1" s="154" t="str">
        <f t="shared" si="45"/>
        <v>y</v>
      </c>
      <c r="DHM1" s="154" t="str">
        <f t="shared" si="45"/>
        <v>y</v>
      </c>
      <c r="DHN1" s="154" t="str">
        <f t="shared" si="45"/>
        <v>y</v>
      </c>
      <c r="DHO1" s="154" t="str">
        <f t="shared" si="45"/>
        <v>y</v>
      </c>
      <c r="DHP1" s="154" t="str">
        <f t="shared" si="45"/>
        <v>y</v>
      </c>
      <c r="DHQ1" s="154" t="str">
        <f t="shared" si="45"/>
        <v>y</v>
      </c>
      <c r="DHR1" s="154" t="str">
        <f t="shared" si="45"/>
        <v>y</v>
      </c>
      <c r="DHS1" s="154" t="str">
        <f t="shared" si="45"/>
        <v>y</v>
      </c>
      <c r="DHT1" s="154" t="str">
        <f t="shared" si="45"/>
        <v>y</v>
      </c>
      <c r="DHU1" s="154" t="str">
        <f t="shared" si="45"/>
        <v>y</v>
      </c>
      <c r="DHV1" s="154" t="str">
        <f t="shared" si="45"/>
        <v>y</v>
      </c>
      <c r="DHW1" s="154" t="str">
        <f t="shared" si="45"/>
        <v>y</v>
      </c>
      <c r="DHX1" s="154" t="str">
        <f t="shared" si="45"/>
        <v>y</v>
      </c>
      <c r="DHY1" s="154" t="str">
        <f t="shared" si="45"/>
        <v>y</v>
      </c>
      <c r="DHZ1" s="154" t="str">
        <f t="shared" si="45"/>
        <v>y</v>
      </c>
      <c r="DIA1" s="154" t="str">
        <f t="shared" si="45"/>
        <v>y</v>
      </c>
      <c r="DIB1" s="154" t="str">
        <f t="shared" si="45"/>
        <v>y</v>
      </c>
      <c r="DIC1" s="154" t="str">
        <f t="shared" si="45"/>
        <v>y</v>
      </c>
      <c r="DID1" s="154" t="str">
        <f t="shared" si="45"/>
        <v>y</v>
      </c>
      <c r="DIE1" s="154" t="str">
        <f t="shared" si="45"/>
        <v>y</v>
      </c>
      <c r="DIF1" s="154" t="str">
        <f t="shared" si="45"/>
        <v>y</v>
      </c>
      <c r="DIG1" s="154" t="str">
        <f t="shared" si="45"/>
        <v>y</v>
      </c>
      <c r="DIH1" s="154" t="str">
        <f t="shared" si="45"/>
        <v>y</v>
      </c>
      <c r="DII1" s="154" t="str">
        <f t="shared" si="45"/>
        <v>y</v>
      </c>
      <c r="DIJ1" s="154" t="str">
        <f t="shared" si="45"/>
        <v>y</v>
      </c>
      <c r="DIK1" s="154" t="str">
        <f t="shared" si="45"/>
        <v>y</v>
      </c>
      <c r="DIL1" s="154" t="str">
        <f t="shared" ref="DIL1:DKW1" si="46">DIL2&amp;"y"</f>
        <v>y</v>
      </c>
      <c r="DIM1" s="154" t="str">
        <f t="shared" si="46"/>
        <v>y</v>
      </c>
      <c r="DIN1" s="154" t="str">
        <f t="shared" si="46"/>
        <v>y</v>
      </c>
      <c r="DIO1" s="154" t="str">
        <f t="shared" si="46"/>
        <v>y</v>
      </c>
      <c r="DIP1" s="154" t="str">
        <f t="shared" si="46"/>
        <v>y</v>
      </c>
      <c r="DIQ1" s="154" t="str">
        <f t="shared" si="46"/>
        <v>y</v>
      </c>
      <c r="DIR1" s="154" t="str">
        <f t="shared" si="46"/>
        <v>y</v>
      </c>
      <c r="DIS1" s="154" t="str">
        <f t="shared" si="46"/>
        <v>y</v>
      </c>
      <c r="DIT1" s="154" t="str">
        <f t="shared" si="46"/>
        <v>y</v>
      </c>
      <c r="DIU1" s="154" t="str">
        <f t="shared" si="46"/>
        <v>y</v>
      </c>
      <c r="DIV1" s="154" t="str">
        <f t="shared" si="46"/>
        <v>y</v>
      </c>
      <c r="DIW1" s="154" t="str">
        <f t="shared" si="46"/>
        <v>y</v>
      </c>
      <c r="DIX1" s="154" t="str">
        <f t="shared" si="46"/>
        <v>y</v>
      </c>
      <c r="DIY1" s="154" t="str">
        <f t="shared" si="46"/>
        <v>y</v>
      </c>
      <c r="DIZ1" s="154" t="str">
        <f t="shared" si="46"/>
        <v>y</v>
      </c>
      <c r="DJA1" s="154" t="str">
        <f t="shared" si="46"/>
        <v>y</v>
      </c>
      <c r="DJB1" s="154" t="str">
        <f t="shared" si="46"/>
        <v>y</v>
      </c>
      <c r="DJC1" s="154" t="str">
        <f t="shared" si="46"/>
        <v>y</v>
      </c>
      <c r="DJD1" s="154" t="str">
        <f t="shared" si="46"/>
        <v>y</v>
      </c>
      <c r="DJE1" s="154" t="str">
        <f t="shared" si="46"/>
        <v>y</v>
      </c>
      <c r="DJF1" s="154" t="str">
        <f t="shared" si="46"/>
        <v>y</v>
      </c>
      <c r="DJG1" s="154" t="str">
        <f t="shared" si="46"/>
        <v>y</v>
      </c>
      <c r="DJH1" s="154" t="str">
        <f t="shared" si="46"/>
        <v>y</v>
      </c>
      <c r="DJI1" s="154" t="str">
        <f t="shared" si="46"/>
        <v>y</v>
      </c>
      <c r="DJJ1" s="154" t="str">
        <f t="shared" si="46"/>
        <v>y</v>
      </c>
      <c r="DJK1" s="154" t="str">
        <f t="shared" si="46"/>
        <v>y</v>
      </c>
      <c r="DJL1" s="154" t="str">
        <f t="shared" si="46"/>
        <v>y</v>
      </c>
      <c r="DJM1" s="154" t="str">
        <f t="shared" si="46"/>
        <v>y</v>
      </c>
      <c r="DJN1" s="154" t="str">
        <f t="shared" si="46"/>
        <v>y</v>
      </c>
      <c r="DJO1" s="154" t="str">
        <f t="shared" si="46"/>
        <v>y</v>
      </c>
      <c r="DJP1" s="154" t="str">
        <f t="shared" si="46"/>
        <v>y</v>
      </c>
      <c r="DJQ1" s="154" t="str">
        <f t="shared" si="46"/>
        <v>y</v>
      </c>
      <c r="DJR1" s="154" t="str">
        <f t="shared" si="46"/>
        <v>y</v>
      </c>
      <c r="DJS1" s="154" t="str">
        <f t="shared" si="46"/>
        <v>y</v>
      </c>
      <c r="DJT1" s="154" t="str">
        <f t="shared" si="46"/>
        <v>y</v>
      </c>
      <c r="DJU1" s="154" t="str">
        <f t="shared" si="46"/>
        <v>y</v>
      </c>
      <c r="DJV1" s="154" t="str">
        <f t="shared" si="46"/>
        <v>y</v>
      </c>
      <c r="DJW1" s="154" t="str">
        <f t="shared" si="46"/>
        <v>y</v>
      </c>
      <c r="DJX1" s="154" t="str">
        <f t="shared" si="46"/>
        <v>y</v>
      </c>
      <c r="DJY1" s="154" t="str">
        <f t="shared" si="46"/>
        <v>y</v>
      </c>
      <c r="DJZ1" s="154" t="str">
        <f t="shared" si="46"/>
        <v>y</v>
      </c>
      <c r="DKA1" s="154" t="str">
        <f t="shared" si="46"/>
        <v>y</v>
      </c>
      <c r="DKB1" s="154" t="str">
        <f t="shared" si="46"/>
        <v>y</v>
      </c>
      <c r="DKC1" s="154" t="str">
        <f t="shared" si="46"/>
        <v>y</v>
      </c>
      <c r="DKD1" s="154" t="str">
        <f t="shared" si="46"/>
        <v>y</v>
      </c>
      <c r="DKE1" s="154" t="str">
        <f t="shared" si="46"/>
        <v>y</v>
      </c>
      <c r="DKF1" s="154" t="str">
        <f t="shared" si="46"/>
        <v>y</v>
      </c>
      <c r="DKG1" s="154" t="str">
        <f t="shared" si="46"/>
        <v>y</v>
      </c>
      <c r="DKH1" s="154" t="str">
        <f t="shared" si="46"/>
        <v>y</v>
      </c>
      <c r="DKI1" s="154" t="str">
        <f t="shared" si="46"/>
        <v>y</v>
      </c>
      <c r="DKJ1" s="154" t="str">
        <f t="shared" si="46"/>
        <v>y</v>
      </c>
      <c r="DKK1" s="154" t="str">
        <f t="shared" si="46"/>
        <v>y</v>
      </c>
      <c r="DKL1" s="154" t="str">
        <f t="shared" si="46"/>
        <v>y</v>
      </c>
      <c r="DKM1" s="154" t="str">
        <f t="shared" si="46"/>
        <v>y</v>
      </c>
      <c r="DKN1" s="154" t="str">
        <f t="shared" si="46"/>
        <v>y</v>
      </c>
      <c r="DKO1" s="154" t="str">
        <f t="shared" si="46"/>
        <v>y</v>
      </c>
      <c r="DKP1" s="154" t="str">
        <f t="shared" si="46"/>
        <v>y</v>
      </c>
      <c r="DKQ1" s="154" t="str">
        <f t="shared" si="46"/>
        <v>y</v>
      </c>
      <c r="DKR1" s="154" t="str">
        <f t="shared" si="46"/>
        <v>y</v>
      </c>
      <c r="DKS1" s="154" t="str">
        <f t="shared" si="46"/>
        <v>y</v>
      </c>
      <c r="DKT1" s="154" t="str">
        <f t="shared" si="46"/>
        <v>y</v>
      </c>
      <c r="DKU1" s="154" t="str">
        <f t="shared" si="46"/>
        <v>y</v>
      </c>
      <c r="DKV1" s="154" t="str">
        <f t="shared" si="46"/>
        <v>y</v>
      </c>
      <c r="DKW1" s="154" t="str">
        <f t="shared" si="46"/>
        <v>y</v>
      </c>
      <c r="DKX1" s="154" t="str">
        <f t="shared" ref="DKX1:DNI1" si="47">DKX2&amp;"y"</f>
        <v>y</v>
      </c>
      <c r="DKY1" s="154" t="str">
        <f t="shared" si="47"/>
        <v>y</v>
      </c>
      <c r="DKZ1" s="154" t="str">
        <f t="shared" si="47"/>
        <v>y</v>
      </c>
      <c r="DLA1" s="154" t="str">
        <f t="shared" si="47"/>
        <v>y</v>
      </c>
      <c r="DLB1" s="154" t="str">
        <f t="shared" si="47"/>
        <v>y</v>
      </c>
      <c r="DLC1" s="154" t="str">
        <f t="shared" si="47"/>
        <v>y</v>
      </c>
      <c r="DLD1" s="154" t="str">
        <f t="shared" si="47"/>
        <v>y</v>
      </c>
      <c r="DLE1" s="154" t="str">
        <f t="shared" si="47"/>
        <v>y</v>
      </c>
      <c r="DLF1" s="154" t="str">
        <f t="shared" si="47"/>
        <v>y</v>
      </c>
      <c r="DLG1" s="154" t="str">
        <f t="shared" si="47"/>
        <v>y</v>
      </c>
      <c r="DLH1" s="154" t="str">
        <f t="shared" si="47"/>
        <v>y</v>
      </c>
      <c r="DLI1" s="154" t="str">
        <f t="shared" si="47"/>
        <v>y</v>
      </c>
      <c r="DLJ1" s="154" t="str">
        <f t="shared" si="47"/>
        <v>y</v>
      </c>
      <c r="DLK1" s="154" t="str">
        <f t="shared" si="47"/>
        <v>y</v>
      </c>
      <c r="DLL1" s="154" t="str">
        <f t="shared" si="47"/>
        <v>y</v>
      </c>
      <c r="DLM1" s="154" t="str">
        <f t="shared" si="47"/>
        <v>y</v>
      </c>
      <c r="DLN1" s="154" t="str">
        <f t="shared" si="47"/>
        <v>y</v>
      </c>
      <c r="DLO1" s="154" t="str">
        <f t="shared" si="47"/>
        <v>y</v>
      </c>
      <c r="DLP1" s="154" t="str">
        <f t="shared" si="47"/>
        <v>y</v>
      </c>
      <c r="DLQ1" s="154" t="str">
        <f t="shared" si="47"/>
        <v>y</v>
      </c>
      <c r="DLR1" s="154" t="str">
        <f t="shared" si="47"/>
        <v>y</v>
      </c>
      <c r="DLS1" s="154" t="str">
        <f t="shared" si="47"/>
        <v>y</v>
      </c>
      <c r="DLT1" s="154" t="str">
        <f t="shared" si="47"/>
        <v>y</v>
      </c>
      <c r="DLU1" s="154" t="str">
        <f t="shared" si="47"/>
        <v>y</v>
      </c>
      <c r="DLV1" s="154" t="str">
        <f t="shared" si="47"/>
        <v>y</v>
      </c>
      <c r="DLW1" s="154" t="str">
        <f t="shared" si="47"/>
        <v>y</v>
      </c>
      <c r="DLX1" s="154" t="str">
        <f t="shared" si="47"/>
        <v>y</v>
      </c>
      <c r="DLY1" s="154" t="str">
        <f t="shared" si="47"/>
        <v>y</v>
      </c>
      <c r="DLZ1" s="154" t="str">
        <f t="shared" si="47"/>
        <v>y</v>
      </c>
      <c r="DMA1" s="154" t="str">
        <f t="shared" si="47"/>
        <v>y</v>
      </c>
      <c r="DMB1" s="154" t="str">
        <f t="shared" si="47"/>
        <v>y</v>
      </c>
      <c r="DMC1" s="154" t="str">
        <f t="shared" si="47"/>
        <v>y</v>
      </c>
      <c r="DMD1" s="154" t="str">
        <f t="shared" si="47"/>
        <v>y</v>
      </c>
      <c r="DME1" s="154" t="str">
        <f t="shared" si="47"/>
        <v>y</v>
      </c>
      <c r="DMF1" s="154" t="str">
        <f t="shared" si="47"/>
        <v>y</v>
      </c>
      <c r="DMG1" s="154" t="str">
        <f t="shared" si="47"/>
        <v>y</v>
      </c>
      <c r="DMH1" s="154" t="str">
        <f t="shared" si="47"/>
        <v>y</v>
      </c>
      <c r="DMI1" s="154" t="str">
        <f t="shared" si="47"/>
        <v>y</v>
      </c>
      <c r="DMJ1" s="154" t="str">
        <f t="shared" si="47"/>
        <v>y</v>
      </c>
      <c r="DMK1" s="154" t="str">
        <f t="shared" si="47"/>
        <v>y</v>
      </c>
      <c r="DML1" s="154" t="str">
        <f t="shared" si="47"/>
        <v>y</v>
      </c>
      <c r="DMM1" s="154" t="str">
        <f t="shared" si="47"/>
        <v>y</v>
      </c>
      <c r="DMN1" s="154" t="str">
        <f t="shared" si="47"/>
        <v>y</v>
      </c>
      <c r="DMO1" s="154" t="str">
        <f t="shared" si="47"/>
        <v>y</v>
      </c>
      <c r="DMP1" s="154" t="str">
        <f t="shared" si="47"/>
        <v>y</v>
      </c>
      <c r="DMQ1" s="154" t="str">
        <f t="shared" si="47"/>
        <v>y</v>
      </c>
      <c r="DMR1" s="154" t="str">
        <f t="shared" si="47"/>
        <v>y</v>
      </c>
      <c r="DMS1" s="154" t="str">
        <f t="shared" si="47"/>
        <v>y</v>
      </c>
      <c r="DMT1" s="154" t="str">
        <f t="shared" si="47"/>
        <v>y</v>
      </c>
      <c r="DMU1" s="154" t="str">
        <f t="shared" si="47"/>
        <v>y</v>
      </c>
      <c r="DMV1" s="154" t="str">
        <f t="shared" si="47"/>
        <v>y</v>
      </c>
      <c r="DMW1" s="154" t="str">
        <f t="shared" si="47"/>
        <v>y</v>
      </c>
      <c r="DMX1" s="154" t="str">
        <f t="shared" si="47"/>
        <v>y</v>
      </c>
      <c r="DMY1" s="154" t="str">
        <f t="shared" si="47"/>
        <v>y</v>
      </c>
      <c r="DMZ1" s="154" t="str">
        <f t="shared" si="47"/>
        <v>y</v>
      </c>
      <c r="DNA1" s="154" t="str">
        <f t="shared" si="47"/>
        <v>y</v>
      </c>
      <c r="DNB1" s="154" t="str">
        <f t="shared" si="47"/>
        <v>y</v>
      </c>
      <c r="DNC1" s="154" t="str">
        <f t="shared" si="47"/>
        <v>y</v>
      </c>
      <c r="DND1" s="154" t="str">
        <f t="shared" si="47"/>
        <v>y</v>
      </c>
      <c r="DNE1" s="154" t="str">
        <f t="shared" si="47"/>
        <v>y</v>
      </c>
      <c r="DNF1" s="154" t="str">
        <f t="shared" si="47"/>
        <v>y</v>
      </c>
      <c r="DNG1" s="154" t="str">
        <f t="shared" si="47"/>
        <v>y</v>
      </c>
      <c r="DNH1" s="154" t="str">
        <f t="shared" si="47"/>
        <v>y</v>
      </c>
      <c r="DNI1" s="154" t="str">
        <f t="shared" si="47"/>
        <v>y</v>
      </c>
      <c r="DNJ1" s="154" t="str">
        <f t="shared" ref="DNJ1:DPU1" si="48">DNJ2&amp;"y"</f>
        <v>y</v>
      </c>
      <c r="DNK1" s="154" t="str">
        <f t="shared" si="48"/>
        <v>y</v>
      </c>
      <c r="DNL1" s="154" t="str">
        <f t="shared" si="48"/>
        <v>y</v>
      </c>
      <c r="DNM1" s="154" t="str">
        <f t="shared" si="48"/>
        <v>y</v>
      </c>
      <c r="DNN1" s="154" t="str">
        <f t="shared" si="48"/>
        <v>y</v>
      </c>
      <c r="DNO1" s="154" t="str">
        <f t="shared" si="48"/>
        <v>y</v>
      </c>
      <c r="DNP1" s="154" t="str">
        <f t="shared" si="48"/>
        <v>y</v>
      </c>
      <c r="DNQ1" s="154" t="str">
        <f t="shared" si="48"/>
        <v>y</v>
      </c>
      <c r="DNR1" s="154" t="str">
        <f t="shared" si="48"/>
        <v>y</v>
      </c>
      <c r="DNS1" s="154" t="str">
        <f t="shared" si="48"/>
        <v>y</v>
      </c>
      <c r="DNT1" s="154" t="str">
        <f t="shared" si="48"/>
        <v>y</v>
      </c>
      <c r="DNU1" s="154" t="str">
        <f t="shared" si="48"/>
        <v>y</v>
      </c>
      <c r="DNV1" s="154" t="str">
        <f t="shared" si="48"/>
        <v>y</v>
      </c>
      <c r="DNW1" s="154" t="str">
        <f t="shared" si="48"/>
        <v>y</v>
      </c>
      <c r="DNX1" s="154" t="str">
        <f t="shared" si="48"/>
        <v>y</v>
      </c>
      <c r="DNY1" s="154" t="str">
        <f t="shared" si="48"/>
        <v>y</v>
      </c>
      <c r="DNZ1" s="154" t="str">
        <f t="shared" si="48"/>
        <v>y</v>
      </c>
      <c r="DOA1" s="154" t="str">
        <f t="shared" si="48"/>
        <v>y</v>
      </c>
      <c r="DOB1" s="154" t="str">
        <f t="shared" si="48"/>
        <v>y</v>
      </c>
      <c r="DOC1" s="154" t="str">
        <f t="shared" si="48"/>
        <v>y</v>
      </c>
      <c r="DOD1" s="154" t="str">
        <f t="shared" si="48"/>
        <v>y</v>
      </c>
      <c r="DOE1" s="154" t="str">
        <f t="shared" si="48"/>
        <v>y</v>
      </c>
      <c r="DOF1" s="154" t="str">
        <f t="shared" si="48"/>
        <v>y</v>
      </c>
      <c r="DOG1" s="154" t="str">
        <f t="shared" si="48"/>
        <v>y</v>
      </c>
      <c r="DOH1" s="154" t="str">
        <f t="shared" si="48"/>
        <v>y</v>
      </c>
      <c r="DOI1" s="154" t="str">
        <f t="shared" si="48"/>
        <v>y</v>
      </c>
      <c r="DOJ1" s="154" t="str">
        <f t="shared" si="48"/>
        <v>y</v>
      </c>
      <c r="DOK1" s="154" t="str">
        <f t="shared" si="48"/>
        <v>y</v>
      </c>
      <c r="DOL1" s="154" t="str">
        <f t="shared" si="48"/>
        <v>y</v>
      </c>
      <c r="DOM1" s="154" t="str">
        <f t="shared" si="48"/>
        <v>y</v>
      </c>
      <c r="DON1" s="154" t="str">
        <f t="shared" si="48"/>
        <v>y</v>
      </c>
      <c r="DOO1" s="154" t="str">
        <f t="shared" si="48"/>
        <v>y</v>
      </c>
      <c r="DOP1" s="154" t="str">
        <f t="shared" si="48"/>
        <v>y</v>
      </c>
      <c r="DOQ1" s="154" t="str">
        <f t="shared" si="48"/>
        <v>y</v>
      </c>
      <c r="DOR1" s="154" t="str">
        <f t="shared" si="48"/>
        <v>y</v>
      </c>
      <c r="DOS1" s="154" t="str">
        <f t="shared" si="48"/>
        <v>y</v>
      </c>
      <c r="DOT1" s="154" t="str">
        <f t="shared" si="48"/>
        <v>y</v>
      </c>
      <c r="DOU1" s="154" t="str">
        <f t="shared" si="48"/>
        <v>y</v>
      </c>
      <c r="DOV1" s="154" t="str">
        <f t="shared" si="48"/>
        <v>y</v>
      </c>
      <c r="DOW1" s="154" t="str">
        <f t="shared" si="48"/>
        <v>y</v>
      </c>
      <c r="DOX1" s="154" t="str">
        <f t="shared" si="48"/>
        <v>y</v>
      </c>
      <c r="DOY1" s="154" t="str">
        <f t="shared" si="48"/>
        <v>y</v>
      </c>
      <c r="DOZ1" s="154" t="str">
        <f t="shared" si="48"/>
        <v>y</v>
      </c>
      <c r="DPA1" s="154" t="str">
        <f t="shared" si="48"/>
        <v>y</v>
      </c>
      <c r="DPB1" s="154" t="str">
        <f t="shared" si="48"/>
        <v>y</v>
      </c>
      <c r="DPC1" s="154" t="str">
        <f t="shared" si="48"/>
        <v>y</v>
      </c>
      <c r="DPD1" s="154" t="str">
        <f t="shared" si="48"/>
        <v>y</v>
      </c>
      <c r="DPE1" s="154" t="str">
        <f t="shared" si="48"/>
        <v>y</v>
      </c>
      <c r="DPF1" s="154" t="str">
        <f t="shared" si="48"/>
        <v>y</v>
      </c>
      <c r="DPG1" s="154" t="str">
        <f t="shared" si="48"/>
        <v>y</v>
      </c>
      <c r="DPH1" s="154" t="str">
        <f t="shared" si="48"/>
        <v>y</v>
      </c>
      <c r="DPI1" s="154" t="str">
        <f t="shared" si="48"/>
        <v>y</v>
      </c>
      <c r="DPJ1" s="154" t="str">
        <f t="shared" si="48"/>
        <v>y</v>
      </c>
      <c r="DPK1" s="154" t="str">
        <f t="shared" si="48"/>
        <v>y</v>
      </c>
      <c r="DPL1" s="154" t="str">
        <f t="shared" si="48"/>
        <v>y</v>
      </c>
      <c r="DPM1" s="154" t="str">
        <f t="shared" si="48"/>
        <v>y</v>
      </c>
      <c r="DPN1" s="154" t="str">
        <f t="shared" si="48"/>
        <v>y</v>
      </c>
      <c r="DPO1" s="154" t="str">
        <f t="shared" si="48"/>
        <v>y</v>
      </c>
      <c r="DPP1" s="154" t="str">
        <f t="shared" si="48"/>
        <v>y</v>
      </c>
      <c r="DPQ1" s="154" t="str">
        <f t="shared" si="48"/>
        <v>y</v>
      </c>
      <c r="DPR1" s="154" t="str">
        <f t="shared" si="48"/>
        <v>y</v>
      </c>
      <c r="DPS1" s="154" t="str">
        <f t="shared" si="48"/>
        <v>y</v>
      </c>
      <c r="DPT1" s="154" t="str">
        <f t="shared" si="48"/>
        <v>y</v>
      </c>
      <c r="DPU1" s="154" t="str">
        <f t="shared" si="48"/>
        <v>y</v>
      </c>
      <c r="DPV1" s="154" t="str">
        <f t="shared" ref="DPV1:DSG1" si="49">DPV2&amp;"y"</f>
        <v>y</v>
      </c>
      <c r="DPW1" s="154" t="str">
        <f t="shared" si="49"/>
        <v>y</v>
      </c>
      <c r="DPX1" s="154" t="str">
        <f t="shared" si="49"/>
        <v>y</v>
      </c>
      <c r="DPY1" s="154" t="str">
        <f t="shared" si="49"/>
        <v>y</v>
      </c>
      <c r="DPZ1" s="154" t="str">
        <f t="shared" si="49"/>
        <v>y</v>
      </c>
      <c r="DQA1" s="154" t="str">
        <f t="shared" si="49"/>
        <v>y</v>
      </c>
      <c r="DQB1" s="154" t="str">
        <f t="shared" si="49"/>
        <v>y</v>
      </c>
      <c r="DQC1" s="154" t="str">
        <f t="shared" si="49"/>
        <v>y</v>
      </c>
      <c r="DQD1" s="154" t="str">
        <f t="shared" si="49"/>
        <v>y</v>
      </c>
      <c r="DQE1" s="154" t="str">
        <f t="shared" si="49"/>
        <v>y</v>
      </c>
      <c r="DQF1" s="154" t="str">
        <f t="shared" si="49"/>
        <v>y</v>
      </c>
      <c r="DQG1" s="154" t="str">
        <f t="shared" si="49"/>
        <v>y</v>
      </c>
      <c r="DQH1" s="154" t="str">
        <f t="shared" si="49"/>
        <v>y</v>
      </c>
      <c r="DQI1" s="154" t="str">
        <f t="shared" si="49"/>
        <v>y</v>
      </c>
      <c r="DQJ1" s="154" t="str">
        <f t="shared" si="49"/>
        <v>y</v>
      </c>
      <c r="DQK1" s="154" t="str">
        <f t="shared" si="49"/>
        <v>y</v>
      </c>
      <c r="DQL1" s="154" t="str">
        <f t="shared" si="49"/>
        <v>y</v>
      </c>
      <c r="DQM1" s="154" t="str">
        <f t="shared" si="49"/>
        <v>y</v>
      </c>
      <c r="DQN1" s="154" t="str">
        <f t="shared" si="49"/>
        <v>y</v>
      </c>
      <c r="DQO1" s="154" t="str">
        <f t="shared" si="49"/>
        <v>y</v>
      </c>
      <c r="DQP1" s="154" t="str">
        <f t="shared" si="49"/>
        <v>y</v>
      </c>
      <c r="DQQ1" s="154" t="str">
        <f t="shared" si="49"/>
        <v>y</v>
      </c>
      <c r="DQR1" s="154" t="str">
        <f t="shared" si="49"/>
        <v>y</v>
      </c>
      <c r="DQS1" s="154" t="str">
        <f t="shared" si="49"/>
        <v>y</v>
      </c>
      <c r="DQT1" s="154" t="str">
        <f t="shared" si="49"/>
        <v>y</v>
      </c>
      <c r="DQU1" s="154" t="str">
        <f t="shared" si="49"/>
        <v>y</v>
      </c>
      <c r="DQV1" s="154" t="str">
        <f t="shared" si="49"/>
        <v>y</v>
      </c>
      <c r="DQW1" s="154" t="str">
        <f t="shared" si="49"/>
        <v>y</v>
      </c>
      <c r="DQX1" s="154" t="str">
        <f t="shared" si="49"/>
        <v>y</v>
      </c>
      <c r="DQY1" s="154" t="str">
        <f t="shared" si="49"/>
        <v>y</v>
      </c>
      <c r="DQZ1" s="154" t="str">
        <f t="shared" si="49"/>
        <v>y</v>
      </c>
      <c r="DRA1" s="154" t="str">
        <f t="shared" si="49"/>
        <v>y</v>
      </c>
      <c r="DRB1" s="154" t="str">
        <f t="shared" si="49"/>
        <v>y</v>
      </c>
      <c r="DRC1" s="154" t="str">
        <f t="shared" si="49"/>
        <v>y</v>
      </c>
      <c r="DRD1" s="154" t="str">
        <f t="shared" si="49"/>
        <v>y</v>
      </c>
      <c r="DRE1" s="154" t="str">
        <f t="shared" si="49"/>
        <v>y</v>
      </c>
      <c r="DRF1" s="154" t="str">
        <f t="shared" si="49"/>
        <v>y</v>
      </c>
      <c r="DRG1" s="154" t="str">
        <f t="shared" si="49"/>
        <v>y</v>
      </c>
      <c r="DRH1" s="154" t="str">
        <f t="shared" si="49"/>
        <v>y</v>
      </c>
      <c r="DRI1" s="154" t="str">
        <f t="shared" si="49"/>
        <v>y</v>
      </c>
      <c r="DRJ1" s="154" t="str">
        <f t="shared" si="49"/>
        <v>y</v>
      </c>
      <c r="DRK1" s="154" t="str">
        <f t="shared" si="49"/>
        <v>y</v>
      </c>
      <c r="DRL1" s="154" t="str">
        <f t="shared" si="49"/>
        <v>y</v>
      </c>
      <c r="DRM1" s="154" t="str">
        <f t="shared" si="49"/>
        <v>y</v>
      </c>
      <c r="DRN1" s="154" t="str">
        <f t="shared" si="49"/>
        <v>y</v>
      </c>
      <c r="DRO1" s="154" t="str">
        <f t="shared" si="49"/>
        <v>y</v>
      </c>
      <c r="DRP1" s="154" t="str">
        <f t="shared" si="49"/>
        <v>y</v>
      </c>
      <c r="DRQ1" s="154" t="str">
        <f t="shared" si="49"/>
        <v>y</v>
      </c>
      <c r="DRR1" s="154" t="str">
        <f t="shared" si="49"/>
        <v>y</v>
      </c>
      <c r="DRS1" s="154" t="str">
        <f t="shared" si="49"/>
        <v>y</v>
      </c>
      <c r="DRT1" s="154" t="str">
        <f t="shared" si="49"/>
        <v>y</v>
      </c>
      <c r="DRU1" s="154" t="str">
        <f t="shared" si="49"/>
        <v>y</v>
      </c>
      <c r="DRV1" s="154" t="str">
        <f t="shared" si="49"/>
        <v>y</v>
      </c>
      <c r="DRW1" s="154" t="str">
        <f t="shared" si="49"/>
        <v>y</v>
      </c>
      <c r="DRX1" s="154" t="str">
        <f t="shared" si="49"/>
        <v>y</v>
      </c>
      <c r="DRY1" s="154" t="str">
        <f t="shared" si="49"/>
        <v>y</v>
      </c>
      <c r="DRZ1" s="154" t="str">
        <f t="shared" si="49"/>
        <v>y</v>
      </c>
      <c r="DSA1" s="154" t="str">
        <f t="shared" si="49"/>
        <v>y</v>
      </c>
      <c r="DSB1" s="154" t="str">
        <f t="shared" si="49"/>
        <v>y</v>
      </c>
      <c r="DSC1" s="154" t="str">
        <f t="shared" si="49"/>
        <v>y</v>
      </c>
      <c r="DSD1" s="154" t="str">
        <f t="shared" si="49"/>
        <v>y</v>
      </c>
      <c r="DSE1" s="154" t="str">
        <f t="shared" si="49"/>
        <v>y</v>
      </c>
      <c r="DSF1" s="154" t="str">
        <f t="shared" si="49"/>
        <v>y</v>
      </c>
      <c r="DSG1" s="154" t="str">
        <f t="shared" si="49"/>
        <v>y</v>
      </c>
      <c r="DSH1" s="154" t="str">
        <f t="shared" ref="DSH1:DUS1" si="50">DSH2&amp;"y"</f>
        <v>y</v>
      </c>
      <c r="DSI1" s="154" t="str">
        <f t="shared" si="50"/>
        <v>y</v>
      </c>
      <c r="DSJ1" s="154" t="str">
        <f t="shared" si="50"/>
        <v>y</v>
      </c>
      <c r="DSK1" s="154" t="str">
        <f t="shared" si="50"/>
        <v>y</v>
      </c>
      <c r="DSL1" s="154" t="str">
        <f t="shared" si="50"/>
        <v>y</v>
      </c>
      <c r="DSM1" s="154" t="str">
        <f t="shared" si="50"/>
        <v>y</v>
      </c>
      <c r="DSN1" s="154" t="str">
        <f t="shared" si="50"/>
        <v>y</v>
      </c>
      <c r="DSO1" s="154" t="str">
        <f t="shared" si="50"/>
        <v>y</v>
      </c>
      <c r="DSP1" s="154" t="str">
        <f t="shared" si="50"/>
        <v>y</v>
      </c>
      <c r="DSQ1" s="154" t="str">
        <f t="shared" si="50"/>
        <v>y</v>
      </c>
      <c r="DSR1" s="154" t="str">
        <f t="shared" si="50"/>
        <v>y</v>
      </c>
      <c r="DSS1" s="154" t="str">
        <f t="shared" si="50"/>
        <v>y</v>
      </c>
      <c r="DST1" s="154" t="str">
        <f t="shared" si="50"/>
        <v>y</v>
      </c>
      <c r="DSU1" s="154" t="str">
        <f t="shared" si="50"/>
        <v>y</v>
      </c>
      <c r="DSV1" s="154" t="str">
        <f t="shared" si="50"/>
        <v>y</v>
      </c>
      <c r="DSW1" s="154" t="str">
        <f t="shared" si="50"/>
        <v>y</v>
      </c>
      <c r="DSX1" s="154" t="str">
        <f t="shared" si="50"/>
        <v>y</v>
      </c>
      <c r="DSY1" s="154" t="str">
        <f t="shared" si="50"/>
        <v>y</v>
      </c>
      <c r="DSZ1" s="154" t="str">
        <f t="shared" si="50"/>
        <v>y</v>
      </c>
      <c r="DTA1" s="154" t="str">
        <f t="shared" si="50"/>
        <v>y</v>
      </c>
      <c r="DTB1" s="154" t="str">
        <f t="shared" si="50"/>
        <v>y</v>
      </c>
      <c r="DTC1" s="154" t="str">
        <f t="shared" si="50"/>
        <v>y</v>
      </c>
      <c r="DTD1" s="154" t="str">
        <f t="shared" si="50"/>
        <v>y</v>
      </c>
      <c r="DTE1" s="154" t="str">
        <f t="shared" si="50"/>
        <v>y</v>
      </c>
      <c r="DTF1" s="154" t="str">
        <f t="shared" si="50"/>
        <v>y</v>
      </c>
      <c r="DTG1" s="154" t="str">
        <f t="shared" si="50"/>
        <v>y</v>
      </c>
      <c r="DTH1" s="154" t="str">
        <f t="shared" si="50"/>
        <v>y</v>
      </c>
      <c r="DTI1" s="154" t="str">
        <f t="shared" si="50"/>
        <v>y</v>
      </c>
      <c r="DTJ1" s="154" t="str">
        <f t="shared" si="50"/>
        <v>y</v>
      </c>
      <c r="DTK1" s="154" t="str">
        <f t="shared" si="50"/>
        <v>y</v>
      </c>
      <c r="DTL1" s="154" t="str">
        <f t="shared" si="50"/>
        <v>y</v>
      </c>
      <c r="DTM1" s="154" t="str">
        <f t="shared" si="50"/>
        <v>y</v>
      </c>
      <c r="DTN1" s="154" t="str">
        <f t="shared" si="50"/>
        <v>y</v>
      </c>
      <c r="DTO1" s="154" t="str">
        <f t="shared" si="50"/>
        <v>y</v>
      </c>
      <c r="DTP1" s="154" t="str">
        <f t="shared" si="50"/>
        <v>y</v>
      </c>
      <c r="DTQ1" s="154" t="str">
        <f t="shared" si="50"/>
        <v>y</v>
      </c>
      <c r="DTR1" s="154" t="str">
        <f t="shared" si="50"/>
        <v>y</v>
      </c>
      <c r="DTS1" s="154" t="str">
        <f t="shared" si="50"/>
        <v>y</v>
      </c>
      <c r="DTT1" s="154" t="str">
        <f t="shared" si="50"/>
        <v>y</v>
      </c>
      <c r="DTU1" s="154" t="str">
        <f t="shared" si="50"/>
        <v>y</v>
      </c>
      <c r="DTV1" s="154" t="str">
        <f t="shared" si="50"/>
        <v>y</v>
      </c>
      <c r="DTW1" s="154" t="str">
        <f t="shared" si="50"/>
        <v>y</v>
      </c>
      <c r="DTX1" s="154" t="str">
        <f t="shared" si="50"/>
        <v>y</v>
      </c>
      <c r="DTY1" s="154" t="str">
        <f t="shared" si="50"/>
        <v>y</v>
      </c>
      <c r="DTZ1" s="154" t="str">
        <f t="shared" si="50"/>
        <v>y</v>
      </c>
      <c r="DUA1" s="154" t="str">
        <f t="shared" si="50"/>
        <v>y</v>
      </c>
      <c r="DUB1" s="154" t="str">
        <f t="shared" si="50"/>
        <v>y</v>
      </c>
      <c r="DUC1" s="154" t="str">
        <f t="shared" si="50"/>
        <v>y</v>
      </c>
      <c r="DUD1" s="154" t="str">
        <f t="shared" si="50"/>
        <v>y</v>
      </c>
      <c r="DUE1" s="154" t="str">
        <f t="shared" si="50"/>
        <v>y</v>
      </c>
      <c r="DUF1" s="154" t="str">
        <f t="shared" si="50"/>
        <v>y</v>
      </c>
      <c r="DUG1" s="154" t="str">
        <f t="shared" si="50"/>
        <v>y</v>
      </c>
      <c r="DUH1" s="154" t="str">
        <f t="shared" si="50"/>
        <v>y</v>
      </c>
      <c r="DUI1" s="154" t="str">
        <f t="shared" si="50"/>
        <v>y</v>
      </c>
      <c r="DUJ1" s="154" t="str">
        <f t="shared" si="50"/>
        <v>y</v>
      </c>
      <c r="DUK1" s="154" t="str">
        <f t="shared" si="50"/>
        <v>y</v>
      </c>
      <c r="DUL1" s="154" t="str">
        <f t="shared" si="50"/>
        <v>y</v>
      </c>
      <c r="DUM1" s="154" t="str">
        <f t="shared" si="50"/>
        <v>y</v>
      </c>
      <c r="DUN1" s="154" t="str">
        <f t="shared" si="50"/>
        <v>y</v>
      </c>
      <c r="DUO1" s="154" t="str">
        <f t="shared" si="50"/>
        <v>y</v>
      </c>
      <c r="DUP1" s="154" t="str">
        <f t="shared" si="50"/>
        <v>y</v>
      </c>
      <c r="DUQ1" s="154" t="str">
        <f t="shared" si="50"/>
        <v>y</v>
      </c>
      <c r="DUR1" s="154" t="str">
        <f t="shared" si="50"/>
        <v>y</v>
      </c>
      <c r="DUS1" s="154" t="str">
        <f t="shared" si="50"/>
        <v>y</v>
      </c>
      <c r="DUT1" s="154" t="str">
        <f t="shared" ref="DUT1:DXE1" si="51">DUT2&amp;"y"</f>
        <v>y</v>
      </c>
      <c r="DUU1" s="154" t="str">
        <f t="shared" si="51"/>
        <v>y</v>
      </c>
      <c r="DUV1" s="154" t="str">
        <f t="shared" si="51"/>
        <v>y</v>
      </c>
      <c r="DUW1" s="154" t="str">
        <f t="shared" si="51"/>
        <v>y</v>
      </c>
      <c r="DUX1" s="154" t="str">
        <f t="shared" si="51"/>
        <v>y</v>
      </c>
      <c r="DUY1" s="154" t="str">
        <f t="shared" si="51"/>
        <v>y</v>
      </c>
      <c r="DUZ1" s="154" t="str">
        <f t="shared" si="51"/>
        <v>y</v>
      </c>
      <c r="DVA1" s="154" t="str">
        <f t="shared" si="51"/>
        <v>y</v>
      </c>
      <c r="DVB1" s="154" t="str">
        <f t="shared" si="51"/>
        <v>y</v>
      </c>
      <c r="DVC1" s="154" t="str">
        <f t="shared" si="51"/>
        <v>y</v>
      </c>
      <c r="DVD1" s="154" t="str">
        <f t="shared" si="51"/>
        <v>y</v>
      </c>
      <c r="DVE1" s="154" t="str">
        <f t="shared" si="51"/>
        <v>y</v>
      </c>
      <c r="DVF1" s="154" t="str">
        <f t="shared" si="51"/>
        <v>y</v>
      </c>
      <c r="DVG1" s="154" t="str">
        <f t="shared" si="51"/>
        <v>y</v>
      </c>
      <c r="DVH1" s="154" t="str">
        <f t="shared" si="51"/>
        <v>y</v>
      </c>
      <c r="DVI1" s="154" t="str">
        <f t="shared" si="51"/>
        <v>y</v>
      </c>
      <c r="DVJ1" s="154" t="str">
        <f t="shared" si="51"/>
        <v>y</v>
      </c>
      <c r="DVK1" s="154" t="str">
        <f t="shared" si="51"/>
        <v>y</v>
      </c>
      <c r="DVL1" s="154" t="str">
        <f t="shared" si="51"/>
        <v>y</v>
      </c>
      <c r="DVM1" s="154" t="str">
        <f t="shared" si="51"/>
        <v>y</v>
      </c>
      <c r="DVN1" s="154" t="str">
        <f t="shared" si="51"/>
        <v>y</v>
      </c>
      <c r="DVO1" s="154" t="str">
        <f t="shared" si="51"/>
        <v>y</v>
      </c>
      <c r="DVP1" s="154" t="str">
        <f t="shared" si="51"/>
        <v>y</v>
      </c>
      <c r="DVQ1" s="154" t="str">
        <f t="shared" si="51"/>
        <v>y</v>
      </c>
      <c r="DVR1" s="154" t="str">
        <f t="shared" si="51"/>
        <v>y</v>
      </c>
      <c r="DVS1" s="154" t="str">
        <f t="shared" si="51"/>
        <v>y</v>
      </c>
      <c r="DVT1" s="154" t="str">
        <f t="shared" si="51"/>
        <v>y</v>
      </c>
      <c r="DVU1" s="154" t="str">
        <f t="shared" si="51"/>
        <v>y</v>
      </c>
      <c r="DVV1" s="154" t="str">
        <f t="shared" si="51"/>
        <v>y</v>
      </c>
      <c r="DVW1" s="154" t="str">
        <f t="shared" si="51"/>
        <v>y</v>
      </c>
      <c r="DVX1" s="154" t="str">
        <f t="shared" si="51"/>
        <v>y</v>
      </c>
      <c r="DVY1" s="154" t="str">
        <f t="shared" si="51"/>
        <v>y</v>
      </c>
      <c r="DVZ1" s="154" t="str">
        <f t="shared" si="51"/>
        <v>y</v>
      </c>
      <c r="DWA1" s="154" t="str">
        <f t="shared" si="51"/>
        <v>y</v>
      </c>
      <c r="DWB1" s="154" t="str">
        <f t="shared" si="51"/>
        <v>y</v>
      </c>
      <c r="DWC1" s="154" t="str">
        <f t="shared" si="51"/>
        <v>y</v>
      </c>
      <c r="DWD1" s="154" t="str">
        <f t="shared" si="51"/>
        <v>y</v>
      </c>
      <c r="DWE1" s="154" t="str">
        <f t="shared" si="51"/>
        <v>y</v>
      </c>
      <c r="DWF1" s="154" t="str">
        <f t="shared" si="51"/>
        <v>y</v>
      </c>
      <c r="DWG1" s="154" t="str">
        <f t="shared" si="51"/>
        <v>y</v>
      </c>
      <c r="DWH1" s="154" t="str">
        <f t="shared" si="51"/>
        <v>y</v>
      </c>
      <c r="DWI1" s="154" t="str">
        <f t="shared" si="51"/>
        <v>y</v>
      </c>
      <c r="DWJ1" s="154" t="str">
        <f t="shared" si="51"/>
        <v>y</v>
      </c>
      <c r="DWK1" s="154" t="str">
        <f t="shared" si="51"/>
        <v>y</v>
      </c>
      <c r="DWL1" s="154" t="str">
        <f t="shared" si="51"/>
        <v>y</v>
      </c>
      <c r="DWM1" s="154" t="str">
        <f t="shared" si="51"/>
        <v>y</v>
      </c>
      <c r="DWN1" s="154" t="str">
        <f t="shared" si="51"/>
        <v>y</v>
      </c>
      <c r="DWO1" s="154" t="str">
        <f t="shared" si="51"/>
        <v>y</v>
      </c>
      <c r="DWP1" s="154" t="str">
        <f t="shared" si="51"/>
        <v>y</v>
      </c>
      <c r="DWQ1" s="154" t="str">
        <f t="shared" si="51"/>
        <v>y</v>
      </c>
      <c r="DWR1" s="154" t="str">
        <f t="shared" si="51"/>
        <v>y</v>
      </c>
      <c r="DWS1" s="154" t="str">
        <f t="shared" si="51"/>
        <v>y</v>
      </c>
      <c r="DWT1" s="154" t="str">
        <f t="shared" si="51"/>
        <v>y</v>
      </c>
      <c r="DWU1" s="154" t="str">
        <f t="shared" si="51"/>
        <v>y</v>
      </c>
      <c r="DWV1" s="154" t="str">
        <f t="shared" si="51"/>
        <v>y</v>
      </c>
      <c r="DWW1" s="154" t="str">
        <f t="shared" si="51"/>
        <v>y</v>
      </c>
      <c r="DWX1" s="154" t="str">
        <f t="shared" si="51"/>
        <v>y</v>
      </c>
      <c r="DWY1" s="154" t="str">
        <f t="shared" si="51"/>
        <v>y</v>
      </c>
      <c r="DWZ1" s="154" t="str">
        <f t="shared" si="51"/>
        <v>y</v>
      </c>
      <c r="DXA1" s="154" t="str">
        <f t="shared" si="51"/>
        <v>y</v>
      </c>
      <c r="DXB1" s="154" t="str">
        <f t="shared" si="51"/>
        <v>y</v>
      </c>
      <c r="DXC1" s="154" t="str">
        <f t="shared" si="51"/>
        <v>y</v>
      </c>
      <c r="DXD1" s="154" t="str">
        <f t="shared" si="51"/>
        <v>y</v>
      </c>
      <c r="DXE1" s="154" t="str">
        <f t="shared" si="51"/>
        <v>y</v>
      </c>
      <c r="DXF1" s="154" t="str">
        <f t="shared" ref="DXF1:DZQ1" si="52">DXF2&amp;"y"</f>
        <v>y</v>
      </c>
      <c r="DXG1" s="154" t="str">
        <f t="shared" si="52"/>
        <v>y</v>
      </c>
      <c r="DXH1" s="154" t="str">
        <f t="shared" si="52"/>
        <v>y</v>
      </c>
      <c r="DXI1" s="154" t="str">
        <f t="shared" si="52"/>
        <v>y</v>
      </c>
      <c r="DXJ1" s="154" t="str">
        <f t="shared" si="52"/>
        <v>y</v>
      </c>
      <c r="DXK1" s="154" t="str">
        <f t="shared" si="52"/>
        <v>y</v>
      </c>
      <c r="DXL1" s="154" t="str">
        <f t="shared" si="52"/>
        <v>y</v>
      </c>
      <c r="DXM1" s="154" t="str">
        <f t="shared" si="52"/>
        <v>y</v>
      </c>
      <c r="DXN1" s="154" t="str">
        <f t="shared" si="52"/>
        <v>y</v>
      </c>
      <c r="DXO1" s="154" t="str">
        <f t="shared" si="52"/>
        <v>y</v>
      </c>
      <c r="DXP1" s="154" t="str">
        <f t="shared" si="52"/>
        <v>y</v>
      </c>
      <c r="DXQ1" s="154" t="str">
        <f t="shared" si="52"/>
        <v>y</v>
      </c>
      <c r="DXR1" s="154" t="str">
        <f t="shared" si="52"/>
        <v>y</v>
      </c>
      <c r="DXS1" s="154" t="str">
        <f t="shared" si="52"/>
        <v>y</v>
      </c>
      <c r="DXT1" s="154" t="str">
        <f t="shared" si="52"/>
        <v>y</v>
      </c>
      <c r="DXU1" s="154" t="str">
        <f t="shared" si="52"/>
        <v>y</v>
      </c>
      <c r="DXV1" s="154" t="str">
        <f t="shared" si="52"/>
        <v>y</v>
      </c>
      <c r="DXW1" s="154" t="str">
        <f t="shared" si="52"/>
        <v>y</v>
      </c>
      <c r="DXX1" s="154" t="str">
        <f t="shared" si="52"/>
        <v>y</v>
      </c>
      <c r="DXY1" s="154" t="str">
        <f t="shared" si="52"/>
        <v>y</v>
      </c>
      <c r="DXZ1" s="154" t="str">
        <f t="shared" si="52"/>
        <v>y</v>
      </c>
      <c r="DYA1" s="154" t="str">
        <f t="shared" si="52"/>
        <v>y</v>
      </c>
      <c r="DYB1" s="154" t="str">
        <f t="shared" si="52"/>
        <v>y</v>
      </c>
      <c r="DYC1" s="154" t="str">
        <f t="shared" si="52"/>
        <v>y</v>
      </c>
      <c r="DYD1" s="154" t="str">
        <f t="shared" si="52"/>
        <v>y</v>
      </c>
      <c r="DYE1" s="154" t="str">
        <f t="shared" si="52"/>
        <v>y</v>
      </c>
      <c r="DYF1" s="154" t="str">
        <f t="shared" si="52"/>
        <v>y</v>
      </c>
      <c r="DYG1" s="154" t="str">
        <f t="shared" si="52"/>
        <v>y</v>
      </c>
      <c r="DYH1" s="154" t="str">
        <f t="shared" si="52"/>
        <v>y</v>
      </c>
      <c r="DYI1" s="154" t="str">
        <f t="shared" si="52"/>
        <v>y</v>
      </c>
      <c r="DYJ1" s="154" t="str">
        <f t="shared" si="52"/>
        <v>y</v>
      </c>
      <c r="DYK1" s="154" t="str">
        <f t="shared" si="52"/>
        <v>y</v>
      </c>
      <c r="DYL1" s="154" t="str">
        <f t="shared" si="52"/>
        <v>y</v>
      </c>
      <c r="DYM1" s="154" t="str">
        <f t="shared" si="52"/>
        <v>y</v>
      </c>
      <c r="DYN1" s="154" t="str">
        <f t="shared" si="52"/>
        <v>y</v>
      </c>
      <c r="DYO1" s="154" t="str">
        <f t="shared" si="52"/>
        <v>y</v>
      </c>
      <c r="DYP1" s="154" t="str">
        <f t="shared" si="52"/>
        <v>y</v>
      </c>
      <c r="DYQ1" s="154" t="str">
        <f t="shared" si="52"/>
        <v>y</v>
      </c>
      <c r="DYR1" s="154" t="str">
        <f t="shared" si="52"/>
        <v>y</v>
      </c>
      <c r="DYS1" s="154" t="str">
        <f t="shared" si="52"/>
        <v>y</v>
      </c>
      <c r="DYT1" s="154" t="str">
        <f t="shared" si="52"/>
        <v>y</v>
      </c>
      <c r="DYU1" s="154" t="str">
        <f t="shared" si="52"/>
        <v>y</v>
      </c>
      <c r="DYV1" s="154" t="str">
        <f t="shared" si="52"/>
        <v>y</v>
      </c>
      <c r="DYW1" s="154" t="str">
        <f t="shared" si="52"/>
        <v>y</v>
      </c>
      <c r="DYX1" s="154" t="str">
        <f t="shared" si="52"/>
        <v>y</v>
      </c>
      <c r="DYY1" s="154" t="str">
        <f t="shared" si="52"/>
        <v>y</v>
      </c>
      <c r="DYZ1" s="154" t="str">
        <f t="shared" si="52"/>
        <v>y</v>
      </c>
      <c r="DZA1" s="154" t="str">
        <f t="shared" si="52"/>
        <v>y</v>
      </c>
      <c r="DZB1" s="154" t="str">
        <f t="shared" si="52"/>
        <v>y</v>
      </c>
      <c r="DZC1" s="154" t="str">
        <f t="shared" si="52"/>
        <v>y</v>
      </c>
      <c r="DZD1" s="154" t="str">
        <f t="shared" si="52"/>
        <v>y</v>
      </c>
      <c r="DZE1" s="154" t="str">
        <f t="shared" si="52"/>
        <v>y</v>
      </c>
      <c r="DZF1" s="154" t="str">
        <f t="shared" si="52"/>
        <v>y</v>
      </c>
      <c r="DZG1" s="154" t="str">
        <f t="shared" si="52"/>
        <v>y</v>
      </c>
      <c r="DZH1" s="154" t="str">
        <f t="shared" si="52"/>
        <v>y</v>
      </c>
      <c r="DZI1" s="154" t="str">
        <f t="shared" si="52"/>
        <v>y</v>
      </c>
      <c r="DZJ1" s="154" t="str">
        <f t="shared" si="52"/>
        <v>y</v>
      </c>
      <c r="DZK1" s="154" t="str">
        <f t="shared" si="52"/>
        <v>y</v>
      </c>
      <c r="DZL1" s="154" t="str">
        <f t="shared" si="52"/>
        <v>y</v>
      </c>
      <c r="DZM1" s="154" t="str">
        <f t="shared" si="52"/>
        <v>y</v>
      </c>
      <c r="DZN1" s="154" t="str">
        <f t="shared" si="52"/>
        <v>y</v>
      </c>
      <c r="DZO1" s="154" t="str">
        <f t="shared" si="52"/>
        <v>y</v>
      </c>
      <c r="DZP1" s="154" t="str">
        <f t="shared" si="52"/>
        <v>y</v>
      </c>
      <c r="DZQ1" s="154" t="str">
        <f t="shared" si="52"/>
        <v>y</v>
      </c>
      <c r="DZR1" s="154" t="str">
        <f t="shared" ref="DZR1:ECC1" si="53">DZR2&amp;"y"</f>
        <v>y</v>
      </c>
      <c r="DZS1" s="154" t="str">
        <f t="shared" si="53"/>
        <v>y</v>
      </c>
      <c r="DZT1" s="154" t="str">
        <f t="shared" si="53"/>
        <v>y</v>
      </c>
      <c r="DZU1" s="154" t="str">
        <f t="shared" si="53"/>
        <v>y</v>
      </c>
      <c r="DZV1" s="154" t="str">
        <f t="shared" si="53"/>
        <v>y</v>
      </c>
      <c r="DZW1" s="154" t="str">
        <f t="shared" si="53"/>
        <v>y</v>
      </c>
      <c r="DZX1" s="154" t="str">
        <f t="shared" si="53"/>
        <v>y</v>
      </c>
      <c r="DZY1" s="154" t="str">
        <f t="shared" si="53"/>
        <v>y</v>
      </c>
      <c r="DZZ1" s="154" t="str">
        <f t="shared" si="53"/>
        <v>y</v>
      </c>
      <c r="EAA1" s="154" t="str">
        <f t="shared" si="53"/>
        <v>y</v>
      </c>
      <c r="EAB1" s="154" t="str">
        <f t="shared" si="53"/>
        <v>y</v>
      </c>
      <c r="EAC1" s="154" t="str">
        <f t="shared" si="53"/>
        <v>y</v>
      </c>
      <c r="EAD1" s="154" t="str">
        <f t="shared" si="53"/>
        <v>y</v>
      </c>
      <c r="EAE1" s="154" t="str">
        <f t="shared" si="53"/>
        <v>y</v>
      </c>
      <c r="EAF1" s="154" t="str">
        <f t="shared" si="53"/>
        <v>y</v>
      </c>
      <c r="EAG1" s="154" t="str">
        <f t="shared" si="53"/>
        <v>y</v>
      </c>
      <c r="EAH1" s="154" t="str">
        <f t="shared" si="53"/>
        <v>y</v>
      </c>
      <c r="EAI1" s="154" t="str">
        <f t="shared" si="53"/>
        <v>y</v>
      </c>
      <c r="EAJ1" s="154" t="str">
        <f t="shared" si="53"/>
        <v>y</v>
      </c>
      <c r="EAK1" s="154" t="str">
        <f t="shared" si="53"/>
        <v>y</v>
      </c>
      <c r="EAL1" s="154" t="str">
        <f t="shared" si="53"/>
        <v>y</v>
      </c>
      <c r="EAM1" s="154" t="str">
        <f t="shared" si="53"/>
        <v>y</v>
      </c>
      <c r="EAN1" s="154" t="str">
        <f t="shared" si="53"/>
        <v>y</v>
      </c>
      <c r="EAO1" s="154" t="str">
        <f t="shared" si="53"/>
        <v>y</v>
      </c>
      <c r="EAP1" s="154" t="str">
        <f t="shared" si="53"/>
        <v>y</v>
      </c>
      <c r="EAQ1" s="154" t="str">
        <f t="shared" si="53"/>
        <v>y</v>
      </c>
      <c r="EAR1" s="154" t="str">
        <f t="shared" si="53"/>
        <v>y</v>
      </c>
      <c r="EAS1" s="154" t="str">
        <f t="shared" si="53"/>
        <v>y</v>
      </c>
      <c r="EAT1" s="154" t="str">
        <f t="shared" si="53"/>
        <v>y</v>
      </c>
      <c r="EAU1" s="154" t="str">
        <f t="shared" si="53"/>
        <v>y</v>
      </c>
      <c r="EAV1" s="154" t="str">
        <f t="shared" si="53"/>
        <v>y</v>
      </c>
      <c r="EAW1" s="154" t="str">
        <f t="shared" si="53"/>
        <v>y</v>
      </c>
      <c r="EAX1" s="154" t="str">
        <f t="shared" si="53"/>
        <v>y</v>
      </c>
      <c r="EAY1" s="154" t="str">
        <f t="shared" si="53"/>
        <v>y</v>
      </c>
      <c r="EAZ1" s="154" t="str">
        <f t="shared" si="53"/>
        <v>y</v>
      </c>
      <c r="EBA1" s="154" t="str">
        <f t="shared" si="53"/>
        <v>y</v>
      </c>
      <c r="EBB1" s="154" t="str">
        <f t="shared" si="53"/>
        <v>y</v>
      </c>
      <c r="EBC1" s="154" t="str">
        <f t="shared" si="53"/>
        <v>y</v>
      </c>
      <c r="EBD1" s="154" t="str">
        <f t="shared" si="53"/>
        <v>y</v>
      </c>
      <c r="EBE1" s="154" t="str">
        <f t="shared" si="53"/>
        <v>y</v>
      </c>
      <c r="EBF1" s="154" t="str">
        <f t="shared" si="53"/>
        <v>y</v>
      </c>
      <c r="EBG1" s="154" t="str">
        <f t="shared" si="53"/>
        <v>y</v>
      </c>
      <c r="EBH1" s="154" t="str">
        <f t="shared" si="53"/>
        <v>y</v>
      </c>
      <c r="EBI1" s="154" t="str">
        <f t="shared" si="53"/>
        <v>y</v>
      </c>
      <c r="EBJ1" s="154" t="str">
        <f t="shared" si="53"/>
        <v>y</v>
      </c>
      <c r="EBK1" s="154" t="str">
        <f t="shared" si="53"/>
        <v>y</v>
      </c>
      <c r="EBL1" s="154" t="str">
        <f t="shared" si="53"/>
        <v>y</v>
      </c>
      <c r="EBM1" s="154" t="str">
        <f t="shared" si="53"/>
        <v>y</v>
      </c>
      <c r="EBN1" s="154" t="str">
        <f t="shared" si="53"/>
        <v>y</v>
      </c>
      <c r="EBO1" s="154" t="str">
        <f t="shared" si="53"/>
        <v>y</v>
      </c>
      <c r="EBP1" s="154" t="str">
        <f t="shared" si="53"/>
        <v>y</v>
      </c>
      <c r="EBQ1" s="154" t="str">
        <f t="shared" si="53"/>
        <v>y</v>
      </c>
      <c r="EBR1" s="154" t="str">
        <f t="shared" si="53"/>
        <v>y</v>
      </c>
      <c r="EBS1" s="154" t="str">
        <f t="shared" si="53"/>
        <v>y</v>
      </c>
      <c r="EBT1" s="154" t="str">
        <f t="shared" si="53"/>
        <v>y</v>
      </c>
      <c r="EBU1" s="154" t="str">
        <f t="shared" si="53"/>
        <v>y</v>
      </c>
      <c r="EBV1" s="154" t="str">
        <f t="shared" si="53"/>
        <v>y</v>
      </c>
      <c r="EBW1" s="154" t="str">
        <f t="shared" si="53"/>
        <v>y</v>
      </c>
      <c r="EBX1" s="154" t="str">
        <f t="shared" si="53"/>
        <v>y</v>
      </c>
      <c r="EBY1" s="154" t="str">
        <f t="shared" si="53"/>
        <v>y</v>
      </c>
      <c r="EBZ1" s="154" t="str">
        <f t="shared" si="53"/>
        <v>y</v>
      </c>
      <c r="ECA1" s="154" t="str">
        <f t="shared" si="53"/>
        <v>y</v>
      </c>
      <c r="ECB1" s="154" t="str">
        <f t="shared" si="53"/>
        <v>y</v>
      </c>
      <c r="ECC1" s="154" t="str">
        <f t="shared" si="53"/>
        <v>y</v>
      </c>
      <c r="ECD1" s="154" t="str">
        <f t="shared" ref="ECD1:EEO1" si="54">ECD2&amp;"y"</f>
        <v>y</v>
      </c>
      <c r="ECE1" s="154" t="str">
        <f t="shared" si="54"/>
        <v>y</v>
      </c>
      <c r="ECF1" s="154" t="str">
        <f t="shared" si="54"/>
        <v>y</v>
      </c>
      <c r="ECG1" s="154" t="str">
        <f t="shared" si="54"/>
        <v>y</v>
      </c>
      <c r="ECH1" s="154" t="str">
        <f t="shared" si="54"/>
        <v>y</v>
      </c>
      <c r="ECI1" s="154" t="str">
        <f t="shared" si="54"/>
        <v>y</v>
      </c>
      <c r="ECJ1" s="154" t="str">
        <f t="shared" si="54"/>
        <v>y</v>
      </c>
      <c r="ECK1" s="154" t="str">
        <f t="shared" si="54"/>
        <v>y</v>
      </c>
      <c r="ECL1" s="154" t="str">
        <f t="shared" si="54"/>
        <v>y</v>
      </c>
      <c r="ECM1" s="154" t="str">
        <f t="shared" si="54"/>
        <v>y</v>
      </c>
      <c r="ECN1" s="154" t="str">
        <f t="shared" si="54"/>
        <v>y</v>
      </c>
      <c r="ECO1" s="154" t="str">
        <f t="shared" si="54"/>
        <v>y</v>
      </c>
      <c r="ECP1" s="154" t="str">
        <f t="shared" si="54"/>
        <v>y</v>
      </c>
      <c r="ECQ1" s="154" t="str">
        <f t="shared" si="54"/>
        <v>y</v>
      </c>
      <c r="ECR1" s="154" t="str">
        <f t="shared" si="54"/>
        <v>y</v>
      </c>
      <c r="ECS1" s="154" t="str">
        <f t="shared" si="54"/>
        <v>y</v>
      </c>
      <c r="ECT1" s="154" t="str">
        <f t="shared" si="54"/>
        <v>y</v>
      </c>
      <c r="ECU1" s="154" t="str">
        <f t="shared" si="54"/>
        <v>y</v>
      </c>
      <c r="ECV1" s="154" t="str">
        <f t="shared" si="54"/>
        <v>y</v>
      </c>
      <c r="ECW1" s="154" t="str">
        <f t="shared" si="54"/>
        <v>y</v>
      </c>
      <c r="ECX1" s="154" t="str">
        <f t="shared" si="54"/>
        <v>y</v>
      </c>
      <c r="ECY1" s="154" t="str">
        <f t="shared" si="54"/>
        <v>y</v>
      </c>
      <c r="ECZ1" s="154" t="str">
        <f t="shared" si="54"/>
        <v>y</v>
      </c>
      <c r="EDA1" s="154" t="str">
        <f t="shared" si="54"/>
        <v>y</v>
      </c>
      <c r="EDB1" s="154" t="str">
        <f t="shared" si="54"/>
        <v>y</v>
      </c>
      <c r="EDC1" s="154" t="str">
        <f t="shared" si="54"/>
        <v>y</v>
      </c>
      <c r="EDD1" s="154" t="str">
        <f t="shared" si="54"/>
        <v>y</v>
      </c>
      <c r="EDE1" s="154" t="str">
        <f t="shared" si="54"/>
        <v>y</v>
      </c>
      <c r="EDF1" s="154" t="str">
        <f t="shared" si="54"/>
        <v>y</v>
      </c>
      <c r="EDG1" s="154" t="str">
        <f t="shared" si="54"/>
        <v>y</v>
      </c>
      <c r="EDH1" s="154" t="str">
        <f t="shared" si="54"/>
        <v>y</v>
      </c>
      <c r="EDI1" s="154" t="str">
        <f t="shared" si="54"/>
        <v>y</v>
      </c>
      <c r="EDJ1" s="154" t="str">
        <f t="shared" si="54"/>
        <v>y</v>
      </c>
      <c r="EDK1" s="154" t="str">
        <f t="shared" si="54"/>
        <v>y</v>
      </c>
      <c r="EDL1" s="154" t="str">
        <f t="shared" si="54"/>
        <v>y</v>
      </c>
      <c r="EDM1" s="154" t="str">
        <f t="shared" si="54"/>
        <v>y</v>
      </c>
      <c r="EDN1" s="154" t="str">
        <f t="shared" si="54"/>
        <v>y</v>
      </c>
      <c r="EDO1" s="154" t="str">
        <f t="shared" si="54"/>
        <v>y</v>
      </c>
      <c r="EDP1" s="154" t="str">
        <f t="shared" si="54"/>
        <v>y</v>
      </c>
      <c r="EDQ1" s="154" t="str">
        <f t="shared" si="54"/>
        <v>y</v>
      </c>
      <c r="EDR1" s="154" t="str">
        <f t="shared" si="54"/>
        <v>y</v>
      </c>
      <c r="EDS1" s="154" t="str">
        <f t="shared" si="54"/>
        <v>y</v>
      </c>
      <c r="EDT1" s="154" t="str">
        <f t="shared" si="54"/>
        <v>y</v>
      </c>
      <c r="EDU1" s="154" t="str">
        <f t="shared" si="54"/>
        <v>y</v>
      </c>
      <c r="EDV1" s="154" t="str">
        <f t="shared" si="54"/>
        <v>y</v>
      </c>
      <c r="EDW1" s="154" t="str">
        <f t="shared" si="54"/>
        <v>y</v>
      </c>
      <c r="EDX1" s="154" t="str">
        <f t="shared" si="54"/>
        <v>y</v>
      </c>
      <c r="EDY1" s="154" t="str">
        <f t="shared" si="54"/>
        <v>y</v>
      </c>
      <c r="EDZ1" s="154" t="str">
        <f t="shared" si="54"/>
        <v>y</v>
      </c>
      <c r="EEA1" s="154" t="str">
        <f t="shared" si="54"/>
        <v>y</v>
      </c>
      <c r="EEB1" s="154" t="str">
        <f t="shared" si="54"/>
        <v>y</v>
      </c>
      <c r="EEC1" s="154" t="str">
        <f t="shared" si="54"/>
        <v>y</v>
      </c>
      <c r="EED1" s="154" t="str">
        <f t="shared" si="54"/>
        <v>y</v>
      </c>
      <c r="EEE1" s="154" t="str">
        <f t="shared" si="54"/>
        <v>y</v>
      </c>
      <c r="EEF1" s="154" t="str">
        <f t="shared" si="54"/>
        <v>y</v>
      </c>
      <c r="EEG1" s="154" t="str">
        <f t="shared" si="54"/>
        <v>y</v>
      </c>
      <c r="EEH1" s="154" t="str">
        <f t="shared" si="54"/>
        <v>y</v>
      </c>
      <c r="EEI1" s="154" t="str">
        <f t="shared" si="54"/>
        <v>y</v>
      </c>
      <c r="EEJ1" s="154" t="str">
        <f t="shared" si="54"/>
        <v>y</v>
      </c>
      <c r="EEK1" s="154" t="str">
        <f t="shared" si="54"/>
        <v>y</v>
      </c>
      <c r="EEL1" s="154" t="str">
        <f t="shared" si="54"/>
        <v>y</v>
      </c>
      <c r="EEM1" s="154" t="str">
        <f t="shared" si="54"/>
        <v>y</v>
      </c>
      <c r="EEN1" s="154" t="str">
        <f t="shared" si="54"/>
        <v>y</v>
      </c>
      <c r="EEO1" s="154" t="str">
        <f t="shared" si="54"/>
        <v>y</v>
      </c>
      <c r="EEP1" s="154" t="str">
        <f t="shared" ref="EEP1:EHA1" si="55">EEP2&amp;"y"</f>
        <v>y</v>
      </c>
      <c r="EEQ1" s="154" t="str">
        <f t="shared" si="55"/>
        <v>y</v>
      </c>
      <c r="EER1" s="154" t="str">
        <f t="shared" si="55"/>
        <v>y</v>
      </c>
      <c r="EES1" s="154" t="str">
        <f t="shared" si="55"/>
        <v>y</v>
      </c>
      <c r="EET1" s="154" t="str">
        <f t="shared" si="55"/>
        <v>y</v>
      </c>
      <c r="EEU1" s="154" t="str">
        <f t="shared" si="55"/>
        <v>y</v>
      </c>
      <c r="EEV1" s="154" t="str">
        <f t="shared" si="55"/>
        <v>y</v>
      </c>
      <c r="EEW1" s="154" t="str">
        <f t="shared" si="55"/>
        <v>y</v>
      </c>
      <c r="EEX1" s="154" t="str">
        <f t="shared" si="55"/>
        <v>y</v>
      </c>
      <c r="EEY1" s="154" t="str">
        <f t="shared" si="55"/>
        <v>y</v>
      </c>
      <c r="EEZ1" s="154" t="str">
        <f t="shared" si="55"/>
        <v>y</v>
      </c>
      <c r="EFA1" s="154" t="str">
        <f t="shared" si="55"/>
        <v>y</v>
      </c>
      <c r="EFB1" s="154" t="str">
        <f t="shared" si="55"/>
        <v>y</v>
      </c>
      <c r="EFC1" s="154" t="str">
        <f t="shared" si="55"/>
        <v>y</v>
      </c>
      <c r="EFD1" s="154" t="str">
        <f t="shared" si="55"/>
        <v>y</v>
      </c>
      <c r="EFE1" s="154" t="str">
        <f t="shared" si="55"/>
        <v>y</v>
      </c>
      <c r="EFF1" s="154" t="str">
        <f t="shared" si="55"/>
        <v>y</v>
      </c>
      <c r="EFG1" s="154" t="str">
        <f t="shared" si="55"/>
        <v>y</v>
      </c>
      <c r="EFH1" s="154" t="str">
        <f t="shared" si="55"/>
        <v>y</v>
      </c>
      <c r="EFI1" s="154" t="str">
        <f t="shared" si="55"/>
        <v>y</v>
      </c>
      <c r="EFJ1" s="154" t="str">
        <f t="shared" si="55"/>
        <v>y</v>
      </c>
      <c r="EFK1" s="154" t="str">
        <f t="shared" si="55"/>
        <v>y</v>
      </c>
      <c r="EFL1" s="154" t="str">
        <f t="shared" si="55"/>
        <v>y</v>
      </c>
      <c r="EFM1" s="154" t="str">
        <f t="shared" si="55"/>
        <v>y</v>
      </c>
      <c r="EFN1" s="154" t="str">
        <f t="shared" si="55"/>
        <v>y</v>
      </c>
      <c r="EFO1" s="154" t="str">
        <f t="shared" si="55"/>
        <v>y</v>
      </c>
      <c r="EFP1" s="154" t="str">
        <f t="shared" si="55"/>
        <v>y</v>
      </c>
      <c r="EFQ1" s="154" t="str">
        <f t="shared" si="55"/>
        <v>y</v>
      </c>
      <c r="EFR1" s="154" t="str">
        <f t="shared" si="55"/>
        <v>y</v>
      </c>
      <c r="EFS1" s="154" t="str">
        <f t="shared" si="55"/>
        <v>y</v>
      </c>
      <c r="EFT1" s="154" t="str">
        <f t="shared" si="55"/>
        <v>y</v>
      </c>
      <c r="EFU1" s="154" t="str">
        <f t="shared" si="55"/>
        <v>y</v>
      </c>
      <c r="EFV1" s="154" t="str">
        <f t="shared" si="55"/>
        <v>y</v>
      </c>
      <c r="EFW1" s="154" t="str">
        <f t="shared" si="55"/>
        <v>y</v>
      </c>
      <c r="EFX1" s="154" t="str">
        <f t="shared" si="55"/>
        <v>y</v>
      </c>
      <c r="EFY1" s="154" t="str">
        <f t="shared" si="55"/>
        <v>y</v>
      </c>
      <c r="EFZ1" s="154" t="str">
        <f t="shared" si="55"/>
        <v>y</v>
      </c>
      <c r="EGA1" s="154" t="str">
        <f t="shared" si="55"/>
        <v>y</v>
      </c>
      <c r="EGB1" s="154" t="str">
        <f t="shared" si="55"/>
        <v>y</v>
      </c>
      <c r="EGC1" s="154" t="str">
        <f t="shared" si="55"/>
        <v>y</v>
      </c>
      <c r="EGD1" s="154" t="str">
        <f t="shared" si="55"/>
        <v>y</v>
      </c>
      <c r="EGE1" s="154" t="str">
        <f t="shared" si="55"/>
        <v>y</v>
      </c>
      <c r="EGF1" s="154" t="str">
        <f t="shared" si="55"/>
        <v>y</v>
      </c>
      <c r="EGG1" s="154" t="str">
        <f t="shared" si="55"/>
        <v>y</v>
      </c>
      <c r="EGH1" s="154" t="str">
        <f t="shared" si="55"/>
        <v>y</v>
      </c>
      <c r="EGI1" s="154" t="str">
        <f t="shared" si="55"/>
        <v>y</v>
      </c>
      <c r="EGJ1" s="154" t="str">
        <f t="shared" si="55"/>
        <v>y</v>
      </c>
      <c r="EGK1" s="154" t="str">
        <f t="shared" si="55"/>
        <v>y</v>
      </c>
      <c r="EGL1" s="154" t="str">
        <f t="shared" si="55"/>
        <v>y</v>
      </c>
      <c r="EGM1" s="154" t="str">
        <f t="shared" si="55"/>
        <v>y</v>
      </c>
      <c r="EGN1" s="154" t="str">
        <f t="shared" si="55"/>
        <v>y</v>
      </c>
      <c r="EGO1" s="154" t="str">
        <f t="shared" si="55"/>
        <v>y</v>
      </c>
      <c r="EGP1" s="154" t="str">
        <f t="shared" si="55"/>
        <v>y</v>
      </c>
      <c r="EGQ1" s="154" t="str">
        <f t="shared" si="55"/>
        <v>y</v>
      </c>
      <c r="EGR1" s="154" t="str">
        <f t="shared" si="55"/>
        <v>y</v>
      </c>
      <c r="EGS1" s="154" t="str">
        <f t="shared" si="55"/>
        <v>y</v>
      </c>
      <c r="EGT1" s="154" t="str">
        <f t="shared" si="55"/>
        <v>y</v>
      </c>
      <c r="EGU1" s="154" t="str">
        <f t="shared" si="55"/>
        <v>y</v>
      </c>
      <c r="EGV1" s="154" t="str">
        <f t="shared" si="55"/>
        <v>y</v>
      </c>
      <c r="EGW1" s="154" t="str">
        <f t="shared" si="55"/>
        <v>y</v>
      </c>
      <c r="EGX1" s="154" t="str">
        <f t="shared" si="55"/>
        <v>y</v>
      </c>
      <c r="EGY1" s="154" t="str">
        <f t="shared" si="55"/>
        <v>y</v>
      </c>
      <c r="EGZ1" s="154" t="str">
        <f t="shared" si="55"/>
        <v>y</v>
      </c>
      <c r="EHA1" s="154" t="str">
        <f t="shared" si="55"/>
        <v>y</v>
      </c>
      <c r="EHB1" s="154" t="str">
        <f t="shared" ref="EHB1:EJM1" si="56">EHB2&amp;"y"</f>
        <v>y</v>
      </c>
      <c r="EHC1" s="154" t="str">
        <f t="shared" si="56"/>
        <v>y</v>
      </c>
      <c r="EHD1" s="154" t="str">
        <f t="shared" si="56"/>
        <v>y</v>
      </c>
      <c r="EHE1" s="154" t="str">
        <f t="shared" si="56"/>
        <v>y</v>
      </c>
      <c r="EHF1" s="154" t="str">
        <f t="shared" si="56"/>
        <v>y</v>
      </c>
      <c r="EHG1" s="154" t="str">
        <f t="shared" si="56"/>
        <v>y</v>
      </c>
      <c r="EHH1" s="154" t="str">
        <f t="shared" si="56"/>
        <v>y</v>
      </c>
      <c r="EHI1" s="154" t="str">
        <f t="shared" si="56"/>
        <v>y</v>
      </c>
      <c r="EHJ1" s="154" t="str">
        <f t="shared" si="56"/>
        <v>y</v>
      </c>
      <c r="EHK1" s="154" t="str">
        <f t="shared" si="56"/>
        <v>y</v>
      </c>
      <c r="EHL1" s="154" t="str">
        <f t="shared" si="56"/>
        <v>y</v>
      </c>
      <c r="EHM1" s="154" t="str">
        <f t="shared" si="56"/>
        <v>y</v>
      </c>
      <c r="EHN1" s="154" t="str">
        <f t="shared" si="56"/>
        <v>y</v>
      </c>
      <c r="EHO1" s="154" t="str">
        <f t="shared" si="56"/>
        <v>y</v>
      </c>
      <c r="EHP1" s="154" t="str">
        <f t="shared" si="56"/>
        <v>y</v>
      </c>
      <c r="EHQ1" s="154" t="str">
        <f t="shared" si="56"/>
        <v>y</v>
      </c>
      <c r="EHR1" s="154" t="str">
        <f t="shared" si="56"/>
        <v>y</v>
      </c>
      <c r="EHS1" s="154" t="str">
        <f t="shared" si="56"/>
        <v>y</v>
      </c>
      <c r="EHT1" s="154" t="str">
        <f t="shared" si="56"/>
        <v>y</v>
      </c>
      <c r="EHU1" s="154" t="str">
        <f t="shared" si="56"/>
        <v>y</v>
      </c>
      <c r="EHV1" s="154" t="str">
        <f t="shared" si="56"/>
        <v>y</v>
      </c>
      <c r="EHW1" s="154" t="str">
        <f t="shared" si="56"/>
        <v>y</v>
      </c>
      <c r="EHX1" s="154" t="str">
        <f t="shared" si="56"/>
        <v>y</v>
      </c>
      <c r="EHY1" s="154" t="str">
        <f t="shared" si="56"/>
        <v>y</v>
      </c>
      <c r="EHZ1" s="154" t="str">
        <f t="shared" si="56"/>
        <v>y</v>
      </c>
      <c r="EIA1" s="154" t="str">
        <f t="shared" si="56"/>
        <v>y</v>
      </c>
      <c r="EIB1" s="154" t="str">
        <f t="shared" si="56"/>
        <v>y</v>
      </c>
      <c r="EIC1" s="154" t="str">
        <f t="shared" si="56"/>
        <v>y</v>
      </c>
      <c r="EID1" s="154" t="str">
        <f t="shared" si="56"/>
        <v>y</v>
      </c>
      <c r="EIE1" s="154" t="str">
        <f t="shared" si="56"/>
        <v>y</v>
      </c>
      <c r="EIF1" s="154" t="str">
        <f t="shared" si="56"/>
        <v>y</v>
      </c>
      <c r="EIG1" s="154" t="str">
        <f t="shared" si="56"/>
        <v>y</v>
      </c>
      <c r="EIH1" s="154" t="str">
        <f t="shared" si="56"/>
        <v>y</v>
      </c>
      <c r="EII1" s="154" t="str">
        <f t="shared" si="56"/>
        <v>y</v>
      </c>
      <c r="EIJ1" s="154" t="str">
        <f t="shared" si="56"/>
        <v>y</v>
      </c>
      <c r="EIK1" s="154" t="str">
        <f t="shared" si="56"/>
        <v>y</v>
      </c>
      <c r="EIL1" s="154" t="str">
        <f t="shared" si="56"/>
        <v>y</v>
      </c>
      <c r="EIM1" s="154" t="str">
        <f t="shared" si="56"/>
        <v>y</v>
      </c>
      <c r="EIN1" s="154" t="str">
        <f t="shared" si="56"/>
        <v>y</v>
      </c>
      <c r="EIO1" s="154" t="str">
        <f t="shared" si="56"/>
        <v>y</v>
      </c>
      <c r="EIP1" s="154" t="str">
        <f t="shared" si="56"/>
        <v>y</v>
      </c>
      <c r="EIQ1" s="154" t="str">
        <f t="shared" si="56"/>
        <v>y</v>
      </c>
      <c r="EIR1" s="154" t="str">
        <f t="shared" si="56"/>
        <v>y</v>
      </c>
      <c r="EIS1" s="154" t="str">
        <f t="shared" si="56"/>
        <v>y</v>
      </c>
      <c r="EIT1" s="154" t="str">
        <f t="shared" si="56"/>
        <v>y</v>
      </c>
      <c r="EIU1" s="154" t="str">
        <f t="shared" si="56"/>
        <v>y</v>
      </c>
      <c r="EIV1" s="154" t="str">
        <f t="shared" si="56"/>
        <v>y</v>
      </c>
      <c r="EIW1" s="154" t="str">
        <f t="shared" si="56"/>
        <v>y</v>
      </c>
      <c r="EIX1" s="154" t="str">
        <f t="shared" si="56"/>
        <v>y</v>
      </c>
      <c r="EIY1" s="154" t="str">
        <f t="shared" si="56"/>
        <v>y</v>
      </c>
      <c r="EIZ1" s="154" t="str">
        <f t="shared" si="56"/>
        <v>y</v>
      </c>
      <c r="EJA1" s="154" t="str">
        <f t="shared" si="56"/>
        <v>y</v>
      </c>
      <c r="EJB1" s="154" t="str">
        <f t="shared" si="56"/>
        <v>y</v>
      </c>
      <c r="EJC1" s="154" t="str">
        <f t="shared" si="56"/>
        <v>y</v>
      </c>
      <c r="EJD1" s="154" t="str">
        <f t="shared" si="56"/>
        <v>y</v>
      </c>
      <c r="EJE1" s="154" t="str">
        <f t="shared" si="56"/>
        <v>y</v>
      </c>
      <c r="EJF1" s="154" t="str">
        <f t="shared" si="56"/>
        <v>y</v>
      </c>
      <c r="EJG1" s="154" t="str">
        <f t="shared" si="56"/>
        <v>y</v>
      </c>
      <c r="EJH1" s="154" t="str">
        <f t="shared" si="56"/>
        <v>y</v>
      </c>
      <c r="EJI1" s="154" t="str">
        <f t="shared" si="56"/>
        <v>y</v>
      </c>
      <c r="EJJ1" s="154" t="str">
        <f t="shared" si="56"/>
        <v>y</v>
      </c>
      <c r="EJK1" s="154" t="str">
        <f t="shared" si="56"/>
        <v>y</v>
      </c>
      <c r="EJL1" s="154" t="str">
        <f t="shared" si="56"/>
        <v>y</v>
      </c>
      <c r="EJM1" s="154" t="str">
        <f t="shared" si="56"/>
        <v>y</v>
      </c>
      <c r="EJN1" s="154" t="str">
        <f t="shared" ref="EJN1:ELY1" si="57">EJN2&amp;"y"</f>
        <v>y</v>
      </c>
      <c r="EJO1" s="154" t="str">
        <f t="shared" si="57"/>
        <v>y</v>
      </c>
      <c r="EJP1" s="154" t="str">
        <f t="shared" si="57"/>
        <v>y</v>
      </c>
      <c r="EJQ1" s="154" t="str">
        <f t="shared" si="57"/>
        <v>y</v>
      </c>
      <c r="EJR1" s="154" t="str">
        <f t="shared" si="57"/>
        <v>y</v>
      </c>
      <c r="EJS1" s="154" t="str">
        <f t="shared" si="57"/>
        <v>y</v>
      </c>
      <c r="EJT1" s="154" t="str">
        <f t="shared" si="57"/>
        <v>y</v>
      </c>
      <c r="EJU1" s="154" t="str">
        <f t="shared" si="57"/>
        <v>y</v>
      </c>
      <c r="EJV1" s="154" t="str">
        <f t="shared" si="57"/>
        <v>y</v>
      </c>
      <c r="EJW1" s="154" t="str">
        <f t="shared" si="57"/>
        <v>y</v>
      </c>
      <c r="EJX1" s="154" t="str">
        <f t="shared" si="57"/>
        <v>y</v>
      </c>
      <c r="EJY1" s="154" t="str">
        <f t="shared" si="57"/>
        <v>y</v>
      </c>
      <c r="EJZ1" s="154" t="str">
        <f t="shared" si="57"/>
        <v>y</v>
      </c>
      <c r="EKA1" s="154" t="str">
        <f t="shared" si="57"/>
        <v>y</v>
      </c>
      <c r="EKB1" s="154" t="str">
        <f t="shared" si="57"/>
        <v>y</v>
      </c>
      <c r="EKC1" s="154" t="str">
        <f t="shared" si="57"/>
        <v>y</v>
      </c>
      <c r="EKD1" s="154" t="str">
        <f t="shared" si="57"/>
        <v>y</v>
      </c>
      <c r="EKE1" s="154" t="str">
        <f t="shared" si="57"/>
        <v>y</v>
      </c>
      <c r="EKF1" s="154" t="str">
        <f t="shared" si="57"/>
        <v>y</v>
      </c>
      <c r="EKG1" s="154" t="str">
        <f t="shared" si="57"/>
        <v>y</v>
      </c>
      <c r="EKH1" s="154" t="str">
        <f t="shared" si="57"/>
        <v>y</v>
      </c>
      <c r="EKI1" s="154" t="str">
        <f t="shared" si="57"/>
        <v>y</v>
      </c>
      <c r="EKJ1" s="154" t="str">
        <f t="shared" si="57"/>
        <v>y</v>
      </c>
      <c r="EKK1" s="154" t="str">
        <f t="shared" si="57"/>
        <v>y</v>
      </c>
      <c r="EKL1" s="154" t="str">
        <f t="shared" si="57"/>
        <v>y</v>
      </c>
      <c r="EKM1" s="154" t="str">
        <f t="shared" si="57"/>
        <v>y</v>
      </c>
      <c r="EKN1" s="154" t="str">
        <f t="shared" si="57"/>
        <v>y</v>
      </c>
      <c r="EKO1" s="154" t="str">
        <f t="shared" si="57"/>
        <v>y</v>
      </c>
      <c r="EKP1" s="154" t="str">
        <f t="shared" si="57"/>
        <v>y</v>
      </c>
      <c r="EKQ1" s="154" t="str">
        <f t="shared" si="57"/>
        <v>y</v>
      </c>
      <c r="EKR1" s="154" t="str">
        <f t="shared" si="57"/>
        <v>y</v>
      </c>
      <c r="EKS1" s="154" t="str">
        <f t="shared" si="57"/>
        <v>y</v>
      </c>
      <c r="EKT1" s="154" t="str">
        <f t="shared" si="57"/>
        <v>y</v>
      </c>
      <c r="EKU1" s="154" t="str">
        <f t="shared" si="57"/>
        <v>y</v>
      </c>
      <c r="EKV1" s="154" t="str">
        <f t="shared" si="57"/>
        <v>y</v>
      </c>
      <c r="EKW1" s="154" t="str">
        <f t="shared" si="57"/>
        <v>y</v>
      </c>
      <c r="EKX1" s="154" t="str">
        <f t="shared" si="57"/>
        <v>y</v>
      </c>
      <c r="EKY1" s="154" t="str">
        <f t="shared" si="57"/>
        <v>y</v>
      </c>
      <c r="EKZ1" s="154" t="str">
        <f t="shared" si="57"/>
        <v>y</v>
      </c>
      <c r="ELA1" s="154" t="str">
        <f t="shared" si="57"/>
        <v>y</v>
      </c>
      <c r="ELB1" s="154" t="str">
        <f t="shared" si="57"/>
        <v>y</v>
      </c>
      <c r="ELC1" s="154" t="str">
        <f t="shared" si="57"/>
        <v>y</v>
      </c>
      <c r="ELD1" s="154" t="str">
        <f t="shared" si="57"/>
        <v>y</v>
      </c>
      <c r="ELE1" s="154" t="str">
        <f t="shared" si="57"/>
        <v>y</v>
      </c>
      <c r="ELF1" s="154" t="str">
        <f t="shared" si="57"/>
        <v>y</v>
      </c>
      <c r="ELG1" s="154" t="str">
        <f t="shared" si="57"/>
        <v>y</v>
      </c>
      <c r="ELH1" s="154" t="str">
        <f t="shared" si="57"/>
        <v>y</v>
      </c>
      <c r="ELI1" s="154" t="str">
        <f t="shared" si="57"/>
        <v>y</v>
      </c>
      <c r="ELJ1" s="154" t="str">
        <f t="shared" si="57"/>
        <v>y</v>
      </c>
      <c r="ELK1" s="154" t="str">
        <f t="shared" si="57"/>
        <v>y</v>
      </c>
      <c r="ELL1" s="154" t="str">
        <f t="shared" si="57"/>
        <v>y</v>
      </c>
      <c r="ELM1" s="154" t="str">
        <f t="shared" si="57"/>
        <v>y</v>
      </c>
      <c r="ELN1" s="154" t="str">
        <f t="shared" si="57"/>
        <v>y</v>
      </c>
      <c r="ELO1" s="154" t="str">
        <f t="shared" si="57"/>
        <v>y</v>
      </c>
      <c r="ELP1" s="154" t="str">
        <f t="shared" si="57"/>
        <v>y</v>
      </c>
      <c r="ELQ1" s="154" t="str">
        <f t="shared" si="57"/>
        <v>y</v>
      </c>
      <c r="ELR1" s="154" t="str">
        <f t="shared" si="57"/>
        <v>y</v>
      </c>
      <c r="ELS1" s="154" t="str">
        <f t="shared" si="57"/>
        <v>y</v>
      </c>
      <c r="ELT1" s="154" t="str">
        <f t="shared" si="57"/>
        <v>y</v>
      </c>
      <c r="ELU1" s="154" t="str">
        <f t="shared" si="57"/>
        <v>y</v>
      </c>
      <c r="ELV1" s="154" t="str">
        <f t="shared" si="57"/>
        <v>y</v>
      </c>
      <c r="ELW1" s="154" t="str">
        <f t="shared" si="57"/>
        <v>y</v>
      </c>
      <c r="ELX1" s="154" t="str">
        <f t="shared" si="57"/>
        <v>y</v>
      </c>
      <c r="ELY1" s="154" t="str">
        <f t="shared" si="57"/>
        <v>y</v>
      </c>
      <c r="ELZ1" s="154" t="str">
        <f t="shared" ref="ELZ1:EOK1" si="58">ELZ2&amp;"y"</f>
        <v>y</v>
      </c>
      <c r="EMA1" s="154" t="str">
        <f t="shared" si="58"/>
        <v>y</v>
      </c>
      <c r="EMB1" s="154" t="str">
        <f t="shared" si="58"/>
        <v>y</v>
      </c>
      <c r="EMC1" s="154" t="str">
        <f t="shared" si="58"/>
        <v>y</v>
      </c>
      <c r="EMD1" s="154" t="str">
        <f t="shared" si="58"/>
        <v>y</v>
      </c>
      <c r="EME1" s="154" t="str">
        <f t="shared" si="58"/>
        <v>y</v>
      </c>
      <c r="EMF1" s="154" t="str">
        <f t="shared" si="58"/>
        <v>y</v>
      </c>
      <c r="EMG1" s="154" t="str">
        <f t="shared" si="58"/>
        <v>y</v>
      </c>
      <c r="EMH1" s="154" t="str">
        <f t="shared" si="58"/>
        <v>y</v>
      </c>
      <c r="EMI1" s="154" t="str">
        <f t="shared" si="58"/>
        <v>y</v>
      </c>
      <c r="EMJ1" s="154" t="str">
        <f t="shared" si="58"/>
        <v>y</v>
      </c>
      <c r="EMK1" s="154" t="str">
        <f t="shared" si="58"/>
        <v>y</v>
      </c>
      <c r="EML1" s="154" t="str">
        <f t="shared" si="58"/>
        <v>y</v>
      </c>
      <c r="EMM1" s="154" t="str">
        <f t="shared" si="58"/>
        <v>y</v>
      </c>
      <c r="EMN1" s="154" t="str">
        <f t="shared" si="58"/>
        <v>y</v>
      </c>
      <c r="EMO1" s="154" t="str">
        <f t="shared" si="58"/>
        <v>y</v>
      </c>
      <c r="EMP1" s="154" t="str">
        <f t="shared" si="58"/>
        <v>y</v>
      </c>
      <c r="EMQ1" s="154" t="str">
        <f t="shared" si="58"/>
        <v>y</v>
      </c>
      <c r="EMR1" s="154" t="str">
        <f t="shared" si="58"/>
        <v>y</v>
      </c>
      <c r="EMS1" s="154" t="str">
        <f t="shared" si="58"/>
        <v>y</v>
      </c>
      <c r="EMT1" s="154" t="str">
        <f t="shared" si="58"/>
        <v>y</v>
      </c>
      <c r="EMU1" s="154" t="str">
        <f t="shared" si="58"/>
        <v>y</v>
      </c>
      <c r="EMV1" s="154" t="str">
        <f t="shared" si="58"/>
        <v>y</v>
      </c>
      <c r="EMW1" s="154" t="str">
        <f t="shared" si="58"/>
        <v>y</v>
      </c>
      <c r="EMX1" s="154" t="str">
        <f t="shared" si="58"/>
        <v>y</v>
      </c>
      <c r="EMY1" s="154" t="str">
        <f t="shared" si="58"/>
        <v>y</v>
      </c>
      <c r="EMZ1" s="154" t="str">
        <f t="shared" si="58"/>
        <v>y</v>
      </c>
      <c r="ENA1" s="154" t="str">
        <f t="shared" si="58"/>
        <v>y</v>
      </c>
      <c r="ENB1" s="154" t="str">
        <f t="shared" si="58"/>
        <v>y</v>
      </c>
      <c r="ENC1" s="154" t="str">
        <f t="shared" si="58"/>
        <v>y</v>
      </c>
      <c r="END1" s="154" t="str">
        <f t="shared" si="58"/>
        <v>y</v>
      </c>
      <c r="ENE1" s="154" t="str">
        <f t="shared" si="58"/>
        <v>y</v>
      </c>
      <c r="ENF1" s="154" t="str">
        <f t="shared" si="58"/>
        <v>y</v>
      </c>
      <c r="ENG1" s="154" t="str">
        <f t="shared" si="58"/>
        <v>y</v>
      </c>
      <c r="ENH1" s="154" t="str">
        <f t="shared" si="58"/>
        <v>y</v>
      </c>
      <c r="ENI1" s="154" t="str">
        <f t="shared" si="58"/>
        <v>y</v>
      </c>
      <c r="ENJ1" s="154" t="str">
        <f t="shared" si="58"/>
        <v>y</v>
      </c>
      <c r="ENK1" s="154" t="str">
        <f t="shared" si="58"/>
        <v>y</v>
      </c>
      <c r="ENL1" s="154" t="str">
        <f t="shared" si="58"/>
        <v>y</v>
      </c>
      <c r="ENM1" s="154" t="str">
        <f t="shared" si="58"/>
        <v>y</v>
      </c>
      <c r="ENN1" s="154" t="str">
        <f t="shared" si="58"/>
        <v>y</v>
      </c>
      <c r="ENO1" s="154" t="str">
        <f t="shared" si="58"/>
        <v>y</v>
      </c>
      <c r="ENP1" s="154" t="str">
        <f t="shared" si="58"/>
        <v>y</v>
      </c>
      <c r="ENQ1" s="154" t="str">
        <f t="shared" si="58"/>
        <v>y</v>
      </c>
      <c r="ENR1" s="154" t="str">
        <f t="shared" si="58"/>
        <v>y</v>
      </c>
      <c r="ENS1" s="154" t="str">
        <f t="shared" si="58"/>
        <v>y</v>
      </c>
      <c r="ENT1" s="154" t="str">
        <f t="shared" si="58"/>
        <v>y</v>
      </c>
      <c r="ENU1" s="154" t="str">
        <f t="shared" si="58"/>
        <v>y</v>
      </c>
      <c r="ENV1" s="154" t="str">
        <f t="shared" si="58"/>
        <v>y</v>
      </c>
      <c r="ENW1" s="154" t="str">
        <f t="shared" si="58"/>
        <v>y</v>
      </c>
      <c r="ENX1" s="154" t="str">
        <f t="shared" si="58"/>
        <v>y</v>
      </c>
      <c r="ENY1" s="154" t="str">
        <f t="shared" si="58"/>
        <v>y</v>
      </c>
      <c r="ENZ1" s="154" t="str">
        <f t="shared" si="58"/>
        <v>y</v>
      </c>
      <c r="EOA1" s="154" t="str">
        <f t="shared" si="58"/>
        <v>y</v>
      </c>
      <c r="EOB1" s="154" t="str">
        <f t="shared" si="58"/>
        <v>y</v>
      </c>
      <c r="EOC1" s="154" t="str">
        <f t="shared" si="58"/>
        <v>y</v>
      </c>
      <c r="EOD1" s="154" t="str">
        <f t="shared" si="58"/>
        <v>y</v>
      </c>
      <c r="EOE1" s="154" t="str">
        <f t="shared" si="58"/>
        <v>y</v>
      </c>
      <c r="EOF1" s="154" t="str">
        <f t="shared" si="58"/>
        <v>y</v>
      </c>
      <c r="EOG1" s="154" t="str">
        <f t="shared" si="58"/>
        <v>y</v>
      </c>
      <c r="EOH1" s="154" t="str">
        <f t="shared" si="58"/>
        <v>y</v>
      </c>
      <c r="EOI1" s="154" t="str">
        <f t="shared" si="58"/>
        <v>y</v>
      </c>
      <c r="EOJ1" s="154" t="str">
        <f t="shared" si="58"/>
        <v>y</v>
      </c>
      <c r="EOK1" s="154" t="str">
        <f t="shared" si="58"/>
        <v>y</v>
      </c>
      <c r="EOL1" s="154" t="str">
        <f t="shared" ref="EOL1:EQW1" si="59">EOL2&amp;"y"</f>
        <v>y</v>
      </c>
      <c r="EOM1" s="154" t="str">
        <f t="shared" si="59"/>
        <v>y</v>
      </c>
      <c r="EON1" s="154" t="str">
        <f t="shared" si="59"/>
        <v>y</v>
      </c>
      <c r="EOO1" s="154" t="str">
        <f t="shared" si="59"/>
        <v>y</v>
      </c>
      <c r="EOP1" s="154" t="str">
        <f t="shared" si="59"/>
        <v>y</v>
      </c>
      <c r="EOQ1" s="154" t="str">
        <f t="shared" si="59"/>
        <v>y</v>
      </c>
      <c r="EOR1" s="154" t="str">
        <f t="shared" si="59"/>
        <v>y</v>
      </c>
      <c r="EOS1" s="154" t="str">
        <f t="shared" si="59"/>
        <v>y</v>
      </c>
      <c r="EOT1" s="154" t="str">
        <f t="shared" si="59"/>
        <v>y</v>
      </c>
      <c r="EOU1" s="154" t="str">
        <f t="shared" si="59"/>
        <v>y</v>
      </c>
      <c r="EOV1" s="154" t="str">
        <f t="shared" si="59"/>
        <v>y</v>
      </c>
      <c r="EOW1" s="154" t="str">
        <f t="shared" si="59"/>
        <v>y</v>
      </c>
      <c r="EOX1" s="154" t="str">
        <f t="shared" si="59"/>
        <v>y</v>
      </c>
      <c r="EOY1" s="154" t="str">
        <f t="shared" si="59"/>
        <v>y</v>
      </c>
      <c r="EOZ1" s="154" t="str">
        <f t="shared" si="59"/>
        <v>y</v>
      </c>
      <c r="EPA1" s="154" t="str">
        <f t="shared" si="59"/>
        <v>y</v>
      </c>
      <c r="EPB1" s="154" t="str">
        <f t="shared" si="59"/>
        <v>y</v>
      </c>
      <c r="EPC1" s="154" t="str">
        <f t="shared" si="59"/>
        <v>y</v>
      </c>
      <c r="EPD1" s="154" t="str">
        <f t="shared" si="59"/>
        <v>y</v>
      </c>
      <c r="EPE1" s="154" t="str">
        <f t="shared" si="59"/>
        <v>y</v>
      </c>
      <c r="EPF1" s="154" t="str">
        <f t="shared" si="59"/>
        <v>y</v>
      </c>
      <c r="EPG1" s="154" t="str">
        <f t="shared" si="59"/>
        <v>y</v>
      </c>
      <c r="EPH1" s="154" t="str">
        <f t="shared" si="59"/>
        <v>y</v>
      </c>
      <c r="EPI1" s="154" t="str">
        <f t="shared" si="59"/>
        <v>y</v>
      </c>
      <c r="EPJ1" s="154" t="str">
        <f t="shared" si="59"/>
        <v>y</v>
      </c>
      <c r="EPK1" s="154" t="str">
        <f t="shared" si="59"/>
        <v>y</v>
      </c>
      <c r="EPL1" s="154" t="str">
        <f t="shared" si="59"/>
        <v>y</v>
      </c>
      <c r="EPM1" s="154" t="str">
        <f t="shared" si="59"/>
        <v>y</v>
      </c>
      <c r="EPN1" s="154" t="str">
        <f t="shared" si="59"/>
        <v>y</v>
      </c>
      <c r="EPO1" s="154" t="str">
        <f t="shared" si="59"/>
        <v>y</v>
      </c>
      <c r="EPP1" s="154" t="str">
        <f t="shared" si="59"/>
        <v>y</v>
      </c>
      <c r="EPQ1" s="154" t="str">
        <f t="shared" si="59"/>
        <v>y</v>
      </c>
      <c r="EPR1" s="154" t="str">
        <f t="shared" si="59"/>
        <v>y</v>
      </c>
      <c r="EPS1" s="154" t="str">
        <f t="shared" si="59"/>
        <v>y</v>
      </c>
      <c r="EPT1" s="154" t="str">
        <f t="shared" si="59"/>
        <v>y</v>
      </c>
      <c r="EPU1" s="154" t="str">
        <f t="shared" si="59"/>
        <v>y</v>
      </c>
      <c r="EPV1" s="154" t="str">
        <f t="shared" si="59"/>
        <v>y</v>
      </c>
      <c r="EPW1" s="154" t="str">
        <f t="shared" si="59"/>
        <v>y</v>
      </c>
      <c r="EPX1" s="154" t="str">
        <f t="shared" si="59"/>
        <v>y</v>
      </c>
      <c r="EPY1" s="154" t="str">
        <f t="shared" si="59"/>
        <v>y</v>
      </c>
      <c r="EPZ1" s="154" t="str">
        <f t="shared" si="59"/>
        <v>y</v>
      </c>
      <c r="EQA1" s="154" t="str">
        <f t="shared" si="59"/>
        <v>y</v>
      </c>
      <c r="EQB1" s="154" t="str">
        <f t="shared" si="59"/>
        <v>y</v>
      </c>
      <c r="EQC1" s="154" t="str">
        <f t="shared" si="59"/>
        <v>y</v>
      </c>
      <c r="EQD1" s="154" t="str">
        <f t="shared" si="59"/>
        <v>y</v>
      </c>
      <c r="EQE1" s="154" t="str">
        <f t="shared" si="59"/>
        <v>y</v>
      </c>
      <c r="EQF1" s="154" t="str">
        <f t="shared" si="59"/>
        <v>y</v>
      </c>
      <c r="EQG1" s="154" t="str">
        <f t="shared" si="59"/>
        <v>y</v>
      </c>
      <c r="EQH1" s="154" t="str">
        <f t="shared" si="59"/>
        <v>y</v>
      </c>
      <c r="EQI1" s="154" t="str">
        <f t="shared" si="59"/>
        <v>y</v>
      </c>
      <c r="EQJ1" s="154" t="str">
        <f t="shared" si="59"/>
        <v>y</v>
      </c>
      <c r="EQK1" s="154" t="str">
        <f t="shared" si="59"/>
        <v>y</v>
      </c>
      <c r="EQL1" s="154" t="str">
        <f t="shared" si="59"/>
        <v>y</v>
      </c>
      <c r="EQM1" s="154" t="str">
        <f t="shared" si="59"/>
        <v>y</v>
      </c>
      <c r="EQN1" s="154" t="str">
        <f t="shared" si="59"/>
        <v>y</v>
      </c>
      <c r="EQO1" s="154" t="str">
        <f t="shared" si="59"/>
        <v>y</v>
      </c>
      <c r="EQP1" s="154" t="str">
        <f t="shared" si="59"/>
        <v>y</v>
      </c>
      <c r="EQQ1" s="154" t="str">
        <f t="shared" si="59"/>
        <v>y</v>
      </c>
      <c r="EQR1" s="154" t="str">
        <f t="shared" si="59"/>
        <v>y</v>
      </c>
      <c r="EQS1" s="154" t="str">
        <f t="shared" si="59"/>
        <v>y</v>
      </c>
      <c r="EQT1" s="154" t="str">
        <f t="shared" si="59"/>
        <v>y</v>
      </c>
      <c r="EQU1" s="154" t="str">
        <f t="shared" si="59"/>
        <v>y</v>
      </c>
      <c r="EQV1" s="154" t="str">
        <f t="shared" si="59"/>
        <v>y</v>
      </c>
      <c r="EQW1" s="154" t="str">
        <f t="shared" si="59"/>
        <v>y</v>
      </c>
      <c r="EQX1" s="154" t="str">
        <f t="shared" ref="EQX1:ETI1" si="60">EQX2&amp;"y"</f>
        <v>y</v>
      </c>
      <c r="EQY1" s="154" t="str">
        <f t="shared" si="60"/>
        <v>y</v>
      </c>
      <c r="EQZ1" s="154" t="str">
        <f t="shared" si="60"/>
        <v>y</v>
      </c>
      <c r="ERA1" s="154" t="str">
        <f t="shared" si="60"/>
        <v>y</v>
      </c>
      <c r="ERB1" s="154" t="str">
        <f t="shared" si="60"/>
        <v>y</v>
      </c>
      <c r="ERC1" s="154" t="str">
        <f t="shared" si="60"/>
        <v>y</v>
      </c>
      <c r="ERD1" s="154" t="str">
        <f t="shared" si="60"/>
        <v>y</v>
      </c>
      <c r="ERE1" s="154" t="str">
        <f t="shared" si="60"/>
        <v>y</v>
      </c>
      <c r="ERF1" s="154" t="str">
        <f t="shared" si="60"/>
        <v>y</v>
      </c>
      <c r="ERG1" s="154" t="str">
        <f t="shared" si="60"/>
        <v>y</v>
      </c>
      <c r="ERH1" s="154" t="str">
        <f t="shared" si="60"/>
        <v>y</v>
      </c>
      <c r="ERI1" s="154" t="str">
        <f t="shared" si="60"/>
        <v>y</v>
      </c>
      <c r="ERJ1" s="154" t="str">
        <f t="shared" si="60"/>
        <v>y</v>
      </c>
      <c r="ERK1" s="154" t="str">
        <f t="shared" si="60"/>
        <v>y</v>
      </c>
      <c r="ERL1" s="154" t="str">
        <f t="shared" si="60"/>
        <v>y</v>
      </c>
      <c r="ERM1" s="154" t="str">
        <f t="shared" si="60"/>
        <v>y</v>
      </c>
      <c r="ERN1" s="154" t="str">
        <f t="shared" si="60"/>
        <v>y</v>
      </c>
      <c r="ERO1" s="154" t="str">
        <f t="shared" si="60"/>
        <v>y</v>
      </c>
      <c r="ERP1" s="154" t="str">
        <f t="shared" si="60"/>
        <v>y</v>
      </c>
      <c r="ERQ1" s="154" t="str">
        <f t="shared" si="60"/>
        <v>y</v>
      </c>
      <c r="ERR1" s="154" t="str">
        <f t="shared" si="60"/>
        <v>y</v>
      </c>
      <c r="ERS1" s="154" t="str">
        <f t="shared" si="60"/>
        <v>y</v>
      </c>
      <c r="ERT1" s="154" t="str">
        <f t="shared" si="60"/>
        <v>y</v>
      </c>
      <c r="ERU1" s="154" t="str">
        <f t="shared" si="60"/>
        <v>y</v>
      </c>
      <c r="ERV1" s="154" t="str">
        <f t="shared" si="60"/>
        <v>y</v>
      </c>
      <c r="ERW1" s="154" t="str">
        <f t="shared" si="60"/>
        <v>y</v>
      </c>
      <c r="ERX1" s="154" t="str">
        <f t="shared" si="60"/>
        <v>y</v>
      </c>
      <c r="ERY1" s="154" t="str">
        <f t="shared" si="60"/>
        <v>y</v>
      </c>
      <c r="ERZ1" s="154" t="str">
        <f t="shared" si="60"/>
        <v>y</v>
      </c>
      <c r="ESA1" s="154" t="str">
        <f t="shared" si="60"/>
        <v>y</v>
      </c>
      <c r="ESB1" s="154" t="str">
        <f t="shared" si="60"/>
        <v>y</v>
      </c>
      <c r="ESC1" s="154" t="str">
        <f t="shared" si="60"/>
        <v>y</v>
      </c>
      <c r="ESD1" s="154" t="str">
        <f t="shared" si="60"/>
        <v>y</v>
      </c>
      <c r="ESE1" s="154" t="str">
        <f t="shared" si="60"/>
        <v>y</v>
      </c>
      <c r="ESF1" s="154" t="str">
        <f t="shared" si="60"/>
        <v>y</v>
      </c>
      <c r="ESG1" s="154" t="str">
        <f t="shared" si="60"/>
        <v>y</v>
      </c>
      <c r="ESH1" s="154" t="str">
        <f t="shared" si="60"/>
        <v>y</v>
      </c>
      <c r="ESI1" s="154" t="str">
        <f t="shared" si="60"/>
        <v>y</v>
      </c>
      <c r="ESJ1" s="154" t="str">
        <f t="shared" si="60"/>
        <v>y</v>
      </c>
      <c r="ESK1" s="154" t="str">
        <f t="shared" si="60"/>
        <v>y</v>
      </c>
      <c r="ESL1" s="154" t="str">
        <f t="shared" si="60"/>
        <v>y</v>
      </c>
      <c r="ESM1" s="154" t="str">
        <f t="shared" si="60"/>
        <v>y</v>
      </c>
      <c r="ESN1" s="154" t="str">
        <f t="shared" si="60"/>
        <v>y</v>
      </c>
      <c r="ESO1" s="154" t="str">
        <f t="shared" si="60"/>
        <v>y</v>
      </c>
      <c r="ESP1" s="154" t="str">
        <f t="shared" si="60"/>
        <v>y</v>
      </c>
      <c r="ESQ1" s="154" t="str">
        <f t="shared" si="60"/>
        <v>y</v>
      </c>
      <c r="ESR1" s="154" t="str">
        <f t="shared" si="60"/>
        <v>y</v>
      </c>
      <c r="ESS1" s="154" t="str">
        <f t="shared" si="60"/>
        <v>y</v>
      </c>
      <c r="EST1" s="154" t="str">
        <f t="shared" si="60"/>
        <v>y</v>
      </c>
      <c r="ESU1" s="154" t="str">
        <f t="shared" si="60"/>
        <v>y</v>
      </c>
      <c r="ESV1" s="154" t="str">
        <f t="shared" si="60"/>
        <v>y</v>
      </c>
      <c r="ESW1" s="154" t="str">
        <f t="shared" si="60"/>
        <v>y</v>
      </c>
      <c r="ESX1" s="154" t="str">
        <f t="shared" si="60"/>
        <v>y</v>
      </c>
      <c r="ESY1" s="154" t="str">
        <f t="shared" si="60"/>
        <v>y</v>
      </c>
      <c r="ESZ1" s="154" t="str">
        <f t="shared" si="60"/>
        <v>y</v>
      </c>
      <c r="ETA1" s="154" t="str">
        <f t="shared" si="60"/>
        <v>y</v>
      </c>
      <c r="ETB1" s="154" t="str">
        <f t="shared" si="60"/>
        <v>y</v>
      </c>
      <c r="ETC1" s="154" t="str">
        <f t="shared" si="60"/>
        <v>y</v>
      </c>
      <c r="ETD1" s="154" t="str">
        <f t="shared" si="60"/>
        <v>y</v>
      </c>
      <c r="ETE1" s="154" t="str">
        <f t="shared" si="60"/>
        <v>y</v>
      </c>
      <c r="ETF1" s="154" t="str">
        <f t="shared" si="60"/>
        <v>y</v>
      </c>
      <c r="ETG1" s="154" t="str">
        <f t="shared" si="60"/>
        <v>y</v>
      </c>
      <c r="ETH1" s="154" t="str">
        <f t="shared" si="60"/>
        <v>y</v>
      </c>
      <c r="ETI1" s="154" t="str">
        <f t="shared" si="60"/>
        <v>y</v>
      </c>
      <c r="ETJ1" s="154" t="str">
        <f t="shared" ref="ETJ1:EVU1" si="61">ETJ2&amp;"y"</f>
        <v>y</v>
      </c>
      <c r="ETK1" s="154" t="str">
        <f t="shared" si="61"/>
        <v>y</v>
      </c>
      <c r="ETL1" s="154" t="str">
        <f t="shared" si="61"/>
        <v>y</v>
      </c>
      <c r="ETM1" s="154" t="str">
        <f t="shared" si="61"/>
        <v>y</v>
      </c>
      <c r="ETN1" s="154" t="str">
        <f t="shared" si="61"/>
        <v>y</v>
      </c>
      <c r="ETO1" s="154" t="str">
        <f t="shared" si="61"/>
        <v>y</v>
      </c>
      <c r="ETP1" s="154" t="str">
        <f t="shared" si="61"/>
        <v>y</v>
      </c>
      <c r="ETQ1" s="154" t="str">
        <f t="shared" si="61"/>
        <v>y</v>
      </c>
      <c r="ETR1" s="154" t="str">
        <f t="shared" si="61"/>
        <v>y</v>
      </c>
      <c r="ETS1" s="154" t="str">
        <f t="shared" si="61"/>
        <v>y</v>
      </c>
      <c r="ETT1" s="154" t="str">
        <f t="shared" si="61"/>
        <v>y</v>
      </c>
      <c r="ETU1" s="154" t="str">
        <f t="shared" si="61"/>
        <v>y</v>
      </c>
      <c r="ETV1" s="154" t="str">
        <f t="shared" si="61"/>
        <v>y</v>
      </c>
      <c r="ETW1" s="154" t="str">
        <f t="shared" si="61"/>
        <v>y</v>
      </c>
      <c r="ETX1" s="154" t="str">
        <f t="shared" si="61"/>
        <v>y</v>
      </c>
      <c r="ETY1" s="154" t="str">
        <f t="shared" si="61"/>
        <v>y</v>
      </c>
      <c r="ETZ1" s="154" t="str">
        <f t="shared" si="61"/>
        <v>y</v>
      </c>
      <c r="EUA1" s="154" t="str">
        <f t="shared" si="61"/>
        <v>y</v>
      </c>
      <c r="EUB1" s="154" t="str">
        <f t="shared" si="61"/>
        <v>y</v>
      </c>
      <c r="EUC1" s="154" t="str">
        <f t="shared" si="61"/>
        <v>y</v>
      </c>
      <c r="EUD1" s="154" t="str">
        <f t="shared" si="61"/>
        <v>y</v>
      </c>
      <c r="EUE1" s="154" t="str">
        <f t="shared" si="61"/>
        <v>y</v>
      </c>
      <c r="EUF1" s="154" t="str">
        <f t="shared" si="61"/>
        <v>y</v>
      </c>
      <c r="EUG1" s="154" t="str">
        <f t="shared" si="61"/>
        <v>y</v>
      </c>
      <c r="EUH1" s="154" t="str">
        <f t="shared" si="61"/>
        <v>y</v>
      </c>
      <c r="EUI1" s="154" t="str">
        <f t="shared" si="61"/>
        <v>y</v>
      </c>
      <c r="EUJ1" s="154" t="str">
        <f t="shared" si="61"/>
        <v>y</v>
      </c>
      <c r="EUK1" s="154" t="str">
        <f t="shared" si="61"/>
        <v>y</v>
      </c>
      <c r="EUL1" s="154" t="str">
        <f t="shared" si="61"/>
        <v>y</v>
      </c>
      <c r="EUM1" s="154" t="str">
        <f t="shared" si="61"/>
        <v>y</v>
      </c>
      <c r="EUN1" s="154" t="str">
        <f t="shared" si="61"/>
        <v>y</v>
      </c>
      <c r="EUO1" s="154" t="str">
        <f t="shared" si="61"/>
        <v>y</v>
      </c>
      <c r="EUP1" s="154" t="str">
        <f t="shared" si="61"/>
        <v>y</v>
      </c>
      <c r="EUQ1" s="154" t="str">
        <f t="shared" si="61"/>
        <v>y</v>
      </c>
      <c r="EUR1" s="154" t="str">
        <f t="shared" si="61"/>
        <v>y</v>
      </c>
      <c r="EUS1" s="154" t="str">
        <f t="shared" si="61"/>
        <v>y</v>
      </c>
      <c r="EUT1" s="154" t="str">
        <f t="shared" si="61"/>
        <v>y</v>
      </c>
      <c r="EUU1" s="154" t="str">
        <f t="shared" si="61"/>
        <v>y</v>
      </c>
      <c r="EUV1" s="154" t="str">
        <f t="shared" si="61"/>
        <v>y</v>
      </c>
      <c r="EUW1" s="154" t="str">
        <f t="shared" si="61"/>
        <v>y</v>
      </c>
      <c r="EUX1" s="154" t="str">
        <f t="shared" si="61"/>
        <v>y</v>
      </c>
      <c r="EUY1" s="154" t="str">
        <f t="shared" si="61"/>
        <v>y</v>
      </c>
      <c r="EUZ1" s="154" t="str">
        <f t="shared" si="61"/>
        <v>y</v>
      </c>
      <c r="EVA1" s="154" t="str">
        <f t="shared" si="61"/>
        <v>y</v>
      </c>
      <c r="EVB1" s="154" t="str">
        <f t="shared" si="61"/>
        <v>y</v>
      </c>
      <c r="EVC1" s="154" t="str">
        <f t="shared" si="61"/>
        <v>y</v>
      </c>
      <c r="EVD1" s="154" t="str">
        <f t="shared" si="61"/>
        <v>y</v>
      </c>
      <c r="EVE1" s="154" t="str">
        <f t="shared" si="61"/>
        <v>y</v>
      </c>
      <c r="EVF1" s="154" t="str">
        <f t="shared" si="61"/>
        <v>y</v>
      </c>
      <c r="EVG1" s="154" t="str">
        <f t="shared" si="61"/>
        <v>y</v>
      </c>
      <c r="EVH1" s="154" t="str">
        <f t="shared" si="61"/>
        <v>y</v>
      </c>
      <c r="EVI1" s="154" t="str">
        <f t="shared" si="61"/>
        <v>y</v>
      </c>
      <c r="EVJ1" s="154" t="str">
        <f t="shared" si="61"/>
        <v>y</v>
      </c>
      <c r="EVK1" s="154" t="str">
        <f t="shared" si="61"/>
        <v>y</v>
      </c>
      <c r="EVL1" s="154" t="str">
        <f t="shared" si="61"/>
        <v>y</v>
      </c>
      <c r="EVM1" s="154" t="str">
        <f t="shared" si="61"/>
        <v>y</v>
      </c>
      <c r="EVN1" s="154" t="str">
        <f t="shared" si="61"/>
        <v>y</v>
      </c>
      <c r="EVO1" s="154" t="str">
        <f t="shared" si="61"/>
        <v>y</v>
      </c>
      <c r="EVP1" s="154" t="str">
        <f t="shared" si="61"/>
        <v>y</v>
      </c>
      <c r="EVQ1" s="154" t="str">
        <f t="shared" si="61"/>
        <v>y</v>
      </c>
      <c r="EVR1" s="154" t="str">
        <f t="shared" si="61"/>
        <v>y</v>
      </c>
      <c r="EVS1" s="154" t="str">
        <f t="shared" si="61"/>
        <v>y</v>
      </c>
      <c r="EVT1" s="154" t="str">
        <f t="shared" si="61"/>
        <v>y</v>
      </c>
      <c r="EVU1" s="154" t="str">
        <f t="shared" si="61"/>
        <v>y</v>
      </c>
      <c r="EVV1" s="154" t="str">
        <f t="shared" ref="EVV1:EYG1" si="62">EVV2&amp;"y"</f>
        <v>y</v>
      </c>
      <c r="EVW1" s="154" t="str">
        <f t="shared" si="62"/>
        <v>y</v>
      </c>
      <c r="EVX1" s="154" t="str">
        <f t="shared" si="62"/>
        <v>y</v>
      </c>
      <c r="EVY1" s="154" t="str">
        <f t="shared" si="62"/>
        <v>y</v>
      </c>
      <c r="EVZ1" s="154" t="str">
        <f t="shared" si="62"/>
        <v>y</v>
      </c>
      <c r="EWA1" s="154" t="str">
        <f t="shared" si="62"/>
        <v>y</v>
      </c>
      <c r="EWB1" s="154" t="str">
        <f t="shared" si="62"/>
        <v>y</v>
      </c>
      <c r="EWC1" s="154" t="str">
        <f t="shared" si="62"/>
        <v>y</v>
      </c>
      <c r="EWD1" s="154" t="str">
        <f t="shared" si="62"/>
        <v>y</v>
      </c>
      <c r="EWE1" s="154" t="str">
        <f t="shared" si="62"/>
        <v>y</v>
      </c>
      <c r="EWF1" s="154" t="str">
        <f t="shared" si="62"/>
        <v>y</v>
      </c>
      <c r="EWG1" s="154" t="str">
        <f t="shared" si="62"/>
        <v>y</v>
      </c>
      <c r="EWH1" s="154" t="str">
        <f t="shared" si="62"/>
        <v>y</v>
      </c>
      <c r="EWI1" s="154" t="str">
        <f t="shared" si="62"/>
        <v>y</v>
      </c>
      <c r="EWJ1" s="154" t="str">
        <f t="shared" si="62"/>
        <v>y</v>
      </c>
      <c r="EWK1" s="154" t="str">
        <f t="shared" si="62"/>
        <v>y</v>
      </c>
      <c r="EWL1" s="154" t="str">
        <f t="shared" si="62"/>
        <v>y</v>
      </c>
      <c r="EWM1" s="154" t="str">
        <f t="shared" si="62"/>
        <v>y</v>
      </c>
      <c r="EWN1" s="154" t="str">
        <f t="shared" si="62"/>
        <v>y</v>
      </c>
      <c r="EWO1" s="154" t="str">
        <f t="shared" si="62"/>
        <v>y</v>
      </c>
      <c r="EWP1" s="154" t="str">
        <f t="shared" si="62"/>
        <v>y</v>
      </c>
      <c r="EWQ1" s="154" t="str">
        <f t="shared" si="62"/>
        <v>y</v>
      </c>
      <c r="EWR1" s="154" t="str">
        <f t="shared" si="62"/>
        <v>y</v>
      </c>
      <c r="EWS1" s="154" t="str">
        <f t="shared" si="62"/>
        <v>y</v>
      </c>
      <c r="EWT1" s="154" t="str">
        <f t="shared" si="62"/>
        <v>y</v>
      </c>
      <c r="EWU1" s="154" t="str">
        <f t="shared" si="62"/>
        <v>y</v>
      </c>
      <c r="EWV1" s="154" t="str">
        <f t="shared" si="62"/>
        <v>y</v>
      </c>
      <c r="EWW1" s="154" t="str">
        <f t="shared" si="62"/>
        <v>y</v>
      </c>
      <c r="EWX1" s="154" t="str">
        <f t="shared" si="62"/>
        <v>y</v>
      </c>
      <c r="EWY1" s="154" t="str">
        <f t="shared" si="62"/>
        <v>y</v>
      </c>
      <c r="EWZ1" s="154" t="str">
        <f t="shared" si="62"/>
        <v>y</v>
      </c>
      <c r="EXA1" s="154" t="str">
        <f t="shared" si="62"/>
        <v>y</v>
      </c>
      <c r="EXB1" s="154" t="str">
        <f t="shared" si="62"/>
        <v>y</v>
      </c>
      <c r="EXC1" s="154" t="str">
        <f t="shared" si="62"/>
        <v>y</v>
      </c>
      <c r="EXD1" s="154" t="str">
        <f t="shared" si="62"/>
        <v>y</v>
      </c>
      <c r="EXE1" s="154" t="str">
        <f t="shared" si="62"/>
        <v>y</v>
      </c>
      <c r="EXF1" s="154" t="str">
        <f t="shared" si="62"/>
        <v>y</v>
      </c>
      <c r="EXG1" s="154" t="str">
        <f t="shared" si="62"/>
        <v>y</v>
      </c>
      <c r="EXH1" s="154" t="str">
        <f t="shared" si="62"/>
        <v>y</v>
      </c>
      <c r="EXI1" s="154" t="str">
        <f t="shared" si="62"/>
        <v>y</v>
      </c>
      <c r="EXJ1" s="154" t="str">
        <f t="shared" si="62"/>
        <v>y</v>
      </c>
      <c r="EXK1" s="154" t="str">
        <f t="shared" si="62"/>
        <v>y</v>
      </c>
      <c r="EXL1" s="154" t="str">
        <f t="shared" si="62"/>
        <v>y</v>
      </c>
      <c r="EXM1" s="154" t="str">
        <f t="shared" si="62"/>
        <v>y</v>
      </c>
      <c r="EXN1" s="154" t="str">
        <f t="shared" si="62"/>
        <v>y</v>
      </c>
      <c r="EXO1" s="154" t="str">
        <f t="shared" si="62"/>
        <v>y</v>
      </c>
      <c r="EXP1" s="154" t="str">
        <f t="shared" si="62"/>
        <v>y</v>
      </c>
      <c r="EXQ1" s="154" t="str">
        <f t="shared" si="62"/>
        <v>y</v>
      </c>
      <c r="EXR1" s="154" t="str">
        <f t="shared" si="62"/>
        <v>y</v>
      </c>
      <c r="EXS1" s="154" t="str">
        <f t="shared" si="62"/>
        <v>y</v>
      </c>
      <c r="EXT1" s="154" t="str">
        <f t="shared" si="62"/>
        <v>y</v>
      </c>
      <c r="EXU1" s="154" t="str">
        <f t="shared" si="62"/>
        <v>y</v>
      </c>
      <c r="EXV1" s="154" t="str">
        <f t="shared" si="62"/>
        <v>y</v>
      </c>
      <c r="EXW1" s="154" t="str">
        <f t="shared" si="62"/>
        <v>y</v>
      </c>
      <c r="EXX1" s="154" t="str">
        <f t="shared" si="62"/>
        <v>y</v>
      </c>
      <c r="EXY1" s="154" t="str">
        <f t="shared" si="62"/>
        <v>y</v>
      </c>
      <c r="EXZ1" s="154" t="str">
        <f t="shared" si="62"/>
        <v>y</v>
      </c>
      <c r="EYA1" s="154" t="str">
        <f t="shared" si="62"/>
        <v>y</v>
      </c>
      <c r="EYB1" s="154" t="str">
        <f t="shared" si="62"/>
        <v>y</v>
      </c>
      <c r="EYC1" s="154" t="str">
        <f t="shared" si="62"/>
        <v>y</v>
      </c>
      <c r="EYD1" s="154" t="str">
        <f t="shared" si="62"/>
        <v>y</v>
      </c>
      <c r="EYE1" s="154" t="str">
        <f t="shared" si="62"/>
        <v>y</v>
      </c>
      <c r="EYF1" s="154" t="str">
        <f t="shared" si="62"/>
        <v>y</v>
      </c>
      <c r="EYG1" s="154" t="str">
        <f t="shared" si="62"/>
        <v>y</v>
      </c>
      <c r="EYH1" s="154" t="str">
        <f t="shared" ref="EYH1:FAS1" si="63">EYH2&amp;"y"</f>
        <v>y</v>
      </c>
      <c r="EYI1" s="154" t="str">
        <f t="shared" si="63"/>
        <v>y</v>
      </c>
      <c r="EYJ1" s="154" t="str">
        <f t="shared" si="63"/>
        <v>y</v>
      </c>
      <c r="EYK1" s="154" t="str">
        <f t="shared" si="63"/>
        <v>y</v>
      </c>
      <c r="EYL1" s="154" t="str">
        <f t="shared" si="63"/>
        <v>y</v>
      </c>
      <c r="EYM1" s="154" t="str">
        <f t="shared" si="63"/>
        <v>y</v>
      </c>
      <c r="EYN1" s="154" t="str">
        <f t="shared" si="63"/>
        <v>y</v>
      </c>
      <c r="EYO1" s="154" t="str">
        <f t="shared" si="63"/>
        <v>y</v>
      </c>
      <c r="EYP1" s="154" t="str">
        <f t="shared" si="63"/>
        <v>y</v>
      </c>
      <c r="EYQ1" s="154" t="str">
        <f t="shared" si="63"/>
        <v>y</v>
      </c>
      <c r="EYR1" s="154" t="str">
        <f t="shared" si="63"/>
        <v>y</v>
      </c>
      <c r="EYS1" s="154" t="str">
        <f t="shared" si="63"/>
        <v>y</v>
      </c>
      <c r="EYT1" s="154" t="str">
        <f t="shared" si="63"/>
        <v>y</v>
      </c>
      <c r="EYU1" s="154" t="str">
        <f t="shared" si="63"/>
        <v>y</v>
      </c>
      <c r="EYV1" s="154" t="str">
        <f t="shared" si="63"/>
        <v>y</v>
      </c>
      <c r="EYW1" s="154" t="str">
        <f t="shared" si="63"/>
        <v>y</v>
      </c>
      <c r="EYX1" s="154" t="str">
        <f t="shared" si="63"/>
        <v>y</v>
      </c>
      <c r="EYY1" s="154" t="str">
        <f t="shared" si="63"/>
        <v>y</v>
      </c>
      <c r="EYZ1" s="154" t="str">
        <f t="shared" si="63"/>
        <v>y</v>
      </c>
      <c r="EZA1" s="154" t="str">
        <f t="shared" si="63"/>
        <v>y</v>
      </c>
      <c r="EZB1" s="154" t="str">
        <f t="shared" si="63"/>
        <v>y</v>
      </c>
      <c r="EZC1" s="154" t="str">
        <f t="shared" si="63"/>
        <v>y</v>
      </c>
      <c r="EZD1" s="154" t="str">
        <f t="shared" si="63"/>
        <v>y</v>
      </c>
      <c r="EZE1" s="154" t="str">
        <f t="shared" si="63"/>
        <v>y</v>
      </c>
      <c r="EZF1" s="154" t="str">
        <f t="shared" si="63"/>
        <v>y</v>
      </c>
      <c r="EZG1" s="154" t="str">
        <f t="shared" si="63"/>
        <v>y</v>
      </c>
      <c r="EZH1" s="154" t="str">
        <f t="shared" si="63"/>
        <v>y</v>
      </c>
      <c r="EZI1" s="154" t="str">
        <f t="shared" si="63"/>
        <v>y</v>
      </c>
      <c r="EZJ1" s="154" t="str">
        <f t="shared" si="63"/>
        <v>y</v>
      </c>
      <c r="EZK1" s="154" t="str">
        <f t="shared" si="63"/>
        <v>y</v>
      </c>
      <c r="EZL1" s="154" t="str">
        <f t="shared" si="63"/>
        <v>y</v>
      </c>
      <c r="EZM1" s="154" t="str">
        <f t="shared" si="63"/>
        <v>y</v>
      </c>
      <c r="EZN1" s="154" t="str">
        <f t="shared" si="63"/>
        <v>y</v>
      </c>
      <c r="EZO1" s="154" t="str">
        <f t="shared" si="63"/>
        <v>y</v>
      </c>
      <c r="EZP1" s="154" t="str">
        <f t="shared" si="63"/>
        <v>y</v>
      </c>
      <c r="EZQ1" s="154" t="str">
        <f t="shared" si="63"/>
        <v>y</v>
      </c>
      <c r="EZR1" s="154" t="str">
        <f t="shared" si="63"/>
        <v>y</v>
      </c>
      <c r="EZS1" s="154" t="str">
        <f t="shared" si="63"/>
        <v>y</v>
      </c>
      <c r="EZT1" s="154" t="str">
        <f t="shared" si="63"/>
        <v>y</v>
      </c>
      <c r="EZU1" s="154" t="str">
        <f t="shared" si="63"/>
        <v>y</v>
      </c>
      <c r="EZV1" s="154" t="str">
        <f t="shared" si="63"/>
        <v>y</v>
      </c>
      <c r="EZW1" s="154" t="str">
        <f t="shared" si="63"/>
        <v>y</v>
      </c>
      <c r="EZX1" s="154" t="str">
        <f t="shared" si="63"/>
        <v>y</v>
      </c>
      <c r="EZY1" s="154" t="str">
        <f t="shared" si="63"/>
        <v>y</v>
      </c>
      <c r="EZZ1" s="154" t="str">
        <f t="shared" si="63"/>
        <v>y</v>
      </c>
      <c r="FAA1" s="154" t="str">
        <f t="shared" si="63"/>
        <v>y</v>
      </c>
      <c r="FAB1" s="154" t="str">
        <f t="shared" si="63"/>
        <v>y</v>
      </c>
      <c r="FAC1" s="154" t="str">
        <f t="shared" si="63"/>
        <v>y</v>
      </c>
      <c r="FAD1" s="154" t="str">
        <f t="shared" si="63"/>
        <v>y</v>
      </c>
      <c r="FAE1" s="154" t="str">
        <f t="shared" si="63"/>
        <v>y</v>
      </c>
      <c r="FAF1" s="154" t="str">
        <f t="shared" si="63"/>
        <v>y</v>
      </c>
      <c r="FAG1" s="154" t="str">
        <f t="shared" si="63"/>
        <v>y</v>
      </c>
      <c r="FAH1" s="154" t="str">
        <f t="shared" si="63"/>
        <v>y</v>
      </c>
      <c r="FAI1" s="154" t="str">
        <f t="shared" si="63"/>
        <v>y</v>
      </c>
      <c r="FAJ1" s="154" t="str">
        <f t="shared" si="63"/>
        <v>y</v>
      </c>
      <c r="FAK1" s="154" t="str">
        <f t="shared" si="63"/>
        <v>y</v>
      </c>
      <c r="FAL1" s="154" t="str">
        <f t="shared" si="63"/>
        <v>y</v>
      </c>
      <c r="FAM1" s="154" t="str">
        <f t="shared" si="63"/>
        <v>y</v>
      </c>
      <c r="FAN1" s="154" t="str">
        <f t="shared" si="63"/>
        <v>y</v>
      </c>
      <c r="FAO1" s="154" t="str">
        <f t="shared" si="63"/>
        <v>y</v>
      </c>
      <c r="FAP1" s="154" t="str">
        <f t="shared" si="63"/>
        <v>y</v>
      </c>
      <c r="FAQ1" s="154" t="str">
        <f t="shared" si="63"/>
        <v>y</v>
      </c>
      <c r="FAR1" s="154" t="str">
        <f t="shared" si="63"/>
        <v>y</v>
      </c>
      <c r="FAS1" s="154" t="str">
        <f t="shared" si="63"/>
        <v>y</v>
      </c>
      <c r="FAT1" s="154" t="str">
        <f t="shared" ref="FAT1:FDE1" si="64">FAT2&amp;"y"</f>
        <v>y</v>
      </c>
      <c r="FAU1" s="154" t="str">
        <f t="shared" si="64"/>
        <v>y</v>
      </c>
      <c r="FAV1" s="154" t="str">
        <f t="shared" si="64"/>
        <v>y</v>
      </c>
      <c r="FAW1" s="154" t="str">
        <f t="shared" si="64"/>
        <v>y</v>
      </c>
      <c r="FAX1" s="154" t="str">
        <f t="shared" si="64"/>
        <v>y</v>
      </c>
      <c r="FAY1" s="154" t="str">
        <f t="shared" si="64"/>
        <v>y</v>
      </c>
      <c r="FAZ1" s="154" t="str">
        <f t="shared" si="64"/>
        <v>y</v>
      </c>
      <c r="FBA1" s="154" t="str">
        <f t="shared" si="64"/>
        <v>y</v>
      </c>
      <c r="FBB1" s="154" t="str">
        <f t="shared" si="64"/>
        <v>y</v>
      </c>
      <c r="FBC1" s="154" t="str">
        <f t="shared" si="64"/>
        <v>y</v>
      </c>
      <c r="FBD1" s="154" t="str">
        <f t="shared" si="64"/>
        <v>y</v>
      </c>
      <c r="FBE1" s="154" t="str">
        <f t="shared" si="64"/>
        <v>y</v>
      </c>
      <c r="FBF1" s="154" t="str">
        <f t="shared" si="64"/>
        <v>y</v>
      </c>
      <c r="FBG1" s="154" t="str">
        <f t="shared" si="64"/>
        <v>y</v>
      </c>
      <c r="FBH1" s="154" t="str">
        <f t="shared" si="64"/>
        <v>y</v>
      </c>
      <c r="FBI1" s="154" t="str">
        <f t="shared" si="64"/>
        <v>y</v>
      </c>
      <c r="FBJ1" s="154" t="str">
        <f t="shared" si="64"/>
        <v>y</v>
      </c>
      <c r="FBK1" s="154" t="str">
        <f t="shared" si="64"/>
        <v>y</v>
      </c>
      <c r="FBL1" s="154" t="str">
        <f t="shared" si="64"/>
        <v>y</v>
      </c>
      <c r="FBM1" s="154" t="str">
        <f t="shared" si="64"/>
        <v>y</v>
      </c>
      <c r="FBN1" s="154" t="str">
        <f t="shared" si="64"/>
        <v>y</v>
      </c>
      <c r="FBO1" s="154" t="str">
        <f t="shared" si="64"/>
        <v>y</v>
      </c>
      <c r="FBP1" s="154" t="str">
        <f t="shared" si="64"/>
        <v>y</v>
      </c>
      <c r="FBQ1" s="154" t="str">
        <f t="shared" si="64"/>
        <v>y</v>
      </c>
      <c r="FBR1" s="154" t="str">
        <f t="shared" si="64"/>
        <v>y</v>
      </c>
      <c r="FBS1" s="154" t="str">
        <f t="shared" si="64"/>
        <v>y</v>
      </c>
      <c r="FBT1" s="154" t="str">
        <f t="shared" si="64"/>
        <v>y</v>
      </c>
      <c r="FBU1" s="154" t="str">
        <f t="shared" si="64"/>
        <v>y</v>
      </c>
      <c r="FBV1" s="154" t="str">
        <f t="shared" si="64"/>
        <v>y</v>
      </c>
      <c r="FBW1" s="154" t="str">
        <f t="shared" si="64"/>
        <v>y</v>
      </c>
      <c r="FBX1" s="154" t="str">
        <f t="shared" si="64"/>
        <v>y</v>
      </c>
      <c r="FBY1" s="154" t="str">
        <f t="shared" si="64"/>
        <v>y</v>
      </c>
      <c r="FBZ1" s="154" t="str">
        <f t="shared" si="64"/>
        <v>y</v>
      </c>
      <c r="FCA1" s="154" t="str">
        <f t="shared" si="64"/>
        <v>y</v>
      </c>
      <c r="FCB1" s="154" t="str">
        <f t="shared" si="64"/>
        <v>y</v>
      </c>
      <c r="FCC1" s="154" t="str">
        <f t="shared" si="64"/>
        <v>y</v>
      </c>
      <c r="FCD1" s="154" t="str">
        <f t="shared" si="64"/>
        <v>y</v>
      </c>
      <c r="FCE1" s="154" t="str">
        <f t="shared" si="64"/>
        <v>y</v>
      </c>
      <c r="FCF1" s="154" t="str">
        <f t="shared" si="64"/>
        <v>y</v>
      </c>
      <c r="FCG1" s="154" t="str">
        <f t="shared" si="64"/>
        <v>y</v>
      </c>
      <c r="FCH1" s="154" t="str">
        <f t="shared" si="64"/>
        <v>y</v>
      </c>
      <c r="FCI1" s="154" t="str">
        <f t="shared" si="64"/>
        <v>y</v>
      </c>
      <c r="FCJ1" s="154" t="str">
        <f t="shared" si="64"/>
        <v>y</v>
      </c>
      <c r="FCK1" s="154" t="str">
        <f t="shared" si="64"/>
        <v>y</v>
      </c>
      <c r="FCL1" s="154" t="str">
        <f t="shared" si="64"/>
        <v>y</v>
      </c>
      <c r="FCM1" s="154" t="str">
        <f t="shared" si="64"/>
        <v>y</v>
      </c>
      <c r="FCN1" s="154" t="str">
        <f t="shared" si="64"/>
        <v>y</v>
      </c>
      <c r="FCO1" s="154" t="str">
        <f t="shared" si="64"/>
        <v>y</v>
      </c>
      <c r="FCP1" s="154" t="str">
        <f t="shared" si="64"/>
        <v>y</v>
      </c>
      <c r="FCQ1" s="154" t="str">
        <f t="shared" si="64"/>
        <v>y</v>
      </c>
      <c r="FCR1" s="154" t="str">
        <f t="shared" si="64"/>
        <v>y</v>
      </c>
      <c r="FCS1" s="154" t="str">
        <f t="shared" si="64"/>
        <v>y</v>
      </c>
      <c r="FCT1" s="154" t="str">
        <f t="shared" si="64"/>
        <v>y</v>
      </c>
      <c r="FCU1" s="154" t="str">
        <f t="shared" si="64"/>
        <v>y</v>
      </c>
      <c r="FCV1" s="154" t="str">
        <f t="shared" si="64"/>
        <v>y</v>
      </c>
      <c r="FCW1" s="154" t="str">
        <f t="shared" si="64"/>
        <v>y</v>
      </c>
      <c r="FCX1" s="154" t="str">
        <f t="shared" si="64"/>
        <v>y</v>
      </c>
      <c r="FCY1" s="154" t="str">
        <f t="shared" si="64"/>
        <v>y</v>
      </c>
      <c r="FCZ1" s="154" t="str">
        <f t="shared" si="64"/>
        <v>y</v>
      </c>
      <c r="FDA1" s="154" t="str">
        <f t="shared" si="64"/>
        <v>y</v>
      </c>
      <c r="FDB1" s="154" t="str">
        <f t="shared" si="64"/>
        <v>y</v>
      </c>
      <c r="FDC1" s="154" t="str">
        <f t="shared" si="64"/>
        <v>y</v>
      </c>
      <c r="FDD1" s="154" t="str">
        <f t="shared" si="64"/>
        <v>y</v>
      </c>
      <c r="FDE1" s="154" t="str">
        <f t="shared" si="64"/>
        <v>y</v>
      </c>
      <c r="FDF1" s="154" t="str">
        <f t="shared" ref="FDF1:FFQ1" si="65">FDF2&amp;"y"</f>
        <v>y</v>
      </c>
      <c r="FDG1" s="154" t="str">
        <f t="shared" si="65"/>
        <v>y</v>
      </c>
      <c r="FDH1" s="154" t="str">
        <f t="shared" si="65"/>
        <v>y</v>
      </c>
      <c r="FDI1" s="154" t="str">
        <f t="shared" si="65"/>
        <v>y</v>
      </c>
      <c r="FDJ1" s="154" t="str">
        <f t="shared" si="65"/>
        <v>y</v>
      </c>
      <c r="FDK1" s="154" t="str">
        <f t="shared" si="65"/>
        <v>y</v>
      </c>
      <c r="FDL1" s="154" t="str">
        <f t="shared" si="65"/>
        <v>y</v>
      </c>
      <c r="FDM1" s="154" t="str">
        <f t="shared" si="65"/>
        <v>y</v>
      </c>
      <c r="FDN1" s="154" t="str">
        <f t="shared" si="65"/>
        <v>y</v>
      </c>
      <c r="FDO1" s="154" t="str">
        <f t="shared" si="65"/>
        <v>y</v>
      </c>
      <c r="FDP1" s="154" t="str">
        <f t="shared" si="65"/>
        <v>y</v>
      </c>
      <c r="FDQ1" s="154" t="str">
        <f t="shared" si="65"/>
        <v>y</v>
      </c>
      <c r="FDR1" s="154" t="str">
        <f t="shared" si="65"/>
        <v>y</v>
      </c>
      <c r="FDS1" s="154" t="str">
        <f t="shared" si="65"/>
        <v>y</v>
      </c>
      <c r="FDT1" s="154" t="str">
        <f t="shared" si="65"/>
        <v>y</v>
      </c>
      <c r="FDU1" s="154" t="str">
        <f t="shared" si="65"/>
        <v>y</v>
      </c>
      <c r="FDV1" s="154" t="str">
        <f t="shared" si="65"/>
        <v>y</v>
      </c>
      <c r="FDW1" s="154" t="str">
        <f t="shared" si="65"/>
        <v>y</v>
      </c>
      <c r="FDX1" s="154" t="str">
        <f t="shared" si="65"/>
        <v>y</v>
      </c>
      <c r="FDY1" s="154" t="str">
        <f t="shared" si="65"/>
        <v>y</v>
      </c>
      <c r="FDZ1" s="154" t="str">
        <f t="shared" si="65"/>
        <v>y</v>
      </c>
      <c r="FEA1" s="154" t="str">
        <f t="shared" si="65"/>
        <v>y</v>
      </c>
      <c r="FEB1" s="154" t="str">
        <f t="shared" si="65"/>
        <v>y</v>
      </c>
      <c r="FEC1" s="154" t="str">
        <f t="shared" si="65"/>
        <v>y</v>
      </c>
      <c r="FED1" s="154" t="str">
        <f t="shared" si="65"/>
        <v>y</v>
      </c>
      <c r="FEE1" s="154" t="str">
        <f t="shared" si="65"/>
        <v>y</v>
      </c>
      <c r="FEF1" s="154" t="str">
        <f t="shared" si="65"/>
        <v>y</v>
      </c>
      <c r="FEG1" s="154" t="str">
        <f t="shared" si="65"/>
        <v>y</v>
      </c>
      <c r="FEH1" s="154" t="str">
        <f t="shared" si="65"/>
        <v>y</v>
      </c>
      <c r="FEI1" s="154" t="str">
        <f t="shared" si="65"/>
        <v>y</v>
      </c>
      <c r="FEJ1" s="154" t="str">
        <f t="shared" si="65"/>
        <v>y</v>
      </c>
      <c r="FEK1" s="154" t="str">
        <f t="shared" si="65"/>
        <v>y</v>
      </c>
      <c r="FEL1" s="154" t="str">
        <f t="shared" si="65"/>
        <v>y</v>
      </c>
      <c r="FEM1" s="154" t="str">
        <f t="shared" si="65"/>
        <v>y</v>
      </c>
      <c r="FEN1" s="154" t="str">
        <f t="shared" si="65"/>
        <v>y</v>
      </c>
      <c r="FEO1" s="154" t="str">
        <f t="shared" si="65"/>
        <v>y</v>
      </c>
      <c r="FEP1" s="154" t="str">
        <f t="shared" si="65"/>
        <v>y</v>
      </c>
      <c r="FEQ1" s="154" t="str">
        <f t="shared" si="65"/>
        <v>y</v>
      </c>
      <c r="FER1" s="154" t="str">
        <f t="shared" si="65"/>
        <v>y</v>
      </c>
      <c r="FES1" s="154" t="str">
        <f t="shared" si="65"/>
        <v>y</v>
      </c>
      <c r="FET1" s="154" t="str">
        <f t="shared" si="65"/>
        <v>y</v>
      </c>
      <c r="FEU1" s="154" t="str">
        <f t="shared" si="65"/>
        <v>y</v>
      </c>
      <c r="FEV1" s="154" t="str">
        <f t="shared" si="65"/>
        <v>y</v>
      </c>
      <c r="FEW1" s="154" t="str">
        <f t="shared" si="65"/>
        <v>y</v>
      </c>
      <c r="FEX1" s="154" t="str">
        <f t="shared" si="65"/>
        <v>y</v>
      </c>
      <c r="FEY1" s="154" t="str">
        <f t="shared" si="65"/>
        <v>y</v>
      </c>
      <c r="FEZ1" s="154" t="str">
        <f t="shared" si="65"/>
        <v>y</v>
      </c>
      <c r="FFA1" s="154" t="str">
        <f t="shared" si="65"/>
        <v>y</v>
      </c>
      <c r="FFB1" s="154" t="str">
        <f t="shared" si="65"/>
        <v>y</v>
      </c>
      <c r="FFC1" s="154" t="str">
        <f t="shared" si="65"/>
        <v>y</v>
      </c>
      <c r="FFD1" s="154" t="str">
        <f t="shared" si="65"/>
        <v>y</v>
      </c>
      <c r="FFE1" s="154" t="str">
        <f t="shared" si="65"/>
        <v>y</v>
      </c>
      <c r="FFF1" s="154" t="str">
        <f t="shared" si="65"/>
        <v>y</v>
      </c>
      <c r="FFG1" s="154" t="str">
        <f t="shared" si="65"/>
        <v>y</v>
      </c>
      <c r="FFH1" s="154" t="str">
        <f t="shared" si="65"/>
        <v>y</v>
      </c>
      <c r="FFI1" s="154" t="str">
        <f t="shared" si="65"/>
        <v>y</v>
      </c>
      <c r="FFJ1" s="154" t="str">
        <f t="shared" si="65"/>
        <v>y</v>
      </c>
      <c r="FFK1" s="154" t="str">
        <f t="shared" si="65"/>
        <v>y</v>
      </c>
      <c r="FFL1" s="154" t="str">
        <f t="shared" si="65"/>
        <v>y</v>
      </c>
      <c r="FFM1" s="154" t="str">
        <f t="shared" si="65"/>
        <v>y</v>
      </c>
      <c r="FFN1" s="154" t="str">
        <f t="shared" si="65"/>
        <v>y</v>
      </c>
      <c r="FFO1" s="154" t="str">
        <f t="shared" si="65"/>
        <v>y</v>
      </c>
      <c r="FFP1" s="154" t="str">
        <f t="shared" si="65"/>
        <v>y</v>
      </c>
      <c r="FFQ1" s="154" t="str">
        <f t="shared" si="65"/>
        <v>y</v>
      </c>
      <c r="FFR1" s="154" t="str">
        <f t="shared" ref="FFR1:FIC1" si="66">FFR2&amp;"y"</f>
        <v>y</v>
      </c>
      <c r="FFS1" s="154" t="str">
        <f t="shared" si="66"/>
        <v>y</v>
      </c>
      <c r="FFT1" s="154" t="str">
        <f t="shared" si="66"/>
        <v>y</v>
      </c>
      <c r="FFU1" s="154" t="str">
        <f t="shared" si="66"/>
        <v>y</v>
      </c>
      <c r="FFV1" s="154" t="str">
        <f t="shared" si="66"/>
        <v>y</v>
      </c>
      <c r="FFW1" s="154" t="str">
        <f t="shared" si="66"/>
        <v>y</v>
      </c>
      <c r="FFX1" s="154" t="str">
        <f t="shared" si="66"/>
        <v>y</v>
      </c>
      <c r="FFY1" s="154" t="str">
        <f t="shared" si="66"/>
        <v>y</v>
      </c>
      <c r="FFZ1" s="154" t="str">
        <f t="shared" si="66"/>
        <v>y</v>
      </c>
      <c r="FGA1" s="154" t="str">
        <f t="shared" si="66"/>
        <v>y</v>
      </c>
      <c r="FGB1" s="154" t="str">
        <f t="shared" si="66"/>
        <v>y</v>
      </c>
      <c r="FGC1" s="154" t="str">
        <f t="shared" si="66"/>
        <v>y</v>
      </c>
      <c r="FGD1" s="154" t="str">
        <f t="shared" si="66"/>
        <v>y</v>
      </c>
      <c r="FGE1" s="154" t="str">
        <f t="shared" si="66"/>
        <v>y</v>
      </c>
      <c r="FGF1" s="154" t="str">
        <f t="shared" si="66"/>
        <v>y</v>
      </c>
      <c r="FGG1" s="154" t="str">
        <f t="shared" si="66"/>
        <v>y</v>
      </c>
      <c r="FGH1" s="154" t="str">
        <f t="shared" si="66"/>
        <v>y</v>
      </c>
      <c r="FGI1" s="154" t="str">
        <f t="shared" si="66"/>
        <v>y</v>
      </c>
      <c r="FGJ1" s="154" t="str">
        <f t="shared" si="66"/>
        <v>y</v>
      </c>
      <c r="FGK1" s="154" t="str">
        <f t="shared" si="66"/>
        <v>y</v>
      </c>
      <c r="FGL1" s="154" t="str">
        <f t="shared" si="66"/>
        <v>y</v>
      </c>
      <c r="FGM1" s="154" t="str">
        <f t="shared" si="66"/>
        <v>y</v>
      </c>
      <c r="FGN1" s="154" t="str">
        <f t="shared" si="66"/>
        <v>y</v>
      </c>
      <c r="FGO1" s="154" t="str">
        <f t="shared" si="66"/>
        <v>y</v>
      </c>
      <c r="FGP1" s="154" t="str">
        <f t="shared" si="66"/>
        <v>y</v>
      </c>
      <c r="FGQ1" s="154" t="str">
        <f t="shared" si="66"/>
        <v>y</v>
      </c>
      <c r="FGR1" s="154" t="str">
        <f t="shared" si="66"/>
        <v>y</v>
      </c>
      <c r="FGS1" s="154" t="str">
        <f t="shared" si="66"/>
        <v>y</v>
      </c>
      <c r="FGT1" s="154" t="str">
        <f t="shared" si="66"/>
        <v>y</v>
      </c>
      <c r="FGU1" s="154" t="str">
        <f t="shared" si="66"/>
        <v>y</v>
      </c>
      <c r="FGV1" s="154" t="str">
        <f t="shared" si="66"/>
        <v>y</v>
      </c>
      <c r="FGW1" s="154" t="str">
        <f t="shared" si="66"/>
        <v>y</v>
      </c>
      <c r="FGX1" s="154" t="str">
        <f t="shared" si="66"/>
        <v>y</v>
      </c>
      <c r="FGY1" s="154" t="str">
        <f t="shared" si="66"/>
        <v>y</v>
      </c>
      <c r="FGZ1" s="154" t="str">
        <f t="shared" si="66"/>
        <v>y</v>
      </c>
      <c r="FHA1" s="154" t="str">
        <f t="shared" si="66"/>
        <v>y</v>
      </c>
      <c r="FHB1" s="154" t="str">
        <f t="shared" si="66"/>
        <v>y</v>
      </c>
      <c r="FHC1" s="154" t="str">
        <f t="shared" si="66"/>
        <v>y</v>
      </c>
      <c r="FHD1" s="154" t="str">
        <f t="shared" si="66"/>
        <v>y</v>
      </c>
      <c r="FHE1" s="154" t="str">
        <f t="shared" si="66"/>
        <v>y</v>
      </c>
      <c r="FHF1" s="154" t="str">
        <f t="shared" si="66"/>
        <v>y</v>
      </c>
      <c r="FHG1" s="154" t="str">
        <f t="shared" si="66"/>
        <v>y</v>
      </c>
      <c r="FHH1" s="154" t="str">
        <f t="shared" si="66"/>
        <v>y</v>
      </c>
      <c r="FHI1" s="154" t="str">
        <f t="shared" si="66"/>
        <v>y</v>
      </c>
      <c r="FHJ1" s="154" t="str">
        <f t="shared" si="66"/>
        <v>y</v>
      </c>
      <c r="FHK1" s="154" t="str">
        <f t="shared" si="66"/>
        <v>y</v>
      </c>
      <c r="FHL1" s="154" t="str">
        <f t="shared" si="66"/>
        <v>y</v>
      </c>
      <c r="FHM1" s="154" t="str">
        <f t="shared" si="66"/>
        <v>y</v>
      </c>
      <c r="FHN1" s="154" t="str">
        <f t="shared" si="66"/>
        <v>y</v>
      </c>
      <c r="FHO1" s="154" t="str">
        <f t="shared" si="66"/>
        <v>y</v>
      </c>
      <c r="FHP1" s="154" t="str">
        <f t="shared" si="66"/>
        <v>y</v>
      </c>
      <c r="FHQ1" s="154" t="str">
        <f t="shared" si="66"/>
        <v>y</v>
      </c>
      <c r="FHR1" s="154" t="str">
        <f t="shared" si="66"/>
        <v>y</v>
      </c>
      <c r="FHS1" s="154" t="str">
        <f t="shared" si="66"/>
        <v>y</v>
      </c>
      <c r="FHT1" s="154" t="str">
        <f t="shared" si="66"/>
        <v>y</v>
      </c>
      <c r="FHU1" s="154" t="str">
        <f t="shared" si="66"/>
        <v>y</v>
      </c>
      <c r="FHV1" s="154" t="str">
        <f t="shared" si="66"/>
        <v>y</v>
      </c>
      <c r="FHW1" s="154" t="str">
        <f t="shared" si="66"/>
        <v>y</v>
      </c>
      <c r="FHX1" s="154" t="str">
        <f t="shared" si="66"/>
        <v>y</v>
      </c>
      <c r="FHY1" s="154" t="str">
        <f t="shared" si="66"/>
        <v>y</v>
      </c>
      <c r="FHZ1" s="154" t="str">
        <f t="shared" si="66"/>
        <v>y</v>
      </c>
      <c r="FIA1" s="154" t="str">
        <f t="shared" si="66"/>
        <v>y</v>
      </c>
      <c r="FIB1" s="154" t="str">
        <f t="shared" si="66"/>
        <v>y</v>
      </c>
      <c r="FIC1" s="154" t="str">
        <f t="shared" si="66"/>
        <v>y</v>
      </c>
      <c r="FID1" s="154" t="str">
        <f t="shared" ref="FID1:FKO1" si="67">FID2&amp;"y"</f>
        <v>y</v>
      </c>
      <c r="FIE1" s="154" t="str">
        <f t="shared" si="67"/>
        <v>y</v>
      </c>
      <c r="FIF1" s="154" t="str">
        <f t="shared" si="67"/>
        <v>y</v>
      </c>
      <c r="FIG1" s="154" t="str">
        <f t="shared" si="67"/>
        <v>y</v>
      </c>
      <c r="FIH1" s="154" t="str">
        <f t="shared" si="67"/>
        <v>y</v>
      </c>
      <c r="FII1" s="154" t="str">
        <f t="shared" si="67"/>
        <v>y</v>
      </c>
      <c r="FIJ1" s="154" t="str">
        <f t="shared" si="67"/>
        <v>y</v>
      </c>
      <c r="FIK1" s="154" t="str">
        <f t="shared" si="67"/>
        <v>y</v>
      </c>
      <c r="FIL1" s="154" t="str">
        <f t="shared" si="67"/>
        <v>y</v>
      </c>
      <c r="FIM1" s="154" t="str">
        <f t="shared" si="67"/>
        <v>y</v>
      </c>
      <c r="FIN1" s="154" t="str">
        <f t="shared" si="67"/>
        <v>y</v>
      </c>
      <c r="FIO1" s="154" t="str">
        <f t="shared" si="67"/>
        <v>y</v>
      </c>
      <c r="FIP1" s="154" t="str">
        <f t="shared" si="67"/>
        <v>y</v>
      </c>
      <c r="FIQ1" s="154" t="str">
        <f t="shared" si="67"/>
        <v>y</v>
      </c>
      <c r="FIR1" s="154" t="str">
        <f t="shared" si="67"/>
        <v>y</v>
      </c>
      <c r="FIS1" s="154" t="str">
        <f t="shared" si="67"/>
        <v>y</v>
      </c>
      <c r="FIT1" s="154" t="str">
        <f t="shared" si="67"/>
        <v>y</v>
      </c>
      <c r="FIU1" s="154" t="str">
        <f t="shared" si="67"/>
        <v>y</v>
      </c>
      <c r="FIV1" s="154" t="str">
        <f t="shared" si="67"/>
        <v>y</v>
      </c>
      <c r="FIW1" s="154" t="str">
        <f t="shared" si="67"/>
        <v>y</v>
      </c>
      <c r="FIX1" s="154" t="str">
        <f t="shared" si="67"/>
        <v>y</v>
      </c>
      <c r="FIY1" s="154" t="str">
        <f t="shared" si="67"/>
        <v>y</v>
      </c>
      <c r="FIZ1" s="154" t="str">
        <f t="shared" si="67"/>
        <v>y</v>
      </c>
      <c r="FJA1" s="154" t="str">
        <f t="shared" si="67"/>
        <v>y</v>
      </c>
      <c r="FJB1" s="154" t="str">
        <f t="shared" si="67"/>
        <v>y</v>
      </c>
      <c r="FJC1" s="154" t="str">
        <f t="shared" si="67"/>
        <v>y</v>
      </c>
      <c r="FJD1" s="154" t="str">
        <f t="shared" si="67"/>
        <v>y</v>
      </c>
      <c r="FJE1" s="154" t="str">
        <f t="shared" si="67"/>
        <v>y</v>
      </c>
      <c r="FJF1" s="154" t="str">
        <f t="shared" si="67"/>
        <v>y</v>
      </c>
      <c r="FJG1" s="154" t="str">
        <f t="shared" si="67"/>
        <v>y</v>
      </c>
      <c r="FJH1" s="154" t="str">
        <f t="shared" si="67"/>
        <v>y</v>
      </c>
      <c r="FJI1" s="154" t="str">
        <f t="shared" si="67"/>
        <v>y</v>
      </c>
      <c r="FJJ1" s="154" t="str">
        <f t="shared" si="67"/>
        <v>y</v>
      </c>
      <c r="FJK1" s="154" t="str">
        <f t="shared" si="67"/>
        <v>y</v>
      </c>
      <c r="FJL1" s="154" t="str">
        <f t="shared" si="67"/>
        <v>y</v>
      </c>
      <c r="FJM1" s="154" t="str">
        <f t="shared" si="67"/>
        <v>y</v>
      </c>
      <c r="FJN1" s="154" t="str">
        <f t="shared" si="67"/>
        <v>y</v>
      </c>
      <c r="FJO1" s="154" t="str">
        <f t="shared" si="67"/>
        <v>y</v>
      </c>
      <c r="FJP1" s="154" t="str">
        <f t="shared" si="67"/>
        <v>y</v>
      </c>
      <c r="FJQ1" s="154" t="str">
        <f t="shared" si="67"/>
        <v>y</v>
      </c>
      <c r="FJR1" s="154" t="str">
        <f t="shared" si="67"/>
        <v>y</v>
      </c>
      <c r="FJS1" s="154" t="str">
        <f t="shared" si="67"/>
        <v>y</v>
      </c>
      <c r="FJT1" s="154" t="str">
        <f t="shared" si="67"/>
        <v>y</v>
      </c>
      <c r="FJU1" s="154" t="str">
        <f t="shared" si="67"/>
        <v>y</v>
      </c>
      <c r="FJV1" s="154" t="str">
        <f t="shared" si="67"/>
        <v>y</v>
      </c>
      <c r="FJW1" s="154" t="str">
        <f t="shared" si="67"/>
        <v>y</v>
      </c>
      <c r="FJX1" s="154" t="str">
        <f t="shared" si="67"/>
        <v>y</v>
      </c>
      <c r="FJY1" s="154" t="str">
        <f t="shared" si="67"/>
        <v>y</v>
      </c>
      <c r="FJZ1" s="154" t="str">
        <f t="shared" si="67"/>
        <v>y</v>
      </c>
      <c r="FKA1" s="154" t="str">
        <f t="shared" si="67"/>
        <v>y</v>
      </c>
      <c r="FKB1" s="154" t="str">
        <f t="shared" si="67"/>
        <v>y</v>
      </c>
      <c r="FKC1" s="154" t="str">
        <f t="shared" si="67"/>
        <v>y</v>
      </c>
      <c r="FKD1" s="154" t="str">
        <f t="shared" si="67"/>
        <v>y</v>
      </c>
      <c r="FKE1" s="154" t="str">
        <f t="shared" si="67"/>
        <v>y</v>
      </c>
      <c r="FKF1" s="154" t="str">
        <f t="shared" si="67"/>
        <v>y</v>
      </c>
      <c r="FKG1" s="154" t="str">
        <f t="shared" si="67"/>
        <v>y</v>
      </c>
      <c r="FKH1" s="154" t="str">
        <f t="shared" si="67"/>
        <v>y</v>
      </c>
      <c r="FKI1" s="154" t="str">
        <f t="shared" si="67"/>
        <v>y</v>
      </c>
      <c r="FKJ1" s="154" t="str">
        <f t="shared" si="67"/>
        <v>y</v>
      </c>
      <c r="FKK1" s="154" t="str">
        <f t="shared" si="67"/>
        <v>y</v>
      </c>
      <c r="FKL1" s="154" t="str">
        <f t="shared" si="67"/>
        <v>y</v>
      </c>
      <c r="FKM1" s="154" t="str">
        <f t="shared" si="67"/>
        <v>y</v>
      </c>
      <c r="FKN1" s="154" t="str">
        <f t="shared" si="67"/>
        <v>y</v>
      </c>
      <c r="FKO1" s="154" t="str">
        <f t="shared" si="67"/>
        <v>y</v>
      </c>
      <c r="FKP1" s="154" t="str">
        <f t="shared" ref="FKP1:FNA1" si="68">FKP2&amp;"y"</f>
        <v>y</v>
      </c>
      <c r="FKQ1" s="154" t="str">
        <f t="shared" si="68"/>
        <v>y</v>
      </c>
      <c r="FKR1" s="154" t="str">
        <f t="shared" si="68"/>
        <v>y</v>
      </c>
      <c r="FKS1" s="154" t="str">
        <f t="shared" si="68"/>
        <v>y</v>
      </c>
      <c r="FKT1" s="154" t="str">
        <f t="shared" si="68"/>
        <v>y</v>
      </c>
      <c r="FKU1" s="154" t="str">
        <f t="shared" si="68"/>
        <v>y</v>
      </c>
      <c r="FKV1" s="154" t="str">
        <f t="shared" si="68"/>
        <v>y</v>
      </c>
      <c r="FKW1" s="154" t="str">
        <f t="shared" si="68"/>
        <v>y</v>
      </c>
      <c r="FKX1" s="154" t="str">
        <f t="shared" si="68"/>
        <v>y</v>
      </c>
      <c r="FKY1" s="154" t="str">
        <f t="shared" si="68"/>
        <v>y</v>
      </c>
      <c r="FKZ1" s="154" t="str">
        <f t="shared" si="68"/>
        <v>y</v>
      </c>
      <c r="FLA1" s="154" t="str">
        <f t="shared" si="68"/>
        <v>y</v>
      </c>
      <c r="FLB1" s="154" t="str">
        <f t="shared" si="68"/>
        <v>y</v>
      </c>
      <c r="FLC1" s="154" t="str">
        <f t="shared" si="68"/>
        <v>y</v>
      </c>
      <c r="FLD1" s="154" t="str">
        <f t="shared" si="68"/>
        <v>y</v>
      </c>
      <c r="FLE1" s="154" t="str">
        <f t="shared" si="68"/>
        <v>y</v>
      </c>
      <c r="FLF1" s="154" t="str">
        <f t="shared" si="68"/>
        <v>y</v>
      </c>
      <c r="FLG1" s="154" t="str">
        <f t="shared" si="68"/>
        <v>y</v>
      </c>
      <c r="FLH1" s="154" t="str">
        <f t="shared" si="68"/>
        <v>y</v>
      </c>
      <c r="FLI1" s="154" t="str">
        <f t="shared" si="68"/>
        <v>y</v>
      </c>
      <c r="FLJ1" s="154" t="str">
        <f t="shared" si="68"/>
        <v>y</v>
      </c>
      <c r="FLK1" s="154" t="str">
        <f t="shared" si="68"/>
        <v>y</v>
      </c>
      <c r="FLL1" s="154" t="str">
        <f t="shared" si="68"/>
        <v>y</v>
      </c>
      <c r="FLM1" s="154" t="str">
        <f t="shared" si="68"/>
        <v>y</v>
      </c>
      <c r="FLN1" s="154" t="str">
        <f t="shared" si="68"/>
        <v>y</v>
      </c>
      <c r="FLO1" s="154" t="str">
        <f t="shared" si="68"/>
        <v>y</v>
      </c>
      <c r="FLP1" s="154" t="str">
        <f t="shared" si="68"/>
        <v>y</v>
      </c>
      <c r="FLQ1" s="154" t="str">
        <f t="shared" si="68"/>
        <v>y</v>
      </c>
      <c r="FLR1" s="154" t="str">
        <f t="shared" si="68"/>
        <v>y</v>
      </c>
      <c r="FLS1" s="154" t="str">
        <f t="shared" si="68"/>
        <v>y</v>
      </c>
      <c r="FLT1" s="154" t="str">
        <f t="shared" si="68"/>
        <v>y</v>
      </c>
      <c r="FLU1" s="154" t="str">
        <f t="shared" si="68"/>
        <v>y</v>
      </c>
      <c r="FLV1" s="154" t="str">
        <f t="shared" si="68"/>
        <v>y</v>
      </c>
      <c r="FLW1" s="154" t="str">
        <f t="shared" si="68"/>
        <v>y</v>
      </c>
      <c r="FLX1" s="154" t="str">
        <f t="shared" si="68"/>
        <v>y</v>
      </c>
      <c r="FLY1" s="154" t="str">
        <f t="shared" si="68"/>
        <v>y</v>
      </c>
      <c r="FLZ1" s="154" t="str">
        <f t="shared" si="68"/>
        <v>y</v>
      </c>
      <c r="FMA1" s="154" t="str">
        <f t="shared" si="68"/>
        <v>y</v>
      </c>
      <c r="FMB1" s="154" t="str">
        <f t="shared" si="68"/>
        <v>y</v>
      </c>
      <c r="FMC1" s="154" t="str">
        <f t="shared" si="68"/>
        <v>y</v>
      </c>
      <c r="FMD1" s="154" t="str">
        <f t="shared" si="68"/>
        <v>y</v>
      </c>
      <c r="FME1" s="154" t="str">
        <f t="shared" si="68"/>
        <v>y</v>
      </c>
      <c r="FMF1" s="154" t="str">
        <f t="shared" si="68"/>
        <v>y</v>
      </c>
      <c r="FMG1" s="154" t="str">
        <f t="shared" si="68"/>
        <v>y</v>
      </c>
      <c r="FMH1" s="154" t="str">
        <f t="shared" si="68"/>
        <v>y</v>
      </c>
      <c r="FMI1" s="154" t="str">
        <f t="shared" si="68"/>
        <v>y</v>
      </c>
      <c r="FMJ1" s="154" t="str">
        <f t="shared" si="68"/>
        <v>y</v>
      </c>
      <c r="FMK1" s="154" t="str">
        <f t="shared" si="68"/>
        <v>y</v>
      </c>
      <c r="FML1" s="154" t="str">
        <f t="shared" si="68"/>
        <v>y</v>
      </c>
      <c r="FMM1" s="154" t="str">
        <f t="shared" si="68"/>
        <v>y</v>
      </c>
      <c r="FMN1" s="154" t="str">
        <f t="shared" si="68"/>
        <v>y</v>
      </c>
      <c r="FMO1" s="154" t="str">
        <f t="shared" si="68"/>
        <v>y</v>
      </c>
      <c r="FMP1" s="154" t="str">
        <f t="shared" si="68"/>
        <v>y</v>
      </c>
      <c r="FMQ1" s="154" t="str">
        <f t="shared" si="68"/>
        <v>y</v>
      </c>
      <c r="FMR1" s="154" t="str">
        <f t="shared" si="68"/>
        <v>y</v>
      </c>
      <c r="FMS1" s="154" t="str">
        <f t="shared" si="68"/>
        <v>y</v>
      </c>
      <c r="FMT1" s="154" t="str">
        <f t="shared" si="68"/>
        <v>y</v>
      </c>
      <c r="FMU1" s="154" t="str">
        <f t="shared" si="68"/>
        <v>y</v>
      </c>
      <c r="FMV1" s="154" t="str">
        <f t="shared" si="68"/>
        <v>y</v>
      </c>
      <c r="FMW1" s="154" t="str">
        <f t="shared" si="68"/>
        <v>y</v>
      </c>
      <c r="FMX1" s="154" t="str">
        <f t="shared" si="68"/>
        <v>y</v>
      </c>
      <c r="FMY1" s="154" t="str">
        <f t="shared" si="68"/>
        <v>y</v>
      </c>
      <c r="FMZ1" s="154" t="str">
        <f t="shared" si="68"/>
        <v>y</v>
      </c>
      <c r="FNA1" s="154" t="str">
        <f t="shared" si="68"/>
        <v>y</v>
      </c>
      <c r="FNB1" s="154" t="str">
        <f t="shared" ref="FNB1:FPM1" si="69">FNB2&amp;"y"</f>
        <v>y</v>
      </c>
      <c r="FNC1" s="154" t="str">
        <f t="shared" si="69"/>
        <v>y</v>
      </c>
      <c r="FND1" s="154" t="str">
        <f t="shared" si="69"/>
        <v>y</v>
      </c>
      <c r="FNE1" s="154" t="str">
        <f t="shared" si="69"/>
        <v>y</v>
      </c>
      <c r="FNF1" s="154" t="str">
        <f t="shared" si="69"/>
        <v>y</v>
      </c>
      <c r="FNG1" s="154" t="str">
        <f t="shared" si="69"/>
        <v>y</v>
      </c>
      <c r="FNH1" s="154" t="str">
        <f t="shared" si="69"/>
        <v>y</v>
      </c>
      <c r="FNI1" s="154" t="str">
        <f t="shared" si="69"/>
        <v>y</v>
      </c>
      <c r="FNJ1" s="154" t="str">
        <f t="shared" si="69"/>
        <v>y</v>
      </c>
      <c r="FNK1" s="154" t="str">
        <f t="shared" si="69"/>
        <v>y</v>
      </c>
      <c r="FNL1" s="154" t="str">
        <f t="shared" si="69"/>
        <v>y</v>
      </c>
      <c r="FNM1" s="154" t="str">
        <f t="shared" si="69"/>
        <v>y</v>
      </c>
      <c r="FNN1" s="154" t="str">
        <f t="shared" si="69"/>
        <v>y</v>
      </c>
      <c r="FNO1" s="154" t="str">
        <f t="shared" si="69"/>
        <v>y</v>
      </c>
      <c r="FNP1" s="154" t="str">
        <f t="shared" si="69"/>
        <v>y</v>
      </c>
      <c r="FNQ1" s="154" t="str">
        <f t="shared" si="69"/>
        <v>y</v>
      </c>
      <c r="FNR1" s="154" t="str">
        <f t="shared" si="69"/>
        <v>y</v>
      </c>
      <c r="FNS1" s="154" t="str">
        <f t="shared" si="69"/>
        <v>y</v>
      </c>
      <c r="FNT1" s="154" t="str">
        <f t="shared" si="69"/>
        <v>y</v>
      </c>
      <c r="FNU1" s="154" t="str">
        <f t="shared" si="69"/>
        <v>y</v>
      </c>
      <c r="FNV1" s="154" t="str">
        <f t="shared" si="69"/>
        <v>y</v>
      </c>
      <c r="FNW1" s="154" t="str">
        <f t="shared" si="69"/>
        <v>y</v>
      </c>
      <c r="FNX1" s="154" t="str">
        <f t="shared" si="69"/>
        <v>y</v>
      </c>
      <c r="FNY1" s="154" t="str">
        <f t="shared" si="69"/>
        <v>y</v>
      </c>
      <c r="FNZ1" s="154" t="str">
        <f t="shared" si="69"/>
        <v>y</v>
      </c>
      <c r="FOA1" s="154" t="str">
        <f t="shared" si="69"/>
        <v>y</v>
      </c>
      <c r="FOB1" s="154" t="str">
        <f t="shared" si="69"/>
        <v>y</v>
      </c>
      <c r="FOC1" s="154" t="str">
        <f t="shared" si="69"/>
        <v>y</v>
      </c>
      <c r="FOD1" s="154" t="str">
        <f t="shared" si="69"/>
        <v>y</v>
      </c>
      <c r="FOE1" s="154" t="str">
        <f t="shared" si="69"/>
        <v>y</v>
      </c>
      <c r="FOF1" s="154" t="str">
        <f t="shared" si="69"/>
        <v>y</v>
      </c>
      <c r="FOG1" s="154" t="str">
        <f t="shared" si="69"/>
        <v>y</v>
      </c>
      <c r="FOH1" s="154" t="str">
        <f t="shared" si="69"/>
        <v>y</v>
      </c>
      <c r="FOI1" s="154" t="str">
        <f t="shared" si="69"/>
        <v>y</v>
      </c>
      <c r="FOJ1" s="154" t="str">
        <f t="shared" si="69"/>
        <v>y</v>
      </c>
      <c r="FOK1" s="154" t="str">
        <f t="shared" si="69"/>
        <v>y</v>
      </c>
      <c r="FOL1" s="154" t="str">
        <f t="shared" si="69"/>
        <v>y</v>
      </c>
      <c r="FOM1" s="154" t="str">
        <f t="shared" si="69"/>
        <v>y</v>
      </c>
      <c r="FON1" s="154" t="str">
        <f t="shared" si="69"/>
        <v>y</v>
      </c>
      <c r="FOO1" s="154" t="str">
        <f t="shared" si="69"/>
        <v>y</v>
      </c>
      <c r="FOP1" s="154" t="str">
        <f t="shared" si="69"/>
        <v>y</v>
      </c>
      <c r="FOQ1" s="154" t="str">
        <f t="shared" si="69"/>
        <v>y</v>
      </c>
      <c r="FOR1" s="154" t="str">
        <f t="shared" si="69"/>
        <v>y</v>
      </c>
      <c r="FOS1" s="154" t="str">
        <f t="shared" si="69"/>
        <v>y</v>
      </c>
      <c r="FOT1" s="154" t="str">
        <f t="shared" si="69"/>
        <v>y</v>
      </c>
      <c r="FOU1" s="154" t="str">
        <f t="shared" si="69"/>
        <v>y</v>
      </c>
      <c r="FOV1" s="154" t="str">
        <f t="shared" si="69"/>
        <v>y</v>
      </c>
      <c r="FOW1" s="154" t="str">
        <f t="shared" si="69"/>
        <v>y</v>
      </c>
      <c r="FOX1" s="154" t="str">
        <f t="shared" si="69"/>
        <v>y</v>
      </c>
      <c r="FOY1" s="154" t="str">
        <f t="shared" si="69"/>
        <v>y</v>
      </c>
      <c r="FOZ1" s="154" t="str">
        <f t="shared" si="69"/>
        <v>y</v>
      </c>
      <c r="FPA1" s="154" t="str">
        <f t="shared" si="69"/>
        <v>y</v>
      </c>
      <c r="FPB1" s="154" t="str">
        <f t="shared" si="69"/>
        <v>y</v>
      </c>
      <c r="FPC1" s="154" t="str">
        <f t="shared" si="69"/>
        <v>y</v>
      </c>
      <c r="FPD1" s="154" t="str">
        <f t="shared" si="69"/>
        <v>y</v>
      </c>
      <c r="FPE1" s="154" t="str">
        <f t="shared" si="69"/>
        <v>y</v>
      </c>
      <c r="FPF1" s="154" t="str">
        <f t="shared" si="69"/>
        <v>y</v>
      </c>
      <c r="FPG1" s="154" t="str">
        <f t="shared" si="69"/>
        <v>y</v>
      </c>
      <c r="FPH1" s="154" t="str">
        <f t="shared" si="69"/>
        <v>y</v>
      </c>
      <c r="FPI1" s="154" t="str">
        <f t="shared" si="69"/>
        <v>y</v>
      </c>
      <c r="FPJ1" s="154" t="str">
        <f t="shared" si="69"/>
        <v>y</v>
      </c>
      <c r="FPK1" s="154" t="str">
        <f t="shared" si="69"/>
        <v>y</v>
      </c>
      <c r="FPL1" s="154" t="str">
        <f t="shared" si="69"/>
        <v>y</v>
      </c>
      <c r="FPM1" s="154" t="str">
        <f t="shared" si="69"/>
        <v>y</v>
      </c>
      <c r="FPN1" s="154" t="str">
        <f t="shared" ref="FPN1:FRY1" si="70">FPN2&amp;"y"</f>
        <v>y</v>
      </c>
      <c r="FPO1" s="154" t="str">
        <f t="shared" si="70"/>
        <v>y</v>
      </c>
      <c r="FPP1" s="154" t="str">
        <f t="shared" si="70"/>
        <v>y</v>
      </c>
      <c r="FPQ1" s="154" t="str">
        <f t="shared" si="70"/>
        <v>y</v>
      </c>
      <c r="FPR1" s="154" t="str">
        <f t="shared" si="70"/>
        <v>y</v>
      </c>
      <c r="FPS1" s="154" t="str">
        <f t="shared" si="70"/>
        <v>y</v>
      </c>
      <c r="FPT1" s="154" t="str">
        <f t="shared" si="70"/>
        <v>y</v>
      </c>
      <c r="FPU1" s="154" t="str">
        <f t="shared" si="70"/>
        <v>y</v>
      </c>
      <c r="FPV1" s="154" t="str">
        <f t="shared" si="70"/>
        <v>y</v>
      </c>
      <c r="FPW1" s="154" t="str">
        <f t="shared" si="70"/>
        <v>y</v>
      </c>
      <c r="FPX1" s="154" t="str">
        <f t="shared" si="70"/>
        <v>y</v>
      </c>
      <c r="FPY1" s="154" t="str">
        <f t="shared" si="70"/>
        <v>y</v>
      </c>
      <c r="FPZ1" s="154" t="str">
        <f t="shared" si="70"/>
        <v>y</v>
      </c>
      <c r="FQA1" s="154" t="str">
        <f t="shared" si="70"/>
        <v>y</v>
      </c>
      <c r="FQB1" s="154" t="str">
        <f t="shared" si="70"/>
        <v>y</v>
      </c>
      <c r="FQC1" s="154" t="str">
        <f t="shared" si="70"/>
        <v>y</v>
      </c>
      <c r="FQD1" s="154" t="str">
        <f t="shared" si="70"/>
        <v>y</v>
      </c>
      <c r="FQE1" s="154" t="str">
        <f t="shared" si="70"/>
        <v>y</v>
      </c>
      <c r="FQF1" s="154" t="str">
        <f t="shared" si="70"/>
        <v>y</v>
      </c>
      <c r="FQG1" s="154" t="str">
        <f t="shared" si="70"/>
        <v>y</v>
      </c>
      <c r="FQH1" s="154" t="str">
        <f t="shared" si="70"/>
        <v>y</v>
      </c>
      <c r="FQI1" s="154" t="str">
        <f t="shared" si="70"/>
        <v>y</v>
      </c>
      <c r="FQJ1" s="154" t="str">
        <f t="shared" si="70"/>
        <v>y</v>
      </c>
      <c r="FQK1" s="154" t="str">
        <f t="shared" si="70"/>
        <v>y</v>
      </c>
      <c r="FQL1" s="154" t="str">
        <f t="shared" si="70"/>
        <v>y</v>
      </c>
      <c r="FQM1" s="154" t="str">
        <f t="shared" si="70"/>
        <v>y</v>
      </c>
      <c r="FQN1" s="154" t="str">
        <f t="shared" si="70"/>
        <v>y</v>
      </c>
      <c r="FQO1" s="154" t="str">
        <f t="shared" si="70"/>
        <v>y</v>
      </c>
      <c r="FQP1" s="154" t="str">
        <f t="shared" si="70"/>
        <v>y</v>
      </c>
      <c r="FQQ1" s="154" t="str">
        <f t="shared" si="70"/>
        <v>y</v>
      </c>
      <c r="FQR1" s="154" t="str">
        <f t="shared" si="70"/>
        <v>y</v>
      </c>
      <c r="FQS1" s="154" t="str">
        <f t="shared" si="70"/>
        <v>y</v>
      </c>
      <c r="FQT1" s="154" t="str">
        <f t="shared" si="70"/>
        <v>y</v>
      </c>
      <c r="FQU1" s="154" t="str">
        <f t="shared" si="70"/>
        <v>y</v>
      </c>
      <c r="FQV1" s="154" t="str">
        <f t="shared" si="70"/>
        <v>y</v>
      </c>
      <c r="FQW1" s="154" t="str">
        <f t="shared" si="70"/>
        <v>y</v>
      </c>
      <c r="FQX1" s="154" t="str">
        <f t="shared" si="70"/>
        <v>y</v>
      </c>
      <c r="FQY1" s="154" t="str">
        <f t="shared" si="70"/>
        <v>y</v>
      </c>
      <c r="FQZ1" s="154" t="str">
        <f t="shared" si="70"/>
        <v>y</v>
      </c>
      <c r="FRA1" s="154" t="str">
        <f t="shared" si="70"/>
        <v>y</v>
      </c>
      <c r="FRB1" s="154" t="str">
        <f t="shared" si="70"/>
        <v>y</v>
      </c>
      <c r="FRC1" s="154" t="str">
        <f t="shared" si="70"/>
        <v>y</v>
      </c>
      <c r="FRD1" s="154" t="str">
        <f t="shared" si="70"/>
        <v>y</v>
      </c>
      <c r="FRE1" s="154" t="str">
        <f t="shared" si="70"/>
        <v>y</v>
      </c>
      <c r="FRF1" s="154" t="str">
        <f t="shared" si="70"/>
        <v>y</v>
      </c>
      <c r="FRG1" s="154" t="str">
        <f t="shared" si="70"/>
        <v>y</v>
      </c>
      <c r="FRH1" s="154" t="str">
        <f t="shared" si="70"/>
        <v>y</v>
      </c>
      <c r="FRI1" s="154" t="str">
        <f t="shared" si="70"/>
        <v>y</v>
      </c>
      <c r="FRJ1" s="154" t="str">
        <f t="shared" si="70"/>
        <v>y</v>
      </c>
      <c r="FRK1" s="154" t="str">
        <f t="shared" si="70"/>
        <v>y</v>
      </c>
      <c r="FRL1" s="154" t="str">
        <f t="shared" si="70"/>
        <v>y</v>
      </c>
      <c r="FRM1" s="154" t="str">
        <f t="shared" si="70"/>
        <v>y</v>
      </c>
      <c r="FRN1" s="154" t="str">
        <f t="shared" si="70"/>
        <v>y</v>
      </c>
      <c r="FRO1" s="154" t="str">
        <f t="shared" si="70"/>
        <v>y</v>
      </c>
      <c r="FRP1" s="154" t="str">
        <f t="shared" si="70"/>
        <v>y</v>
      </c>
      <c r="FRQ1" s="154" t="str">
        <f t="shared" si="70"/>
        <v>y</v>
      </c>
      <c r="FRR1" s="154" t="str">
        <f t="shared" si="70"/>
        <v>y</v>
      </c>
      <c r="FRS1" s="154" t="str">
        <f t="shared" si="70"/>
        <v>y</v>
      </c>
      <c r="FRT1" s="154" t="str">
        <f t="shared" si="70"/>
        <v>y</v>
      </c>
      <c r="FRU1" s="154" t="str">
        <f t="shared" si="70"/>
        <v>y</v>
      </c>
      <c r="FRV1" s="154" t="str">
        <f t="shared" si="70"/>
        <v>y</v>
      </c>
      <c r="FRW1" s="154" t="str">
        <f t="shared" si="70"/>
        <v>y</v>
      </c>
      <c r="FRX1" s="154" t="str">
        <f t="shared" si="70"/>
        <v>y</v>
      </c>
      <c r="FRY1" s="154" t="str">
        <f t="shared" si="70"/>
        <v>y</v>
      </c>
      <c r="FRZ1" s="154" t="str">
        <f t="shared" ref="FRZ1:FUK1" si="71">FRZ2&amp;"y"</f>
        <v>y</v>
      </c>
      <c r="FSA1" s="154" t="str">
        <f t="shared" si="71"/>
        <v>y</v>
      </c>
      <c r="FSB1" s="154" t="str">
        <f t="shared" si="71"/>
        <v>y</v>
      </c>
      <c r="FSC1" s="154" t="str">
        <f t="shared" si="71"/>
        <v>y</v>
      </c>
      <c r="FSD1" s="154" t="str">
        <f t="shared" si="71"/>
        <v>y</v>
      </c>
      <c r="FSE1" s="154" t="str">
        <f t="shared" si="71"/>
        <v>y</v>
      </c>
      <c r="FSF1" s="154" t="str">
        <f t="shared" si="71"/>
        <v>y</v>
      </c>
      <c r="FSG1" s="154" t="str">
        <f t="shared" si="71"/>
        <v>y</v>
      </c>
      <c r="FSH1" s="154" t="str">
        <f t="shared" si="71"/>
        <v>y</v>
      </c>
      <c r="FSI1" s="154" t="str">
        <f t="shared" si="71"/>
        <v>y</v>
      </c>
      <c r="FSJ1" s="154" t="str">
        <f t="shared" si="71"/>
        <v>y</v>
      </c>
      <c r="FSK1" s="154" t="str">
        <f t="shared" si="71"/>
        <v>y</v>
      </c>
      <c r="FSL1" s="154" t="str">
        <f t="shared" si="71"/>
        <v>y</v>
      </c>
      <c r="FSM1" s="154" t="str">
        <f t="shared" si="71"/>
        <v>y</v>
      </c>
      <c r="FSN1" s="154" t="str">
        <f t="shared" si="71"/>
        <v>y</v>
      </c>
      <c r="FSO1" s="154" t="str">
        <f t="shared" si="71"/>
        <v>y</v>
      </c>
      <c r="FSP1" s="154" t="str">
        <f t="shared" si="71"/>
        <v>y</v>
      </c>
      <c r="FSQ1" s="154" t="str">
        <f t="shared" si="71"/>
        <v>y</v>
      </c>
      <c r="FSR1" s="154" t="str">
        <f t="shared" si="71"/>
        <v>y</v>
      </c>
      <c r="FSS1" s="154" t="str">
        <f t="shared" si="71"/>
        <v>y</v>
      </c>
      <c r="FST1" s="154" t="str">
        <f t="shared" si="71"/>
        <v>y</v>
      </c>
      <c r="FSU1" s="154" t="str">
        <f t="shared" si="71"/>
        <v>y</v>
      </c>
      <c r="FSV1" s="154" t="str">
        <f t="shared" si="71"/>
        <v>y</v>
      </c>
      <c r="FSW1" s="154" t="str">
        <f t="shared" si="71"/>
        <v>y</v>
      </c>
      <c r="FSX1" s="154" t="str">
        <f t="shared" si="71"/>
        <v>y</v>
      </c>
      <c r="FSY1" s="154" t="str">
        <f t="shared" si="71"/>
        <v>y</v>
      </c>
      <c r="FSZ1" s="154" t="str">
        <f t="shared" si="71"/>
        <v>y</v>
      </c>
      <c r="FTA1" s="154" t="str">
        <f t="shared" si="71"/>
        <v>y</v>
      </c>
      <c r="FTB1" s="154" t="str">
        <f t="shared" si="71"/>
        <v>y</v>
      </c>
      <c r="FTC1" s="154" t="str">
        <f t="shared" si="71"/>
        <v>y</v>
      </c>
      <c r="FTD1" s="154" t="str">
        <f t="shared" si="71"/>
        <v>y</v>
      </c>
      <c r="FTE1" s="154" t="str">
        <f t="shared" si="71"/>
        <v>y</v>
      </c>
      <c r="FTF1" s="154" t="str">
        <f t="shared" si="71"/>
        <v>y</v>
      </c>
      <c r="FTG1" s="154" t="str">
        <f t="shared" si="71"/>
        <v>y</v>
      </c>
      <c r="FTH1" s="154" t="str">
        <f t="shared" si="71"/>
        <v>y</v>
      </c>
      <c r="FTI1" s="154" t="str">
        <f t="shared" si="71"/>
        <v>y</v>
      </c>
      <c r="FTJ1" s="154" t="str">
        <f t="shared" si="71"/>
        <v>y</v>
      </c>
      <c r="FTK1" s="154" t="str">
        <f t="shared" si="71"/>
        <v>y</v>
      </c>
      <c r="FTL1" s="154" t="str">
        <f t="shared" si="71"/>
        <v>y</v>
      </c>
      <c r="FTM1" s="154" t="str">
        <f t="shared" si="71"/>
        <v>y</v>
      </c>
      <c r="FTN1" s="154" t="str">
        <f t="shared" si="71"/>
        <v>y</v>
      </c>
      <c r="FTO1" s="154" t="str">
        <f t="shared" si="71"/>
        <v>y</v>
      </c>
      <c r="FTP1" s="154" t="str">
        <f t="shared" si="71"/>
        <v>y</v>
      </c>
      <c r="FTQ1" s="154" t="str">
        <f t="shared" si="71"/>
        <v>y</v>
      </c>
      <c r="FTR1" s="154" t="str">
        <f t="shared" si="71"/>
        <v>y</v>
      </c>
      <c r="FTS1" s="154" t="str">
        <f t="shared" si="71"/>
        <v>y</v>
      </c>
      <c r="FTT1" s="154" t="str">
        <f t="shared" si="71"/>
        <v>y</v>
      </c>
      <c r="FTU1" s="154" t="str">
        <f t="shared" si="71"/>
        <v>y</v>
      </c>
      <c r="FTV1" s="154" t="str">
        <f t="shared" si="71"/>
        <v>y</v>
      </c>
      <c r="FTW1" s="154" t="str">
        <f t="shared" si="71"/>
        <v>y</v>
      </c>
      <c r="FTX1" s="154" t="str">
        <f t="shared" si="71"/>
        <v>y</v>
      </c>
      <c r="FTY1" s="154" t="str">
        <f t="shared" si="71"/>
        <v>y</v>
      </c>
      <c r="FTZ1" s="154" t="str">
        <f t="shared" si="71"/>
        <v>y</v>
      </c>
      <c r="FUA1" s="154" t="str">
        <f t="shared" si="71"/>
        <v>y</v>
      </c>
      <c r="FUB1" s="154" t="str">
        <f t="shared" si="71"/>
        <v>y</v>
      </c>
      <c r="FUC1" s="154" t="str">
        <f t="shared" si="71"/>
        <v>y</v>
      </c>
      <c r="FUD1" s="154" t="str">
        <f t="shared" si="71"/>
        <v>y</v>
      </c>
      <c r="FUE1" s="154" t="str">
        <f t="shared" si="71"/>
        <v>y</v>
      </c>
      <c r="FUF1" s="154" t="str">
        <f t="shared" si="71"/>
        <v>y</v>
      </c>
      <c r="FUG1" s="154" t="str">
        <f t="shared" si="71"/>
        <v>y</v>
      </c>
      <c r="FUH1" s="154" t="str">
        <f t="shared" si="71"/>
        <v>y</v>
      </c>
      <c r="FUI1" s="154" t="str">
        <f t="shared" si="71"/>
        <v>y</v>
      </c>
      <c r="FUJ1" s="154" t="str">
        <f t="shared" si="71"/>
        <v>y</v>
      </c>
      <c r="FUK1" s="154" t="str">
        <f t="shared" si="71"/>
        <v>y</v>
      </c>
      <c r="FUL1" s="154" t="str">
        <f t="shared" ref="FUL1:FWW1" si="72">FUL2&amp;"y"</f>
        <v>y</v>
      </c>
      <c r="FUM1" s="154" t="str">
        <f t="shared" si="72"/>
        <v>y</v>
      </c>
      <c r="FUN1" s="154" t="str">
        <f t="shared" si="72"/>
        <v>y</v>
      </c>
      <c r="FUO1" s="154" t="str">
        <f t="shared" si="72"/>
        <v>y</v>
      </c>
      <c r="FUP1" s="154" t="str">
        <f t="shared" si="72"/>
        <v>y</v>
      </c>
      <c r="FUQ1" s="154" t="str">
        <f t="shared" si="72"/>
        <v>y</v>
      </c>
      <c r="FUR1" s="154" t="str">
        <f t="shared" si="72"/>
        <v>y</v>
      </c>
      <c r="FUS1" s="154" t="str">
        <f t="shared" si="72"/>
        <v>y</v>
      </c>
      <c r="FUT1" s="154" t="str">
        <f t="shared" si="72"/>
        <v>y</v>
      </c>
      <c r="FUU1" s="154" t="str">
        <f t="shared" si="72"/>
        <v>y</v>
      </c>
      <c r="FUV1" s="154" t="str">
        <f t="shared" si="72"/>
        <v>y</v>
      </c>
      <c r="FUW1" s="154" t="str">
        <f t="shared" si="72"/>
        <v>y</v>
      </c>
      <c r="FUX1" s="154" t="str">
        <f t="shared" si="72"/>
        <v>y</v>
      </c>
      <c r="FUY1" s="154" t="str">
        <f t="shared" si="72"/>
        <v>y</v>
      </c>
      <c r="FUZ1" s="154" t="str">
        <f t="shared" si="72"/>
        <v>y</v>
      </c>
      <c r="FVA1" s="154" t="str">
        <f t="shared" si="72"/>
        <v>y</v>
      </c>
      <c r="FVB1" s="154" t="str">
        <f t="shared" si="72"/>
        <v>y</v>
      </c>
      <c r="FVC1" s="154" t="str">
        <f t="shared" si="72"/>
        <v>y</v>
      </c>
      <c r="FVD1" s="154" t="str">
        <f t="shared" si="72"/>
        <v>y</v>
      </c>
      <c r="FVE1" s="154" t="str">
        <f t="shared" si="72"/>
        <v>y</v>
      </c>
      <c r="FVF1" s="154" t="str">
        <f t="shared" si="72"/>
        <v>y</v>
      </c>
      <c r="FVG1" s="154" t="str">
        <f t="shared" si="72"/>
        <v>y</v>
      </c>
      <c r="FVH1" s="154" t="str">
        <f t="shared" si="72"/>
        <v>y</v>
      </c>
      <c r="FVI1" s="154" t="str">
        <f t="shared" si="72"/>
        <v>y</v>
      </c>
      <c r="FVJ1" s="154" t="str">
        <f t="shared" si="72"/>
        <v>y</v>
      </c>
      <c r="FVK1" s="154" t="str">
        <f t="shared" si="72"/>
        <v>y</v>
      </c>
      <c r="FVL1" s="154" t="str">
        <f t="shared" si="72"/>
        <v>y</v>
      </c>
      <c r="FVM1" s="154" t="str">
        <f t="shared" si="72"/>
        <v>y</v>
      </c>
      <c r="FVN1" s="154" t="str">
        <f t="shared" si="72"/>
        <v>y</v>
      </c>
      <c r="FVO1" s="154" t="str">
        <f t="shared" si="72"/>
        <v>y</v>
      </c>
      <c r="FVP1" s="154" t="str">
        <f t="shared" si="72"/>
        <v>y</v>
      </c>
      <c r="FVQ1" s="154" t="str">
        <f t="shared" si="72"/>
        <v>y</v>
      </c>
      <c r="FVR1" s="154" t="str">
        <f t="shared" si="72"/>
        <v>y</v>
      </c>
      <c r="FVS1" s="154" t="str">
        <f t="shared" si="72"/>
        <v>y</v>
      </c>
      <c r="FVT1" s="154" t="str">
        <f t="shared" si="72"/>
        <v>y</v>
      </c>
      <c r="FVU1" s="154" t="str">
        <f t="shared" si="72"/>
        <v>y</v>
      </c>
      <c r="FVV1" s="154" t="str">
        <f t="shared" si="72"/>
        <v>y</v>
      </c>
      <c r="FVW1" s="154" t="str">
        <f t="shared" si="72"/>
        <v>y</v>
      </c>
      <c r="FVX1" s="154" t="str">
        <f t="shared" si="72"/>
        <v>y</v>
      </c>
      <c r="FVY1" s="154" t="str">
        <f t="shared" si="72"/>
        <v>y</v>
      </c>
      <c r="FVZ1" s="154" t="str">
        <f t="shared" si="72"/>
        <v>y</v>
      </c>
      <c r="FWA1" s="154" t="str">
        <f t="shared" si="72"/>
        <v>y</v>
      </c>
      <c r="FWB1" s="154" t="str">
        <f t="shared" si="72"/>
        <v>y</v>
      </c>
      <c r="FWC1" s="154" t="str">
        <f t="shared" si="72"/>
        <v>y</v>
      </c>
      <c r="FWD1" s="154" t="str">
        <f t="shared" si="72"/>
        <v>y</v>
      </c>
      <c r="FWE1" s="154" t="str">
        <f t="shared" si="72"/>
        <v>y</v>
      </c>
      <c r="FWF1" s="154" t="str">
        <f t="shared" si="72"/>
        <v>y</v>
      </c>
      <c r="FWG1" s="154" t="str">
        <f t="shared" si="72"/>
        <v>y</v>
      </c>
      <c r="FWH1" s="154" t="str">
        <f t="shared" si="72"/>
        <v>y</v>
      </c>
      <c r="FWI1" s="154" t="str">
        <f t="shared" si="72"/>
        <v>y</v>
      </c>
      <c r="FWJ1" s="154" t="str">
        <f t="shared" si="72"/>
        <v>y</v>
      </c>
      <c r="FWK1" s="154" t="str">
        <f t="shared" si="72"/>
        <v>y</v>
      </c>
      <c r="FWL1" s="154" t="str">
        <f t="shared" si="72"/>
        <v>y</v>
      </c>
      <c r="FWM1" s="154" t="str">
        <f t="shared" si="72"/>
        <v>y</v>
      </c>
      <c r="FWN1" s="154" t="str">
        <f t="shared" si="72"/>
        <v>y</v>
      </c>
      <c r="FWO1" s="154" t="str">
        <f t="shared" si="72"/>
        <v>y</v>
      </c>
      <c r="FWP1" s="154" t="str">
        <f t="shared" si="72"/>
        <v>y</v>
      </c>
      <c r="FWQ1" s="154" t="str">
        <f t="shared" si="72"/>
        <v>y</v>
      </c>
      <c r="FWR1" s="154" t="str">
        <f t="shared" si="72"/>
        <v>y</v>
      </c>
      <c r="FWS1" s="154" t="str">
        <f t="shared" si="72"/>
        <v>y</v>
      </c>
      <c r="FWT1" s="154" t="str">
        <f t="shared" si="72"/>
        <v>y</v>
      </c>
      <c r="FWU1" s="154" t="str">
        <f t="shared" si="72"/>
        <v>y</v>
      </c>
      <c r="FWV1" s="154" t="str">
        <f t="shared" si="72"/>
        <v>y</v>
      </c>
      <c r="FWW1" s="154" t="str">
        <f t="shared" si="72"/>
        <v>y</v>
      </c>
      <c r="FWX1" s="154" t="str">
        <f t="shared" ref="FWX1:FZI1" si="73">FWX2&amp;"y"</f>
        <v>y</v>
      </c>
      <c r="FWY1" s="154" t="str">
        <f t="shared" si="73"/>
        <v>y</v>
      </c>
      <c r="FWZ1" s="154" t="str">
        <f t="shared" si="73"/>
        <v>y</v>
      </c>
      <c r="FXA1" s="154" t="str">
        <f t="shared" si="73"/>
        <v>y</v>
      </c>
      <c r="FXB1" s="154" t="str">
        <f t="shared" si="73"/>
        <v>y</v>
      </c>
      <c r="FXC1" s="154" t="str">
        <f t="shared" si="73"/>
        <v>y</v>
      </c>
      <c r="FXD1" s="154" t="str">
        <f t="shared" si="73"/>
        <v>y</v>
      </c>
      <c r="FXE1" s="154" t="str">
        <f t="shared" si="73"/>
        <v>y</v>
      </c>
      <c r="FXF1" s="154" t="str">
        <f t="shared" si="73"/>
        <v>y</v>
      </c>
      <c r="FXG1" s="154" t="str">
        <f t="shared" si="73"/>
        <v>y</v>
      </c>
      <c r="FXH1" s="154" t="str">
        <f t="shared" si="73"/>
        <v>y</v>
      </c>
      <c r="FXI1" s="154" t="str">
        <f t="shared" si="73"/>
        <v>y</v>
      </c>
      <c r="FXJ1" s="154" t="str">
        <f t="shared" si="73"/>
        <v>y</v>
      </c>
      <c r="FXK1" s="154" t="str">
        <f t="shared" si="73"/>
        <v>y</v>
      </c>
      <c r="FXL1" s="154" t="str">
        <f t="shared" si="73"/>
        <v>y</v>
      </c>
      <c r="FXM1" s="154" t="str">
        <f t="shared" si="73"/>
        <v>y</v>
      </c>
      <c r="FXN1" s="154" t="str">
        <f t="shared" si="73"/>
        <v>y</v>
      </c>
      <c r="FXO1" s="154" t="str">
        <f t="shared" si="73"/>
        <v>y</v>
      </c>
      <c r="FXP1" s="154" t="str">
        <f t="shared" si="73"/>
        <v>y</v>
      </c>
      <c r="FXQ1" s="154" t="str">
        <f t="shared" si="73"/>
        <v>y</v>
      </c>
      <c r="FXR1" s="154" t="str">
        <f t="shared" si="73"/>
        <v>y</v>
      </c>
      <c r="FXS1" s="154" t="str">
        <f t="shared" si="73"/>
        <v>y</v>
      </c>
      <c r="FXT1" s="154" t="str">
        <f t="shared" si="73"/>
        <v>y</v>
      </c>
      <c r="FXU1" s="154" t="str">
        <f t="shared" si="73"/>
        <v>y</v>
      </c>
      <c r="FXV1" s="154" t="str">
        <f t="shared" si="73"/>
        <v>y</v>
      </c>
      <c r="FXW1" s="154" t="str">
        <f t="shared" si="73"/>
        <v>y</v>
      </c>
      <c r="FXX1" s="154" t="str">
        <f t="shared" si="73"/>
        <v>y</v>
      </c>
      <c r="FXY1" s="154" t="str">
        <f t="shared" si="73"/>
        <v>y</v>
      </c>
      <c r="FXZ1" s="154" t="str">
        <f t="shared" si="73"/>
        <v>y</v>
      </c>
      <c r="FYA1" s="154" t="str">
        <f t="shared" si="73"/>
        <v>y</v>
      </c>
      <c r="FYB1" s="154" t="str">
        <f t="shared" si="73"/>
        <v>y</v>
      </c>
      <c r="FYC1" s="154" t="str">
        <f t="shared" si="73"/>
        <v>y</v>
      </c>
      <c r="FYD1" s="154" t="str">
        <f t="shared" si="73"/>
        <v>y</v>
      </c>
      <c r="FYE1" s="154" t="str">
        <f t="shared" si="73"/>
        <v>y</v>
      </c>
      <c r="FYF1" s="154" t="str">
        <f t="shared" si="73"/>
        <v>y</v>
      </c>
      <c r="FYG1" s="154" t="str">
        <f t="shared" si="73"/>
        <v>y</v>
      </c>
      <c r="FYH1" s="154" t="str">
        <f t="shared" si="73"/>
        <v>y</v>
      </c>
      <c r="FYI1" s="154" t="str">
        <f t="shared" si="73"/>
        <v>y</v>
      </c>
      <c r="FYJ1" s="154" t="str">
        <f t="shared" si="73"/>
        <v>y</v>
      </c>
      <c r="FYK1" s="154" t="str">
        <f t="shared" si="73"/>
        <v>y</v>
      </c>
      <c r="FYL1" s="154" t="str">
        <f t="shared" si="73"/>
        <v>y</v>
      </c>
      <c r="FYM1" s="154" t="str">
        <f t="shared" si="73"/>
        <v>y</v>
      </c>
      <c r="FYN1" s="154" t="str">
        <f t="shared" si="73"/>
        <v>y</v>
      </c>
      <c r="FYO1" s="154" t="str">
        <f t="shared" si="73"/>
        <v>y</v>
      </c>
      <c r="FYP1" s="154" t="str">
        <f t="shared" si="73"/>
        <v>y</v>
      </c>
      <c r="FYQ1" s="154" t="str">
        <f t="shared" si="73"/>
        <v>y</v>
      </c>
      <c r="FYR1" s="154" t="str">
        <f t="shared" si="73"/>
        <v>y</v>
      </c>
      <c r="FYS1" s="154" t="str">
        <f t="shared" si="73"/>
        <v>y</v>
      </c>
      <c r="FYT1" s="154" t="str">
        <f t="shared" si="73"/>
        <v>y</v>
      </c>
      <c r="FYU1" s="154" t="str">
        <f t="shared" si="73"/>
        <v>y</v>
      </c>
      <c r="FYV1" s="154" t="str">
        <f t="shared" si="73"/>
        <v>y</v>
      </c>
      <c r="FYW1" s="154" t="str">
        <f t="shared" si="73"/>
        <v>y</v>
      </c>
      <c r="FYX1" s="154" t="str">
        <f t="shared" si="73"/>
        <v>y</v>
      </c>
      <c r="FYY1" s="154" t="str">
        <f t="shared" si="73"/>
        <v>y</v>
      </c>
      <c r="FYZ1" s="154" t="str">
        <f t="shared" si="73"/>
        <v>y</v>
      </c>
      <c r="FZA1" s="154" t="str">
        <f t="shared" si="73"/>
        <v>y</v>
      </c>
      <c r="FZB1" s="154" t="str">
        <f t="shared" si="73"/>
        <v>y</v>
      </c>
      <c r="FZC1" s="154" t="str">
        <f t="shared" si="73"/>
        <v>y</v>
      </c>
      <c r="FZD1" s="154" t="str">
        <f t="shared" si="73"/>
        <v>y</v>
      </c>
      <c r="FZE1" s="154" t="str">
        <f t="shared" si="73"/>
        <v>y</v>
      </c>
      <c r="FZF1" s="154" t="str">
        <f t="shared" si="73"/>
        <v>y</v>
      </c>
      <c r="FZG1" s="154" t="str">
        <f t="shared" si="73"/>
        <v>y</v>
      </c>
      <c r="FZH1" s="154" t="str">
        <f t="shared" si="73"/>
        <v>y</v>
      </c>
      <c r="FZI1" s="154" t="str">
        <f t="shared" si="73"/>
        <v>y</v>
      </c>
      <c r="FZJ1" s="154" t="str">
        <f t="shared" ref="FZJ1:GBU1" si="74">FZJ2&amp;"y"</f>
        <v>y</v>
      </c>
      <c r="FZK1" s="154" t="str">
        <f t="shared" si="74"/>
        <v>y</v>
      </c>
      <c r="FZL1" s="154" t="str">
        <f t="shared" si="74"/>
        <v>y</v>
      </c>
      <c r="FZM1" s="154" t="str">
        <f t="shared" si="74"/>
        <v>y</v>
      </c>
      <c r="FZN1" s="154" t="str">
        <f t="shared" si="74"/>
        <v>y</v>
      </c>
      <c r="FZO1" s="154" t="str">
        <f t="shared" si="74"/>
        <v>y</v>
      </c>
      <c r="FZP1" s="154" t="str">
        <f t="shared" si="74"/>
        <v>y</v>
      </c>
      <c r="FZQ1" s="154" t="str">
        <f t="shared" si="74"/>
        <v>y</v>
      </c>
      <c r="FZR1" s="154" t="str">
        <f t="shared" si="74"/>
        <v>y</v>
      </c>
      <c r="FZS1" s="154" t="str">
        <f t="shared" si="74"/>
        <v>y</v>
      </c>
      <c r="FZT1" s="154" t="str">
        <f t="shared" si="74"/>
        <v>y</v>
      </c>
      <c r="FZU1" s="154" t="str">
        <f t="shared" si="74"/>
        <v>y</v>
      </c>
      <c r="FZV1" s="154" t="str">
        <f t="shared" si="74"/>
        <v>y</v>
      </c>
      <c r="FZW1" s="154" t="str">
        <f t="shared" si="74"/>
        <v>y</v>
      </c>
      <c r="FZX1" s="154" t="str">
        <f t="shared" si="74"/>
        <v>y</v>
      </c>
      <c r="FZY1" s="154" t="str">
        <f t="shared" si="74"/>
        <v>y</v>
      </c>
      <c r="FZZ1" s="154" t="str">
        <f t="shared" si="74"/>
        <v>y</v>
      </c>
      <c r="GAA1" s="154" t="str">
        <f t="shared" si="74"/>
        <v>y</v>
      </c>
      <c r="GAB1" s="154" t="str">
        <f t="shared" si="74"/>
        <v>y</v>
      </c>
      <c r="GAC1" s="154" t="str">
        <f t="shared" si="74"/>
        <v>y</v>
      </c>
      <c r="GAD1" s="154" t="str">
        <f t="shared" si="74"/>
        <v>y</v>
      </c>
      <c r="GAE1" s="154" t="str">
        <f t="shared" si="74"/>
        <v>y</v>
      </c>
      <c r="GAF1" s="154" t="str">
        <f t="shared" si="74"/>
        <v>y</v>
      </c>
      <c r="GAG1" s="154" t="str">
        <f t="shared" si="74"/>
        <v>y</v>
      </c>
      <c r="GAH1" s="154" t="str">
        <f t="shared" si="74"/>
        <v>y</v>
      </c>
      <c r="GAI1" s="154" t="str">
        <f t="shared" si="74"/>
        <v>y</v>
      </c>
      <c r="GAJ1" s="154" t="str">
        <f t="shared" si="74"/>
        <v>y</v>
      </c>
      <c r="GAK1" s="154" t="str">
        <f t="shared" si="74"/>
        <v>y</v>
      </c>
      <c r="GAL1" s="154" t="str">
        <f t="shared" si="74"/>
        <v>y</v>
      </c>
      <c r="GAM1" s="154" t="str">
        <f t="shared" si="74"/>
        <v>y</v>
      </c>
      <c r="GAN1" s="154" t="str">
        <f t="shared" si="74"/>
        <v>y</v>
      </c>
      <c r="GAO1" s="154" t="str">
        <f t="shared" si="74"/>
        <v>y</v>
      </c>
      <c r="GAP1" s="154" t="str">
        <f t="shared" si="74"/>
        <v>y</v>
      </c>
      <c r="GAQ1" s="154" t="str">
        <f t="shared" si="74"/>
        <v>y</v>
      </c>
      <c r="GAR1" s="154" t="str">
        <f t="shared" si="74"/>
        <v>y</v>
      </c>
      <c r="GAS1" s="154" t="str">
        <f t="shared" si="74"/>
        <v>y</v>
      </c>
      <c r="GAT1" s="154" t="str">
        <f t="shared" si="74"/>
        <v>y</v>
      </c>
      <c r="GAU1" s="154" t="str">
        <f t="shared" si="74"/>
        <v>y</v>
      </c>
      <c r="GAV1" s="154" t="str">
        <f t="shared" si="74"/>
        <v>y</v>
      </c>
      <c r="GAW1" s="154" t="str">
        <f t="shared" si="74"/>
        <v>y</v>
      </c>
      <c r="GAX1" s="154" t="str">
        <f t="shared" si="74"/>
        <v>y</v>
      </c>
      <c r="GAY1" s="154" t="str">
        <f t="shared" si="74"/>
        <v>y</v>
      </c>
      <c r="GAZ1" s="154" t="str">
        <f t="shared" si="74"/>
        <v>y</v>
      </c>
      <c r="GBA1" s="154" t="str">
        <f t="shared" si="74"/>
        <v>y</v>
      </c>
      <c r="GBB1" s="154" t="str">
        <f t="shared" si="74"/>
        <v>y</v>
      </c>
      <c r="GBC1" s="154" t="str">
        <f t="shared" si="74"/>
        <v>y</v>
      </c>
      <c r="GBD1" s="154" t="str">
        <f t="shared" si="74"/>
        <v>y</v>
      </c>
      <c r="GBE1" s="154" t="str">
        <f t="shared" si="74"/>
        <v>y</v>
      </c>
      <c r="GBF1" s="154" t="str">
        <f t="shared" si="74"/>
        <v>y</v>
      </c>
      <c r="GBG1" s="154" t="str">
        <f t="shared" si="74"/>
        <v>y</v>
      </c>
      <c r="GBH1" s="154" t="str">
        <f t="shared" si="74"/>
        <v>y</v>
      </c>
      <c r="GBI1" s="154" t="str">
        <f t="shared" si="74"/>
        <v>y</v>
      </c>
      <c r="GBJ1" s="154" t="str">
        <f t="shared" si="74"/>
        <v>y</v>
      </c>
      <c r="GBK1" s="154" t="str">
        <f t="shared" si="74"/>
        <v>y</v>
      </c>
      <c r="GBL1" s="154" t="str">
        <f t="shared" si="74"/>
        <v>y</v>
      </c>
      <c r="GBM1" s="154" t="str">
        <f t="shared" si="74"/>
        <v>y</v>
      </c>
      <c r="GBN1" s="154" t="str">
        <f t="shared" si="74"/>
        <v>y</v>
      </c>
      <c r="GBO1" s="154" t="str">
        <f t="shared" si="74"/>
        <v>y</v>
      </c>
      <c r="GBP1" s="154" t="str">
        <f t="shared" si="74"/>
        <v>y</v>
      </c>
      <c r="GBQ1" s="154" t="str">
        <f t="shared" si="74"/>
        <v>y</v>
      </c>
      <c r="GBR1" s="154" t="str">
        <f t="shared" si="74"/>
        <v>y</v>
      </c>
      <c r="GBS1" s="154" t="str">
        <f t="shared" si="74"/>
        <v>y</v>
      </c>
      <c r="GBT1" s="154" t="str">
        <f t="shared" si="74"/>
        <v>y</v>
      </c>
      <c r="GBU1" s="154" t="str">
        <f t="shared" si="74"/>
        <v>y</v>
      </c>
      <c r="GBV1" s="154" t="str">
        <f t="shared" ref="GBV1:GEG1" si="75">GBV2&amp;"y"</f>
        <v>y</v>
      </c>
      <c r="GBW1" s="154" t="str">
        <f t="shared" si="75"/>
        <v>y</v>
      </c>
      <c r="GBX1" s="154" t="str">
        <f t="shared" si="75"/>
        <v>y</v>
      </c>
      <c r="GBY1" s="154" t="str">
        <f t="shared" si="75"/>
        <v>y</v>
      </c>
      <c r="GBZ1" s="154" t="str">
        <f t="shared" si="75"/>
        <v>y</v>
      </c>
      <c r="GCA1" s="154" t="str">
        <f t="shared" si="75"/>
        <v>y</v>
      </c>
      <c r="GCB1" s="154" t="str">
        <f t="shared" si="75"/>
        <v>y</v>
      </c>
      <c r="GCC1" s="154" t="str">
        <f t="shared" si="75"/>
        <v>y</v>
      </c>
      <c r="GCD1" s="154" t="str">
        <f t="shared" si="75"/>
        <v>y</v>
      </c>
      <c r="GCE1" s="154" t="str">
        <f t="shared" si="75"/>
        <v>y</v>
      </c>
      <c r="GCF1" s="154" t="str">
        <f t="shared" si="75"/>
        <v>y</v>
      </c>
      <c r="GCG1" s="154" t="str">
        <f t="shared" si="75"/>
        <v>y</v>
      </c>
      <c r="GCH1" s="154" t="str">
        <f t="shared" si="75"/>
        <v>y</v>
      </c>
      <c r="GCI1" s="154" t="str">
        <f t="shared" si="75"/>
        <v>y</v>
      </c>
      <c r="GCJ1" s="154" t="str">
        <f t="shared" si="75"/>
        <v>y</v>
      </c>
      <c r="GCK1" s="154" t="str">
        <f t="shared" si="75"/>
        <v>y</v>
      </c>
      <c r="GCL1" s="154" t="str">
        <f t="shared" si="75"/>
        <v>y</v>
      </c>
      <c r="GCM1" s="154" t="str">
        <f t="shared" si="75"/>
        <v>y</v>
      </c>
      <c r="GCN1" s="154" t="str">
        <f t="shared" si="75"/>
        <v>y</v>
      </c>
      <c r="GCO1" s="154" t="str">
        <f t="shared" si="75"/>
        <v>y</v>
      </c>
      <c r="GCP1" s="154" t="str">
        <f t="shared" si="75"/>
        <v>y</v>
      </c>
      <c r="GCQ1" s="154" t="str">
        <f t="shared" si="75"/>
        <v>y</v>
      </c>
      <c r="GCR1" s="154" t="str">
        <f t="shared" si="75"/>
        <v>y</v>
      </c>
      <c r="GCS1" s="154" t="str">
        <f t="shared" si="75"/>
        <v>y</v>
      </c>
      <c r="GCT1" s="154" t="str">
        <f t="shared" si="75"/>
        <v>y</v>
      </c>
      <c r="GCU1" s="154" t="str">
        <f t="shared" si="75"/>
        <v>y</v>
      </c>
      <c r="GCV1" s="154" t="str">
        <f t="shared" si="75"/>
        <v>y</v>
      </c>
      <c r="GCW1" s="154" t="str">
        <f t="shared" si="75"/>
        <v>y</v>
      </c>
      <c r="GCX1" s="154" t="str">
        <f t="shared" si="75"/>
        <v>y</v>
      </c>
      <c r="GCY1" s="154" t="str">
        <f t="shared" si="75"/>
        <v>y</v>
      </c>
      <c r="GCZ1" s="154" t="str">
        <f t="shared" si="75"/>
        <v>y</v>
      </c>
      <c r="GDA1" s="154" t="str">
        <f t="shared" si="75"/>
        <v>y</v>
      </c>
      <c r="GDB1" s="154" t="str">
        <f t="shared" si="75"/>
        <v>y</v>
      </c>
      <c r="GDC1" s="154" t="str">
        <f t="shared" si="75"/>
        <v>y</v>
      </c>
      <c r="GDD1" s="154" t="str">
        <f t="shared" si="75"/>
        <v>y</v>
      </c>
      <c r="GDE1" s="154" t="str">
        <f t="shared" si="75"/>
        <v>y</v>
      </c>
      <c r="GDF1" s="154" t="str">
        <f t="shared" si="75"/>
        <v>y</v>
      </c>
      <c r="GDG1" s="154" t="str">
        <f t="shared" si="75"/>
        <v>y</v>
      </c>
      <c r="GDH1" s="154" t="str">
        <f t="shared" si="75"/>
        <v>y</v>
      </c>
      <c r="GDI1" s="154" t="str">
        <f t="shared" si="75"/>
        <v>y</v>
      </c>
      <c r="GDJ1" s="154" t="str">
        <f t="shared" si="75"/>
        <v>y</v>
      </c>
      <c r="GDK1" s="154" t="str">
        <f t="shared" si="75"/>
        <v>y</v>
      </c>
      <c r="GDL1" s="154" t="str">
        <f t="shared" si="75"/>
        <v>y</v>
      </c>
      <c r="GDM1" s="154" t="str">
        <f t="shared" si="75"/>
        <v>y</v>
      </c>
      <c r="GDN1" s="154" t="str">
        <f t="shared" si="75"/>
        <v>y</v>
      </c>
      <c r="GDO1" s="154" t="str">
        <f t="shared" si="75"/>
        <v>y</v>
      </c>
      <c r="GDP1" s="154" t="str">
        <f t="shared" si="75"/>
        <v>y</v>
      </c>
      <c r="GDQ1" s="154" t="str">
        <f t="shared" si="75"/>
        <v>y</v>
      </c>
      <c r="GDR1" s="154" t="str">
        <f t="shared" si="75"/>
        <v>y</v>
      </c>
      <c r="GDS1" s="154" t="str">
        <f t="shared" si="75"/>
        <v>y</v>
      </c>
      <c r="GDT1" s="154" t="str">
        <f t="shared" si="75"/>
        <v>y</v>
      </c>
      <c r="GDU1" s="154" t="str">
        <f t="shared" si="75"/>
        <v>y</v>
      </c>
      <c r="GDV1" s="154" t="str">
        <f t="shared" si="75"/>
        <v>y</v>
      </c>
      <c r="GDW1" s="154" t="str">
        <f t="shared" si="75"/>
        <v>y</v>
      </c>
      <c r="GDX1" s="154" t="str">
        <f t="shared" si="75"/>
        <v>y</v>
      </c>
      <c r="GDY1" s="154" t="str">
        <f t="shared" si="75"/>
        <v>y</v>
      </c>
      <c r="GDZ1" s="154" t="str">
        <f t="shared" si="75"/>
        <v>y</v>
      </c>
      <c r="GEA1" s="154" t="str">
        <f t="shared" si="75"/>
        <v>y</v>
      </c>
      <c r="GEB1" s="154" t="str">
        <f t="shared" si="75"/>
        <v>y</v>
      </c>
      <c r="GEC1" s="154" t="str">
        <f t="shared" si="75"/>
        <v>y</v>
      </c>
      <c r="GED1" s="154" t="str">
        <f t="shared" si="75"/>
        <v>y</v>
      </c>
      <c r="GEE1" s="154" t="str">
        <f t="shared" si="75"/>
        <v>y</v>
      </c>
      <c r="GEF1" s="154" t="str">
        <f t="shared" si="75"/>
        <v>y</v>
      </c>
      <c r="GEG1" s="154" t="str">
        <f t="shared" si="75"/>
        <v>y</v>
      </c>
      <c r="GEH1" s="154" t="str">
        <f t="shared" ref="GEH1:GGS1" si="76">GEH2&amp;"y"</f>
        <v>y</v>
      </c>
      <c r="GEI1" s="154" t="str">
        <f t="shared" si="76"/>
        <v>y</v>
      </c>
      <c r="GEJ1" s="154" t="str">
        <f t="shared" si="76"/>
        <v>y</v>
      </c>
      <c r="GEK1" s="154" t="str">
        <f t="shared" si="76"/>
        <v>y</v>
      </c>
      <c r="GEL1" s="154" t="str">
        <f t="shared" si="76"/>
        <v>y</v>
      </c>
      <c r="GEM1" s="154" t="str">
        <f t="shared" si="76"/>
        <v>y</v>
      </c>
      <c r="GEN1" s="154" t="str">
        <f t="shared" si="76"/>
        <v>y</v>
      </c>
      <c r="GEO1" s="154" t="str">
        <f t="shared" si="76"/>
        <v>y</v>
      </c>
      <c r="GEP1" s="154" t="str">
        <f t="shared" si="76"/>
        <v>y</v>
      </c>
      <c r="GEQ1" s="154" t="str">
        <f t="shared" si="76"/>
        <v>y</v>
      </c>
      <c r="GER1" s="154" t="str">
        <f t="shared" si="76"/>
        <v>y</v>
      </c>
      <c r="GES1" s="154" t="str">
        <f t="shared" si="76"/>
        <v>y</v>
      </c>
      <c r="GET1" s="154" t="str">
        <f t="shared" si="76"/>
        <v>y</v>
      </c>
      <c r="GEU1" s="154" t="str">
        <f t="shared" si="76"/>
        <v>y</v>
      </c>
      <c r="GEV1" s="154" t="str">
        <f t="shared" si="76"/>
        <v>y</v>
      </c>
      <c r="GEW1" s="154" t="str">
        <f t="shared" si="76"/>
        <v>y</v>
      </c>
      <c r="GEX1" s="154" t="str">
        <f t="shared" si="76"/>
        <v>y</v>
      </c>
      <c r="GEY1" s="154" t="str">
        <f t="shared" si="76"/>
        <v>y</v>
      </c>
      <c r="GEZ1" s="154" t="str">
        <f t="shared" si="76"/>
        <v>y</v>
      </c>
      <c r="GFA1" s="154" t="str">
        <f t="shared" si="76"/>
        <v>y</v>
      </c>
      <c r="GFB1" s="154" t="str">
        <f t="shared" si="76"/>
        <v>y</v>
      </c>
      <c r="GFC1" s="154" t="str">
        <f t="shared" si="76"/>
        <v>y</v>
      </c>
      <c r="GFD1" s="154" t="str">
        <f t="shared" si="76"/>
        <v>y</v>
      </c>
      <c r="GFE1" s="154" t="str">
        <f t="shared" si="76"/>
        <v>y</v>
      </c>
      <c r="GFF1" s="154" t="str">
        <f t="shared" si="76"/>
        <v>y</v>
      </c>
      <c r="GFG1" s="154" t="str">
        <f t="shared" si="76"/>
        <v>y</v>
      </c>
      <c r="GFH1" s="154" t="str">
        <f t="shared" si="76"/>
        <v>y</v>
      </c>
      <c r="GFI1" s="154" t="str">
        <f t="shared" si="76"/>
        <v>y</v>
      </c>
      <c r="GFJ1" s="154" t="str">
        <f t="shared" si="76"/>
        <v>y</v>
      </c>
      <c r="GFK1" s="154" t="str">
        <f t="shared" si="76"/>
        <v>y</v>
      </c>
      <c r="GFL1" s="154" t="str">
        <f t="shared" si="76"/>
        <v>y</v>
      </c>
      <c r="GFM1" s="154" t="str">
        <f t="shared" si="76"/>
        <v>y</v>
      </c>
      <c r="GFN1" s="154" t="str">
        <f t="shared" si="76"/>
        <v>y</v>
      </c>
      <c r="GFO1" s="154" t="str">
        <f t="shared" si="76"/>
        <v>y</v>
      </c>
      <c r="GFP1" s="154" t="str">
        <f t="shared" si="76"/>
        <v>y</v>
      </c>
      <c r="GFQ1" s="154" t="str">
        <f t="shared" si="76"/>
        <v>y</v>
      </c>
      <c r="GFR1" s="154" t="str">
        <f t="shared" si="76"/>
        <v>y</v>
      </c>
      <c r="GFS1" s="154" t="str">
        <f t="shared" si="76"/>
        <v>y</v>
      </c>
      <c r="GFT1" s="154" t="str">
        <f t="shared" si="76"/>
        <v>y</v>
      </c>
      <c r="GFU1" s="154" t="str">
        <f t="shared" si="76"/>
        <v>y</v>
      </c>
      <c r="GFV1" s="154" t="str">
        <f t="shared" si="76"/>
        <v>y</v>
      </c>
      <c r="GFW1" s="154" t="str">
        <f t="shared" si="76"/>
        <v>y</v>
      </c>
      <c r="GFX1" s="154" t="str">
        <f t="shared" si="76"/>
        <v>y</v>
      </c>
      <c r="GFY1" s="154" t="str">
        <f t="shared" si="76"/>
        <v>y</v>
      </c>
      <c r="GFZ1" s="154" t="str">
        <f t="shared" si="76"/>
        <v>y</v>
      </c>
      <c r="GGA1" s="154" t="str">
        <f t="shared" si="76"/>
        <v>y</v>
      </c>
      <c r="GGB1" s="154" t="str">
        <f t="shared" si="76"/>
        <v>y</v>
      </c>
      <c r="GGC1" s="154" t="str">
        <f t="shared" si="76"/>
        <v>y</v>
      </c>
      <c r="GGD1" s="154" t="str">
        <f t="shared" si="76"/>
        <v>y</v>
      </c>
      <c r="GGE1" s="154" t="str">
        <f t="shared" si="76"/>
        <v>y</v>
      </c>
      <c r="GGF1" s="154" t="str">
        <f t="shared" si="76"/>
        <v>y</v>
      </c>
      <c r="GGG1" s="154" t="str">
        <f t="shared" si="76"/>
        <v>y</v>
      </c>
      <c r="GGH1" s="154" t="str">
        <f t="shared" si="76"/>
        <v>y</v>
      </c>
      <c r="GGI1" s="154" t="str">
        <f t="shared" si="76"/>
        <v>y</v>
      </c>
      <c r="GGJ1" s="154" t="str">
        <f t="shared" si="76"/>
        <v>y</v>
      </c>
      <c r="GGK1" s="154" t="str">
        <f t="shared" si="76"/>
        <v>y</v>
      </c>
      <c r="GGL1" s="154" t="str">
        <f t="shared" si="76"/>
        <v>y</v>
      </c>
      <c r="GGM1" s="154" t="str">
        <f t="shared" si="76"/>
        <v>y</v>
      </c>
      <c r="GGN1" s="154" t="str">
        <f t="shared" si="76"/>
        <v>y</v>
      </c>
      <c r="GGO1" s="154" t="str">
        <f t="shared" si="76"/>
        <v>y</v>
      </c>
      <c r="GGP1" s="154" t="str">
        <f t="shared" si="76"/>
        <v>y</v>
      </c>
      <c r="GGQ1" s="154" t="str">
        <f t="shared" si="76"/>
        <v>y</v>
      </c>
      <c r="GGR1" s="154" t="str">
        <f t="shared" si="76"/>
        <v>y</v>
      </c>
      <c r="GGS1" s="154" t="str">
        <f t="shared" si="76"/>
        <v>y</v>
      </c>
      <c r="GGT1" s="154" t="str">
        <f t="shared" ref="GGT1:GJE1" si="77">GGT2&amp;"y"</f>
        <v>y</v>
      </c>
      <c r="GGU1" s="154" t="str">
        <f t="shared" si="77"/>
        <v>y</v>
      </c>
      <c r="GGV1" s="154" t="str">
        <f t="shared" si="77"/>
        <v>y</v>
      </c>
      <c r="GGW1" s="154" t="str">
        <f t="shared" si="77"/>
        <v>y</v>
      </c>
      <c r="GGX1" s="154" t="str">
        <f t="shared" si="77"/>
        <v>y</v>
      </c>
      <c r="GGY1" s="154" t="str">
        <f t="shared" si="77"/>
        <v>y</v>
      </c>
      <c r="GGZ1" s="154" t="str">
        <f t="shared" si="77"/>
        <v>y</v>
      </c>
      <c r="GHA1" s="154" t="str">
        <f t="shared" si="77"/>
        <v>y</v>
      </c>
      <c r="GHB1" s="154" t="str">
        <f t="shared" si="77"/>
        <v>y</v>
      </c>
      <c r="GHC1" s="154" t="str">
        <f t="shared" si="77"/>
        <v>y</v>
      </c>
      <c r="GHD1" s="154" t="str">
        <f t="shared" si="77"/>
        <v>y</v>
      </c>
      <c r="GHE1" s="154" t="str">
        <f t="shared" si="77"/>
        <v>y</v>
      </c>
      <c r="GHF1" s="154" t="str">
        <f t="shared" si="77"/>
        <v>y</v>
      </c>
      <c r="GHG1" s="154" t="str">
        <f t="shared" si="77"/>
        <v>y</v>
      </c>
      <c r="GHH1" s="154" t="str">
        <f t="shared" si="77"/>
        <v>y</v>
      </c>
      <c r="GHI1" s="154" t="str">
        <f t="shared" si="77"/>
        <v>y</v>
      </c>
      <c r="GHJ1" s="154" t="str">
        <f t="shared" si="77"/>
        <v>y</v>
      </c>
      <c r="GHK1" s="154" t="str">
        <f t="shared" si="77"/>
        <v>y</v>
      </c>
      <c r="GHL1" s="154" t="str">
        <f t="shared" si="77"/>
        <v>y</v>
      </c>
      <c r="GHM1" s="154" t="str">
        <f t="shared" si="77"/>
        <v>y</v>
      </c>
      <c r="GHN1" s="154" t="str">
        <f t="shared" si="77"/>
        <v>y</v>
      </c>
      <c r="GHO1" s="154" t="str">
        <f t="shared" si="77"/>
        <v>y</v>
      </c>
      <c r="GHP1" s="154" t="str">
        <f t="shared" si="77"/>
        <v>y</v>
      </c>
      <c r="GHQ1" s="154" t="str">
        <f t="shared" si="77"/>
        <v>y</v>
      </c>
      <c r="GHR1" s="154" t="str">
        <f t="shared" si="77"/>
        <v>y</v>
      </c>
      <c r="GHS1" s="154" t="str">
        <f t="shared" si="77"/>
        <v>y</v>
      </c>
      <c r="GHT1" s="154" t="str">
        <f t="shared" si="77"/>
        <v>y</v>
      </c>
      <c r="GHU1" s="154" t="str">
        <f t="shared" si="77"/>
        <v>y</v>
      </c>
      <c r="GHV1" s="154" t="str">
        <f t="shared" si="77"/>
        <v>y</v>
      </c>
      <c r="GHW1" s="154" t="str">
        <f t="shared" si="77"/>
        <v>y</v>
      </c>
      <c r="GHX1" s="154" t="str">
        <f t="shared" si="77"/>
        <v>y</v>
      </c>
      <c r="GHY1" s="154" t="str">
        <f t="shared" si="77"/>
        <v>y</v>
      </c>
      <c r="GHZ1" s="154" t="str">
        <f t="shared" si="77"/>
        <v>y</v>
      </c>
      <c r="GIA1" s="154" t="str">
        <f t="shared" si="77"/>
        <v>y</v>
      </c>
      <c r="GIB1" s="154" t="str">
        <f t="shared" si="77"/>
        <v>y</v>
      </c>
      <c r="GIC1" s="154" t="str">
        <f t="shared" si="77"/>
        <v>y</v>
      </c>
      <c r="GID1" s="154" t="str">
        <f t="shared" si="77"/>
        <v>y</v>
      </c>
      <c r="GIE1" s="154" t="str">
        <f t="shared" si="77"/>
        <v>y</v>
      </c>
      <c r="GIF1" s="154" t="str">
        <f t="shared" si="77"/>
        <v>y</v>
      </c>
      <c r="GIG1" s="154" t="str">
        <f t="shared" si="77"/>
        <v>y</v>
      </c>
      <c r="GIH1" s="154" t="str">
        <f t="shared" si="77"/>
        <v>y</v>
      </c>
      <c r="GII1" s="154" t="str">
        <f t="shared" si="77"/>
        <v>y</v>
      </c>
      <c r="GIJ1" s="154" t="str">
        <f t="shared" si="77"/>
        <v>y</v>
      </c>
      <c r="GIK1" s="154" t="str">
        <f t="shared" si="77"/>
        <v>y</v>
      </c>
      <c r="GIL1" s="154" t="str">
        <f t="shared" si="77"/>
        <v>y</v>
      </c>
      <c r="GIM1" s="154" t="str">
        <f t="shared" si="77"/>
        <v>y</v>
      </c>
      <c r="GIN1" s="154" t="str">
        <f t="shared" si="77"/>
        <v>y</v>
      </c>
      <c r="GIO1" s="154" t="str">
        <f t="shared" si="77"/>
        <v>y</v>
      </c>
      <c r="GIP1" s="154" t="str">
        <f t="shared" si="77"/>
        <v>y</v>
      </c>
      <c r="GIQ1" s="154" t="str">
        <f t="shared" si="77"/>
        <v>y</v>
      </c>
      <c r="GIR1" s="154" t="str">
        <f t="shared" si="77"/>
        <v>y</v>
      </c>
      <c r="GIS1" s="154" t="str">
        <f t="shared" si="77"/>
        <v>y</v>
      </c>
      <c r="GIT1" s="154" t="str">
        <f t="shared" si="77"/>
        <v>y</v>
      </c>
      <c r="GIU1" s="154" t="str">
        <f t="shared" si="77"/>
        <v>y</v>
      </c>
      <c r="GIV1" s="154" t="str">
        <f t="shared" si="77"/>
        <v>y</v>
      </c>
      <c r="GIW1" s="154" t="str">
        <f t="shared" si="77"/>
        <v>y</v>
      </c>
      <c r="GIX1" s="154" t="str">
        <f t="shared" si="77"/>
        <v>y</v>
      </c>
      <c r="GIY1" s="154" t="str">
        <f t="shared" si="77"/>
        <v>y</v>
      </c>
      <c r="GIZ1" s="154" t="str">
        <f t="shared" si="77"/>
        <v>y</v>
      </c>
      <c r="GJA1" s="154" t="str">
        <f t="shared" si="77"/>
        <v>y</v>
      </c>
      <c r="GJB1" s="154" t="str">
        <f t="shared" si="77"/>
        <v>y</v>
      </c>
      <c r="GJC1" s="154" t="str">
        <f t="shared" si="77"/>
        <v>y</v>
      </c>
      <c r="GJD1" s="154" t="str">
        <f t="shared" si="77"/>
        <v>y</v>
      </c>
      <c r="GJE1" s="154" t="str">
        <f t="shared" si="77"/>
        <v>y</v>
      </c>
      <c r="GJF1" s="154" t="str">
        <f t="shared" ref="GJF1:GLQ1" si="78">GJF2&amp;"y"</f>
        <v>y</v>
      </c>
      <c r="GJG1" s="154" t="str">
        <f t="shared" si="78"/>
        <v>y</v>
      </c>
      <c r="GJH1" s="154" t="str">
        <f t="shared" si="78"/>
        <v>y</v>
      </c>
      <c r="GJI1" s="154" t="str">
        <f t="shared" si="78"/>
        <v>y</v>
      </c>
      <c r="GJJ1" s="154" t="str">
        <f t="shared" si="78"/>
        <v>y</v>
      </c>
      <c r="GJK1" s="154" t="str">
        <f t="shared" si="78"/>
        <v>y</v>
      </c>
      <c r="GJL1" s="154" t="str">
        <f t="shared" si="78"/>
        <v>y</v>
      </c>
      <c r="GJM1" s="154" t="str">
        <f t="shared" si="78"/>
        <v>y</v>
      </c>
      <c r="GJN1" s="154" t="str">
        <f t="shared" si="78"/>
        <v>y</v>
      </c>
      <c r="GJO1" s="154" t="str">
        <f t="shared" si="78"/>
        <v>y</v>
      </c>
      <c r="GJP1" s="154" t="str">
        <f t="shared" si="78"/>
        <v>y</v>
      </c>
      <c r="GJQ1" s="154" t="str">
        <f t="shared" si="78"/>
        <v>y</v>
      </c>
      <c r="GJR1" s="154" t="str">
        <f t="shared" si="78"/>
        <v>y</v>
      </c>
      <c r="GJS1" s="154" t="str">
        <f t="shared" si="78"/>
        <v>y</v>
      </c>
      <c r="GJT1" s="154" t="str">
        <f t="shared" si="78"/>
        <v>y</v>
      </c>
      <c r="GJU1" s="154" t="str">
        <f t="shared" si="78"/>
        <v>y</v>
      </c>
      <c r="GJV1" s="154" t="str">
        <f t="shared" si="78"/>
        <v>y</v>
      </c>
      <c r="GJW1" s="154" t="str">
        <f t="shared" si="78"/>
        <v>y</v>
      </c>
      <c r="GJX1" s="154" t="str">
        <f t="shared" si="78"/>
        <v>y</v>
      </c>
      <c r="GJY1" s="154" t="str">
        <f t="shared" si="78"/>
        <v>y</v>
      </c>
      <c r="GJZ1" s="154" t="str">
        <f t="shared" si="78"/>
        <v>y</v>
      </c>
      <c r="GKA1" s="154" t="str">
        <f t="shared" si="78"/>
        <v>y</v>
      </c>
      <c r="GKB1" s="154" t="str">
        <f t="shared" si="78"/>
        <v>y</v>
      </c>
      <c r="GKC1" s="154" t="str">
        <f t="shared" si="78"/>
        <v>y</v>
      </c>
      <c r="GKD1" s="154" t="str">
        <f t="shared" si="78"/>
        <v>y</v>
      </c>
      <c r="GKE1" s="154" t="str">
        <f t="shared" si="78"/>
        <v>y</v>
      </c>
      <c r="GKF1" s="154" t="str">
        <f t="shared" si="78"/>
        <v>y</v>
      </c>
      <c r="GKG1" s="154" t="str">
        <f t="shared" si="78"/>
        <v>y</v>
      </c>
      <c r="GKH1" s="154" t="str">
        <f t="shared" si="78"/>
        <v>y</v>
      </c>
      <c r="GKI1" s="154" t="str">
        <f t="shared" si="78"/>
        <v>y</v>
      </c>
      <c r="GKJ1" s="154" t="str">
        <f t="shared" si="78"/>
        <v>y</v>
      </c>
      <c r="GKK1" s="154" t="str">
        <f t="shared" si="78"/>
        <v>y</v>
      </c>
      <c r="GKL1" s="154" t="str">
        <f t="shared" si="78"/>
        <v>y</v>
      </c>
      <c r="GKM1" s="154" t="str">
        <f t="shared" si="78"/>
        <v>y</v>
      </c>
      <c r="GKN1" s="154" t="str">
        <f t="shared" si="78"/>
        <v>y</v>
      </c>
      <c r="GKO1" s="154" t="str">
        <f t="shared" si="78"/>
        <v>y</v>
      </c>
      <c r="GKP1" s="154" t="str">
        <f t="shared" si="78"/>
        <v>y</v>
      </c>
      <c r="GKQ1" s="154" t="str">
        <f t="shared" si="78"/>
        <v>y</v>
      </c>
      <c r="GKR1" s="154" t="str">
        <f t="shared" si="78"/>
        <v>y</v>
      </c>
      <c r="GKS1" s="154" t="str">
        <f t="shared" si="78"/>
        <v>y</v>
      </c>
      <c r="GKT1" s="154" t="str">
        <f t="shared" si="78"/>
        <v>y</v>
      </c>
      <c r="GKU1" s="154" t="str">
        <f t="shared" si="78"/>
        <v>y</v>
      </c>
      <c r="GKV1" s="154" t="str">
        <f t="shared" si="78"/>
        <v>y</v>
      </c>
      <c r="GKW1" s="154" t="str">
        <f t="shared" si="78"/>
        <v>y</v>
      </c>
      <c r="GKX1" s="154" t="str">
        <f t="shared" si="78"/>
        <v>y</v>
      </c>
      <c r="GKY1" s="154" t="str">
        <f t="shared" si="78"/>
        <v>y</v>
      </c>
      <c r="GKZ1" s="154" t="str">
        <f t="shared" si="78"/>
        <v>y</v>
      </c>
      <c r="GLA1" s="154" t="str">
        <f t="shared" si="78"/>
        <v>y</v>
      </c>
      <c r="GLB1" s="154" t="str">
        <f t="shared" si="78"/>
        <v>y</v>
      </c>
      <c r="GLC1" s="154" t="str">
        <f t="shared" si="78"/>
        <v>y</v>
      </c>
      <c r="GLD1" s="154" t="str">
        <f t="shared" si="78"/>
        <v>y</v>
      </c>
      <c r="GLE1" s="154" t="str">
        <f t="shared" si="78"/>
        <v>y</v>
      </c>
      <c r="GLF1" s="154" t="str">
        <f t="shared" si="78"/>
        <v>y</v>
      </c>
      <c r="GLG1" s="154" t="str">
        <f t="shared" si="78"/>
        <v>y</v>
      </c>
      <c r="GLH1" s="154" t="str">
        <f t="shared" si="78"/>
        <v>y</v>
      </c>
      <c r="GLI1" s="154" t="str">
        <f t="shared" si="78"/>
        <v>y</v>
      </c>
      <c r="GLJ1" s="154" t="str">
        <f t="shared" si="78"/>
        <v>y</v>
      </c>
      <c r="GLK1" s="154" t="str">
        <f t="shared" si="78"/>
        <v>y</v>
      </c>
      <c r="GLL1" s="154" t="str">
        <f t="shared" si="78"/>
        <v>y</v>
      </c>
      <c r="GLM1" s="154" t="str">
        <f t="shared" si="78"/>
        <v>y</v>
      </c>
      <c r="GLN1" s="154" t="str">
        <f t="shared" si="78"/>
        <v>y</v>
      </c>
      <c r="GLO1" s="154" t="str">
        <f t="shared" si="78"/>
        <v>y</v>
      </c>
      <c r="GLP1" s="154" t="str">
        <f t="shared" si="78"/>
        <v>y</v>
      </c>
      <c r="GLQ1" s="154" t="str">
        <f t="shared" si="78"/>
        <v>y</v>
      </c>
      <c r="GLR1" s="154" t="str">
        <f t="shared" ref="GLR1:GOC1" si="79">GLR2&amp;"y"</f>
        <v>y</v>
      </c>
      <c r="GLS1" s="154" t="str">
        <f t="shared" si="79"/>
        <v>y</v>
      </c>
      <c r="GLT1" s="154" t="str">
        <f t="shared" si="79"/>
        <v>y</v>
      </c>
      <c r="GLU1" s="154" t="str">
        <f t="shared" si="79"/>
        <v>y</v>
      </c>
      <c r="GLV1" s="154" t="str">
        <f t="shared" si="79"/>
        <v>y</v>
      </c>
      <c r="GLW1" s="154" t="str">
        <f t="shared" si="79"/>
        <v>y</v>
      </c>
      <c r="GLX1" s="154" t="str">
        <f t="shared" si="79"/>
        <v>y</v>
      </c>
      <c r="GLY1" s="154" t="str">
        <f t="shared" si="79"/>
        <v>y</v>
      </c>
      <c r="GLZ1" s="154" t="str">
        <f t="shared" si="79"/>
        <v>y</v>
      </c>
      <c r="GMA1" s="154" t="str">
        <f t="shared" si="79"/>
        <v>y</v>
      </c>
      <c r="GMB1" s="154" t="str">
        <f t="shared" si="79"/>
        <v>y</v>
      </c>
      <c r="GMC1" s="154" t="str">
        <f t="shared" si="79"/>
        <v>y</v>
      </c>
      <c r="GMD1" s="154" t="str">
        <f t="shared" si="79"/>
        <v>y</v>
      </c>
      <c r="GME1" s="154" t="str">
        <f t="shared" si="79"/>
        <v>y</v>
      </c>
      <c r="GMF1" s="154" t="str">
        <f t="shared" si="79"/>
        <v>y</v>
      </c>
      <c r="GMG1" s="154" t="str">
        <f t="shared" si="79"/>
        <v>y</v>
      </c>
      <c r="GMH1" s="154" t="str">
        <f t="shared" si="79"/>
        <v>y</v>
      </c>
      <c r="GMI1" s="154" t="str">
        <f t="shared" si="79"/>
        <v>y</v>
      </c>
      <c r="GMJ1" s="154" t="str">
        <f t="shared" si="79"/>
        <v>y</v>
      </c>
      <c r="GMK1" s="154" t="str">
        <f t="shared" si="79"/>
        <v>y</v>
      </c>
      <c r="GML1" s="154" t="str">
        <f t="shared" si="79"/>
        <v>y</v>
      </c>
      <c r="GMM1" s="154" t="str">
        <f t="shared" si="79"/>
        <v>y</v>
      </c>
      <c r="GMN1" s="154" t="str">
        <f t="shared" si="79"/>
        <v>y</v>
      </c>
      <c r="GMO1" s="154" t="str">
        <f t="shared" si="79"/>
        <v>y</v>
      </c>
      <c r="GMP1" s="154" t="str">
        <f t="shared" si="79"/>
        <v>y</v>
      </c>
      <c r="GMQ1" s="154" t="str">
        <f t="shared" si="79"/>
        <v>y</v>
      </c>
      <c r="GMR1" s="154" t="str">
        <f t="shared" si="79"/>
        <v>y</v>
      </c>
      <c r="GMS1" s="154" t="str">
        <f t="shared" si="79"/>
        <v>y</v>
      </c>
      <c r="GMT1" s="154" t="str">
        <f t="shared" si="79"/>
        <v>y</v>
      </c>
      <c r="GMU1" s="154" t="str">
        <f t="shared" si="79"/>
        <v>y</v>
      </c>
      <c r="GMV1" s="154" t="str">
        <f t="shared" si="79"/>
        <v>y</v>
      </c>
      <c r="GMW1" s="154" t="str">
        <f t="shared" si="79"/>
        <v>y</v>
      </c>
      <c r="GMX1" s="154" t="str">
        <f t="shared" si="79"/>
        <v>y</v>
      </c>
      <c r="GMY1" s="154" t="str">
        <f t="shared" si="79"/>
        <v>y</v>
      </c>
      <c r="GMZ1" s="154" t="str">
        <f t="shared" si="79"/>
        <v>y</v>
      </c>
      <c r="GNA1" s="154" t="str">
        <f t="shared" si="79"/>
        <v>y</v>
      </c>
      <c r="GNB1" s="154" t="str">
        <f t="shared" si="79"/>
        <v>y</v>
      </c>
      <c r="GNC1" s="154" t="str">
        <f t="shared" si="79"/>
        <v>y</v>
      </c>
      <c r="GND1" s="154" t="str">
        <f t="shared" si="79"/>
        <v>y</v>
      </c>
      <c r="GNE1" s="154" t="str">
        <f t="shared" si="79"/>
        <v>y</v>
      </c>
      <c r="GNF1" s="154" t="str">
        <f t="shared" si="79"/>
        <v>y</v>
      </c>
      <c r="GNG1" s="154" t="str">
        <f t="shared" si="79"/>
        <v>y</v>
      </c>
      <c r="GNH1" s="154" t="str">
        <f t="shared" si="79"/>
        <v>y</v>
      </c>
      <c r="GNI1" s="154" t="str">
        <f t="shared" si="79"/>
        <v>y</v>
      </c>
      <c r="GNJ1" s="154" t="str">
        <f t="shared" si="79"/>
        <v>y</v>
      </c>
      <c r="GNK1" s="154" t="str">
        <f t="shared" si="79"/>
        <v>y</v>
      </c>
      <c r="GNL1" s="154" t="str">
        <f t="shared" si="79"/>
        <v>y</v>
      </c>
      <c r="GNM1" s="154" t="str">
        <f t="shared" si="79"/>
        <v>y</v>
      </c>
      <c r="GNN1" s="154" t="str">
        <f t="shared" si="79"/>
        <v>y</v>
      </c>
      <c r="GNO1" s="154" t="str">
        <f t="shared" si="79"/>
        <v>y</v>
      </c>
      <c r="GNP1" s="154" t="str">
        <f t="shared" si="79"/>
        <v>y</v>
      </c>
      <c r="GNQ1" s="154" t="str">
        <f t="shared" si="79"/>
        <v>y</v>
      </c>
      <c r="GNR1" s="154" t="str">
        <f t="shared" si="79"/>
        <v>y</v>
      </c>
      <c r="GNS1" s="154" t="str">
        <f t="shared" si="79"/>
        <v>y</v>
      </c>
      <c r="GNT1" s="154" t="str">
        <f t="shared" si="79"/>
        <v>y</v>
      </c>
      <c r="GNU1" s="154" t="str">
        <f t="shared" si="79"/>
        <v>y</v>
      </c>
      <c r="GNV1" s="154" t="str">
        <f t="shared" si="79"/>
        <v>y</v>
      </c>
      <c r="GNW1" s="154" t="str">
        <f t="shared" si="79"/>
        <v>y</v>
      </c>
      <c r="GNX1" s="154" t="str">
        <f t="shared" si="79"/>
        <v>y</v>
      </c>
      <c r="GNY1" s="154" t="str">
        <f t="shared" si="79"/>
        <v>y</v>
      </c>
      <c r="GNZ1" s="154" t="str">
        <f t="shared" si="79"/>
        <v>y</v>
      </c>
      <c r="GOA1" s="154" t="str">
        <f t="shared" si="79"/>
        <v>y</v>
      </c>
      <c r="GOB1" s="154" t="str">
        <f t="shared" si="79"/>
        <v>y</v>
      </c>
      <c r="GOC1" s="154" t="str">
        <f t="shared" si="79"/>
        <v>y</v>
      </c>
      <c r="GOD1" s="154" t="str">
        <f t="shared" ref="GOD1:GQO1" si="80">GOD2&amp;"y"</f>
        <v>y</v>
      </c>
      <c r="GOE1" s="154" t="str">
        <f t="shared" si="80"/>
        <v>y</v>
      </c>
      <c r="GOF1" s="154" t="str">
        <f t="shared" si="80"/>
        <v>y</v>
      </c>
      <c r="GOG1" s="154" t="str">
        <f t="shared" si="80"/>
        <v>y</v>
      </c>
      <c r="GOH1" s="154" t="str">
        <f t="shared" si="80"/>
        <v>y</v>
      </c>
      <c r="GOI1" s="154" t="str">
        <f t="shared" si="80"/>
        <v>y</v>
      </c>
      <c r="GOJ1" s="154" t="str">
        <f t="shared" si="80"/>
        <v>y</v>
      </c>
      <c r="GOK1" s="154" t="str">
        <f t="shared" si="80"/>
        <v>y</v>
      </c>
      <c r="GOL1" s="154" t="str">
        <f t="shared" si="80"/>
        <v>y</v>
      </c>
      <c r="GOM1" s="154" t="str">
        <f t="shared" si="80"/>
        <v>y</v>
      </c>
      <c r="GON1" s="154" t="str">
        <f t="shared" si="80"/>
        <v>y</v>
      </c>
      <c r="GOO1" s="154" t="str">
        <f t="shared" si="80"/>
        <v>y</v>
      </c>
      <c r="GOP1" s="154" t="str">
        <f t="shared" si="80"/>
        <v>y</v>
      </c>
      <c r="GOQ1" s="154" t="str">
        <f t="shared" si="80"/>
        <v>y</v>
      </c>
      <c r="GOR1" s="154" t="str">
        <f t="shared" si="80"/>
        <v>y</v>
      </c>
      <c r="GOS1" s="154" t="str">
        <f t="shared" si="80"/>
        <v>y</v>
      </c>
      <c r="GOT1" s="154" t="str">
        <f t="shared" si="80"/>
        <v>y</v>
      </c>
      <c r="GOU1" s="154" t="str">
        <f t="shared" si="80"/>
        <v>y</v>
      </c>
      <c r="GOV1" s="154" t="str">
        <f t="shared" si="80"/>
        <v>y</v>
      </c>
      <c r="GOW1" s="154" t="str">
        <f t="shared" si="80"/>
        <v>y</v>
      </c>
      <c r="GOX1" s="154" t="str">
        <f t="shared" si="80"/>
        <v>y</v>
      </c>
      <c r="GOY1" s="154" t="str">
        <f t="shared" si="80"/>
        <v>y</v>
      </c>
      <c r="GOZ1" s="154" t="str">
        <f t="shared" si="80"/>
        <v>y</v>
      </c>
      <c r="GPA1" s="154" t="str">
        <f t="shared" si="80"/>
        <v>y</v>
      </c>
      <c r="GPB1" s="154" t="str">
        <f t="shared" si="80"/>
        <v>y</v>
      </c>
      <c r="GPC1" s="154" t="str">
        <f t="shared" si="80"/>
        <v>y</v>
      </c>
      <c r="GPD1" s="154" t="str">
        <f t="shared" si="80"/>
        <v>y</v>
      </c>
      <c r="GPE1" s="154" t="str">
        <f t="shared" si="80"/>
        <v>y</v>
      </c>
      <c r="GPF1" s="154" t="str">
        <f t="shared" si="80"/>
        <v>y</v>
      </c>
      <c r="GPG1" s="154" t="str">
        <f t="shared" si="80"/>
        <v>y</v>
      </c>
      <c r="GPH1" s="154" t="str">
        <f t="shared" si="80"/>
        <v>y</v>
      </c>
      <c r="GPI1" s="154" t="str">
        <f t="shared" si="80"/>
        <v>y</v>
      </c>
      <c r="GPJ1" s="154" t="str">
        <f t="shared" si="80"/>
        <v>y</v>
      </c>
      <c r="GPK1" s="154" t="str">
        <f t="shared" si="80"/>
        <v>y</v>
      </c>
      <c r="GPL1" s="154" t="str">
        <f t="shared" si="80"/>
        <v>y</v>
      </c>
      <c r="GPM1" s="154" t="str">
        <f t="shared" si="80"/>
        <v>y</v>
      </c>
      <c r="GPN1" s="154" t="str">
        <f t="shared" si="80"/>
        <v>y</v>
      </c>
      <c r="GPO1" s="154" t="str">
        <f t="shared" si="80"/>
        <v>y</v>
      </c>
      <c r="GPP1" s="154" t="str">
        <f t="shared" si="80"/>
        <v>y</v>
      </c>
      <c r="GPQ1" s="154" t="str">
        <f t="shared" si="80"/>
        <v>y</v>
      </c>
      <c r="GPR1" s="154" t="str">
        <f t="shared" si="80"/>
        <v>y</v>
      </c>
      <c r="GPS1" s="154" t="str">
        <f t="shared" si="80"/>
        <v>y</v>
      </c>
      <c r="GPT1" s="154" t="str">
        <f t="shared" si="80"/>
        <v>y</v>
      </c>
      <c r="GPU1" s="154" t="str">
        <f t="shared" si="80"/>
        <v>y</v>
      </c>
      <c r="GPV1" s="154" t="str">
        <f t="shared" si="80"/>
        <v>y</v>
      </c>
      <c r="GPW1" s="154" t="str">
        <f t="shared" si="80"/>
        <v>y</v>
      </c>
      <c r="GPX1" s="154" t="str">
        <f t="shared" si="80"/>
        <v>y</v>
      </c>
      <c r="GPY1" s="154" t="str">
        <f t="shared" si="80"/>
        <v>y</v>
      </c>
      <c r="GPZ1" s="154" t="str">
        <f t="shared" si="80"/>
        <v>y</v>
      </c>
      <c r="GQA1" s="154" t="str">
        <f t="shared" si="80"/>
        <v>y</v>
      </c>
      <c r="GQB1" s="154" t="str">
        <f t="shared" si="80"/>
        <v>y</v>
      </c>
      <c r="GQC1" s="154" t="str">
        <f t="shared" si="80"/>
        <v>y</v>
      </c>
      <c r="GQD1" s="154" t="str">
        <f t="shared" si="80"/>
        <v>y</v>
      </c>
      <c r="GQE1" s="154" t="str">
        <f t="shared" si="80"/>
        <v>y</v>
      </c>
      <c r="GQF1" s="154" t="str">
        <f t="shared" si="80"/>
        <v>y</v>
      </c>
      <c r="GQG1" s="154" t="str">
        <f t="shared" si="80"/>
        <v>y</v>
      </c>
      <c r="GQH1" s="154" t="str">
        <f t="shared" si="80"/>
        <v>y</v>
      </c>
      <c r="GQI1" s="154" t="str">
        <f t="shared" si="80"/>
        <v>y</v>
      </c>
      <c r="GQJ1" s="154" t="str">
        <f t="shared" si="80"/>
        <v>y</v>
      </c>
      <c r="GQK1" s="154" t="str">
        <f t="shared" si="80"/>
        <v>y</v>
      </c>
      <c r="GQL1" s="154" t="str">
        <f t="shared" si="80"/>
        <v>y</v>
      </c>
      <c r="GQM1" s="154" t="str">
        <f t="shared" si="80"/>
        <v>y</v>
      </c>
      <c r="GQN1" s="154" t="str">
        <f t="shared" si="80"/>
        <v>y</v>
      </c>
      <c r="GQO1" s="154" t="str">
        <f t="shared" si="80"/>
        <v>y</v>
      </c>
      <c r="GQP1" s="154" t="str">
        <f t="shared" ref="GQP1:GTA1" si="81">GQP2&amp;"y"</f>
        <v>y</v>
      </c>
      <c r="GQQ1" s="154" t="str">
        <f t="shared" si="81"/>
        <v>y</v>
      </c>
      <c r="GQR1" s="154" t="str">
        <f t="shared" si="81"/>
        <v>y</v>
      </c>
      <c r="GQS1" s="154" t="str">
        <f t="shared" si="81"/>
        <v>y</v>
      </c>
      <c r="GQT1" s="154" t="str">
        <f t="shared" si="81"/>
        <v>y</v>
      </c>
      <c r="GQU1" s="154" t="str">
        <f t="shared" si="81"/>
        <v>y</v>
      </c>
      <c r="GQV1" s="154" t="str">
        <f t="shared" si="81"/>
        <v>y</v>
      </c>
      <c r="GQW1" s="154" t="str">
        <f t="shared" si="81"/>
        <v>y</v>
      </c>
      <c r="GQX1" s="154" t="str">
        <f t="shared" si="81"/>
        <v>y</v>
      </c>
      <c r="GQY1" s="154" t="str">
        <f t="shared" si="81"/>
        <v>y</v>
      </c>
      <c r="GQZ1" s="154" t="str">
        <f t="shared" si="81"/>
        <v>y</v>
      </c>
      <c r="GRA1" s="154" t="str">
        <f t="shared" si="81"/>
        <v>y</v>
      </c>
      <c r="GRB1" s="154" t="str">
        <f t="shared" si="81"/>
        <v>y</v>
      </c>
      <c r="GRC1" s="154" t="str">
        <f t="shared" si="81"/>
        <v>y</v>
      </c>
      <c r="GRD1" s="154" t="str">
        <f t="shared" si="81"/>
        <v>y</v>
      </c>
      <c r="GRE1" s="154" t="str">
        <f t="shared" si="81"/>
        <v>y</v>
      </c>
      <c r="GRF1" s="154" t="str">
        <f t="shared" si="81"/>
        <v>y</v>
      </c>
      <c r="GRG1" s="154" t="str">
        <f t="shared" si="81"/>
        <v>y</v>
      </c>
      <c r="GRH1" s="154" t="str">
        <f t="shared" si="81"/>
        <v>y</v>
      </c>
      <c r="GRI1" s="154" t="str">
        <f t="shared" si="81"/>
        <v>y</v>
      </c>
      <c r="GRJ1" s="154" t="str">
        <f t="shared" si="81"/>
        <v>y</v>
      </c>
      <c r="GRK1" s="154" t="str">
        <f t="shared" si="81"/>
        <v>y</v>
      </c>
      <c r="GRL1" s="154" t="str">
        <f t="shared" si="81"/>
        <v>y</v>
      </c>
      <c r="GRM1" s="154" t="str">
        <f t="shared" si="81"/>
        <v>y</v>
      </c>
      <c r="GRN1" s="154" t="str">
        <f t="shared" si="81"/>
        <v>y</v>
      </c>
      <c r="GRO1" s="154" t="str">
        <f t="shared" si="81"/>
        <v>y</v>
      </c>
      <c r="GRP1" s="154" t="str">
        <f t="shared" si="81"/>
        <v>y</v>
      </c>
      <c r="GRQ1" s="154" t="str">
        <f t="shared" si="81"/>
        <v>y</v>
      </c>
      <c r="GRR1" s="154" t="str">
        <f t="shared" si="81"/>
        <v>y</v>
      </c>
      <c r="GRS1" s="154" t="str">
        <f t="shared" si="81"/>
        <v>y</v>
      </c>
      <c r="GRT1" s="154" t="str">
        <f t="shared" si="81"/>
        <v>y</v>
      </c>
      <c r="GRU1" s="154" t="str">
        <f t="shared" si="81"/>
        <v>y</v>
      </c>
      <c r="GRV1" s="154" t="str">
        <f t="shared" si="81"/>
        <v>y</v>
      </c>
      <c r="GRW1" s="154" t="str">
        <f t="shared" si="81"/>
        <v>y</v>
      </c>
      <c r="GRX1" s="154" t="str">
        <f t="shared" si="81"/>
        <v>y</v>
      </c>
      <c r="GRY1" s="154" t="str">
        <f t="shared" si="81"/>
        <v>y</v>
      </c>
      <c r="GRZ1" s="154" t="str">
        <f t="shared" si="81"/>
        <v>y</v>
      </c>
      <c r="GSA1" s="154" t="str">
        <f t="shared" si="81"/>
        <v>y</v>
      </c>
      <c r="GSB1" s="154" t="str">
        <f t="shared" si="81"/>
        <v>y</v>
      </c>
      <c r="GSC1" s="154" t="str">
        <f t="shared" si="81"/>
        <v>y</v>
      </c>
      <c r="GSD1" s="154" t="str">
        <f t="shared" si="81"/>
        <v>y</v>
      </c>
      <c r="GSE1" s="154" t="str">
        <f t="shared" si="81"/>
        <v>y</v>
      </c>
      <c r="GSF1" s="154" t="str">
        <f t="shared" si="81"/>
        <v>y</v>
      </c>
      <c r="GSG1" s="154" t="str">
        <f t="shared" si="81"/>
        <v>y</v>
      </c>
      <c r="GSH1" s="154" t="str">
        <f t="shared" si="81"/>
        <v>y</v>
      </c>
      <c r="GSI1" s="154" t="str">
        <f t="shared" si="81"/>
        <v>y</v>
      </c>
      <c r="GSJ1" s="154" t="str">
        <f t="shared" si="81"/>
        <v>y</v>
      </c>
      <c r="GSK1" s="154" t="str">
        <f t="shared" si="81"/>
        <v>y</v>
      </c>
      <c r="GSL1" s="154" t="str">
        <f t="shared" si="81"/>
        <v>y</v>
      </c>
      <c r="GSM1" s="154" t="str">
        <f t="shared" si="81"/>
        <v>y</v>
      </c>
      <c r="GSN1" s="154" t="str">
        <f t="shared" si="81"/>
        <v>y</v>
      </c>
      <c r="GSO1" s="154" t="str">
        <f t="shared" si="81"/>
        <v>y</v>
      </c>
      <c r="GSP1" s="154" t="str">
        <f t="shared" si="81"/>
        <v>y</v>
      </c>
      <c r="GSQ1" s="154" t="str">
        <f t="shared" si="81"/>
        <v>y</v>
      </c>
      <c r="GSR1" s="154" t="str">
        <f t="shared" si="81"/>
        <v>y</v>
      </c>
      <c r="GSS1" s="154" t="str">
        <f t="shared" si="81"/>
        <v>y</v>
      </c>
      <c r="GST1" s="154" t="str">
        <f t="shared" si="81"/>
        <v>y</v>
      </c>
      <c r="GSU1" s="154" t="str">
        <f t="shared" si="81"/>
        <v>y</v>
      </c>
      <c r="GSV1" s="154" t="str">
        <f t="shared" si="81"/>
        <v>y</v>
      </c>
      <c r="GSW1" s="154" t="str">
        <f t="shared" si="81"/>
        <v>y</v>
      </c>
      <c r="GSX1" s="154" t="str">
        <f t="shared" si="81"/>
        <v>y</v>
      </c>
      <c r="GSY1" s="154" t="str">
        <f t="shared" si="81"/>
        <v>y</v>
      </c>
      <c r="GSZ1" s="154" t="str">
        <f t="shared" si="81"/>
        <v>y</v>
      </c>
      <c r="GTA1" s="154" t="str">
        <f t="shared" si="81"/>
        <v>y</v>
      </c>
      <c r="GTB1" s="154" t="str">
        <f t="shared" ref="GTB1:GVM1" si="82">GTB2&amp;"y"</f>
        <v>y</v>
      </c>
      <c r="GTC1" s="154" t="str">
        <f t="shared" si="82"/>
        <v>y</v>
      </c>
      <c r="GTD1" s="154" t="str">
        <f t="shared" si="82"/>
        <v>y</v>
      </c>
      <c r="GTE1" s="154" t="str">
        <f t="shared" si="82"/>
        <v>y</v>
      </c>
      <c r="GTF1" s="154" t="str">
        <f t="shared" si="82"/>
        <v>y</v>
      </c>
      <c r="GTG1" s="154" t="str">
        <f t="shared" si="82"/>
        <v>y</v>
      </c>
      <c r="GTH1" s="154" t="str">
        <f t="shared" si="82"/>
        <v>y</v>
      </c>
      <c r="GTI1" s="154" t="str">
        <f t="shared" si="82"/>
        <v>y</v>
      </c>
      <c r="GTJ1" s="154" t="str">
        <f t="shared" si="82"/>
        <v>y</v>
      </c>
      <c r="GTK1" s="154" t="str">
        <f t="shared" si="82"/>
        <v>y</v>
      </c>
      <c r="GTL1" s="154" t="str">
        <f t="shared" si="82"/>
        <v>y</v>
      </c>
      <c r="GTM1" s="154" t="str">
        <f t="shared" si="82"/>
        <v>y</v>
      </c>
      <c r="GTN1" s="154" t="str">
        <f t="shared" si="82"/>
        <v>y</v>
      </c>
      <c r="GTO1" s="154" t="str">
        <f t="shared" si="82"/>
        <v>y</v>
      </c>
      <c r="GTP1" s="154" t="str">
        <f t="shared" si="82"/>
        <v>y</v>
      </c>
      <c r="GTQ1" s="154" t="str">
        <f t="shared" si="82"/>
        <v>y</v>
      </c>
      <c r="GTR1" s="154" t="str">
        <f t="shared" si="82"/>
        <v>y</v>
      </c>
      <c r="GTS1" s="154" t="str">
        <f t="shared" si="82"/>
        <v>y</v>
      </c>
      <c r="GTT1" s="154" t="str">
        <f t="shared" si="82"/>
        <v>y</v>
      </c>
      <c r="GTU1" s="154" t="str">
        <f t="shared" si="82"/>
        <v>y</v>
      </c>
      <c r="GTV1" s="154" t="str">
        <f t="shared" si="82"/>
        <v>y</v>
      </c>
      <c r="GTW1" s="154" t="str">
        <f t="shared" si="82"/>
        <v>y</v>
      </c>
      <c r="GTX1" s="154" t="str">
        <f t="shared" si="82"/>
        <v>y</v>
      </c>
      <c r="GTY1" s="154" t="str">
        <f t="shared" si="82"/>
        <v>y</v>
      </c>
      <c r="GTZ1" s="154" t="str">
        <f t="shared" si="82"/>
        <v>y</v>
      </c>
      <c r="GUA1" s="154" t="str">
        <f t="shared" si="82"/>
        <v>y</v>
      </c>
      <c r="GUB1" s="154" t="str">
        <f t="shared" si="82"/>
        <v>y</v>
      </c>
      <c r="GUC1" s="154" t="str">
        <f t="shared" si="82"/>
        <v>y</v>
      </c>
      <c r="GUD1" s="154" t="str">
        <f t="shared" si="82"/>
        <v>y</v>
      </c>
      <c r="GUE1" s="154" t="str">
        <f t="shared" si="82"/>
        <v>y</v>
      </c>
      <c r="GUF1" s="154" t="str">
        <f t="shared" si="82"/>
        <v>y</v>
      </c>
      <c r="GUG1" s="154" t="str">
        <f t="shared" si="82"/>
        <v>y</v>
      </c>
      <c r="GUH1" s="154" t="str">
        <f t="shared" si="82"/>
        <v>y</v>
      </c>
      <c r="GUI1" s="154" t="str">
        <f t="shared" si="82"/>
        <v>y</v>
      </c>
      <c r="GUJ1" s="154" t="str">
        <f t="shared" si="82"/>
        <v>y</v>
      </c>
      <c r="GUK1" s="154" t="str">
        <f t="shared" si="82"/>
        <v>y</v>
      </c>
      <c r="GUL1" s="154" t="str">
        <f t="shared" si="82"/>
        <v>y</v>
      </c>
      <c r="GUM1" s="154" t="str">
        <f t="shared" si="82"/>
        <v>y</v>
      </c>
      <c r="GUN1" s="154" t="str">
        <f t="shared" si="82"/>
        <v>y</v>
      </c>
      <c r="GUO1" s="154" t="str">
        <f t="shared" si="82"/>
        <v>y</v>
      </c>
      <c r="GUP1" s="154" t="str">
        <f t="shared" si="82"/>
        <v>y</v>
      </c>
      <c r="GUQ1" s="154" t="str">
        <f t="shared" si="82"/>
        <v>y</v>
      </c>
      <c r="GUR1" s="154" t="str">
        <f t="shared" si="82"/>
        <v>y</v>
      </c>
      <c r="GUS1" s="154" t="str">
        <f t="shared" si="82"/>
        <v>y</v>
      </c>
      <c r="GUT1" s="154" t="str">
        <f t="shared" si="82"/>
        <v>y</v>
      </c>
      <c r="GUU1" s="154" t="str">
        <f t="shared" si="82"/>
        <v>y</v>
      </c>
      <c r="GUV1" s="154" t="str">
        <f t="shared" si="82"/>
        <v>y</v>
      </c>
      <c r="GUW1" s="154" t="str">
        <f t="shared" si="82"/>
        <v>y</v>
      </c>
      <c r="GUX1" s="154" t="str">
        <f t="shared" si="82"/>
        <v>y</v>
      </c>
      <c r="GUY1" s="154" t="str">
        <f t="shared" si="82"/>
        <v>y</v>
      </c>
      <c r="GUZ1" s="154" t="str">
        <f t="shared" si="82"/>
        <v>y</v>
      </c>
      <c r="GVA1" s="154" t="str">
        <f t="shared" si="82"/>
        <v>y</v>
      </c>
      <c r="GVB1" s="154" t="str">
        <f t="shared" si="82"/>
        <v>y</v>
      </c>
      <c r="GVC1" s="154" t="str">
        <f t="shared" si="82"/>
        <v>y</v>
      </c>
      <c r="GVD1" s="154" t="str">
        <f t="shared" si="82"/>
        <v>y</v>
      </c>
      <c r="GVE1" s="154" t="str">
        <f t="shared" si="82"/>
        <v>y</v>
      </c>
      <c r="GVF1" s="154" t="str">
        <f t="shared" si="82"/>
        <v>y</v>
      </c>
      <c r="GVG1" s="154" t="str">
        <f t="shared" si="82"/>
        <v>y</v>
      </c>
      <c r="GVH1" s="154" t="str">
        <f t="shared" si="82"/>
        <v>y</v>
      </c>
      <c r="GVI1" s="154" t="str">
        <f t="shared" si="82"/>
        <v>y</v>
      </c>
      <c r="GVJ1" s="154" t="str">
        <f t="shared" si="82"/>
        <v>y</v>
      </c>
      <c r="GVK1" s="154" t="str">
        <f t="shared" si="82"/>
        <v>y</v>
      </c>
      <c r="GVL1" s="154" t="str">
        <f t="shared" si="82"/>
        <v>y</v>
      </c>
      <c r="GVM1" s="154" t="str">
        <f t="shared" si="82"/>
        <v>y</v>
      </c>
      <c r="GVN1" s="154" t="str">
        <f t="shared" ref="GVN1:GXY1" si="83">GVN2&amp;"y"</f>
        <v>y</v>
      </c>
      <c r="GVO1" s="154" t="str">
        <f t="shared" si="83"/>
        <v>y</v>
      </c>
      <c r="GVP1" s="154" t="str">
        <f t="shared" si="83"/>
        <v>y</v>
      </c>
      <c r="GVQ1" s="154" t="str">
        <f t="shared" si="83"/>
        <v>y</v>
      </c>
      <c r="GVR1" s="154" t="str">
        <f t="shared" si="83"/>
        <v>y</v>
      </c>
      <c r="GVS1" s="154" t="str">
        <f t="shared" si="83"/>
        <v>y</v>
      </c>
      <c r="GVT1" s="154" t="str">
        <f t="shared" si="83"/>
        <v>y</v>
      </c>
      <c r="GVU1" s="154" t="str">
        <f t="shared" si="83"/>
        <v>y</v>
      </c>
      <c r="GVV1" s="154" t="str">
        <f t="shared" si="83"/>
        <v>y</v>
      </c>
      <c r="GVW1" s="154" t="str">
        <f t="shared" si="83"/>
        <v>y</v>
      </c>
      <c r="GVX1" s="154" t="str">
        <f t="shared" si="83"/>
        <v>y</v>
      </c>
      <c r="GVY1" s="154" t="str">
        <f t="shared" si="83"/>
        <v>y</v>
      </c>
      <c r="GVZ1" s="154" t="str">
        <f t="shared" si="83"/>
        <v>y</v>
      </c>
      <c r="GWA1" s="154" t="str">
        <f t="shared" si="83"/>
        <v>y</v>
      </c>
      <c r="GWB1" s="154" t="str">
        <f t="shared" si="83"/>
        <v>y</v>
      </c>
      <c r="GWC1" s="154" t="str">
        <f t="shared" si="83"/>
        <v>y</v>
      </c>
      <c r="GWD1" s="154" t="str">
        <f t="shared" si="83"/>
        <v>y</v>
      </c>
      <c r="GWE1" s="154" t="str">
        <f t="shared" si="83"/>
        <v>y</v>
      </c>
      <c r="GWF1" s="154" t="str">
        <f t="shared" si="83"/>
        <v>y</v>
      </c>
      <c r="GWG1" s="154" t="str">
        <f t="shared" si="83"/>
        <v>y</v>
      </c>
      <c r="GWH1" s="154" t="str">
        <f t="shared" si="83"/>
        <v>y</v>
      </c>
      <c r="GWI1" s="154" t="str">
        <f t="shared" si="83"/>
        <v>y</v>
      </c>
      <c r="GWJ1" s="154" t="str">
        <f t="shared" si="83"/>
        <v>y</v>
      </c>
      <c r="GWK1" s="154" t="str">
        <f t="shared" si="83"/>
        <v>y</v>
      </c>
      <c r="GWL1" s="154" t="str">
        <f t="shared" si="83"/>
        <v>y</v>
      </c>
      <c r="GWM1" s="154" t="str">
        <f t="shared" si="83"/>
        <v>y</v>
      </c>
      <c r="GWN1" s="154" t="str">
        <f t="shared" si="83"/>
        <v>y</v>
      </c>
      <c r="GWO1" s="154" t="str">
        <f t="shared" si="83"/>
        <v>y</v>
      </c>
      <c r="GWP1" s="154" t="str">
        <f t="shared" si="83"/>
        <v>y</v>
      </c>
      <c r="GWQ1" s="154" t="str">
        <f t="shared" si="83"/>
        <v>y</v>
      </c>
      <c r="GWR1" s="154" t="str">
        <f t="shared" si="83"/>
        <v>y</v>
      </c>
      <c r="GWS1" s="154" t="str">
        <f t="shared" si="83"/>
        <v>y</v>
      </c>
      <c r="GWT1" s="154" t="str">
        <f t="shared" si="83"/>
        <v>y</v>
      </c>
      <c r="GWU1" s="154" t="str">
        <f t="shared" si="83"/>
        <v>y</v>
      </c>
      <c r="GWV1" s="154" t="str">
        <f t="shared" si="83"/>
        <v>y</v>
      </c>
      <c r="GWW1" s="154" t="str">
        <f t="shared" si="83"/>
        <v>y</v>
      </c>
      <c r="GWX1" s="154" t="str">
        <f t="shared" si="83"/>
        <v>y</v>
      </c>
      <c r="GWY1" s="154" t="str">
        <f t="shared" si="83"/>
        <v>y</v>
      </c>
      <c r="GWZ1" s="154" t="str">
        <f t="shared" si="83"/>
        <v>y</v>
      </c>
      <c r="GXA1" s="154" t="str">
        <f t="shared" si="83"/>
        <v>y</v>
      </c>
      <c r="GXB1" s="154" t="str">
        <f t="shared" si="83"/>
        <v>y</v>
      </c>
      <c r="GXC1" s="154" t="str">
        <f t="shared" si="83"/>
        <v>y</v>
      </c>
      <c r="GXD1" s="154" t="str">
        <f t="shared" si="83"/>
        <v>y</v>
      </c>
      <c r="GXE1" s="154" t="str">
        <f t="shared" si="83"/>
        <v>y</v>
      </c>
      <c r="GXF1" s="154" t="str">
        <f t="shared" si="83"/>
        <v>y</v>
      </c>
      <c r="GXG1" s="154" t="str">
        <f t="shared" si="83"/>
        <v>y</v>
      </c>
      <c r="GXH1" s="154" t="str">
        <f t="shared" si="83"/>
        <v>y</v>
      </c>
      <c r="GXI1" s="154" t="str">
        <f t="shared" si="83"/>
        <v>y</v>
      </c>
      <c r="GXJ1" s="154" t="str">
        <f t="shared" si="83"/>
        <v>y</v>
      </c>
      <c r="GXK1" s="154" t="str">
        <f t="shared" si="83"/>
        <v>y</v>
      </c>
      <c r="GXL1" s="154" t="str">
        <f t="shared" si="83"/>
        <v>y</v>
      </c>
      <c r="GXM1" s="154" t="str">
        <f t="shared" si="83"/>
        <v>y</v>
      </c>
      <c r="GXN1" s="154" t="str">
        <f t="shared" si="83"/>
        <v>y</v>
      </c>
      <c r="GXO1" s="154" t="str">
        <f t="shared" si="83"/>
        <v>y</v>
      </c>
      <c r="GXP1" s="154" t="str">
        <f t="shared" si="83"/>
        <v>y</v>
      </c>
      <c r="GXQ1" s="154" t="str">
        <f t="shared" si="83"/>
        <v>y</v>
      </c>
      <c r="GXR1" s="154" t="str">
        <f t="shared" si="83"/>
        <v>y</v>
      </c>
      <c r="GXS1" s="154" t="str">
        <f t="shared" si="83"/>
        <v>y</v>
      </c>
      <c r="GXT1" s="154" t="str">
        <f t="shared" si="83"/>
        <v>y</v>
      </c>
      <c r="GXU1" s="154" t="str">
        <f t="shared" si="83"/>
        <v>y</v>
      </c>
      <c r="GXV1" s="154" t="str">
        <f t="shared" si="83"/>
        <v>y</v>
      </c>
      <c r="GXW1" s="154" t="str">
        <f t="shared" si="83"/>
        <v>y</v>
      </c>
      <c r="GXX1" s="154" t="str">
        <f t="shared" si="83"/>
        <v>y</v>
      </c>
      <c r="GXY1" s="154" t="str">
        <f t="shared" si="83"/>
        <v>y</v>
      </c>
      <c r="GXZ1" s="154" t="str">
        <f t="shared" ref="GXZ1:HAK1" si="84">GXZ2&amp;"y"</f>
        <v>y</v>
      </c>
      <c r="GYA1" s="154" t="str">
        <f t="shared" si="84"/>
        <v>y</v>
      </c>
      <c r="GYB1" s="154" t="str">
        <f t="shared" si="84"/>
        <v>y</v>
      </c>
      <c r="GYC1" s="154" t="str">
        <f t="shared" si="84"/>
        <v>y</v>
      </c>
      <c r="GYD1" s="154" t="str">
        <f t="shared" si="84"/>
        <v>y</v>
      </c>
      <c r="GYE1" s="154" t="str">
        <f t="shared" si="84"/>
        <v>y</v>
      </c>
      <c r="GYF1" s="154" t="str">
        <f t="shared" si="84"/>
        <v>y</v>
      </c>
      <c r="GYG1" s="154" t="str">
        <f t="shared" si="84"/>
        <v>y</v>
      </c>
      <c r="GYH1" s="154" t="str">
        <f t="shared" si="84"/>
        <v>y</v>
      </c>
      <c r="GYI1" s="154" t="str">
        <f t="shared" si="84"/>
        <v>y</v>
      </c>
      <c r="GYJ1" s="154" t="str">
        <f t="shared" si="84"/>
        <v>y</v>
      </c>
      <c r="GYK1" s="154" t="str">
        <f t="shared" si="84"/>
        <v>y</v>
      </c>
      <c r="GYL1" s="154" t="str">
        <f t="shared" si="84"/>
        <v>y</v>
      </c>
      <c r="GYM1" s="154" t="str">
        <f t="shared" si="84"/>
        <v>y</v>
      </c>
      <c r="GYN1" s="154" t="str">
        <f t="shared" si="84"/>
        <v>y</v>
      </c>
      <c r="GYO1" s="154" t="str">
        <f t="shared" si="84"/>
        <v>y</v>
      </c>
      <c r="GYP1" s="154" t="str">
        <f t="shared" si="84"/>
        <v>y</v>
      </c>
      <c r="GYQ1" s="154" t="str">
        <f t="shared" si="84"/>
        <v>y</v>
      </c>
      <c r="GYR1" s="154" t="str">
        <f t="shared" si="84"/>
        <v>y</v>
      </c>
      <c r="GYS1" s="154" t="str">
        <f t="shared" si="84"/>
        <v>y</v>
      </c>
      <c r="GYT1" s="154" t="str">
        <f t="shared" si="84"/>
        <v>y</v>
      </c>
      <c r="GYU1" s="154" t="str">
        <f t="shared" si="84"/>
        <v>y</v>
      </c>
      <c r="GYV1" s="154" t="str">
        <f t="shared" si="84"/>
        <v>y</v>
      </c>
      <c r="GYW1" s="154" t="str">
        <f t="shared" si="84"/>
        <v>y</v>
      </c>
      <c r="GYX1" s="154" t="str">
        <f t="shared" si="84"/>
        <v>y</v>
      </c>
      <c r="GYY1" s="154" t="str">
        <f t="shared" si="84"/>
        <v>y</v>
      </c>
      <c r="GYZ1" s="154" t="str">
        <f t="shared" si="84"/>
        <v>y</v>
      </c>
      <c r="GZA1" s="154" t="str">
        <f t="shared" si="84"/>
        <v>y</v>
      </c>
      <c r="GZB1" s="154" t="str">
        <f t="shared" si="84"/>
        <v>y</v>
      </c>
      <c r="GZC1" s="154" t="str">
        <f t="shared" si="84"/>
        <v>y</v>
      </c>
      <c r="GZD1" s="154" t="str">
        <f t="shared" si="84"/>
        <v>y</v>
      </c>
      <c r="GZE1" s="154" t="str">
        <f t="shared" si="84"/>
        <v>y</v>
      </c>
      <c r="GZF1" s="154" t="str">
        <f t="shared" si="84"/>
        <v>y</v>
      </c>
      <c r="GZG1" s="154" t="str">
        <f t="shared" si="84"/>
        <v>y</v>
      </c>
      <c r="GZH1" s="154" t="str">
        <f t="shared" si="84"/>
        <v>y</v>
      </c>
      <c r="GZI1" s="154" t="str">
        <f t="shared" si="84"/>
        <v>y</v>
      </c>
      <c r="GZJ1" s="154" t="str">
        <f t="shared" si="84"/>
        <v>y</v>
      </c>
      <c r="GZK1" s="154" t="str">
        <f t="shared" si="84"/>
        <v>y</v>
      </c>
      <c r="GZL1" s="154" t="str">
        <f t="shared" si="84"/>
        <v>y</v>
      </c>
      <c r="GZM1" s="154" t="str">
        <f t="shared" si="84"/>
        <v>y</v>
      </c>
      <c r="GZN1" s="154" t="str">
        <f t="shared" si="84"/>
        <v>y</v>
      </c>
      <c r="GZO1" s="154" t="str">
        <f t="shared" si="84"/>
        <v>y</v>
      </c>
      <c r="GZP1" s="154" t="str">
        <f t="shared" si="84"/>
        <v>y</v>
      </c>
      <c r="GZQ1" s="154" t="str">
        <f t="shared" si="84"/>
        <v>y</v>
      </c>
      <c r="GZR1" s="154" t="str">
        <f t="shared" si="84"/>
        <v>y</v>
      </c>
      <c r="GZS1" s="154" t="str">
        <f t="shared" si="84"/>
        <v>y</v>
      </c>
      <c r="GZT1" s="154" t="str">
        <f t="shared" si="84"/>
        <v>y</v>
      </c>
      <c r="GZU1" s="154" t="str">
        <f t="shared" si="84"/>
        <v>y</v>
      </c>
      <c r="GZV1" s="154" t="str">
        <f t="shared" si="84"/>
        <v>y</v>
      </c>
      <c r="GZW1" s="154" t="str">
        <f t="shared" si="84"/>
        <v>y</v>
      </c>
      <c r="GZX1" s="154" t="str">
        <f t="shared" si="84"/>
        <v>y</v>
      </c>
      <c r="GZY1" s="154" t="str">
        <f t="shared" si="84"/>
        <v>y</v>
      </c>
      <c r="GZZ1" s="154" t="str">
        <f t="shared" si="84"/>
        <v>y</v>
      </c>
      <c r="HAA1" s="154" t="str">
        <f t="shared" si="84"/>
        <v>y</v>
      </c>
      <c r="HAB1" s="154" t="str">
        <f t="shared" si="84"/>
        <v>y</v>
      </c>
      <c r="HAC1" s="154" t="str">
        <f t="shared" si="84"/>
        <v>y</v>
      </c>
      <c r="HAD1" s="154" t="str">
        <f t="shared" si="84"/>
        <v>y</v>
      </c>
      <c r="HAE1" s="154" t="str">
        <f t="shared" si="84"/>
        <v>y</v>
      </c>
      <c r="HAF1" s="154" t="str">
        <f t="shared" si="84"/>
        <v>y</v>
      </c>
      <c r="HAG1" s="154" t="str">
        <f t="shared" si="84"/>
        <v>y</v>
      </c>
      <c r="HAH1" s="154" t="str">
        <f t="shared" si="84"/>
        <v>y</v>
      </c>
      <c r="HAI1" s="154" t="str">
        <f t="shared" si="84"/>
        <v>y</v>
      </c>
      <c r="HAJ1" s="154" t="str">
        <f t="shared" si="84"/>
        <v>y</v>
      </c>
      <c r="HAK1" s="154" t="str">
        <f t="shared" si="84"/>
        <v>y</v>
      </c>
      <c r="HAL1" s="154" t="str">
        <f t="shared" ref="HAL1:HCW1" si="85">HAL2&amp;"y"</f>
        <v>y</v>
      </c>
      <c r="HAM1" s="154" t="str">
        <f t="shared" si="85"/>
        <v>y</v>
      </c>
      <c r="HAN1" s="154" t="str">
        <f t="shared" si="85"/>
        <v>y</v>
      </c>
      <c r="HAO1" s="154" t="str">
        <f t="shared" si="85"/>
        <v>y</v>
      </c>
      <c r="HAP1" s="154" t="str">
        <f t="shared" si="85"/>
        <v>y</v>
      </c>
      <c r="HAQ1" s="154" t="str">
        <f t="shared" si="85"/>
        <v>y</v>
      </c>
      <c r="HAR1" s="154" t="str">
        <f t="shared" si="85"/>
        <v>y</v>
      </c>
      <c r="HAS1" s="154" t="str">
        <f t="shared" si="85"/>
        <v>y</v>
      </c>
      <c r="HAT1" s="154" t="str">
        <f t="shared" si="85"/>
        <v>y</v>
      </c>
      <c r="HAU1" s="154" t="str">
        <f t="shared" si="85"/>
        <v>y</v>
      </c>
      <c r="HAV1" s="154" t="str">
        <f t="shared" si="85"/>
        <v>y</v>
      </c>
      <c r="HAW1" s="154" t="str">
        <f t="shared" si="85"/>
        <v>y</v>
      </c>
      <c r="HAX1" s="154" t="str">
        <f t="shared" si="85"/>
        <v>y</v>
      </c>
      <c r="HAY1" s="154" t="str">
        <f t="shared" si="85"/>
        <v>y</v>
      </c>
      <c r="HAZ1" s="154" t="str">
        <f t="shared" si="85"/>
        <v>y</v>
      </c>
      <c r="HBA1" s="154" t="str">
        <f t="shared" si="85"/>
        <v>y</v>
      </c>
      <c r="HBB1" s="154" t="str">
        <f t="shared" si="85"/>
        <v>y</v>
      </c>
      <c r="HBC1" s="154" t="str">
        <f t="shared" si="85"/>
        <v>y</v>
      </c>
      <c r="HBD1" s="154" t="str">
        <f t="shared" si="85"/>
        <v>y</v>
      </c>
      <c r="HBE1" s="154" t="str">
        <f t="shared" si="85"/>
        <v>y</v>
      </c>
      <c r="HBF1" s="154" t="str">
        <f t="shared" si="85"/>
        <v>y</v>
      </c>
      <c r="HBG1" s="154" t="str">
        <f t="shared" si="85"/>
        <v>y</v>
      </c>
      <c r="HBH1" s="154" t="str">
        <f t="shared" si="85"/>
        <v>y</v>
      </c>
      <c r="HBI1" s="154" t="str">
        <f t="shared" si="85"/>
        <v>y</v>
      </c>
      <c r="HBJ1" s="154" t="str">
        <f t="shared" si="85"/>
        <v>y</v>
      </c>
      <c r="HBK1" s="154" t="str">
        <f t="shared" si="85"/>
        <v>y</v>
      </c>
      <c r="HBL1" s="154" t="str">
        <f t="shared" si="85"/>
        <v>y</v>
      </c>
      <c r="HBM1" s="154" t="str">
        <f t="shared" si="85"/>
        <v>y</v>
      </c>
      <c r="HBN1" s="154" t="str">
        <f t="shared" si="85"/>
        <v>y</v>
      </c>
      <c r="HBO1" s="154" t="str">
        <f t="shared" si="85"/>
        <v>y</v>
      </c>
      <c r="HBP1" s="154" t="str">
        <f t="shared" si="85"/>
        <v>y</v>
      </c>
      <c r="HBQ1" s="154" t="str">
        <f t="shared" si="85"/>
        <v>y</v>
      </c>
      <c r="HBR1" s="154" t="str">
        <f t="shared" si="85"/>
        <v>y</v>
      </c>
      <c r="HBS1" s="154" t="str">
        <f t="shared" si="85"/>
        <v>y</v>
      </c>
      <c r="HBT1" s="154" t="str">
        <f t="shared" si="85"/>
        <v>y</v>
      </c>
      <c r="HBU1" s="154" t="str">
        <f t="shared" si="85"/>
        <v>y</v>
      </c>
      <c r="HBV1" s="154" t="str">
        <f t="shared" si="85"/>
        <v>y</v>
      </c>
      <c r="HBW1" s="154" t="str">
        <f t="shared" si="85"/>
        <v>y</v>
      </c>
      <c r="HBX1" s="154" t="str">
        <f t="shared" si="85"/>
        <v>y</v>
      </c>
      <c r="HBY1" s="154" t="str">
        <f t="shared" si="85"/>
        <v>y</v>
      </c>
      <c r="HBZ1" s="154" t="str">
        <f t="shared" si="85"/>
        <v>y</v>
      </c>
      <c r="HCA1" s="154" t="str">
        <f t="shared" si="85"/>
        <v>y</v>
      </c>
      <c r="HCB1" s="154" t="str">
        <f t="shared" si="85"/>
        <v>y</v>
      </c>
      <c r="HCC1" s="154" t="str">
        <f t="shared" si="85"/>
        <v>y</v>
      </c>
      <c r="HCD1" s="154" t="str">
        <f t="shared" si="85"/>
        <v>y</v>
      </c>
      <c r="HCE1" s="154" t="str">
        <f t="shared" si="85"/>
        <v>y</v>
      </c>
      <c r="HCF1" s="154" t="str">
        <f t="shared" si="85"/>
        <v>y</v>
      </c>
      <c r="HCG1" s="154" t="str">
        <f t="shared" si="85"/>
        <v>y</v>
      </c>
      <c r="HCH1" s="154" t="str">
        <f t="shared" si="85"/>
        <v>y</v>
      </c>
      <c r="HCI1" s="154" t="str">
        <f t="shared" si="85"/>
        <v>y</v>
      </c>
      <c r="HCJ1" s="154" t="str">
        <f t="shared" si="85"/>
        <v>y</v>
      </c>
      <c r="HCK1" s="154" t="str">
        <f t="shared" si="85"/>
        <v>y</v>
      </c>
      <c r="HCL1" s="154" t="str">
        <f t="shared" si="85"/>
        <v>y</v>
      </c>
      <c r="HCM1" s="154" t="str">
        <f t="shared" si="85"/>
        <v>y</v>
      </c>
      <c r="HCN1" s="154" t="str">
        <f t="shared" si="85"/>
        <v>y</v>
      </c>
      <c r="HCO1" s="154" t="str">
        <f t="shared" si="85"/>
        <v>y</v>
      </c>
      <c r="HCP1" s="154" t="str">
        <f t="shared" si="85"/>
        <v>y</v>
      </c>
      <c r="HCQ1" s="154" t="str">
        <f t="shared" si="85"/>
        <v>y</v>
      </c>
      <c r="HCR1" s="154" t="str">
        <f t="shared" si="85"/>
        <v>y</v>
      </c>
      <c r="HCS1" s="154" t="str">
        <f t="shared" si="85"/>
        <v>y</v>
      </c>
      <c r="HCT1" s="154" t="str">
        <f t="shared" si="85"/>
        <v>y</v>
      </c>
      <c r="HCU1" s="154" t="str">
        <f t="shared" si="85"/>
        <v>y</v>
      </c>
      <c r="HCV1" s="154" t="str">
        <f t="shared" si="85"/>
        <v>y</v>
      </c>
      <c r="HCW1" s="154" t="str">
        <f t="shared" si="85"/>
        <v>y</v>
      </c>
      <c r="HCX1" s="154" t="str">
        <f t="shared" ref="HCX1:HFI1" si="86">HCX2&amp;"y"</f>
        <v>y</v>
      </c>
      <c r="HCY1" s="154" t="str">
        <f t="shared" si="86"/>
        <v>y</v>
      </c>
      <c r="HCZ1" s="154" t="str">
        <f t="shared" si="86"/>
        <v>y</v>
      </c>
      <c r="HDA1" s="154" t="str">
        <f t="shared" si="86"/>
        <v>y</v>
      </c>
      <c r="HDB1" s="154" t="str">
        <f t="shared" si="86"/>
        <v>y</v>
      </c>
      <c r="HDC1" s="154" t="str">
        <f t="shared" si="86"/>
        <v>y</v>
      </c>
      <c r="HDD1" s="154" t="str">
        <f t="shared" si="86"/>
        <v>y</v>
      </c>
      <c r="HDE1" s="154" t="str">
        <f t="shared" si="86"/>
        <v>y</v>
      </c>
      <c r="HDF1" s="154" t="str">
        <f t="shared" si="86"/>
        <v>y</v>
      </c>
      <c r="HDG1" s="154" t="str">
        <f t="shared" si="86"/>
        <v>y</v>
      </c>
      <c r="HDH1" s="154" t="str">
        <f t="shared" si="86"/>
        <v>y</v>
      </c>
      <c r="HDI1" s="154" t="str">
        <f t="shared" si="86"/>
        <v>y</v>
      </c>
      <c r="HDJ1" s="154" t="str">
        <f t="shared" si="86"/>
        <v>y</v>
      </c>
      <c r="HDK1" s="154" t="str">
        <f t="shared" si="86"/>
        <v>y</v>
      </c>
      <c r="HDL1" s="154" t="str">
        <f t="shared" si="86"/>
        <v>y</v>
      </c>
      <c r="HDM1" s="154" t="str">
        <f t="shared" si="86"/>
        <v>y</v>
      </c>
      <c r="HDN1" s="154" t="str">
        <f t="shared" si="86"/>
        <v>y</v>
      </c>
      <c r="HDO1" s="154" t="str">
        <f t="shared" si="86"/>
        <v>y</v>
      </c>
      <c r="HDP1" s="154" t="str">
        <f t="shared" si="86"/>
        <v>y</v>
      </c>
      <c r="HDQ1" s="154" t="str">
        <f t="shared" si="86"/>
        <v>y</v>
      </c>
      <c r="HDR1" s="154" t="str">
        <f t="shared" si="86"/>
        <v>y</v>
      </c>
      <c r="HDS1" s="154" t="str">
        <f t="shared" si="86"/>
        <v>y</v>
      </c>
      <c r="HDT1" s="154" t="str">
        <f t="shared" si="86"/>
        <v>y</v>
      </c>
      <c r="HDU1" s="154" t="str">
        <f t="shared" si="86"/>
        <v>y</v>
      </c>
      <c r="HDV1" s="154" t="str">
        <f t="shared" si="86"/>
        <v>y</v>
      </c>
      <c r="HDW1" s="154" t="str">
        <f t="shared" si="86"/>
        <v>y</v>
      </c>
      <c r="HDX1" s="154" t="str">
        <f t="shared" si="86"/>
        <v>y</v>
      </c>
      <c r="HDY1" s="154" t="str">
        <f t="shared" si="86"/>
        <v>y</v>
      </c>
      <c r="HDZ1" s="154" t="str">
        <f t="shared" si="86"/>
        <v>y</v>
      </c>
      <c r="HEA1" s="154" t="str">
        <f t="shared" si="86"/>
        <v>y</v>
      </c>
      <c r="HEB1" s="154" t="str">
        <f t="shared" si="86"/>
        <v>y</v>
      </c>
      <c r="HEC1" s="154" t="str">
        <f t="shared" si="86"/>
        <v>y</v>
      </c>
      <c r="HED1" s="154" t="str">
        <f t="shared" si="86"/>
        <v>y</v>
      </c>
      <c r="HEE1" s="154" t="str">
        <f t="shared" si="86"/>
        <v>y</v>
      </c>
      <c r="HEF1" s="154" t="str">
        <f t="shared" si="86"/>
        <v>y</v>
      </c>
      <c r="HEG1" s="154" t="str">
        <f t="shared" si="86"/>
        <v>y</v>
      </c>
      <c r="HEH1" s="154" t="str">
        <f t="shared" si="86"/>
        <v>y</v>
      </c>
      <c r="HEI1" s="154" t="str">
        <f t="shared" si="86"/>
        <v>y</v>
      </c>
      <c r="HEJ1" s="154" t="str">
        <f t="shared" si="86"/>
        <v>y</v>
      </c>
      <c r="HEK1" s="154" t="str">
        <f t="shared" si="86"/>
        <v>y</v>
      </c>
      <c r="HEL1" s="154" t="str">
        <f t="shared" si="86"/>
        <v>y</v>
      </c>
      <c r="HEM1" s="154" t="str">
        <f t="shared" si="86"/>
        <v>y</v>
      </c>
      <c r="HEN1" s="154" t="str">
        <f t="shared" si="86"/>
        <v>y</v>
      </c>
      <c r="HEO1" s="154" t="str">
        <f t="shared" si="86"/>
        <v>y</v>
      </c>
      <c r="HEP1" s="154" t="str">
        <f t="shared" si="86"/>
        <v>y</v>
      </c>
      <c r="HEQ1" s="154" t="str">
        <f t="shared" si="86"/>
        <v>y</v>
      </c>
      <c r="HER1" s="154" t="str">
        <f t="shared" si="86"/>
        <v>y</v>
      </c>
      <c r="HES1" s="154" t="str">
        <f t="shared" si="86"/>
        <v>y</v>
      </c>
      <c r="HET1" s="154" t="str">
        <f t="shared" si="86"/>
        <v>y</v>
      </c>
      <c r="HEU1" s="154" t="str">
        <f t="shared" si="86"/>
        <v>y</v>
      </c>
      <c r="HEV1" s="154" t="str">
        <f t="shared" si="86"/>
        <v>y</v>
      </c>
      <c r="HEW1" s="154" t="str">
        <f t="shared" si="86"/>
        <v>y</v>
      </c>
      <c r="HEX1" s="154" t="str">
        <f t="shared" si="86"/>
        <v>y</v>
      </c>
      <c r="HEY1" s="154" t="str">
        <f t="shared" si="86"/>
        <v>y</v>
      </c>
      <c r="HEZ1" s="154" t="str">
        <f t="shared" si="86"/>
        <v>y</v>
      </c>
      <c r="HFA1" s="154" t="str">
        <f t="shared" si="86"/>
        <v>y</v>
      </c>
      <c r="HFB1" s="154" t="str">
        <f t="shared" si="86"/>
        <v>y</v>
      </c>
      <c r="HFC1" s="154" t="str">
        <f t="shared" si="86"/>
        <v>y</v>
      </c>
      <c r="HFD1" s="154" t="str">
        <f t="shared" si="86"/>
        <v>y</v>
      </c>
      <c r="HFE1" s="154" t="str">
        <f t="shared" si="86"/>
        <v>y</v>
      </c>
      <c r="HFF1" s="154" t="str">
        <f t="shared" si="86"/>
        <v>y</v>
      </c>
      <c r="HFG1" s="154" t="str">
        <f t="shared" si="86"/>
        <v>y</v>
      </c>
      <c r="HFH1" s="154" t="str">
        <f t="shared" si="86"/>
        <v>y</v>
      </c>
      <c r="HFI1" s="154" t="str">
        <f t="shared" si="86"/>
        <v>y</v>
      </c>
      <c r="HFJ1" s="154" t="str">
        <f t="shared" ref="HFJ1:HHU1" si="87">HFJ2&amp;"y"</f>
        <v>y</v>
      </c>
      <c r="HFK1" s="154" t="str">
        <f t="shared" si="87"/>
        <v>y</v>
      </c>
      <c r="HFL1" s="154" t="str">
        <f t="shared" si="87"/>
        <v>y</v>
      </c>
      <c r="HFM1" s="154" t="str">
        <f t="shared" si="87"/>
        <v>y</v>
      </c>
      <c r="HFN1" s="154" t="str">
        <f t="shared" si="87"/>
        <v>y</v>
      </c>
      <c r="HFO1" s="154" t="str">
        <f t="shared" si="87"/>
        <v>y</v>
      </c>
      <c r="HFP1" s="154" t="str">
        <f t="shared" si="87"/>
        <v>y</v>
      </c>
      <c r="HFQ1" s="154" t="str">
        <f t="shared" si="87"/>
        <v>y</v>
      </c>
      <c r="HFR1" s="154" t="str">
        <f t="shared" si="87"/>
        <v>y</v>
      </c>
      <c r="HFS1" s="154" t="str">
        <f t="shared" si="87"/>
        <v>y</v>
      </c>
      <c r="HFT1" s="154" t="str">
        <f t="shared" si="87"/>
        <v>y</v>
      </c>
      <c r="HFU1" s="154" t="str">
        <f t="shared" si="87"/>
        <v>y</v>
      </c>
      <c r="HFV1" s="154" t="str">
        <f t="shared" si="87"/>
        <v>y</v>
      </c>
      <c r="HFW1" s="154" t="str">
        <f t="shared" si="87"/>
        <v>y</v>
      </c>
      <c r="HFX1" s="154" t="str">
        <f t="shared" si="87"/>
        <v>y</v>
      </c>
      <c r="HFY1" s="154" t="str">
        <f t="shared" si="87"/>
        <v>y</v>
      </c>
      <c r="HFZ1" s="154" t="str">
        <f t="shared" si="87"/>
        <v>y</v>
      </c>
      <c r="HGA1" s="154" t="str">
        <f t="shared" si="87"/>
        <v>y</v>
      </c>
      <c r="HGB1" s="154" t="str">
        <f t="shared" si="87"/>
        <v>y</v>
      </c>
      <c r="HGC1" s="154" t="str">
        <f t="shared" si="87"/>
        <v>y</v>
      </c>
      <c r="HGD1" s="154" t="str">
        <f t="shared" si="87"/>
        <v>y</v>
      </c>
      <c r="HGE1" s="154" t="str">
        <f t="shared" si="87"/>
        <v>y</v>
      </c>
      <c r="HGF1" s="154" t="str">
        <f t="shared" si="87"/>
        <v>y</v>
      </c>
      <c r="HGG1" s="154" t="str">
        <f t="shared" si="87"/>
        <v>y</v>
      </c>
      <c r="HGH1" s="154" t="str">
        <f t="shared" si="87"/>
        <v>y</v>
      </c>
      <c r="HGI1" s="154" t="str">
        <f t="shared" si="87"/>
        <v>y</v>
      </c>
      <c r="HGJ1" s="154" t="str">
        <f t="shared" si="87"/>
        <v>y</v>
      </c>
      <c r="HGK1" s="154" t="str">
        <f t="shared" si="87"/>
        <v>y</v>
      </c>
      <c r="HGL1" s="154" t="str">
        <f t="shared" si="87"/>
        <v>y</v>
      </c>
      <c r="HGM1" s="154" t="str">
        <f t="shared" si="87"/>
        <v>y</v>
      </c>
      <c r="HGN1" s="154" t="str">
        <f t="shared" si="87"/>
        <v>y</v>
      </c>
      <c r="HGO1" s="154" t="str">
        <f t="shared" si="87"/>
        <v>y</v>
      </c>
      <c r="HGP1" s="154" t="str">
        <f t="shared" si="87"/>
        <v>y</v>
      </c>
      <c r="HGQ1" s="154" t="str">
        <f t="shared" si="87"/>
        <v>y</v>
      </c>
      <c r="HGR1" s="154" t="str">
        <f t="shared" si="87"/>
        <v>y</v>
      </c>
      <c r="HGS1" s="154" t="str">
        <f t="shared" si="87"/>
        <v>y</v>
      </c>
      <c r="HGT1" s="154" t="str">
        <f t="shared" si="87"/>
        <v>y</v>
      </c>
      <c r="HGU1" s="154" t="str">
        <f t="shared" si="87"/>
        <v>y</v>
      </c>
      <c r="HGV1" s="154" t="str">
        <f t="shared" si="87"/>
        <v>y</v>
      </c>
      <c r="HGW1" s="154" t="str">
        <f t="shared" si="87"/>
        <v>y</v>
      </c>
      <c r="HGX1" s="154" t="str">
        <f t="shared" si="87"/>
        <v>y</v>
      </c>
      <c r="HGY1" s="154" t="str">
        <f t="shared" si="87"/>
        <v>y</v>
      </c>
      <c r="HGZ1" s="154" t="str">
        <f t="shared" si="87"/>
        <v>y</v>
      </c>
      <c r="HHA1" s="154" t="str">
        <f t="shared" si="87"/>
        <v>y</v>
      </c>
      <c r="HHB1" s="154" t="str">
        <f t="shared" si="87"/>
        <v>y</v>
      </c>
      <c r="HHC1" s="154" t="str">
        <f t="shared" si="87"/>
        <v>y</v>
      </c>
      <c r="HHD1" s="154" t="str">
        <f t="shared" si="87"/>
        <v>y</v>
      </c>
      <c r="HHE1" s="154" t="str">
        <f t="shared" si="87"/>
        <v>y</v>
      </c>
      <c r="HHF1" s="154" t="str">
        <f t="shared" si="87"/>
        <v>y</v>
      </c>
      <c r="HHG1" s="154" t="str">
        <f t="shared" si="87"/>
        <v>y</v>
      </c>
      <c r="HHH1" s="154" t="str">
        <f t="shared" si="87"/>
        <v>y</v>
      </c>
      <c r="HHI1" s="154" t="str">
        <f t="shared" si="87"/>
        <v>y</v>
      </c>
      <c r="HHJ1" s="154" t="str">
        <f t="shared" si="87"/>
        <v>y</v>
      </c>
      <c r="HHK1" s="154" t="str">
        <f t="shared" si="87"/>
        <v>y</v>
      </c>
      <c r="HHL1" s="154" t="str">
        <f t="shared" si="87"/>
        <v>y</v>
      </c>
      <c r="HHM1" s="154" t="str">
        <f t="shared" si="87"/>
        <v>y</v>
      </c>
      <c r="HHN1" s="154" t="str">
        <f t="shared" si="87"/>
        <v>y</v>
      </c>
      <c r="HHO1" s="154" t="str">
        <f t="shared" si="87"/>
        <v>y</v>
      </c>
      <c r="HHP1" s="154" t="str">
        <f t="shared" si="87"/>
        <v>y</v>
      </c>
      <c r="HHQ1" s="154" t="str">
        <f t="shared" si="87"/>
        <v>y</v>
      </c>
      <c r="HHR1" s="154" t="str">
        <f t="shared" si="87"/>
        <v>y</v>
      </c>
      <c r="HHS1" s="154" t="str">
        <f t="shared" si="87"/>
        <v>y</v>
      </c>
      <c r="HHT1" s="154" t="str">
        <f t="shared" si="87"/>
        <v>y</v>
      </c>
      <c r="HHU1" s="154" t="str">
        <f t="shared" si="87"/>
        <v>y</v>
      </c>
      <c r="HHV1" s="154" t="str">
        <f t="shared" ref="HHV1:HKG1" si="88">HHV2&amp;"y"</f>
        <v>y</v>
      </c>
      <c r="HHW1" s="154" t="str">
        <f t="shared" si="88"/>
        <v>y</v>
      </c>
      <c r="HHX1" s="154" t="str">
        <f t="shared" si="88"/>
        <v>y</v>
      </c>
      <c r="HHY1" s="154" t="str">
        <f t="shared" si="88"/>
        <v>y</v>
      </c>
      <c r="HHZ1" s="154" t="str">
        <f t="shared" si="88"/>
        <v>y</v>
      </c>
      <c r="HIA1" s="154" t="str">
        <f t="shared" si="88"/>
        <v>y</v>
      </c>
      <c r="HIB1" s="154" t="str">
        <f t="shared" si="88"/>
        <v>y</v>
      </c>
      <c r="HIC1" s="154" t="str">
        <f t="shared" si="88"/>
        <v>y</v>
      </c>
      <c r="HID1" s="154" t="str">
        <f t="shared" si="88"/>
        <v>y</v>
      </c>
      <c r="HIE1" s="154" t="str">
        <f t="shared" si="88"/>
        <v>y</v>
      </c>
      <c r="HIF1" s="154" t="str">
        <f t="shared" si="88"/>
        <v>y</v>
      </c>
      <c r="HIG1" s="154" t="str">
        <f t="shared" si="88"/>
        <v>y</v>
      </c>
      <c r="HIH1" s="154" t="str">
        <f t="shared" si="88"/>
        <v>y</v>
      </c>
      <c r="HII1" s="154" t="str">
        <f t="shared" si="88"/>
        <v>y</v>
      </c>
      <c r="HIJ1" s="154" t="str">
        <f t="shared" si="88"/>
        <v>y</v>
      </c>
      <c r="HIK1" s="154" t="str">
        <f t="shared" si="88"/>
        <v>y</v>
      </c>
      <c r="HIL1" s="154" t="str">
        <f t="shared" si="88"/>
        <v>y</v>
      </c>
      <c r="HIM1" s="154" t="str">
        <f t="shared" si="88"/>
        <v>y</v>
      </c>
      <c r="HIN1" s="154" t="str">
        <f t="shared" si="88"/>
        <v>y</v>
      </c>
      <c r="HIO1" s="154" t="str">
        <f t="shared" si="88"/>
        <v>y</v>
      </c>
      <c r="HIP1" s="154" t="str">
        <f t="shared" si="88"/>
        <v>y</v>
      </c>
      <c r="HIQ1" s="154" t="str">
        <f t="shared" si="88"/>
        <v>y</v>
      </c>
      <c r="HIR1" s="154" t="str">
        <f t="shared" si="88"/>
        <v>y</v>
      </c>
      <c r="HIS1" s="154" t="str">
        <f t="shared" si="88"/>
        <v>y</v>
      </c>
      <c r="HIT1" s="154" t="str">
        <f t="shared" si="88"/>
        <v>y</v>
      </c>
      <c r="HIU1" s="154" t="str">
        <f t="shared" si="88"/>
        <v>y</v>
      </c>
      <c r="HIV1" s="154" t="str">
        <f t="shared" si="88"/>
        <v>y</v>
      </c>
      <c r="HIW1" s="154" t="str">
        <f t="shared" si="88"/>
        <v>y</v>
      </c>
      <c r="HIX1" s="154" t="str">
        <f t="shared" si="88"/>
        <v>y</v>
      </c>
      <c r="HIY1" s="154" t="str">
        <f t="shared" si="88"/>
        <v>y</v>
      </c>
      <c r="HIZ1" s="154" t="str">
        <f t="shared" si="88"/>
        <v>y</v>
      </c>
      <c r="HJA1" s="154" t="str">
        <f t="shared" si="88"/>
        <v>y</v>
      </c>
      <c r="HJB1" s="154" t="str">
        <f t="shared" si="88"/>
        <v>y</v>
      </c>
      <c r="HJC1" s="154" t="str">
        <f t="shared" si="88"/>
        <v>y</v>
      </c>
      <c r="HJD1" s="154" t="str">
        <f t="shared" si="88"/>
        <v>y</v>
      </c>
      <c r="HJE1" s="154" t="str">
        <f t="shared" si="88"/>
        <v>y</v>
      </c>
      <c r="HJF1" s="154" t="str">
        <f t="shared" si="88"/>
        <v>y</v>
      </c>
      <c r="HJG1" s="154" t="str">
        <f t="shared" si="88"/>
        <v>y</v>
      </c>
      <c r="HJH1" s="154" t="str">
        <f t="shared" si="88"/>
        <v>y</v>
      </c>
      <c r="HJI1" s="154" t="str">
        <f t="shared" si="88"/>
        <v>y</v>
      </c>
      <c r="HJJ1" s="154" t="str">
        <f t="shared" si="88"/>
        <v>y</v>
      </c>
      <c r="HJK1" s="154" t="str">
        <f t="shared" si="88"/>
        <v>y</v>
      </c>
      <c r="HJL1" s="154" t="str">
        <f t="shared" si="88"/>
        <v>y</v>
      </c>
      <c r="HJM1" s="154" t="str">
        <f t="shared" si="88"/>
        <v>y</v>
      </c>
      <c r="HJN1" s="154" t="str">
        <f t="shared" si="88"/>
        <v>y</v>
      </c>
      <c r="HJO1" s="154" t="str">
        <f t="shared" si="88"/>
        <v>y</v>
      </c>
      <c r="HJP1" s="154" t="str">
        <f t="shared" si="88"/>
        <v>y</v>
      </c>
      <c r="HJQ1" s="154" t="str">
        <f t="shared" si="88"/>
        <v>y</v>
      </c>
      <c r="HJR1" s="154" t="str">
        <f t="shared" si="88"/>
        <v>y</v>
      </c>
      <c r="HJS1" s="154" t="str">
        <f t="shared" si="88"/>
        <v>y</v>
      </c>
      <c r="HJT1" s="154" t="str">
        <f t="shared" si="88"/>
        <v>y</v>
      </c>
      <c r="HJU1" s="154" t="str">
        <f t="shared" si="88"/>
        <v>y</v>
      </c>
      <c r="HJV1" s="154" t="str">
        <f t="shared" si="88"/>
        <v>y</v>
      </c>
      <c r="HJW1" s="154" t="str">
        <f t="shared" si="88"/>
        <v>y</v>
      </c>
      <c r="HJX1" s="154" t="str">
        <f t="shared" si="88"/>
        <v>y</v>
      </c>
      <c r="HJY1" s="154" t="str">
        <f t="shared" si="88"/>
        <v>y</v>
      </c>
      <c r="HJZ1" s="154" t="str">
        <f t="shared" si="88"/>
        <v>y</v>
      </c>
      <c r="HKA1" s="154" t="str">
        <f t="shared" si="88"/>
        <v>y</v>
      </c>
      <c r="HKB1" s="154" t="str">
        <f t="shared" si="88"/>
        <v>y</v>
      </c>
      <c r="HKC1" s="154" t="str">
        <f t="shared" si="88"/>
        <v>y</v>
      </c>
      <c r="HKD1" s="154" t="str">
        <f t="shared" si="88"/>
        <v>y</v>
      </c>
      <c r="HKE1" s="154" t="str">
        <f t="shared" si="88"/>
        <v>y</v>
      </c>
      <c r="HKF1" s="154" t="str">
        <f t="shared" si="88"/>
        <v>y</v>
      </c>
      <c r="HKG1" s="154" t="str">
        <f t="shared" si="88"/>
        <v>y</v>
      </c>
      <c r="HKH1" s="154" t="str">
        <f t="shared" ref="HKH1:HMS1" si="89">HKH2&amp;"y"</f>
        <v>y</v>
      </c>
      <c r="HKI1" s="154" t="str">
        <f t="shared" si="89"/>
        <v>y</v>
      </c>
      <c r="HKJ1" s="154" t="str">
        <f t="shared" si="89"/>
        <v>y</v>
      </c>
      <c r="HKK1" s="154" t="str">
        <f t="shared" si="89"/>
        <v>y</v>
      </c>
      <c r="HKL1" s="154" t="str">
        <f t="shared" si="89"/>
        <v>y</v>
      </c>
      <c r="HKM1" s="154" t="str">
        <f t="shared" si="89"/>
        <v>y</v>
      </c>
      <c r="HKN1" s="154" t="str">
        <f t="shared" si="89"/>
        <v>y</v>
      </c>
      <c r="HKO1" s="154" t="str">
        <f t="shared" si="89"/>
        <v>y</v>
      </c>
      <c r="HKP1" s="154" t="str">
        <f t="shared" si="89"/>
        <v>y</v>
      </c>
      <c r="HKQ1" s="154" t="str">
        <f t="shared" si="89"/>
        <v>y</v>
      </c>
      <c r="HKR1" s="154" t="str">
        <f t="shared" si="89"/>
        <v>y</v>
      </c>
      <c r="HKS1" s="154" t="str">
        <f t="shared" si="89"/>
        <v>y</v>
      </c>
      <c r="HKT1" s="154" t="str">
        <f t="shared" si="89"/>
        <v>y</v>
      </c>
      <c r="HKU1" s="154" t="str">
        <f t="shared" si="89"/>
        <v>y</v>
      </c>
      <c r="HKV1" s="154" t="str">
        <f t="shared" si="89"/>
        <v>y</v>
      </c>
      <c r="HKW1" s="154" t="str">
        <f t="shared" si="89"/>
        <v>y</v>
      </c>
      <c r="HKX1" s="154" t="str">
        <f t="shared" si="89"/>
        <v>y</v>
      </c>
      <c r="HKY1" s="154" t="str">
        <f t="shared" si="89"/>
        <v>y</v>
      </c>
      <c r="HKZ1" s="154" t="str">
        <f t="shared" si="89"/>
        <v>y</v>
      </c>
      <c r="HLA1" s="154" t="str">
        <f t="shared" si="89"/>
        <v>y</v>
      </c>
      <c r="HLB1" s="154" t="str">
        <f t="shared" si="89"/>
        <v>y</v>
      </c>
      <c r="HLC1" s="154" t="str">
        <f t="shared" si="89"/>
        <v>y</v>
      </c>
      <c r="HLD1" s="154" t="str">
        <f t="shared" si="89"/>
        <v>y</v>
      </c>
      <c r="HLE1" s="154" t="str">
        <f t="shared" si="89"/>
        <v>y</v>
      </c>
      <c r="HLF1" s="154" t="str">
        <f t="shared" si="89"/>
        <v>y</v>
      </c>
      <c r="HLG1" s="154" t="str">
        <f t="shared" si="89"/>
        <v>y</v>
      </c>
      <c r="HLH1" s="154" t="str">
        <f t="shared" si="89"/>
        <v>y</v>
      </c>
      <c r="HLI1" s="154" t="str">
        <f t="shared" si="89"/>
        <v>y</v>
      </c>
      <c r="HLJ1" s="154" t="str">
        <f t="shared" si="89"/>
        <v>y</v>
      </c>
      <c r="HLK1" s="154" t="str">
        <f t="shared" si="89"/>
        <v>y</v>
      </c>
      <c r="HLL1" s="154" t="str">
        <f t="shared" si="89"/>
        <v>y</v>
      </c>
      <c r="HLM1" s="154" t="str">
        <f t="shared" si="89"/>
        <v>y</v>
      </c>
      <c r="HLN1" s="154" t="str">
        <f t="shared" si="89"/>
        <v>y</v>
      </c>
      <c r="HLO1" s="154" t="str">
        <f t="shared" si="89"/>
        <v>y</v>
      </c>
      <c r="HLP1" s="154" t="str">
        <f t="shared" si="89"/>
        <v>y</v>
      </c>
      <c r="HLQ1" s="154" t="str">
        <f t="shared" si="89"/>
        <v>y</v>
      </c>
      <c r="HLR1" s="154" t="str">
        <f t="shared" si="89"/>
        <v>y</v>
      </c>
      <c r="HLS1" s="154" t="str">
        <f t="shared" si="89"/>
        <v>y</v>
      </c>
      <c r="HLT1" s="154" t="str">
        <f t="shared" si="89"/>
        <v>y</v>
      </c>
      <c r="HLU1" s="154" t="str">
        <f t="shared" si="89"/>
        <v>y</v>
      </c>
      <c r="HLV1" s="154" t="str">
        <f t="shared" si="89"/>
        <v>y</v>
      </c>
      <c r="HLW1" s="154" t="str">
        <f t="shared" si="89"/>
        <v>y</v>
      </c>
      <c r="HLX1" s="154" t="str">
        <f t="shared" si="89"/>
        <v>y</v>
      </c>
      <c r="HLY1" s="154" t="str">
        <f t="shared" si="89"/>
        <v>y</v>
      </c>
      <c r="HLZ1" s="154" t="str">
        <f t="shared" si="89"/>
        <v>y</v>
      </c>
      <c r="HMA1" s="154" t="str">
        <f t="shared" si="89"/>
        <v>y</v>
      </c>
      <c r="HMB1" s="154" t="str">
        <f t="shared" si="89"/>
        <v>y</v>
      </c>
      <c r="HMC1" s="154" t="str">
        <f t="shared" si="89"/>
        <v>y</v>
      </c>
      <c r="HMD1" s="154" t="str">
        <f t="shared" si="89"/>
        <v>y</v>
      </c>
      <c r="HME1" s="154" t="str">
        <f t="shared" si="89"/>
        <v>y</v>
      </c>
      <c r="HMF1" s="154" t="str">
        <f t="shared" si="89"/>
        <v>y</v>
      </c>
      <c r="HMG1" s="154" t="str">
        <f t="shared" si="89"/>
        <v>y</v>
      </c>
      <c r="HMH1" s="154" t="str">
        <f t="shared" si="89"/>
        <v>y</v>
      </c>
      <c r="HMI1" s="154" t="str">
        <f t="shared" si="89"/>
        <v>y</v>
      </c>
      <c r="HMJ1" s="154" t="str">
        <f t="shared" si="89"/>
        <v>y</v>
      </c>
      <c r="HMK1" s="154" t="str">
        <f t="shared" si="89"/>
        <v>y</v>
      </c>
      <c r="HML1" s="154" t="str">
        <f t="shared" si="89"/>
        <v>y</v>
      </c>
      <c r="HMM1" s="154" t="str">
        <f t="shared" si="89"/>
        <v>y</v>
      </c>
      <c r="HMN1" s="154" t="str">
        <f t="shared" si="89"/>
        <v>y</v>
      </c>
      <c r="HMO1" s="154" t="str">
        <f t="shared" si="89"/>
        <v>y</v>
      </c>
      <c r="HMP1" s="154" t="str">
        <f t="shared" si="89"/>
        <v>y</v>
      </c>
      <c r="HMQ1" s="154" t="str">
        <f t="shared" si="89"/>
        <v>y</v>
      </c>
      <c r="HMR1" s="154" t="str">
        <f t="shared" si="89"/>
        <v>y</v>
      </c>
      <c r="HMS1" s="154" t="str">
        <f t="shared" si="89"/>
        <v>y</v>
      </c>
      <c r="HMT1" s="154" t="str">
        <f t="shared" ref="HMT1:HPE1" si="90">HMT2&amp;"y"</f>
        <v>y</v>
      </c>
      <c r="HMU1" s="154" t="str">
        <f t="shared" si="90"/>
        <v>y</v>
      </c>
      <c r="HMV1" s="154" t="str">
        <f t="shared" si="90"/>
        <v>y</v>
      </c>
      <c r="HMW1" s="154" t="str">
        <f t="shared" si="90"/>
        <v>y</v>
      </c>
      <c r="HMX1" s="154" t="str">
        <f t="shared" si="90"/>
        <v>y</v>
      </c>
      <c r="HMY1" s="154" t="str">
        <f t="shared" si="90"/>
        <v>y</v>
      </c>
      <c r="HMZ1" s="154" t="str">
        <f t="shared" si="90"/>
        <v>y</v>
      </c>
      <c r="HNA1" s="154" t="str">
        <f t="shared" si="90"/>
        <v>y</v>
      </c>
      <c r="HNB1" s="154" t="str">
        <f t="shared" si="90"/>
        <v>y</v>
      </c>
      <c r="HNC1" s="154" t="str">
        <f t="shared" si="90"/>
        <v>y</v>
      </c>
      <c r="HND1" s="154" t="str">
        <f t="shared" si="90"/>
        <v>y</v>
      </c>
      <c r="HNE1" s="154" t="str">
        <f t="shared" si="90"/>
        <v>y</v>
      </c>
      <c r="HNF1" s="154" t="str">
        <f t="shared" si="90"/>
        <v>y</v>
      </c>
      <c r="HNG1" s="154" t="str">
        <f t="shared" si="90"/>
        <v>y</v>
      </c>
      <c r="HNH1" s="154" t="str">
        <f t="shared" si="90"/>
        <v>y</v>
      </c>
      <c r="HNI1" s="154" t="str">
        <f t="shared" si="90"/>
        <v>y</v>
      </c>
      <c r="HNJ1" s="154" t="str">
        <f t="shared" si="90"/>
        <v>y</v>
      </c>
      <c r="HNK1" s="154" t="str">
        <f t="shared" si="90"/>
        <v>y</v>
      </c>
      <c r="HNL1" s="154" t="str">
        <f t="shared" si="90"/>
        <v>y</v>
      </c>
      <c r="HNM1" s="154" t="str">
        <f t="shared" si="90"/>
        <v>y</v>
      </c>
      <c r="HNN1" s="154" t="str">
        <f t="shared" si="90"/>
        <v>y</v>
      </c>
      <c r="HNO1" s="154" t="str">
        <f t="shared" si="90"/>
        <v>y</v>
      </c>
      <c r="HNP1" s="154" t="str">
        <f t="shared" si="90"/>
        <v>y</v>
      </c>
      <c r="HNQ1" s="154" t="str">
        <f t="shared" si="90"/>
        <v>y</v>
      </c>
      <c r="HNR1" s="154" t="str">
        <f t="shared" si="90"/>
        <v>y</v>
      </c>
      <c r="HNS1" s="154" t="str">
        <f t="shared" si="90"/>
        <v>y</v>
      </c>
      <c r="HNT1" s="154" t="str">
        <f t="shared" si="90"/>
        <v>y</v>
      </c>
      <c r="HNU1" s="154" t="str">
        <f t="shared" si="90"/>
        <v>y</v>
      </c>
      <c r="HNV1" s="154" t="str">
        <f t="shared" si="90"/>
        <v>y</v>
      </c>
      <c r="HNW1" s="154" t="str">
        <f t="shared" si="90"/>
        <v>y</v>
      </c>
      <c r="HNX1" s="154" t="str">
        <f t="shared" si="90"/>
        <v>y</v>
      </c>
      <c r="HNY1" s="154" t="str">
        <f t="shared" si="90"/>
        <v>y</v>
      </c>
      <c r="HNZ1" s="154" t="str">
        <f t="shared" si="90"/>
        <v>y</v>
      </c>
      <c r="HOA1" s="154" t="str">
        <f t="shared" si="90"/>
        <v>y</v>
      </c>
      <c r="HOB1" s="154" t="str">
        <f t="shared" si="90"/>
        <v>y</v>
      </c>
      <c r="HOC1" s="154" t="str">
        <f t="shared" si="90"/>
        <v>y</v>
      </c>
      <c r="HOD1" s="154" t="str">
        <f t="shared" si="90"/>
        <v>y</v>
      </c>
      <c r="HOE1" s="154" t="str">
        <f t="shared" si="90"/>
        <v>y</v>
      </c>
      <c r="HOF1" s="154" t="str">
        <f t="shared" si="90"/>
        <v>y</v>
      </c>
      <c r="HOG1" s="154" t="str">
        <f t="shared" si="90"/>
        <v>y</v>
      </c>
      <c r="HOH1" s="154" t="str">
        <f t="shared" si="90"/>
        <v>y</v>
      </c>
      <c r="HOI1" s="154" t="str">
        <f t="shared" si="90"/>
        <v>y</v>
      </c>
      <c r="HOJ1" s="154" t="str">
        <f t="shared" si="90"/>
        <v>y</v>
      </c>
      <c r="HOK1" s="154" t="str">
        <f t="shared" si="90"/>
        <v>y</v>
      </c>
      <c r="HOL1" s="154" t="str">
        <f t="shared" si="90"/>
        <v>y</v>
      </c>
      <c r="HOM1" s="154" t="str">
        <f t="shared" si="90"/>
        <v>y</v>
      </c>
      <c r="HON1" s="154" t="str">
        <f t="shared" si="90"/>
        <v>y</v>
      </c>
      <c r="HOO1" s="154" t="str">
        <f t="shared" si="90"/>
        <v>y</v>
      </c>
      <c r="HOP1" s="154" t="str">
        <f t="shared" si="90"/>
        <v>y</v>
      </c>
      <c r="HOQ1" s="154" t="str">
        <f t="shared" si="90"/>
        <v>y</v>
      </c>
      <c r="HOR1" s="154" t="str">
        <f t="shared" si="90"/>
        <v>y</v>
      </c>
      <c r="HOS1" s="154" t="str">
        <f t="shared" si="90"/>
        <v>y</v>
      </c>
      <c r="HOT1" s="154" t="str">
        <f t="shared" si="90"/>
        <v>y</v>
      </c>
      <c r="HOU1" s="154" t="str">
        <f t="shared" si="90"/>
        <v>y</v>
      </c>
      <c r="HOV1" s="154" t="str">
        <f t="shared" si="90"/>
        <v>y</v>
      </c>
      <c r="HOW1" s="154" t="str">
        <f t="shared" si="90"/>
        <v>y</v>
      </c>
      <c r="HOX1" s="154" t="str">
        <f t="shared" si="90"/>
        <v>y</v>
      </c>
      <c r="HOY1" s="154" t="str">
        <f t="shared" si="90"/>
        <v>y</v>
      </c>
      <c r="HOZ1" s="154" t="str">
        <f t="shared" si="90"/>
        <v>y</v>
      </c>
      <c r="HPA1" s="154" t="str">
        <f t="shared" si="90"/>
        <v>y</v>
      </c>
      <c r="HPB1" s="154" t="str">
        <f t="shared" si="90"/>
        <v>y</v>
      </c>
      <c r="HPC1" s="154" t="str">
        <f t="shared" si="90"/>
        <v>y</v>
      </c>
      <c r="HPD1" s="154" t="str">
        <f t="shared" si="90"/>
        <v>y</v>
      </c>
      <c r="HPE1" s="154" t="str">
        <f t="shared" si="90"/>
        <v>y</v>
      </c>
      <c r="HPF1" s="154" t="str">
        <f t="shared" ref="HPF1:HRQ1" si="91">HPF2&amp;"y"</f>
        <v>y</v>
      </c>
      <c r="HPG1" s="154" t="str">
        <f t="shared" si="91"/>
        <v>y</v>
      </c>
      <c r="HPH1" s="154" t="str">
        <f t="shared" si="91"/>
        <v>y</v>
      </c>
      <c r="HPI1" s="154" t="str">
        <f t="shared" si="91"/>
        <v>y</v>
      </c>
      <c r="HPJ1" s="154" t="str">
        <f t="shared" si="91"/>
        <v>y</v>
      </c>
      <c r="HPK1" s="154" t="str">
        <f t="shared" si="91"/>
        <v>y</v>
      </c>
      <c r="HPL1" s="154" t="str">
        <f t="shared" si="91"/>
        <v>y</v>
      </c>
      <c r="HPM1" s="154" t="str">
        <f t="shared" si="91"/>
        <v>y</v>
      </c>
      <c r="HPN1" s="154" t="str">
        <f t="shared" si="91"/>
        <v>y</v>
      </c>
      <c r="HPO1" s="154" t="str">
        <f t="shared" si="91"/>
        <v>y</v>
      </c>
      <c r="HPP1" s="154" t="str">
        <f t="shared" si="91"/>
        <v>y</v>
      </c>
      <c r="HPQ1" s="154" t="str">
        <f t="shared" si="91"/>
        <v>y</v>
      </c>
      <c r="HPR1" s="154" t="str">
        <f t="shared" si="91"/>
        <v>y</v>
      </c>
      <c r="HPS1" s="154" t="str">
        <f t="shared" si="91"/>
        <v>y</v>
      </c>
      <c r="HPT1" s="154" t="str">
        <f t="shared" si="91"/>
        <v>y</v>
      </c>
      <c r="HPU1" s="154" t="str">
        <f t="shared" si="91"/>
        <v>y</v>
      </c>
      <c r="HPV1" s="154" t="str">
        <f t="shared" si="91"/>
        <v>y</v>
      </c>
      <c r="HPW1" s="154" t="str">
        <f t="shared" si="91"/>
        <v>y</v>
      </c>
      <c r="HPX1" s="154" t="str">
        <f t="shared" si="91"/>
        <v>y</v>
      </c>
      <c r="HPY1" s="154" t="str">
        <f t="shared" si="91"/>
        <v>y</v>
      </c>
      <c r="HPZ1" s="154" t="str">
        <f t="shared" si="91"/>
        <v>y</v>
      </c>
      <c r="HQA1" s="154" t="str">
        <f t="shared" si="91"/>
        <v>y</v>
      </c>
      <c r="HQB1" s="154" t="str">
        <f t="shared" si="91"/>
        <v>y</v>
      </c>
      <c r="HQC1" s="154" t="str">
        <f t="shared" si="91"/>
        <v>y</v>
      </c>
      <c r="HQD1" s="154" t="str">
        <f t="shared" si="91"/>
        <v>y</v>
      </c>
      <c r="HQE1" s="154" t="str">
        <f t="shared" si="91"/>
        <v>y</v>
      </c>
      <c r="HQF1" s="154" t="str">
        <f t="shared" si="91"/>
        <v>y</v>
      </c>
      <c r="HQG1" s="154" t="str">
        <f t="shared" si="91"/>
        <v>y</v>
      </c>
      <c r="HQH1" s="154" t="str">
        <f t="shared" si="91"/>
        <v>y</v>
      </c>
      <c r="HQI1" s="154" t="str">
        <f t="shared" si="91"/>
        <v>y</v>
      </c>
      <c r="HQJ1" s="154" t="str">
        <f t="shared" si="91"/>
        <v>y</v>
      </c>
      <c r="HQK1" s="154" t="str">
        <f t="shared" si="91"/>
        <v>y</v>
      </c>
      <c r="HQL1" s="154" t="str">
        <f t="shared" si="91"/>
        <v>y</v>
      </c>
      <c r="HQM1" s="154" t="str">
        <f t="shared" si="91"/>
        <v>y</v>
      </c>
      <c r="HQN1" s="154" t="str">
        <f t="shared" si="91"/>
        <v>y</v>
      </c>
      <c r="HQO1" s="154" t="str">
        <f t="shared" si="91"/>
        <v>y</v>
      </c>
      <c r="HQP1" s="154" t="str">
        <f t="shared" si="91"/>
        <v>y</v>
      </c>
      <c r="HQQ1" s="154" t="str">
        <f t="shared" si="91"/>
        <v>y</v>
      </c>
      <c r="HQR1" s="154" t="str">
        <f t="shared" si="91"/>
        <v>y</v>
      </c>
      <c r="HQS1" s="154" t="str">
        <f t="shared" si="91"/>
        <v>y</v>
      </c>
      <c r="HQT1" s="154" t="str">
        <f t="shared" si="91"/>
        <v>y</v>
      </c>
      <c r="HQU1" s="154" t="str">
        <f t="shared" si="91"/>
        <v>y</v>
      </c>
      <c r="HQV1" s="154" t="str">
        <f t="shared" si="91"/>
        <v>y</v>
      </c>
      <c r="HQW1" s="154" t="str">
        <f t="shared" si="91"/>
        <v>y</v>
      </c>
      <c r="HQX1" s="154" t="str">
        <f t="shared" si="91"/>
        <v>y</v>
      </c>
      <c r="HQY1" s="154" t="str">
        <f t="shared" si="91"/>
        <v>y</v>
      </c>
      <c r="HQZ1" s="154" t="str">
        <f t="shared" si="91"/>
        <v>y</v>
      </c>
      <c r="HRA1" s="154" t="str">
        <f t="shared" si="91"/>
        <v>y</v>
      </c>
      <c r="HRB1" s="154" t="str">
        <f t="shared" si="91"/>
        <v>y</v>
      </c>
      <c r="HRC1" s="154" t="str">
        <f t="shared" si="91"/>
        <v>y</v>
      </c>
      <c r="HRD1" s="154" t="str">
        <f t="shared" si="91"/>
        <v>y</v>
      </c>
      <c r="HRE1" s="154" t="str">
        <f t="shared" si="91"/>
        <v>y</v>
      </c>
      <c r="HRF1" s="154" t="str">
        <f t="shared" si="91"/>
        <v>y</v>
      </c>
      <c r="HRG1" s="154" t="str">
        <f t="shared" si="91"/>
        <v>y</v>
      </c>
      <c r="HRH1" s="154" t="str">
        <f t="shared" si="91"/>
        <v>y</v>
      </c>
      <c r="HRI1" s="154" t="str">
        <f t="shared" si="91"/>
        <v>y</v>
      </c>
      <c r="HRJ1" s="154" t="str">
        <f t="shared" si="91"/>
        <v>y</v>
      </c>
      <c r="HRK1" s="154" t="str">
        <f t="shared" si="91"/>
        <v>y</v>
      </c>
      <c r="HRL1" s="154" t="str">
        <f t="shared" si="91"/>
        <v>y</v>
      </c>
      <c r="HRM1" s="154" t="str">
        <f t="shared" si="91"/>
        <v>y</v>
      </c>
      <c r="HRN1" s="154" t="str">
        <f t="shared" si="91"/>
        <v>y</v>
      </c>
      <c r="HRO1" s="154" t="str">
        <f t="shared" si="91"/>
        <v>y</v>
      </c>
      <c r="HRP1" s="154" t="str">
        <f t="shared" si="91"/>
        <v>y</v>
      </c>
      <c r="HRQ1" s="154" t="str">
        <f t="shared" si="91"/>
        <v>y</v>
      </c>
      <c r="HRR1" s="154" t="str">
        <f t="shared" ref="HRR1:HUC1" si="92">HRR2&amp;"y"</f>
        <v>y</v>
      </c>
      <c r="HRS1" s="154" t="str">
        <f t="shared" si="92"/>
        <v>y</v>
      </c>
      <c r="HRT1" s="154" t="str">
        <f t="shared" si="92"/>
        <v>y</v>
      </c>
      <c r="HRU1" s="154" t="str">
        <f t="shared" si="92"/>
        <v>y</v>
      </c>
      <c r="HRV1" s="154" t="str">
        <f t="shared" si="92"/>
        <v>y</v>
      </c>
      <c r="HRW1" s="154" t="str">
        <f t="shared" si="92"/>
        <v>y</v>
      </c>
      <c r="HRX1" s="154" t="str">
        <f t="shared" si="92"/>
        <v>y</v>
      </c>
      <c r="HRY1" s="154" t="str">
        <f t="shared" si="92"/>
        <v>y</v>
      </c>
      <c r="HRZ1" s="154" t="str">
        <f t="shared" si="92"/>
        <v>y</v>
      </c>
      <c r="HSA1" s="154" t="str">
        <f t="shared" si="92"/>
        <v>y</v>
      </c>
      <c r="HSB1" s="154" t="str">
        <f t="shared" si="92"/>
        <v>y</v>
      </c>
      <c r="HSC1" s="154" t="str">
        <f t="shared" si="92"/>
        <v>y</v>
      </c>
      <c r="HSD1" s="154" t="str">
        <f t="shared" si="92"/>
        <v>y</v>
      </c>
      <c r="HSE1" s="154" t="str">
        <f t="shared" si="92"/>
        <v>y</v>
      </c>
      <c r="HSF1" s="154" t="str">
        <f t="shared" si="92"/>
        <v>y</v>
      </c>
      <c r="HSG1" s="154" t="str">
        <f t="shared" si="92"/>
        <v>y</v>
      </c>
      <c r="HSH1" s="154" t="str">
        <f t="shared" si="92"/>
        <v>y</v>
      </c>
      <c r="HSI1" s="154" t="str">
        <f t="shared" si="92"/>
        <v>y</v>
      </c>
      <c r="HSJ1" s="154" t="str">
        <f t="shared" si="92"/>
        <v>y</v>
      </c>
      <c r="HSK1" s="154" t="str">
        <f t="shared" si="92"/>
        <v>y</v>
      </c>
      <c r="HSL1" s="154" t="str">
        <f t="shared" si="92"/>
        <v>y</v>
      </c>
      <c r="HSM1" s="154" t="str">
        <f t="shared" si="92"/>
        <v>y</v>
      </c>
      <c r="HSN1" s="154" t="str">
        <f t="shared" si="92"/>
        <v>y</v>
      </c>
      <c r="HSO1" s="154" t="str">
        <f t="shared" si="92"/>
        <v>y</v>
      </c>
      <c r="HSP1" s="154" t="str">
        <f t="shared" si="92"/>
        <v>y</v>
      </c>
      <c r="HSQ1" s="154" t="str">
        <f t="shared" si="92"/>
        <v>y</v>
      </c>
      <c r="HSR1" s="154" t="str">
        <f t="shared" si="92"/>
        <v>y</v>
      </c>
      <c r="HSS1" s="154" t="str">
        <f t="shared" si="92"/>
        <v>y</v>
      </c>
      <c r="HST1" s="154" t="str">
        <f t="shared" si="92"/>
        <v>y</v>
      </c>
      <c r="HSU1" s="154" t="str">
        <f t="shared" si="92"/>
        <v>y</v>
      </c>
      <c r="HSV1" s="154" t="str">
        <f t="shared" si="92"/>
        <v>y</v>
      </c>
      <c r="HSW1" s="154" t="str">
        <f t="shared" si="92"/>
        <v>y</v>
      </c>
      <c r="HSX1" s="154" t="str">
        <f t="shared" si="92"/>
        <v>y</v>
      </c>
      <c r="HSY1" s="154" t="str">
        <f t="shared" si="92"/>
        <v>y</v>
      </c>
      <c r="HSZ1" s="154" t="str">
        <f t="shared" si="92"/>
        <v>y</v>
      </c>
      <c r="HTA1" s="154" t="str">
        <f t="shared" si="92"/>
        <v>y</v>
      </c>
      <c r="HTB1" s="154" t="str">
        <f t="shared" si="92"/>
        <v>y</v>
      </c>
      <c r="HTC1" s="154" t="str">
        <f t="shared" si="92"/>
        <v>y</v>
      </c>
      <c r="HTD1" s="154" t="str">
        <f t="shared" si="92"/>
        <v>y</v>
      </c>
      <c r="HTE1" s="154" t="str">
        <f t="shared" si="92"/>
        <v>y</v>
      </c>
      <c r="HTF1" s="154" t="str">
        <f t="shared" si="92"/>
        <v>y</v>
      </c>
      <c r="HTG1" s="154" t="str">
        <f t="shared" si="92"/>
        <v>y</v>
      </c>
      <c r="HTH1" s="154" t="str">
        <f t="shared" si="92"/>
        <v>y</v>
      </c>
      <c r="HTI1" s="154" t="str">
        <f t="shared" si="92"/>
        <v>y</v>
      </c>
      <c r="HTJ1" s="154" t="str">
        <f t="shared" si="92"/>
        <v>y</v>
      </c>
      <c r="HTK1" s="154" t="str">
        <f t="shared" si="92"/>
        <v>y</v>
      </c>
      <c r="HTL1" s="154" t="str">
        <f t="shared" si="92"/>
        <v>y</v>
      </c>
      <c r="HTM1" s="154" t="str">
        <f t="shared" si="92"/>
        <v>y</v>
      </c>
      <c r="HTN1" s="154" t="str">
        <f t="shared" si="92"/>
        <v>y</v>
      </c>
      <c r="HTO1" s="154" t="str">
        <f t="shared" si="92"/>
        <v>y</v>
      </c>
      <c r="HTP1" s="154" t="str">
        <f t="shared" si="92"/>
        <v>y</v>
      </c>
      <c r="HTQ1" s="154" t="str">
        <f t="shared" si="92"/>
        <v>y</v>
      </c>
      <c r="HTR1" s="154" t="str">
        <f t="shared" si="92"/>
        <v>y</v>
      </c>
      <c r="HTS1" s="154" t="str">
        <f t="shared" si="92"/>
        <v>y</v>
      </c>
      <c r="HTT1" s="154" t="str">
        <f t="shared" si="92"/>
        <v>y</v>
      </c>
      <c r="HTU1" s="154" t="str">
        <f t="shared" si="92"/>
        <v>y</v>
      </c>
      <c r="HTV1" s="154" t="str">
        <f t="shared" si="92"/>
        <v>y</v>
      </c>
      <c r="HTW1" s="154" t="str">
        <f t="shared" si="92"/>
        <v>y</v>
      </c>
      <c r="HTX1" s="154" t="str">
        <f t="shared" si="92"/>
        <v>y</v>
      </c>
      <c r="HTY1" s="154" t="str">
        <f t="shared" si="92"/>
        <v>y</v>
      </c>
      <c r="HTZ1" s="154" t="str">
        <f t="shared" si="92"/>
        <v>y</v>
      </c>
      <c r="HUA1" s="154" t="str">
        <f t="shared" si="92"/>
        <v>y</v>
      </c>
      <c r="HUB1" s="154" t="str">
        <f t="shared" si="92"/>
        <v>y</v>
      </c>
      <c r="HUC1" s="154" t="str">
        <f t="shared" si="92"/>
        <v>y</v>
      </c>
      <c r="HUD1" s="154" t="str">
        <f t="shared" ref="HUD1:HWO1" si="93">HUD2&amp;"y"</f>
        <v>y</v>
      </c>
      <c r="HUE1" s="154" t="str">
        <f t="shared" si="93"/>
        <v>y</v>
      </c>
      <c r="HUF1" s="154" t="str">
        <f t="shared" si="93"/>
        <v>y</v>
      </c>
      <c r="HUG1" s="154" t="str">
        <f t="shared" si="93"/>
        <v>y</v>
      </c>
      <c r="HUH1" s="154" t="str">
        <f t="shared" si="93"/>
        <v>y</v>
      </c>
      <c r="HUI1" s="154" t="str">
        <f t="shared" si="93"/>
        <v>y</v>
      </c>
      <c r="HUJ1" s="154" t="str">
        <f t="shared" si="93"/>
        <v>y</v>
      </c>
      <c r="HUK1" s="154" t="str">
        <f t="shared" si="93"/>
        <v>y</v>
      </c>
      <c r="HUL1" s="154" t="str">
        <f t="shared" si="93"/>
        <v>y</v>
      </c>
      <c r="HUM1" s="154" t="str">
        <f t="shared" si="93"/>
        <v>y</v>
      </c>
      <c r="HUN1" s="154" t="str">
        <f t="shared" si="93"/>
        <v>y</v>
      </c>
      <c r="HUO1" s="154" t="str">
        <f t="shared" si="93"/>
        <v>y</v>
      </c>
      <c r="HUP1" s="154" t="str">
        <f t="shared" si="93"/>
        <v>y</v>
      </c>
      <c r="HUQ1" s="154" t="str">
        <f t="shared" si="93"/>
        <v>y</v>
      </c>
      <c r="HUR1" s="154" t="str">
        <f t="shared" si="93"/>
        <v>y</v>
      </c>
      <c r="HUS1" s="154" t="str">
        <f t="shared" si="93"/>
        <v>y</v>
      </c>
      <c r="HUT1" s="154" t="str">
        <f t="shared" si="93"/>
        <v>y</v>
      </c>
      <c r="HUU1" s="154" t="str">
        <f t="shared" si="93"/>
        <v>y</v>
      </c>
      <c r="HUV1" s="154" t="str">
        <f t="shared" si="93"/>
        <v>y</v>
      </c>
      <c r="HUW1" s="154" t="str">
        <f t="shared" si="93"/>
        <v>y</v>
      </c>
      <c r="HUX1" s="154" t="str">
        <f t="shared" si="93"/>
        <v>y</v>
      </c>
      <c r="HUY1" s="154" t="str">
        <f t="shared" si="93"/>
        <v>y</v>
      </c>
      <c r="HUZ1" s="154" t="str">
        <f t="shared" si="93"/>
        <v>y</v>
      </c>
      <c r="HVA1" s="154" t="str">
        <f t="shared" si="93"/>
        <v>y</v>
      </c>
      <c r="HVB1" s="154" t="str">
        <f t="shared" si="93"/>
        <v>y</v>
      </c>
      <c r="HVC1" s="154" t="str">
        <f t="shared" si="93"/>
        <v>y</v>
      </c>
      <c r="HVD1" s="154" t="str">
        <f t="shared" si="93"/>
        <v>y</v>
      </c>
      <c r="HVE1" s="154" t="str">
        <f t="shared" si="93"/>
        <v>y</v>
      </c>
      <c r="HVF1" s="154" t="str">
        <f t="shared" si="93"/>
        <v>y</v>
      </c>
      <c r="HVG1" s="154" t="str">
        <f t="shared" si="93"/>
        <v>y</v>
      </c>
      <c r="HVH1" s="154" t="str">
        <f t="shared" si="93"/>
        <v>y</v>
      </c>
      <c r="HVI1" s="154" t="str">
        <f t="shared" si="93"/>
        <v>y</v>
      </c>
      <c r="HVJ1" s="154" t="str">
        <f t="shared" si="93"/>
        <v>y</v>
      </c>
      <c r="HVK1" s="154" t="str">
        <f t="shared" si="93"/>
        <v>y</v>
      </c>
      <c r="HVL1" s="154" t="str">
        <f t="shared" si="93"/>
        <v>y</v>
      </c>
      <c r="HVM1" s="154" t="str">
        <f t="shared" si="93"/>
        <v>y</v>
      </c>
      <c r="HVN1" s="154" t="str">
        <f t="shared" si="93"/>
        <v>y</v>
      </c>
      <c r="HVO1" s="154" t="str">
        <f t="shared" si="93"/>
        <v>y</v>
      </c>
      <c r="HVP1" s="154" t="str">
        <f t="shared" si="93"/>
        <v>y</v>
      </c>
      <c r="HVQ1" s="154" t="str">
        <f t="shared" si="93"/>
        <v>y</v>
      </c>
      <c r="HVR1" s="154" t="str">
        <f t="shared" si="93"/>
        <v>y</v>
      </c>
      <c r="HVS1" s="154" t="str">
        <f t="shared" si="93"/>
        <v>y</v>
      </c>
      <c r="HVT1" s="154" t="str">
        <f t="shared" si="93"/>
        <v>y</v>
      </c>
      <c r="HVU1" s="154" t="str">
        <f t="shared" si="93"/>
        <v>y</v>
      </c>
      <c r="HVV1" s="154" t="str">
        <f t="shared" si="93"/>
        <v>y</v>
      </c>
      <c r="HVW1" s="154" t="str">
        <f t="shared" si="93"/>
        <v>y</v>
      </c>
      <c r="HVX1" s="154" t="str">
        <f t="shared" si="93"/>
        <v>y</v>
      </c>
      <c r="HVY1" s="154" t="str">
        <f t="shared" si="93"/>
        <v>y</v>
      </c>
      <c r="HVZ1" s="154" t="str">
        <f t="shared" si="93"/>
        <v>y</v>
      </c>
      <c r="HWA1" s="154" t="str">
        <f t="shared" si="93"/>
        <v>y</v>
      </c>
      <c r="HWB1" s="154" t="str">
        <f t="shared" si="93"/>
        <v>y</v>
      </c>
      <c r="HWC1" s="154" t="str">
        <f t="shared" si="93"/>
        <v>y</v>
      </c>
      <c r="HWD1" s="154" t="str">
        <f t="shared" si="93"/>
        <v>y</v>
      </c>
      <c r="HWE1" s="154" t="str">
        <f t="shared" si="93"/>
        <v>y</v>
      </c>
      <c r="HWF1" s="154" t="str">
        <f t="shared" si="93"/>
        <v>y</v>
      </c>
      <c r="HWG1" s="154" t="str">
        <f t="shared" si="93"/>
        <v>y</v>
      </c>
      <c r="HWH1" s="154" t="str">
        <f t="shared" si="93"/>
        <v>y</v>
      </c>
      <c r="HWI1" s="154" t="str">
        <f t="shared" si="93"/>
        <v>y</v>
      </c>
      <c r="HWJ1" s="154" t="str">
        <f t="shared" si="93"/>
        <v>y</v>
      </c>
      <c r="HWK1" s="154" t="str">
        <f t="shared" si="93"/>
        <v>y</v>
      </c>
      <c r="HWL1" s="154" t="str">
        <f t="shared" si="93"/>
        <v>y</v>
      </c>
      <c r="HWM1" s="154" t="str">
        <f t="shared" si="93"/>
        <v>y</v>
      </c>
      <c r="HWN1" s="154" t="str">
        <f t="shared" si="93"/>
        <v>y</v>
      </c>
      <c r="HWO1" s="154" t="str">
        <f t="shared" si="93"/>
        <v>y</v>
      </c>
      <c r="HWP1" s="154" t="str">
        <f t="shared" ref="HWP1:HZA1" si="94">HWP2&amp;"y"</f>
        <v>y</v>
      </c>
      <c r="HWQ1" s="154" t="str">
        <f t="shared" si="94"/>
        <v>y</v>
      </c>
      <c r="HWR1" s="154" t="str">
        <f t="shared" si="94"/>
        <v>y</v>
      </c>
      <c r="HWS1" s="154" t="str">
        <f t="shared" si="94"/>
        <v>y</v>
      </c>
      <c r="HWT1" s="154" t="str">
        <f t="shared" si="94"/>
        <v>y</v>
      </c>
      <c r="HWU1" s="154" t="str">
        <f t="shared" si="94"/>
        <v>y</v>
      </c>
      <c r="HWV1" s="154" t="str">
        <f t="shared" si="94"/>
        <v>y</v>
      </c>
      <c r="HWW1" s="154" t="str">
        <f t="shared" si="94"/>
        <v>y</v>
      </c>
      <c r="HWX1" s="154" t="str">
        <f t="shared" si="94"/>
        <v>y</v>
      </c>
      <c r="HWY1" s="154" t="str">
        <f t="shared" si="94"/>
        <v>y</v>
      </c>
      <c r="HWZ1" s="154" t="str">
        <f t="shared" si="94"/>
        <v>y</v>
      </c>
      <c r="HXA1" s="154" t="str">
        <f t="shared" si="94"/>
        <v>y</v>
      </c>
      <c r="HXB1" s="154" t="str">
        <f t="shared" si="94"/>
        <v>y</v>
      </c>
      <c r="HXC1" s="154" t="str">
        <f t="shared" si="94"/>
        <v>y</v>
      </c>
      <c r="HXD1" s="154" t="str">
        <f t="shared" si="94"/>
        <v>y</v>
      </c>
      <c r="HXE1" s="154" t="str">
        <f t="shared" si="94"/>
        <v>y</v>
      </c>
      <c r="HXF1" s="154" t="str">
        <f t="shared" si="94"/>
        <v>y</v>
      </c>
      <c r="HXG1" s="154" t="str">
        <f t="shared" si="94"/>
        <v>y</v>
      </c>
      <c r="HXH1" s="154" t="str">
        <f t="shared" si="94"/>
        <v>y</v>
      </c>
      <c r="HXI1" s="154" t="str">
        <f t="shared" si="94"/>
        <v>y</v>
      </c>
      <c r="HXJ1" s="154" t="str">
        <f t="shared" si="94"/>
        <v>y</v>
      </c>
      <c r="HXK1" s="154" t="str">
        <f t="shared" si="94"/>
        <v>y</v>
      </c>
      <c r="HXL1" s="154" t="str">
        <f t="shared" si="94"/>
        <v>y</v>
      </c>
      <c r="HXM1" s="154" t="str">
        <f t="shared" si="94"/>
        <v>y</v>
      </c>
      <c r="HXN1" s="154" t="str">
        <f t="shared" si="94"/>
        <v>y</v>
      </c>
      <c r="HXO1" s="154" t="str">
        <f t="shared" si="94"/>
        <v>y</v>
      </c>
      <c r="HXP1" s="154" t="str">
        <f t="shared" si="94"/>
        <v>y</v>
      </c>
      <c r="HXQ1" s="154" t="str">
        <f t="shared" si="94"/>
        <v>y</v>
      </c>
      <c r="HXR1" s="154" t="str">
        <f t="shared" si="94"/>
        <v>y</v>
      </c>
      <c r="HXS1" s="154" t="str">
        <f t="shared" si="94"/>
        <v>y</v>
      </c>
      <c r="HXT1" s="154" t="str">
        <f t="shared" si="94"/>
        <v>y</v>
      </c>
      <c r="HXU1" s="154" t="str">
        <f t="shared" si="94"/>
        <v>y</v>
      </c>
      <c r="HXV1" s="154" t="str">
        <f t="shared" si="94"/>
        <v>y</v>
      </c>
      <c r="HXW1" s="154" t="str">
        <f t="shared" si="94"/>
        <v>y</v>
      </c>
      <c r="HXX1" s="154" t="str">
        <f t="shared" si="94"/>
        <v>y</v>
      </c>
      <c r="HXY1" s="154" t="str">
        <f t="shared" si="94"/>
        <v>y</v>
      </c>
      <c r="HXZ1" s="154" t="str">
        <f t="shared" si="94"/>
        <v>y</v>
      </c>
      <c r="HYA1" s="154" t="str">
        <f t="shared" si="94"/>
        <v>y</v>
      </c>
      <c r="HYB1" s="154" t="str">
        <f t="shared" si="94"/>
        <v>y</v>
      </c>
      <c r="HYC1" s="154" t="str">
        <f t="shared" si="94"/>
        <v>y</v>
      </c>
      <c r="HYD1" s="154" t="str">
        <f t="shared" si="94"/>
        <v>y</v>
      </c>
      <c r="HYE1" s="154" t="str">
        <f t="shared" si="94"/>
        <v>y</v>
      </c>
      <c r="HYF1" s="154" t="str">
        <f t="shared" si="94"/>
        <v>y</v>
      </c>
      <c r="HYG1" s="154" t="str">
        <f t="shared" si="94"/>
        <v>y</v>
      </c>
      <c r="HYH1" s="154" t="str">
        <f t="shared" si="94"/>
        <v>y</v>
      </c>
      <c r="HYI1" s="154" t="str">
        <f t="shared" si="94"/>
        <v>y</v>
      </c>
      <c r="HYJ1" s="154" t="str">
        <f t="shared" si="94"/>
        <v>y</v>
      </c>
      <c r="HYK1" s="154" t="str">
        <f t="shared" si="94"/>
        <v>y</v>
      </c>
      <c r="HYL1" s="154" t="str">
        <f t="shared" si="94"/>
        <v>y</v>
      </c>
      <c r="HYM1" s="154" t="str">
        <f t="shared" si="94"/>
        <v>y</v>
      </c>
      <c r="HYN1" s="154" t="str">
        <f t="shared" si="94"/>
        <v>y</v>
      </c>
      <c r="HYO1" s="154" t="str">
        <f t="shared" si="94"/>
        <v>y</v>
      </c>
      <c r="HYP1" s="154" t="str">
        <f t="shared" si="94"/>
        <v>y</v>
      </c>
      <c r="HYQ1" s="154" t="str">
        <f t="shared" si="94"/>
        <v>y</v>
      </c>
      <c r="HYR1" s="154" t="str">
        <f t="shared" si="94"/>
        <v>y</v>
      </c>
      <c r="HYS1" s="154" t="str">
        <f t="shared" si="94"/>
        <v>y</v>
      </c>
      <c r="HYT1" s="154" t="str">
        <f t="shared" si="94"/>
        <v>y</v>
      </c>
      <c r="HYU1" s="154" t="str">
        <f t="shared" si="94"/>
        <v>y</v>
      </c>
      <c r="HYV1" s="154" t="str">
        <f t="shared" si="94"/>
        <v>y</v>
      </c>
      <c r="HYW1" s="154" t="str">
        <f t="shared" si="94"/>
        <v>y</v>
      </c>
      <c r="HYX1" s="154" t="str">
        <f t="shared" si="94"/>
        <v>y</v>
      </c>
      <c r="HYY1" s="154" t="str">
        <f t="shared" si="94"/>
        <v>y</v>
      </c>
      <c r="HYZ1" s="154" t="str">
        <f t="shared" si="94"/>
        <v>y</v>
      </c>
      <c r="HZA1" s="154" t="str">
        <f t="shared" si="94"/>
        <v>y</v>
      </c>
      <c r="HZB1" s="154" t="str">
        <f t="shared" ref="HZB1:IBM1" si="95">HZB2&amp;"y"</f>
        <v>y</v>
      </c>
      <c r="HZC1" s="154" t="str">
        <f t="shared" si="95"/>
        <v>y</v>
      </c>
      <c r="HZD1" s="154" t="str">
        <f t="shared" si="95"/>
        <v>y</v>
      </c>
      <c r="HZE1" s="154" t="str">
        <f t="shared" si="95"/>
        <v>y</v>
      </c>
      <c r="HZF1" s="154" t="str">
        <f t="shared" si="95"/>
        <v>y</v>
      </c>
      <c r="HZG1" s="154" t="str">
        <f t="shared" si="95"/>
        <v>y</v>
      </c>
      <c r="HZH1" s="154" t="str">
        <f t="shared" si="95"/>
        <v>y</v>
      </c>
      <c r="HZI1" s="154" t="str">
        <f t="shared" si="95"/>
        <v>y</v>
      </c>
      <c r="HZJ1" s="154" t="str">
        <f t="shared" si="95"/>
        <v>y</v>
      </c>
      <c r="HZK1" s="154" t="str">
        <f t="shared" si="95"/>
        <v>y</v>
      </c>
      <c r="HZL1" s="154" t="str">
        <f t="shared" si="95"/>
        <v>y</v>
      </c>
      <c r="HZM1" s="154" t="str">
        <f t="shared" si="95"/>
        <v>y</v>
      </c>
      <c r="HZN1" s="154" t="str">
        <f t="shared" si="95"/>
        <v>y</v>
      </c>
      <c r="HZO1" s="154" t="str">
        <f t="shared" si="95"/>
        <v>y</v>
      </c>
      <c r="HZP1" s="154" t="str">
        <f t="shared" si="95"/>
        <v>y</v>
      </c>
      <c r="HZQ1" s="154" t="str">
        <f t="shared" si="95"/>
        <v>y</v>
      </c>
      <c r="HZR1" s="154" t="str">
        <f t="shared" si="95"/>
        <v>y</v>
      </c>
      <c r="HZS1" s="154" t="str">
        <f t="shared" si="95"/>
        <v>y</v>
      </c>
      <c r="HZT1" s="154" t="str">
        <f t="shared" si="95"/>
        <v>y</v>
      </c>
      <c r="HZU1" s="154" t="str">
        <f t="shared" si="95"/>
        <v>y</v>
      </c>
      <c r="HZV1" s="154" t="str">
        <f t="shared" si="95"/>
        <v>y</v>
      </c>
      <c r="HZW1" s="154" t="str">
        <f t="shared" si="95"/>
        <v>y</v>
      </c>
      <c r="HZX1" s="154" t="str">
        <f t="shared" si="95"/>
        <v>y</v>
      </c>
      <c r="HZY1" s="154" t="str">
        <f t="shared" si="95"/>
        <v>y</v>
      </c>
      <c r="HZZ1" s="154" t="str">
        <f t="shared" si="95"/>
        <v>y</v>
      </c>
      <c r="IAA1" s="154" t="str">
        <f t="shared" si="95"/>
        <v>y</v>
      </c>
      <c r="IAB1" s="154" t="str">
        <f t="shared" si="95"/>
        <v>y</v>
      </c>
      <c r="IAC1" s="154" t="str">
        <f t="shared" si="95"/>
        <v>y</v>
      </c>
      <c r="IAD1" s="154" t="str">
        <f t="shared" si="95"/>
        <v>y</v>
      </c>
      <c r="IAE1" s="154" t="str">
        <f t="shared" si="95"/>
        <v>y</v>
      </c>
      <c r="IAF1" s="154" t="str">
        <f t="shared" si="95"/>
        <v>y</v>
      </c>
      <c r="IAG1" s="154" t="str">
        <f t="shared" si="95"/>
        <v>y</v>
      </c>
      <c r="IAH1" s="154" t="str">
        <f t="shared" si="95"/>
        <v>y</v>
      </c>
      <c r="IAI1" s="154" t="str">
        <f t="shared" si="95"/>
        <v>y</v>
      </c>
      <c r="IAJ1" s="154" t="str">
        <f t="shared" si="95"/>
        <v>y</v>
      </c>
      <c r="IAK1" s="154" t="str">
        <f t="shared" si="95"/>
        <v>y</v>
      </c>
      <c r="IAL1" s="154" t="str">
        <f t="shared" si="95"/>
        <v>y</v>
      </c>
      <c r="IAM1" s="154" t="str">
        <f t="shared" si="95"/>
        <v>y</v>
      </c>
      <c r="IAN1" s="154" t="str">
        <f t="shared" si="95"/>
        <v>y</v>
      </c>
      <c r="IAO1" s="154" t="str">
        <f t="shared" si="95"/>
        <v>y</v>
      </c>
      <c r="IAP1" s="154" t="str">
        <f t="shared" si="95"/>
        <v>y</v>
      </c>
      <c r="IAQ1" s="154" t="str">
        <f t="shared" si="95"/>
        <v>y</v>
      </c>
      <c r="IAR1" s="154" t="str">
        <f t="shared" si="95"/>
        <v>y</v>
      </c>
      <c r="IAS1" s="154" t="str">
        <f t="shared" si="95"/>
        <v>y</v>
      </c>
      <c r="IAT1" s="154" t="str">
        <f t="shared" si="95"/>
        <v>y</v>
      </c>
      <c r="IAU1" s="154" t="str">
        <f t="shared" si="95"/>
        <v>y</v>
      </c>
      <c r="IAV1" s="154" t="str">
        <f t="shared" si="95"/>
        <v>y</v>
      </c>
      <c r="IAW1" s="154" t="str">
        <f t="shared" si="95"/>
        <v>y</v>
      </c>
      <c r="IAX1" s="154" t="str">
        <f t="shared" si="95"/>
        <v>y</v>
      </c>
      <c r="IAY1" s="154" t="str">
        <f t="shared" si="95"/>
        <v>y</v>
      </c>
      <c r="IAZ1" s="154" t="str">
        <f t="shared" si="95"/>
        <v>y</v>
      </c>
      <c r="IBA1" s="154" t="str">
        <f t="shared" si="95"/>
        <v>y</v>
      </c>
      <c r="IBB1" s="154" t="str">
        <f t="shared" si="95"/>
        <v>y</v>
      </c>
      <c r="IBC1" s="154" t="str">
        <f t="shared" si="95"/>
        <v>y</v>
      </c>
      <c r="IBD1" s="154" t="str">
        <f t="shared" si="95"/>
        <v>y</v>
      </c>
      <c r="IBE1" s="154" t="str">
        <f t="shared" si="95"/>
        <v>y</v>
      </c>
      <c r="IBF1" s="154" t="str">
        <f t="shared" si="95"/>
        <v>y</v>
      </c>
      <c r="IBG1" s="154" t="str">
        <f t="shared" si="95"/>
        <v>y</v>
      </c>
      <c r="IBH1" s="154" t="str">
        <f t="shared" si="95"/>
        <v>y</v>
      </c>
      <c r="IBI1" s="154" t="str">
        <f t="shared" si="95"/>
        <v>y</v>
      </c>
      <c r="IBJ1" s="154" t="str">
        <f t="shared" si="95"/>
        <v>y</v>
      </c>
      <c r="IBK1" s="154" t="str">
        <f t="shared" si="95"/>
        <v>y</v>
      </c>
      <c r="IBL1" s="154" t="str">
        <f t="shared" si="95"/>
        <v>y</v>
      </c>
      <c r="IBM1" s="154" t="str">
        <f t="shared" si="95"/>
        <v>y</v>
      </c>
      <c r="IBN1" s="154" t="str">
        <f t="shared" ref="IBN1:IDY1" si="96">IBN2&amp;"y"</f>
        <v>y</v>
      </c>
      <c r="IBO1" s="154" t="str">
        <f t="shared" si="96"/>
        <v>y</v>
      </c>
      <c r="IBP1" s="154" t="str">
        <f t="shared" si="96"/>
        <v>y</v>
      </c>
      <c r="IBQ1" s="154" t="str">
        <f t="shared" si="96"/>
        <v>y</v>
      </c>
      <c r="IBR1" s="154" t="str">
        <f t="shared" si="96"/>
        <v>y</v>
      </c>
      <c r="IBS1" s="154" t="str">
        <f t="shared" si="96"/>
        <v>y</v>
      </c>
      <c r="IBT1" s="154" t="str">
        <f t="shared" si="96"/>
        <v>y</v>
      </c>
      <c r="IBU1" s="154" t="str">
        <f t="shared" si="96"/>
        <v>y</v>
      </c>
      <c r="IBV1" s="154" t="str">
        <f t="shared" si="96"/>
        <v>y</v>
      </c>
      <c r="IBW1" s="154" t="str">
        <f t="shared" si="96"/>
        <v>y</v>
      </c>
      <c r="IBX1" s="154" t="str">
        <f t="shared" si="96"/>
        <v>y</v>
      </c>
      <c r="IBY1" s="154" t="str">
        <f t="shared" si="96"/>
        <v>y</v>
      </c>
      <c r="IBZ1" s="154" t="str">
        <f t="shared" si="96"/>
        <v>y</v>
      </c>
      <c r="ICA1" s="154" t="str">
        <f t="shared" si="96"/>
        <v>y</v>
      </c>
      <c r="ICB1" s="154" t="str">
        <f t="shared" si="96"/>
        <v>y</v>
      </c>
      <c r="ICC1" s="154" t="str">
        <f t="shared" si="96"/>
        <v>y</v>
      </c>
      <c r="ICD1" s="154" t="str">
        <f t="shared" si="96"/>
        <v>y</v>
      </c>
      <c r="ICE1" s="154" t="str">
        <f t="shared" si="96"/>
        <v>y</v>
      </c>
      <c r="ICF1" s="154" t="str">
        <f t="shared" si="96"/>
        <v>y</v>
      </c>
      <c r="ICG1" s="154" t="str">
        <f t="shared" si="96"/>
        <v>y</v>
      </c>
      <c r="ICH1" s="154" t="str">
        <f t="shared" si="96"/>
        <v>y</v>
      </c>
      <c r="ICI1" s="154" t="str">
        <f t="shared" si="96"/>
        <v>y</v>
      </c>
      <c r="ICJ1" s="154" t="str">
        <f t="shared" si="96"/>
        <v>y</v>
      </c>
      <c r="ICK1" s="154" t="str">
        <f t="shared" si="96"/>
        <v>y</v>
      </c>
      <c r="ICL1" s="154" t="str">
        <f t="shared" si="96"/>
        <v>y</v>
      </c>
      <c r="ICM1" s="154" t="str">
        <f t="shared" si="96"/>
        <v>y</v>
      </c>
      <c r="ICN1" s="154" t="str">
        <f t="shared" si="96"/>
        <v>y</v>
      </c>
      <c r="ICO1" s="154" t="str">
        <f t="shared" si="96"/>
        <v>y</v>
      </c>
      <c r="ICP1" s="154" t="str">
        <f t="shared" si="96"/>
        <v>y</v>
      </c>
      <c r="ICQ1" s="154" t="str">
        <f t="shared" si="96"/>
        <v>y</v>
      </c>
      <c r="ICR1" s="154" t="str">
        <f t="shared" si="96"/>
        <v>y</v>
      </c>
      <c r="ICS1" s="154" t="str">
        <f t="shared" si="96"/>
        <v>y</v>
      </c>
      <c r="ICT1" s="154" t="str">
        <f t="shared" si="96"/>
        <v>y</v>
      </c>
      <c r="ICU1" s="154" t="str">
        <f t="shared" si="96"/>
        <v>y</v>
      </c>
      <c r="ICV1" s="154" t="str">
        <f t="shared" si="96"/>
        <v>y</v>
      </c>
      <c r="ICW1" s="154" t="str">
        <f t="shared" si="96"/>
        <v>y</v>
      </c>
      <c r="ICX1" s="154" t="str">
        <f t="shared" si="96"/>
        <v>y</v>
      </c>
      <c r="ICY1" s="154" t="str">
        <f t="shared" si="96"/>
        <v>y</v>
      </c>
      <c r="ICZ1" s="154" t="str">
        <f t="shared" si="96"/>
        <v>y</v>
      </c>
      <c r="IDA1" s="154" t="str">
        <f t="shared" si="96"/>
        <v>y</v>
      </c>
      <c r="IDB1" s="154" t="str">
        <f t="shared" si="96"/>
        <v>y</v>
      </c>
      <c r="IDC1" s="154" t="str">
        <f t="shared" si="96"/>
        <v>y</v>
      </c>
      <c r="IDD1" s="154" t="str">
        <f t="shared" si="96"/>
        <v>y</v>
      </c>
      <c r="IDE1" s="154" t="str">
        <f t="shared" si="96"/>
        <v>y</v>
      </c>
      <c r="IDF1" s="154" t="str">
        <f t="shared" si="96"/>
        <v>y</v>
      </c>
      <c r="IDG1" s="154" t="str">
        <f t="shared" si="96"/>
        <v>y</v>
      </c>
      <c r="IDH1" s="154" t="str">
        <f t="shared" si="96"/>
        <v>y</v>
      </c>
      <c r="IDI1" s="154" t="str">
        <f t="shared" si="96"/>
        <v>y</v>
      </c>
      <c r="IDJ1" s="154" t="str">
        <f t="shared" si="96"/>
        <v>y</v>
      </c>
      <c r="IDK1" s="154" t="str">
        <f t="shared" si="96"/>
        <v>y</v>
      </c>
      <c r="IDL1" s="154" t="str">
        <f t="shared" si="96"/>
        <v>y</v>
      </c>
      <c r="IDM1" s="154" t="str">
        <f t="shared" si="96"/>
        <v>y</v>
      </c>
      <c r="IDN1" s="154" t="str">
        <f t="shared" si="96"/>
        <v>y</v>
      </c>
      <c r="IDO1" s="154" t="str">
        <f t="shared" si="96"/>
        <v>y</v>
      </c>
      <c r="IDP1" s="154" t="str">
        <f t="shared" si="96"/>
        <v>y</v>
      </c>
      <c r="IDQ1" s="154" t="str">
        <f t="shared" si="96"/>
        <v>y</v>
      </c>
      <c r="IDR1" s="154" t="str">
        <f t="shared" si="96"/>
        <v>y</v>
      </c>
      <c r="IDS1" s="154" t="str">
        <f t="shared" si="96"/>
        <v>y</v>
      </c>
      <c r="IDT1" s="154" t="str">
        <f t="shared" si="96"/>
        <v>y</v>
      </c>
      <c r="IDU1" s="154" t="str">
        <f t="shared" si="96"/>
        <v>y</v>
      </c>
      <c r="IDV1" s="154" t="str">
        <f t="shared" si="96"/>
        <v>y</v>
      </c>
      <c r="IDW1" s="154" t="str">
        <f t="shared" si="96"/>
        <v>y</v>
      </c>
      <c r="IDX1" s="154" t="str">
        <f t="shared" si="96"/>
        <v>y</v>
      </c>
      <c r="IDY1" s="154" t="str">
        <f t="shared" si="96"/>
        <v>y</v>
      </c>
      <c r="IDZ1" s="154" t="str">
        <f t="shared" ref="IDZ1:IGK1" si="97">IDZ2&amp;"y"</f>
        <v>y</v>
      </c>
      <c r="IEA1" s="154" t="str">
        <f t="shared" si="97"/>
        <v>y</v>
      </c>
      <c r="IEB1" s="154" t="str">
        <f t="shared" si="97"/>
        <v>y</v>
      </c>
      <c r="IEC1" s="154" t="str">
        <f t="shared" si="97"/>
        <v>y</v>
      </c>
      <c r="IED1" s="154" t="str">
        <f t="shared" si="97"/>
        <v>y</v>
      </c>
      <c r="IEE1" s="154" t="str">
        <f t="shared" si="97"/>
        <v>y</v>
      </c>
      <c r="IEF1" s="154" t="str">
        <f t="shared" si="97"/>
        <v>y</v>
      </c>
      <c r="IEG1" s="154" t="str">
        <f t="shared" si="97"/>
        <v>y</v>
      </c>
      <c r="IEH1" s="154" t="str">
        <f t="shared" si="97"/>
        <v>y</v>
      </c>
      <c r="IEI1" s="154" t="str">
        <f t="shared" si="97"/>
        <v>y</v>
      </c>
      <c r="IEJ1" s="154" t="str">
        <f t="shared" si="97"/>
        <v>y</v>
      </c>
      <c r="IEK1" s="154" t="str">
        <f t="shared" si="97"/>
        <v>y</v>
      </c>
      <c r="IEL1" s="154" t="str">
        <f t="shared" si="97"/>
        <v>y</v>
      </c>
      <c r="IEM1" s="154" t="str">
        <f t="shared" si="97"/>
        <v>y</v>
      </c>
      <c r="IEN1" s="154" t="str">
        <f t="shared" si="97"/>
        <v>y</v>
      </c>
      <c r="IEO1" s="154" t="str">
        <f t="shared" si="97"/>
        <v>y</v>
      </c>
      <c r="IEP1" s="154" t="str">
        <f t="shared" si="97"/>
        <v>y</v>
      </c>
      <c r="IEQ1" s="154" t="str">
        <f t="shared" si="97"/>
        <v>y</v>
      </c>
      <c r="IER1" s="154" t="str">
        <f t="shared" si="97"/>
        <v>y</v>
      </c>
      <c r="IES1" s="154" t="str">
        <f t="shared" si="97"/>
        <v>y</v>
      </c>
      <c r="IET1" s="154" t="str">
        <f t="shared" si="97"/>
        <v>y</v>
      </c>
      <c r="IEU1" s="154" t="str">
        <f t="shared" si="97"/>
        <v>y</v>
      </c>
      <c r="IEV1" s="154" t="str">
        <f t="shared" si="97"/>
        <v>y</v>
      </c>
      <c r="IEW1" s="154" t="str">
        <f t="shared" si="97"/>
        <v>y</v>
      </c>
      <c r="IEX1" s="154" t="str">
        <f t="shared" si="97"/>
        <v>y</v>
      </c>
      <c r="IEY1" s="154" t="str">
        <f t="shared" si="97"/>
        <v>y</v>
      </c>
      <c r="IEZ1" s="154" t="str">
        <f t="shared" si="97"/>
        <v>y</v>
      </c>
      <c r="IFA1" s="154" t="str">
        <f t="shared" si="97"/>
        <v>y</v>
      </c>
      <c r="IFB1" s="154" t="str">
        <f t="shared" si="97"/>
        <v>y</v>
      </c>
      <c r="IFC1" s="154" t="str">
        <f t="shared" si="97"/>
        <v>y</v>
      </c>
      <c r="IFD1" s="154" t="str">
        <f t="shared" si="97"/>
        <v>y</v>
      </c>
      <c r="IFE1" s="154" t="str">
        <f t="shared" si="97"/>
        <v>y</v>
      </c>
      <c r="IFF1" s="154" t="str">
        <f t="shared" si="97"/>
        <v>y</v>
      </c>
      <c r="IFG1" s="154" t="str">
        <f t="shared" si="97"/>
        <v>y</v>
      </c>
      <c r="IFH1" s="154" t="str">
        <f t="shared" si="97"/>
        <v>y</v>
      </c>
      <c r="IFI1" s="154" t="str">
        <f t="shared" si="97"/>
        <v>y</v>
      </c>
      <c r="IFJ1" s="154" t="str">
        <f t="shared" si="97"/>
        <v>y</v>
      </c>
      <c r="IFK1" s="154" t="str">
        <f t="shared" si="97"/>
        <v>y</v>
      </c>
      <c r="IFL1" s="154" t="str">
        <f t="shared" si="97"/>
        <v>y</v>
      </c>
      <c r="IFM1" s="154" t="str">
        <f t="shared" si="97"/>
        <v>y</v>
      </c>
      <c r="IFN1" s="154" t="str">
        <f t="shared" si="97"/>
        <v>y</v>
      </c>
      <c r="IFO1" s="154" t="str">
        <f t="shared" si="97"/>
        <v>y</v>
      </c>
      <c r="IFP1" s="154" t="str">
        <f t="shared" si="97"/>
        <v>y</v>
      </c>
      <c r="IFQ1" s="154" t="str">
        <f t="shared" si="97"/>
        <v>y</v>
      </c>
      <c r="IFR1" s="154" t="str">
        <f t="shared" si="97"/>
        <v>y</v>
      </c>
      <c r="IFS1" s="154" t="str">
        <f t="shared" si="97"/>
        <v>y</v>
      </c>
      <c r="IFT1" s="154" t="str">
        <f t="shared" si="97"/>
        <v>y</v>
      </c>
      <c r="IFU1" s="154" t="str">
        <f t="shared" si="97"/>
        <v>y</v>
      </c>
      <c r="IFV1" s="154" t="str">
        <f t="shared" si="97"/>
        <v>y</v>
      </c>
      <c r="IFW1" s="154" t="str">
        <f t="shared" si="97"/>
        <v>y</v>
      </c>
      <c r="IFX1" s="154" t="str">
        <f t="shared" si="97"/>
        <v>y</v>
      </c>
      <c r="IFY1" s="154" t="str">
        <f t="shared" si="97"/>
        <v>y</v>
      </c>
      <c r="IFZ1" s="154" t="str">
        <f t="shared" si="97"/>
        <v>y</v>
      </c>
      <c r="IGA1" s="154" t="str">
        <f t="shared" si="97"/>
        <v>y</v>
      </c>
      <c r="IGB1" s="154" t="str">
        <f t="shared" si="97"/>
        <v>y</v>
      </c>
      <c r="IGC1" s="154" t="str">
        <f t="shared" si="97"/>
        <v>y</v>
      </c>
      <c r="IGD1" s="154" t="str">
        <f t="shared" si="97"/>
        <v>y</v>
      </c>
      <c r="IGE1" s="154" t="str">
        <f t="shared" si="97"/>
        <v>y</v>
      </c>
      <c r="IGF1" s="154" t="str">
        <f t="shared" si="97"/>
        <v>y</v>
      </c>
      <c r="IGG1" s="154" t="str">
        <f t="shared" si="97"/>
        <v>y</v>
      </c>
      <c r="IGH1" s="154" t="str">
        <f t="shared" si="97"/>
        <v>y</v>
      </c>
      <c r="IGI1" s="154" t="str">
        <f t="shared" si="97"/>
        <v>y</v>
      </c>
      <c r="IGJ1" s="154" t="str">
        <f t="shared" si="97"/>
        <v>y</v>
      </c>
      <c r="IGK1" s="154" t="str">
        <f t="shared" si="97"/>
        <v>y</v>
      </c>
      <c r="IGL1" s="154" t="str">
        <f t="shared" ref="IGL1:IIW1" si="98">IGL2&amp;"y"</f>
        <v>y</v>
      </c>
      <c r="IGM1" s="154" t="str">
        <f t="shared" si="98"/>
        <v>y</v>
      </c>
      <c r="IGN1" s="154" t="str">
        <f t="shared" si="98"/>
        <v>y</v>
      </c>
      <c r="IGO1" s="154" t="str">
        <f t="shared" si="98"/>
        <v>y</v>
      </c>
      <c r="IGP1" s="154" t="str">
        <f t="shared" si="98"/>
        <v>y</v>
      </c>
      <c r="IGQ1" s="154" t="str">
        <f t="shared" si="98"/>
        <v>y</v>
      </c>
      <c r="IGR1" s="154" t="str">
        <f t="shared" si="98"/>
        <v>y</v>
      </c>
      <c r="IGS1" s="154" t="str">
        <f t="shared" si="98"/>
        <v>y</v>
      </c>
      <c r="IGT1" s="154" t="str">
        <f t="shared" si="98"/>
        <v>y</v>
      </c>
      <c r="IGU1" s="154" t="str">
        <f t="shared" si="98"/>
        <v>y</v>
      </c>
      <c r="IGV1" s="154" t="str">
        <f t="shared" si="98"/>
        <v>y</v>
      </c>
      <c r="IGW1" s="154" t="str">
        <f t="shared" si="98"/>
        <v>y</v>
      </c>
      <c r="IGX1" s="154" t="str">
        <f t="shared" si="98"/>
        <v>y</v>
      </c>
      <c r="IGY1" s="154" t="str">
        <f t="shared" si="98"/>
        <v>y</v>
      </c>
      <c r="IGZ1" s="154" t="str">
        <f t="shared" si="98"/>
        <v>y</v>
      </c>
      <c r="IHA1" s="154" t="str">
        <f t="shared" si="98"/>
        <v>y</v>
      </c>
      <c r="IHB1" s="154" t="str">
        <f t="shared" si="98"/>
        <v>y</v>
      </c>
      <c r="IHC1" s="154" t="str">
        <f t="shared" si="98"/>
        <v>y</v>
      </c>
      <c r="IHD1" s="154" t="str">
        <f t="shared" si="98"/>
        <v>y</v>
      </c>
      <c r="IHE1" s="154" t="str">
        <f t="shared" si="98"/>
        <v>y</v>
      </c>
      <c r="IHF1" s="154" t="str">
        <f t="shared" si="98"/>
        <v>y</v>
      </c>
      <c r="IHG1" s="154" t="str">
        <f t="shared" si="98"/>
        <v>y</v>
      </c>
      <c r="IHH1" s="154" t="str">
        <f t="shared" si="98"/>
        <v>y</v>
      </c>
      <c r="IHI1" s="154" t="str">
        <f t="shared" si="98"/>
        <v>y</v>
      </c>
      <c r="IHJ1" s="154" t="str">
        <f t="shared" si="98"/>
        <v>y</v>
      </c>
      <c r="IHK1" s="154" t="str">
        <f t="shared" si="98"/>
        <v>y</v>
      </c>
      <c r="IHL1" s="154" t="str">
        <f t="shared" si="98"/>
        <v>y</v>
      </c>
      <c r="IHM1" s="154" t="str">
        <f t="shared" si="98"/>
        <v>y</v>
      </c>
      <c r="IHN1" s="154" t="str">
        <f t="shared" si="98"/>
        <v>y</v>
      </c>
      <c r="IHO1" s="154" t="str">
        <f t="shared" si="98"/>
        <v>y</v>
      </c>
      <c r="IHP1" s="154" t="str">
        <f t="shared" si="98"/>
        <v>y</v>
      </c>
      <c r="IHQ1" s="154" t="str">
        <f t="shared" si="98"/>
        <v>y</v>
      </c>
      <c r="IHR1" s="154" t="str">
        <f t="shared" si="98"/>
        <v>y</v>
      </c>
      <c r="IHS1" s="154" t="str">
        <f t="shared" si="98"/>
        <v>y</v>
      </c>
      <c r="IHT1" s="154" t="str">
        <f t="shared" si="98"/>
        <v>y</v>
      </c>
      <c r="IHU1" s="154" t="str">
        <f t="shared" si="98"/>
        <v>y</v>
      </c>
      <c r="IHV1" s="154" t="str">
        <f t="shared" si="98"/>
        <v>y</v>
      </c>
      <c r="IHW1" s="154" t="str">
        <f t="shared" si="98"/>
        <v>y</v>
      </c>
      <c r="IHX1" s="154" t="str">
        <f t="shared" si="98"/>
        <v>y</v>
      </c>
      <c r="IHY1" s="154" t="str">
        <f t="shared" si="98"/>
        <v>y</v>
      </c>
      <c r="IHZ1" s="154" t="str">
        <f t="shared" si="98"/>
        <v>y</v>
      </c>
      <c r="IIA1" s="154" t="str">
        <f t="shared" si="98"/>
        <v>y</v>
      </c>
      <c r="IIB1" s="154" t="str">
        <f t="shared" si="98"/>
        <v>y</v>
      </c>
      <c r="IIC1" s="154" t="str">
        <f t="shared" si="98"/>
        <v>y</v>
      </c>
      <c r="IID1" s="154" t="str">
        <f t="shared" si="98"/>
        <v>y</v>
      </c>
      <c r="IIE1" s="154" t="str">
        <f t="shared" si="98"/>
        <v>y</v>
      </c>
      <c r="IIF1" s="154" t="str">
        <f t="shared" si="98"/>
        <v>y</v>
      </c>
      <c r="IIG1" s="154" t="str">
        <f t="shared" si="98"/>
        <v>y</v>
      </c>
      <c r="IIH1" s="154" t="str">
        <f t="shared" si="98"/>
        <v>y</v>
      </c>
      <c r="III1" s="154" t="str">
        <f t="shared" si="98"/>
        <v>y</v>
      </c>
      <c r="IIJ1" s="154" t="str">
        <f t="shared" si="98"/>
        <v>y</v>
      </c>
      <c r="IIK1" s="154" t="str">
        <f t="shared" si="98"/>
        <v>y</v>
      </c>
      <c r="IIL1" s="154" t="str">
        <f t="shared" si="98"/>
        <v>y</v>
      </c>
      <c r="IIM1" s="154" t="str">
        <f t="shared" si="98"/>
        <v>y</v>
      </c>
      <c r="IIN1" s="154" t="str">
        <f t="shared" si="98"/>
        <v>y</v>
      </c>
      <c r="IIO1" s="154" t="str">
        <f t="shared" si="98"/>
        <v>y</v>
      </c>
      <c r="IIP1" s="154" t="str">
        <f t="shared" si="98"/>
        <v>y</v>
      </c>
      <c r="IIQ1" s="154" t="str">
        <f t="shared" si="98"/>
        <v>y</v>
      </c>
      <c r="IIR1" s="154" t="str">
        <f t="shared" si="98"/>
        <v>y</v>
      </c>
      <c r="IIS1" s="154" t="str">
        <f t="shared" si="98"/>
        <v>y</v>
      </c>
      <c r="IIT1" s="154" t="str">
        <f t="shared" si="98"/>
        <v>y</v>
      </c>
      <c r="IIU1" s="154" t="str">
        <f t="shared" si="98"/>
        <v>y</v>
      </c>
      <c r="IIV1" s="154" t="str">
        <f t="shared" si="98"/>
        <v>y</v>
      </c>
      <c r="IIW1" s="154" t="str">
        <f t="shared" si="98"/>
        <v>y</v>
      </c>
      <c r="IIX1" s="154" t="str">
        <f t="shared" ref="IIX1:ILI1" si="99">IIX2&amp;"y"</f>
        <v>y</v>
      </c>
      <c r="IIY1" s="154" t="str">
        <f t="shared" si="99"/>
        <v>y</v>
      </c>
      <c r="IIZ1" s="154" t="str">
        <f t="shared" si="99"/>
        <v>y</v>
      </c>
      <c r="IJA1" s="154" t="str">
        <f t="shared" si="99"/>
        <v>y</v>
      </c>
      <c r="IJB1" s="154" t="str">
        <f t="shared" si="99"/>
        <v>y</v>
      </c>
      <c r="IJC1" s="154" t="str">
        <f t="shared" si="99"/>
        <v>y</v>
      </c>
      <c r="IJD1" s="154" t="str">
        <f t="shared" si="99"/>
        <v>y</v>
      </c>
      <c r="IJE1" s="154" t="str">
        <f t="shared" si="99"/>
        <v>y</v>
      </c>
      <c r="IJF1" s="154" t="str">
        <f t="shared" si="99"/>
        <v>y</v>
      </c>
      <c r="IJG1" s="154" t="str">
        <f t="shared" si="99"/>
        <v>y</v>
      </c>
      <c r="IJH1" s="154" t="str">
        <f t="shared" si="99"/>
        <v>y</v>
      </c>
      <c r="IJI1" s="154" t="str">
        <f t="shared" si="99"/>
        <v>y</v>
      </c>
      <c r="IJJ1" s="154" t="str">
        <f t="shared" si="99"/>
        <v>y</v>
      </c>
      <c r="IJK1" s="154" t="str">
        <f t="shared" si="99"/>
        <v>y</v>
      </c>
      <c r="IJL1" s="154" t="str">
        <f t="shared" si="99"/>
        <v>y</v>
      </c>
      <c r="IJM1" s="154" t="str">
        <f t="shared" si="99"/>
        <v>y</v>
      </c>
      <c r="IJN1" s="154" t="str">
        <f t="shared" si="99"/>
        <v>y</v>
      </c>
      <c r="IJO1" s="154" t="str">
        <f t="shared" si="99"/>
        <v>y</v>
      </c>
      <c r="IJP1" s="154" t="str">
        <f t="shared" si="99"/>
        <v>y</v>
      </c>
      <c r="IJQ1" s="154" t="str">
        <f t="shared" si="99"/>
        <v>y</v>
      </c>
      <c r="IJR1" s="154" t="str">
        <f t="shared" si="99"/>
        <v>y</v>
      </c>
      <c r="IJS1" s="154" t="str">
        <f t="shared" si="99"/>
        <v>y</v>
      </c>
      <c r="IJT1" s="154" t="str">
        <f t="shared" si="99"/>
        <v>y</v>
      </c>
      <c r="IJU1" s="154" t="str">
        <f t="shared" si="99"/>
        <v>y</v>
      </c>
      <c r="IJV1" s="154" t="str">
        <f t="shared" si="99"/>
        <v>y</v>
      </c>
      <c r="IJW1" s="154" t="str">
        <f t="shared" si="99"/>
        <v>y</v>
      </c>
      <c r="IJX1" s="154" t="str">
        <f t="shared" si="99"/>
        <v>y</v>
      </c>
      <c r="IJY1" s="154" t="str">
        <f t="shared" si="99"/>
        <v>y</v>
      </c>
      <c r="IJZ1" s="154" t="str">
        <f t="shared" si="99"/>
        <v>y</v>
      </c>
      <c r="IKA1" s="154" t="str">
        <f t="shared" si="99"/>
        <v>y</v>
      </c>
      <c r="IKB1" s="154" t="str">
        <f t="shared" si="99"/>
        <v>y</v>
      </c>
      <c r="IKC1" s="154" t="str">
        <f t="shared" si="99"/>
        <v>y</v>
      </c>
      <c r="IKD1" s="154" t="str">
        <f t="shared" si="99"/>
        <v>y</v>
      </c>
      <c r="IKE1" s="154" t="str">
        <f t="shared" si="99"/>
        <v>y</v>
      </c>
      <c r="IKF1" s="154" t="str">
        <f t="shared" si="99"/>
        <v>y</v>
      </c>
      <c r="IKG1" s="154" t="str">
        <f t="shared" si="99"/>
        <v>y</v>
      </c>
      <c r="IKH1" s="154" t="str">
        <f t="shared" si="99"/>
        <v>y</v>
      </c>
      <c r="IKI1" s="154" t="str">
        <f t="shared" si="99"/>
        <v>y</v>
      </c>
      <c r="IKJ1" s="154" t="str">
        <f t="shared" si="99"/>
        <v>y</v>
      </c>
      <c r="IKK1" s="154" t="str">
        <f t="shared" si="99"/>
        <v>y</v>
      </c>
      <c r="IKL1" s="154" t="str">
        <f t="shared" si="99"/>
        <v>y</v>
      </c>
      <c r="IKM1" s="154" t="str">
        <f t="shared" si="99"/>
        <v>y</v>
      </c>
      <c r="IKN1" s="154" t="str">
        <f t="shared" si="99"/>
        <v>y</v>
      </c>
      <c r="IKO1" s="154" t="str">
        <f t="shared" si="99"/>
        <v>y</v>
      </c>
      <c r="IKP1" s="154" t="str">
        <f t="shared" si="99"/>
        <v>y</v>
      </c>
      <c r="IKQ1" s="154" t="str">
        <f t="shared" si="99"/>
        <v>y</v>
      </c>
      <c r="IKR1" s="154" t="str">
        <f t="shared" si="99"/>
        <v>y</v>
      </c>
      <c r="IKS1" s="154" t="str">
        <f t="shared" si="99"/>
        <v>y</v>
      </c>
      <c r="IKT1" s="154" t="str">
        <f t="shared" si="99"/>
        <v>y</v>
      </c>
      <c r="IKU1" s="154" t="str">
        <f t="shared" si="99"/>
        <v>y</v>
      </c>
      <c r="IKV1" s="154" t="str">
        <f t="shared" si="99"/>
        <v>y</v>
      </c>
      <c r="IKW1" s="154" t="str">
        <f t="shared" si="99"/>
        <v>y</v>
      </c>
      <c r="IKX1" s="154" t="str">
        <f t="shared" si="99"/>
        <v>y</v>
      </c>
      <c r="IKY1" s="154" t="str">
        <f t="shared" si="99"/>
        <v>y</v>
      </c>
      <c r="IKZ1" s="154" t="str">
        <f t="shared" si="99"/>
        <v>y</v>
      </c>
      <c r="ILA1" s="154" t="str">
        <f t="shared" si="99"/>
        <v>y</v>
      </c>
      <c r="ILB1" s="154" t="str">
        <f t="shared" si="99"/>
        <v>y</v>
      </c>
      <c r="ILC1" s="154" t="str">
        <f t="shared" si="99"/>
        <v>y</v>
      </c>
      <c r="ILD1" s="154" t="str">
        <f t="shared" si="99"/>
        <v>y</v>
      </c>
      <c r="ILE1" s="154" t="str">
        <f t="shared" si="99"/>
        <v>y</v>
      </c>
      <c r="ILF1" s="154" t="str">
        <f t="shared" si="99"/>
        <v>y</v>
      </c>
      <c r="ILG1" s="154" t="str">
        <f t="shared" si="99"/>
        <v>y</v>
      </c>
      <c r="ILH1" s="154" t="str">
        <f t="shared" si="99"/>
        <v>y</v>
      </c>
      <c r="ILI1" s="154" t="str">
        <f t="shared" si="99"/>
        <v>y</v>
      </c>
      <c r="ILJ1" s="154" t="str">
        <f t="shared" ref="ILJ1:INU1" si="100">ILJ2&amp;"y"</f>
        <v>y</v>
      </c>
      <c r="ILK1" s="154" t="str">
        <f t="shared" si="100"/>
        <v>y</v>
      </c>
      <c r="ILL1" s="154" t="str">
        <f t="shared" si="100"/>
        <v>y</v>
      </c>
      <c r="ILM1" s="154" t="str">
        <f t="shared" si="100"/>
        <v>y</v>
      </c>
      <c r="ILN1" s="154" t="str">
        <f t="shared" si="100"/>
        <v>y</v>
      </c>
      <c r="ILO1" s="154" t="str">
        <f t="shared" si="100"/>
        <v>y</v>
      </c>
      <c r="ILP1" s="154" t="str">
        <f t="shared" si="100"/>
        <v>y</v>
      </c>
      <c r="ILQ1" s="154" t="str">
        <f t="shared" si="100"/>
        <v>y</v>
      </c>
      <c r="ILR1" s="154" t="str">
        <f t="shared" si="100"/>
        <v>y</v>
      </c>
      <c r="ILS1" s="154" t="str">
        <f t="shared" si="100"/>
        <v>y</v>
      </c>
      <c r="ILT1" s="154" t="str">
        <f t="shared" si="100"/>
        <v>y</v>
      </c>
      <c r="ILU1" s="154" t="str">
        <f t="shared" si="100"/>
        <v>y</v>
      </c>
      <c r="ILV1" s="154" t="str">
        <f t="shared" si="100"/>
        <v>y</v>
      </c>
      <c r="ILW1" s="154" t="str">
        <f t="shared" si="100"/>
        <v>y</v>
      </c>
      <c r="ILX1" s="154" t="str">
        <f t="shared" si="100"/>
        <v>y</v>
      </c>
      <c r="ILY1" s="154" t="str">
        <f t="shared" si="100"/>
        <v>y</v>
      </c>
      <c r="ILZ1" s="154" t="str">
        <f t="shared" si="100"/>
        <v>y</v>
      </c>
      <c r="IMA1" s="154" t="str">
        <f t="shared" si="100"/>
        <v>y</v>
      </c>
      <c r="IMB1" s="154" t="str">
        <f t="shared" si="100"/>
        <v>y</v>
      </c>
      <c r="IMC1" s="154" t="str">
        <f t="shared" si="100"/>
        <v>y</v>
      </c>
      <c r="IMD1" s="154" t="str">
        <f t="shared" si="100"/>
        <v>y</v>
      </c>
      <c r="IME1" s="154" t="str">
        <f t="shared" si="100"/>
        <v>y</v>
      </c>
      <c r="IMF1" s="154" t="str">
        <f t="shared" si="100"/>
        <v>y</v>
      </c>
      <c r="IMG1" s="154" t="str">
        <f t="shared" si="100"/>
        <v>y</v>
      </c>
      <c r="IMH1" s="154" t="str">
        <f t="shared" si="100"/>
        <v>y</v>
      </c>
      <c r="IMI1" s="154" t="str">
        <f t="shared" si="100"/>
        <v>y</v>
      </c>
      <c r="IMJ1" s="154" t="str">
        <f t="shared" si="100"/>
        <v>y</v>
      </c>
      <c r="IMK1" s="154" t="str">
        <f t="shared" si="100"/>
        <v>y</v>
      </c>
      <c r="IML1" s="154" t="str">
        <f t="shared" si="100"/>
        <v>y</v>
      </c>
      <c r="IMM1" s="154" t="str">
        <f t="shared" si="100"/>
        <v>y</v>
      </c>
      <c r="IMN1" s="154" t="str">
        <f t="shared" si="100"/>
        <v>y</v>
      </c>
      <c r="IMO1" s="154" t="str">
        <f t="shared" si="100"/>
        <v>y</v>
      </c>
      <c r="IMP1" s="154" t="str">
        <f t="shared" si="100"/>
        <v>y</v>
      </c>
      <c r="IMQ1" s="154" t="str">
        <f t="shared" si="100"/>
        <v>y</v>
      </c>
      <c r="IMR1" s="154" t="str">
        <f t="shared" si="100"/>
        <v>y</v>
      </c>
      <c r="IMS1" s="154" t="str">
        <f t="shared" si="100"/>
        <v>y</v>
      </c>
      <c r="IMT1" s="154" t="str">
        <f t="shared" si="100"/>
        <v>y</v>
      </c>
      <c r="IMU1" s="154" t="str">
        <f t="shared" si="100"/>
        <v>y</v>
      </c>
      <c r="IMV1" s="154" t="str">
        <f t="shared" si="100"/>
        <v>y</v>
      </c>
      <c r="IMW1" s="154" t="str">
        <f t="shared" si="100"/>
        <v>y</v>
      </c>
      <c r="IMX1" s="154" t="str">
        <f t="shared" si="100"/>
        <v>y</v>
      </c>
      <c r="IMY1" s="154" t="str">
        <f t="shared" si="100"/>
        <v>y</v>
      </c>
      <c r="IMZ1" s="154" t="str">
        <f t="shared" si="100"/>
        <v>y</v>
      </c>
      <c r="INA1" s="154" t="str">
        <f t="shared" si="100"/>
        <v>y</v>
      </c>
      <c r="INB1" s="154" t="str">
        <f t="shared" si="100"/>
        <v>y</v>
      </c>
      <c r="INC1" s="154" t="str">
        <f t="shared" si="100"/>
        <v>y</v>
      </c>
      <c r="IND1" s="154" t="str">
        <f t="shared" si="100"/>
        <v>y</v>
      </c>
      <c r="INE1" s="154" t="str">
        <f t="shared" si="100"/>
        <v>y</v>
      </c>
      <c r="INF1" s="154" t="str">
        <f t="shared" si="100"/>
        <v>y</v>
      </c>
      <c r="ING1" s="154" t="str">
        <f t="shared" si="100"/>
        <v>y</v>
      </c>
      <c r="INH1" s="154" t="str">
        <f t="shared" si="100"/>
        <v>y</v>
      </c>
      <c r="INI1" s="154" t="str">
        <f t="shared" si="100"/>
        <v>y</v>
      </c>
      <c r="INJ1" s="154" t="str">
        <f t="shared" si="100"/>
        <v>y</v>
      </c>
      <c r="INK1" s="154" t="str">
        <f t="shared" si="100"/>
        <v>y</v>
      </c>
      <c r="INL1" s="154" t="str">
        <f t="shared" si="100"/>
        <v>y</v>
      </c>
      <c r="INM1" s="154" t="str">
        <f t="shared" si="100"/>
        <v>y</v>
      </c>
      <c r="INN1" s="154" t="str">
        <f t="shared" si="100"/>
        <v>y</v>
      </c>
      <c r="INO1" s="154" t="str">
        <f t="shared" si="100"/>
        <v>y</v>
      </c>
      <c r="INP1" s="154" t="str">
        <f t="shared" si="100"/>
        <v>y</v>
      </c>
      <c r="INQ1" s="154" t="str">
        <f t="shared" si="100"/>
        <v>y</v>
      </c>
      <c r="INR1" s="154" t="str">
        <f t="shared" si="100"/>
        <v>y</v>
      </c>
      <c r="INS1" s="154" t="str">
        <f t="shared" si="100"/>
        <v>y</v>
      </c>
      <c r="INT1" s="154" t="str">
        <f t="shared" si="100"/>
        <v>y</v>
      </c>
      <c r="INU1" s="154" t="str">
        <f t="shared" si="100"/>
        <v>y</v>
      </c>
      <c r="INV1" s="154" t="str">
        <f t="shared" ref="INV1:IQG1" si="101">INV2&amp;"y"</f>
        <v>y</v>
      </c>
      <c r="INW1" s="154" t="str">
        <f t="shared" si="101"/>
        <v>y</v>
      </c>
      <c r="INX1" s="154" t="str">
        <f t="shared" si="101"/>
        <v>y</v>
      </c>
      <c r="INY1" s="154" t="str">
        <f t="shared" si="101"/>
        <v>y</v>
      </c>
      <c r="INZ1" s="154" t="str">
        <f t="shared" si="101"/>
        <v>y</v>
      </c>
      <c r="IOA1" s="154" t="str">
        <f t="shared" si="101"/>
        <v>y</v>
      </c>
      <c r="IOB1" s="154" t="str">
        <f t="shared" si="101"/>
        <v>y</v>
      </c>
      <c r="IOC1" s="154" t="str">
        <f t="shared" si="101"/>
        <v>y</v>
      </c>
      <c r="IOD1" s="154" t="str">
        <f t="shared" si="101"/>
        <v>y</v>
      </c>
      <c r="IOE1" s="154" t="str">
        <f t="shared" si="101"/>
        <v>y</v>
      </c>
      <c r="IOF1" s="154" t="str">
        <f t="shared" si="101"/>
        <v>y</v>
      </c>
      <c r="IOG1" s="154" t="str">
        <f t="shared" si="101"/>
        <v>y</v>
      </c>
      <c r="IOH1" s="154" t="str">
        <f t="shared" si="101"/>
        <v>y</v>
      </c>
      <c r="IOI1" s="154" t="str">
        <f t="shared" si="101"/>
        <v>y</v>
      </c>
      <c r="IOJ1" s="154" t="str">
        <f t="shared" si="101"/>
        <v>y</v>
      </c>
      <c r="IOK1" s="154" t="str">
        <f t="shared" si="101"/>
        <v>y</v>
      </c>
      <c r="IOL1" s="154" t="str">
        <f t="shared" si="101"/>
        <v>y</v>
      </c>
      <c r="IOM1" s="154" t="str">
        <f t="shared" si="101"/>
        <v>y</v>
      </c>
      <c r="ION1" s="154" t="str">
        <f t="shared" si="101"/>
        <v>y</v>
      </c>
      <c r="IOO1" s="154" t="str">
        <f t="shared" si="101"/>
        <v>y</v>
      </c>
      <c r="IOP1" s="154" t="str">
        <f t="shared" si="101"/>
        <v>y</v>
      </c>
      <c r="IOQ1" s="154" t="str">
        <f t="shared" si="101"/>
        <v>y</v>
      </c>
      <c r="IOR1" s="154" t="str">
        <f t="shared" si="101"/>
        <v>y</v>
      </c>
      <c r="IOS1" s="154" t="str">
        <f t="shared" si="101"/>
        <v>y</v>
      </c>
      <c r="IOT1" s="154" t="str">
        <f t="shared" si="101"/>
        <v>y</v>
      </c>
      <c r="IOU1" s="154" t="str">
        <f t="shared" si="101"/>
        <v>y</v>
      </c>
      <c r="IOV1" s="154" t="str">
        <f t="shared" si="101"/>
        <v>y</v>
      </c>
      <c r="IOW1" s="154" t="str">
        <f t="shared" si="101"/>
        <v>y</v>
      </c>
      <c r="IOX1" s="154" t="str">
        <f t="shared" si="101"/>
        <v>y</v>
      </c>
      <c r="IOY1" s="154" t="str">
        <f t="shared" si="101"/>
        <v>y</v>
      </c>
      <c r="IOZ1" s="154" t="str">
        <f t="shared" si="101"/>
        <v>y</v>
      </c>
      <c r="IPA1" s="154" t="str">
        <f t="shared" si="101"/>
        <v>y</v>
      </c>
      <c r="IPB1" s="154" t="str">
        <f t="shared" si="101"/>
        <v>y</v>
      </c>
      <c r="IPC1" s="154" t="str">
        <f t="shared" si="101"/>
        <v>y</v>
      </c>
      <c r="IPD1" s="154" t="str">
        <f t="shared" si="101"/>
        <v>y</v>
      </c>
      <c r="IPE1" s="154" t="str">
        <f t="shared" si="101"/>
        <v>y</v>
      </c>
      <c r="IPF1" s="154" t="str">
        <f t="shared" si="101"/>
        <v>y</v>
      </c>
      <c r="IPG1" s="154" t="str">
        <f t="shared" si="101"/>
        <v>y</v>
      </c>
      <c r="IPH1" s="154" t="str">
        <f t="shared" si="101"/>
        <v>y</v>
      </c>
      <c r="IPI1" s="154" t="str">
        <f t="shared" si="101"/>
        <v>y</v>
      </c>
      <c r="IPJ1" s="154" t="str">
        <f t="shared" si="101"/>
        <v>y</v>
      </c>
      <c r="IPK1" s="154" t="str">
        <f t="shared" si="101"/>
        <v>y</v>
      </c>
      <c r="IPL1" s="154" t="str">
        <f t="shared" si="101"/>
        <v>y</v>
      </c>
      <c r="IPM1" s="154" t="str">
        <f t="shared" si="101"/>
        <v>y</v>
      </c>
      <c r="IPN1" s="154" t="str">
        <f t="shared" si="101"/>
        <v>y</v>
      </c>
      <c r="IPO1" s="154" t="str">
        <f t="shared" si="101"/>
        <v>y</v>
      </c>
      <c r="IPP1" s="154" t="str">
        <f t="shared" si="101"/>
        <v>y</v>
      </c>
      <c r="IPQ1" s="154" t="str">
        <f t="shared" si="101"/>
        <v>y</v>
      </c>
      <c r="IPR1" s="154" t="str">
        <f t="shared" si="101"/>
        <v>y</v>
      </c>
      <c r="IPS1" s="154" t="str">
        <f t="shared" si="101"/>
        <v>y</v>
      </c>
      <c r="IPT1" s="154" t="str">
        <f t="shared" si="101"/>
        <v>y</v>
      </c>
      <c r="IPU1" s="154" t="str">
        <f t="shared" si="101"/>
        <v>y</v>
      </c>
      <c r="IPV1" s="154" t="str">
        <f t="shared" si="101"/>
        <v>y</v>
      </c>
      <c r="IPW1" s="154" t="str">
        <f t="shared" si="101"/>
        <v>y</v>
      </c>
      <c r="IPX1" s="154" t="str">
        <f t="shared" si="101"/>
        <v>y</v>
      </c>
      <c r="IPY1" s="154" t="str">
        <f t="shared" si="101"/>
        <v>y</v>
      </c>
      <c r="IPZ1" s="154" t="str">
        <f t="shared" si="101"/>
        <v>y</v>
      </c>
      <c r="IQA1" s="154" t="str">
        <f t="shared" si="101"/>
        <v>y</v>
      </c>
      <c r="IQB1" s="154" t="str">
        <f t="shared" si="101"/>
        <v>y</v>
      </c>
      <c r="IQC1" s="154" t="str">
        <f t="shared" si="101"/>
        <v>y</v>
      </c>
      <c r="IQD1" s="154" t="str">
        <f t="shared" si="101"/>
        <v>y</v>
      </c>
      <c r="IQE1" s="154" t="str">
        <f t="shared" si="101"/>
        <v>y</v>
      </c>
      <c r="IQF1" s="154" t="str">
        <f t="shared" si="101"/>
        <v>y</v>
      </c>
      <c r="IQG1" s="154" t="str">
        <f t="shared" si="101"/>
        <v>y</v>
      </c>
      <c r="IQH1" s="154" t="str">
        <f t="shared" ref="IQH1:ISS1" si="102">IQH2&amp;"y"</f>
        <v>y</v>
      </c>
      <c r="IQI1" s="154" t="str">
        <f t="shared" si="102"/>
        <v>y</v>
      </c>
      <c r="IQJ1" s="154" t="str">
        <f t="shared" si="102"/>
        <v>y</v>
      </c>
      <c r="IQK1" s="154" t="str">
        <f t="shared" si="102"/>
        <v>y</v>
      </c>
      <c r="IQL1" s="154" t="str">
        <f t="shared" si="102"/>
        <v>y</v>
      </c>
      <c r="IQM1" s="154" t="str">
        <f t="shared" si="102"/>
        <v>y</v>
      </c>
      <c r="IQN1" s="154" t="str">
        <f t="shared" si="102"/>
        <v>y</v>
      </c>
      <c r="IQO1" s="154" t="str">
        <f t="shared" si="102"/>
        <v>y</v>
      </c>
      <c r="IQP1" s="154" t="str">
        <f t="shared" si="102"/>
        <v>y</v>
      </c>
      <c r="IQQ1" s="154" t="str">
        <f t="shared" si="102"/>
        <v>y</v>
      </c>
      <c r="IQR1" s="154" t="str">
        <f t="shared" si="102"/>
        <v>y</v>
      </c>
      <c r="IQS1" s="154" t="str">
        <f t="shared" si="102"/>
        <v>y</v>
      </c>
      <c r="IQT1" s="154" t="str">
        <f t="shared" si="102"/>
        <v>y</v>
      </c>
      <c r="IQU1" s="154" t="str">
        <f t="shared" si="102"/>
        <v>y</v>
      </c>
      <c r="IQV1" s="154" t="str">
        <f t="shared" si="102"/>
        <v>y</v>
      </c>
      <c r="IQW1" s="154" t="str">
        <f t="shared" si="102"/>
        <v>y</v>
      </c>
      <c r="IQX1" s="154" t="str">
        <f t="shared" si="102"/>
        <v>y</v>
      </c>
      <c r="IQY1" s="154" t="str">
        <f t="shared" si="102"/>
        <v>y</v>
      </c>
      <c r="IQZ1" s="154" t="str">
        <f t="shared" si="102"/>
        <v>y</v>
      </c>
      <c r="IRA1" s="154" t="str">
        <f t="shared" si="102"/>
        <v>y</v>
      </c>
      <c r="IRB1" s="154" t="str">
        <f t="shared" si="102"/>
        <v>y</v>
      </c>
      <c r="IRC1" s="154" t="str">
        <f t="shared" si="102"/>
        <v>y</v>
      </c>
      <c r="IRD1" s="154" t="str">
        <f t="shared" si="102"/>
        <v>y</v>
      </c>
      <c r="IRE1" s="154" t="str">
        <f t="shared" si="102"/>
        <v>y</v>
      </c>
      <c r="IRF1" s="154" t="str">
        <f t="shared" si="102"/>
        <v>y</v>
      </c>
      <c r="IRG1" s="154" t="str">
        <f t="shared" si="102"/>
        <v>y</v>
      </c>
      <c r="IRH1" s="154" t="str">
        <f t="shared" si="102"/>
        <v>y</v>
      </c>
      <c r="IRI1" s="154" t="str">
        <f t="shared" si="102"/>
        <v>y</v>
      </c>
      <c r="IRJ1" s="154" t="str">
        <f t="shared" si="102"/>
        <v>y</v>
      </c>
      <c r="IRK1" s="154" t="str">
        <f t="shared" si="102"/>
        <v>y</v>
      </c>
      <c r="IRL1" s="154" t="str">
        <f t="shared" si="102"/>
        <v>y</v>
      </c>
      <c r="IRM1" s="154" t="str">
        <f t="shared" si="102"/>
        <v>y</v>
      </c>
      <c r="IRN1" s="154" t="str">
        <f t="shared" si="102"/>
        <v>y</v>
      </c>
      <c r="IRO1" s="154" t="str">
        <f t="shared" si="102"/>
        <v>y</v>
      </c>
      <c r="IRP1" s="154" t="str">
        <f t="shared" si="102"/>
        <v>y</v>
      </c>
      <c r="IRQ1" s="154" t="str">
        <f t="shared" si="102"/>
        <v>y</v>
      </c>
      <c r="IRR1" s="154" t="str">
        <f t="shared" si="102"/>
        <v>y</v>
      </c>
      <c r="IRS1" s="154" t="str">
        <f t="shared" si="102"/>
        <v>y</v>
      </c>
      <c r="IRT1" s="154" t="str">
        <f t="shared" si="102"/>
        <v>y</v>
      </c>
      <c r="IRU1" s="154" t="str">
        <f t="shared" si="102"/>
        <v>y</v>
      </c>
      <c r="IRV1" s="154" t="str">
        <f t="shared" si="102"/>
        <v>y</v>
      </c>
      <c r="IRW1" s="154" t="str">
        <f t="shared" si="102"/>
        <v>y</v>
      </c>
      <c r="IRX1" s="154" t="str">
        <f t="shared" si="102"/>
        <v>y</v>
      </c>
      <c r="IRY1" s="154" t="str">
        <f t="shared" si="102"/>
        <v>y</v>
      </c>
      <c r="IRZ1" s="154" t="str">
        <f t="shared" si="102"/>
        <v>y</v>
      </c>
      <c r="ISA1" s="154" t="str">
        <f t="shared" si="102"/>
        <v>y</v>
      </c>
      <c r="ISB1" s="154" t="str">
        <f t="shared" si="102"/>
        <v>y</v>
      </c>
      <c r="ISC1" s="154" t="str">
        <f t="shared" si="102"/>
        <v>y</v>
      </c>
      <c r="ISD1" s="154" t="str">
        <f t="shared" si="102"/>
        <v>y</v>
      </c>
      <c r="ISE1" s="154" t="str">
        <f t="shared" si="102"/>
        <v>y</v>
      </c>
      <c r="ISF1" s="154" t="str">
        <f t="shared" si="102"/>
        <v>y</v>
      </c>
      <c r="ISG1" s="154" t="str">
        <f t="shared" si="102"/>
        <v>y</v>
      </c>
      <c r="ISH1" s="154" t="str">
        <f t="shared" si="102"/>
        <v>y</v>
      </c>
      <c r="ISI1" s="154" t="str">
        <f t="shared" si="102"/>
        <v>y</v>
      </c>
      <c r="ISJ1" s="154" t="str">
        <f t="shared" si="102"/>
        <v>y</v>
      </c>
      <c r="ISK1" s="154" t="str">
        <f t="shared" si="102"/>
        <v>y</v>
      </c>
      <c r="ISL1" s="154" t="str">
        <f t="shared" si="102"/>
        <v>y</v>
      </c>
      <c r="ISM1" s="154" t="str">
        <f t="shared" si="102"/>
        <v>y</v>
      </c>
      <c r="ISN1" s="154" t="str">
        <f t="shared" si="102"/>
        <v>y</v>
      </c>
      <c r="ISO1" s="154" t="str">
        <f t="shared" si="102"/>
        <v>y</v>
      </c>
      <c r="ISP1" s="154" t="str">
        <f t="shared" si="102"/>
        <v>y</v>
      </c>
      <c r="ISQ1" s="154" t="str">
        <f t="shared" si="102"/>
        <v>y</v>
      </c>
      <c r="ISR1" s="154" t="str">
        <f t="shared" si="102"/>
        <v>y</v>
      </c>
      <c r="ISS1" s="154" t="str">
        <f t="shared" si="102"/>
        <v>y</v>
      </c>
      <c r="IST1" s="154" t="str">
        <f t="shared" ref="IST1:IVE1" si="103">IST2&amp;"y"</f>
        <v>y</v>
      </c>
      <c r="ISU1" s="154" t="str">
        <f t="shared" si="103"/>
        <v>y</v>
      </c>
      <c r="ISV1" s="154" t="str">
        <f t="shared" si="103"/>
        <v>y</v>
      </c>
      <c r="ISW1" s="154" t="str">
        <f t="shared" si="103"/>
        <v>y</v>
      </c>
      <c r="ISX1" s="154" t="str">
        <f t="shared" si="103"/>
        <v>y</v>
      </c>
      <c r="ISY1" s="154" t="str">
        <f t="shared" si="103"/>
        <v>y</v>
      </c>
      <c r="ISZ1" s="154" t="str">
        <f t="shared" si="103"/>
        <v>y</v>
      </c>
      <c r="ITA1" s="154" t="str">
        <f t="shared" si="103"/>
        <v>y</v>
      </c>
      <c r="ITB1" s="154" t="str">
        <f t="shared" si="103"/>
        <v>y</v>
      </c>
      <c r="ITC1" s="154" t="str">
        <f t="shared" si="103"/>
        <v>y</v>
      </c>
      <c r="ITD1" s="154" t="str">
        <f t="shared" si="103"/>
        <v>y</v>
      </c>
      <c r="ITE1" s="154" t="str">
        <f t="shared" si="103"/>
        <v>y</v>
      </c>
      <c r="ITF1" s="154" t="str">
        <f t="shared" si="103"/>
        <v>y</v>
      </c>
      <c r="ITG1" s="154" t="str">
        <f t="shared" si="103"/>
        <v>y</v>
      </c>
      <c r="ITH1" s="154" t="str">
        <f t="shared" si="103"/>
        <v>y</v>
      </c>
      <c r="ITI1" s="154" t="str">
        <f t="shared" si="103"/>
        <v>y</v>
      </c>
      <c r="ITJ1" s="154" t="str">
        <f t="shared" si="103"/>
        <v>y</v>
      </c>
      <c r="ITK1" s="154" t="str">
        <f t="shared" si="103"/>
        <v>y</v>
      </c>
      <c r="ITL1" s="154" t="str">
        <f t="shared" si="103"/>
        <v>y</v>
      </c>
      <c r="ITM1" s="154" t="str">
        <f t="shared" si="103"/>
        <v>y</v>
      </c>
      <c r="ITN1" s="154" t="str">
        <f t="shared" si="103"/>
        <v>y</v>
      </c>
      <c r="ITO1" s="154" t="str">
        <f t="shared" si="103"/>
        <v>y</v>
      </c>
      <c r="ITP1" s="154" t="str">
        <f t="shared" si="103"/>
        <v>y</v>
      </c>
      <c r="ITQ1" s="154" t="str">
        <f t="shared" si="103"/>
        <v>y</v>
      </c>
      <c r="ITR1" s="154" t="str">
        <f t="shared" si="103"/>
        <v>y</v>
      </c>
      <c r="ITS1" s="154" t="str">
        <f t="shared" si="103"/>
        <v>y</v>
      </c>
      <c r="ITT1" s="154" t="str">
        <f t="shared" si="103"/>
        <v>y</v>
      </c>
      <c r="ITU1" s="154" t="str">
        <f t="shared" si="103"/>
        <v>y</v>
      </c>
      <c r="ITV1" s="154" t="str">
        <f t="shared" si="103"/>
        <v>y</v>
      </c>
      <c r="ITW1" s="154" t="str">
        <f t="shared" si="103"/>
        <v>y</v>
      </c>
      <c r="ITX1" s="154" t="str">
        <f t="shared" si="103"/>
        <v>y</v>
      </c>
      <c r="ITY1" s="154" t="str">
        <f t="shared" si="103"/>
        <v>y</v>
      </c>
      <c r="ITZ1" s="154" t="str">
        <f t="shared" si="103"/>
        <v>y</v>
      </c>
      <c r="IUA1" s="154" t="str">
        <f t="shared" si="103"/>
        <v>y</v>
      </c>
      <c r="IUB1" s="154" t="str">
        <f t="shared" si="103"/>
        <v>y</v>
      </c>
      <c r="IUC1" s="154" t="str">
        <f t="shared" si="103"/>
        <v>y</v>
      </c>
      <c r="IUD1" s="154" t="str">
        <f t="shared" si="103"/>
        <v>y</v>
      </c>
      <c r="IUE1" s="154" t="str">
        <f t="shared" si="103"/>
        <v>y</v>
      </c>
      <c r="IUF1" s="154" t="str">
        <f t="shared" si="103"/>
        <v>y</v>
      </c>
      <c r="IUG1" s="154" t="str">
        <f t="shared" si="103"/>
        <v>y</v>
      </c>
      <c r="IUH1" s="154" t="str">
        <f t="shared" si="103"/>
        <v>y</v>
      </c>
      <c r="IUI1" s="154" t="str">
        <f t="shared" si="103"/>
        <v>y</v>
      </c>
      <c r="IUJ1" s="154" t="str">
        <f t="shared" si="103"/>
        <v>y</v>
      </c>
      <c r="IUK1" s="154" t="str">
        <f t="shared" si="103"/>
        <v>y</v>
      </c>
      <c r="IUL1" s="154" t="str">
        <f t="shared" si="103"/>
        <v>y</v>
      </c>
      <c r="IUM1" s="154" t="str">
        <f t="shared" si="103"/>
        <v>y</v>
      </c>
      <c r="IUN1" s="154" t="str">
        <f t="shared" si="103"/>
        <v>y</v>
      </c>
      <c r="IUO1" s="154" t="str">
        <f t="shared" si="103"/>
        <v>y</v>
      </c>
      <c r="IUP1" s="154" t="str">
        <f t="shared" si="103"/>
        <v>y</v>
      </c>
      <c r="IUQ1" s="154" t="str">
        <f t="shared" si="103"/>
        <v>y</v>
      </c>
      <c r="IUR1" s="154" t="str">
        <f t="shared" si="103"/>
        <v>y</v>
      </c>
      <c r="IUS1" s="154" t="str">
        <f t="shared" si="103"/>
        <v>y</v>
      </c>
      <c r="IUT1" s="154" t="str">
        <f t="shared" si="103"/>
        <v>y</v>
      </c>
      <c r="IUU1" s="154" t="str">
        <f t="shared" si="103"/>
        <v>y</v>
      </c>
      <c r="IUV1" s="154" t="str">
        <f t="shared" si="103"/>
        <v>y</v>
      </c>
      <c r="IUW1" s="154" t="str">
        <f t="shared" si="103"/>
        <v>y</v>
      </c>
      <c r="IUX1" s="154" t="str">
        <f t="shared" si="103"/>
        <v>y</v>
      </c>
      <c r="IUY1" s="154" t="str">
        <f t="shared" si="103"/>
        <v>y</v>
      </c>
      <c r="IUZ1" s="154" t="str">
        <f t="shared" si="103"/>
        <v>y</v>
      </c>
      <c r="IVA1" s="154" t="str">
        <f t="shared" si="103"/>
        <v>y</v>
      </c>
      <c r="IVB1" s="154" t="str">
        <f t="shared" si="103"/>
        <v>y</v>
      </c>
      <c r="IVC1" s="154" t="str">
        <f t="shared" si="103"/>
        <v>y</v>
      </c>
      <c r="IVD1" s="154" t="str">
        <f t="shared" si="103"/>
        <v>y</v>
      </c>
      <c r="IVE1" s="154" t="str">
        <f t="shared" si="103"/>
        <v>y</v>
      </c>
      <c r="IVF1" s="154" t="str">
        <f t="shared" ref="IVF1:IXQ1" si="104">IVF2&amp;"y"</f>
        <v>y</v>
      </c>
      <c r="IVG1" s="154" t="str">
        <f t="shared" si="104"/>
        <v>y</v>
      </c>
      <c r="IVH1" s="154" t="str">
        <f t="shared" si="104"/>
        <v>y</v>
      </c>
      <c r="IVI1" s="154" t="str">
        <f t="shared" si="104"/>
        <v>y</v>
      </c>
      <c r="IVJ1" s="154" t="str">
        <f t="shared" si="104"/>
        <v>y</v>
      </c>
      <c r="IVK1" s="154" t="str">
        <f t="shared" si="104"/>
        <v>y</v>
      </c>
      <c r="IVL1" s="154" t="str">
        <f t="shared" si="104"/>
        <v>y</v>
      </c>
      <c r="IVM1" s="154" t="str">
        <f t="shared" si="104"/>
        <v>y</v>
      </c>
      <c r="IVN1" s="154" t="str">
        <f t="shared" si="104"/>
        <v>y</v>
      </c>
      <c r="IVO1" s="154" t="str">
        <f t="shared" si="104"/>
        <v>y</v>
      </c>
      <c r="IVP1" s="154" t="str">
        <f t="shared" si="104"/>
        <v>y</v>
      </c>
      <c r="IVQ1" s="154" t="str">
        <f t="shared" si="104"/>
        <v>y</v>
      </c>
      <c r="IVR1" s="154" t="str">
        <f t="shared" si="104"/>
        <v>y</v>
      </c>
      <c r="IVS1" s="154" t="str">
        <f t="shared" si="104"/>
        <v>y</v>
      </c>
      <c r="IVT1" s="154" t="str">
        <f t="shared" si="104"/>
        <v>y</v>
      </c>
      <c r="IVU1" s="154" t="str">
        <f t="shared" si="104"/>
        <v>y</v>
      </c>
      <c r="IVV1" s="154" t="str">
        <f t="shared" si="104"/>
        <v>y</v>
      </c>
      <c r="IVW1" s="154" t="str">
        <f t="shared" si="104"/>
        <v>y</v>
      </c>
      <c r="IVX1" s="154" t="str">
        <f t="shared" si="104"/>
        <v>y</v>
      </c>
      <c r="IVY1" s="154" t="str">
        <f t="shared" si="104"/>
        <v>y</v>
      </c>
      <c r="IVZ1" s="154" t="str">
        <f t="shared" si="104"/>
        <v>y</v>
      </c>
      <c r="IWA1" s="154" t="str">
        <f t="shared" si="104"/>
        <v>y</v>
      </c>
      <c r="IWB1" s="154" t="str">
        <f t="shared" si="104"/>
        <v>y</v>
      </c>
      <c r="IWC1" s="154" t="str">
        <f t="shared" si="104"/>
        <v>y</v>
      </c>
      <c r="IWD1" s="154" t="str">
        <f t="shared" si="104"/>
        <v>y</v>
      </c>
      <c r="IWE1" s="154" t="str">
        <f t="shared" si="104"/>
        <v>y</v>
      </c>
      <c r="IWF1" s="154" t="str">
        <f t="shared" si="104"/>
        <v>y</v>
      </c>
      <c r="IWG1" s="154" t="str">
        <f t="shared" si="104"/>
        <v>y</v>
      </c>
      <c r="IWH1" s="154" t="str">
        <f t="shared" si="104"/>
        <v>y</v>
      </c>
      <c r="IWI1" s="154" t="str">
        <f t="shared" si="104"/>
        <v>y</v>
      </c>
      <c r="IWJ1" s="154" t="str">
        <f t="shared" si="104"/>
        <v>y</v>
      </c>
      <c r="IWK1" s="154" t="str">
        <f t="shared" si="104"/>
        <v>y</v>
      </c>
      <c r="IWL1" s="154" t="str">
        <f t="shared" si="104"/>
        <v>y</v>
      </c>
      <c r="IWM1" s="154" t="str">
        <f t="shared" si="104"/>
        <v>y</v>
      </c>
      <c r="IWN1" s="154" t="str">
        <f t="shared" si="104"/>
        <v>y</v>
      </c>
      <c r="IWO1" s="154" t="str">
        <f t="shared" si="104"/>
        <v>y</v>
      </c>
      <c r="IWP1" s="154" t="str">
        <f t="shared" si="104"/>
        <v>y</v>
      </c>
      <c r="IWQ1" s="154" t="str">
        <f t="shared" si="104"/>
        <v>y</v>
      </c>
      <c r="IWR1" s="154" t="str">
        <f t="shared" si="104"/>
        <v>y</v>
      </c>
      <c r="IWS1" s="154" t="str">
        <f t="shared" si="104"/>
        <v>y</v>
      </c>
      <c r="IWT1" s="154" t="str">
        <f t="shared" si="104"/>
        <v>y</v>
      </c>
      <c r="IWU1" s="154" t="str">
        <f t="shared" si="104"/>
        <v>y</v>
      </c>
      <c r="IWV1" s="154" t="str">
        <f t="shared" si="104"/>
        <v>y</v>
      </c>
      <c r="IWW1" s="154" t="str">
        <f t="shared" si="104"/>
        <v>y</v>
      </c>
      <c r="IWX1" s="154" t="str">
        <f t="shared" si="104"/>
        <v>y</v>
      </c>
      <c r="IWY1" s="154" t="str">
        <f t="shared" si="104"/>
        <v>y</v>
      </c>
      <c r="IWZ1" s="154" t="str">
        <f t="shared" si="104"/>
        <v>y</v>
      </c>
      <c r="IXA1" s="154" t="str">
        <f t="shared" si="104"/>
        <v>y</v>
      </c>
      <c r="IXB1" s="154" t="str">
        <f t="shared" si="104"/>
        <v>y</v>
      </c>
      <c r="IXC1" s="154" t="str">
        <f t="shared" si="104"/>
        <v>y</v>
      </c>
      <c r="IXD1" s="154" t="str">
        <f t="shared" si="104"/>
        <v>y</v>
      </c>
      <c r="IXE1" s="154" t="str">
        <f t="shared" si="104"/>
        <v>y</v>
      </c>
      <c r="IXF1" s="154" t="str">
        <f t="shared" si="104"/>
        <v>y</v>
      </c>
      <c r="IXG1" s="154" t="str">
        <f t="shared" si="104"/>
        <v>y</v>
      </c>
      <c r="IXH1" s="154" t="str">
        <f t="shared" si="104"/>
        <v>y</v>
      </c>
      <c r="IXI1" s="154" t="str">
        <f t="shared" si="104"/>
        <v>y</v>
      </c>
      <c r="IXJ1" s="154" t="str">
        <f t="shared" si="104"/>
        <v>y</v>
      </c>
      <c r="IXK1" s="154" t="str">
        <f t="shared" si="104"/>
        <v>y</v>
      </c>
      <c r="IXL1" s="154" t="str">
        <f t="shared" si="104"/>
        <v>y</v>
      </c>
      <c r="IXM1" s="154" t="str">
        <f t="shared" si="104"/>
        <v>y</v>
      </c>
      <c r="IXN1" s="154" t="str">
        <f t="shared" si="104"/>
        <v>y</v>
      </c>
      <c r="IXO1" s="154" t="str">
        <f t="shared" si="104"/>
        <v>y</v>
      </c>
      <c r="IXP1" s="154" t="str">
        <f t="shared" si="104"/>
        <v>y</v>
      </c>
      <c r="IXQ1" s="154" t="str">
        <f t="shared" si="104"/>
        <v>y</v>
      </c>
      <c r="IXR1" s="154" t="str">
        <f t="shared" ref="IXR1:JAC1" si="105">IXR2&amp;"y"</f>
        <v>y</v>
      </c>
      <c r="IXS1" s="154" t="str">
        <f t="shared" si="105"/>
        <v>y</v>
      </c>
      <c r="IXT1" s="154" t="str">
        <f t="shared" si="105"/>
        <v>y</v>
      </c>
      <c r="IXU1" s="154" t="str">
        <f t="shared" si="105"/>
        <v>y</v>
      </c>
      <c r="IXV1" s="154" t="str">
        <f t="shared" si="105"/>
        <v>y</v>
      </c>
      <c r="IXW1" s="154" t="str">
        <f t="shared" si="105"/>
        <v>y</v>
      </c>
      <c r="IXX1" s="154" t="str">
        <f t="shared" si="105"/>
        <v>y</v>
      </c>
      <c r="IXY1" s="154" t="str">
        <f t="shared" si="105"/>
        <v>y</v>
      </c>
      <c r="IXZ1" s="154" t="str">
        <f t="shared" si="105"/>
        <v>y</v>
      </c>
      <c r="IYA1" s="154" t="str">
        <f t="shared" si="105"/>
        <v>y</v>
      </c>
      <c r="IYB1" s="154" t="str">
        <f t="shared" si="105"/>
        <v>y</v>
      </c>
      <c r="IYC1" s="154" t="str">
        <f t="shared" si="105"/>
        <v>y</v>
      </c>
      <c r="IYD1" s="154" t="str">
        <f t="shared" si="105"/>
        <v>y</v>
      </c>
      <c r="IYE1" s="154" t="str">
        <f t="shared" si="105"/>
        <v>y</v>
      </c>
      <c r="IYF1" s="154" t="str">
        <f t="shared" si="105"/>
        <v>y</v>
      </c>
      <c r="IYG1" s="154" t="str">
        <f t="shared" si="105"/>
        <v>y</v>
      </c>
      <c r="IYH1" s="154" t="str">
        <f t="shared" si="105"/>
        <v>y</v>
      </c>
      <c r="IYI1" s="154" t="str">
        <f t="shared" si="105"/>
        <v>y</v>
      </c>
      <c r="IYJ1" s="154" t="str">
        <f t="shared" si="105"/>
        <v>y</v>
      </c>
      <c r="IYK1" s="154" t="str">
        <f t="shared" si="105"/>
        <v>y</v>
      </c>
      <c r="IYL1" s="154" t="str">
        <f t="shared" si="105"/>
        <v>y</v>
      </c>
      <c r="IYM1" s="154" t="str">
        <f t="shared" si="105"/>
        <v>y</v>
      </c>
      <c r="IYN1" s="154" t="str">
        <f t="shared" si="105"/>
        <v>y</v>
      </c>
      <c r="IYO1" s="154" t="str">
        <f t="shared" si="105"/>
        <v>y</v>
      </c>
      <c r="IYP1" s="154" t="str">
        <f t="shared" si="105"/>
        <v>y</v>
      </c>
      <c r="IYQ1" s="154" t="str">
        <f t="shared" si="105"/>
        <v>y</v>
      </c>
      <c r="IYR1" s="154" t="str">
        <f t="shared" si="105"/>
        <v>y</v>
      </c>
      <c r="IYS1" s="154" t="str">
        <f t="shared" si="105"/>
        <v>y</v>
      </c>
      <c r="IYT1" s="154" t="str">
        <f t="shared" si="105"/>
        <v>y</v>
      </c>
      <c r="IYU1" s="154" t="str">
        <f t="shared" si="105"/>
        <v>y</v>
      </c>
      <c r="IYV1" s="154" t="str">
        <f t="shared" si="105"/>
        <v>y</v>
      </c>
      <c r="IYW1" s="154" t="str">
        <f t="shared" si="105"/>
        <v>y</v>
      </c>
      <c r="IYX1" s="154" t="str">
        <f t="shared" si="105"/>
        <v>y</v>
      </c>
      <c r="IYY1" s="154" t="str">
        <f t="shared" si="105"/>
        <v>y</v>
      </c>
      <c r="IYZ1" s="154" t="str">
        <f t="shared" si="105"/>
        <v>y</v>
      </c>
      <c r="IZA1" s="154" t="str">
        <f t="shared" si="105"/>
        <v>y</v>
      </c>
      <c r="IZB1" s="154" t="str">
        <f t="shared" si="105"/>
        <v>y</v>
      </c>
      <c r="IZC1" s="154" t="str">
        <f t="shared" si="105"/>
        <v>y</v>
      </c>
      <c r="IZD1" s="154" t="str">
        <f t="shared" si="105"/>
        <v>y</v>
      </c>
      <c r="IZE1" s="154" t="str">
        <f t="shared" si="105"/>
        <v>y</v>
      </c>
      <c r="IZF1" s="154" t="str">
        <f t="shared" si="105"/>
        <v>y</v>
      </c>
      <c r="IZG1" s="154" t="str">
        <f t="shared" si="105"/>
        <v>y</v>
      </c>
      <c r="IZH1" s="154" t="str">
        <f t="shared" si="105"/>
        <v>y</v>
      </c>
      <c r="IZI1" s="154" t="str">
        <f t="shared" si="105"/>
        <v>y</v>
      </c>
      <c r="IZJ1" s="154" t="str">
        <f t="shared" si="105"/>
        <v>y</v>
      </c>
      <c r="IZK1" s="154" t="str">
        <f t="shared" si="105"/>
        <v>y</v>
      </c>
      <c r="IZL1" s="154" t="str">
        <f t="shared" si="105"/>
        <v>y</v>
      </c>
      <c r="IZM1" s="154" t="str">
        <f t="shared" si="105"/>
        <v>y</v>
      </c>
      <c r="IZN1" s="154" t="str">
        <f t="shared" si="105"/>
        <v>y</v>
      </c>
      <c r="IZO1" s="154" t="str">
        <f t="shared" si="105"/>
        <v>y</v>
      </c>
      <c r="IZP1" s="154" t="str">
        <f t="shared" si="105"/>
        <v>y</v>
      </c>
      <c r="IZQ1" s="154" t="str">
        <f t="shared" si="105"/>
        <v>y</v>
      </c>
      <c r="IZR1" s="154" t="str">
        <f t="shared" si="105"/>
        <v>y</v>
      </c>
      <c r="IZS1" s="154" t="str">
        <f t="shared" si="105"/>
        <v>y</v>
      </c>
      <c r="IZT1" s="154" t="str">
        <f t="shared" si="105"/>
        <v>y</v>
      </c>
      <c r="IZU1" s="154" t="str">
        <f t="shared" si="105"/>
        <v>y</v>
      </c>
      <c r="IZV1" s="154" t="str">
        <f t="shared" si="105"/>
        <v>y</v>
      </c>
      <c r="IZW1" s="154" t="str">
        <f t="shared" si="105"/>
        <v>y</v>
      </c>
      <c r="IZX1" s="154" t="str">
        <f t="shared" si="105"/>
        <v>y</v>
      </c>
      <c r="IZY1" s="154" t="str">
        <f t="shared" si="105"/>
        <v>y</v>
      </c>
      <c r="IZZ1" s="154" t="str">
        <f t="shared" si="105"/>
        <v>y</v>
      </c>
      <c r="JAA1" s="154" t="str">
        <f t="shared" si="105"/>
        <v>y</v>
      </c>
      <c r="JAB1" s="154" t="str">
        <f t="shared" si="105"/>
        <v>y</v>
      </c>
      <c r="JAC1" s="154" t="str">
        <f t="shared" si="105"/>
        <v>y</v>
      </c>
      <c r="JAD1" s="154" t="str">
        <f t="shared" ref="JAD1:JCO1" si="106">JAD2&amp;"y"</f>
        <v>y</v>
      </c>
      <c r="JAE1" s="154" t="str">
        <f t="shared" si="106"/>
        <v>y</v>
      </c>
      <c r="JAF1" s="154" t="str">
        <f t="shared" si="106"/>
        <v>y</v>
      </c>
      <c r="JAG1" s="154" t="str">
        <f t="shared" si="106"/>
        <v>y</v>
      </c>
      <c r="JAH1" s="154" t="str">
        <f t="shared" si="106"/>
        <v>y</v>
      </c>
      <c r="JAI1" s="154" t="str">
        <f t="shared" si="106"/>
        <v>y</v>
      </c>
      <c r="JAJ1" s="154" t="str">
        <f t="shared" si="106"/>
        <v>y</v>
      </c>
      <c r="JAK1" s="154" t="str">
        <f t="shared" si="106"/>
        <v>y</v>
      </c>
      <c r="JAL1" s="154" t="str">
        <f t="shared" si="106"/>
        <v>y</v>
      </c>
      <c r="JAM1" s="154" t="str">
        <f t="shared" si="106"/>
        <v>y</v>
      </c>
      <c r="JAN1" s="154" t="str">
        <f t="shared" si="106"/>
        <v>y</v>
      </c>
      <c r="JAO1" s="154" t="str">
        <f t="shared" si="106"/>
        <v>y</v>
      </c>
      <c r="JAP1" s="154" t="str">
        <f t="shared" si="106"/>
        <v>y</v>
      </c>
      <c r="JAQ1" s="154" t="str">
        <f t="shared" si="106"/>
        <v>y</v>
      </c>
      <c r="JAR1" s="154" t="str">
        <f t="shared" si="106"/>
        <v>y</v>
      </c>
      <c r="JAS1" s="154" t="str">
        <f t="shared" si="106"/>
        <v>y</v>
      </c>
      <c r="JAT1" s="154" t="str">
        <f t="shared" si="106"/>
        <v>y</v>
      </c>
      <c r="JAU1" s="154" t="str">
        <f t="shared" si="106"/>
        <v>y</v>
      </c>
      <c r="JAV1" s="154" t="str">
        <f t="shared" si="106"/>
        <v>y</v>
      </c>
      <c r="JAW1" s="154" t="str">
        <f t="shared" si="106"/>
        <v>y</v>
      </c>
      <c r="JAX1" s="154" t="str">
        <f t="shared" si="106"/>
        <v>y</v>
      </c>
      <c r="JAY1" s="154" t="str">
        <f t="shared" si="106"/>
        <v>y</v>
      </c>
      <c r="JAZ1" s="154" t="str">
        <f t="shared" si="106"/>
        <v>y</v>
      </c>
      <c r="JBA1" s="154" t="str">
        <f t="shared" si="106"/>
        <v>y</v>
      </c>
      <c r="JBB1" s="154" t="str">
        <f t="shared" si="106"/>
        <v>y</v>
      </c>
      <c r="JBC1" s="154" t="str">
        <f t="shared" si="106"/>
        <v>y</v>
      </c>
      <c r="JBD1" s="154" t="str">
        <f t="shared" si="106"/>
        <v>y</v>
      </c>
      <c r="JBE1" s="154" t="str">
        <f t="shared" si="106"/>
        <v>y</v>
      </c>
      <c r="JBF1" s="154" t="str">
        <f t="shared" si="106"/>
        <v>y</v>
      </c>
      <c r="JBG1" s="154" t="str">
        <f t="shared" si="106"/>
        <v>y</v>
      </c>
      <c r="JBH1" s="154" t="str">
        <f t="shared" si="106"/>
        <v>y</v>
      </c>
      <c r="JBI1" s="154" t="str">
        <f t="shared" si="106"/>
        <v>y</v>
      </c>
      <c r="JBJ1" s="154" t="str">
        <f t="shared" si="106"/>
        <v>y</v>
      </c>
      <c r="JBK1" s="154" t="str">
        <f t="shared" si="106"/>
        <v>y</v>
      </c>
      <c r="JBL1" s="154" t="str">
        <f t="shared" si="106"/>
        <v>y</v>
      </c>
      <c r="JBM1" s="154" t="str">
        <f t="shared" si="106"/>
        <v>y</v>
      </c>
      <c r="JBN1" s="154" t="str">
        <f t="shared" si="106"/>
        <v>y</v>
      </c>
      <c r="JBO1" s="154" t="str">
        <f t="shared" si="106"/>
        <v>y</v>
      </c>
      <c r="JBP1" s="154" t="str">
        <f t="shared" si="106"/>
        <v>y</v>
      </c>
      <c r="JBQ1" s="154" t="str">
        <f t="shared" si="106"/>
        <v>y</v>
      </c>
      <c r="JBR1" s="154" t="str">
        <f t="shared" si="106"/>
        <v>y</v>
      </c>
      <c r="JBS1" s="154" t="str">
        <f t="shared" si="106"/>
        <v>y</v>
      </c>
      <c r="JBT1" s="154" t="str">
        <f t="shared" si="106"/>
        <v>y</v>
      </c>
      <c r="JBU1" s="154" t="str">
        <f t="shared" si="106"/>
        <v>y</v>
      </c>
      <c r="JBV1" s="154" t="str">
        <f t="shared" si="106"/>
        <v>y</v>
      </c>
      <c r="JBW1" s="154" t="str">
        <f t="shared" si="106"/>
        <v>y</v>
      </c>
      <c r="JBX1" s="154" t="str">
        <f t="shared" si="106"/>
        <v>y</v>
      </c>
      <c r="JBY1" s="154" t="str">
        <f t="shared" si="106"/>
        <v>y</v>
      </c>
      <c r="JBZ1" s="154" t="str">
        <f t="shared" si="106"/>
        <v>y</v>
      </c>
      <c r="JCA1" s="154" t="str">
        <f t="shared" si="106"/>
        <v>y</v>
      </c>
      <c r="JCB1" s="154" t="str">
        <f t="shared" si="106"/>
        <v>y</v>
      </c>
      <c r="JCC1" s="154" t="str">
        <f t="shared" si="106"/>
        <v>y</v>
      </c>
      <c r="JCD1" s="154" t="str">
        <f t="shared" si="106"/>
        <v>y</v>
      </c>
      <c r="JCE1" s="154" t="str">
        <f t="shared" si="106"/>
        <v>y</v>
      </c>
      <c r="JCF1" s="154" t="str">
        <f t="shared" si="106"/>
        <v>y</v>
      </c>
      <c r="JCG1" s="154" t="str">
        <f t="shared" si="106"/>
        <v>y</v>
      </c>
      <c r="JCH1" s="154" t="str">
        <f t="shared" si="106"/>
        <v>y</v>
      </c>
      <c r="JCI1" s="154" t="str">
        <f t="shared" si="106"/>
        <v>y</v>
      </c>
      <c r="JCJ1" s="154" t="str">
        <f t="shared" si="106"/>
        <v>y</v>
      </c>
      <c r="JCK1" s="154" t="str">
        <f t="shared" si="106"/>
        <v>y</v>
      </c>
      <c r="JCL1" s="154" t="str">
        <f t="shared" si="106"/>
        <v>y</v>
      </c>
      <c r="JCM1" s="154" t="str">
        <f t="shared" si="106"/>
        <v>y</v>
      </c>
      <c r="JCN1" s="154" t="str">
        <f t="shared" si="106"/>
        <v>y</v>
      </c>
      <c r="JCO1" s="154" t="str">
        <f t="shared" si="106"/>
        <v>y</v>
      </c>
      <c r="JCP1" s="154" t="str">
        <f t="shared" ref="JCP1:JFA1" si="107">JCP2&amp;"y"</f>
        <v>y</v>
      </c>
      <c r="JCQ1" s="154" t="str">
        <f t="shared" si="107"/>
        <v>y</v>
      </c>
      <c r="JCR1" s="154" t="str">
        <f t="shared" si="107"/>
        <v>y</v>
      </c>
      <c r="JCS1" s="154" t="str">
        <f t="shared" si="107"/>
        <v>y</v>
      </c>
      <c r="JCT1" s="154" t="str">
        <f t="shared" si="107"/>
        <v>y</v>
      </c>
      <c r="JCU1" s="154" t="str">
        <f t="shared" si="107"/>
        <v>y</v>
      </c>
      <c r="JCV1" s="154" t="str">
        <f t="shared" si="107"/>
        <v>y</v>
      </c>
      <c r="JCW1" s="154" t="str">
        <f t="shared" si="107"/>
        <v>y</v>
      </c>
      <c r="JCX1" s="154" t="str">
        <f t="shared" si="107"/>
        <v>y</v>
      </c>
      <c r="JCY1" s="154" t="str">
        <f t="shared" si="107"/>
        <v>y</v>
      </c>
      <c r="JCZ1" s="154" t="str">
        <f t="shared" si="107"/>
        <v>y</v>
      </c>
      <c r="JDA1" s="154" t="str">
        <f t="shared" si="107"/>
        <v>y</v>
      </c>
      <c r="JDB1" s="154" t="str">
        <f t="shared" si="107"/>
        <v>y</v>
      </c>
      <c r="JDC1" s="154" t="str">
        <f t="shared" si="107"/>
        <v>y</v>
      </c>
      <c r="JDD1" s="154" t="str">
        <f t="shared" si="107"/>
        <v>y</v>
      </c>
      <c r="JDE1" s="154" t="str">
        <f t="shared" si="107"/>
        <v>y</v>
      </c>
      <c r="JDF1" s="154" t="str">
        <f t="shared" si="107"/>
        <v>y</v>
      </c>
      <c r="JDG1" s="154" t="str">
        <f t="shared" si="107"/>
        <v>y</v>
      </c>
      <c r="JDH1" s="154" t="str">
        <f t="shared" si="107"/>
        <v>y</v>
      </c>
      <c r="JDI1" s="154" t="str">
        <f t="shared" si="107"/>
        <v>y</v>
      </c>
      <c r="JDJ1" s="154" t="str">
        <f t="shared" si="107"/>
        <v>y</v>
      </c>
      <c r="JDK1" s="154" t="str">
        <f t="shared" si="107"/>
        <v>y</v>
      </c>
      <c r="JDL1" s="154" t="str">
        <f t="shared" si="107"/>
        <v>y</v>
      </c>
      <c r="JDM1" s="154" t="str">
        <f t="shared" si="107"/>
        <v>y</v>
      </c>
      <c r="JDN1" s="154" t="str">
        <f t="shared" si="107"/>
        <v>y</v>
      </c>
      <c r="JDO1" s="154" t="str">
        <f t="shared" si="107"/>
        <v>y</v>
      </c>
      <c r="JDP1" s="154" t="str">
        <f t="shared" si="107"/>
        <v>y</v>
      </c>
      <c r="JDQ1" s="154" t="str">
        <f t="shared" si="107"/>
        <v>y</v>
      </c>
      <c r="JDR1" s="154" t="str">
        <f t="shared" si="107"/>
        <v>y</v>
      </c>
      <c r="JDS1" s="154" t="str">
        <f t="shared" si="107"/>
        <v>y</v>
      </c>
      <c r="JDT1" s="154" t="str">
        <f t="shared" si="107"/>
        <v>y</v>
      </c>
      <c r="JDU1" s="154" t="str">
        <f t="shared" si="107"/>
        <v>y</v>
      </c>
      <c r="JDV1" s="154" t="str">
        <f t="shared" si="107"/>
        <v>y</v>
      </c>
      <c r="JDW1" s="154" t="str">
        <f t="shared" si="107"/>
        <v>y</v>
      </c>
      <c r="JDX1" s="154" t="str">
        <f t="shared" si="107"/>
        <v>y</v>
      </c>
      <c r="JDY1" s="154" t="str">
        <f t="shared" si="107"/>
        <v>y</v>
      </c>
      <c r="JDZ1" s="154" t="str">
        <f t="shared" si="107"/>
        <v>y</v>
      </c>
      <c r="JEA1" s="154" t="str">
        <f t="shared" si="107"/>
        <v>y</v>
      </c>
      <c r="JEB1" s="154" t="str">
        <f t="shared" si="107"/>
        <v>y</v>
      </c>
      <c r="JEC1" s="154" t="str">
        <f t="shared" si="107"/>
        <v>y</v>
      </c>
      <c r="JED1" s="154" t="str">
        <f t="shared" si="107"/>
        <v>y</v>
      </c>
      <c r="JEE1" s="154" t="str">
        <f t="shared" si="107"/>
        <v>y</v>
      </c>
      <c r="JEF1" s="154" t="str">
        <f t="shared" si="107"/>
        <v>y</v>
      </c>
      <c r="JEG1" s="154" t="str">
        <f t="shared" si="107"/>
        <v>y</v>
      </c>
      <c r="JEH1" s="154" t="str">
        <f t="shared" si="107"/>
        <v>y</v>
      </c>
      <c r="JEI1" s="154" t="str">
        <f t="shared" si="107"/>
        <v>y</v>
      </c>
      <c r="JEJ1" s="154" t="str">
        <f t="shared" si="107"/>
        <v>y</v>
      </c>
      <c r="JEK1" s="154" t="str">
        <f t="shared" si="107"/>
        <v>y</v>
      </c>
      <c r="JEL1" s="154" t="str">
        <f t="shared" si="107"/>
        <v>y</v>
      </c>
      <c r="JEM1" s="154" t="str">
        <f t="shared" si="107"/>
        <v>y</v>
      </c>
      <c r="JEN1" s="154" t="str">
        <f t="shared" si="107"/>
        <v>y</v>
      </c>
      <c r="JEO1" s="154" t="str">
        <f t="shared" si="107"/>
        <v>y</v>
      </c>
      <c r="JEP1" s="154" t="str">
        <f t="shared" si="107"/>
        <v>y</v>
      </c>
      <c r="JEQ1" s="154" t="str">
        <f t="shared" si="107"/>
        <v>y</v>
      </c>
      <c r="JER1" s="154" t="str">
        <f t="shared" si="107"/>
        <v>y</v>
      </c>
      <c r="JES1" s="154" t="str">
        <f t="shared" si="107"/>
        <v>y</v>
      </c>
      <c r="JET1" s="154" t="str">
        <f t="shared" si="107"/>
        <v>y</v>
      </c>
      <c r="JEU1" s="154" t="str">
        <f t="shared" si="107"/>
        <v>y</v>
      </c>
      <c r="JEV1" s="154" t="str">
        <f t="shared" si="107"/>
        <v>y</v>
      </c>
      <c r="JEW1" s="154" t="str">
        <f t="shared" si="107"/>
        <v>y</v>
      </c>
      <c r="JEX1" s="154" t="str">
        <f t="shared" si="107"/>
        <v>y</v>
      </c>
      <c r="JEY1" s="154" t="str">
        <f t="shared" si="107"/>
        <v>y</v>
      </c>
      <c r="JEZ1" s="154" t="str">
        <f t="shared" si="107"/>
        <v>y</v>
      </c>
      <c r="JFA1" s="154" t="str">
        <f t="shared" si="107"/>
        <v>y</v>
      </c>
      <c r="JFB1" s="154" t="str">
        <f t="shared" ref="JFB1:JHM1" si="108">JFB2&amp;"y"</f>
        <v>y</v>
      </c>
      <c r="JFC1" s="154" t="str">
        <f t="shared" si="108"/>
        <v>y</v>
      </c>
      <c r="JFD1" s="154" t="str">
        <f t="shared" si="108"/>
        <v>y</v>
      </c>
      <c r="JFE1" s="154" t="str">
        <f t="shared" si="108"/>
        <v>y</v>
      </c>
      <c r="JFF1" s="154" t="str">
        <f t="shared" si="108"/>
        <v>y</v>
      </c>
      <c r="JFG1" s="154" t="str">
        <f t="shared" si="108"/>
        <v>y</v>
      </c>
      <c r="JFH1" s="154" t="str">
        <f t="shared" si="108"/>
        <v>y</v>
      </c>
      <c r="JFI1" s="154" t="str">
        <f t="shared" si="108"/>
        <v>y</v>
      </c>
      <c r="JFJ1" s="154" t="str">
        <f t="shared" si="108"/>
        <v>y</v>
      </c>
      <c r="JFK1" s="154" t="str">
        <f t="shared" si="108"/>
        <v>y</v>
      </c>
      <c r="JFL1" s="154" t="str">
        <f t="shared" si="108"/>
        <v>y</v>
      </c>
      <c r="JFM1" s="154" t="str">
        <f t="shared" si="108"/>
        <v>y</v>
      </c>
      <c r="JFN1" s="154" t="str">
        <f t="shared" si="108"/>
        <v>y</v>
      </c>
      <c r="JFO1" s="154" t="str">
        <f t="shared" si="108"/>
        <v>y</v>
      </c>
      <c r="JFP1" s="154" t="str">
        <f t="shared" si="108"/>
        <v>y</v>
      </c>
      <c r="JFQ1" s="154" t="str">
        <f t="shared" si="108"/>
        <v>y</v>
      </c>
      <c r="JFR1" s="154" t="str">
        <f t="shared" si="108"/>
        <v>y</v>
      </c>
      <c r="JFS1" s="154" t="str">
        <f t="shared" si="108"/>
        <v>y</v>
      </c>
      <c r="JFT1" s="154" t="str">
        <f t="shared" si="108"/>
        <v>y</v>
      </c>
      <c r="JFU1" s="154" t="str">
        <f t="shared" si="108"/>
        <v>y</v>
      </c>
      <c r="JFV1" s="154" t="str">
        <f t="shared" si="108"/>
        <v>y</v>
      </c>
      <c r="JFW1" s="154" t="str">
        <f t="shared" si="108"/>
        <v>y</v>
      </c>
      <c r="JFX1" s="154" t="str">
        <f t="shared" si="108"/>
        <v>y</v>
      </c>
      <c r="JFY1" s="154" t="str">
        <f t="shared" si="108"/>
        <v>y</v>
      </c>
      <c r="JFZ1" s="154" t="str">
        <f t="shared" si="108"/>
        <v>y</v>
      </c>
      <c r="JGA1" s="154" t="str">
        <f t="shared" si="108"/>
        <v>y</v>
      </c>
      <c r="JGB1" s="154" t="str">
        <f t="shared" si="108"/>
        <v>y</v>
      </c>
      <c r="JGC1" s="154" t="str">
        <f t="shared" si="108"/>
        <v>y</v>
      </c>
      <c r="JGD1" s="154" t="str">
        <f t="shared" si="108"/>
        <v>y</v>
      </c>
      <c r="JGE1" s="154" t="str">
        <f t="shared" si="108"/>
        <v>y</v>
      </c>
      <c r="JGF1" s="154" t="str">
        <f t="shared" si="108"/>
        <v>y</v>
      </c>
      <c r="JGG1" s="154" t="str">
        <f t="shared" si="108"/>
        <v>y</v>
      </c>
      <c r="JGH1" s="154" t="str">
        <f t="shared" si="108"/>
        <v>y</v>
      </c>
      <c r="JGI1" s="154" t="str">
        <f t="shared" si="108"/>
        <v>y</v>
      </c>
      <c r="JGJ1" s="154" t="str">
        <f t="shared" si="108"/>
        <v>y</v>
      </c>
      <c r="JGK1" s="154" t="str">
        <f t="shared" si="108"/>
        <v>y</v>
      </c>
      <c r="JGL1" s="154" t="str">
        <f t="shared" si="108"/>
        <v>y</v>
      </c>
      <c r="JGM1" s="154" t="str">
        <f t="shared" si="108"/>
        <v>y</v>
      </c>
      <c r="JGN1" s="154" t="str">
        <f t="shared" si="108"/>
        <v>y</v>
      </c>
      <c r="JGO1" s="154" t="str">
        <f t="shared" si="108"/>
        <v>y</v>
      </c>
      <c r="JGP1" s="154" t="str">
        <f t="shared" si="108"/>
        <v>y</v>
      </c>
      <c r="JGQ1" s="154" t="str">
        <f t="shared" si="108"/>
        <v>y</v>
      </c>
      <c r="JGR1" s="154" t="str">
        <f t="shared" si="108"/>
        <v>y</v>
      </c>
      <c r="JGS1" s="154" t="str">
        <f t="shared" si="108"/>
        <v>y</v>
      </c>
      <c r="JGT1" s="154" t="str">
        <f t="shared" si="108"/>
        <v>y</v>
      </c>
      <c r="JGU1" s="154" t="str">
        <f t="shared" si="108"/>
        <v>y</v>
      </c>
      <c r="JGV1" s="154" t="str">
        <f t="shared" si="108"/>
        <v>y</v>
      </c>
      <c r="JGW1" s="154" t="str">
        <f t="shared" si="108"/>
        <v>y</v>
      </c>
      <c r="JGX1" s="154" t="str">
        <f t="shared" si="108"/>
        <v>y</v>
      </c>
      <c r="JGY1" s="154" t="str">
        <f t="shared" si="108"/>
        <v>y</v>
      </c>
      <c r="JGZ1" s="154" t="str">
        <f t="shared" si="108"/>
        <v>y</v>
      </c>
      <c r="JHA1" s="154" t="str">
        <f t="shared" si="108"/>
        <v>y</v>
      </c>
      <c r="JHB1" s="154" t="str">
        <f t="shared" si="108"/>
        <v>y</v>
      </c>
      <c r="JHC1" s="154" t="str">
        <f t="shared" si="108"/>
        <v>y</v>
      </c>
      <c r="JHD1" s="154" t="str">
        <f t="shared" si="108"/>
        <v>y</v>
      </c>
      <c r="JHE1" s="154" t="str">
        <f t="shared" si="108"/>
        <v>y</v>
      </c>
      <c r="JHF1" s="154" t="str">
        <f t="shared" si="108"/>
        <v>y</v>
      </c>
      <c r="JHG1" s="154" t="str">
        <f t="shared" si="108"/>
        <v>y</v>
      </c>
      <c r="JHH1" s="154" t="str">
        <f t="shared" si="108"/>
        <v>y</v>
      </c>
      <c r="JHI1" s="154" t="str">
        <f t="shared" si="108"/>
        <v>y</v>
      </c>
      <c r="JHJ1" s="154" t="str">
        <f t="shared" si="108"/>
        <v>y</v>
      </c>
      <c r="JHK1" s="154" t="str">
        <f t="shared" si="108"/>
        <v>y</v>
      </c>
      <c r="JHL1" s="154" t="str">
        <f t="shared" si="108"/>
        <v>y</v>
      </c>
      <c r="JHM1" s="154" t="str">
        <f t="shared" si="108"/>
        <v>y</v>
      </c>
      <c r="JHN1" s="154" t="str">
        <f t="shared" ref="JHN1:JJY1" si="109">JHN2&amp;"y"</f>
        <v>y</v>
      </c>
      <c r="JHO1" s="154" t="str">
        <f t="shared" si="109"/>
        <v>y</v>
      </c>
      <c r="JHP1" s="154" t="str">
        <f t="shared" si="109"/>
        <v>y</v>
      </c>
      <c r="JHQ1" s="154" t="str">
        <f t="shared" si="109"/>
        <v>y</v>
      </c>
      <c r="JHR1" s="154" t="str">
        <f t="shared" si="109"/>
        <v>y</v>
      </c>
      <c r="JHS1" s="154" t="str">
        <f t="shared" si="109"/>
        <v>y</v>
      </c>
      <c r="JHT1" s="154" t="str">
        <f t="shared" si="109"/>
        <v>y</v>
      </c>
      <c r="JHU1" s="154" t="str">
        <f t="shared" si="109"/>
        <v>y</v>
      </c>
      <c r="JHV1" s="154" t="str">
        <f t="shared" si="109"/>
        <v>y</v>
      </c>
      <c r="JHW1" s="154" t="str">
        <f t="shared" si="109"/>
        <v>y</v>
      </c>
      <c r="JHX1" s="154" t="str">
        <f t="shared" si="109"/>
        <v>y</v>
      </c>
      <c r="JHY1" s="154" t="str">
        <f t="shared" si="109"/>
        <v>y</v>
      </c>
      <c r="JHZ1" s="154" t="str">
        <f t="shared" si="109"/>
        <v>y</v>
      </c>
      <c r="JIA1" s="154" t="str">
        <f t="shared" si="109"/>
        <v>y</v>
      </c>
      <c r="JIB1" s="154" t="str">
        <f t="shared" si="109"/>
        <v>y</v>
      </c>
      <c r="JIC1" s="154" t="str">
        <f t="shared" si="109"/>
        <v>y</v>
      </c>
      <c r="JID1" s="154" t="str">
        <f t="shared" si="109"/>
        <v>y</v>
      </c>
      <c r="JIE1" s="154" t="str">
        <f t="shared" si="109"/>
        <v>y</v>
      </c>
      <c r="JIF1" s="154" t="str">
        <f t="shared" si="109"/>
        <v>y</v>
      </c>
      <c r="JIG1" s="154" t="str">
        <f t="shared" si="109"/>
        <v>y</v>
      </c>
      <c r="JIH1" s="154" t="str">
        <f t="shared" si="109"/>
        <v>y</v>
      </c>
      <c r="JII1" s="154" t="str">
        <f t="shared" si="109"/>
        <v>y</v>
      </c>
      <c r="JIJ1" s="154" t="str">
        <f t="shared" si="109"/>
        <v>y</v>
      </c>
      <c r="JIK1" s="154" t="str">
        <f t="shared" si="109"/>
        <v>y</v>
      </c>
      <c r="JIL1" s="154" t="str">
        <f t="shared" si="109"/>
        <v>y</v>
      </c>
      <c r="JIM1" s="154" t="str">
        <f t="shared" si="109"/>
        <v>y</v>
      </c>
      <c r="JIN1" s="154" t="str">
        <f t="shared" si="109"/>
        <v>y</v>
      </c>
      <c r="JIO1" s="154" t="str">
        <f t="shared" si="109"/>
        <v>y</v>
      </c>
      <c r="JIP1" s="154" t="str">
        <f t="shared" si="109"/>
        <v>y</v>
      </c>
      <c r="JIQ1" s="154" t="str">
        <f t="shared" si="109"/>
        <v>y</v>
      </c>
      <c r="JIR1" s="154" t="str">
        <f t="shared" si="109"/>
        <v>y</v>
      </c>
      <c r="JIS1" s="154" t="str">
        <f t="shared" si="109"/>
        <v>y</v>
      </c>
      <c r="JIT1" s="154" t="str">
        <f t="shared" si="109"/>
        <v>y</v>
      </c>
      <c r="JIU1" s="154" t="str">
        <f t="shared" si="109"/>
        <v>y</v>
      </c>
      <c r="JIV1" s="154" t="str">
        <f t="shared" si="109"/>
        <v>y</v>
      </c>
      <c r="JIW1" s="154" t="str">
        <f t="shared" si="109"/>
        <v>y</v>
      </c>
      <c r="JIX1" s="154" t="str">
        <f t="shared" si="109"/>
        <v>y</v>
      </c>
      <c r="JIY1" s="154" t="str">
        <f t="shared" si="109"/>
        <v>y</v>
      </c>
      <c r="JIZ1" s="154" t="str">
        <f t="shared" si="109"/>
        <v>y</v>
      </c>
      <c r="JJA1" s="154" t="str">
        <f t="shared" si="109"/>
        <v>y</v>
      </c>
      <c r="JJB1" s="154" t="str">
        <f t="shared" si="109"/>
        <v>y</v>
      </c>
      <c r="JJC1" s="154" t="str">
        <f t="shared" si="109"/>
        <v>y</v>
      </c>
      <c r="JJD1" s="154" t="str">
        <f t="shared" si="109"/>
        <v>y</v>
      </c>
      <c r="JJE1" s="154" t="str">
        <f t="shared" si="109"/>
        <v>y</v>
      </c>
      <c r="JJF1" s="154" t="str">
        <f t="shared" si="109"/>
        <v>y</v>
      </c>
      <c r="JJG1" s="154" t="str">
        <f t="shared" si="109"/>
        <v>y</v>
      </c>
      <c r="JJH1" s="154" t="str">
        <f t="shared" si="109"/>
        <v>y</v>
      </c>
      <c r="JJI1" s="154" t="str">
        <f t="shared" si="109"/>
        <v>y</v>
      </c>
      <c r="JJJ1" s="154" t="str">
        <f t="shared" si="109"/>
        <v>y</v>
      </c>
      <c r="JJK1" s="154" t="str">
        <f t="shared" si="109"/>
        <v>y</v>
      </c>
      <c r="JJL1" s="154" t="str">
        <f t="shared" si="109"/>
        <v>y</v>
      </c>
      <c r="JJM1" s="154" t="str">
        <f t="shared" si="109"/>
        <v>y</v>
      </c>
      <c r="JJN1" s="154" t="str">
        <f t="shared" si="109"/>
        <v>y</v>
      </c>
      <c r="JJO1" s="154" t="str">
        <f t="shared" si="109"/>
        <v>y</v>
      </c>
      <c r="JJP1" s="154" t="str">
        <f t="shared" si="109"/>
        <v>y</v>
      </c>
      <c r="JJQ1" s="154" t="str">
        <f t="shared" si="109"/>
        <v>y</v>
      </c>
      <c r="JJR1" s="154" t="str">
        <f t="shared" si="109"/>
        <v>y</v>
      </c>
      <c r="JJS1" s="154" t="str">
        <f t="shared" si="109"/>
        <v>y</v>
      </c>
      <c r="JJT1" s="154" t="str">
        <f t="shared" si="109"/>
        <v>y</v>
      </c>
      <c r="JJU1" s="154" t="str">
        <f t="shared" si="109"/>
        <v>y</v>
      </c>
      <c r="JJV1" s="154" t="str">
        <f t="shared" si="109"/>
        <v>y</v>
      </c>
      <c r="JJW1" s="154" t="str">
        <f t="shared" si="109"/>
        <v>y</v>
      </c>
      <c r="JJX1" s="154" t="str">
        <f t="shared" si="109"/>
        <v>y</v>
      </c>
      <c r="JJY1" s="154" t="str">
        <f t="shared" si="109"/>
        <v>y</v>
      </c>
      <c r="JJZ1" s="154" t="str">
        <f t="shared" ref="JJZ1:JMK1" si="110">JJZ2&amp;"y"</f>
        <v>y</v>
      </c>
      <c r="JKA1" s="154" t="str">
        <f t="shared" si="110"/>
        <v>y</v>
      </c>
      <c r="JKB1" s="154" t="str">
        <f t="shared" si="110"/>
        <v>y</v>
      </c>
      <c r="JKC1" s="154" t="str">
        <f t="shared" si="110"/>
        <v>y</v>
      </c>
      <c r="JKD1" s="154" t="str">
        <f t="shared" si="110"/>
        <v>y</v>
      </c>
      <c r="JKE1" s="154" t="str">
        <f t="shared" si="110"/>
        <v>y</v>
      </c>
      <c r="JKF1" s="154" t="str">
        <f t="shared" si="110"/>
        <v>y</v>
      </c>
      <c r="JKG1" s="154" t="str">
        <f t="shared" si="110"/>
        <v>y</v>
      </c>
      <c r="JKH1" s="154" t="str">
        <f t="shared" si="110"/>
        <v>y</v>
      </c>
      <c r="JKI1" s="154" t="str">
        <f t="shared" si="110"/>
        <v>y</v>
      </c>
      <c r="JKJ1" s="154" t="str">
        <f t="shared" si="110"/>
        <v>y</v>
      </c>
      <c r="JKK1" s="154" t="str">
        <f t="shared" si="110"/>
        <v>y</v>
      </c>
      <c r="JKL1" s="154" t="str">
        <f t="shared" si="110"/>
        <v>y</v>
      </c>
      <c r="JKM1" s="154" t="str">
        <f t="shared" si="110"/>
        <v>y</v>
      </c>
      <c r="JKN1" s="154" t="str">
        <f t="shared" si="110"/>
        <v>y</v>
      </c>
      <c r="JKO1" s="154" t="str">
        <f t="shared" si="110"/>
        <v>y</v>
      </c>
      <c r="JKP1" s="154" t="str">
        <f t="shared" si="110"/>
        <v>y</v>
      </c>
      <c r="JKQ1" s="154" t="str">
        <f t="shared" si="110"/>
        <v>y</v>
      </c>
      <c r="JKR1" s="154" t="str">
        <f t="shared" si="110"/>
        <v>y</v>
      </c>
      <c r="JKS1" s="154" t="str">
        <f t="shared" si="110"/>
        <v>y</v>
      </c>
      <c r="JKT1" s="154" t="str">
        <f t="shared" si="110"/>
        <v>y</v>
      </c>
      <c r="JKU1" s="154" t="str">
        <f t="shared" si="110"/>
        <v>y</v>
      </c>
      <c r="JKV1" s="154" t="str">
        <f t="shared" si="110"/>
        <v>y</v>
      </c>
      <c r="JKW1" s="154" t="str">
        <f t="shared" si="110"/>
        <v>y</v>
      </c>
      <c r="JKX1" s="154" t="str">
        <f t="shared" si="110"/>
        <v>y</v>
      </c>
      <c r="JKY1" s="154" t="str">
        <f t="shared" si="110"/>
        <v>y</v>
      </c>
      <c r="JKZ1" s="154" t="str">
        <f t="shared" si="110"/>
        <v>y</v>
      </c>
      <c r="JLA1" s="154" t="str">
        <f t="shared" si="110"/>
        <v>y</v>
      </c>
      <c r="JLB1" s="154" t="str">
        <f t="shared" si="110"/>
        <v>y</v>
      </c>
      <c r="JLC1" s="154" t="str">
        <f t="shared" si="110"/>
        <v>y</v>
      </c>
      <c r="JLD1" s="154" t="str">
        <f t="shared" si="110"/>
        <v>y</v>
      </c>
      <c r="JLE1" s="154" t="str">
        <f t="shared" si="110"/>
        <v>y</v>
      </c>
      <c r="JLF1" s="154" t="str">
        <f t="shared" si="110"/>
        <v>y</v>
      </c>
      <c r="JLG1" s="154" t="str">
        <f t="shared" si="110"/>
        <v>y</v>
      </c>
      <c r="JLH1" s="154" t="str">
        <f t="shared" si="110"/>
        <v>y</v>
      </c>
      <c r="JLI1" s="154" t="str">
        <f t="shared" si="110"/>
        <v>y</v>
      </c>
      <c r="JLJ1" s="154" t="str">
        <f t="shared" si="110"/>
        <v>y</v>
      </c>
      <c r="JLK1" s="154" t="str">
        <f t="shared" si="110"/>
        <v>y</v>
      </c>
      <c r="JLL1" s="154" t="str">
        <f t="shared" si="110"/>
        <v>y</v>
      </c>
      <c r="JLM1" s="154" t="str">
        <f t="shared" si="110"/>
        <v>y</v>
      </c>
      <c r="JLN1" s="154" t="str">
        <f t="shared" si="110"/>
        <v>y</v>
      </c>
      <c r="JLO1" s="154" t="str">
        <f t="shared" si="110"/>
        <v>y</v>
      </c>
      <c r="JLP1" s="154" t="str">
        <f t="shared" si="110"/>
        <v>y</v>
      </c>
      <c r="JLQ1" s="154" t="str">
        <f t="shared" si="110"/>
        <v>y</v>
      </c>
      <c r="JLR1" s="154" t="str">
        <f t="shared" si="110"/>
        <v>y</v>
      </c>
      <c r="JLS1" s="154" t="str">
        <f t="shared" si="110"/>
        <v>y</v>
      </c>
      <c r="JLT1" s="154" t="str">
        <f t="shared" si="110"/>
        <v>y</v>
      </c>
      <c r="JLU1" s="154" t="str">
        <f t="shared" si="110"/>
        <v>y</v>
      </c>
      <c r="JLV1" s="154" t="str">
        <f t="shared" si="110"/>
        <v>y</v>
      </c>
      <c r="JLW1" s="154" t="str">
        <f t="shared" si="110"/>
        <v>y</v>
      </c>
      <c r="JLX1" s="154" t="str">
        <f t="shared" si="110"/>
        <v>y</v>
      </c>
      <c r="JLY1" s="154" t="str">
        <f t="shared" si="110"/>
        <v>y</v>
      </c>
      <c r="JLZ1" s="154" t="str">
        <f t="shared" si="110"/>
        <v>y</v>
      </c>
      <c r="JMA1" s="154" t="str">
        <f t="shared" si="110"/>
        <v>y</v>
      </c>
      <c r="JMB1" s="154" t="str">
        <f t="shared" si="110"/>
        <v>y</v>
      </c>
      <c r="JMC1" s="154" t="str">
        <f t="shared" si="110"/>
        <v>y</v>
      </c>
      <c r="JMD1" s="154" t="str">
        <f t="shared" si="110"/>
        <v>y</v>
      </c>
      <c r="JME1" s="154" t="str">
        <f t="shared" si="110"/>
        <v>y</v>
      </c>
      <c r="JMF1" s="154" t="str">
        <f t="shared" si="110"/>
        <v>y</v>
      </c>
      <c r="JMG1" s="154" t="str">
        <f t="shared" si="110"/>
        <v>y</v>
      </c>
      <c r="JMH1" s="154" t="str">
        <f t="shared" si="110"/>
        <v>y</v>
      </c>
      <c r="JMI1" s="154" t="str">
        <f t="shared" si="110"/>
        <v>y</v>
      </c>
      <c r="JMJ1" s="154" t="str">
        <f t="shared" si="110"/>
        <v>y</v>
      </c>
      <c r="JMK1" s="154" t="str">
        <f t="shared" si="110"/>
        <v>y</v>
      </c>
      <c r="JML1" s="154" t="str">
        <f t="shared" ref="JML1:JOW1" si="111">JML2&amp;"y"</f>
        <v>y</v>
      </c>
      <c r="JMM1" s="154" t="str">
        <f t="shared" si="111"/>
        <v>y</v>
      </c>
      <c r="JMN1" s="154" t="str">
        <f t="shared" si="111"/>
        <v>y</v>
      </c>
      <c r="JMO1" s="154" t="str">
        <f t="shared" si="111"/>
        <v>y</v>
      </c>
      <c r="JMP1" s="154" t="str">
        <f t="shared" si="111"/>
        <v>y</v>
      </c>
      <c r="JMQ1" s="154" t="str">
        <f t="shared" si="111"/>
        <v>y</v>
      </c>
      <c r="JMR1" s="154" t="str">
        <f t="shared" si="111"/>
        <v>y</v>
      </c>
      <c r="JMS1" s="154" t="str">
        <f t="shared" si="111"/>
        <v>y</v>
      </c>
      <c r="JMT1" s="154" t="str">
        <f t="shared" si="111"/>
        <v>y</v>
      </c>
      <c r="JMU1" s="154" t="str">
        <f t="shared" si="111"/>
        <v>y</v>
      </c>
      <c r="JMV1" s="154" t="str">
        <f t="shared" si="111"/>
        <v>y</v>
      </c>
      <c r="JMW1" s="154" t="str">
        <f t="shared" si="111"/>
        <v>y</v>
      </c>
      <c r="JMX1" s="154" t="str">
        <f t="shared" si="111"/>
        <v>y</v>
      </c>
      <c r="JMY1" s="154" t="str">
        <f t="shared" si="111"/>
        <v>y</v>
      </c>
      <c r="JMZ1" s="154" t="str">
        <f t="shared" si="111"/>
        <v>y</v>
      </c>
      <c r="JNA1" s="154" t="str">
        <f t="shared" si="111"/>
        <v>y</v>
      </c>
      <c r="JNB1" s="154" t="str">
        <f t="shared" si="111"/>
        <v>y</v>
      </c>
      <c r="JNC1" s="154" t="str">
        <f t="shared" si="111"/>
        <v>y</v>
      </c>
      <c r="JND1" s="154" t="str">
        <f t="shared" si="111"/>
        <v>y</v>
      </c>
      <c r="JNE1" s="154" t="str">
        <f t="shared" si="111"/>
        <v>y</v>
      </c>
      <c r="JNF1" s="154" t="str">
        <f t="shared" si="111"/>
        <v>y</v>
      </c>
      <c r="JNG1" s="154" t="str">
        <f t="shared" si="111"/>
        <v>y</v>
      </c>
      <c r="JNH1" s="154" t="str">
        <f t="shared" si="111"/>
        <v>y</v>
      </c>
      <c r="JNI1" s="154" t="str">
        <f t="shared" si="111"/>
        <v>y</v>
      </c>
      <c r="JNJ1" s="154" t="str">
        <f t="shared" si="111"/>
        <v>y</v>
      </c>
      <c r="JNK1" s="154" t="str">
        <f t="shared" si="111"/>
        <v>y</v>
      </c>
      <c r="JNL1" s="154" t="str">
        <f t="shared" si="111"/>
        <v>y</v>
      </c>
      <c r="JNM1" s="154" t="str">
        <f t="shared" si="111"/>
        <v>y</v>
      </c>
      <c r="JNN1" s="154" t="str">
        <f t="shared" si="111"/>
        <v>y</v>
      </c>
      <c r="JNO1" s="154" t="str">
        <f t="shared" si="111"/>
        <v>y</v>
      </c>
      <c r="JNP1" s="154" t="str">
        <f t="shared" si="111"/>
        <v>y</v>
      </c>
      <c r="JNQ1" s="154" t="str">
        <f t="shared" si="111"/>
        <v>y</v>
      </c>
      <c r="JNR1" s="154" t="str">
        <f t="shared" si="111"/>
        <v>y</v>
      </c>
      <c r="JNS1" s="154" t="str">
        <f t="shared" si="111"/>
        <v>y</v>
      </c>
      <c r="JNT1" s="154" t="str">
        <f t="shared" si="111"/>
        <v>y</v>
      </c>
      <c r="JNU1" s="154" t="str">
        <f t="shared" si="111"/>
        <v>y</v>
      </c>
      <c r="JNV1" s="154" t="str">
        <f t="shared" si="111"/>
        <v>y</v>
      </c>
      <c r="JNW1" s="154" t="str">
        <f t="shared" si="111"/>
        <v>y</v>
      </c>
      <c r="JNX1" s="154" t="str">
        <f t="shared" si="111"/>
        <v>y</v>
      </c>
      <c r="JNY1" s="154" t="str">
        <f t="shared" si="111"/>
        <v>y</v>
      </c>
      <c r="JNZ1" s="154" t="str">
        <f t="shared" si="111"/>
        <v>y</v>
      </c>
      <c r="JOA1" s="154" t="str">
        <f t="shared" si="111"/>
        <v>y</v>
      </c>
      <c r="JOB1" s="154" t="str">
        <f t="shared" si="111"/>
        <v>y</v>
      </c>
      <c r="JOC1" s="154" t="str">
        <f t="shared" si="111"/>
        <v>y</v>
      </c>
      <c r="JOD1" s="154" t="str">
        <f t="shared" si="111"/>
        <v>y</v>
      </c>
      <c r="JOE1" s="154" t="str">
        <f t="shared" si="111"/>
        <v>y</v>
      </c>
      <c r="JOF1" s="154" t="str">
        <f t="shared" si="111"/>
        <v>y</v>
      </c>
      <c r="JOG1" s="154" t="str">
        <f t="shared" si="111"/>
        <v>y</v>
      </c>
      <c r="JOH1" s="154" t="str">
        <f t="shared" si="111"/>
        <v>y</v>
      </c>
      <c r="JOI1" s="154" t="str">
        <f t="shared" si="111"/>
        <v>y</v>
      </c>
      <c r="JOJ1" s="154" t="str">
        <f t="shared" si="111"/>
        <v>y</v>
      </c>
      <c r="JOK1" s="154" t="str">
        <f t="shared" si="111"/>
        <v>y</v>
      </c>
      <c r="JOL1" s="154" t="str">
        <f t="shared" si="111"/>
        <v>y</v>
      </c>
      <c r="JOM1" s="154" t="str">
        <f t="shared" si="111"/>
        <v>y</v>
      </c>
      <c r="JON1" s="154" t="str">
        <f t="shared" si="111"/>
        <v>y</v>
      </c>
      <c r="JOO1" s="154" t="str">
        <f t="shared" si="111"/>
        <v>y</v>
      </c>
      <c r="JOP1" s="154" t="str">
        <f t="shared" si="111"/>
        <v>y</v>
      </c>
      <c r="JOQ1" s="154" t="str">
        <f t="shared" si="111"/>
        <v>y</v>
      </c>
      <c r="JOR1" s="154" t="str">
        <f t="shared" si="111"/>
        <v>y</v>
      </c>
      <c r="JOS1" s="154" t="str">
        <f t="shared" si="111"/>
        <v>y</v>
      </c>
      <c r="JOT1" s="154" t="str">
        <f t="shared" si="111"/>
        <v>y</v>
      </c>
      <c r="JOU1" s="154" t="str">
        <f t="shared" si="111"/>
        <v>y</v>
      </c>
      <c r="JOV1" s="154" t="str">
        <f t="shared" si="111"/>
        <v>y</v>
      </c>
      <c r="JOW1" s="154" t="str">
        <f t="shared" si="111"/>
        <v>y</v>
      </c>
      <c r="JOX1" s="154" t="str">
        <f t="shared" ref="JOX1:JRI1" si="112">JOX2&amp;"y"</f>
        <v>y</v>
      </c>
      <c r="JOY1" s="154" t="str">
        <f t="shared" si="112"/>
        <v>y</v>
      </c>
      <c r="JOZ1" s="154" t="str">
        <f t="shared" si="112"/>
        <v>y</v>
      </c>
      <c r="JPA1" s="154" t="str">
        <f t="shared" si="112"/>
        <v>y</v>
      </c>
      <c r="JPB1" s="154" t="str">
        <f t="shared" si="112"/>
        <v>y</v>
      </c>
      <c r="JPC1" s="154" t="str">
        <f t="shared" si="112"/>
        <v>y</v>
      </c>
      <c r="JPD1" s="154" t="str">
        <f t="shared" si="112"/>
        <v>y</v>
      </c>
      <c r="JPE1" s="154" t="str">
        <f t="shared" si="112"/>
        <v>y</v>
      </c>
      <c r="JPF1" s="154" t="str">
        <f t="shared" si="112"/>
        <v>y</v>
      </c>
      <c r="JPG1" s="154" t="str">
        <f t="shared" si="112"/>
        <v>y</v>
      </c>
      <c r="JPH1" s="154" t="str">
        <f t="shared" si="112"/>
        <v>y</v>
      </c>
      <c r="JPI1" s="154" t="str">
        <f t="shared" si="112"/>
        <v>y</v>
      </c>
      <c r="JPJ1" s="154" t="str">
        <f t="shared" si="112"/>
        <v>y</v>
      </c>
      <c r="JPK1" s="154" t="str">
        <f t="shared" si="112"/>
        <v>y</v>
      </c>
      <c r="JPL1" s="154" t="str">
        <f t="shared" si="112"/>
        <v>y</v>
      </c>
      <c r="JPM1" s="154" t="str">
        <f t="shared" si="112"/>
        <v>y</v>
      </c>
      <c r="JPN1" s="154" t="str">
        <f t="shared" si="112"/>
        <v>y</v>
      </c>
      <c r="JPO1" s="154" t="str">
        <f t="shared" si="112"/>
        <v>y</v>
      </c>
      <c r="JPP1" s="154" t="str">
        <f t="shared" si="112"/>
        <v>y</v>
      </c>
      <c r="JPQ1" s="154" t="str">
        <f t="shared" si="112"/>
        <v>y</v>
      </c>
      <c r="JPR1" s="154" t="str">
        <f t="shared" si="112"/>
        <v>y</v>
      </c>
      <c r="JPS1" s="154" t="str">
        <f t="shared" si="112"/>
        <v>y</v>
      </c>
      <c r="JPT1" s="154" t="str">
        <f t="shared" si="112"/>
        <v>y</v>
      </c>
      <c r="JPU1" s="154" t="str">
        <f t="shared" si="112"/>
        <v>y</v>
      </c>
      <c r="JPV1" s="154" t="str">
        <f t="shared" si="112"/>
        <v>y</v>
      </c>
      <c r="JPW1" s="154" t="str">
        <f t="shared" si="112"/>
        <v>y</v>
      </c>
      <c r="JPX1" s="154" t="str">
        <f t="shared" si="112"/>
        <v>y</v>
      </c>
      <c r="JPY1" s="154" t="str">
        <f t="shared" si="112"/>
        <v>y</v>
      </c>
      <c r="JPZ1" s="154" t="str">
        <f t="shared" si="112"/>
        <v>y</v>
      </c>
      <c r="JQA1" s="154" t="str">
        <f t="shared" si="112"/>
        <v>y</v>
      </c>
      <c r="JQB1" s="154" t="str">
        <f t="shared" si="112"/>
        <v>y</v>
      </c>
      <c r="JQC1" s="154" t="str">
        <f t="shared" si="112"/>
        <v>y</v>
      </c>
      <c r="JQD1" s="154" t="str">
        <f t="shared" si="112"/>
        <v>y</v>
      </c>
      <c r="JQE1" s="154" t="str">
        <f t="shared" si="112"/>
        <v>y</v>
      </c>
      <c r="JQF1" s="154" t="str">
        <f t="shared" si="112"/>
        <v>y</v>
      </c>
      <c r="JQG1" s="154" t="str">
        <f t="shared" si="112"/>
        <v>y</v>
      </c>
      <c r="JQH1" s="154" t="str">
        <f t="shared" si="112"/>
        <v>y</v>
      </c>
      <c r="JQI1" s="154" t="str">
        <f t="shared" si="112"/>
        <v>y</v>
      </c>
      <c r="JQJ1" s="154" t="str">
        <f t="shared" si="112"/>
        <v>y</v>
      </c>
      <c r="JQK1" s="154" t="str">
        <f t="shared" si="112"/>
        <v>y</v>
      </c>
      <c r="JQL1" s="154" t="str">
        <f t="shared" si="112"/>
        <v>y</v>
      </c>
      <c r="JQM1" s="154" t="str">
        <f t="shared" si="112"/>
        <v>y</v>
      </c>
      <c r="JQN1" s="154" t="str">
        <f t="shared" si="112"/>
        <v>y</v>
      </c>
      <c r="JQO1" s="154" t="str">
        <f t="shared" si="112"/>
        <v>y</v>
      </c>
      <c r="JQP1" s="154" t="str">
        <f t="shared" si="112"/>
        <v>y</v>
      </c>
      <c r="JQQ1" s="154" t="str">
        <f t="shared" si="112"/>
        <v>y</v>
      </c>
      <c r="JQR1" s="154" t="str">
        <f t="shared" si="112"/>
        <v>y</v>
      </c>
      <c r="JQS1" s="154" t="str">
        <f t="shared" si="112"/>
        <v>y</v>
      </c>
      <c r="JQT1" s="154" t="str">
        <f t="shared" si="112"/>
        <v>y</v>
      </c>
      <c r="JQU1" s="154" t="str">
        <f t="shared" si="112"/>
        <v>y</v>
      </c>
      <c r="JQV1" s="154" t="str">
        <f t="shared" si="112"/>
        <v>y</v>
      </c>
      <c r="JQW1" s="154" t="str">
        <f t="shared" si="112"/>
        <v>y</v>
      </c>
      <c r="JQX1" s="154" t="str">
        <f t="shared" si="112"/>
        <v>y</v>
      </c>
      <c r="JQY1" s="154" t="str">
        <f t="shared" si="112"/>
        <v>y</v>
      </c>
      <c r="JQZ1" s="154" t="str">
        <f t="shared" si="112"/>
        <v>y</v>
      </c>
      <c r="JRA1" s="154" t="str">
        <f t="shared" si="112"/>
        <v>y</v>
      </c>
      <c r="JRB1" s="154" t="str">
        <f t="shared" si="112"/>
        <v>y</v>
      </c>
      <c r="JRC1" s="154" t="str">
        <f t="shared" si="112"/>
        <v>y</v>
      </c>
      <c r="JRD1" s="154" t="str">
        <f t="shared" si="112"/>
        <v>y</v>
      </c>
      <c r="JRE1" s="154" t="str">
        <f t="shared" si="112"/>
        <v>y</v>
      </c>
      <c r="JRF1" s="154" t="str">
        <f t="shared" si="112"/>
        <v>y</v>
      </c>
      <c r="JRG1" s="154" t="str">
        <f t="shared" si="112"/>
        <v>y</v>
      </c>
      <c r="JRH1" s="154" t="str">
        <f t="shared" si="112"/>
        <v>y</v>
      </c>
      <c r="JRI1" s="154" t="str">
        <f t="shared" si="112"/>
        <v>y</v>
      </c>
      <c r="JRJ1" s="154" t="str">
        <f t="shared" ref="JRJ1:JTU1" si="113">JRJ2&amp;"y"</f>
        <v>y</v>
      </c>
      <c r="JRK1" s="154" t="str">
        <f t="shared" si="113"/>
        <v>y</v>
      </c>
      <c r="JRL1" s="154" t="str">
        <f t="shared" si="113"/>
        <v>y</v>
      </c>
      <c r="JRM1" s="154" t="str">
        <f t="shared" si="113"/>
        <v>y</v>
      </c>
      <c r="JRN1" s="154" t="str">
        <f t="shared" si="113"/>
        <v>y</v>
      </c>
      <c r="JRO1" s="154" t="str">
        <f t="shared" si="113"/>
        <v>y</v>
      </c>
      <c r="JRP1" s="154" t="str">
        <f t="shared" si="113"/>
        <v>y</v>
      </c>
      <c r="JRQ1" s="154" t="str">
        <f t="shared" si="113"/>
        <v>y</v>
      </c>
      <c r="JRR1" s="154" t="str">
        <f t="shared" si="113"/>
        <v>y</v>
      </c>
      <c r="JRS1" s="154" t="str">
        <f t="shared" si="113"/>
        <v>y</v>
      </c>
      <c r="JRT1" s="154" t="str">
        <f t="shared" si="113"/>
        <v>y</v>
      </c>
      <c r="JRU1" s="154" t="str">
        <f t="shared" si="113"/>
        <v>y</v>
      </c>
      <c r="JRV1" s="154" t="str">
        <f t="shared" si="113"/>
        <v>y</v>
      </c>
      <c r="JRW1" s="154" t="str">
        <f t="shared" si="113"/>
        <v>y</v>
      </c>
      <c r="JRX1" s="154" t="str">
        <f t="shared" si="113"/>
        <v>y</v>
      </c>
      <c r="JRY1" s="154" t="str">
        <f t="shared" si="113"/>
        <v>y</v>
      </c>
      <c r="JRZ1" s="154" t="str">
        <f t="shared" si="113"/>
        <v>y</v>
      </c>
      <c r="JSA1" s="154" t="str">
        <f t="shared" si="113"/>
        <v>y</v>
      </c>
      <c r="JSB1" s="154" t="str">
        <f t="shared" si="113"/>
        <v>y</v>
      </c>
      <c r="JSC1" s="154" t="str">
        <f t="shared" si="113"/>
        <v>y</v>
      </c>
      <c r="JSD1" s="154" t="str">
        <f t="shared" si="113"/>
        <v>y</v>
      </c>
      <c r="JSE1" s="154" t="str">
        <f t="shared" si="113"/>
        <v>y</v>
      </c>
      <c r="JSF1" s="154" t="str">
        <f t="shared" si="113"/>
        <v>y</v>
      </c>
      <c r="JSG1" s="154" t="str">
        <f t="shared" si="113"/>
        <v>y</v>
      </c>
      <c r="JSH1" s="154" t="str">
        <f t="shared" si="113"/>
        <v>y</v>
      </c>
      <c r="JSI1" s="154" t="str">
        <f t="shared" si="113"/>
        <v>y</v>
      </c>
      <c r="JSJ1" s="154" t="str">
        <f t="shared" si="113"/>
        <v>y</v>
      </c>
      <c r="JSK1" s="154" t="str">
        <f t="shared" si="113"/>
        <v>y</v>
      </c>
      <c r="JSL1" s="154" t="str">
        <f t="shared" si="113"/>
        <v>y</v>
      </c>
      <c r="JSM1" s="154" t="str">
        <f t="shared" si="113"/>
        <v>y</v>
      </c>
      <c r="JSN1" s="154" t="str">
        <f t="shared" si="113"/>
        <v>y</v>
      </c>
      <c r="JSO1" s="154" t="str">
        <f t="shared" si="113"/>
        <v>y</v>
      </c>
      <c r="JSP1" s="154" t="str">
        <f t="shared" si="113"/>
        <v>y</v>
      </c>
      <c r="JSQ1" s="154" t="str">
        <f t="shared" si="113"/>
        <v>y</v>
      </c>
      <c r="JSR1" s="154" t="str">
        <f t="shared" si="113"/>
        <v>y</v>
      </c>
      <c r="JSS1" s="154" t="str">
        <f t="shared" si="113"/>
        <v>y</v>
      </c>
      <c r="JST1" s="154" t="str">
        <f t="shared" si="113"/>
        <v>y</v>
      </c>
      <c r="JSU1" s="154" t="str">
        <f t="shared" si="113"/>
        <v>y</v>
      </c>
      <c r="JSV1" s="154" t="str">
        <f t="shared" si="113"/>
        <v>y</v>
      </c>
      <c r="JSW1" s="154" t="str">
        <f t="shared" si="113"/>
        <v>y</v>
      </c>
      <c r="JSX1" s="154" t="str">
        <f t="shared" si="113"/>
        <v>y</v>
      </c>
      <c r="JSY1" s="154" t="str">
        <f t="shared" si="113"/>
        <v>y</v>
      </c>
      <c r="JSZ1" s="154" t="str">
        <f t="shared" si="113"/>
        <v>y</v>
      </c>
      <c r="JTA1" s="154" t="str">
        <f t="shared" si="113"/>
        <v>y</v>
      </c>
      <c r="JTB1" s="154" t="str">
        <f t="shared" si="113"/>
        <v>y</v>
      </c>
      <c r="JTC1" s="154" t="str">
        <f t="shared" si="113"/>
        <v>y</v>
      </c>
      <c r="JTD1" s="154" t="str">
        <f t="shared" si="113"/>
        <v>y</v>
      </c>
      <c r="JTE1" s="154" t="str">
        <f t="shared" si="113"/>
        <v>y</v>
      </c>
      <c r="JTF1" s="154" t="str">
        <f t="shared" si="113"/>
        <v>y</v>
      </c>
      <c r="JTG1" s="154" t="str">
        <f t="shared" si="113"/>
        <v>y</v>
      </c>
      <c r="JTH1" s="154" t="str">
        <f t="shared" si="113"/>
        <v>y</v>
      </c>
      <c r="JTI1" s="154" t="str">
        <f t="shared" si="113"/>
        <v>y</v>
      </c>
      <c r="JTJ1" s="154" t="str">
        <f t="shared" si="113"/>
        <v>y</v>
      </c>
      <c r="JTK1" s="154" t="str">
        <f t="shared" si="113"/>
        <v>y</v>
      </c>
      <c r="JTL1" s="154" t="str">
        <f t="shared" si="113"/>
        <v>y</v>
      </c>
      <c r="JTM1" s="154" t="str">
        <f t="shared" si="113"/>
        <v>y</v>
      </c>
      <c r="JTN1" s="154" t="str">
        <f t="shared" si="113"/>
        <v>y</v>
      </c>
      <c r="JTO1" s="154" t="str">
        <f t="shared" si="113"/>
        <v>y</v>
      </c>
      <c r="JTP1" s="154" t="str">
        <f t="shared" si="113"/>
        <v>y</v>
      </c>
      <c r="JTQ1" s="154" t="str">
        <f t="shared" si="113"/>
        <v>y</v>
      </c>
      <c r="JTR1" s="154" t="str">
        <f t="shared" si="113"/>
        <v>y</v>
      </c>
      <c r="JTS1" s="154" t="str">
        <f t="shared" si="113"/>
        <v>y</v>
      </c>
      <c r="JTT1" s="154" t="str">
        <f t="shared" si="113"/>
        <v>y</v>
      </c>
      <c r="JTU1" s="154" t="str">
        <f t="shared" si="113"/>
        <v>y</v>
      </c>
      <c r="JTV1" s="154" t="str">
        <f t="shared" ref="JTV1:JWG1" si="114">JTV2&amp;"y"</f>
        <v>y</v>
      </c>
      <c r="JTW1" s="154" t="str">
        <f t="shared" si="114"/>
        <v>y</v>
      </c>
      <c r="JTX1" s="154" t="str">
        <f t="shared" si="114"/>
        <v>y</v>
      </c>
      <c r="JTY1" s="154" t="str">
        <f t="shared" si="114"/>
        <v>y</v>
      </c>
      <c r="JTZ1" s="154" t="str">
        <f t="shared" si="114"/>
        <v>y</v>
      </c>
      <c r="JUA1" s="154" t="str">
        <f t="shared" si="114"/>
        <v>y</v>
      </c>
      <c r="JUB1" s="154" t="str">
        <f t="shared" si="114"/>
        <v>y</v>
      </c>
      <c r="JUC1" s="154" t="str">
        <f t="shared" si="114"/>
        <v>y</v>
      </c>
      <c r="JUD1" s="154" t="str">
        <f t="shared" si="114"/>
        <v>y</v>
      </c>
      <c r="JUE1" s="154" t="str">
        <f t="shared" si="114"/>
        <v>y</v>
      </c>
      <c r="JUF1" s="154" t="str">
        <f t="shared" si="114"/>
        <v>y</v>
      </c>
      <c r="JUG1" s="154" t="str">
        <f t="shared" si="114"/>
        <v>y</v>
      </c>
      <c r="JUH1" s="154" t="str">
        <f t="shared" si="114"/>
        <v>y</v>
      </c>
      <c r="JUI1" s="154" t="str">
        <f t="shared" si="114"/>
        <v>y</v>
      </c>
      <c r="JUJ1" s="154" t="str">
        <f t="shared" si="114"/>
        <v>y</v>
      </c>
      <c r="JUK1" s="154" t="str">
        <f t="shared" si="114"/>
        <v>y</v>
      </c>
      <c r="JUL1" s="154" t="str">
        <f t="shared" si="114"/>
        <v>y</v>
      </c>
      <c r="JUM1" s="154" t="str">
        <f t="shared" si="114"/>
        <v>y</v>
      </c>
      <c r="JUN1" s="154" t="str">
        <f t="shared" si="114"/>
        <v>y</v>
      </c>
      <c r="JUO1" s="154" t="str">
        <f t="shared" si="114"/>
        <v>y</v>
      </c>
      <c r="JUP1" s="154" t="str">
        <f t="shared" si="114"/>
        <v>y</v>
      </c>
      <c r="JUQ1" s="154" t="str">
        <f t="shared" si="114"/>
        <v>y</v>
      </c>
      <c r="JUR1" s="154" t="str">
        <f t="shared" si="114"/>
        <v>y</v>
      </c>
      <c r="JUS1" s="154" t="str">
        <f t="shared" si="114"/>
        <v>y</v>
      </c>
      <c r="JUT1" s="154" t="str">
        <f t="shared" si="114"/>
        <v>y</v>
      </c>
      <c r="JUU1" s="154" t="str">
        <f t="shared" si="114"/>
        <v>y</v>
      </c>
      <c r="JUV1" s="154" t="str">
        <f t="shared" si="114"/>
        <v>y</v>
      </c>
      <c r="JUW1" s="154" t="str">
        <f t="shared" si="114"/>
        <v>y</v>
      </c>
      <c r="JUX1" s="154" t="str">
        <f t="shared" si="114"/>
        <v>y</v>
      </c>
      <c r="JUY1" s="154" t="str">
        <f t="shared" si="114"/>
        <v>y</v>
      </c>
      <c r="JUZ1" s="154" t="str">
        <f t="shared" si="114"/>
        <v>y</v>
      </c>
      <c r="JVA1" s="154" t="str">
        <f t="shared" si="114"/>
        <v>y</v>
      </c>
      <c r="JVB1" s="154" t="str">
        <f t="shared" si="114"/>
        <v>y</v>
      </c>
      <c r="JVC1" s="154" t="str">
        <f t="shared" si="114"/>
        <v>y</v>
      </c>
      <c r="JVD1" s="154" t="str">
        <f t="shared" si="114"/>
        <v>y</v>
      </c>
      <c r="JVE1" s="154" t="str">
        <f t="shared" si="114"/>
        <v>y</v>
      </c>
      <c r="JVF1" s="154" t="str">
        <f t="shared" si="114"/>
        <v>y</v>
      </c>
      <c r="JVG1" s="154" t="str">
        <f t="shared" si="114"/>
        <v>y</v>
      </c>
      <c r="JVH1" s="154" t="str">
        <f t="shared" si="114"/>
        <v>y</v>
      </c>
      <c r="JVI1" s="154" t="str">
        <f t="shared" si="114"/>
        <v>y</v>
      </c>
      <c r="JVJ1" s="154" t="str">
        <f t="shared" si="114"/>
        <v>y</v>
      </c>
      <c r="JVK1" s="154" t="str">
        <f t="shared" si="114"/>
        <v>y</v>
      </c>
      <c r="JVL1" s="154" t="str">
        <f t="shared" si="114"/>
        <v>y</v>
      </c>
      <c r="JVM1" s="154" t="str">
        <f t="shared" si="114"/>
        <v>y</v>
      </c>
      <c r="JVN1" s="154" t="str">
        <f t="shared" si="114"/>
        <v>y</v>
      </c>
      <c r="JVO1" s="154" t="str">
        <f t="shared" si="114"/>
        <v>y</v>
      </c>
      <c r="JVP1" s="154" t="str">
        <f t="shared" si="114"/>
        <v>y</v>
      </c>
      <c r="JVQ1" s="154" t="str">
        <f t="shared" si="114"/>
        <v>y</v>
      </c>
      <c r="JVR1" s="154" t="str">
        <f t="shared" si="114"/>
        <v>y</v>
      </c>
      <c r="JVS1" s="154" t="str">
        <f t="shared" si="114"/>
        <v>y</v>
      </c>
      <c r="JVT1" s="154" t="str">
        <f t="shared" si="114"/>
        <v>y</v>
      </c>
      <c r="JVU1" s="154" t="str">
        <f t="shared" si="114"/>
        <v>y</v>
      </c>
      <c r="JVV1" s="154" t="str">
        <f t="shared" si="114"/>
        <v>y</v>
      </c>
      <c r="JVW1" s="154" t="str">
        <f t="shared" si="114"/>
        <v>y</v>
      </c>
      <c r="JVX1" s="154" t="str">
        <f t="shared" si="114"/>
        <v>y</v>
      </c>
      <c r="JVY1" s="154" t="str">
        <f t="shared" si="114"/>
        <v>y</v>
      </c>
      <c r="JVZ1" s="154" t="str">
        <f t="shared" si="114"/>
        <v>y</v>
      </c>
      <c r="JWA1" s="154" t="str">
        <f t="shared" si="114"/>
        <v>y</v>
      </c>
      <c r="JWB1" s="154" t="str">
        <f t="shared" si="114"/>
        <v>y</v>
      </c>
      <c r="JWC1" s="154" t="str">
        <f t="shared" si="114"/>
        <v>y</v>
      </c>
      <c r="JWD1" s="154" t="str">
        <f t="shared" si="114"/>
        <v>y</v>
      </c>
      <c r="JWE1" s="154" t="str">
        <f t="shared" si="114"/>
        <v>y</v>
      </c>
      <c r="JWF1" s="154" t="str">
        <f t="shared" si="114"/>
        <v>y</v>
      </c>
      <c r="JWG1" s="154" t="str">
        <f t="shared" si="114"/>
        <v>y</v>
      </c>
      <c r="JWH1" s="154" t="str">
        <f t="shared" ref="JWH1:JYS1" si="115">JWH2&amp;"y"</f>
        <v>y</v>
      </c>
      <c r="JWI1" s="154" t="str">
        <f t="shared" si="115"/>
        <v>y</v>
      </c>
      <c r="JWJ1" s="154" t="str">
        <f t="shared" si="115"/>
        <v>y</v>
      </c>
      <c r="JWK1" s="154" t="str">
        <f t="shared" si="115"/>
        <v>y</v>
      </c>
      <c r="JWL1" s="154" t="str">
        <f t="shared" si="115"/>
        <v>y</v>
      </c>
      <c r="JWM1" s="154" t="str">
        <f t="shared" si="115"/>
        <v>y</v>
      </c>
      <c r="JWN1" s="154" t="str">
        <f t="shared" si="115"/>
        <v>y</v>
      </c>
      <c r="JWO1" s="154" t="str">
        <f t="shared" si="115"/>
        <v>y</v>
      </c>
      <c r="JWP1" s="154" t="str">
        <f t="shared" si="115"/>
        <v>y</v>
      </c>
      <c r="JWQ1" s="154" t="str">
        <f t="shared" si="115"/>
        <v>y</v>
      </c>
      <c r="JWR1" s="154" t="str">
        <f t="shared" si="115"/>
        <v>y</v>
      </c>
      <c r="JWS1" s="154" t="str">
        <f t="shared" si="115"/>
        <v>y</v>
      </c>
      <c r="JWT1" s="154" t="str">
        <f t="shared" si="115"/>
        <v>y</v>
      </c>
      <c r="JWU1" s="154" t="str">
        <f t="shared" si="115"/>
        <v>y</v>
      </c>
      <c r="JWV1" s="154" t="str">
        <f t="shared" si="115"/>
        <v>y</v>
      </c>
      <c r="JWW1" s="154" t="str">
        <f t="shared" si="115"/>
        <v>y</v>
      </c>
      <c r="JWX1" s="154" t="str">
        <f t="shared" si="115"/>
        <v>y</v>
      </c>
      <c r="JWY1" s="154" t="str">
        <f t="shared" si="115"/>
        <v>y</v>
      </c>
      <c r="JWZ1" s="154" t="str">
        <f t="shared" si="115"/>
        <v>y</v>
      </c>
      <c r="JXA1" s="154" t="str">
        <f t="shared" si="115"/>
        <v>y</v>
      </c>
      <c r="JXB1" s="154" t="str">
        <f t="shared" si="115"/>
        <v>y</v>
      </c>
      <c r="JXC1" s="154" t="str">
        <f t="shared" si="115"/>
        <v>y</v>
      </c>
      <c r="JXD1" s="154" t="str">
        <f t="shared" si="115"/>
        <v>y</v>
      </c>
      <c r="JXE1" s="154" t="str">
        <f t="shared" si="115"/>
        <v>y</v>
      </c>
      <c r="JXF1" s="154" t="str">
        <f t="shared" si="115"/>
        <v>y</v>
      </c>
      <c r="JXG1" s="154" t="str">
        <f t="shared" si="115"/>
        <v>y</v>
      </c>
      <c r="JXH1" s="154" t="str">
        <f t="shared" si="115"/>
        <v>y</v>
      </c>
      <c r="JXI1" s="154" t="str">
        <f t="shared" si="115"/>
        <v>y</v>
      </c>
      <c r="JXJ1" s="154" t="str">
        <f t="shared" si="115"/>
        <v>y</v>
      </c>
      <c r="JXK1" s="154" t="str">
        <f t="shared" si="115"/>
        <v>y</v>
      </c>
      <c r="JXL1" s="154" t="str">
        <f t="shared" si="115"/>
        <v>y</v>
      </c>
      <c r="JXM1" s="154" t="str">
        <f t="shared" si="115"/>
        <v>y</v>
      </c>
      <c r="JXN1" s="154" t="str">
        <f t="shared" si="115"/>
        <v>y</v>
      </c>
      <c r="JXO1" s="154" t="str">
        <f t="shared" si="115"/>
        <v>y</v>
      </c>
      <c r="JXP1" s="154" t="str">
        <f t="shared" si="115"/>
        <v>y</v>
      </c>
      <c r="JXQ1" s="154" t="str">
        <f t="shared" si="115"/>
        <v>y</v>
      </c>
      <c r="JXR1" s="154" t="str">
        <f t="shared" si="115"/>
        <v>y</v>
      </c>
      <c r="JXS1" s="154" t="str">
        <f t="shared" si="115"/>
        <v>y</v>
      </c>
      <c r="JXT1" s="154" t="str">
        <f t="shared" si="115"/>
        <v>y</v>
      </c>
      <c r="JXU1" s="154" t="str">
        <f t="shared" si="115"/>
        <v>y</v>
      </c>
      <c r="JXV1" s="154" t="str">
        <f t="shared" si="115"/>
        <v>y</v>
      </c>
      <c r="JXW1" s="154" t="str">
        <f t="shared" si="115"/>
        <v>y</v>
      </c>
      <c r="JXX1" s="154" t="str">
        <f t="shared" si="115"/>
        <v>y</v>
      </c>
      <c r="JXY1" s="154" t="str">
        <f t="shared" si="115"/>
        <v>y</v>
      </c>
      <c r="JXZ1" s="154" t="str">
        <f t="shared" si="115"/>
        <v>y</v>
      </c>
      <c r="JYA1" s="154" t="str">
        <f t="shared" si="115"/>
        <v>y</v>
      </c>
      <c r="JYB1" s="154" t="str">
        <f t="shared" si="115"/>
        <v>y</v>
      </c>
      <c r="JYC1" s="154" t="str">
        <f t="shared" si="115"/>
        <v>y</v>
      </c>
      <c r="JYD1" s="154" t="str">
        <f t="shared" si="115"/>
        <v>y</v>
      </c>
      <c r="JYE1" s="154" t="str">
        <f t="shared" si="115"/>
        <v>y</v>
      </c>
      <c r="JYF1" s="154" t="str">
        <f t="shared" si="115"/>
        <v>y</v>
      </c>
      <c r="JYG1" s="154" t="str">
        <f t="shared" si="115"/>
        <v>y</v>
      </c>
      <c r="JYH1" s="154" t="str">
        <f t="shared" si="115"/>
        <v>y</v>
      </c>
      <c r="JYI1" s="154" t="str">
        <f t="shared" si="115"/>
        <v>y</v>
      </c>
      <c r="JYJ1" s="154" t="str">
        <f t="shared" si="115"/>
        <v>y</v>
      </c>
      <c r="JYK1" s="154" t="str">
        <f t="shared" si="115"/>
        <v>y</v>
      </c>
      <c r="JYL1" s="154" t="str">
        <f t="shared" si="115"/>
        <v>y</v>
      </c>
      <c r="JYM1" s="154" t="str">
        <f t="shared" si="115"/>
        <v>y</v>
      </c>
      <c r="JYN1" s="154" t="str">
        <f t="shared" si="115"/>
        <v>y</v>
      </c>
      <c r="JYO1" s="154" t="str">
        <f t="shared" si="115"/>
        <v>y</v>
      </c>
      <c r="JYP1" s="154" t="str">
        <f t="shared" si="115"/>
        <v>y</v>
      </c>
      <c r="JYQ1" s="154" t="str">
        <f t="shared" si="115"/>
        <v>y</v>
      </c>
      <c r="JYR1" s="154" t="str">
        <f t="shared" si="115"/>
        <v>y</v>
      </c>
      <c r="JYS1" s="154" t="str">
        <f t="shared" si="115"/>
        <v>y</v>
      </c>
      <c r="JYT1" s="154" t="str">
        <f t="shared" ref="JYT1:KBE1" si="116">JYT2&amp;"y"</f>
        <v>y</v>
      </c>
      <c r="JYU1" s="154" t="str">
        <f t="shared" si="116"/>
        <v>y</v>
      </c>
      <c r="JYV1" s="154" t="str">
        <f t="shared" si="116"/>
        <v>y</v>
      </c>
      <c r="JYW1" s="154" t="str">
        <f t="shared" si="116"/>
        <v>y</v>
      </c>
      <c r="JYX1" s="154" t="str">
        <f t="shared" si="116"/>
        <v>y</v>
      </c>
      <c r="JYY1" s="154" t="str">
        <f t="shared" si="116"/>
        <v>y</v>
      </c>
      <c r="JYZ1" s="154" t="str">
        <f t="shared" si="116"/>
        <v>y</v>
      </c>
      <c r="JZA1" s="154" t="str">
        <f t="shared" si="116"/>
        <v>y</v>
      </c>
      <c r="JZB1" s="154" t="str">
        <f t="shared" si="116"/>
        <v>y</v>
      </c>
      <c r="JZC1" s="154" t="str">
        <f t="shared" si="116"/>
        <v>y</v>
      </c>
      <c r="JZD1" s="154" t="str">
        <f t="shared" si="116"/>
        <v>y</v>
      </c>
      <c r="JZE1" s="154" t="str">
        <f t="shared" si="116"/>
        <v>y</v>
      </c>
      <c r="JZF1" s="154" t="str">
        <f t="shared" si="116"/>
        <v>y</v>
      </c>
      <c r="JZG1" s="154" t="str">
        <f t="shared" si="116"/>
        <v>y</v>
      </c>
      <c r="JZH1" s="154" t="str">
        <f t="shared" si="116"/>
        <v>y</v>
      </c>
      <c r="JZI1" s="154" t="str">
        <f t="shared" si="116"/>
        <v>y</v>
      </c>
      <c r="JZJ1" s="154" t="str">
        <f t="shared" si="116"/>
        <v>y</v>
      </c>
      <c r="JZK1" s="154" t="str">
        <f t="shared" si="116"/>
        <v>y</v>
      </c>
      <c r="JZL1" s="154" t="str">
        <f t="shared" si="116"/>
        <v>y</v>
      </c>
      <c r="JZM1" s="154" t="str">
        <f t="shared" si="116"/>
        <v>y</v>
      </c>
      <c r="JZN1" s="154" t="str">
        <f t="shared" si="116"/>
        <v>y</v>
      </c>
      <c r="JZO1" s="154" t="str">
        <f t="shared" si="116"/>
        <v>y</v>
      </c>
      <c r="JZP1" s="154" t="str">
        <f t="shared" si="116"/>
        <v>y</v>
      </c>
      <c r="JZQ1" s="154" t="str">
        <f t="shared" si="116"/>
        <v>y</v>
      </c>
      <c r="JZR1" s="154" t="str">
        <f t="shared" si="116"/>
        <v>y</v>
      </c>
      <c r="JZS1" s="154" t="str">
        <f t="shared" si="116"/>
        <v>y</v>
      </c>
      <c r="JZT1" s="154" t="str">
        <f t="shared" si="116"/>
        <v>y</v>
      </c>
      <c r="JZU1" s="154" t="str">
        <f t="shared" si="116"/>
        <v>y</v>
      </c>
      <c r="JZV1" s="154" t="str">
        <f t="shared" si="116"/>
        <v>y</v>
      </c>
      <c r="JZW1" s="154" t="str">
        <f t="shared" si="116"/>
        <v>y</v>
      </c>
      <c r="JZX1" s="154" t="str">
        <f t="shared" si="116"/>
        <v>y</v>
      </c>
      <c r="JZY1" s="154" t="str">
        <f t="shared" si="116"/>
        <v>y</v>
      </c>
      <c r="JZZ1" s="154" t="str">
        <f t="shared" si="116"/>
        <v>y</v>
      </c>
      <c r="KAA1" s="154" t="str">
        <f t="shared" si="116"/>
        <v>y</v>
      </c>
      <c r="KAB1" s="154" t="str">
        <f t="shared" si="116"/>
        <v>y</v>
      </c>
      <c r="KAC1" s="154" t="str">
        <f t="shared" si="116"/>
        <v>y</v>
      </c>
      <c r="KAD1" s="154" t="str">
        <f t="shared" si="116"/>
        <v>y</v>
      </c>
      <c r="KAE1" s="154" t="str">
        <f t="shared" si="116"/>
        <v>y</v>
      </c>
      <c r="KAF1" s="154" t="str">
        <f t="shared" si="116"/>
        <v>y</v>
      </c>
      <c r="KAG1" s="154" t="str">
        <f t="shared" si="116"/>
        <v>y</v>
      </c>
      <c r="KAH1" s="154" t="str">
        <f t="shared" si="116"/>
        <v>y</v>
      </c>
      <c r="KAI1" s="154" t="str">
        <f t="shared" si="116"/>
        <v>y</v>
      </c>
      <c r="KAJ1" s="154" t="str">
        <f t="shared" si="116"/>
        <v>y</v>
      </c>
      <c r="KAK1" s="154" t="str">
        <f t="shared" si="116"/>
        <v>y</v>
      </c>
      <c r="KAL1" s="154" t="str">
        <f t="shared" si="116"/>
        <v>y</v>
      </c>
      <c r="KAM1" s="154" t="str">
        <f t="shared" si="116"/>
        <v>y</v>
      </c>
      <c r="KAN1" s="154" t="str">
        <f t="shared" si="116"/>
        <v>y</v>
      </c>
      <c r="KAO1" s="154" t="str">
        <f t="shared" si="116"/>
        <v>y</v>
      </c>
      <c r="KAP1" s="154" t="str">
        <f t="shared" si="116"/>
        <v>y</v>
      </c>
      <c r="KAQ1" s="154" t="str">
        <f t="shared" si="116"/>
        <v>y</v>
      </c>
      <c r="KAR1" s="154" t="str">
        <f t="shared" si="116"/>
        <v>y</v>
      </c>
      <c r="KAS1" s="154" t="str">
        <f t="shared" si="116"/>
        <v>y</v>
      </c>
      <c r="KAT1" s="154" t="str">
        <f t="shared" si="116"/>
        <v>y</v>
      </c>
      <c r="KAU1" s="154" t="str">
        <f t="shared" si="116"/>
        <v>y</v>
      </c>
      <c r="KAV1" s="154" t="str">
        <f t="shared" si="116"/>
        <v>y</v>
      </c>
      <c r="KAW1" s="154" t="str">
        <f t="shared" si="116"/>
        <v>y</v>
      </c>
      <c r="KAX1" s="154" t="str">
        <f t="shared" si="116"/>
        <v>y</v>
      </c>
      <c r="KAY1" s="154" t="str">
        <f t="shared" si="116"/>
        <v>y</v>
      </c>
      <c r="KAZ1" s="154" t="str">
        <f t="shared" si="116"/>
        <v>y</v>
      </c>
      <c r="KBA1" s="154" t="str">
        <f t="shared" si="116"/>
        <v>y</v>
      </c>
      <c r="KBB1" s="154" t="str">
        <f t="shared" si="116"/>
        <v>y</v>
      </c>
      <c r="KBC1" s="154" t="str">
        <f t="shared" si="116"/>
        <v>y</v>
      </c>
      <c r="KBD1" s="154" t="str">
        <f t="shared" si="116"/>
        <v>y</v>
      </c>
      <c r="KBE1" s="154" t="str">
        <f t="shared" si="116"/>
        <v>y</v>
      </c>
      <c r="KBF1" s="154" t="str">
        <f t="shared" ref="KBF1:KDQ1" si="117">KBF2&amp;"y"</f>
        <v>y</v>
      </c>
      <c r="KBG1" s="154" t="str">
        <f t="shared" si="117"/>
        <v>y</v>
      </c>
      <c r="KBH1" s="154" t="str">
        <f t="shared" si="117"/>
        <v>y</v>
      </c>
      <c r="KBI1" s="154" t="str">
        <f t="shared" si="117"/>
        <v>y</v>
      </c>
      <c r="KBJ1" s="154" t="str">
        <f t="shared" si="117"/>
        <v>y</v>
      </c>
      <c r="KBK1" s="154" t="str">
        <f t="shared" si="117"/>
        <v>y</v>
      </c>
      <c r="KBL1" s="154" t="str">
        <f t="shared" si="117"/>
        <v>y</v>
      </c>
      <c r="KBM1" s="154" t="str">
        <f t="shared" si="117"/>
        <v>y</v>
      </c>
      <c r="KBN1" s="154" t="str">
        <f t="shared" si="117"/>
        <v>y</v>
      </c>
      <c r="KBO1" s="154" t="str">
        <f t="shared" si="117"/>
        <v>y</v>
      </c>
      <c r="KBP1" s="154" t="str">
        <f t="shared" si="117"/>
        <v>y</v>
      </c>
      <c r="KBQ1" s="154" t="str">
        <f t="shared" si="117"/>
        <v>y</v>
      </c>
      <c r="KBR1" s="154" t="str">
        <f t="shared" si="117"/>
        <v>y</v>
      </c>
      <c r="KBS1" s="154" t="str">
        <f t="shared" si="117"/>
        <v>y</v>
      </c>
      <c r="KBT1" s="154" t="str">
        <f t="shared" si="117"/>
        <v>y</v>
      </c>
      <c r="KBU1" s="154" t="str">
        <f t="shared" si="117"/>
        <v>y</v>
      </c>
      <c r="KBV1" s="154" t="str">
        <f t="shared" si="117"/>
        <v>y</v>
      </c>
      <c r="KBW1" s="154" t="str">
        <f t="shared" si="117"/>
        <v>y</v>
      </c>
      <c r="KBX1" s="154" t="str">
        <f t="shared" si="117"/>
        <v>y</v>
      </c>
      <c r="KBY1" s="154" t="str">
        <f t="shared" si="117"/>
        <v>y</v>
      </c>
      <c r="KBZ1" s="154" t="str">
        <f t="shared" si="117"/>
        <v>y</v>
      </c>
      <c r="KCA1" s="154" t="str">
        <f t="shared" si="117"/>
        <v>y</v>
      </c>
      <c r="KCB1" s="154" t="str">
        <f t="shared" si="117"/>
        <v>y</v>
      </c>
      <c r="KCC1" s="154" t="str">
        <f t="shared" si="117"/>
        <v>y</v>
      </c>
      <c r="KCD1" s="154" t="str">
        <f t="shared" si="117"/>
        <v>y</v>
      </c>
      <c r="KCE1" s="154" t="str">
        <f t="shared" si="117"/>
        <v>y</v>
      </c>
      <c r="KCF1" s="154" t="str">
        <f t="shared" si="117"/>
        <v>y</v>
      </c>
      <c r="KCG1" s="154" t="str">
        <f t="shared" si="117"/>
        <v>y</v>
      </c>
      <c r="KCH1" s="154" t="str">
        <f t="shared" si="117"/>
        <v>y</v>
      </c>
      <c r="KCI1" s="154" t="str">
        <f t="shared" si="117"/>
        <v>y</v>
      </c>
      <c r="KCJ1" s="154" t="str">
        <f t="shared" si="117"/>
        <v>y</v>
      </c>
      <c r="KCK1" s="154" t="str">
        <f t="shared" si="117"/>
        <v>y</v>
      </c>
      <c r="KCL1" s="154" t="str">
        <f t="shared" si="117"/>
        <v>y</v>
      </c>
      <c r="KCM1" s="154" t="str">
        <f t="shared" si="117"/>
        <v>y</v>
      </c>
      <c r="KCN1" s="154" t="str">
        <f t="shared" si="117"/>
        <v>y</v>
      </c>
      <c r="KCO1" s="154" t="str">
        <f t="shared" si="117"/>
        <v>y</v>
      </c>
      <c r="KCP1" s="154" t="str">
        <f t="shared" si="117"/>
        <v>y</v>
      </c>
      <c r="KCQ1" s="154" t="str">
        <f t="shared" si="117"/>
        <v>y</v>
      </c>
      <c r="KCR1" s="154" t="str">
        <f t="shared" si="117"/>
        <v>y</v>
      </c>
      <c r="KCS1" s="154" t="str">
        <f t="shared" si="117"/>
        <v>y</v>
      </c>
      <c r="KCT1" s="154" t="str">
        <f t="shared" si="117"/>
        <v>y</v>
      </c>
      <c r="KCU1" s="154" t="str">
        <f t="shared" si="117"/>
        <v>y</v>
      </c>
      <c r="KCV1" s="154" t="str">
        <f t="shared" si="117"/>
        <v>y</v>
      </c>
      <c r="KCW1" s="154" t="str">
        <f t="shared" si="117"/>
        <v>y</v>
      </c>
      <c r="KCX1" s="154" t="str">
        <f t="shared" si="117"/>
        <v>y</v>
      </c>
      <c r="KCY1" s="154" t="str">
        <f t="shared" si="117"/>
        <v>y</v>
      </c>
      <c r="KCZ1" s="154" t="str">
        <f t="shared" si="117"/>
        <v>y</v>
      </c>
      <c r="KDA1" s="154" t="str">
        <f t="shared" si="117"/>
        <v>y</v>
      </c>
      <c r="KDB1" s="154" t="str">
        <f t="shared" si="117"/>
        <v>y</v>
      </c>
      <c r="KDC1" s="154" t="str">
        <f t="shared" si="117"/>
        <v>y</v>
      </c>
      <c r="KDD1" s="154" t="str">
        <f t="shared" si="117"/>
        <v>y</v>
      </c>
      <c r="KDE1" s="154" t="str">
        <f t="shared" si="117"/>
        <v>y</v>
      </c>
      <c r="KDF1" s="154" t="str">
        <f t="shared" si="117"/>
        <v>y</v>
      </c>
      <c r="KDG1" s="154" t="str">
        <f t="shared" si="117"/>
        <v>y</v>
      </c>
      <c r="KDH1" s="154" t="str">
        <f t="shared" si="117"/>
        <v>y</v>
      </c>
      <c r="KDI1" s="154" t="str">
        <f t="shared" si="117"/>
        <v>y</v>
      </c>
      <c r="KDJ1" s="154" t="str">
        <f t="shared" si="117"/>
        <v>y</v>
      </c>
      <c r="KDK1" s="154" t="str">
        <f t="shared" si="117"/>
        <v>y</v>
      </c>
      <c r="KDL1" s="154" t="str">
        <f t="shared" si="117"/>
        <v>y</v>
      </c>
      <c r="KDM1" s="154" t="str">
        <f t="shared" si="117"/>
        <v>y</v>
      </c>
      <c r="KDN1" s="154" t="str">
        <f t="shared" si="117"/>
        <v>y</v>
      </c>
      <c r="KDO1" s="154" t="str">
        <f t="shared" si="117"/>
        <v>y</v>
      </c>
      <c r="KDP1" s="154" t="str">
        <f t="shared" si="117"/>
        <v>y</v>
      </c>
      <c r="KDQ1" s="154" t="str">
        <f t="shared" si="117"/>
        <v>y</v>
      </c>
      <c r="KDR1" s="154" t="str">
        <f t="shared" ref="KDR1:KGC1" si="118">KDR2&amp;"y"</f>
        <v>y</v>
      </c>
      <c r="KDS1" s="154" t="str">
        <f t="shared" si="118"/>
        <v>y</v>
      </c>
      <c r="KDT1" s="154" t="str">
        <f t="shared" si="118"/>
        <v>y</v>
      </c>
      <c r="KDU1" s="154" t="str">
        <f t="shared" si="118"/>
        <v>y</v>
      </c>
      <c r="KDV1" s="154" t="str">
        <f t="shared" si="118"/>
        <v>y</v>
      </c>
      <c r="KDW1" s="154" t="str">
        <f t="shared" si="118"/>
        <v>y</v>
      </c>
      <c r="KDX1" s="154" t="str">
        <f t="shared" si="118"/>
        <v>y</v>
      </c>
      <c r="KDY1" s="154" t="str">
        <f t="shared" si="118"/>
        <v>y</v>
      </c>
      <c r="KDZ1" s="154" t="str">
        <f t="shared" si="118"/>
        <v>y</v>
      </c>
      <c r="KEA1" s="154" t="str">
        <f t="shared" si="118"/>
        <v>y</v>
      </c>
      <c r="KEB1" s="154" t="str">
        <f t="shared" si="118"/>
        <v>y</v>
      </c>
      <c r="KEC1" s="154" t="str">
        <f t="shared" si="118"/>
        <v>y</v>
      </c>
      <c r="KED1" s="154" t="str">
        <f t="shared" si="118"/>
        <v>y</v>
      </c>
      <c r="KEE1" s="154" t="str">
        <f t="shared" si="118"/>
        <v>y</v>
      </c>
      <c r="KEF1" s="154" t="str">
        <f t="shared" si="118"/>
        <v>y</v>
      </c>
      <c r="KEG1" s="154" t="str">
        <f t="shared" si="118"/>
        <v>y</v>
      </c>
      <c r="KEH1" s="154" t="str">
        <f t="shared" si="118"/>
        <v>y</v>
      </c>
      <c r="KEI1" s="154" t="str">
        <f t="shared" si="118"/>
        <v>y</v>
      </c>
      <c r="KEJ1" s="154" t="str">
        <f t="shared" si="118"/>
        <v>y</v>
      </c>
      <c r="KEK1" s="154" t="str">
        <f t="shared" si="118"/>
        <v>y</v>
      </c>
      <c r="KEL1" s="154" t="str">
        <f t="shared" si="118"/>
        <v>y</v>
      </c>
      <c r="KEM1" s="154" t="str">
        <f t="shared" si="118"/>
        <v>y</v>
      </c>
      <c r="KEN1" s="154" t="str">
        <f t="shared" si="118"/>
        <v>y</v>
      </c>
      <c r="KEO1" s="154" t="str">
        <f t="shared" si="118"/>
        <v>y</v>
      </c>
      <c r="KEP1" s="154" t="str">
        <f t="shared" si="118"/>
        <v>y</v>
      </c>
      <c r="KEQ1" s="154" t="str">
        <f t="shared" si="118"/>
        <v>y</v>
      </c>
      <c r="KER1" s="154" t="str">
        <f t="shared" si="118"/>
        <v>y</v>
      </c>
      <c r="KES1" s="154" t="str">
        <f t="shared" si="118"/>
        <v>y</v>
      </c>
      <c r="KET1" s="154" t="str">
        <f t="shared" si="118"/>
        <v>y</v>
      </c>
      <c r="KEU1" s="154" t="str">
        <f t="shared" si="118"/>
        <v>y</v>
      </c>
      <c r="KEV1" s="154" t="str">
        <f t="shared" si="118"/>
        <v>y</v>
      </c>
      <c r="KEW1" s="154" t="str">
        <f t="shared" si="118"/>
        <v>y</v>
      </c>
      <c r="KEX1" s="154" t="str">
        <f t="shared" si="118"/>
        <v>y</v>
      </c>
      <c r="KEY1" s="154" t="str">
        <f t="shared" si="118"/>
        <v>y</v>
      </c>
      <c r="KEZ1" s="154" t="str">
        <f t="shared" si="118"/>
        <v>y</v>
      </c>
      <c r="KFA1" s="154" t="str">
        <f t="shared" si="118"/>
        <v>y</v>
      </c>
      <c r="KFB1" s="154" t="str">
        <f t="shared" si="118"/>
        <v>y</v>
      </c>
      <c r="KFC1" s="154" t="str">
        <f t="shared" si="118"/>
        <v>y</v>
      </c>
      <c r="KFD1" s="154" t="str">
        <f t="shared" si="118"/>
        <v>y</v>
      </c>
      <c r="KFE1" s="154" t="str">
        <f t="shared" si="118"/>
        <v>y</v>
      </c>
      <c r="KFF1" s="154" t="str">
        <f t="shared" si="118"/>
        <v>y</v>
      </c>
      <c r="KFG1" s="154" t="str">
        <f t="shared" si="118"/>
        <v>y</v>
      </c>
      <c r="KFH1" s="154" t="str">
        <f t="shared" si="118"/>
        <v>y</v>
      </c>
      <c r="KFI1" s="154" t="str">
        <f t="shared" si="118"/>
        <v>y</v>
      </c>
      <c r="KFJ1" s="154" t="str">
        <f t="shared" si="118"/>
        <v>y</v>
      </c>
      <c r="KFK1" s="154" t="str">
        <f t="shared" si="118"/>
        <v>y</v>
      </c>
      <c r="KFL1" s="154" t="str">
        <f t="shared" si="118"/>
        <v>y</v>
      </c>
      <c r="KFM1" s="154" t="str">
        <f t="shared" si="118"/>
        <v>y</v>
      </c>
      <c r="KFN1" s="154" t="str">
        <f t="shared" si="118"/>
        <v>y</v>
      </c>
      <c r="KFO1" s="154" t="str">
        <f t="shared" si="118"/>
        <v>y</v>
      </c>
      <c r="KFP1" s="154" t="str">
        <f t="shared" si="118"/>
        <v>y</v>
      </c>
      <c r="KFQ1" s="154" t="str">
        <f t="shared" si="118"/>
        <v>y</v>
      </c>
      <c r="KFR1" s="154" t="str">
        <f t="shared" si="118"/>
        <v>y</v>
      </c>
      <c r="KFS1" s="154" t="str">
        <f t="shared" si="118"/>
        <v>y</v>
      </c>
      <c r="KFT1" s="154" t="str">
        <f t="shared" si="118"/>
        <v>y</v>
      </c>
      <c r="KFU1" s="154" t="str">
        <f t="shared" si="118"/>
        <v>y</v>
      </c>
      <c r="KFV1" s="154" t="str">
        <f t="shared" si="118"/>
        <v>y</v>
      </c>
      <c r="KFW1" s="154" t="str">
        <f t="shared" si="118"/>
        <v>y</v>
      </c>
      <c r="KFX1" s="154" t="str">
        <f t="shared" si="118"/>
        <v>y</v>
      </c>
      <c r="KFY1" s="154" t="str">
        <f t="shared" si="118"/>
        <v>y</v>
      </c>
      <c r="KFZ1" s="154" t="str">
        <f t="shared" si="118"/>
        <v>y</v>
      </c>
      <c r="KGA1" s="154" t="str">
        <f t="shared" si="118"/>
        <v>y</v>
      </c>
      <c r="KGB1" s="154" t="str">
        <f t="shared" si="118"/>
        <v>y</v>
      </c>
      <c r="KGC1" s="154" t="str">
        <f t="shared" si="118"/>
        <v>y</v>
      </c>
      <c r="KGD1" s="154" t="str">
        <f t="shared" ref="KGD1:KIO1" si="119">KGD2&amp;"y"</f>
        <v>y</v>
      </c>
      <c r="KGE1" s="154" t="str">
        <f t="shared" si="119"/>
        <v>y</v>
      </c>
      <c r="KGF1" s="154" t="str">
        <f t="shared" si="119"/>
        <v>y</v>
      </c>
      <c r="KGG1" s="154" t="str">
        <f t="shared" si="119"/>
        <v>y</v>
      </c>
      <c r="KGH1" s="154" t="str">
        <f t="shared" si="119"/>
        <v>y</v>
      </c>
      <c r="KGI1" s="154" t="str">
        <f t="shared" si="119"/>
        <v>y</v>
      </c>
      <c r="KGJ1" s="154" t="str">
        <f t="shared" si="119"/>
        <v>y</v>
      </c>
      <c r="KGK1" s="154" t="str">
        <f t="shared" si="119"/>
        <v>y</v>
      </c>
      <c r="KGL1" s="154" t="str">
        <f t="shared" si="119"/>
        <v>y</v>
      </c>
      <c r="KGM1" s="154" t="str">
        <f t="shared" si="119"/>
        <v>y</v>
      </c>
      <c r="KGN1" s="154" t="str">
        <f t="shared" si="119"/>
        <v>y</v>
      </c>
      <c r="KGO1" s="154" t="str">
        <f t="shared" si="119"/>
        <v>y</v>
      </c>
      <c r="KGP1" s="154" t="str">
        <f t="shared" si="119"/>
        <v>y</v>
      </c>
      <c r="KGQ1" s="154" t="str">
        <f t="shared" si="119"/>
        <v>y</v>
      </c>
      <c r="KGR1" s="154" t="str">
        <f t="shared" si="119"/>
        <v>y</v>
      </c>
      <c r="KGS1" s="154" t="str">
        <f t="shared" si="119"/>
        <v>y</v>
      </c>
      <c r="KGT1" s="154" t="str">
        <f t="shared" si="119"/>
        <v>y</v>
      </c>
      <c r="KGU1" s="154" t="str">
        <f t="shared" si="119"/>
        <v>y</v>
      </c>
      <c r="KGV1" s="154" t="str">
        <f t="shared" si="119"/>
        <v>y</v>
      </c>
      <c r="KGW1" s="154" t="str">
        <f t="shared" si="119"/>
        <v>y</v>
      </c>
      <c r="KGX1" s="154" t="str">
        <f t="shared" si="119"/>
        <v>y</v>
      </c>
      <c r="KGY1" s="154" t="str">
        <f t="shared" si="119"/>
        <v>y</v>
      </c>
      <c r="KGZ1" s="154" t="str">
        <f t="shared" si="119"/>
        <v>y</v>
      </c>
      <c r="KHA1" s="154" t="str">
        <f t="shared" si="119"/>
        <v>y</v>
      </c>
      <c r="KHB1" s="154" t="str">
        <f t="shared" si="119"/>
        <v>y</v>
      </c>
      <c r="KHC1" s="154" t="str">
        <f t="shared" si="119"/>
        <v>y</v>
      </c>
      <c r="KHD1" s="154" t="str">
        <f t="shared" si="119"/>
        <v>y</v>
      </c>
      <c r="KHE1" s="154" t="str">
        <f t="shared" si="119"/>
        <v>y</v>
      </c>
      <c r="KHF1" s="154" t="str">
        <f t="shared" si="119"/>
        <v>y</v>
      </c>
      <c r="KHG1" s="154" t="str">
        <f t="shared" si="119"/>
        <v>y</v>
      </c>
      <c r="KHH1" s="154" t="str">
        <f t="shared" si="119"/>
        <v>y</v>
      </c>
      <c r="KHI1" s="154" t="str">
        <f t="shared" si="119"/>
        <v>y</v>
      </c>
      <c r="KHJ1" s="154" t="str">
        <f t="shared" si="119"/>
        <v>y</v>
      </c>
      <c r="KHK1" s="154" t="str">
        <f t="shared" si="119"/>
        <v>y</v>
      </c>
      <c r="KHL1" s="154" t="str">
        <f t="shared" si="119"/>
        <v>y</v>
      </c>
      <c r="KHM1" s="154" t="str">
        <f t="shared" si="119"/>
        <v>y</v>
      </c>
      <c r="KHN1" s="154" t="str">
        <f t="shared" si="119"/>
        <v>y</v>
      </c>
      <c r="KHO1" s="154" t="str">
        <f t="shared" si="119"/>
        <v>y</v>
      </c>
      <c r="KHP1" s="154" t="str">
        <f t="shared" si="119"/>
        <v>y</v>
      </c>
      <c r="KHQ1" s="154" t="str">
        <f t="shared" si="119"/>
        <v>y</v>
      </c>
      <c r="KHR1" s="154" t="str">
        <f t="shared" si="119"/>
        <v>y</v>
      </c>
      <c r="KHS1" s="154" t="str">
        <f t="shared" si="119"/>
        <v>y</v>
      </c>
      <c r="KHT1" s="154" t="str">
        <f t="shared" si="119"/>
        <v>y</v>
      </c>
      <c r="KHU1" s="154" t="str">
        <f t="shared" si="119"/>
        <v>y</v>
      </c>
      <c r="KHV1" s="154" t="str">
        <f t="shared" si="119"/>
        <v>y</v>
      </c>
      <c r="KHW1" s="154" t="str">
        <f t="shared" si="119"/>
        <v>y</v>
      </c>
      <c r="KHX1" s="154" t="str">
        <f t="shared" si="119"/>
        <v>y</v>
      </c>
      <c r="KHY1" s="154" t="str">
        <f t="shared" si="119"/>
        <v>y</v>
      </c>
      <c r="KHZ1" s="154" t="str">
        <f t="shared" si="119"/>
        <v>y</v>
      </c>
      <c r="KIA1" s="154" t="str">
        <f t="shared" si="119"/>
        <v>y</v>
      </c>
      <c r="KIB1" s="154" t="str">
        <f t="shared" si="119"/>
        <v>y</v>
      </c>
      <c r="KIC1" s="154" t="str">
        <f t="shared" si="119"/>
        <v>y</v>
      </c>
      <c r="KID1" s="154" t="str">
        <f t="shared" si="119"/>
        <v>y</v>
      </c>
      <c r="KIE1" s="154" t="str">
        <f t="shared" si="119"/>
        <v>y</v>
      </c>
      <c r="KIF1" s="154" t="str">
        <f t="shared" si="119"/>
        <v>y</v>
      </c>
      <c r="KIG1" s="154" t="str">
        <f t="shared" si="119"/>
        <v>y</v>
      </c>
      <c r="KIH1" s="154" t="str">
        <f t="shared" si="119"/>
        <v>y</v>
      </c>
      <c r="KII1" s="154" t="str">
        <f t="shared" si="119"/>
        <v>y</v>
      </c>
      <c r="KIJ1" s="154" t="str">
        <f t="shared" si="119"/>
        <v>y</v>
      </c>
      <c r="KIK1" s="154" t="str">
        <f t="shared" si="119"/>
        <v>y</v>
      </c>
      <c r="KIL1" s="154" t="str">
        <f t="shared" si="119"/>
        <v>y</v>
      </c>
      <c r="KIM1" s="154" t="str">
        <f t="shared" si="119"/>
        <v>y</v>
      </c>
      <c r="KIN1" s="154" t="str">
        <f t="shared" si="119"/>
        <v>y</v>
      </c>
      <c r="KIO1" s="154" t="str">
        <f t="shared" si="119"/>
        <v>y</v>
      </c>
      <c r="KIP1" s="154" t="str">
        <f t="shared" ref="KIP1:KLA1" si="120">KIP2&amp;"y"</f>
        <v>y</v>
      </c>
      <c r="KIQ1" s="154" t="str">
        <f t="shared" si="120"/>
        <v>y</v>
      </c>
      <c r="KIR1" s="154" t="str">
        <f t="shared" si="120"/>
        <v>y</v>
      </c>
      <c r="KIS1" s="154" t="str">
        <f t="shared" si="120"/>
        <v>y</v>
      </c>
      <c r="KIT1" s="154" t="str">
        <f t="shared" si="120"/>
        <v>y</v>
      </c>
      <c r="KIU1" s="154" t="str">
        <f t="shared" si="120"/>
        <v>y</v>
      </c>
      <c r="KIV1" s="154" t="str">
        <f t="shared" si="120"/>
        <v>y</v>
      </c>
      <c r="KIW1" s="154" t="str">
        <f t="shared" si="120"/>
        <v>y</v>
      </c>
      <c r="KIX1" s="154" t="str">
        <f t="shared" si="120"/>
        <v>y</v>
      </c>
      <c r="KIY1" s="154" t="str">
        <f t="shared" si="120"/>
        <v>y</v>
      </c>
      <c r="KIZ1" s="154" t="str">
        <f t="shared" si="120"/>
        <v>y</v>
      </c>
      <c r="KJA1" s="154" t="str">
        <f t="shared" si="120"/>
        <v>y</v>
      </c>
      <c r="KJB1" s="154" t="str">
        <f t="shared" si="120"/>
        <v>y</v>
      </c>
      <c r="KJC1" s="154" t="str">
        <f t="shared" si="120"/>
        <v>y</v>
      </c>
      <c r="KJD1" s="154" t="str">
        <f t="shared" si="120"/>
        <v>y</v>
      </c>
      <c r="KJE1" s="154" t="str">
        <f t="shared" si="120"/>
        <v>y</v>
      </c>
      <c r="KJF1" s="154" t="str">
        <f t="shared" si="120"/>
        <v>y</v>
      </c>
      <c r="KJG1" s="154" t="str">
        <f t="shared" si="120"/>
        <v>y</v>
      </c>
      <c r="KJH1" s="154" t="str">
        <f t="shared" si="120"/>
        <v>y</v>
      </c>
      <c r="KJI1" s="154" t="str">
        <f t="shared" si="120"/>
        <v>y</v>
      </c>
      <c r="KJJ1" s="154" t="str">
        <f t="shared" si="120"/>
        <v>y</v>
      </c>
      <c r="KJK1" s="154" t="str">
        <f t="shared" si="120"/>
        <v>y</v>
      </c>
      <c r="KJL1" s="154" t="str">
        <f t="shared" si="120"/>
        <v>y</v>
      </c>
      <c r="KJM1" s="154" t="str">
        <f t="shared" si="120"/>
        <v>y</v>
      </c>
      <c r="KJN1" s="154" t="str">
        <f t="shared" si="120"/>
        <v>y</v>
      </c>
      <c r="KJO1" s="154" t="str">
        <f t="shared" si="120"/>
        <v>y</v>
      </c>
      <c r="KJP1" s="154" t="str">
        <f t="shared" si="120"/>
        <v>y</v>
      </c>
      <c r="KJQ1" s="154" t="str">
        <f t="shared" si="120"/>
        <v>y</v>
      </c>
      <c r="KJR1" s="154" t="str">
        <f t="shared" si="120"/>
        <v>y</v>
      </c>
      <c r="KJS1" s="154" t="str">
        <f t="shared" si="120"/>
        <v>y</v>
      </c>
      <c r="KJT1" s="154" t="str">
        <f t="shared" si="120"/>
        <v>y</v>
      </c>
      <c r="KJU1" s="154" t="str">
        <f t="shared" si="120"/>
        <v>y</v>
      </c>
      <c r="KJV1" s="154" t="str">
        <f t="shared" si="120"/>
        <v>y</v>
      </c>
      <c r="KJW1" s="154" t="str">
        <f t="shared" si="120"/>
        <v>y</v>
      </c>
      <c r="KJX1" s="154" t="str">
        <f t="shared" si="120"/>
        <v>y</v>
      </c>
      <c r="KJY1" s="154" t="str">
        <f t="shared" si="120"/>
        <v>y</v>
      </c>
      <c r="KJZ1" s="154" t="str">
        <f t="shared" si="120"/>
        <v>y</v>
      </c>
      <c r="KKA1" s="154" t="str">
        <f t="shared" si="120"/>
        <v>y</v>
      </c>
      <c r="KKB1" s="154" t="str">
        <f t="shared" si="120"/>
        <v>y</v>
      </c>
      <c r="KKC1" s="154" t="str">
        <f t="shared" si="120"/>
        <v>y</v>
      </c>
      <c r="KKD1" s="154" t="str">
        <f t="shared" si="120"/>
        <v>y</v>
      </c>
      <c r="KKE1" s="154" t="str">
        <f t="shared" si="120"/>
        <v>y</v>
      </c>
      <c r="KKF1" s="154" t="str">
        <f t="shared" si="120"/>
        <v>y</v>
      </c>
      <c r="KKG1" s="154" t="str">
        <f t="shared" si="120"/>
        <v>y</v>
      </c>
      <c r="KKH1" s="154" t="str">
        <f t="shared" si="120"/>
        <v>y</v>
      </c>
      <c r="KKI1" s="154" t="str">
        <f t="shared" si="120"/>
        <v>y</v>
      </c>
      <c r="KKJ1" s="154" t="str">
        <f t="shared" si="120"/>
        <v>y</v>
      </c>
      <c r="KKK1" s="154" t="str">
        <f t="shared" si="120"/>
        <v>y</v>
      </c>
      <c r="KKL1" s="154" t="str">
        <f t="shared" si="120"/>
        <v>y</v>
      </c>
      <c r="KKM1" s="154" t="str">
        <f t="shared" si="120"/>
        <v>y</v>
      </c>
      <c r="KKN1" s="154" t="str">
        <f t="shared" si="120"/>
        <v>y</v>
      </c>
      <c r="KKO1" s="154" t="str">
        <f t="shared" si="120"/>
        <v>y</v>
      </c>
      <c r="KKP1" s="154" t="str">
        <f t="shared" si="120"/>
        <v>y</v>
      </c>
      <c r="KKQ1" s="154" t="str">
        <f t="shared" si="120"/>
        <v>y</v>
      </c>
      <c r="KKR1" s="154" t="str">
        <f t="shared" si="120"/>
        <v>y</v>
      </c>
      <c r="KKS1" s="154" t="str">
        <f t="shared" si="120"/>
        <v>y</v>
      </c>
      <c r="KKT1" s="154" t="str">
        <f t="shared" si="120"/>
        <v>y</v>
      </c>
      <c r="KKU1" s="154" t="str">
        <f t="shared" si="120"/>
        <v>y</v>
      </c>
      <c r="KKV1" s="154" t="str">
        <f t="shared" si="120"/>
        <v>y</v>
      </c>
      <c r="KKW1" s="154" t="str">
        <f t="shared" si="120"/>
        <v>y</v>
      </c>
      <c r="KKX1" s="154" t="str">
        <f t="shared" si="120"/>
        <v>y</v>
      </c>
      <c r="KKY1" s="154" t="str">
        <f t="shared" si="120"/>
        <v>y</v>
      </c>
      <c r="KKZ1" s="154" t="str">
        <f t="shared" si="120"/>
        <v>y</v>
      </c>
      <c r="KLA1" s="154" t="str">
        <f t="shared" si="120"/>
        <v>y</v>
      </c>
      <c r="KLB1" s="154" t="str">
        <f t="shared" ref="KLB1:KNM1" si="121">KLB2&amp;"y"</f>
        <v>y</v>
      </c>
      <c r="KLC1" s="154" t="str">
        <f t="shared" si="121"/>
        <v>y</v>
      </c>
      <c r="KLD1" s="154" t="str">
        <f t="shared" si="121"/>
        <v>y</v>
      </c>
      <c r="KLE1" s="154" t="str">
        <f t="shared" si="121"/>
        <v>y</v>
      </c>
      <c r="KLF1" s="154" t="str">
        <f t="shared" si="121"/>
        <v>y</v>
      </c>
      <c r="KLG1" s="154" t="str">
        <f t="shared" si="121"/>
        <v>y</v>
      </c>
      <c r="KLH1" s="154" t="str">
        <f t="shared" si="121"/>
        <v>y</v>
      </c>
      <c r="KLI1" s="154" t="str">
        <f t="shared" si="121"/>
        <v>y</v>
      </c>
      <c r="KLJ1" s="154" t="str">
        <f t="shared" si="121"/>
        <v>y</v>
      </c>
      <c r="KLK1" s="154" t="str">
        <f t="shared" si="121"/>
        <v>y</v>
      </c>
      <c r="KLL1" s="154" t="str">
        <f t="shared" si="121"/>
        <v>y</v>
      </c>
      <c r="KLM1" s="154" t="str">
        <f t="shared" si="121"/>
        <v>y</v>
      </c>
      <c r="KLN1" s="154" t="str">
        <f t="shared" si="121"/>
        <v>y</v>
      </c>
      <c r="KLO1" s="154" t="str">
        <f t="shared" si="121"/>
        <v>y</v>
      </c>
      <c r="KLP1" s="154" t="str">
        <f t="shared" si="121"/>
        <v>y</v>
      </c>
      <c r="KLQ1" s="154" t="str">
        <f t="shared" si="121"/>
        <v>y</v>
      </c>
      <c r="KLR1" s="154" t="str">
        <f t="shared" si="121"/>
        <v>y</v>
      </c>
      <c r="KLS1" s="154" t="str">
        <f t="shared" si="121"/>
        <v>y</v>
      </c>
      <c r="KLT1" s="154" t="str">
        <f t="shared" si="121"/>
        <v>y</v>
      </c>
      <c r="KLU1" s="154" t="str">
        <f t="shared" si="121"/>
        <v>y</v>
      </c>
      <c r="KLV1" s="154" t="str">
        <f t="shared" si="121"/>
        <v>y</v>
      </c>
      <c r="KLW1" s="154" t="str">
        <f t="shared" si="121"/>
        <v>y</v>
      </c>
      <c r="KLX1" s="154" t="str">
        <f t="shared" si="121"/>
        <v>y</v>
      </c>
      <c r="KLY1" s="154" t="str">
        <f t="shared" si="121"/>
        <v>y</v>
      </c>
      <c r="KLZ1" s="154" t="str">
        <f t="shared" si="121"/>
        <v>y</v>
      </c>
      <c r="KMA1" s="154" t="str">
        <f t="shared" si="121"/>
        <v>y</v>
      </c>
      <c r="KMB1" s="154" t="str">
        <f t="shared" si="121"/>
        <v>y</v>
      </c>
      <c r="KMC1" s="154" t="str">
        <f t="shared" si="121"/>
        <v>y</v>
      </c>
      <c r="KMD1" s="154" t="str">
        <f t="shared" si="121"/>
        <v>y</v>
      </c>
      <c r="KME1" s="154" t="str">
        <f t="shared" si="121"/>
        <v>y</v>
      </c>
      <c r="KMF1" s="154" t="str">
        <f t="shared" si="121"/>
        <v>y</v>
      </c>
      <c r="KMG1" s="154" t="str">
        <f t="shared" si="121"/>
        <v>y</v>
      </c>
      <c r="KMH1" s="154" t="str">
        <f t="shared" si="121"/>
        <v>y</v>
      </c>
      <c r="KMI1" s="154" t="str">
        <f t="shared" si="121"/>
        <v>y</v>
      </c>
      <c r="KMJ1" s="154" t="str">
        <f t="shared" si="121"/>
        <v>y</v>
      </c>
      <c r="KMK1" s="154" t="str">
        <f t="shared" si="121"/>
        <v>y</v>
      </c>
      <c r="KML1" s="154" t="str">
        <f t="shared" si="121"/>
        <v>y</v>
      </c>
      <c r="KMM1" s="154" t="str">
        <f t="shared" si="121"/>
        <v>y</v>
      </c>
      <c r="KMN1" s="154" t="str">
        <f t="shared" si="121"/>
        <v>y</v>
      </c>
      <c r="KMO1" s="154" t="str">
        <f t="shared" si="121"/>
        <v>y</v>
      </c>
      <c r="KMP1" s="154" t="str">
        <f t="shared" si="121"/>
        <v>y</v>
      </c>
      <c r="KMQ1" s="154" t="str">
        <f t="shared" si="121"/>
        <v>y</v>
      </c>
      <c r="KMR1" s="154" t="str">
        <f t="shared" si="121"/>
        <v>y</v>
      </c>
      <c r="KMS1" s="154" t="str">
        <f t="shared" si="121"/>
        <v>y</v>
      </c>
      <c r="KMT1" s="154" t="str">
        <f t="shared" si="121"/>
        <v>y</v>
      </c>
      <c r="KMU1" s="154" t="str">
        <f t="shared" si="121"/>
        <v>y</v>
      </c>
      <c r="KMV1" s="154" t="str">
        <f t="shared" si="121"/>
        <v>y</v>
      </c>
      <c r="KMW1" s="154" t="str">
        <f t="shared" si="121"/>
        <v>y</v>
      </c>
      <c r="KMX1" s="154" t="str">
        <f t="shared" si="121"/>
        <v>y</v>
      </c>
      <c r="KMY1" s="154" t="str">
        <f t="shared" si="121"/>
        <v>y</v>
      </c>
      <c r="KMZ1" s="154" t="str">
        <f t="shared" si="121"/>
        <v>y</v>
      </c>
      <c r="KNA1" s="154" t="str">
        <f t="shared" si="121"/>
        <v>y</v>
      </c>
      <c r="KNB1" s="154" t="str">
        <f t="shared" si="121"/>
        <v>y</v>
      </c>
      <c r="KNC1" s="154" t="str">
        <f t="shared" si="121"/>
        <v>y</v>
      </c>
      <c r="KND1" s="154" t="str">
        <f t="shared" si="121"/>
        <v>y</v>
      </c>
      <c r="KNE1" s="154" t="str">
        <f t="shared" si="121"/>
        <v>y</v>
      </c>
      <c r="KNF1" s="154" t="str">
        <f t="shared" si="121"/>
        <v>y</v>
      </c>
      <c r="KNG1" s="154" t="str">
        <f t="shared" si="121"/>
        <v>y</v>
      </c>
      <c r="KNH1" s="154" t="str">
        <f t="shared" si="121"/>
        <v>y</v>
      </c>
      <c r="KNI1" s="154" t="str">
        <f t="shared" si="121"/>
        <v>y</v>
      </c>
      <c r="KNJ1" s="154" t="str">
        <f t="shared" si="121"/>
        <v>y</v>
      </c>
      <c r="KNK1" s="154" t="str">
        <f t="shared" si="121"/>
        <v>y</v>
      </c>
      <c r="KNL1" s="154" t="str">
        <f t="shared" si="121"/>
        <v>y</v>
      </c>
      <c r="KNM1" s="154" t="str">
        <f t="shared" si="121"/>
        <v>y</v>
      </c>
      <c r="KNN1" s="154" t="str">
        <f t="shared" ref="KNN1:KPY1" si="122">KNN2&amp;"y"</f>
        <v>y</v>
      </c>
      <c r="KNO1" s="154" t="str">
        <f t="shared" si="122"/>
        <v>y</v>
      </c>
      <c r="KNP1" s="154" t="str">
        <f t="shared" si="122"/>
        <v>y</v>
      </c>
      <c r="KNQ1" s="154" t="str">
        <f t="shared" si="122"/>
        <v>y</v>
      </c>
      <c r="KNR1" s="154" t="str">
        <f t="shared" si="122"/>
        <v>y</v>
      </c>
      <c r="KNS1" s="154" t="str">
        <f t="shared" si="122"/>
        <v>y</v>
      </c>
      <c r="KNT1" s="154" t="str">
        <f t="shared" si="122"/>
        <v>y</v>
      </c>
      <c r="KNU1" s="154" t="str">
        <f t="shared" si="122"/>
        <v>y</v>
      </c>
      <c r="KNV1" s="154" t="str">
        <f t="shared" si="122"/>
        <v>y</v>
      </c>
      <c r="KNW1" s="154" t="str">
        <f t="shared" si="122"/>
        <v>y</v>
      </c>
      <c r="KNX1" s="154" t="str">
        <f t="shared" si="122"/>
        <v>y</v>
      </c>
      <c r="KNY1" s="154" t="str">
        <f t="shared" si="122"/>
        <v>y</v>
      </c>
      <c r="KNZ1" s="154" t="str">
        <f t="shared" si="122"/>
        <v>y</v>
      </c>
      <c r="KOA1" s="154" t="str">
        <f t="shared" si="122"/>
        <v>y</v>
      </c>
      <c r="KOB1" s="154" t="str">
        <f t="shared" si="122"/>
        <v>y</v>
      </c>
      <c r="KOC1" s="154" t="str">
        <f t="shared" si="122"/>
        <v>y</v>
      </c>
      <c r="KOD1" s="154" t="str">
        <f t="shared" si="122"/>
        <v>y</v>
      </c>
      <c r="KOE1" s="154" t="str">
        <f t="shared" si="122"/>
        <v>y</v>
      </c>
      <c r="KOF1" s="154" t="str">
        <f t="shared" si="122"/>
        <v>y</v>
      </c>
      <c r="KOG1" s="154" t="str">
        <f t="shared" si="122"/>
        <v>y</v>
      </c>
      <c r="KOH1" s="154" t="str">
        <f t="shared" si="122"/>
        <v>y</v>
      </c>
      <c r="KOI1" s="154" t="str">
        <f t="shared" si="122"/>
        <v>y</v>
      </c>
      <c r="KOJ1" s="154" t="str">
        <f t="shared" si="122"/>
        <v>y</v>
      </c>
      <c r="KOK1" s="154" t="str">
        <f t="shared" si="122"/>
        <v>y</v>
      </c>
      <c r="KOL1" s="154" t="str">
        <f t="shared" si="122"/>
        <v>y</v>
      </c>
      <c r="KOM1" s="154" t="str">
        <f t="shared" si="122"/>
        <v>y</v>
      </c>
      <c r="KON1" s="154" t="str">
        <f t="shared" si="122"/>
        <v>y</v>
      </c>
      <c r="KOO1" s="154" t="str">
        <f t="shared" si="122"/>
        <v>y</v>
      </c>
      <c r="KOP1" s="154" t="str">
        <f t="shared" si="122"/>
        <v>y</v>
      </c>
      <c r="KOQ1" s="154" t="str">
        <f t="shared" si="122"/>
        <v>y</v>
      </c>
      <c r="KOR1" s="154" t="str">
        <f t="shared" si="122"/>
        <v>y</v>
      </c>
      <c r="KOS1" s="154" t="str">
        <f t="shared" si="122"/>
        <v>y</v>
      </c>
      <c r="KOT1" s="154" t="str">
        <f t="shared" si="122"/>
        <v>y</v>
      </c>
      <c r="KOU1" s="154" t="str">
        <f t="shared" si="122"/>
        <v>y</v>
      </c>
      <c r="KOV1" s="154" t="str">
        <f t="shared" si="122"/>
        <v>y</v>
      </c>
      <c r="KOW1" s="154" t="str">
        <f t="shared" si="122"/>
        <v>y</v>
      </c>
      <c r="KOX1" s="154" t="str">
        <f t="shared" si="122"/>
        <v>y</v>
      </c>
      <c r="KOY1" s="154" t="str">
        <f t="shared" si="122"/>
        <v>y</v>
      </c>
      <c r="KOZ1" s="154" t="str">
        <f t="shared" si="122"/>
        <v>y</v>
      </c>
      <c r="KPA1" s="154" t="str">
        <f t="shared" si="122"/>
        <v>y</v>
      </c>
      <c r="KPB1" s="154" t="str">
        <f t="shared" si="122"/>
        <v>y</v>
      </c>
      <c r="KPC1" s="154" t="str">
        <f t="shared" si="122"/>
        <v>y</v>
      </c>
      <c r="KPD1" s="154" t="str">
        <f t="shared" si="122"/>
        <v>y</v>
      </c>
      <c r="KPE1" s="154" t="str">
        <f t="shared" si="122"/>
        <v>y</v>
      </c>
      <c r="KPF1" s="154" t="str">
        <f t="shared" si="122"/>
        <v>y</v>
      </c>
      <c r="KPG1" s="154" t="str">
        <f t="shared" si="122"/>
        <v>y</v>
      </c>
      <c r="KPH1" s="154" t="str">
        <f t="shared" si="122"/>
        <v>y</v>
      </c>
      <c r="KPI1" s="154" t="str">
        <f t="shared" si="122"/>
        <v>y</v>
      </c>
      <c r="KPJ1" s="154" t="str">
        <f t="shared" si="122"/>
        <v>y</v>
      </c>
      <c r="KPK1" s="154" t="str">
        <f t="shared" si="122"/>
        <v>y</v>
      </c>
      <c r="KPL1" s="154" t="str">
        <f t="shared" si="122"/>
        <v>y</v>
      </c>
      <c r="KPM1" s="154" t="str">
        <f t="shared" si="122"/>
        <v>y</v>
      </c>
      <c r="KPN1" s="154" t="str">
        <f t="shared" si="122"/>
        <v>y</v>
      </c>
      <c r="KPO1" s="154" t="str">
        <f t="shared" si="122"/>
        <v>y</v>
      </c>
      <c r="KPP1" s="154" t="str">
        <f t="shared" si="122"/>
        <v>y</v>
      </c>
      <c r="KPQ1" s="154" t="str">
        <f t="shared" si="122"/>
        <v>y</v>
      </c>
      <c r="KPR1" s="154" t="str">
        <f t="shared" si="122"/>
        <v>y</v>
      </c>
      <c r="KPS1" s="154" t="str">
        <f t="shared" si="122"/>
        <v>y</v>
      </c>
      <c r="KPT1" s="154" t="str">
        <f t="shared" si="122"/>
        <v>y</v>
      </c>
      <c r="KPU1" s="154" t="str">
        <f t="shared" si="122"/>
        <v>y</v>
      </c>
      <c r="KPV1" s="154" t="str">
        <f t="shared" si="122"/>
        <v>y</v>
      </c>
      <c r="KPW1" s="154" t="str">
        <f t="shared" si="122"/>
        <v>y</v>
      </c>
      <c r="KPX1" s="154" t="str">
        <f t="shared" si="122"/>
        <v>y</v>
      </c>
      <c r="KPY1" s="154" t="str">
        <f t="shared" si="122"/>
        <v>y</v>
      </c>
      <c r="KPZ1" s="154" t="str">
        <f t="shared" ref="KPZ1:KSK1" si="123">KPZ2&amp;"y"</f>
        <v>y</v>
      </c>
      <c r="KQA1" s="154" t="str">
        <f t="shared" si="123"/>
        <v>y</v>
      </c>
      <c r="KQB1" s="154" t="str">
        <f t="shared" si="123"/>
        <v>y</v>
      </c>
      <c r="KQC1" s="154" t="str">
        <f t="shared" si="123"/>
        <v>y</v>
      </c>
      <c r="KQD1" s="154" t="str">
        <f t="shared" si="123"/>
        <v>y</v>
      </c>
      <c r="KQE1" s="154" t="str">
        <f t="shared" si="123"/>
        <v>y</v>
      </c>
      <c r="KQF1" s="154" t="str">
        <f t="shared" si="123"/>
        <v>y</v>
      </c>
      <c r="KQG1" s="154" t="str">
        <f t="shared" si="123"/>
        <v>y</v>
      </c>
      <c r="KQH1" s="154" t="str">
        <f t="shared" si="123"/>
        <v>y</v>
      </c>
      <c r="KQI1" s="154" t="str">
        <f t="shared" si="123"/>
        <v>y</v>
      </c>
      <c r="KQJ1" s="154" t="str">
        <f t="shared" si="123"/>
        <v>y</v>
      </c>
      <c r="KQK1" s="154" t="str">
        <f t="shared" si="123"/>
        <v>y</v>
      </c>
      <c r="KQL1" s="154" t="str">
        <f t="shared" si="123"/>
        <v>y</v>
      </c>
      <c r="KQM1" s="154" t="str">
        <f t="shared" si="123"/>
        <v>y</v>
      </c>
      <c r="KQN1" s="154" t="str">
        <f t="shared" si="123"/>
        <v>y</v>
      </c>
      <c r="KQO1" s="154" t="str">
        <f t="shared" si="123"/>
        <v>y</v>
      </c>
      <c r="KQP1" s="154" t="str">
        <f t="shared" si="123"/>
        <v>y</v>
      </c>
      <c r="KQQ1" s="154" t="str">
        <f t="shared" si="123"/>
        <v>y</v>
      </c>
      <c r="KQR1" s="154" t="str">
        <f t="shared" si="123"/>
        <v>y</v>
      </c>
      <c r="KQS1" s="154" t="str">
        <f t="shared" si="123"/>
        <v>y</v>
      </c>
      <c r="KQT1" s="154" t="str">
        <f t="shared" si="123"/>
        <v>y</v>
      </c>
      <c r="KQU1" s="154" t="str">
        <f t="shared" si="123"/>
        <v>y</v>
      </c>
      <c r="KQV1" s="154" t="str">
        <f t="shared" si="123"/>
        <v>y</v>
      </c>
      <c r="KQW1" s="154" t="str">
        <f t="shared" si="123"/>
        <v>y</v>
      </c>
      <c r="KQX1" s="154" t="str">
        <f t="shared" si="123"/>
        <v>y</v>
      </c>
      <c r="KQY1" s="154" t="str">
        <f t="shared" si="123"/>
        <v>y</v>
      </c>
      <c r="KQZ1" s="154" t="str">
        <f t="shared" si="123"/>
        <v>y</v>
      </c>
      <c r="KRA1" s="154" t="str">
        <f t="shared" si="123"/>
        <v>y</v>
      </c>
      <c r="KRB1" s="154" t="str">
        <f t="shared" si="123"/>
        <v>y</v>
      </c>
      <c r="KRC1" s="154" t="str">
        <f t="shared" si="123"/>
        <v>y</v>
      </c>
      <c r="KRD1" s="154" t="str">
        <f t="shared" si="123"/>
        <v>y</v>
      </c>
      <c r="KRE1" s="154" t="str">
        <f t="shared" si="123"/>
        <v>y</v>
      </c>
      <c r="KRF1" s="154" t="str">
        <f t="shared" si="123"/>
        <v>y</v>
      </c>
      <c r="KRG1" s="154" t="str">
        <f t="shared" si="123"/>
        <v>y</v>
      </c>
      <c r="KRH1" s="154" t="str">
        <f t="shared" si="123"/>
        <v>y</v>
      </c>
      <c r="KRI1" s="154" t="str">
        <f t="shared" si="123"/>
        <v>y</v>
      </c>
      <c r="KRJ1" s="154" t="str">
        <f t="shared" si="123"/>
        <v>y</v>
      </c>
      <c r="KRK1" s="154" t="str">
        <f t="shared" si="123"/>
        <v>y</v>
      </c>
      <c r="KRL1" s="154" t="str">
        <f t="shared" si="123"/>
        <v>y</v>
      </c>
      <c r="KRM1" s="154" t="str">
        <f t="shared" si="123"/>
        <v>y</v>
      </c>
      <c r="KRN1" s="154" t="str">
        <f t="shared" si="123"/>
        <v>y</v>
      </c>
      <c r="KRO1" s="154" t="str">
        <f t="shared" si="123"/>
        <v>y</v>
      </c>
      <c r="KRP1" s="154" t="str">
        <f t="shared" si="123"/>
        <v>y</v>
      </c>
      <c r="KRQ1" s="154" t="str">
        <f t="shared" si="123"/>
        <v>y</v>
      </c>
      <c r="KRR1" s="154" t="str">
        <f t="shared" si="123"/>
        <v>y</v>
      </c>
      <c r="KRS1" s="154" t="str">
        <f t="shared" si="123"/>
        <v>y</v>
      </c>
      <c r="KRT1" s="154" t="str">
        <f t="shared" si="123"/>
        <v>y</v>
      </c>
      <c r="KRU1" s="154" t="str">
        <f t="shared" si="123"/>
        <v>y</v>
      </c>
      <c r="KRV1" s="154" t="str">
        <f t="shared" si="123"/>
        <v>y</v>
      </c>
      <c r="KRW1" s="154" t="str">
        <f t="shared" si="123"/>
        <v>y</v>
      </c>
      <c r="KRX1" s="154" t="str">
        <f t="shared" si="123"/>
        <v>y</v>
      </c>
      <c r="KRY1" s="154" t="str">
        <f t="shared" si="123"/>
        <v>y</v>
      </c>
      <c r="KRZ1" s="154" t="str">
        <f t="shared" si="123"/>
        <v>y</v>
      </c>
      <c r="KSA1" s="154" t="str">
        <f t="shared" si="123"/>
        <v>y</v>
      </c>
      <c r="KSB1" s="154" t="str">
        <f t="shared" si="123"/>
        <v>y</v>
      </c>
      <c r="KSC1" s="154" t="str">
        <f t="shared" si="123"/>
        <v>y</v>
      </c>
      <c r="KSD1" s="154" t="str">
        <f t="shared" si="123"/>
        <v>y</v>
      </c>
      <c r="KSE1" s="154" t="str">
        <f t="shared" si="123"/>
        <v>y</v>
      </c>
      <c r="KSF1" s="154" t="str">
        <f t="shared" si="123"/>
        <v>y</v>
      </c>
      <c r="KSG1" s="154" t="str">
        <f t="shared" si="123"/>
        <v>y</v>
      </c>
      <c r="KSH1" s="154" t="str">
        <f t="shared" si="123"/>
        <v>y</v>
      </c>
      <c r="KSI1" s="154" t="str">
        <f t="shared" si="123"/>
        <v>y</v>
      </c>
      <c r="KSJ1" s="154" t="str">
        <f t="shared" si="123"/>
        <v>y</v>
      </c>
      <c r="KSK1" s="154" t="str">
        <f t="shared" si="123"/>
        <v>y</v>
      </c>
      <c r="KSL1" s="154" t="str">
        <f t="shared" ref="KSL1:KUW1" si="124">KSL2&amp;"y"</f>
        <v>y</v>
      </c>
      <c r="KSM1" s="154" t="str">
        <f t="shared" si="124"/>
        <v>y</v>
      </c>
      <c r="KSN1" s="154" t="str">
        <f t="shared" si="124"/>
        <v>y</v>
      </c>
      <c r="KSO1" s="154" t="str">
        <f t="shared" si="124"/>
        <v>y</v>
      </c>
      <c r="KSP1" s="154" t="str">
        <f t="shared" si="124"/>
        <v>y</v>
      </c>
      <c r="KSQ1" s="154" t="str">
        <f t="shared" si="124"/>
        <v>y</v>
      </c>
      <c r="KSR1" s="154" t="str">
        <f t="shared" si="124"/>
        <v>y</v>
      </c>
      <c r="KSS1" s="154" t="str">
        <f t="shared" si="124"/>
        <v>y</v>
      </c>
      <c r="KST1" s="154" t="str">
        <f t="shared" si="124"/>
        <v>y</v>
      </c>
      <c r="KSU1" s="154" t="str">
        <f t="shared" si="124"/>
        <v>y</v>
      </c>
      <c r="KSV1" s="154" t="str">
        <f t="shared" si="124"/>
        <v>y</v>
      </c>
      <c r="KSW1" s="154" t="str">
        <f t="shared" si="124"/>
        <v>y</v>
      </c>
      <c r="KSX1" s="154" t="str">
        <f t="shared" si="124"/>
        <v>y</v>
      </c>
      <c r="KSY1" s="154" t="str">
        <f t="shared" si="124"/>
        <v>y</v>
      </c>
      <c r="KSZ1" s="154" t="str">
        <f t="shared" si="124"/>
        <v>y</v>
      </c>
      <c r="KTA1" s="154" t="str">
        <f t="shared" si="124"/>
        <v>y</v>
      </c>
      <c r="KTB1" s="154" t="str">
        <f t="shared" si="124"/>
        <v>y</v>
      </c>
      <c r="KTC1" s="154" t="str">
        <f t="shared" si="124"/>
        <v>y</v>
      </c>
      <c r="KTD1" s="154" t="str">
        <f t="shared" si="124"/>
        <v>y</v>
      </c>
      <c r="KTE1" s="154" t="str">
        <f t="shared" si="124"/>
        <v>y</v>
      </c>
      <c r="KTF1" s="154" t="str">
        <f t="shared" si="124"/>
        <v>y</v>
      </c>
      <c r="KTG1" s="154" t="str">
        <f t="shared" si="124"/>
        <v>y</v>
      </c>
      <c r="KTH1" s="154" t="str">
        <f t="shared" si="124"/>
        <v>y</v>
      </c>
      <c r="KTI1" s="154" t="str">
        <f t="shared" si="124"/>
        <v>y</v>
      </c>
      <c r="KTJ1" s="154" t="str">
        <f t="shared" si="124"/>
        <v>y</v>
      </c>
      <c r="KTK1" s="154" t="str">
        <f t="shared" si="124"/>
        <v>y</v>
      </c>
      <c r="KTL1" s="154" t="str">
        <f t="shared" si="124"/>
        <v>y</v>
      </c>
      <c r="KTM1" s="154" t="str">
        <f t="shared" si="124"/>
        <v>y</v>
      </c>
      <c r="KTN1" s="154" t="str">
        <f t="shared" si="124"/>
        <v>y</v>
      </c>
      <c r="KTO1" s="154" t="str">
        <f t="shared" si="124"/>
        <v>y</v>
      </c>
      <c r="KTP1" s="154" t="str">
        <f t="shared" si="124"/>
        <v>y</v>
      </c>
      <c r="KTQ1" s="154" t="str">
        <f t="shared" si="124"/>
        <v>y</v>
      </c>
      <c r="KTR1" s="154" t="str">
        <f t="shared" si="124"/>
        <v>y</v>
      </c>
      <c r="KTS1" s="154" t="str">
        <f t="shared" si="124"/>
        <v>y</v>
      </c>
      <c r="KTT1" s="154" t="str">
        <f t="shared" si="124"/>
        <v>y</v>
      </c>
      <c r="KTU1" s="154" t="str">
        <f t="shared" si="124"/>
        <v>y</v>
      </c>
      <c r="KTV1" s="154" t="str">
        <f t="shared" si="124"/>
        <v>y</v>
      </c>
      <c r="KTW1" s="154" t="str">
        <f t="shared" si="124"/>
        <v>y</v>
      </c>
      <c r="KTX1" s="154" t="str">
        <f t="shared" si="124"/>
        <v>y</v>
      </c>
      <c r="KTY1" s="154" t="str">
        <f t="shared" si="124"/>
        <v>y</v>
      </c>
      <c r="KTZ1" s="154" t="str">
        <f t="shared" si="124"/>
        <v>y</v>
      </c>
      <c r="KUA1" s="154" t="str">
        <f t="shared" si="124"/>
        <v>y</v>
      </c>
      <c r="KUB1" s="154" t="str">
        <f t="shared" si="124"/>
        <v>y</v>
      </c>
      <c r="KUC1" s="154" t="str">
        <f t="shared" si="124"/>
        <v>y</v>
      </c>
      <c r="KUD1" s="154" t="str">
        <f t="shared" si="124"/>
        <v>y</v>
      </c>
      <c r="KUE1" s="154" t="str">
        <f t="shared" si="124"/>
        <v>y</v>
      </c>
      <c r="KUF1" s="154" t="str">
        <f t="shared" si="124"/>
        <v>y</v>
      </c>
      <c r="KUG1" s="154" t="str">
        <f t="shared" si="124"/>
        <v>y</v>
      </c>
      <c r="KUH1" s="154" t="str">
        <f t="shared" si="124"/>
        <v>y</v>
      </c>
      <c r="KUI1" s="154" t="str">
        <f t="shared" si="124"/>
        <v>y</v>
      </c>
      <c r="KUJ1" s="154" t="str">
        <f t="shared" si="124"/>
        <v>y</v>
      </c>
      <c r="KUK1" s="154" t="str">
        <f t="shared" si="124"/>
        <v>y</v>
      </c>
      <c r="KUL1" s="154" t="str">
        <f t="shared" si="124"/>
        <v>y</v>
      </c>
      <c r="KUM1" s="154" t="str">
        <f t="shared" si="124"/>
        <v>y</v>
      </c>
      <c r="KUN1" s="154" t="str">
        <f t="shared" si="124"/>
        <v>y</v>
      </c>
      <c r="KUO1" s="154" t="str">
        <f t="shared" si="124"/>
        <v>y</v>
      </c>
      <c r="KUP1" s="154" t="str">
        <f t="shared" si="124"/>
        <v>y</v>
      </c>
      <c r="KUQ1" s="154" t="str">
        <f t="shared" si="124"/>
        <v>y</v>
      </c>
      <c r="KUR1" s="154" t="str">
        <f t="shared" si="124"/>
        <v>y</v>
      </c>
      <c r="KUS1" s="154" t="str">
        <f t="shared" si="124"/>
        <v>y</v>
      </c>
      <c r="KUT1" s="154" t="str">
        <f t="shared" si="124"/>
        <v>y</v>
      </c>
      <c r="KUU1" s="154" t="str">
        <f t="shared" si="124"/>
        <v>y</v>
      </c>
      <c r="KUV1" s="154" t="str">
        <f t="shared" si="124"/>
        <v>y</v>
      </c>
      <c r="KUW1" s="154" t="str">
        <f t="shared" si="124"/>
        <v>y</v>
      </c>
      <c r="KUX1" s="154" t="str">
        <f t="shared" ref="KUX1:KXI1" si="125">KUX2&amp;"y"</f>
        <v>y</v>
      </c>
      <c r="KUY1" s="154" t="str">
        <f t="shared" si="125"/>
        <v>y</v>
      </c>
      <c r="KUZ1" s="154" t="str">
        <f t="shared" si="125"/>
        <v>y</v>
      </c>
      <c r="KVA1" s="154" t="str">
        <f t="shared" si="125"/>
        <v>y</v>
      </c>
      <c r="KVB1" s="154" t="str">
        <f t="shared" si="125"/>
        <v>y</v>
      </c>
      <c r="KVC1" s="154" t="str">
        <f t="shared" si="125"/>
        <v>y</v>
      </c>
      <c r="KVD1" s="154" t="str">
        <f t="shared" si="125"/>
        <v>y</v>
      </c>
      <c r="KVE1" s="154" t="str">
        <f t="shared" si="125"/>
        <v>y</v>
      </c>
      <c r="KVF1" s="154" t="str">
        <f t="shared" si="125"/>
        <v>y</v>
      </c>
      <c r="KVG1" s="154" t="str">
        <f t="shared" si="125"/>
        <v>y</v>
      </c>
      <c r="KVH1" s="154" t="str">
        <f t="shared" si="125"/>
        <v>y</v>
      </c>
      <c r="KVI1" s="154" t="str">
        <f t="shared" si="125"/>
        <v>y</v>
      </c>
      <c r="KVJ1" s="154" t="str">
        <f t="shared" si="125"/>
        <v>y</v>
      </c>
      <c r="KVK1" s="154" t="str">
        <f t="shared" si="125"/>
        <v>y</v>
      </c>
      <c r="KVL1" s="154" t="str">
        <f t="shared" si="125"/>
        <v>y</v>
      </c>
      <c r="KVM1" s="154" t="str">
        <f t="shared" si="125"/>
        <v>y</v>
      </c>
      <c r="KVN1" s="154" t="str">
        <f t="shared" si="125"/>
        <v>y</v>
      </c>
      <c r="KVO1" s="154" t="str">
        <f t="shared" si="125"/>
        <v>y</v>
      </c>
      <c r="KVP1" s="154" t="str">
        <f t="shared" si="125"/>
        <v>y</v>
      </c>
      <c r="KVQ1" s="154" t="str">
        <f t="shared" si="125"/>
        <v>y</v>
      </c>
      <c r="KVR1" s="154" t="str">
        <f t="shared" si="125"/>
        <v>y</v>
      </c>
      <c r="KVS1" s="154" t="str">
        <f t="shared" si="125"/>
        <v>y</v>
      </c>
      <c r="KVT1" s="154" t="str">
        <f t="shared" si="125"/>
        <v>y</v>
      </c>
      <c r="KVU1" s="154" t="str">
        <f t="shared" si="125"/>
        <v>y</v>
      </c>
      <c r="KVV1" s="154" t="str">
        <f t="shared" si="125"/>
        <v>y</v>
      </c>
      <c r="KVW1" s="154" t="str">
        <f t="shared" si="125"/>
        <v>y</v>
      </c>
      <c r="KVX1" s="154" t="str">
        <f t="shared" si="125"/>
        <v>y</v>
      </c>
      <c r="KVY1" s="154" t="str">
        <f t="shared" si="125"/>
        <v>y</v>
      </c>
      <c r="KVZ1" s="154" t="str">
        <f t="shared" si="125"/>
        <v>y</v>
      </c>
      <c r="KWA1" s="154" t="str">
        <f t="shared" si="125"/>
        <v>y</v>
      </c>
      <c r="KWB1" s="154" t="str">
        <f t="shared" si="125"/>
        <v>y</v>
      </c>
      <c r="KWC1" s="154" t="str">
        <f t="shared" si="125"/>
        <v>y</v>
      </c>
      <c r="KWD1" s="154" t="str">
        <f t="shared" si="125"/>
        <v>y</v>
      </c>
      <c r="KWE1" s="154" t="str">
        <f t="shared" si="125"/>
        <v>y</v>
      </c>
      <c r="KWF1" s="154" t="str">
        <f t="shared" si="125"/>
        <v>y</v>
      </c>
      <c r="KWG1" s="154" t="str">
        <f t="shared" si="125"/>
        <v>y</v>
      </c>
      <c r="KWH1" s="154" t="str">
        <f t="shared" si="125"/>
        <v>y</v>
      </c>
      <c r="KWI1" s="154" t="str">
        <f t="shared" si="125"/>
        <v>y</v>
      </c>
      <c r="KWJ1" s="154" t="str">
        <f t="shared" si="125"/>
        <v>y</v>
      </c>
      <c r="KWK1" s="154" t="str">
        <f t="shared" si="125"/>
        <v>y</v>
      </c>
      <c r="KWL1" s="154" t="str">
        <f t="shared" si="125"/>
        <v>y</v>
      </c>
      <c r="KWM1" s="154" t="str">
        <f t="shared" si="125"/>
        <v>y</v>
      </c>
      <c r="KWN1" s="154" t="str">
        <f t="shared" si="125"/>
        <v>y</v>
      </c>
      <c r="KWO1" s="154" t="str">
        <f t="shared" si="125"/>
        <v>y</v>
      </c>
      <c r="KWP1" s="154" t="str">
        <f t="shared" si="125"/>
        <v>y</v>
      </c>
      <c r="KWQ1" s="154" t="str">
        <f t="shared" si="125"/>
        <v>y</v>
      </c>
      <c r="KWR1" s="154" t="str">
        <f t="shared" si="125"/>
        <v>y</v>
      </c>
      <c r="KWS1" s="154" t="str">
        <f t="shared" si="125"/>
        <v>y</v>
      </c>
      <c r="KWT1" s="154" t="str">
        <f t="shared" si="125"/>
        <v>y</v>
      </c>
      <c r="KWU1" s="154" t="str">
        <f t="shared" si="125"/>
        <v>y</v>
      </c>
      <c r="KWV1" s="154" t="str">
        <f t="shared" si="125"/>
        <v>y</v>
      </c>
      <c r="KWW1" s="154" t="str">
        <f t="shared" si="125"/>
        <v>y</v>
      </c>
      <c r="KWX1" s="154" t="str">
        <f t="shared" si="125"/>
        <v>y</v>
      </c>
      <c r="KWY1" s="154" t="str">
        <f t="shared" si="125"/>
        <v>y</v>
      </c>
      <c r="KWZ1" s="154" t="str">
        <f t="shared" si="125"/>
        <v>y</v>
      </c>
      <c r="KXA1" s="154" t="str">
        <f t="shared" si="125"/>
        <v>y</v>
      </c>
      <c r="KXB1" s="154" t="str">
        <f t="shared" si="125"/>
        <v>y</v>
      </c>
      <c r="KXC1" s="154" t="str">
        <f t="shared" si="125"/>
        <v>y</v>
      </c>
      <c r="KXD1" s="154" t="str">
        <f t="shared" si="125"/>
        <v>y</v>
      </c>
      <c r="KXE1" s="154" t="str">
        <f t="shared" si="125"/>
        <v>y</v>
      </c>
      <c r="KXF1" s="154" t="str">
        <f t="shared" si="125"/>
        <v>y</v>
      </c>
      <c r="KXG1" s="154" t="str">
        <f t="shared" si="125"/>
        <v>y</v>
      </c>
      <c r="KXH1" s="154" t="str">
        <f t="shared" si="125"/>
        <v>y</v>
      </c>
      <c r="KXI1" s="154" t="str">
        <f t="shared" si="125"/>
        <v>y</v>
      </c>
      <c r="KXJ1" s="154" t="str">
        <f t="shared" ref="KXJ1:KZU1" si="126">KXJ2&amp;"y"</f>
        <v>y</v>
      </c>
      <c r="KXK1" s="154" t="str">
        <f t="shared" si="126"/>
        <v>y</v>
      </c>
      <c r="KXL1" s="154" t="str">
        <f t="shared" si="126"/>
        <v>y</v>
      </c>
      <c r="KXM1" s="154" t="str">
        <f t="shared" si="126"/>
        <v>y</v>
      </c>
      <c r="KXN1" s="154" t="str">
        <f t="shared" si="126"/>
        <v>y</v>
      </c>
      <c r="KXO1" s="154" t="str">
        <f t="shared" si="126"/>
        <v>y</v>
      </c>
      <c r="KXP1" s="154" t="str">
        <f t="shared" si="126"/>
        <v>y</v>
      </c>
      <c r="KXQ1" s="154" t="str">
        <f t="shared" si="126"/>
        <v>y</v>
      </c>
      <c r="KXR1" s="154" t="str">
        <f t="shared" si="126"/>
        <v>y</v>
      </c>
      <c r="KXS1" s="154" t="str">
        <f t="shared" si="126"/>
        <v>y</v>
      </c>
      <c r="KXT1" s="154" t="str">
        <f t="shared" si="126"/>
        <v>y</v>
      </c>
      <c r="KXU1" s="154" t="str">
        <f t="shared" si="126"/>
        <v>y</v>
      </c>
      <c r="KXV1" s="154" t="str">
        <f t="shared" si="126"/>
        <v>y</v>
      </c>
      <c r="KXW1" s="154" t="str">
        <f t="shared" si="126"/>
        <v>y</v>
      </c>
      <c r="KXX1" s="154" t="str">
        <f t="shared" si="126"/>
        <v>y</v>
      </c>
      <c r="KXY1" s="154" t="str">
        <f t="shared" si="126"/>
        <v>y</v>
      </c>
      <c r="KXZ1" s="154" t="str">
        <f t="shared" si="126"/>
        <v>y</v>
      </c>
      <c r="KYA1" s="154" t="str">
        <f t="shared" si="126"/>
        <v>y</v>
      </c>
      <c r="KYB1" s="154" t="str">
        <f t="shared" si="126"/>
        <v>y</v>
      </c>
      <c r="KYC1" s="154" t="str">
        <f t="shared" si="126"/>
        <v>y</v>
      </c>
      <c r="KYD1" s="154" t="str">
        <f t="shared" si="126"/>
        <v>y</v>
      </c>
      <c r="KYE1" s="154" t="str">
        <f t="shared" si="126"/>
        <v>y</v>
      </c>
      <c r="KYF1" s="154" t="str">
        <f t="shared" si="126"/>
        <v>y</v>
      </c>
      <c r="KYG1" s="154" t="str">
        <f t="shared" si="126"/>
        <v>y</v>
      </c>
      <c r="KYH1" s="154" t="str">
        <f t="shared" si="126"/>
        <v>y</v>
      </c>
      <c r="KYI1" s="154" t="str">
        <f t="shared" si="126"/>
        <v>y</v>
      </c>
      <c r="KYJ1" s="154" t="str">
        <f t="shared" si="126"/>
        <v>y</v>
      </c>
      <c r="KYK1" s="154" t="str">
        <f t="shared" si="126"/>
        <v>y</v>
      </c>
      <c r="KYL1" s="154" t="str">
        <f t="shared" si="126"/>
        <v>y</v>
      </c>
      <c r="KYM1" s="154" t="str">
        <f t="shared" si="126"/>
        <v>y</v>
      </c>
      <c r="KYN1" s="154" t="str">
        <f t="shared" si="126"/>
        <v>y</v>
      </c>
      <c r="KYO1" s="154" t="str">
        <f t="shared" si="126"/>
        <v>y</v>
      </c>
      <c r="KYP1" s="154" t="str">
        <f t="shared" si="126"/>
        <v>y</v>
      </c>
      <c r="KYQ1" s="154" t="str">
        <f t="shared" si="126"/>
        <v>y</v>
      </c>
      <c r="KYR1" s="154" t="str">
        <f t="shared" si="126"/>
        <v>y</v>
      </c>
      <c r="KYS1" s="154" t="str">
        <f t="shared" si="126"/>
        <v>y</v>
      </c>
      <c r="KYT1" s="154" t="str">
        <f t="shared" si="126"/>
        <v>y</v>
      </c>
      <c r="KYU1" s="154" t="str">
        <f t="shared" si="126"/>
        <v>y</v>
      </c>
      <c r="KYV1" s="154" t="str">
        <f t="shared" si="126"/>
        <v>y</v>
      </c>
      <c r="KYW1" s="154" t="str">
        <f t="shared" si="126"/>
        <v>y</v>
      </c>
      <c r="KYX1" s="154" t="str">
        <f t="shared" si="126"/>
        <v>y</v>
      </c>
      <c r="KYY1" s="154" t="str">
        <f t="shared" si="126"/>
        <v>y</v>
      </c>
      <c r="KYZ1" s="154" t="str">
        <f t="shared" si="126"/>
        <v>y</v>
      </c>
      <c r="KZA1" s="154" t="str">
        <f t="shared" si="126"/>
        <v>y</v>
      </c>
      <c r="KZB1" s="154" t="str">
        <f t="shared" si="126"/>
        <v>y</v>
      </c>
      <c r="KZC1" s="154" t="str">
        <f t="shared" si="126"/>
        <v>y</v>
      </c>
      <c r="KZD1" s="154" t="str">
        <f t="shared" si="126"/>
        <v>y</v>
      </c>
      <c r="KZE1" s="154" t="str">
        <f t="shared" si="126"/>
        <v>y</v>
      </c>
      <c r="KZF1" s="154" t="str">
        <f t="shared" si="126"/>
        <v>y</v>
      </c>
      <c r="KZG1" s="154" t="str">
        <f t="shared" si="126"/>
        <v>y</v>
      </c>
      <c r="KZH1" s="154" t="str">
        <f t="shared" si="126"/>
        <v>y</v>
      </c>
      <c r="KZI1" s="154" t="str">
        <f t="shared" si="126"/>
        <v>y</v>
      </c>
      <c r="KZJ1" s="154" t="str">
        <f t="shared" si="126"/>
        <v>y</v>
      </c>
      <c r="KZK1" s="154" t="str">
        <f t="shared" si="126"/>
        <v>y</v>
      </c>
      <c r="KZL1" s="154" t="str">
        <f t="shared" si="126"/>
        <v>y</v>
      </c>
      <c r="KZM1" s="154" t="str">
        <f t="shared" si="126"/>
        <v>y</v>
      </c>
      <c r="KZN1" s="154" t="str">
        <f t="shared" si="126"/>
        <v>y</v>
      </c>
      <c r="KZO1" s="154" t="str">
        <f t="shared" si="126"/>
        <v>y</v>
      </c>
      <c r="KZP1" s="154" t="str">
        <f t="shared" si="126"/>
        <v>y</v>
      </c>
      <c r="KZQ1" s="154" t="str">
        <f t="shared" si="126"/>
        <v>y</v>
      </c>
      <c r="KZR1" s="154" t="str">
        <f t="shared" si="126"/>
        <v>y</v>
      </c>
      <c r="KZS1" s="154" t="str">
        <f t="shared" si="126"/>
        <v>y</v>
      </c>
      <c r="KZT1" s="154" t="str">
        <f t="shared" si="126"/>
        <v>y</v>
      </c>
      <c r="KZU1" s="154" t="str">
        <f t="shared" si="126"/>
        <v>y</v>
      </c>
      <c r="KZV1" s="154" t="str">
        <f t="shared" ref="KZV1:LCG1" si="127">KZV2&amp;"y"</f>
        <v>y</v>
      </c>
      <c r="KZW1" s="154" t="str">
        <f t="shared" si="127"/>
        <v>y</v>
      </c>
      <c r="KZX1" s="154" t="str">
        <f t="shared" si="127"/>
        <v>y</v>
      </c>
      <c r="KZY1" s="154" t="str">
        <f t="shared" si="127"/>
        <v>y</v>
      </c>
      <c r="KZZ1" s="154" t="str">
        <f t="shared" si="127"/>
        <v>y</v>
      </c>
      <c r="LAA1" s="154" t="str">
        <f t="shared" si="127"/>
        <v>y</v>
      </c>
      <c r="LAB1" s="154" t="str">
        <f t="shared" si="127"/>
        <v>y</v>
      </c>
      <c r="LAC1" s="154" t="str">
        <f t="shared" si="127"/>
        <v>y</v>
      </c>
      <c r="LAD1" s="154" t="str">
        <f t="shared" si="127"/>
        <v>y</v>
      </c>
      <c r="LAE1" s="154" t="str">
        <f t="shared" si="127"/>
        <v>y</v>
      </c>
      <c r="LAF1" s="154" t="str">
        <f t="shared" si="127"/>
        <v>y</v>
      </c>
      <c r="LAG1" s="154" t="str">
        <f t="shared" si="127"/>
        <v>y</v>
      </c>
      <c r="LAH1" s="154" t="str">
        <f t="shared" si="127"/>
        <v>y</v>
      </c>
      <c r="LAI1" s="154" t="str">
        <f t="shared" si="127"/>
        <v>y</v>
      </c>
      <c r="LAJ1" s="154" t="str">
        <f t="shared" si="127"/>
        <v>y</v>
      </c>
      <c r="LAK1" s="154" t="str">
        <f t="shared" si="127"/>
        <v>y</v>
      </c>
      <c r="LAL1" s="154" t="str">
        <f t="shared" si="127"/>
        <v>y</v>
      </c>
      <c r="LAM1" s="154" t="str">
        <f t="shared" si="127"/>
        <v>y</v>
      </c>
      <c r="LAN1" s="154" t="str">
        <f t="shared" si="127"/>
        <v>y</v>
      </c>
      <c r="LAO1" s="154" t="str">
        <f t="shared" si="127"/>
        <v>y</v>
      </c>
      <c r="LAP1" s="154" t="str">
        <f t="shared" si="127"/>
        <v>y</v>
      </c>
      <c r="LAQ1" s="154" t="str">
        <f t="shared" si="127"/>
        <v>y</v>
      </c>
      <c r="LAR1" s="154" t="str">
        <f t="shared" si="127"/>
        <v>y</v>
      </c>
      <c r="LAS1" s="154" t="str">
        <f t="shared" si="127"/>
        <v>y</v>
      </c>
      <c r="LAT1" s="154" t="str">
        <f t="shared" si="127"/>
        <v>y</v>
      </c>
      <c r="LAU1" s="154" t="str">
        <f t="shared" si="127"/>
        <v>y</v>
      </c>
      <c r="LAV1" s="154" t="str">
        <f t="shared" si="127"/>
        <v>y</v>
      </c>
      <c r="LAW1" s="154" t="str">
        <f t="shared" si="127"/>
        <v>y</v>
      </c>
      <c r="LAX1" s="154" t="str">
        <f t="shared" si="127"/>
        <v>y</v>
      </c>
      <c r="LAY1" s="154" t="str">
        <f t="shared" si="127"/>
        <v>y</v>
      </c>
      <c r="LAZ1" s="154" t="str">
        <f t="shared" si="127"/>
        <v>y</v>
      </c>
      <c r="LBA1" s="154" t="str">
        <f t="shared" si="127"/>
        <v>y</v>
      </c>
      <c r="LBB1" s="154" t="str">
        <f t="shared" si="127"/>
        <v>y</v>
      </c>
      <c r="LBC1" s="154" t="str">
        <f t="shared" si="127"/>
        <v>y</v>
      </c>
      <c r="LBD1" s="154" t="str">
        <f t="shared" si="127"/>
        <v>y</v>
      </c>
      <c r="LBE1" s="154" t="str">
        <f t="shared" si="127"/>
        <v>y</v>
      </c>
      <c r="LBF1" s="154" t="str">
        <f t="shared" si="127"/>
        <v>y</v>
      </c>
      <c r="LBG1" s="154" t="str">
        <f t="shared" si="127"/>
        <v>y</v>
      </c>
      <c r="LBH1" s="154" t="str">
        <f t="shared" si="127"/>
        <v>y</v>
      </c>
      <c r="LBI1" s="154" t="str">
        <f t="shared" si="127"/>
        <v>y</v>
      </c>
      <c r="LBJ1" s="154" t="str">
        <f t="shared" si="127"/>
        <v>y</v>
      </c>
      <c r="LBK1" s="154" t="str">
        <f t="shared" si="127"/>
        <v>y</v>
      </c>
      <c r="LBL1" s="154" t="str">
        <f t="shared" si="127"/>
        <v>y</v>
      </c>
      <c r="LBM1" s="154" t="str">
        <f t="shared" si="127"/>
        <v>y</v>
      </c>
      <c r="LBN1" s="154" t="str">
        <f t="shared" si="127"/>
        <v>y</v>
      </c>
      <c r="LBO1" s="154" t="str">
        <f t="shared" si="127"/>
        <v>y</v>
      </c>
      <c r="LBP1" s="154" t="str">
        <f t="shared" si="127"/>
        <v>y</v>
      </c>
      <c r="LBQ1" s="154" t="str">
        <f t="shared" si="127"/>
        <v>y</v>
      </c>
      <c r="LBR1" s="154" t="str">
        <f t="shared" si="127"/>
        <v>y</v>
      </c>
      <c r="LBS1" s="154" t="str">
        <f t="shared" si="127"/>
        <v>y</v>
      </c>
      <c r="LBT1" s="154" t="str">
        <f t="shared" si="127"/>
        <v>y</v>
      </c>
      <c r="LBU1" s="154" t="str">
        <f t="shared" si="127"/>
        <v>y</v>
      </c>
      <c r="LBV1" s="154" t="str">
        <f t="shared" si="127"/>
        <v>y</v>
      </c>
      <c r="LBW1" s="154" t="str">
        <f t="shared" si="127"/>
        <v>y</v>
      </c>
      <c r="LBX1" s="154" t="str">
        <f t="shared" si="127"/>
        <v>y</v>
      </c>
      <c r="LBY1" s="154" t="str">
        <f t="shared" si="127"/>
        <v>y</v>
      </c>
      <c r="LBZ1" s="154" t="str">
        <f t="shared" si="127"/>
        <v>y</v>
      </c>
      <c r="LCA1" s="154" t="str">
        <f t="shared" si="127"/>
        <v>y</v>
      </c>
      <c r="LCB1" s="154" t="str">
        <f t="shared" si="127"/>
        <v>y</v>
      </c>
      <c r="LCC1" s="154" t="str">
        <f t="shared" si="127"/>
        <v>y</v>
      </c>
      <c r="LCD1" s="154" t="str">
        <f t="shared" si="127"/>
        <v>y</v>
      </c>
      <c r="LCE1" s="154" t="str">
        <f t="shared" si="127"/>
        <v>y</v>
      </c>
      <c r="LCF1" s="154" t="str">
        <f t="shared" si="127"/>
        <v>y</v>
      </c>
      <c r="LCG1" s="154" t="str">
        <f t="shared" si="127"/>
        <v>y</v>
      </c>
      <c r="LCH1" s="154" t="str">
        <f t="shared" ref="LCH1:LES1" si="128">LCH2&amp;"y"</f>
        <v>y</v>
      </c>
      <c r="LCI1" s="154" t="str">
        <f t="shared" si="128"/>
        <v>y</v>
      </c>
      <c r="LCJ1" s="154" t="str">
        <f t="shared" si="128"/>
        <v>y</v>
      </c>
      <c r="LCK1" s="154" t="str">
        <f t="shared" si="128"/>
        <v>y</v>
      </c>
      <c r="LCL1" s="154" t="str">
        <f t="shared" si="128"/>
        <v>y</v>
      </c>
      <c r="LCM1" s="154" t="str">
        <f t="shared" si="128"/>
        <v>y</v>
      </c>
      <c r="LCN1" s="154" t="str">
        <f t="shared" si="128"/>
        <v>y</v>
      </c>
      <c r="LCO1" s="154" t="str">
        <f t="shared" si="128"/>
        <v>y</v>
      </c>
      <c r="LCP1" s="154" t="str">
        <f t="shared" si="128"/>
        <v>y</v>
      </c>
      <c r="LCQ1" s="154" t="str">
        <f t="shared" si="128"/>
        <v>y</v>
      </c>
      <c r="LCR1" s="154" t="str">
        <f t="shared" si="128"/>
        <v>y</v>
      </c>
      <c r="LCS1" s="154" t="str">
        <f t="shared" si="128"/>
        <v>y</v>
      </c>
      <c r="LCT1" s="154" t="str">
        <f t="shared" si="128"/>
        <v>y</v>
      </c>
      <c r="LCU1" s="154" t="str">
        <f t="shared" si="128"/>
        <v>y</v>
      </c>
      <c r="LCV1" s="154" t="str">
        <f t="shared" si="128"/>
        <v>y</v>
      </c>
      <c r="LCW1" s="154" t="str">
        <f t="shared" si="128"/>
        <v>y</v>
      </c>
      <c r="LCX1" s="154" t="str">
        <f t="shared" si="128"/>
        <v>y</v>
      </c>
      <c r="LCY1" s="154" t="str">
        <f t="shared" si="128"/>
        <v>y</v>
      </c>
      <c r="LCZ1" s="154" t="str">
        <f t="shared" si="128"/>
        <v>y</v>
      </c>
      <c r="LDA1" s="154" t="str">
        <f t="shared" si="128"/>
        <v>y</v>
      </c>
      <c r="LDB1" s="154" t="str">
        <f t="shared" si="128"/>
        <v>y</v>
      </c>
      <c r="LDC1" s="154" t="str">
        <f t="shared" si="128"/>
        <v>y</v>
      </c>
      <c r="LDD1" s="154" t="str">
        <f t="shared" si="128"/>
        <v>y</v>
      </c>
      <c r="LDE1" s="154" t="str">
        <f t="shared" si="128"/>
        <v>y</v>
      </c>
      <c r="LDF1" s="154" t="str">
        <f t="shared" si="128"/>
        <v>y</v>
      </c>
      <c r="LDG1" s="154" t="str">
        <f t="shared" si="128"/>
        <v>y</v>
      </c>
      <c r="LDH1" s="154" t="str">
        <f t="shared" si="128"/>
        <v>y</v>
      </c>
      <c r="LDI1" s="154" t="str">
        <f t="shared" si="128"/>
        <v>y</v>
      </c>
      <c r="LDJ1" s="154" t="str">
        <f t="shared" si="128"/>
        <v>y</v>
      </c>
      <c r="LDK1" s="154" t="str">
        <f t="shared" si="128"/>
        <v>y</v>
      </c>
      <c r="LDL1" s="154" t="str">
        <f t="shared" si="128"/>
        <v>y</v>
      </c>
      <c r="LDM1" s="154" t="str">
        <f t="shared" si="128"/>
        <v>y</v>
      </c>
      <c r="LDN1" s="154" t="str">
        <f t="shared" si="128"/>
        <v>y</v>
      </c>
      <c r="LDO1" s="154" t="str">
        <f t="shared" si="128"/>
        <v>y</v>
      </c>
      <c r="LDP1" s="154" t="str">
        <f t="shared" si="128"/>
        <v>y</v>
      </c>
      <c r="LDQ1" s="154" t="str">
        <f t="shared" si="128"/>
        <v>y</v>
      </c>
      <c r="LDR1" s="154" t="str">
        <f t="shared" si="128"/>
        <v>y</v>
      </c>
      <c r="LDS1" s="154" t="str">
        <f t="shared" si="128"/>
        <v>y</v>
      </c>
      <c r="LDT1" s="154" t="str">
        <f t="shared" si="128"/>
        <v>y</v>
      </c>
      <c r="LDU1" s="154" t="str">
        <f t="shared" si="128"/>
        <v>y</v>
      </c>
      <c r="LDV1" s="154" t="str">
        <f t="shared" si="128"/>
        <v>y</v>
      </c>
      <c r="LDW1" s="154" t="str">
        <f t="shared" si="128"/>
        <v>y</v>
      </c>
      <c r="LDX1" s="154" t="str">
        <f t="shared" si="128"/>
        <v>y</v>
      </c>
      <c r="LDY1" s="154" t="str">
        <f t="shared" si="128"/>
        <v>y</v>
      </c>
      <c r="LDZ1" s="154" t="str">
        <f t="shared" si="128"/>
        <v>y</v>
      </c>
      <c r="LEA1" s="154" t="str">
        <f t="shared" si="128"/>
        <v>y</v>
      </c>
      <c r="LEB1" s="154" t="str">
        <f t="shared" si="128"/>
        <v>y</v>
      </c>
      <c r="LEC1" s="154" t="str">
        <f t="shared" si="128"/>
        <v>y</v>
      </c>
      <c r="LED1" s="154" t="str">
        <f t="shared" si="128"/>
        <v>y</v>
      </c>
      <c r="LEE1" s="154" t="str">
        <f t="shared" si="128"/>
        <v>y</v>
      </c>
      <c r="LEF1" s="154" t="str">
        <f t="shared" si="128"/>
        <v>y</v>
      </c>
      <c r="LEG1" s="154" t="str">
        <f t="shared" si="128"/>
        <v>y</v>
      </c>
      <c r="LEH1" s="154" t="str">
        <f t="shared" si="128"/>
        <v>y</v>
      </c>
      <c r="LEI1" s="154" t="str">
        <f t="shared" si="128"/>
        <v>y</v>
      </c>
      <c r="LEJ1" s="154" t="str">
        <f t="shared" si="128"/>
        <v>y</v>
      </c>
      <c r="LEK1" s="154" t="str">
        <f t="shared" si="128"/>
        <v>y</v>
      </c>
      <c r="LEL1" s="154" t="str">
        <f t="shared" si="128"/>
        <v>y</v>
      </c>
      <c r="LEM1" s="154" t="str">
        <f t="shared" si="128"/>
        <v>y</v>
      </c>
      <c r="LEN1" s="154" t="str">
        <f t="shared" si="128"/>
        <v>y</v>
      </c>
      <c r="LEO1" s="154" t="str">
        <f t="shared" si="128"/>
        <v>y</v>
      </c>
      <c r="LEP1" s="154" t="str">
        <f t="shared" si="128"/>
        <v>y</v>
      </c>
      <c r="LEQ1" s="154" t="str">
        <f t="shared" si="128"/>
        <v>y</v>
      </c>
      <c r="LER1" s="154" t="str">
        <f t="shared" si="128"/>
        <v>y</v>
      </c>
      <c r="LES1" s="154" t="str">
        <f t="shared" si="128"/>
        <v>y</v>
      </c>
      <c r="LET1" s="154" t="str">
        <f t="shared" ref="LET1:LHE1" si="129">LET2&amp;"y"</f>
        <v>y</v>
      </c>
      <c r="LEU1" s="154" t="str">
        <f t="shared" si="129"/>
        <v>y</v>
      </c>
      <c r="LEV1" s="154" t="str">
        <f t="shared" si="129"/>
        <v>y</v>
      </c>
      <c r="LEW1" s="154" t="str">
        <f t="shared" si="129"/>
        <v>y</v>
      </c>
      <c r="LEX1" s="154" t="str">
        <f t="shared" si="129"/>
        <v>y</v>
      </c>
      <c r="LEY1" s="154" t="str">
        <f t="shared" si="129"/>
        <v>y</v>
      </c>
      <c r="LEZ1" s="154" t="str">
        <f t="shared" si="129"/>
        <v>y</v>
      </c>
      <c r="LFA1" s="154" t="str">
        <f t="shared" si="129"/>
        <v>y</v>
      </c>
      <c r="LFB1" s="154" t="str">
        <f t="shared" si="129"/>
        <v>y</v>
      </c>
      <c r="LFC1" s="154" t="str">
        <f t="shared" si="129"/>
        <v>y</v>
      </c>
      <c r="LFD1" s="154" t="str">
        <f t="shared" si="129"/>
        <v>y</v>
      </c>
      <c r="LFE1" s="154" t="str">
        <f t="shared" si="129"/>
        <v>y</v>
      </c>
      <c r="LFF1" s="154" t="str">
        <f t="shared" si="129"/>
        <v>y</v>
      </c>
      <c r="LFG1" s="154" t="str">
        <f t="shared" si="129"/>
        <v>y</v>
      </c>
      <c r="LFH1" s="154" t="str">
        <f t="shared" si="129"/>
        <v>y</v>
      </c>
      <c r="LFI1" s="154" t="str">
        <f t="shared" si="129"/>
        <v>y</v>
      </c>
      <c r="LFJ1" s="154" t="str">
        <f t="shared" si="129"/>
        <v>y</v>
      </c>
      <c r="LFK1" s="154" t="str">
        <f t="shared" si="129"/>
        <v>y</v>
      </c>
      <c r="LFL1" s="154" t="str">
        <f t="shared" si="129"/>
        <v>y</v>
      </c>
      <c r="LFM1" s="154" t="str">
        <f t="shared" si="129"/>
        <v>y</v>
      </c>
      <c r="LFN1" s="154" t="str">
        <f t="shared" si="129"/>
        <v>y</v>
      </c>
      <c r="LFO1" s="154" t="str">
        <f t="shared" si="129"/>
        <v>y</v>
      </c>
      <c r="LFP1" s="154" t="str">
        <f t="shared" si="129"/>
        <v>y</v>
      </c>
      <c r="LFQ1" s="154" t="str">
        <f t="shared" si="129"/>
        <v>y</v>
      </c>
      <c r="LFR1" s="154" t="str">
        <f t="shared" si="129"/>
        <v>y</v>
      </c>
      <c r="LFS1" s="154" t="str">
        <f t="shared" si="129"/>
        <v>y</v>
      </c>
      <c r="LFT1" s="154" t="str">
        <f t="shared" si="129"/>
        <v>y</v>
      </c>
      <c r="LFU1" s="154" t="str">
        <f t="shared" si="129"/>
        <v>y</v>
      </c>
      <c r="LFV1" s="154" t="str">
        <f t="shared" si="129"/>
        <v>y</v>
      </c>
      <c r="LFW1" s="154" t="str">
        <f t="shared" si="129"/>
        <v>y</v>
      </c>
      <c r="LFX1" s="154" t="str">
        <f t="shared" si="129"/>
        <v>y</v>
      </c>
      <c r="LFY1" s="154" t="str">
        <f t="shared" si="129"/>
        <v>y</v>
      </c>
      <c r="LFZ1" s="154" t="str">
        <f t="shared" si="129"/>
        <v>y</v>
      </c>
      <c r="LGA1" s="154" t="str">
        <f t="shared" si="129"/>
        <v>y</v>
      </c>
      <c r="LGB1" s="154" t="str">
        <f t="shared" si="129"/>
        <v>y</v>
      </c>
      <c r="LGC1" s="154" t="str">
        <f t="shared" si="129"/>
        <v>y</v>
      </c>
      <c r="LGD1" s="154" t="str">
        <f t="shared" si="129"/>
        <v>y</v>
      </c>
      <c r="LGE1" s="154" t="str">
        <f t="shared" si="129"/>
        <v>y</v>
      </c>
      <c r="LGF1" s="154" t="str">
        <f t="shared" si="129"/>
        <v>y</v>
      </c>
      <c r="LGG1" s="154" t="str">
        <f t="shared" si="129"/>
        <v>y</v>
      </c>
      <c r="LGH1" s="154" t="str">
        <f t="shared" si="129"/>
        <v>y</v>
      </c>
      <c r="LGI1" s="154" t="str">
        <f t="shared" si="129"/>
        <v>y</v>
      </c>
      <c r="LGJ1" s="154" t="str">
        <f t="shared" si="129"/>
        <v>y</v>
      </c>
      <c r="LGK1" s="154" t="str">
        <f t="shared" si="129"/>
        <v>y</v>
      </c>
      <c r="LGL1" s="154" t="str">
        <f t="shared" si="129"/>
        <v>y</v>
      </c>
      <c r="LGM1" s="154" t="str">
        <f t="shared" si="129"/>
        <v>y</v>
      </c>
      <c r="LGN1" s="154" t="str">
        <f t="shared" si="129"/>
        <v>y</v>
      </c>
      <c r="LGO1" s="154" t="str">
        <f t="shared" si="129"/>
        <v>y</v>
      </c>
      <c r="LGP1" s="154" t="str">
        <f t="shared" si="129"/>
        <v>y</v>
      </c>
      <c r="LGQ1" s="154" t="str">
        <f t="shared" si="129"/>
        <v>y</v>
      </c>
      <c r="LGR1" s="154" t="str">
        <f t="shared" si="129"/>
        <v>y</v>
      </c>
      <c r="LGS1" s="154" t="str">
        <f t="shared" si="129"/>
        <v>y</v>
      </c>
      <c r="LGT1" s="154" t="str">
        <f t="shared" si="129"/>
        <v>y</v>
      </c>
      <c r="LGU1" s="154" t="str">
        <f t="shared" si="129"/>
        <v>y</v>
      </c>
      <c r="LGV1" s="154" t="str">
        <f t="shared" si="129"/>
        <v>y</v>
      </c>
      <c r="LGW1" s="154" t="str">
        <f t="shared" si="129"/>
        <v>y</v>
      </c>
      <c r="LGX1" s="154" t="str">
        <f t="shared" si="129"/>
        <v>y</v>
      </c>
      <c r="LGY1" s="154" t="str">
        <f t="shared" si="129"/>
        <v>y</v>
      </c>
      <c r="LGZ1" s="154" t="str">
        <f t="shared" si="129"/>
        <v>y</v>
      </c>
      <c r="LHA1" s="154" t="str">
        <f t="shared" si="129"/>
        <v>y</v>
      </c>
      <c r="LHB1" s="154" t="str">
        <f t="shared" si="129"/>
        <v>y</v>
      </c>
      <c r="LHC1" s="154" t="str">
        <f t="shared" si="129"/>
        <v>y</v>
      </c>
      <c r="LHD1" s="154" t="str">
        <f t="shared" si="129"/>
        <v>y</v>
      </c>
      <c r="LHE1" s="154" t="str">
        <f t="shared" si="129"/>
        <v>y</v>
      </c>
      <c r="LHF1" s="154" t="str">
        <f t="shared" ref="LHF1:LJQ1" si="130">LHF2&amp;"y"</f>
        <v>y</v>
      </c>
      <c r="LHG1" s="154" t="str">
        <f t="shared" si="130"/>
        <v>y</v>
      </c>
      <c r="LHH1" s="154" t="str">
        <f t="shared" si="130"/>
        <v>y</v>
      </c>
      <c r="LHI1" s="154" t="str">
        <f t="shared" si="130"/>
        <v>y</v>
      </c>
      <c r="LHJ1" s="154" t="str">
        <f t="shared" si="130"/>
        <v>y</v>
      </c>
      <c r="LHK1" s="154" t="str">
        <f t="shared" si="130"/>
        <v>y</v>
      </c>
      <c r="LHL1" s="154" t="str">
        <f t="shared" si="130"/>
        <v>y</v>
      </c>
      <c r="LHM1" s="154" t="str">
        <f t="shared" si="130"/>
        <v>y</v>
      </c>
      <c r="LHN1" s="154" t="str">
        <f t="shared" si="130"/>
        <v>y</v>
      </c>
      <c r="LHO1" s="154" t="str">
        <f t="shared" si="130"/>
        <v>y</v>
      </c>
      <c r="LHP1" s="154" t="str">
        <f t="shared" si="130"/>
        <v>y</v>
      </c>
      <c r="LHQ1" s="154" t="str">
        <f t="shared" si="130"/>
        <v>y</v>
      </c>
      <c r="LHR1" s="154" t="str">
        <f t="shared" si="130"/>
        <v>y</v>
      </c>
      <c r="LHS1" s="154" t="str">
        <f t="shared" si="130"/>
        <v>y</v>
      </c>
      <c r="LHT1" s="154" t="str">
        <f t="shared" si="130"/>
        <v>y</v>
      </c>
      <c r="LHU1" s="154" t="str">
        <f t="shared" si="130"/>
        <v>y</v>
      </c>
      <c r="LHV1" s="154" t="str">
        <f t="shared" si="130"/>
        <v>y</v>
      </c>
      <c r="LHW1" s="154" t="str">
        <f t="shared" si="130"/>
        <v>y</v>
      </c>
      <c r="LHX1" s="154" t="str">
        <f t="shared" si="130"/>
        <v>y</v>
      </c>
      <c r="LHY1" s="154" t="str">
        <f t="shared" si="130"/>
        <v>y</v>
      </c>
      <c r="LHZ1" s="154" t="str">
        <f t="shared" si="130"/>
        <v>y</v>
      </c>
      <c r="LIA1" s="154" t="str">
        <f t="shared" si="130"/>
        <v>y</v>
      </c>
      <c r="LIB1" s="154" t="str">
        <f t="shared" si="130"/>
        <v>y</v>
      </c>
      <c r="LIC1" s="154" t="str">
        <f t="shared" si="130"/>
        <v>y</v>
      </c>
      <c r="LID1" s="154" t="str">
        <f t="shared" si="130"/>
        <v>y</v>
      </c>
      <c r="LIE1" s="154" t="str">
        <f t="shared" si="130"/>
        <v>y</v>
      </c>
      <c r="LIF1" s="154" t="str">
        <f t="shared" si="130"/>
        <v>y</v>
      </c>
      <c r="LIG1" s="154" t="str">
        <f t="shared" si="130"/>
        <v>y</v>
      </c>
      <c r="LIH1" s="154" t="str">
        <f t="shared" si="130"/>
        <v>y</v>
      </c>
      <c r="LII1" s="154" t="str">
        <f t="shared" si="130"/>
        <v>y</v>
      </c>
      <c r="LIJ1" s="154" t="str">
        <f t="shared" si="130"/>
        <v>y</v>
      </c>
      <c r="LIK1" s="154" t="str">
        <f t="shared" si="130"/>
        <v>y</v>
      </c>
      <c r="LIL1" s="154" t="str">
        <f t="shared" si="130"/>
        <v>y</v>
      </c>
      <c r="LIM1" s="154" t="str">
        <f t="shared" si="130"/>
        <v>y</v>
      </c>
      <c r="LIN1" s="154" t="str">
        <f t="shared" si="130"/>
        <v>y</v>
      </c>
      <c r="LIO1" s="154" t="str">
        <f t="shared" si="130"/>
        <v>y</v>
      </c>
      <c r="LIP1" s="154" t="str">
        <f t="shared" si="130"/>
        <v>y</v>
      </c>
      <c r="LIQ1" s="154" t="str">
        <f t="shared" si="130"/>
        <v>y</v>
      </c>
      <c r="LIR1" s="154" t="str">
        <f t="shared" si="130"/>
        <v>y</v>
      </c>
      <c r="LIS1" s="154" t="str">
        <f t="shared" si="130"/>
        <v>y</v>
      </c>
      <c r="LIT1" s="154" t="str">
        <f t="shared" si="130"/>
        <v>y</v>
      </c>
      <c r="LIU1" s="154" t="str">
        <f t="shared" si="130"/>
        <v>y</v>
      </c>
      <c r="LIV1" s="154" t="str">
        <f t="shared" si="130"/>
        <v>y</v>
      </c>
      <c r="LIW1" s="154" t="str">
        <f t="shared" si="130"/>
        <v>y</v>
      </c>
      <c r="LIX1" s="154" t="str">
        <f t="shared" si="130"/>
        <v>y</v>
      </c>
      <c r="LIY1" s="154" t="str">
        <f t="shared" si="130"/>
        <v>y</v>
      </c>
      <c r="LIZ1" s="154" t="str">
        <f t="shared" si="130"/>
        <v>y</v>
      </c>
      <c r="LJA1" s="154" t="str">
        <f t="shared" si="130"/>
        <v>y</v>
      </c>
      <c r="LJB1" s="154" t="str">
        <f t="shared" si="130"/>
        <v>y</v>
      </c>
      <c r="LJC1" s="154" t="str">
        <f t="shared" si="130"/>
        <v>y</v>
      </c>
      <c r="LJD1" s="154" t="str">
        <f t="shared" si="130"/>
        <v>y</v>
      </c>
      <c r="LJE1" s="154" t="str">
        <f t="shared" si="130"/>
        <v>y</v>
      </c>
      <c r="LJF1" s="154" t="str">
        <f t="shared" si="130"/>
        <v>y</v>
      </c>
      <c r="LJG1" s="154" t="str">
        <f t="shared" si="130"/>
        <v>y</v>
      </c>
      <c r="LJH1" s="154" t="str">
        <f t="shared" si="130"/>
        <v>y</v>
      </c>
      <c r="LJI1" s="154" t="str">
        <f t="shared" si="130"/>
        <v>y</v>
      </c>
      <c r="LJJ1" s="154" t="str">
        <f t="shared" si="130"/>
        <v>y</v>
      </c>
      <c r="LJK1" s="154" t="str">
        <f t="shared" si="130"/>
        <v>y</v>
      </c>
      <c r="LJL1" s="154" t="str">
        <f t="shared" si="130"/>
        <v>y</v>
      </c>
      <c r="LJM1" s="154" t="str">
        <f t="shared" si="130"/>
        <v>y</v>
      </c>
      <c r="LJN1" s="154" t="str">
        <f t="shared" si="130"/>
        <v>y</v>
      </c>
      <c r="LJO1" s="154" t="str">
        <f t="shared" si="130"/>
        <v>y</v>
      </c>
      <c r="LJP1" s="154" t="str">
        <f t="shared" si="130"/>
        <v>y</v>
      </c>
      <c r="LJQ1" s="154" t="str">
        <f t="shared" si="130"/>
        <v>y</v>
      </c>
      <c r="LJR1" s="154" t="str">
        <f t="shared" ref="LJR1:LMC1" si="131">LJR2&amp;"y"</f>
        <v>y</v>
      </c>
      <c r="LJS1" s="154" t="str">
        <f t="shared" si="131"/>
        <v>y</v>
      </c>
      <c r="LJT1" s="154" t="str">
        <f t="shared" si="131"/>
        <v>y</v>
      </c>
      <c r="LJU1" s="154" t="str">
        <f t="shared" si="131"/>
        <v>y</v>
      </c>
      <c r="LJV1" s="154" t="str">
        <f t="shared" si="131"/>
        <v>y</v>
      </c>
      <c r="LJW1" s="154" t="str">
        <f t="shared" si="131"/>
        <v>y</v>
      </c>
      <c r="LJX1" s="154" t="str">
        <f t="shared" si="131"/>
        <v>y</v>
      </c>
      <c r="LJY1" s="154" t="str">
        <f t="shared" si="131"/>
        <v>y</v>
      </c>
      <c r="LJZ1" s="154" t="str">
        <f t="shared" si="131"/>
        <v>y</v>
      </c>
      <c r="LKA1" s="154" t="str">
        <f t="shared" si="131"/>
        <v>y</v>
      </c>
      <c r="LKB1" s="154" t="str">
        <f t="shared" si="131"/>
        <v>y</v>
      </c>
      <c r="LKC1" s="154" t="str">
        <f t="shared" si="131"/>
        <v>y</v>
      </c>
      <c r="LKD1" s="154" t="str">
        <f t="shared" si="131"/>
        <v>y</v>
      </c>
      <c r="LKE1" s="154" t="str">
        <f t="shared" si="131"/>
        <v>y</v>
      </c>
      <c r="LKF1" s="154" t="str">
        <f t="shared" si="131"/>
        <v>y</v>
      </c>
      <c r="LKG1" s="154" t="str">
        <f t="shared" si="131"/>
        <v>y</v>
      </c>
      <c r="LKH1" s="154" t="str">
        <f t="shared" si="131"/>
        <v>y</v>
      </c>
      <c r="LKI1" s="154" t="str">
        <f t="shared" si="131"/>
        <v>y</v>
      </c>
      <c r="LKJ1" s="154" t="str">
        <f t="shared" si="131"/>
        <v>y</v>
      </c>
      <c r="LKK1" s="154" t="str">
        <f t="shared" si="131"/>
        <v>y</v>
      </c>
      <c r="LKL1" s="154" t="str">
        <f t="shared" si="131"/>
        <v>y</v>
      </c>
      <c r="LKM1" s="154" t="str">
        <f t="shared" si="131"/>
        <v>y</v>
      </c>
      <c r="LKN1" s="154" t="str">
        <f t="shared" si="131"/>
        <v>y</v>
      </c>
      <c r="LKO1" s="154" t="str">
        <f t="shared" si="131"/>
        <v>y</v>
      </c>
      <c r="LKP1" s="154" t="str">
        <f t="shared" si="131"/>
        <v>y</v>
      </c>
      <c r="LKQ1" s="154" t="str">
        <f t="shared" si="131"/>
        <v>y</v>
      </c>
      <c r="LKR1" s="154" t="str">
        <f t="shared" si="131"/>
        <v>y</v>
      </c>
      <c r="LKS1" s="154" t="str">
        <f t="shared" si="131"/>
        <v>y</v>
      </c>
      <c r="LKT1" s="154" t="str">
        <f t="shared" si="131"/>
        <v>y</v>
      </c>
      <c r="LKU1" s="154" t="str">
        <f t="shared" si="131"/>
        <v>y</v>
      </c>
      <c r="LKV1" s="154" t="str">
        <f t="shared" si="131"/>
        <v>y</v>
      </c>
      <c r="LKW1" s="154" t="str">
        <f t="shared" si="131"/>
        <v>y</v>
      </c>
      <c r="LKX1" s="154" t="str">
        <f t="shared" si="131"/>
        <v>y</v>
      </c>
      <c r="LKY1" s="154" t="str">
        <f t="shared" si="131"/>
        <v>y</v>
      </c>
      <c r="LKZ1" s="154" t="str">
        <f t="shared" si="131"/>
        <v>y</v>
      </c>
      <c r="LLA1" s="154" t="str">
        <f t="shared" si="131"/>
        <v>y</v>
      </c>
      <c r="LLB1" s="154" t="str">
        <f t="shared" si="131"/>
        <v>y</v>
      </c>
      <c r="LLC1" s="154" t="str">
        <f t="shared" si="131"/>
        <v>y</v>
      </c>
      <c r="LLD1" s="154" t="str">
        <f t="shared" si="131"/>
        <v>y</v>
      </c>
      <c r="LLE1" s="154" t="str">
        <f t="shared" si="131"/>
        <v>y</v>
      </c>
      <c r="LLF1" s="154" t="str">
        <f t="shared" si="131"/>
        <v>y</v>
      </c>
      <c r="LLG1" s="154" t="str">
        <f t="shared" si="131"/>
        <v>y</v>
      </c>
      <c r="LLH1" s="154" t="str">
        <f t="shared" si="131"/>
        <v>y</v>
      </c>
      <c r="LLI1" s="154" t="str">
        <f t="shared" si="131"/>
        <v>y</v>
      </c>
      <c r="LLJ1" s="154" t="str">
        <f t="shared" si="131"/>
        <v>y</v>
      </c>
      <c r="LLK1" s="154" t="str">
        <f t="shared" si="131"/>
        <v>y</v>
      </c>
      <c r="LLL1" s="154" t="str">
        <f t="shared" si="131"/>
        <v>y</v>
      </c>
      <c r="LLM1" s="154" t="str">
        <f t="shared" si="131"/>
        <v>y</v>
      </c>
      <c r="LLN1" s="154" t="str">
        <f t="shared" si="131"/>
        <v>y</v>
      </c>
      <c r="LLO1" s="154" t="str">
        <f t="shared" si="131"/>
        <v>y</v>
      </c>
      <c r="LLP1" s="154" t="str">
        <f t="shared" si="131"/>
        <v>y</v>
      </c>
      <c r="LLQ1" s="154" t="str">
        <f t="shared" si="131"/>
        <v>y</v>
      </c>
      <c r="LLR1" s="154" t="str">
        <f t="shared" si="131"/>
        <v>y</v>
      </c>
      <c r="LLS1" s="154" t="str">
        <f t="shared" si="131"/>
        <v>y</v>
      </c>
      <c r="LLT1" s="154" t="str">
        <f t="shared" si="131"/>
        <v>y</v>
      </c>
      <c r="LLU1" s="154" t="str">
        <f t="shared" si="131"/>
        <v>y</v>
      </c>
      <c r="LLV1" s="154" t="str">
        <f t="shared" si="131"/>
        <v>y</v>
      </c>
      <c r="LLW1" s="154" t="str">
        <f t="shared" si="131"/>
        <v>y</v>
      </c>
      <c r="LLX1" s="154" t="str">
        <f t="shared" si="131"/>
        <v>y</v>
      </c>
      <c r="LLY1" s="154" t="str">
        <f t="shared" si="131"/>
        <v>y</v>
      </c>
      <c r="LLZ1" s="154" t="str">
        <f t="shared" si="131"/>
        <v>y</v>
      </c>
      <c r="LMA1" s="154" t="str">
        <f t="shared" si="131"/>
        <v>y</v>
      </c>
      <c r="LMB1" s="154" t="str">
        <f t="shared" si="131"/>
        <v>y</v>
      </c>
      <c r="LMC1" s="154" t="str">
        <f t="shared" si="131"/>
        <v>y</v>
      </c>
      <c r="LMD1" s="154" t="str">
        <f t="shared" ref="LMD1:LOO1" si="132">LMD2&amp;"y"</f>
        <v>y</v>
      </c>
      <c r="LME1" s="154" t="str">
        <f t="shared" si="132"/>
        <v>y</v>
      </c>
      <c r="LMF1" s="154" t="str">
        <f t="shared" si="132"/>
        <v>y</v>
      </c>
      <c r="LMG1" s="154" t="str">
        <f t="shared" si="132"/>
        <v>y</v>
      </c>
      <c r="LMH1" s="154" t="str">
        <f t="shared" si="132"/>
        <v>y</v>
      </c>
      <c r="LMI1" s="154" t="str">
        <f t="shared" si="132"/>
        <v>y</v>
      </c>
      <c r="LMJ1" s="154" t="str">
        <f t="shared" si="132"/>
        <v>y</v>
      </c>
      <c r="LMK1" s="154" t="str">
        <f t="shared" si="132"/>
        <v>y</v>
      </c>
      <c r="LML1" s="154" t="str">
        <f t="shared" si="132"/>
        <v>y</v>
      </c>
      <c r="LMM1" s="154" t="str">
        <f t="shared" si="132"/>
        <v>y</v>
      </c>
      <c r="LMN1" s="154" t="str">
        <f t="shared" si="132"/>
        <v>y</v>
      </c>
      <c r="LMO1" s="154" t="str">
        <f t="shared" si="132"/>
        <v>y</v>
      </c>
      <c r="LMP1" s="154" t="str">
        <f t="shared" si="132"/>
        <v>y</v>
      </c>
      <c r="LMQ1" s="154" t="str">
        <f t="shared" si="132"/>
        <v>y</v>
      </c>
      <c r="LMR1" s="154" t="str">
        <f t="shared" si="132"/>
        <v>y</v>
      </c>
      <c r="LMS1" s="154" t="str">
        <f t="shared" si="132"/>
        <v>y</v>
      </c>
      <c r="LMT1" s="154" t="str">
        <f t="shared" si="132"/>
        <v>y</v>
      </c>
      <c r="LMU1" s="154" t="str">
        <f t="shared" si="132"/>
        <v>y</v>
      </c>
      <c r="LMV1" s="154" t="str">
        <f t="shared" si="132"/>
        <v>y</v>
      </c>
      <c r="LMW1" s="154" t="str">
        <f t="shared" si="132"/>
        <v>y</v>
      </c>
      <c r="LMX1" s="154" t="str">
        <f t="shared" si="132"/>
        <v>y</v>
      </c>
      <c r="LMY1" s="154" t="str">
        <f t="shared" si="132"/>
        <v>y</v>
      </c>
      <c r="LMZ1" s="154" t="str">
        <f t="shared" si="132"/>
        <v>y</v>
      </c>
      <c r="LNA1" s="154" t="str">
        <f t="shared" si="132"/>
        <v>y</v>
      </c>
      <c r="LNB1" s="154" t="str">
        <f t="shared" si="132"/>
        <v>y</v>
      </c>
      <c r="LNC1" s="154" t="str">
        <f t="shared" si="132"/>
        <v>y</v>
      </c>
      <c r="LND1" s="154" t="str">
        <f t="shared" si="132"/>
        <v>y</v>
      </c>
      <c r="LNE1" s="154" t="str">
        <f t="shared" si="132"/>
        <v>y</v>
      </c>
      <c r="LNF1" s="154" t="str">
        <f t="shared" si="132"/>
        <v>y</v>
      </c>
      <c r="LNG1" s="154" t="str">
        <f t="shared" si="132"/>
        <v>y</v>
      </c>
      <c r="LNH1" s="154" t="str">
        <f t="shared" si="132"/>
        <v>y</v>
      </c>
      <c r="LNI1" s="154" t="str">
        <f t="shared" si="132"/>
        <v>y</v>
      </c>
      <c r="LNJ1" s="154" t="str">
        <f t="shared" si="132"/>
        <v>y</v>
      </c>
      <c r="LNK1" s="154" t="str">
        <f t="shared" si="132"/>
        <v>y</v>
      </c>
      <c r="LNL1" s="154" t="str">
        <f t="shared" si="132"/>
        <v>y</v>
      </c>
      <c r="LNM1" s="154" t="str">
        <f t="shared" si="132"/>
        <v>y</v>
      </c>
      <c r="LNN1" s="154" t="str">
        <f t="shared" si="132"/>
        <v>y</v>
      </c>
      <c r="LNO1" s="154" t="str">
        <f t="shared" si="132"/>
        <v>y</v>
      </c>
      <c r="LNP1" s="154" t="str">
        <f t="shared" si="132"/>
        <v>y</v>
      </c>
      <c r="LNQ1" s="154" t="str">
        <f t="shared" si="132"/>
        <v>y</v>
      </c>
      <c r="LNR1" s="154" t="str">
        <f t="shared" si="132"/>
        <v>y</v>
      </c>
      <c r="LNS1" s="154" t="str">
        <f t="shared" si="132"/>
        <v>y</v>
      </c>
      <c r="LNT1" s="154" t="str">
        <f t="shared" si="132"/>
        <v>y</v>
      </c>
      <c r="LNU1" s="154" t="str">
        <f t="shared" si="132"/>
        <v>y</v>
      </c>
      <c r="LNV1" s="154" t="str">
        <f t="shared" si="132"/>
        <v>y</v>
      </c>
      <c r="LNW1" s="154" t="str">
        <f t="shared" si="132"/>
        <v>y</v>
      </c>
      <c r="LNX1" s="154" t="str">
        <f t="shared" si="132"/>
        <v>y</v>
      </c>
      <c r="LNY1" s="154" t="str">
        <f t="shared" si="132"/>
        <v>y</v>
      </c>
      <c r="LNZ1" s="154" t="str">
        <f t="shared" si="132"/>
        <v>y</v>
      </c>
      <c r="LOA1" s="154" t="str">
        <f t="shared" si="132"/>
        <v>y</v>
      </c>
      <c r="LOB1" s="154" t="str">
        <f t="shared" si="132"/>
        <v>y</v>
      </c>
      <c r="LOC1" s="154" t="str">
        <f t="shared" si="132"/>
        <v>y</v>
      </c>
      <c r="LOD1" s="154" t="str">
        <f t="shared" si="132"/>
        <v>y</v>
      </c>
      <c r="LOE1" s="154" t="str">
        <f t="shared" si="132"/>
        <v>y</v>
      </c>
      <c r="LOF1" s="154" t="str">
        <f t="shared" si="132"/>
        <v>y</v>
      </c>
      <c r="LOG1" s="154" t="str">
        <f t="shared" si="132"/>
        <v>y</v>
      </c>
      <c r="LOH1" s="154" t="str">
        <f t="shared" si="132"/>
        <v>y</v>
      </c>
      <c r="LOI1" s="154" t="str">
        <f t="shared" si="132"/>
        <v>y</v>
      </c>
      <c r="LOJ1" s="154" t="str">
        <f t="shared" si="132"/>
        <v>y</v>
      </c>
      <c r="LOK1" s="154" t="str">
        <f t="shared" si="132"/>
        <v>y</v>
      </c>
      <c r="LOL1" s="154" t="str">
        <f t="shared" si="132"/>
        <v>y</v>
      </c>
      <c r="LOM1" s="154" t="str">
        <f t="shared" si="132"/>
        <v>y</v>
      </c>
      <c r="LON1" s="154" t="str">
        <f t="shared" si="132"/>
        <v>y</v>
      </c>
      <c r="LOO1" s="154" t="str">
        <f t="shared" si="132"/>
        <v>y</v>
      </c>
      <c r="LOP1" s="154" t="str">
        <f t="shared" ref="LOP1:LRA1" si="133">LOP2&amp;"y"</f>
        <v>y</v>
      </c>
      <c r="LOQ1" s="154" t="str">
        <f t="shared" si="133"/>
        <v>y</v>
      </c>
      <c r="LOR1" s="154" t="str">
        <f t="shared" si="133"/>
        <v>y</v>
      </c>
      <c r="LOS1" s="154" t="str">
        <f t="shared" si="133"/>
        <v>y</v>
      </c>
      <c r="LOT1" s="154" t="str">
        <f t="shared" si="133"/>
        <v>y</v>
      </c>
      <c r="LOU1" s="154" t="str">
        <f t="shared" si="133"/>
        <v>y</v>
      </c>
      <c r="LOV1" s="154" t="str">
        <f t="shared" si="133"/>
        <v>y</v>
      </c>
      <c r="LOW1" s="154" t="str">
        <f t="shared" si="133"/>
        <v>y</v>
      </c>
      <c r="LOX1" s="154" t="str">
        <f t="shared" si="133"/>
        <v>y</v>
      </c>
      <c r="LOY1" s="154" t="str">
        <f t="shared" si="133"/>
        <v>y</v>
      </c>
      <c r="LOZ1" s="154" t="str">
        <f t="shared" si="133"/>
        <v>y</v>
      </c>
      <c r="LPA1" s="154" t="str">
        <f t="shared" si="133"/>
        <v>y</v>
      </c>
      <c r="LPB1" s="154" t="str">
        <f t="shared" si="133"/>
        <v>y</v>
      </c>
      <c r="LPC1" s="154" t="str">
        <f t="shared" si="133"/>
        <v>y</v>
      </c>
      <c r="LPD1" s="154" t="str">
        <f t="shared" si="133"/>
        <v>y</v>
      </c>
      <c r="LPE1" s="154" t="str">
        <f t="shared" si="133"/>
        <v>y</v>
      </c>
      <c r="LPF1" s="154" t="str">
        <f t="shared" si="133"/>
        <v>y</v>
      </c>
      <c r="LPG1" s="154" t="str">
        <f t="shared" si="133"/>
        <v>y</v>
      </c>
      <c r="LPH1" s="154" t="str">
        <f t="shared" si="133"/>
        <v>y</v>
      </c>
      <c r="LPI1" s="154" t="str">
        <f t="shared" si="133"/>
        <v>y</v>
      </c>
      <c r="LPJ1" s="154" t="str">
        <f t="shared" si="133"/>
        <v>y</v>
      </c>
      <c r="LPK1" s="154" t="str">
        <f t="shared" si="133"/>
        <v>y</v>
      </c>
      <c r="LPL1" s="154" t="str">
        <f t="shared" si="133"/>
        <v>y</v>
      </c>
      <c r="LPM1" s="154" t="str">
        <f t="shared" si="133"/>
        <v>y</v>
      </c>
      <c r="LPN1" s="154" t="str">
        <f t="shared" si="133"/>
        <v>y</v>
      </c>
      <c r="LPO1" s="154" t="str">
        <f t="shared" si="133"/>
        <v>y</v>
      </c>
      <c r="LPP1" s="154" t="str">
        <f t="shared" si="133"/>
        <v>y</v>
      </c>
      <c r="LPQ1" s="154" t="str">
        <f t="shared" si="133"/>
        <v>y</v>
      </c>
      <c r="LPR1" s="154" t="str">
        <f t="shared" si="133"/>
        <v>y</v>
      </c>
      <c r="LPS1" s="154" t="str">
        <f t="shared" si="133"/>
        <v>y</v>
      </c>
      <c r="LPT1" s="154" t="str">
        <f t="shared" si="133"/>
        <v>y</v>
      </c>
      <c r="LPU1" s="154" t="str">
        <f t="shared" si="133"/>
        <v>y</v>
      </c>
      <c r="LPV1" s="154" t="str">
        <f t="shared" si="133"/>
        <v>y</v>
      </c>
      <c r="LPW1" s="154" t="str">
        <f t="shared" si="133"/>
        <v>y</v>
      </c>
      <c r="LPX1" s="154" t="str">
        <f t="shared" si="133"/>
        <v>y</v>
      </c>
      <c r="LPY1" s="154" t="str">
        <f t="shared" si="133"/>
        <v>y</v>
      </c>
      <c r="LPZ1" s="154" t="str">
        <f t="shared" si="133"/>
        <v>y</v>
      </c>
      <c r="LQA1" s="154" t="str">
        <f t="shared" si="133"/>
        <v>y</v>
      </c>
      <c r="LQB1" s="154" t="str">
        <f t="shared" si="133"/>
        <v>y</v>
      </c>
      <c r="LQC1" s="154" t="str">
        <f t="shared" si="133"/>
        <v>y</v>
      </c>
      <c r="LQD1" s="154" t="str">
        <f t="shared" si="133"/>
        <v>y</v>
      </c>
      <c r="LQE1" s="154" t="str">
        <f t="shared" si="133"/>
        <v>y</v>
      </c>
      <c r="LQF1" s="154" t="str">
        <f t="shared" si="133"/>
        <v>y</v>
      </c>
      <c r="LQG1" s="154" t="str">
        <f t="shared" si="133"/>
        <v>y</v>
      </c>
      <c r="LQH1" s="154" t="str">
        <f t="shared" si="133"/>
        <v>y</v>
      </c>
      <c r="LQI1" s="154" t="str">
        <f t="shared" si="133"/>
        <v>y</v>
      </c>
      <c r="LQJ1" s="154" t="str">
        <f t="shared" si="133"/>
        <v>y</v>
      </c>
      <c r="LQK1" s="154" t="str">
        <f t="shared" si="133"/>
        <v>y</v>
      </c>
      <c r="LQL1" s="154" t="str">
        <f t="shared" si="133"/>
        <v>y</v>
      </c>
      <c r="LQM1" s="154" t="str">
        <f t="shared" si="133"/>
        <v>y</v>
      </c>
      <c r="LQN1" s="154" t="str">
        <f t="shared" si="133"/>
        <v>y</v>
      </c>
      <c r="LQO1" s="154" t="str">
        <f t="shared" si="133"/>
        <v>y</v>
      </c>
      <c r="LQP1" s="154" t="str">
        <f t="shared" si="133"/>
        <v>y</v>
      </c>
      <c r="LQQ1" s="154" t="str">
        <f t="shared" si="133"/>
        <v>y</v>
      </c>
      <c r="LQR1" s="154" t="str">
        <f t="shared" si="133"/>
        <v>y</v>
      </c>
      <c r="LQS1" s="154" t="str">
        <f t="shared" si="133"/>
        <v>y</v>
      </c>
      <c r="LQT1" s="154" t="str">
        <f t="shared" si="133"/>
        <v>y</v>
      </c>
      <c r="LQU1" s="154" t="str">
        <f t="shared" si="133"/>
        <v>y</v>
      </c>
      <c r="LQV1" s="154" t="str">
        <f t="shared" si="133"/>
        <v>y</v>
      </c>
      <c r="LQW1" s="154" t="str">
        <f t="shared" si="133"/>
        <v>y</v>
      </c>
      <c r="LQX1" s="154" t="str">
        <f t="shared" si="133"/>
        <v>y</v>
      </c>
      <c r="LQY1" s="154" t="str">
        <f t="shared" si="133"/>
        <v>y</v>
      </c>
      <c r="LQZ1" s="154" t="str">
        <f t="shared" si="133"/>
        <v>y</v>
      </c>
      <c r="LRA1" s="154" t="str">
        <f t="shared" si="133"/>
        <v>y</v>
      </c>
      <c r="LRB1" s="154" t="str">
        <f t="shared" ref="LRB1:LTM1" si="134">LRB2&amp;"y"</f>
        <v>y</v>
      </c>
      <c r="LRC1" s="154" t="str">
        <f t="shared" si="134"/>
        <v>y</v>
      </c>
      <c r="LRD1" s="154" t="str">
        <f t="shared" si="134"/>
        <v>y</v>
      </c>
      <c r="LRE1" s="154" t="str">
        <f t="shared" si="134"/>
        <v>y</v>
      </c>
      <c r="LRF1" s="154" t="str">
        <f t="shared" si="134"/>
        <v>y</v>
      </c>
      <c r="LRG1" s="154" t="str">
        <f t="shared" si="134"/>
        <v>y</v>
      </c>
      <c r="LRH1" s="154" t="str">
        <f t="shared" si="134"/>
        <v>y</v>
      </c>
      <c r="LRI1" s="154" t="str">
        <f t="shared" si="134"/>
        <v>y</v>
      </c>
      <c r="LRJ1" s="154" t="str">
        <f t="shared" si="134"/>
        <v>y</v>
      </c>
      <c r="LRK1" s="154" t="str">
        <f t="shared" si="134"/>
        <v>y</v>
      </c>
      <c r="LRL1" s="154" t="str">
        <f t="shared" si="134"/>
        <v>y</v>
      </c>
      <c r="LRM1" s="154" t="str">
        <f t="shared" si="134"/>
        <v>y</v>
      </c>
      <c r="LRN1" s="154" t="str">
        <f t="shared" si="134"/>
        <v>y</v>
      </c>
      <c r="LRO1" s="154" t="str">
        <f t="shared" si="134"/>
        <v>y</v>
      </c>
      <c r="LRP1" s="154" t="str">
        <f t="shared" si="134"/>
        <v>y</v>
      </c>
      <c r="LRQ1" s="154" t="str">
        <f t="shared" si="134"/>
        <v>y</v>
      </c>
      <c r="LRR1" s="154" t="str">
        <f t="shared" si="134"/>
        <v>y</v>
      </c>
      <c r="LRS1" s="154" t="str">
        <f t="shared" si="134"/>
        <v>y</v>
      </c>
      <c r="LRT1" s="154" t="str">
        <f t="shared" si="134"/>
        <v>y</v>
      </c>
      <c r="LRU1" s="154" t="str">
        <f t="shared" si="134"/>
        <v>y</v>
      </c>
      <c r="LRV1" s="154" t="str">
        <f t="shared" si="134"/>
        <v>y</v>
      </c>
      <c r="LRW1" s="154" t="str">
        <f t="shared" si="134"/>
        <v>y</v>
      </c>
      <c r="LRX1" s="154" t="str">
        <f t="shared" si="134"/>
        <v>y</v>
      </c>
      <c r="LRY1" s="154" t="str">
        <f t="shared" si="134"/>
        <v>y</v>
      </c>
      <c r="LRZ1" s="154" t="str">
        <f t="shared" si="134"/>
        <v>y</v>
      </c>
      <c r="LSA1" s="154" t="str">
        <f t="shared" si="134"/>
        <v>y</v>
      </c>
      <c r="LSB1" s="154" t="str">
        <f t="shared" si="134"/>
        <v>y</v>
      </c>
      <c r="LSC1" s="154" t="str">
        <f t="shared" si="134"/>
        <v>y</v>
      </c>
      <c r="LSD1" s="154" t="str">
        <f t="shared" si="134"/>
        <v>y</v>
      </c>
      <c r="LSE1" s="154" t="str">
        <f t="shared" si="134"/>
        <v>y</v>
      </c>
      <c r="LSF1" s="154" t="str">
        <f t="shared" si="134"/>
        <v>y</v>
      </c>
      <c r="LSG1" s="154" t="str">
        <f t="shared" si="134"/>
        <v>y</v>
      </c>
      <c r="LSH1" s="154" t="str">
        <f t="shared" si="134"/>
        <v>y</v>
      </c>
      <c r="LSI1" s="154" t="str">
        <f t="shared" si="134"/>
        <v>y</v>
      </c>
      <c r="LSJ1" s="154" t="str">
        <f t="shared" si="134"/>
        <v>y</v>
      </c>
      <c r="LSK1" s="154" t="str">
        <f t="shared" si="134"/>
        <v>y</v>
      </c>
      <c r="LSL1" s="154" t="str">
        <f t="shared" si="134"/>
        <v>y</v>
      </c>
      <c r="LSM1" s="154" t="str">
        <f t="shared" si="134"/>
        <v>y</v>
      </c>
      <c r="LSN1" s="154" t="str">
        <f t="shared" si="134"/>
        <v>y</v>
      </c>
      <c r="LSO1" s="154" t="str">
        <f t="shared" si="134"/>
        <v>y</v>
      </c>
      <c r="LSP1" s="154" t="str">
        <f t="shared" si="134"/>
        <v>y</v>
      </c>
      <c r="LSQ1" s="154" t="str">
        <f t="shared" si="134"/>
        <v>y</v>
      </c>
      <c r="LSR1" s="154" t="str">
        <f t="shared" si="134"/>
        <v>y</v>
      </c>
      <c r="LSS1" s="154" t="str">
        <f t="shared" si="134"/>
        <v>y</v>
      </c>
      <c r="LST1" s="154" t="str">
        <f t="shared" si="134"/>
        <v>y</v>
      </c>
      <c r="LSU1" s="154" t="str">
        <f t="shared" si="134"/>
        <v>y</v>
      </c>
      <c r="LSV1" s="154" t="str">
        <f t="shared" si="134"/>
        <v>y</v>
      </c>
      <c r="LSW1" s="154" t="str">
        <f t="shared" si="134"/>
        <v>y</v>
      </c>
      <c r="LSX1" s="154" t="str">
        <f t="shared" si="134"/>
        <v>y</v>
      </c>
      <c r="LSY1" s="154" t="str">
        <f t="shared" si="134"/>
        <v>y</v>
      </c>
      <c r="LSZ1" s="154" t="str">
        <f t="shared" si="134"/>
        <v>y</v>
      </c>
      <c r="LTA1" s="154" t="str">
        <f t="shared" si="134"/>
        <v>y</v>
      </c>
      <c r="LTB1" s="154" t="str">
        <f t="shared" si="134"/>
        <v>y</v>
      </c>
      <c r="LTC1" s="154" t="str">
        <f t="shared" si="134"/>
        <v>y</v>
      </c>
      <c r="LTD1" s="154" t="str">
        <f t="shared" si="134"/>
        <v>y</v>
      </c>
      <c r="LTE1" s="154" t="str">
        <f t="shared" si="134"/>
        <v>y</v>
      </c>
      <c r="LTF1" s="154" t="str">
        <f t="shared" si="134"/>
        <v>y</v>
      </c>
      <c r="LTG1" s="154" t="str">
        <f t="shared" si="134"/>
        <v>y</v>
      </c>
      <c r="LTH1" s="154" t="str">
        <f t="shared" si="134"/>
        <v>y</v>
      </c>
      <c r="LTI1" s="154" t="str">
        <f t="shared" si="134"/>
        <v>y</v>
      </c>
      <c r="LTJ1" s="154" t="str">
        <f t="shared" si="134"/>
        <v>y</v>
      </c>
      <c r="LTK1" s="154" t="str">
        <f t="shared" si="134"/>
        <v>y</v>
      </c>
      <c r="LTL1" s="154" t="str">
        <f t="shared" si="134"/>
        <v>y</v>
      </c>
      <c r="LTM1" s="154" t="str">
        <f t="shared" si="134"/>
        <v>y</v>
      </c>
      <c r="LTN1" s="154" t="str">
        <f t="shared" ref="LTN1:LVY1" si="135">LTN2&amp;"y"</f>
        <v>y</v>
      </c>
      <c r="LTO1" s="154" t="str">
        <f t="shared" si="135"/>
        <v>y</v>
      </c>
      <c r="LTP1" s="154" t="str">
        <f t="shared" si="135"/>
        <v>y</v>
      </c>
      <c r="LTQ1" s="154" t="str">
        <f t="shared" si="135"/>
        <v>y</v>
      </c>
      <c r="LTR1" s="154" t="str">
        <f t="shared" si="135"/>
        <v>y</v>
      </c>
      <c r="LTS1" s="154" t="str">
        <f t="shared" si="135"/>
        <v>y</v>
      </c>
      <c r="LTT1" s="154" t="str">
        <f t="shared" si="135"/>
        <v>y</v>
      </c>
      <c r="LTU1" s="154" t="str">
        <f t="shared" si="135"/>
        <v>y</v>
      </c>
      <c r="LTV1" s="154" t="str">
        <f t="shared" si="135"/>
        <v>y</v>
      </c>
      <c r="LTW1" s="154" t="str">
        <f t="shared" si="135"/>
        <v>y</v>
      </c>
      <c r="LTX1" s="154" t="str">
        <f t="shared" si="135"/>
        <v>y</v>
      </c>
      <c r="LTY1" s="154" t="str">
        <f t="shared" si="135"/>
        <v>y</v>
      </c>
      <c r="LTZ1" s="154" t="str">
        <f t="shared" si="135"/>
        <v>y</v>
      </c>
      <c r="LUA1" s="154" t="str">
        <f t="shared" si="135"/>
        <v>y</v>
      </c>
      <c r="LUB1" s="154" t="str">
        <f t="shared" si="135"/>
        <v>y</v>
      </c>
      <c r="LUC1" s="154" t="str">
        <f t="shared" si="135"/>
        <v>y</v>
      </c>
      <c r="LUD1" s="154" t="str">
        <f t="shared" si="135"/>
        <v>y</v>
      </c>
      <c r="LUE1" s="154" t="str">
        <f t="shared" si="135"/>
        <v>y</v>
      </c>
      <c r="LUF1" s="154" t="str">
        <f t="shared" si="135"/>
        <v>y</v>
      </c>
      <c r="LUG1" s="154" t="str">
        <f t="shared" si="135"/>
        <v>y</v>
      </c>
      <c r="LUH1" s="154" t="str">
        <f t="shared" si="135"/>
        <v>y</v>
      </c>
      <c r="LUI1" s="154" t="str">
        <f t="shared" si="135"/>
        <v>y</v>
      </c>
      <c r="LUJ1" s="154" t="str">
        <f t="shared" si="135"/>
        <v>y</v>
      </c>
      <c r="LUK1" s="154" t="str">
        <f t="shared" si="135"/>
        <v>y</v>
      </c>
      <c r="LUL1" s="154" t="str">
        <f t="shared" si="135"/>
        <v>y</v>
      </c>
      <c r="LUM1" s="154" t="str">
        <f t="shared" si="135"/>
        <v>y</v>
      </c>
      <c r="LUN1" s="154" t="str">
        <f t="shared" si="135"/>
        <v>y</v>
      </c>
      <c r="LUO1" s="154" t="str">
        <f t="shared" si="135"/>
        <v>y</v>
      </c>
      <c r="LUP1" s="154" t="str">
        <f t="shared" si="135"/>
        <v>y</v>
      </c>
      <c r="LUQ1" s="154" t="str">
        <f t="shared" si="135"/>
        <v>y</v>
      </c>
      <c r="LUR1" s="154" t="str">
        <f t="shared" si="135"/>
        <v>y</v>
      </c>
      <c r="LUS1" s="154" t="str">
        <f t="shared" si="135"/>
        <v>y</v>
      </c>
      <c r="LUT1" s="154" t="str">
        <f t="shared" si="135"/>
        <v>y</v>
      </c>
      <c r="LUU1" s="154" t="str">
        <f t="shared" si="135"/>
        <v>y</v>
      </c>
      <c r="LUV1" s="154" t="str">
        <f t="shared" si="135"/>
        <v>y</v>
      </c>
      <c r="LUW1" s="154" t="str">
        <f t="shared" si="135"/>
        <v>y</v>
      </c>
      <c r="LUX1" s="154" t="str">
        <f t="shared" si="135"/>
        <v>y</v>
      </c>
      <c r="LUY1" s="154" t="str">
        <f t="shared" si="135"/>
        <v>y</v>
      </c>
      <c r="LUZ1" s="154" t="str">
        <f t="shared" si="135"/>
        <v>y</v>
      </c>
      <c r="LVA1" s="154" t="str">
        <f t="shared" si="135"/>
        <v>y</v>
      </c>
      <c r="LVB1" s="154" t="str">
        <f t="shared" si="135"/>
        <v>y</v>
      </c>
      <c r="LVC1" s="154" t="str">
        <f t="shared" si="135"/>
        <v>y</v>
      </c>
      <c r="LVD1" s="154" t="str">
        <f t="shared" si="135"/>
        <v>y</v>
      </c>
      <c r="LVE1" s="154" t="str">
        <f t="shared" si="135"/>
        <v>y</v>
      </c>
      <c r="LVF1" s="154" t="str">
        <f t="shared" si="135"/>
        <v>y</v>
      </c>
      <c r="LVG1" s="154" t="str">
        <f t="shared" si="135"/>
        <v>y</v>
      </c>
      <c r="LVH1" s="154" t="str">
        <f t="shared" si="135"/>
        <v>y</v>
      </c>
      <c r="LVI1" s="154" t="str">
        <f t="shared" si="135"/>
        <v>y</v>
      </c>
      <c r="LVJ1" s="154" t="str">
        <f t="shared" si="135"/>
        <v>y</v>
      </c>
      <c r="LVK1" s="154" t="str">
        <f t="shared" si="135"/>
        <v>y</v>
      </c>
      <c r="LVL1" s="154" t="str">
        <f t="shared" si="135"/>
        <v>y</v>
      </c>
      <c r="LVM1" s="154" t="str">
        <f t="shared" si="135"/>
        <v>y</v>
      </c>
      <c r="LVN1" s="154" t="str">
        <f t="shared" si="135"/>
        <v>y</v>
      </c>
      <c r="LVO1" s="154" t="str">
        <f t="shared" si="135"/>
        <v>y</v>
      </c>
      <c r="LVP1" s="154" t="str">
        <f t="shared" si="135"/>
        <v>y</v>
      </c>
      <c r="LVQ1" s="154" t="str">
        <f t="shared" si="135"/>
        <v>y</v>
      </c>
      <c r="LVR1" s="154" t="str">
        <f t="shared" si="135"/>
        <v>y</v>
      </c>
      <c r="LVS1" s="154" t="str">
        <f t="shared" si="135"/>
        <v>y</v>
      </c>
      <c r="LVT1" s="154" t="str">
        <f t="shared" si="135"/>
        <v>y</v>
      </c>
      <c r="LVU1" s="154" t="str">
        <f t="shared" si="135"/>
        <v>y</v>
      </c>
      <c r="LVV1" s="154" t="str">
        <f t="shared" si="135"/>
        <v>y</v>
      </c>
      <c r="LVW1" s="154" t="str">
        <f t="shared" si="135"/>
        <v>y</v>
      </c>
      <c r="LVX1" s="154" t="str">
        <f t="shared" si="135"/>
        <v>y</v>
      </c>
      <c r="LVY1" s="154" t="str">
        <f t="shared" si="135"/>
        <v>y</v>
      </c>
      <c r="LVZ1" s="154" t="str">
        <f t="shared" ref="LVZ1:LYK1" si="136">LVZ2&amp;"y"</f>
        <v>y</v>
      </c>
      <c r="LWA1" s="154" t="str">
        <f t="shared" si="136"/>
        <v>y</v>
      </c>
      <c r="LWB1" s="154" t="str">
        <f t="shared" si="136"/>
        <v>y</v>
      </c>
      <c r="LWC1" s="154" t="str">
        <f t="shared" si="136"/>
        <v>y</v>
      </c>
      <c r="LWD1" s="154" t="str">
        <f t="shared" si="136"/>
        <v>y</v>
      </c>
      <c r="LWE1" s="154" t="str">
        <f t="shared" si="136"/>
        <v>y</v>
      </c>
      <c r="LWF1" s="154" t="str">
        <f t="shared" si="136"/>
        <v>y</v>
      </c>
      <c r="LWG1" s="154" t="str">
        <f t="shared" si="136"/>
        <v>y</v>
      </c>
      <c r="LWH1" s="154" t="str">
        <f t="shared" si="136"/>
        <v>y</v>
      </c>
      <c r="LWI1" s="154" t="str">
        <f t="shared" si="136"/>
        <v>y</v>
      </c>
      <c r="LWJ1" s="154" t="str">
        <f t="shared" si="136"/>
        <v>y</v>
      </c>
      <c r="LWK1" s="154" t="str">
        <f t="shared" si="136"/>
        <v>y</v>
      </c>
      <c r="LWL1" s="154" t="str">
        <f t="shared" si="136"/>
        <v>y</v>
      </c>
      <c r="LWM1" s="154" t="str">
        <f t="shared" si="136"/>
        <v>y</v>
      </c>
      <c r="LWN1" s="154" t="str">
        <f t="shared" si="136"/>
        <v>y</v>
      </c>
      <c r="LWO1" s="154" t="str">
        <f t="shared" si="136"/>
        <v>y</v>
      </c>
      <c r="LWP1" s="154" t="str">
        <f t="shared" si="136"/>
        <v>y</v>
      </c>
      <c r="LWQ1" s="154" t="str">
        <f t="shared" si="136"/>
        <v>y</v>
      </c>
      <c r="LWR1" s="154" t="str">
        <f t="shared" si="136"/>
        <v>y</v>
      </c>
      <c r="LWS1" s="154" t="str">
        <f t="shared" si="136"/>
        <v>y</v>
      </c>
      <c r="LWT1" s="154" t="str">
        <f t="shared" si="136"/>
        <v>y</v>
      </c>
      <c r="LWU1" s="154" t="str">
        <f t="shared" si="136"/>
        <v>y</v>
      </c>
      <c r="LWV1" s="154" t="str">
        <f t="shared" si="136"/>
        <v>y</v>
      </c>
      <c r="LWW1" s="154" t="str">
        <f t="shared" si="136"/>
        <v>y</v>
      </c>
      <c r="LWX1" s="154" t="str">
        <f t="shared" si="136"/>
        <v>y</v>
      </c>
      <c r="LWY1" s="154" t="str">
        <f t="shared" si="136"/>
        <v>y</v>
      </c>
      <c r="LWZ1" s="154" t="str">
        <f t="shared" si="136"/>
        <v>y</v>
      </c>
      <c r="LXA1" s="154" t="str">
        <f t="shared" si="136"/>
        <v>y</v>
      </c>
      <c r="LXB1" s="154" t="str">
        <f t="shared" si="136"/>
        <v>y</v>
      </c>
      <c r="LXC1" s="154" t="str">
        <f t="shared" si="136"/>
        <v>y</v>
      </c>
      <c r="LXD1" s="154" t="str">
        <f t="shared" si="136"/>
        <v>y</v>
      </c>
      <c r="LXE1" s="154" t="str">
        <f t="shared" si="136"/>
        <v>y</v>
      </c>
      <c r="LXF1" s="154" t="str">
        <f t="shared" si="136"/>
        <v>y</v>
      </c>
      <c r="LXG1" s="154" t="str">
        <f t="shared" si="136"/>
        <v>y</v>
      </c>
      <c r="LXH1" s="154" t="str">
        <f t="shared" si="136"/>
        <v>y</v>
      </c>
      <c r="LXI1" s="154" t="str">
        <f t="shared" si="136"/>
        <v>y</v>
      </c>
      <c r="LXJ1" s="154" t="str">
        <f t="shared" si="136"/>
        <v>y</v>
      </c>
      <c r="LXK1" s="154" t="str">
        <f t="shared" si="136"/>
        <v>y</v>
      </c>
      <c r="LXL1" s="154" t="str">
        <f t="shared" si="136"/>
        <v>y</v>
      </c>
      <c r="LXM1" s="154" t="str">
        <f t="shared" si="136"/>
        <v>y</v>
      </c>
      <c r="LXN1" s="154" t="str">
        <f t="shared" si="136"/>
        <v>y</v>
      </c>
      <c r="LXO1" s="154" t="str">
        <f t="shared" si="136"/>
        <v>y</v>
      </c>
      <c r="LXP1" s="154" t="str">
        <f t="shared" si="136"/>
        <v>y</v>
      </c>
      <c r="LXQ1" s="154" t="str">
        <f t="shared" si="136"/>
        <v>y</v>
      </c>
      <c r="LXR1" s="154" t="str">
        <f t="shared" si="136"/>
        <v>y</v>
      </c>
      <c r="LXS1" s="154" t="str">
        <f t="shared" si="136"/>
        <v>y</v>
      </c>
      <c r="LXT1" s="154" t="str">
        <f t="shared" si="136"/>
        <v>y</v>
      </c>
      <c r="LXU1" s="154" t="str">
        <f t="shared" si="136"/>
        <v>y</v>
      </c>
      <c r="LXV1" s="154" t="str">
        <f t="shared" si="136"/>
        <v>y</v>
      </c>
      <c r="LXW1" s="154" t="str">
        <f t="shared" si="136"/>
        <v>y</v>
      </c>
      <c r="LXX1" s="154" t="str">
        <f t="shared" si="136"/>
        <v>y</v>
      </c>
      <c r="LXY1" s="154" t="str">
        <f t="shared" si="136"/>
        <v>y</v>
      </c>
      <c r="LXZ1" s="154" t="str">
        <f t="shared" si="136"/>
        <v>y</v>
      </c>
      <c r="LYA1" s="154" t="str">
        <f t="shared" si="136"/>
        <v>y</v>
      </c>
      <c r="LYB1" s="154" t="str">
        <f t="shared" si="136"/>
        <v>y</v>
      </c>
      <c r="LYC1" s="154" t="str">
        <f t="shared" si="136"/>
        <v>y</v>
      </c>
      <c r="LYD1" s="154" t="str">
        <f t="shared" si="136"/>
        <v>y</v>
      </c>
      <c r="LYE1" s="154" t="str">
        <f t="shared" si="136"/>
        <v>y</v>
      </c>
      <c r="LYF1" s="154" t="str">
        <f t="shared" si="136"/>
        <v>y</v>
      </c>
      <c r="LYG1" s="154" t="str">
        <f t="shared" si="136"/>
        <v>y</v>
      </c>
      <c r="LYH1" s="154" t="str">
        <f t="shared" si="136"/>
        <v>y</v>
      </c>
      <c r="LYI1" s="154" t="str">
        <f t="shared" si="136"/>
        <v>y</v>
      </c>
      <c r="LYJ1" s="154" t="str">
        <f t="shared" si="136"/>
        <v>y</v>
      </c>
      <c r="LYK1" s="154" t="str">
        <f t="shared" si="136"/>
        <v>y</v>
      </c>
      <c r="LYL1" s="154" t="str">
        <f t="shared" ref="LYL1:MAW1" si="137">LYL2&amp;"y"</f>
        <v>y</v>
      </c>
      <c r="LYM1" s="154" t="str">
        <f t="shared" si="137"/>
        <v>y</v>
      </c>
      <c r="LYN1" s="154" t="str">
        <f t="shared" si="137"/>
        <v>y</v>
      </c>
      <c r="LYO1" s="154" t="str">
        <f t="shared" si="137"/>
        <v>y</v>
      </c>
      <c r="LYP1" s="154" t="str">
        <f t="shared" si="137"/>
        <v>y</v>
      </c>
      <c r="LYQ1" s="154" t="str">
        <f t="shared" si="137"/>
        <v>y</v>
      </c>
      <c r="LYR1" s="154" t="str">
        <f t="shared" si="137"/>
        <v>y</v>
      </c>
      <c r="LYS1" s="154" t="str">
        <f t="shared" si="137"/>
        <v>y</v>
      </c>
      <c r="LYT1" s="154" t="str">
        <f t="shared" si="137"/>
        <v>y</v>
      </c>
      <c r="LYU1" s="154" t="str">
        <f t="shared" si="137"/>
        <v>y</v>
      </c>
      <c r="LYV1" s="154" t="str">
        <f t="shared" si="137"/>
        <v>y</v>
      </c>
      <c r="LYW1" s="154" t="str">
        <f t="shared" si="137"/>
        <v>y</v>
      </c>
      <c r="LYX1" s="154" t="str">
        <f t="shared" si="137"/>
        <v>y</v>
      </c>
      <c r="LYY1" s="154" t="str">
        <f t="shared" si="137"/>
        <v>y</v>
      </c>
      <c r="LYZ1" s="154" t="str">
        <f t="shared" si="137"/>
        <v>y</v>
      </c>
      <c r="LZA1" s="154" t="str">
        <f t="shared" si="137"/>
        <v>y</v>
      </c>
      <c r="LZB1" s="154" t="str">
        <f t="shared" si="137"/>
        <v>y</v>
      </c>
      <c r="LZC1" s="154" t="str">
        <f t="shared" si="137"/>
        <v>y</v>
      </c>
      <c r="LZD1" s="154" t="str">
        <f t="shared" si="137"/>
        <v>y</v>
      </c>
      <c r="LZE1" s="154" t="str">
        <f t="shared" si="137"/>
        <v>y</v>
      </c>
      <c r="LZF1" s="154" t="str">
        <f t="shared" si="137"/>
        <v>y</v>
      </c>
      <c r="LZG1" s="154" t="str">
        <f t="shared" si="137"/>
        <v>y</v>
      </c>
      <c r="LZH1" s="154" t="str">
        <f t="shared" si="137"/>
        <v>y</v>
      </c>
      <c r="LZI1" s="154" t="str">
        <f t="shared" si="137"/>
        <v>y</v>
      </c>
      <c r="LZJ1" s="154" t="str">
        <f t="shared" si="137"/>
        <v>y</v>
      </c>
      <c r="LZK1" s="154" t="str">
        <f t="shared" si="137"/>
        <v>y</v>
      </c>
      <c r="LZL1" s="154" t="str">
        <f t="shared" si="137"/>
        <v>y</v>
      </c>
      <c r="LZM1" s="154" t="str">
        <f t="shared" si="137"/>
        <v>y</v>
      </c>
      <c r="LZN1" s="154" t="str">
        <f t="shared" si="137"/>
        <v>y</v>
      </c>
      <c r="LZO1" s="154" t="str">
        <f t="shared" si="137"/>
        <v>y</v>
      </c>
      <c r="LZP1" s="154" t="str">
        <f t="shared" si="137"/>
        <v>y</v>
      </c>
      <c r="LZQ1" s="154" t="str">
        <f t="shared" si="137"/>
        <v>y</v>
      </c>
      <c r="LZR1" s="154" t="str">
        <f t="shared" si="137"/>
        <v>y</v>
      </c>
      <c r="LZS1" s="154" t="str">
        <f t="shared" si="137"/>
        <v>y</v>
      </c>
      <c r="LZT1" s="154" t="str">
        <f t="shared" si="137"/>
        <v>y</v>
      </c>
      <c r="LZU1" s="154" t="str">
        <f t="shared" si="137"/>
        <v>y</v>
      </c>
      <c r="LZV1" s="154" t="str">
        <f t="shared" si="137"/>
        <v>y</v>
      </c>
      <c r="LZW1" s="154" t="str">
        <f t="shared" si="137"/>
        <v>y</v>
      </c>
      <c r="LZX1" s="154" t="str">
        <f t="shared" si="137"/>
        <v>y</v>
      </c>
      <c r="LZY1" s="154" t="str">
        <f t="shared" si="137"/>
        <v>y</v>
      </c>
      <c r="LZZ1" s="154" t="str">
        <f t="shared" si="137"/>
        <v>y</v>
      </c>
      <c r="MAA1" s="154" t="str">
        <f t="shared" si="137"/>
        <v>y</v>
      </c>
      <c r="MAB1" s="154" t="str">
        <f t="shared" si="137"/>
        <v>y</v>
      </c>
      <c r="MAC1" s="154" t="str">
        <f t="shared" si="137"/>
        <v>y</v>
      </c>
      <c r="MAD1" s="154" t="str">
        <f t="shared" si="137"/>
        <v>y</v>
      </c>
      <c r="MAE1" s="154" t="str">
        <f t="shared" si="137"/>
        <v>y</v>
      </c>
      <c r="MAF1" s="154" t="str">
        <f t="shared" si="137"/>
        <v>y</v>
      </c>
      <c r="MAG1" s="154" t="str">
        <f t="shared" si="137"/>
        <v>y</v>
      </c>
      <c r="MAH1" s="154" t="str">
        <f t="shared" si="137"/>
        <v>y</v>
      </c>
      <c r="MAI1" s="154" t="str">
        <f t="shared" si="137"/>
        <v>y</v>
      </c>
      <c r="MAJ1" s="154" t="str">
        <f t="shared" si="137"/>
        <v>y</v>
      </c>
      <c r="MAK1" s="154" t="str">
        <f t="shared" si="137"/>
        <v>y</v>
      </c>
      <c r="MAL1" s="154" t="str">
        <f t="shared" si="137"/>
        <v>y</v>
      </c>
      <c r="MAM1" s="154" t="str">
        <f t="shared" si="137"/>
        <v>y</v>
      </c>
      <c r="MAN1" s="154" t="str">
        <f t="shared" si="137"/>
        <v>y</v>
      </c>
      <c r="MAO1" s="154" t="str">
        <f t="shared" si="137"/>
        <v>y</v>
      </c>
      <c r="MAP1" s="154" t="str">
        <f t="shared" si="137"/>
        <v>y</v>
      </c>
      <c r="MAQ1" s="154" t="str">
        <f t="shared" si="137"/>
        <v>y</v>
      </c>
      <c r="MAR1" s="154" t="str">
        <f t="shared" si="137"/>
        <v>y</v>
      </c>
      <c r="MAS1" s="154" t="str">
        <f t="shared" si="137"/>
        <v>y</v>
      </c>
      <c r="MAT1" s="154" t="str">
        <f t="shared" si="137"/>
        <v>y</v>
      </c>
      <c r="MAU1" s="154" t="str">
        <f t="shared" si="137"/>
        <v>y</v>
      </c>
      <c r="MAV1" s="154" t="str">
        <f t="shared" si="137"/>
        <v>y</v>
      </c>
      <c r="MAW1" s="154" t="str">
        <f t="shared" si="137"/>
        <v>y</v>
      </c>
      <c r="MAX1" s="154" t="str">
        <f t="shared" ref="MAX1:MDI1" si="138">MAX2&amp;"y"</f>
        <v>y</v>
      </c>
      <c r="MAY1" s="154" t="str">
        <f t="shared" si="138"/>
        <v>y</v>
      </c>
      <c r="MAZ1" s="154" t="str">
        <f t="shared" si="138"/>
        <v>y</v>
      </c>
      <c r="MBA1" s="154" t="str">
        <f t="shared" si="138"/>
        <v>y</v>
      </c>
      <c r="MBB1" s="154" t="str">
        <f t="shared" si="138"/>
        <v>y</v>
      </c>
      <c r="MBC1" s="154" t="str">
        <f t="shared" si="138"/>
        <v>y</v>
      </c>
      <c r="MBD1" s="154" t="str">
        <f t="shared" si="138"/>
        <v>y</v>
      </c>
      <c r="MBE1" s="154" t="str">
        <f t="shared" si="138"/>
        <v>y</v>
      </c>
      <c r="MBF1" s="154" t="str">
        <f t="shared" si="138"/>
        <v>y</v>
      </c>
      <c r="MBG1" s="154" t="str">
        <f t="shared" si="138"/>
        <v>y</v>
      </c>
      <c r="MBH1" s="154" t="str">
        <f t="shared" si="138"/>
        <v>y</v>
      </c>
      <c r="MBI1" s="154" t="str">
        <f t="shared" si="138"/>
        <v>y</v>
      </c>
      <c r="MBJ1" s="154" t="str">
        <f t="shared" si="138"/>
        <v>y</v>
      </c>
      <c r="MBK1" s="154" t="str">
        <f t="shared" si="138"/>
        <v>y</v>
      </c>
      <c r="MBL1" s="154" t="str">
        <f t="shared" si="138"/>
        <v>y</v>
      </c>
      <c r="MBM1" s="154" t="str">
        <f t="shared" si="138"/>
        <v>y</v>
      </c>
      <c r="MBN1" s="154" t="str">
        <f t="shared" si="138"/>
        <v>y</v>
      </c>
      <c r="MBO1" s="154" t="str">
        <f t="shared" si="138"/>
        <v>y</v>
      </c>
      <c r="MBP1" s="154" t="str">
        <f t="shared" si="138"/>
        <v>y</v>
      </c>
      <c r="MBQ1" s="154" t="str">
        <f t="shared" si="138"/>
        <v>y</v>
      </c>
      <c r="MBR1" s="154" t="str">
        <f t="shared" si="138"/>
        <v>y</v>
      </c>
      <c r="MBS1" s="154" t="str">
        <f t="shared" si="138"/>
        <v>y</v>
      </c>
      <c r="MBT1" s="154" t="str">
        <f t="shared" si="138"/>
        <v>y</v>
      </c>
      <c r="MBU1" s="154" t="str">
        <f t="shared" si="138"/>
        <v>y</v>
      </c>
      <c r="MBV1" s="154" t="str">
        <f t="shared" si="138"/>
        <v>y</v>
      </c>
      <c r="MBW1" s="154" t="str">
        <f t="shared" si="138"/>
        <v>y</v>
      </c>
      <c r="MBX1" s="154" t="str">
        <f t="shared" si="138"/>
        <v>y</v>
      </c>
      <c r="MBY1" s="154" t="str">
        <f t="shared" si="138"/>
        <v>y</v>
      </c>
      <c r="MBZ1" s="154" t="str">
        <f t="shared" si="138"/>
        <v>y</v>
      </c>
      <c r="MCA1" s="154" t="str">
        <f t="shared" si="138"/>
        <v>y</v>
      </c>
      <c r="MCB1" s="154" t="str">
        <f t="shared" si="138"/>
        <v>y</v>
      </c>
      <c r="MCC1" s="154" t="str">
        <f t="shared" si="138"/>
        <v>y</v>
      </c>
      <c r="MCD1" s="154" t="str">
        <f t="shared" si="138"/>
        <v>y</v>
      </c>
      <c r="MCE1" s="154" t="str">
        <f t="shared" si="138"/>
        <v>y</v>
      </c>
      <c r="MCF1" s="154" t="str">
        <f t="shared" si="138"/>
        <v>y</v>
      </c>
      <c r="MCG1" s="154" t="str">
        <f t="shared" si="138"/>
        <v>y</v>
      </c>
      <c r="MCH1" s="154" t="str">
        <f t="shared" si="138"/>
        <v>y</v>
      </c>
      <c r="MCI1" s="154" t="str">
        <f t="shared" si="138"/>
        <v>y</v>
      </c>
      <c r="MCJ1" s="154" t="str">
        <f t="shared" si="138"/>
        <v>y</v>
      </c>
      <c r="MCK1" s="154" t="str">
        <f t="shared" si="138"/>
        <v>y</v>
      </c>
      <c r="MCL1" s="154" t="str">
        <f t="shared" si="138"/>
        <v>y</v>
      </c>
      <c r="MCM1" s="154" t="str">
        <f t="shared" si="138"/>
        <v>y</v>
      </c>
      <c r="MCN1" s="154" t="str">
        <f t="shared" si="138"/>
        <v>y</v>
      </c>
      <c r="MCO1" s="154" t="str">
        <f t="shared" si="138"/>
        <v>y</v>
      </c>
      <c r="MCP1" s="154" t="str">
        <f t="shared" si="138"/>
        <v>y</v>
      </c>
      <c r="MCQ1" s="154" t="str">
        <f t="shared" si="138"/>
        <v>y</v>
      </c>
      <c r="MCR1" s="154" t="str">
        <f t="shared" si="138"/>
        <v>y</v>
      </c>
      <c r="MCS1" s="154" t="str">
        <f t="shared" si="138"/>
        <v>y</v>
      </c>
      <c r="MCT1" s="154" t="str">
        <f t="shared" si="138"/>
        <v>y</v>
      </c>
      <c r="MCU1" s="154" t="str">
        <f t="shared" si="138"/>
        <v>y</v>
      </c>
      <c r="MCV1" s="154" t="str">
        <f t="shared" si="138"/>
        <v>y</v>
      </c>
      <c r="MCW1" s="154" t="str">
        <f t="shared" si="138"/>
        <v>y</v>
      </c>
      <c r="MCX1" s="154" t="str">
        <f t="shared" si="138"/>
        <v>y</v>
      </c>
      <c r="MCY1" s="154" t="str">
        <f t="shared" si="138"/>
        <v>y</v>
      </c>
      <c r="MCZ1" s="154" t="str">
        <f t="shared" si="138"/>
        <v>y</v>
      </c>
      <c r="MDA1" s="154" t="str">
        <f t="shared" si="138"/>
        <v>y</v>
      </c>
      <c r="MDB1" s="154" t="str">
        <f t="shared" si="138"/>
        <v>y</v>
      </c>
      <c r="MDC1" s="154" t="str">
        <f t="shared" si="138"/>
        <v>y</v>
      </c>
      <c r="MDD1" s="154" t="str">
        <f t="shared" si="138"/>
        <v>y</v>
      </c>
      <c r="MDE1" s="154" t="str">
        <f t="shared" si="138"/>
        <v>y</v>
      </c>
      <c r="MDF1" s="154" t="str">
        <f t="shared" si="138"/>
        <v>y</v>
      </c>
      <c r="MDG1" s="154" t="str">
        <f t="shared" si="138"/>
        <v>y</v>
      </c>
      <c r="MDH1" s="154" t="str">
        <f t="shared" si="138"/>
        <v>y</v>
      </c>
      <c r="MDI1" s="154" t="str">
        <f t="shared" si="138"/>
        <v>y</v>
      </c>
      <c r="MDJ1" s="154" t="str">
        <f t="shared" ref="MDJ1:MFU1" si="139">MDJ2&amp;"y"</f>
        <v>y</v>
      </c>
      <c r="MDK1" s="154" t="str">
        <f t="shared" si="139"/>
        <v>y</v>
      </c>
      <c r="MDL1" s="154" t="str">
        <f t="shared" si="139"/>
        <v>y</v>
      </c>
      <c r="MDM1" s="154" t="str">
        <f t="shared" si="139"/>
        <v>y</v>
      </c>
      <c r="MDN1" s="154" t="str">
        <f t="shared" si="139"/>
        <v>y</v>
      </c>
      <c r="MDO1" s="154" t="str">
        <f t="shared" si="139"/>
        <v>y</v>
      </c>
      <c r="MDP1" s="154" t="str">
        <f t="shared" si="139"/>
        <v>y</v>
      </c>
      <c r="MDQ1" s="154" t="str">
        <f t="shared" si="139"/>
        <v>y</v>
      </c>
      <c r="MDR1" s="154" t="str">
        <f t="shared" si="139"/>
        <v>y</v>
      </c>
      <c r="MDS1" s="154" t="str">
        <f t="shared" si="139"/>
        <v>y</v>
      </c>
      <c r="MDT1" s="154" t="str">
        <f t="shared" si="139"/>
        <v>y</v>
      </c>
      <c r="MDU1" s="154" t="str">
        <f t="shared" si="139"/>
        <v>y</v>
      </c>
      <c r="MDV1" s="154" t="str">
        <f t="shared" si="139"/>
        <v>y</v>
      </c>
      <c r="MDW1" s="154" t="str">
        <f t="shared" si="139"/>
        <v>y</v>
      </c>
      <c r="MDX1" s="154" t="str">
        <f t="shared" si="139"/>
        <v>y</v>
      </c>
      <c r="MDY1" s="154" t="str">
        <f t="shared" si="139"/>
        <v>y</v>
      </c>
      <c r="MDZ1" s="154" t="str">
        <f t="shared" si="139"/>
        <v>y</v>
      </c>
      <c r="MEA1" s="154" t="str">
        <f t="shared" si="139"/>
        <v>y</v>
      </c>
      <c r="MEB1" s="154" t="str">
        <f t="shared" si="139"/>
        <v>y</v>
      </c>
      <c r="MEC1" s="154" t="str">
        <f t="shared" si="139"/>
        <v>y</v>
      </c>
      <c r="MED1" s="154" t="str">
        <f t="shared" si="139"/>
        <v>y</v>
      </c>
      <c r="MEE1" s="154" t="str">
        <f t="shared" si="139"/>
        <v>y</v>
      </c>
      <c r="MEF1" s="154" t="str">
        <f t="shared" si="139"/>
        <v>y</v>
      </c>
      <c r="MEG1" s="154" t="str">
        <f t="shared" si="139"/>
        <v>y</v>
      </c>
      <c r="MEH1" s="154" t="str">
        <f t="shared" si="139"/>
        <v>y</v>
      </c>
      <c r="MEI1" s="154" t="str">
        <f t="shared" si="139"/>
        <v>y</v>
      </c>
      <c r="MEJ1" s="154" t="str">
        <f t="shared" si="139"/>
        <v>y</v>
      </c>
      <c r="MEK1" s="154" t="str">
        <f t="shared" si="139"/>
        <v>y</v>
      </c>
      <c r="MEL1" s="154" t="str">
        <f t="shared" si="139"/>
        <v>y</v>
      </c>
      <c r="MEM1" s="154" t="str">
        <f t="shared" si="139"/>
        <v>y</v>
      </c>
      <c r="MEN1" s="154" t="str">
        <f t="shared" si="139"/>
        <v>y</v>
      </c>
      <c r="MEO1" s="154" t="str">
        <f t="shared" si="139"/>
        <v>y</v>
      </c>
      <c r="MEP1" s="154" t="str">
        <f t="shared" si="139"/>
        <v>y</v>
      </c>
      <c r="MEQ1" s="154" t="str">
        <f t="shared" si="139"/>
        <v>y</v>
      </c>
      <c r="MER1" s="154" t="str">
        <f t="shared" si="139"/>
        <v>y</v>
      </c>
      <c r="MES1" s="154" t="str">
        <f t="shared" si="139"/>
        <v>y</v>
      </c>
      <c r="MET1" s="154" t="str">
        <f t="shared" si="139"/>
        <v>y</v>
      </c>
      <c r="MEU1" s="154" t="str">
        <f t="shared" si="139"/>
        <v>y</v>
      </c>
      <c r="MEV1" s="154" t="str">
        <f t="shared" si="139"/>
        <v>y</v>
      </c>
      <c r="MEW1" s="154" t="str">
        <f t="shared" si="139"/>
        <v>y</v>
      </c>
      <c r="MEX1" s="154" t="str">
        <f t="shared" si="139"/>
        <v>y</v>
      </c>
      <c r="MEY1" s="154" t="str">
        <f t="shared" si="139"/>
        <v>y</v>
      </c>
      <c r="MEZ1" s="154" t="str">
        <f t="shared" si="139"/>
        <v>y</v>
      </c>
      <c r="MFA1" s="154" t="str">
        <f t="shared" si="139"/>
        <v>y</v>
      </c>
      <c r="MFB1" s="154" t="str">
        <f t="shared" si="139"/>
        <v>y</v>
      </c>
      <c r="MFC1" s="154" t="str">
        <f t="shared" si="139"/>
        <v>y</v>
      </c>
      <c r="MFD1" s="154" t="str">
        <f t="shared" si="139"/>
        <v>y</v>
      </c>
      <c r="MFE1" s="154" t="str">
        <f t="shared" si="139"/>
        <v>y</v>
      </c>
      <c r="MFF1" s="154" t="str">
        <f t="shared" si="139"/>
        <v>y</v>
      </c>
      <c r="MFG1" s="154" t="str">
        <f t="shared" si="139"/>
        <v>y</v>
      </c>
      <c r="MFH1" s="154" t="str">
        <f t="shared" si="139"/>
        <v>y</v>
      </c>
      <c r="MFI1" s="154" t="str">
        <f t="shared" si="139"/>
        <v>y</v>
      </c>
      <c r="MFJ1" s="154" t="str">
        <f t="shared" si="139"/>
        <v>y</v>
      </c>
      <c r="MFK1" s="154" t="str">
        <f t="shared" si="139"/>
        <v>y</v>
      </c>
      <c r="MFL1" s="154" t="str">
        <f t="shared" si="139"/>
        <v>y</v>
      </c>
      <c r="MFM1" s="154" t="str">
        <f t="shared" si="139"/>
        <v>y</v>
      </c>
      <c r="MFN1" s="154" t="str">
        <f t="shared" si="139"/>
        <v>y</v>
      </c>
      <c r="MFO1" s="154" t="str">
        <f t="shared" si="139"/>
        <v>y</v>
      </c>
      <c r="MFP1" s="154" t="str">
        <f t="shared" si="139"/>
        <v>y</v>
      </c>
      <c r="MFQ1" s="154" t="str">
        <f t="shared" si="139"/>
        <v>y</v>
      </c>
      <c r="MFR1" s="154" t="str">
        <f t="shared" si="139"/>
        <v>y</v>
      </c>
      <c r="MFS1" s="154" t="str">
        <f t="shared" si="139"/>
        <v>y</v>
      </c>
      <c r="MFT1" s="154" t="str">
        <f t="shared" si="139"/>
        <v>y</v>
      </c>
      <c r="MFU1" s="154" t="str">
        <f t="shared" si="139"/>
        <v>y</v>
      </c>
      <c r="MFV1" s="154" t="str">
        <f t="shared" ref="MFV1:MIG1" si="140">MFV2&amp;"y"</f>
        <v>y</v>
      </c>
      <c r="MFW1" s="154" t="str">
        <f t="shared" si="140"/>
        <v>y</v>
      </c>
      <c r="MFX1" s="154" t="str">
        <f t="shared" si="140"/>
        <v>y</v>
      </c>
      <c r="MFY1" s="154" t="str">
        <f t="shared" si="140"/>
        <v>y</v>
      </c>
      <c r="MFZ1" s="154" t="str">
        <f t="shared" si="140"/>
        <v>y</v>
      </c>
      <c r="MGA1" s="154" t="str">
        <f t="shared" si="140"/>
        <v>y</v>
      </c>
      <c r="MGB1" s="154" t="str">
        <f t="shared" si="140"/>
        <v>y</v>
      </c>
      <c r="MGC1" s="154" t="str">
        <f t="shared" si="140"/>
        <v>y</v>
      </c>
      <c r="MGD1" s="154" t="str">
        <f t="shared" si="140"/>
        <v>y</v>
      </c>
      <c r="MGE1" s="154" t="str">
        <f t="shared" si="140"/>
        <v>y</v>
      </c>
      <c r="MGF1" s="154" t="str">
        <f t="shared" si="140"/>
        <v>y</v>
      </c>
      <c r="MGG1" s="154" t="str">
        <f t="shared" si="140"/>
        <v>y</v>
      </c>
      <c r="MGH1" s="154" t="str">
        <f t="shared" si="140"/>
        <v>y</v>
      </c>
      <c r="MGI1" s="154" t="str">
        <f t="shared" si="140"/>
        <v>y</v>
      </c>
      <c r="MGJ1" s="154" t="str">
        <f t="shared" si="140"/>
        <v>y</v>
      </c>
      <c r="MGK1" s="154" t="str">
        <f t="shared" si="140"/>
        <v>y</v>
      </c>
      <c r="MGL1" s="154" t="str">
        <f t="shared" si="140"/>
        <v>y</v>
      </c>
      <c r="MGM1" s="154" t="str">
        <f t="shared" si="140"/>
        <v>y</v>
      </c>
      <c r="MGN1" s="154" t="str">
        <f t="shared" si="140"/>
        <v>y</v>
      </c>
      <c r="MGO1" s="154" t="str">
        <f t="shared" si="140"/>
        <v>y</v>
      </c>
      <c r="MGP1" s="154" t="str">
        <f t="shared" si="140"/>
        <v>y</v>
      </c>
      <c r="MGQ1" s="154" t="str">
        <f t="shared" si="140"/>
        <v>y</v>
      </c>
      <c r="MGR1" s="154" t="str">
        <f t="shared" si="140"/>
        <v>y</v>
      </c>
      <c r="MGS1" s="154" t="str">
        <f t="shared" si="140"/>
        <v>y</v>
      </c>
      <c r="MGT1" s="154" t="str">
        <f t="shared" si="140"/>
        <v>y</v>
      </c>
      <c r="MGU1" s="154" t="str">
        <f t="shared" si="140"/>
        <v>y</v>
      </c>
      <c r="MGV1" s="154" t="str">
        <f t="shared" si="140"/>
        <v>y</v>
      </c>
      <c r="MGW1" s="154" t="str">
        <f t="shared" si="140"/>
        <v>y</v>
      </c>
      <c r="MGX1" s="154" t="str">
        <f t="shared" si="140"/>
        <v>y</v>
      </c>
      <c r="MGY1" s="154" t="str">
        <f t="shared" si="140"/>
        <v>y</v>
      </c>
      <c r="MGZ1" s="154" t="str">
        <f t="shared" si="140"/>
        <v>y</v>
      </c>
      <c r="MHA1" s="154" t="str">
        <f t="shared" si="140"/>
        <v>y</v>
      </c>
      <c r="MHB1" s="154" t="str">
        <f t="shared" si="140"/>
        <v>y</v>
      </c>
      <c r="MHC1" s="154" t="str">
        <f t="shared" si="140"/>
        <v>y</v>
      </c>
      <c r="MHD1" s="154" t="str">
        <f t="shared" si="140"/>
        <v>y</v>
      </c>
      <c r="MHE1" s="154" t="str">
        <f t="shared" si="140"/>
        <v>y</v>
      </c>
      <c r="MHF1" s="154" t="str">
        <f t="shared" si="140"/>
        <v>y</v>
      </c>
      <c r="MHG1" s="154" t="str">
        <f t="shared" si="140"/>
        <v>y</v>
      </c>
      <c r="MHH1" s="154" t="str">
        <f t="shared" si="140"/>
        <v>y</v>
      </c>
      <c r="MHI1" s="154" t="str">
        <f t="shared" si="140"/>
        <v>y</v>
      </c>
      <c r="MHJ1" s="154" t="str">
        <f t="shared" si="140"/>
        <v>y</v>
      </c>
      <c r="MHK1" s="154" t="str">
        <f t="shared" si="140"/>
        <v>y</v>
      </c>
      <c r="MHL1" s="154" t="str">
        <f t="shared" si="140"/>
        <v>y</v>
      </c>
      <c r="MHM1" s="154" t="str">
        <f t="shared" si="140"/>
        <v>y</v>
      </c>
      <c r="MHN1" s="154" t="str">
        <f t="shared" si="140"/>
        <v>y</v>
      </c>
      <c r="MHO1" s="154" t="str">
        <f t="shared" si="140"/>
        <v>y</v>
      </c>
      <c r="MHP1" s="154" t="str">
        <f t="shared" si="140"/>
        <v>y</v>
      </c>
      <c r="MHQ1" s="154" t="str">
        <f t="shared" si="140"/>
        <v>y</v>
      </c>
      <c r="MHR1" s="154" t="str">
        <f t="shared" si="140"/>
        <v>y</v>
      </c>
      <c r="MHS1" s="154" t="str">
        <f t="shared" si="140"/>
        <v>y</v>
      </c>
      <c r="MHT1" s="154" t="str">
        <f t="shared" si="140"/>
        <v>y</v>
      </c>
      <c r="MHU1" s="154" t="str">
        <f t="shared" si="140"/>
        <v>y</v>
      </c>
      <c r="MHV1" s="154" t="str">
        <f t="shared" si="140"/>
        <v>y</v>
      </c>
      <c r="MHW1" s="154" t="str">
        <f t="shared" si="140"/>
        <v>y</v>
      </c>
      <c r="MHX1" s="154" t="str">
        <f t="shared" si="140"/>
        <v>y</v>
      </c>
      <c r="MHY1" s="154" t="str">
        <f t="shared" si="140"/>
        <v>y</v>
      </c>
      <c r="MHZ1" s="154" t="str">
        <f t="shared" si="140"/>
        <v>y</v>
      </c>
      <c r="MIA1" s="154" t="str">
        <f t="shared" si="140"/>
        <v>y</v>
      </c>
      <c r="MIB1" s="154" t="str">
        <f t="shared" si="140"/>
        <v>y</v>
      </c>
      <c r="MIC1" s="154" t="str">
        <f t="shared" si="140"/>
        <v>y</v>
      </c>
      <c r="MID1" s="154" t="str">
        <f t="shared" si="140"/>
        <v>y</v>
      </c>
      <c r="MIE1" s="154" t="str">
        <f t="shared" si="140"/>
        <v>y</v>
      </c>
      <c r="MIF1" s="154" t="str">
        <f t="shared" si="140"/>
        <v>y</v>
      </c>
      <c r="MIG1" s="154" t="str">
        <f t="shared" si="140"/>
        <v>y</v>
      </c>
      <c r="MIH1" s="154" t="str">
        <f t="shared" ref="MIH1:MKS1" si="141">MIH2&amp;"y"</f>
        <v>y</v>
      </c>
      <c r="MII1" s="154" t="str">
        <f t="shared" si="141"/>
        <v>y</v>
      </c>
      <c r="MIJ1" s="154" t="str">
        <f t="shared" si="141"/>
        <v>y</v>
      </c>
      <c r="MIK1" s="154" t="str">
        <f t="shared" si="141"/>
        <v>y</v>
      </c>
      <c r="MIL1" s="154" t="str">
        <f t="shared" si="141"/>
        <v>y</v>
      </c>
      <c r="MIM1" s="154" t="str">
        <f t="shared" si="141"/>
        <v>y</v>
      </c>
      <c r="MIN1" s="154" t="str">
        <f t="shared" si="141"/>
        <v>y</v>
      </c>
      <c r="MIO1" s="154" t="str">
        <f t="shared" si="141"/>
        <v>y</v>
      </c>
      <c r="MIP1" s="154" t="str">
        <f t="shared" si="141"/>
        <v>y</v>
      </c>
      <c r="MIQ1" s="154" t="str">
        <f t="shared" si="141"/>
        <v>y</v>
      </c>
      <c r="MIR1" s="154" t="str">
        <f t="shared" si="141"/>
        <v>y</v>
      </c>
      <c r="MIS1" s="154" t="str">
        <f t="shared" si="141"/>
        <v>y</v>
      </c>
      <c r="MIT1" s="154" t="str">
        <f t="shared" si="141"/>
        <v>y</v>
      </c>
      <c r="MIU1" s="154" t="str">
        <f t="shared" si="141"/>
        <v>y</v>
      </c>
      <c r="MIV1" s="154" t="str">
        <f t="shared" si="141"/>
        <v>y</v>
      </c>
      <c r="MIW1" s="154" t="str">
        <f t="shared" si="141"/>
        <v>y</v>
      </c>
      <c r="MIX1" s="154" t="str">
        <f t="shared" si="141"/>
        <v>y</v>
      </c>
      <c r="MIY1" s="154" t="str">
        <f t="shared" si="141"/>
        <v>y</v>
      </c>
      <c r="MIZ1" s="154" t="str">
        <f t="shared" si="141"/>
        <v>y</v>
      </c>
      <c r="MJA1" s="154" t="str">
        <f t="shared" si="141"/>
        <v>y</v>
      </c>
      <c r="MJB1" s="154" t="str">
        <f t="shared" si="141"/>
        <v>y</v>
      </c>
      <c r="MJC1" s="154" t="str">
        <f t="shared" si="141"/>
        <v>y</v>
      </c>
      <c r="MJD1" s="154" t="str">
        <f t="shared" si="141"/>
        <v>y</v>
      </c>
      <c r="MJE1" s="154" t="str">
        <f t="shared" si="141"/>
        <v>y</v>
      </c>
      <c r="MJF1" s="154" t="str">
        <f t="shared" si="141"/>
        <v>y</v>
      </c>
      <c r="MJG1" s="154" t="str">
        <f t="shared" si="141"/>
        <v>y</v>
      </c>
      <c r="MJH1" s="154" t="str">
        <f t="shared" si="141"/>
        <v>y</v>
      </c>
      <c r="MJI1" s="154" t="str">
        <f t="shared" si="141"/>
        <v>y</v>
      </c>
      <c r="MJJ1" s="154" t="str">
        <f t="shared" si="141"/>
        <v>y</v>
      </c>
      <c r="MJK1" s="154" t="str">
        <f t="shared" si="141"/>
        <v>y</v>
      </c>
      <c r="MJL1" s="154" t="str">
        <f t="shared" si="141"/>
        <v>y</v>
      </c>
      <c r="MJM1" s="154" t="str">
        <f t="shared" si="141"/>
        <v>y</v>
      </c>
      <c r="MJN1" s="154" t="str">
        <f t="shared" si="141"/>
        <v>y</v>
      </c>
      <c r="MJO1" s="154" t="str">
        <f t="shared" si="141"/>
        <v>y</v>
      </c>
      <c r="MJP1" s="154" t="str">
        <f t="shared" si="141"/>
        <v>y</v>
      </c>
      <c r="MJQ1" s="154" t="str">
        <f t="shared" si="141"/>
        <v>y</v>
      </c>
      <c r="MJR1" s="154" t="str">
        <f t="shared" si="141"/>
        <v>y</v>
      </c>
      <c r="MJS1" s="154" t="str">
        <f t="shared" si="141"/>
        <v>y</v>
      </c>
      <c r="MJT1" s="154" t="str">
        <f t="shared" si="141"/>
        <v>y</v>
      </c>
      <c r="MJU1" s="154" t="str">
        <f t="shared" si="141"/>
        <v>y</v>
      </c>
      <c r="MJV1" s="154" t="str">
        <f t="shared" si="141"/>
        <v>y</v>
      </c>
      <c r="MJW1" s="154" t="str">
        <f t="shared" si="141"/>
        <v>y</v>
      </c>
      <c r="MJX1" s="154" t="str">
        <f t="shared" si="141"/>
        <v>y</v>
      </c>
      <c r="MJY1" s="154" t="str">
        <f t="shared" si="141"/>
        <v>y</v>
      </c>
      <c r="MJZ1" s="154" t="str">
        <f t="shared" si="141"/>
        <v>y</v>
      </c>
      <c r="MKA1" s="154" t="str">
        <f t="shared" si="141"/>
        <v>y</v>
      </c>
      <c r="MKB1" s="154" t="str">
        <f t="shared" si="141"/>
        <v>y</v>
      </c>
      <c r="MKC1" s="154" t="str">
        <f t="shared" si="141"/>
        <v>y</v>
      </c>
      <c r="MKD1" s="154" t="str">
        <f t="shared" si="141"/>
        <v>y</v>
      </c>
      <c r="MKE1" s="154" t="str">
        <f t="shared" si="141"/>
        <v>y</v>
      </c>
      <c r="MKF1" s="154" t="str">
        <f t="shared" si="141"/>
        <v>y</v>
      </c>
      <c r="MKG1" s="154" t="str">
        <f t="shared" si="141"/>
        <v>y</v>
      </c>
      <c r="MKH1" s="154" t="str">
        <f t="shared" si="141"/>
        <v>y</v>
      </c>
      <c r="MKI1" s="154" t="str">
        <f t="shared" si="141"/>
        <v>y</v>
      </c>
      <c r="MKJ1" s="154" t="str">
        <f t="shared" si="141"/>
        <v>y</v>
      </c>
      <c r="MKK1" s="154" t="str">
        <f t="shared" si="141"/>
        <v>y</v>
      </c>
      <c r="MKL1" s="154" t="str">
        <f t="shared" si="141"/>
        <v>y</v>
      </c>
      <c r="MKM1" s="154" t="str">
        <f t="shared" si="141"/>
        <v>y</v>
      </c>
      <c r="MKN1" s="154" t="str">
        <f t="shared" si="141"/>
        <v>y</v>
      </c>
      <c r="MKO1" s="154" t="str">
        <f t="shared" si="141"/>
        <v>y</v>
      </c>
      <c r="MKP1" s="154" t="str">
        <f t="shared" si="141"/>
        <v>y</v>
      </c>
      <c r="MKQ1" s="154" t="str">
        <f t="shared" si="141"/>
        <v>y</v>
      </c>
      <c r="MKR1" s="154" t="str">
        <f t="shared" si="141"/>
        <v>y</v>
      </c>
      <c r="MKS1" s="154" t="str">
        <f t="shared" si="141"/>
        <v>y</v>
      </c>
      <c r="MKT1" s="154" t="str">
        <f t="shared" ref="MKT1:MNE1" si="142">MKT2&amp;"y"</f>
        <v>y</v>
      </c>
      <c r="MKU1" s="154" t="str">
        <f t="shared" si="142"/>
        <v>y</v>
      </c>
      <c r="MKV1" s="154" t="str">
        <f t="shared" si="142"/>
        <v>y</v>
      </c>
      <c r="MKW1" s="154" t="str">
        <f t="shared" si="142"/>
        <v>y</v>
      </c>
      <c r="MKX1" s="154" t="str">
        <f t="shared" si="142"/>
        <v>y</v>
      </c>
      <c r="MKY1" s="154" t="str">
        <f t="shared" si="142"/>
        <v>y</v>
      </c>
      <c r="MKZ1" s="154" t="str">
        <f t="shared" si="142"/>
        <v>y</v>
      </c>
      <c r="MLA1" s="154" t="str">
        <f t="shared" si="142"/>
        <v>y</v>
      </c>
      <c r="MLB1" s="154" t="str">
        <f t="shared" si="142"/>
        <v>y</v>
      </c>
      <c r="MLC1" s="154" t="str">
        <f t="shared" si="142"/>
        <v>y</v>
      </c>
      <c r="MLD1" s="154" t="str">
        <f t="shared" si="142"/>
        <v>y</v>
      </c>
      <c r="MLE1" s="154" t="str">
        <f t="shared" si="142"/>
        <v>y</v>
      </c>
      <c r="MLF1" s="154" t="str">
        <f t="shared" si="142"/>
        <v>y</v>
      </c>
      <c r="MLG1" s="154" t="str">
        <f t="shared" si="142"/>
        <v>y</v>
      </c>
      <c r="MLH1" s="154" t="str">
        <f t="shared" si="142"/>
        <v>y</v>
      </c>
      <c r="MLI1" s="154" t="str">
        <f t="shared" si="142"/>
        <v>y</v>
      </c>
      <c r="MLJ1" s="154" t="str">
        <f t="shared" si="142"/>
        <v>y</v>
      </c>
      <c r="MLK1" s="154" t="str">
        <f t="shared" si="142"/>
        <v>y</v>
      </c>
      <c r="MLL1" s="154" t="str">
        <f t="shared" si="142"/>
        <v>y</v>
      </c>
      <c r="MLM1" s="154" t="str">
        <f t="shared" si="142"/>
        <v>y</v>
      </c>
      <c r="MLN1" s="154" t="str">
        <f t="shared" si="142"/>
        <v>y</v>
      </c>
      <c r="MLO1" s="154" t="str">
        <f t="shared" si="142"/>
        <v>y</v>
      </c>
      <c r="MLP1" s="154" t="str">
        <f t="shared" si="142"/>
        <v>y</v>
      </c>
      <c r="MLQ1" s="154" t="str">
        <f t="shared" si="142"/>
        <v>y</v>
      </c>
      <c r="MLR1" s="154" t="str">
        <f t="shared" si="142"/>
        <v>y</v>
      </c>
      <c r="MLS1" s="154" t="str">
        <f t="shared" si="142"/>
        <v>y</v>
      </c>
      <c r="MLT1" s="154" t="str">
        <f t="shared" si="142"/>
        <v>y</v>
      </c>
      <c r="MLU1" s="154" t="str">
        <f t="shared" si="142"/>
        <v>y</v>
      </c>
      <c r="MLV1" s="154" t="str">
        <f t="shared" si="142"/>
        <v>y</v>
      </c>
      <c r="MLW1" s="154" t="str">
        <f t="shared" si="142"/>
        <v>y</v>
      </c>
      <c r="MLX1" s="154" t="str">
        <f t="shared" si="142"/>
        <v>y</v>
      </c>
      <c r="MLY1" s="154" t="str">
        <f t="shared" si="142"/>
        <v>y</v>
      </c>
      <c r="MLZ1" s="154" t="str">
        <f t="shared" si="142"/>
        <v>y</v>
      </c>
      <c r="MMA1" s="154" t="str">
        <f t="shared" si="142"/>
        <v>y</v>
      </c>
      <c r="MMB1" s="154" t="str">
        <f t="shared" si="142"/>
        <v>y</v>
      </c>
      <c r="MMC1" s="154" t="str">
        <f t="shared" si="142"/>
        <v>y</v>
      </c>
      <c r="MMD1" s="154" t="str">
        <f t="shared" si="142"/>
        <v>y</v>
      </c>
      <c r="MME1" s="154" t="str">
        <f t="shared" si="142"/>
        <v>y</v>
      </c>
      <c r="MMF1" s="154" t="str">
        <f t="shared" si="142"/>
        <v>y</v>
      </c>
      <c r="MMG1" s="154" t="str">
        <f t="shared" si="142"/>
        <v>y</v>
      </c>
      <c r="MMH1" s="154" t="str">
        <f t="shared" si="142"/>
        <v>y</v>
      </c>
      <c r="MMI1" s="154" t="str">
        <f t="shared" si="142"/>
        <v>y</v>
      </c>
      <c r="MMJ1" s="154" t="str">
        <f t="shared" si="142"/>
        <v>y</v>
      </c>
      <c r="MMK1" s="154" t="str">
        <f t="shared" si="142"/>
        <v>y</v>
      </c>
      <c r="MML1" s="154" t="str">
        <f t="shared" si="142"/>
        <v>y</v>
      </c>
      <c r="MMM1" s="154" t="str">
        <f t="shared" si="142"/>
        <v>y</v>
      </c>
      <c r="MMN1" s="154" t="str">
        <f t="shared" si="142"/>
        <v>y</v>
      </c>
      <c r="MMO1" s="154" t="str">
        <f t="shared" si="142"/>
        <v>y</v>
      </c>
      <c r="MMP1" s="154" t="str">
        <f t="shared" si="142"/>
        <v>y</v>
      </c>
      <c r="MMQ1" s="154" t="str">
        <f t="shared" si="142"/>
        <v>y</v>
      </c>
      <c r="MMR1" s="154" t="str">
        <f t="shared" si="142"/>
        <v>y</v>
      </c>
      <c r="MMS1" s="154" t="str">
        <f t="shared" si="142"/>
        <v>y</v>
      </c>
      <c r="MMT1" s="154" t="str">
        <f t="shared" si="142"/>
        <v>y</v>
      </c>
      <c r="MMU1" s="154" t="str">
        <f t="shared" si="142"/>
        <v>y</v>
      </c>
      <c r="MMV1" s="154" t="str">
        <f t="shared" si="142"/>
        <v>y</v>
      </c>
      <c r="MMW1" s="154" t="str">
        <f t="shared" si="142"/>
        <v>y</v>
      </c>
      <c r="MMX1" s="154" t="str">
        <f t="shared" si="142"/>
        <v>y</v>
      </c>
      <c r="MMY1" s="154" t="str">
        <f t="shared" si="142"/>
        <v>y</v>
      </c>
      <c r="MMZ1" s="154" t="str">
        <f t="shared" si="142"/>
        <v>y</v>
      </c>
      <c r="MNA1" s="154" t="str">
        <f t="shared" si="142"/>
        <v>y</v>
      </c>
      <c r="MNB1" s="154" t="str">
        <f t="shared" si="142"/>
        <v>y</v>
      </c>
      <c r="MNC1" s="154" t="str">
        <f t="shared" si="142"/>
        <v>y</v>
      </c>
      <c r="MND1" s="154" t="str">
        <f t="shared" si="142"/>
        <v>y</v>
      </c>
      <c r="MNE1" s="154" t="str">
        <f t="shared" si="142"/>
        <v>y</v>
      </c>
      <c r="MNF1" s="154" t="str">
        <f t="shared" ref="MNF1:MPQ1" si="143">MNF2&amp;"y"</f>
        <v>y</v>
      </c>
      <c r="MNG1" s="154" t="str">
        <f t="shared" si="143"/>
        <v>y</v>
      </c>
      <c r="MNH1" s="154" t="str">
        <f t="shared" si="143"/>
        <v>y</v>
      </c>
      <c r="MNI1" s="154" t="str">
        <f t="shared" si="143"/>
        <v>y</v>
      </c>
      <c r="MNJ1" s="154" t="str">
        <f t="shared" si="143"/>
        <v>y</v>
      </c>
      <c r="MNK1" s="154" t="str">
        <f t="shared" si="143"/>
        <v>y</v>
      </c>
      <c r="MNL1" s="154" t="str">
        <f t="shared" si="143"/>
        <v>y</v>
      </c>
      <c r="MNM1" s="154" t="str">
        <f t="shared" si="143"/>
        <v>y</v>
      </c>
      <c r="MNN1" s="154" t="str">
        <f t="shared" si="143"/>
        <v>y</v>
      </c>
      <c r="MNO1" s="154" t="str">
        <f t="shared" si="143"/>
        <v>y</v>
      </c>
      <c r="MNP1" s="154" t="str">
        <f t="shared" si="143"/>
        <v>y</v>
      </c>
      <c r="MNQ1" s="154" t="str">
        <f t="shared" si="143"/>
        <v>y</v>
      </c>
      <c r="MNR1" s="154" t="str">
        <f t="shared" si="143"/>
        <v>y</v>
      </c>
      <c r="MNS1" s="154" t="str">
        <f t="shared" si="143"/>
        <v>y</v>
      </c>
      <c r="MNT1" s="154" t="str">
        <f t="shared" si="143"/>
        <v>y</v>
      </c>
      <c r="MNU1" s="154" t="str">
        <f t="shared" si="143"/>
        <v>y</v>
      </c>
      <c r="MNV1" s="154" t="str">
        <f t="shared" si="143"/>
        <v>y</v>
      </c>
      <c r="MNW1" s="154" t="str">
        <f t="shared" si="143"/>
        <v>y</v>
      </c>
      <c r="MNX1" s="154" t="str">
        <f t="shared" si="143"/>
        <v>y</v>
      </c>
      <c r="MNY1" s="154" t="str">
        <f t="shared" si="143"/>
        <v>y</v>
      </c>
      <c r="MNZ1" s="154" t="str">
        <f t="shared" si="143"/>
        <v>y</v>
      </c>
      <c r="MOA1" s="154" t="str">
        <f t="shared" si="143"/>
        <v>y</v>
      </c>
      <c r="MOB1" s="154" t="str">
        <f t="shared" si="143"/>
        <v>y</v>
      </c>
      <c r="MOC1" s="154" t="str">
        <f t="shared" si="143"/>
        <v>y</v>
      </c>
      <c r="MOD1" s="154" t="str">
        <f t="shared" si="143"/>
        <v>y</v>
      </c>
      <c r="MOE1" s="154" t="str">
        <f t="shared" si="143"/>
        <v>y</v>
      </c>
      <c r="MOF1" s="154" t="str">
        <f t="shared" si="143"/>
        <v>y</v>
      </c>
      <c r="MOG1" s="154" t="str">
        <f t="shared" si="143"/>
        <v>y</v>
      </c>
      <c r="MOH1" s="154" t="str">
        <f t="shared" si="143"/>
        <v>y</v>
      </c>
      <c r="MOI1" s="154" t="str">
        <f t="shared" si="143"/>
        <v>y</v>
      </c>
      <c r="MOJ1" s="154" t="str">
        <f t="shared" si="143"/>
        <v>y</v>
      </c>
      <c r="MOK1" s="154" t="str">
        <f t="shared" si="143"/>
        <v>y</v>
      </c>
      <c r="MOL1" s="154" t="str">
        <f t="shared" si="143"/>
        <v>y</v>
      </c>
      <c r="MOM1" s="154" t="str">
        <f t="shared" si="143"/>
        <v>y</v>
      </c>
      <c r="MON1" s="154" t="str">
        <f t="shared" si="143"/>
        <v>y</v>
      </c>
      <c r="MOO1" s="154" t="str">
        <f t="shared" si="143"/>
        <v>y</v>
      </c>
      <c r="MOP1" s="154" t="str">
        <f t="shared" si="143"/>
        <v>y</v>
      </c>
      <c r="MOQ1" s="154" t="str">
        <f t="shared" si="143"/>
        <v>y</v>
      </c>
      <c r="MOR1" s="154" t="str">
        <f t="shared" si="143"/>
        <v>y</v>
      </c>
      <c r="MOS1" s="154" t="str">
        <f t="shared" si="143"/>
        <v>y</v>
      </c>
      <c r="MOT1" s="154" t="str">
        <f t="shared" si="143"/>
        <v>y</v>
      </c>
      <c r="MOU1" s="154" t="str">
        <f t="shared" si="143"/>
        <v>y</v>
      </c>
      <c r="MOV1" s="154" t="str">
        <f t="shared" si="143"/>
        <v>y</v>
      </c>
      <c r="MOW1" s="154" t="str">
        <f t="shared" si="143"/>
        <v>y</v>
      </c>
      <c r="MOX1" s="154" t="str">
        <f t="shared" si="143"/>
        <v>y</v>
      </c>
      <c r="MOY1" s="154" t="str">
        <f t="shared" si="143"/>
        <v>y</v>
      </c>
      <c r="MOZ1" s="154" t="str">
        <f t="shared" si="143"/>
        <v>y</v>
      </c>
      <c r="MPA1" s="154" t="str">
        <f t="shared" si="143"/>
        <v>y</v>
      </c>
      <c r="MPB1" s="154" t="str">
        <f t="shared" si="143"/>
        <v>y</v>
      </c>
      <c r="MPC1" s="154" t="str">
        <f t="shared" si="143"/>
        <v>y</v>
      </c>
      <c r="MPD1" s="154" t="str">
        <f t="shared" si="143"/>
        <v>y</v>
      </c>
      <c r="MPE1" s="154" t="str">
        <f t="shared" si="143"/>
        <v>y</v>
      </c>
      <c r="MPF1" s="154" t="str">
        <f t="shared" si="143"/>
        <v>y</v>
      </c>
      <c r="MPG1" s="154" t="str">
        <f t="shared" si="143"/>
        <v>y</v>
      </c>
      <c r="MPH1" s="154" t="str">
        <f t="shared" si="143"/>
        <v>y</v>
      </c>
      <c r="MPI1" s="154" t="str">
        <f t="shared" si="143"/>
        <v>y</v>
      </c>
      <c r="MPJ1" s="154" t="str">
        <f t="shared" si="143"/>
        <v>y</v>
      </c>
      <c r="MPK1" s="154" t="str">
        <f t="shared" si="143"/>
        <v>y</v>
      </c>
      <c r="MPL1" s="154" t="str">
        <f t="shared" si="143"/>
        <v>y</v>
      </c>
      <c r="MPM1" s="154" t="str">
        <f t="shared" si="143"/>
        <v>y</v>
      </c>
      <c r="MPN1" s="154" t="str">
        <f t="shared" si="143"/>
        <v>y</v>
      </c>
      <c r="MPO1" s="154" t="str">
        <f t="shared" si="143"/>
        <v>y</v>
      </c>
      <c r="MPP1" s="154" t="str">
        <f t="shared" si="143"/>
        <v>y</v>
      </c>
      <c r="MPQ1" s="154" t="str">
        <f t="shared" si="143"/>
        <v>y</v>
      </c>
      <c r="MPR1" s="154" t="str">
        <f t="shared" ref="MPR1:MSC1" si="144">MPR2&amp;"y"</f>
        <v>y</v>
      </c>
      <c r="MPS1" s="154" t="str">
        <f t="shared" si="144"/>
        <v>y</v>
      </c>
      <c r="MPT1" s="154" t="str">
        <f t="shared" si="144"/>
        <v>y</v>
      </c>
      <c r="MPU1" s="154" t="str">
        <f t="shared" si="144"/>
        <v>y</v>
      </c>
      <c r="MPV1" s="154" t="str">
        <f t="shared" si="144"/>
        <v>y</v>
      </c>
      <c r="MPW1" s="154" t="str">
        <f t="shared" si="144"/>
        <v>y</v>
      </c>
      <c r="MPX1" s="154" t="str">
        <f t="shared" si="144"/>
        <v>y</v>
      </c>
      <c r="MPY1" s="154" t="str">
        <f t="shared" si="144"/>
        <v>y</v>
      </c>
      <c r="MPZ1" s="154" t="str">
        <f t="shared" si="144"/>
        <v>y</v>
      </c>
      <c r="MQA1" s="154" t="str">
        <f t="shared" si="144"/>
        <v>y</v>
      </c>
      <c r="MQB1" s="154" t="str">
        <f t="shared" si="144"/>
        <v>y</v>
      </c>
      <c r="MQC1" s="154" t="str">
        <f t="shared" si="144"/>
        <v>y</v>
      </c>
      <c r="MQD1" s="154" t="str">
        <f t="shared" si="144"/>
        <v>y</v>
      </c>
      <c r="MQE1" s="154" t="str">
        <f t="shared" si="144"/>
        <v>y</v>
      </c>
      <c r="MQF1" s="154" t="str">
        <f t="shared" si="144"/>
        <v>y</v>
      </c>
      <c r="MQG1" s="154" t="str">
        <f t="shared" si="144"/>
        <v>y</v>
      </c>
      <c r="MQH1" s="154" t="str">
        <f t="shared" si="144"/>
        <v>y</v>
      </c>
      <c r="MQI1" s="154" t="str">
        <f t="shared" si="144"/>
        <v>y</v>
      </c>
      <c r="MQJ1" s="154" t="str">
        <f t="shared" si="144"/>
        <v>y</v>
      </c>
      <c r="MQK1" s="154" t="str">
        <f t="shared" si="144"/>
        <v>y</v>
      </c>
      <c r="MQL1" s="154" t="str">
        <f t="shared" si="144"/>
        <v>y</v>
      </c>
      <c r="MQM1" s="154" t="str">
        <f t="shared" si="144"/>
        <v>y</v>
      </c>
      <c r="MQN1" s="154" t="str">
        <f t="shared" si="144"/>
        <v>y</v>
      </c>
      <c r="MQO1" s="154" t="str">
        <f t="shared" si="144"/>
        <v>y</v>
      </c>
      <c r="MQP1" s="154" t="str">
        <f t="shared" si="144"/>
        <v>y</v>
      </c>
      <c r="MQQ1" s="154" t="str">
        <f t="shared" si="144"/>
        <v>y</v>
      </c>
      <c r="MQR1" s="154" t="str">
        <f t="shared" si="144"/>
        <v>y</v>
      </c>
      <c r="MQS1" s="154" t="str">
        <f t="shared" si="144"/>
        <v>y</v>
      </c>
      <c r="MQT1" s="154" t="str">
        <f t="shared" si="144"/>
        <v>y</v>
      </c>
      <c r="MQU1" s="154" t="str">
        <f t="shared" si="144"/>
        <v>y</v>
      </c>
      <c r="MQV1" s="154" t="str">
        <f t="shared" si="144"/>
        <v>y</v>
      </c>
      <c r="MQW1" s="154" t="str">
        <f t="shared" si="144"/>
        <v>y</v>
      </c>
      <c r="MQX1" s="154" t="str">
        <f t="shared" si="144"/>
        <v>y</v>
      </c>
      <c r="MQY1" s="154" t="str">
        <f t="shared" si="144"/>
        <v>y</v>
      </c>
      <c r="MQZ1" s="154" t="str">
        <f t="shared" si="144"/>
        <v>y</v>
      </c>
      <c r="MRA1" s="154" t="str">
        <f t="shared" si="144"/>
        <v>y</v>
      </c>
      <c r="MRB1" s="154" t="str">
        <f t="shared" si="144"/>
        <v>y</v>
      </c>
      <c r="MRC1" s="154" t="str">
        <f t="shared" si="144"/>
        <v>y</v>
      </c>
      <c r="MRD1" s="154" t="str">
        <f t="shared" si="144"/>
        <v>y</v>
      </c>
      <c r="MRE1" s="154" t="str">
        <f t="shared" si="144"/>
        <v>y</v>
      </c>
      <c r="MRF1" s="154" t="str">
        <f t="shared" si="144"/>
        <v>y</v>
      </c>
      <c r="MRG1" s="154" t="str">
        <f t="shared" si="144"/>
        <v>y</v>
      </c>
      <c r="MRH1" s="154" t="str">
        <f t="shared" si="144"/>
        <v>y</v>
      </c>
      <c r="MRI1" s="154" t="str">
        <f t="shared" si="144"/>
        <v>y</v>
      </c>
      <c r="MRJ1" s="154" t="str">
        <f t="shared" si="144"/>
        <v>y</v>
      </c>
      <c r="MRK1" s="154" t="str">
        <f t="shared" si="144"/>
        <v>y</v>
      </c>
      <c r="MRL1" s="154" t="str">
        <f t="shared" si="144"/>
        <v>y</v>
      </c>
      <c r="MRM1" s="154" t="str">
        <f t="shared" si="144"/>
        <v>y</v>
      </c>
      <c r="MRN1" s="154" t="str">
        <f t="shared" si="144"/>
        <v>y</v>
      </c>
      <c r="MRO1" s="154" t="str">
        <f t="shared" si="144"/>
        <v>y</v>
      </c>
      <c r="MRP1" s="154" t="str">
        <f t="shared" si="144"/>
        <v>y</v>
      </c>
      <c r="MRQ1" s="154" t="str">
        <f t="shared" si="144"/>
        <v>y</v>
      </c>
      <c r="MRR1" s="154" t="str">
        <f t="shared" si="144"/>
        <v>y</v>
      </c>
      <c r="MRS1" s="154" t="str">
        <f t="shared" si="144"/>
        <v>y</v>
      </c>
      <c r="MRT1" s="154" t="str">
        <f t="shared" si="144"/>
        <v>y</v>
      </c>
      <c r="MRU1" s="154" t="str">
        <f t="shared" si="144"/>
        <v>y</v>
      </c>
      <c r="MRV1" s="154" t="str">
        <f t="shared" si="144"/>
        <v>y</v>
      </c>
      <c r="MRW1" s="154" t="str">
        <f t="shared" si="144"/>
        <v>y</v>
      </c>
      <c r="MRX1" s="154" t="str">
        <f t="shared" si="144"/>
        <v>y</v>
      </c>
      <c r="MRY1" s="154" t="str">
        <f t="shared" si="144"/>
        <v>y</v>
      </c>
      <c r="MRZ1" s="154" t="str">
        <f t="shared" si="144"/>
        <v>y</v>
      </c>
      <c r="MSA1" s="154" t="str">
        <f t="shared" si="144"/>
        <v>y</v>
      </c>
      <c r="MSB1" s="154" t="str">
        <f t="shared" si="144"/>
        <v>y</v>
      </c>
      <c r="MSC1" s="154" t="str">
        <f t="shared" si="144"/>
        <v>y</v>
      </c>
      <c r="MSD1" s="154" t="str">
        <f t="shared" ref="MSD1:MUO1" si="145">MSD2&amp;"y"</f>
        <v>y</v>
      </c>
      <c r="MSE1" s="154" t="str">
        <f t="shared" si="145"/>
        <v>y</v>
      </c>
      <c r="MSF1" s="154" t="str">
        <f t="shared" si="145"/>
        <v>y</v>
      </c>
      <c r="MSG1" s="154" t="str">
        <f t="shared" si="145"/>
        <v>y</v>
      </c>
      <c r="MSH1" s="154" t="str">
        <f t="shared" si="145"/>
        <v>y</v>
      </c>
      <c r="MSI1" s="154" t="str">
        <f t="shared" si="145"/>
        <v>y</v>
      </c>
      <c r="MSJ1" s="154" t="str">
        <f t="shared" si="145"/>
        <v>y</v>
      </c>
      <c r="MSK1" s="154" t="str">
        <f t="shared" si="145"/>
        <v>y</v>
      </c>
      <c r="MSL1" s="154" t="str">
        <f t="shared" si="145"/>
        <v>y</v>
      </c>
      <c r="MSM1" s="154" t="str">
        <f t="shared" si="145"/>
        <v>y</v>
      </c>
      <c r="MSN1" s="154" t="str">
        <f t="shared" si="145"/>
        <v>y</v>
      </c>
      <c r="MSO1" s="154" t="str">
        <f t="shared" si="145"/>
        <v>y</v>
      </c>
      <c r="MSP1" s="154" t="str">
        <f t="shared" si="145"/>
        <v>y</v>
      </c>
      <c r="MSQ1" s="154" t="str">
        <f t="shared" si="145"/>
        <v>y</v>
      </c>
      <c r="MSR1" s="154" t="str">
        <f t="shared" si="145"/>
        <v>y</v>
      </c>
      <c r="MSS1" s="154" t="str">
        <f t="shared" si="145"/>
        <v>y</v>
      </c>
      <c r="MST1" s="154" t="str">
        <f t="shared" si="145"/>
        <v>y</v>
      </c>
      <c r="MSU1" s="154" t="str">
        <f t="shared" si="145"/>
        <v>y</v>
      </c>
      <c r="MSV1" s="154" t="str">
        <f t="shared" si="145"/>
        <v>y</v>
      </c>
      <c r="MSW1" s="154" t="str">
        <f t="shared" si="145"/>
        <v>y</v>
      </c>
      <c r="MSX1" s="154" t="str">
        <f t="shared" si="145"/>
        <v>y</v>
      </c>
      <c r="MSY1" s="154" t="str">
        <f t="shared" si="145"/>
        <v>y</v>
      </c>
      <c r="MSZ1" s="154" t="str">
        <f t="shared" si="145"/>
        <v>y</v>
      </c>
      <c r="MTA1" s="154" t="str">
        <f t="shared" si="145"/>
        <v>y</v>
      </c>
      <c r="MTB1" s="154" t="str">
        <f t="shared" si="145"/>
        <v>y</v>
      </c>
      <c r="MTC1" s="154" t="str">
        <f t="shared" si="145"/>
        <v>y</v>
      </c>
      <c r="MTD1" s="154" t="str">
        <f t="shared" si="145"/>
        <v>y</v>
      </c>
      <c r="MTE1" s="154" t="str">
        <f t="shared" si="145"/>
        <v>y</v>
      </c>
      <c r="MTF1" s="154" t="str">
        <f t="shared" si="145"/>
        <v>y</v>
      </c>
      <c r="MTG1" s="154" t="str">
        <f t="shared" si="145"/>
        <v>y</v>
      </c>
      <c r="MTH1" s="154" t="str">
        <f t="shared" si="145"/>
        <v>y</v>
      </c>
      <c r="MTI1" s="154" t="str">
        <f t="shared" si="145"/>
        <v>y</v>
      </c>
      <c r="MTJ1" s="154" t="str">
        <f t="shared" si="145"/>
        <v>y</v>
      </c>
      <c r="MTK1" s="154" t="str">
        <f t="shared" si="145"/>
        <v>y</v>
      </c>
      <c r="MTL1" s="154" t="str">
        <f t="shared" si="145"/>
        <v>y</v>
      </c>
      <c r="MTM1" s="154" t="str">
        <f t="shared" si="145"/>
        <v>y</v>
      </c>
      <c r="MTN1" s="154" t="str">
        <f t="shared" si="145"/>
        <v>y</v>
      </c>
      <c r="MTO1" s="154" t="str">
        <f t="shared" si="145"/>
        <v>y</v>
      </c>
      <c r="MTP1" s="154" t="str">
        <f t="shared" si="145"/>
        <v>y</v>
      </c>
      <c r="MTQ1" s="154" t="str">
        <f t="shared" si="145"/>
        <v>y</v>
      </c>
      <c r="MTR1" s="154" t="str">
        <f t="shared" si="145"/>
        <v>y</v>
      </c>
      <c r="MTS1" s="154" t="str">
        <f t="shared" si="145"/>
        <v>y</v>
      </c>
      <c r="MTT1" s="154" t="str">
        <f t="shared" si="145"/>
        <v>y</v>
      </c>
      <c r="MTU1" s="154" t="str">
        <f t="shared" si="145"/>
        <v>y</v>
      </c>
      <c r="MTV1" s="154" t="str">
        <f t="shared" si="145"/>
        <v>y</v>
      </c>
      <c r="MTW1" s="154" t="str">
        <f t="shared" si="145"/>
        <v>y</v>
      </c>
      <c r="MTX1" s="154" t="str">
        <f t="shared" si="145"/>
        <v>y</v>
      </c>
      <c r="MTY1" s="154" t="str">
        <f t="shared" si="145"/>
        <v>y</v>
      </c>
      <c r="MTZ1" s="154" t="str">
        <f t="shared" si="145"/>
        <v>y</v>
      </c>
      <c r="MUA1" s="154" t="str">
        <f t="shared" si="145"/>
        <v>y</v>
      </c>
      <c r="MUB1" s="154" t="str">
        <f t="shared" si="145"/>
        <v>y</v>
      </c>
      <c r="MUC1" s="154" t="str">
        <f t="shared" si="145"/>
        <v>y</v>
      </c>
      <c r="MUD1" s="154" t="str">
        <f t="shared" si="145"/>
        <v>y</v>
      </c>
      <c r="MUE1" s="154" t="str">
        <f t="shared" si="145"/>
        <v>y</v>
      </c>
      <c r="MUF1" s="154" t="str">
        <f t="shared" si="145"/>
        <v>y</v>
      </c>
      <c r="MUG1" s="154" t="str">
        <f t="shared" si="145"/>
        <v>y</v>
      </c>
      <c r="MUH1" s="154" t="str">
        <f t="shared" si="145"/>
        <v>y</v>
      </c>
      <c r="MUI1" s="154" t="str">
        <f t="shared" si="145"/>
        <v>y</v>
      </c>
      <c r="MUJ1" s="154" t="str">
        <f t="shared" si="145"/>
        <v>y</v>
      </c>
      <c r="MUK1" s="154" t="str">
        <f t="shared" si="145"/>
        <v>y</v>
      </c>
      <c r="MUL1" s="154" t="str">
        <f t="shared" si="145"/>
        <v>y</v>
      </c>
      <c r="MUM1" s="154" t="str">
        <f t="shared" si="145"/>
        <v>y</v>
      </c>
      <c r="MUN1" s="154" t="str">
        <f t="shared" si="145"/>
        <v>y</v>
      </c>
      <c r="MUO1" s="154" t="str">
        <f t="shared" si="145"/>
        <v>y</v>
      </c>
      <c r="MUP1" s="154" t="str">
        <f t="shared" ref="MUP1:MXA1" si="146">MUP2&amp;"y"</f>
        <v>y</v>
      </c>
      <c r="MUQ1" s="154" t="str">
        <f t="shared" si="146"/>
        <v>y</v>
      </c>
      <c r="MUR1" s="154" t="str">
        <f t="shared" si="146"/>
        <v>y</v>
      </c>
      <c r="MUS1" s="154" t="str">
        <f t="shared" si="146"/>
        <v>y</v>
      </c>
      <c r="MUT1" s="154" t="str">
        <f t="shared" si="146"/>
        <v>y</v>
      </c>
      <c r="MUU1" s="154" t="str">
        <f t="shared" si="146"/>
        <v>y</v>
      </c>
      <c r="MUV1" s="154" t="str">
        <f t="shared" si="146"/>
        <v>y</v>
      </c>
      <c r="MUW1" s="154" t="str">
        <f t="shared" si="146"/>
        <v>y</v>
      </c>
      <c r="MUX1" s="154" t="str">
        <f t="shared" si="146"/>
        <v>y</v>
      </c>
      <c r="MUY1" s="154" t="str">
        <f t="shared" si="146"/>
        <v>y</v>
      </c>
      <c r="MUZ1" s="154" t="str">
        <f t="shared" si="146"/>
        <v>y</v>
      </c>
      <c r="MVA1" s="154" t="str">
        <f t="shared" si="146"/>
        <v>y</v>
      </c>
      <c r="MVB1" s="154" t="str">
        <f t="shared" si="146"/>
        <v>y</v>
      </c>
      <c r="MVC1" s="154" t="str">
        <f t="shared" si="146"/>
        <v>y</v>
      </c>
      <c r="MVD1" s="154" t="str">
        <f t="shared" si="146"/>
        <v>y</v>
      </c>
      <c r="MVE1" s="154" t="str">
        <f t="shared" si="146"/>
        <v>y</v>
      </c>
      <c r="MVF1" s="154" t="str">
        <f t="shared" si="146"/>
        <v>y</v>
      </c>
      <c r="MVG1" s="154" t="str">
        <f t="shared" si="146"/>
        <v>y</v>
      </c>
      <c r="MVH1" s="154" t="str">
        <f t="shared" si="146"/>
        <v>y</v>
      </c>
      <c r="MVI1" s="154" t="str">
        <f t="shared" si="146"/>
        <v>y</v>
      </c>
      <c r="MVJ1" s="154" t="str">
        <f t="shared" si="146"/>
        <v>y</v>
      </c>
      <c r="MVK1" s="154" t="str">
        <f t="shared" si="146"/>
        <v>y</v>
      </c>
      <c r="MVL1" s="154" t="str">
        <f t="shared" si="146"/>
        <v>y</v>
      </c>
      <c r="MVM1" s="154" t="str">
        <f t="shared" si="146"/>
        <v>y</v>
      </c>
      <c r="MVN1" s="154" t="str">
        <f t="shared" si="146"/>
        <v>y</v>
      </c>
      <c r="MVO1" s="154" t="str">
        <f t="shared" si="146"/>
        <v>y</v>
      </c>
      <c r="MVP1" s="154" t="str">
        <f t="shared" si="146"/>
        <v>y</v>
      </c>
      <c r="MVQ1" s="154" t="str">
        <f t="shared" si="146"/>
        <v>y</v>
      </c>
      <c r="MVR1" s="154" t="str">
        <f t="shared" si="146"/>
        <v>y</v>
      </c>
      <c r="MVS1" s="154" t="str">
        <f t="shared" si="146"/>
        <v>y</v>
      </c>
      <c r="MVT1" s="154" t="str">
        <f t="shared" si="146"/>
        <v>y</v>
      </c>
      <c r="MVU1" s="154" t="str">
        <f t="shared" si="146"/>
        <v>y</v>
      </c>
      <c r="MVV1" s="154" t="str">
        <f t="shared" si="146"/>
        <v>y</v>
      </c>
      <c r="MVW1" s="154" t="str">
        <f t="shared" si="146"/>
        <v>y</v>
      </c>
      <c r="MVX1" s="154" t="str">
        <f t="shared" si="146"/>
        <v>y</v>
      </c>
      <c r="MVY1" s="154" t="str">
        <f t="shared" si="146"/>
        <v>y</v>
      </c>
      <c r="MVZ1" s="154" t="str">
        <f t="shared" si="146"/>
        <v>y</v>
      </c>
      <c r="MWA1" s="154" t="str">
        <f t="shared" si="146"/>
        <v>y</v>
      </c>
      <c r="MWB1" s="154" t="str">
        <f t="shared" si="146"/>
        <v>y</v>
      </c>
      <c r="MWC1" s="154" t="str">
        <f t="shared" si="146"/>
        <v>y</v>
      </c>
      <c r="MWD1" s="154" t="str">
        <f t="shared" si="146"/>
        <v>y</v>
      </c>
      <c r="MWE1" s="154" t="str">
        <f t="shared" si="146"/>
        <v>y</v>
      </c>
      <c r="MWF1" s="154" t="str">
        <f t="shared" si="146"/>
        <v>y</v>
      </c>
      <c r="MWG1" s="154" t="str">
        <f t="shared" si="146"/>
        <v>y</v>
      </c>
      <c r="MWH1" s="154" t="str">
        <f t="shared" si="146"/>
        <v>y</v>
      </c>
      <c r="MWI1" s="154" t="str">
        <f t="shared" si="146"/>
        <v>y</v>
      </c>
      <c r="MWJ1" s="154" t="str">
        <f t="shared" si="146"/>
        <v>y</v>
      </c>
      <c r="MWK1" s="154" t="str">
        <f t="shared" si="146"/>
        <v>y</v>
      </c>
      <c r="MWL1" s="154" t="str">
        <f t="shared" si="146"/>
        <v>y</v>
      </c>
      <c r="MWM1" s="154" t="str">
        <f t="shared" si="146"/>
        <v>y</v>
      </c>
      <c r="MWN1" s="154" t="str">
        <f t="shared" si="146"/>
        <v>y</v>
      </c>
      <c r="MWO1" s="154" t="str">
        <f t="shared" si="146"/>
        <v>y</v>
      </c>
      <c r="MWP1" s="154" t="str">
        <f t="shared" si="146"/>
        <v>y</v>
      </c>
      <c r="MWQ1" s="154" t="str">
        <f t="shared" si="146"/>
        <v>y</v>
      </c>
      <c r="MWR1" s="154" t="str">
        <f t="shared" si="146"/>
        <v>y</v>
      </c>
      <c r="MWS1" s="154" t="str">
        <f t="shared" si="146"/>
        <v>y</v>
      </c>
      <c r="MWT1" s="154" t="str">
        <f t="shared" si="146"/>
        <v>y</v>
      </c>
      <c r="MWU1" s="154" t="str">
        <f t="shared" si="146"/>
        <v>y</v>
      </c>
      <c r="MWV1" s="154" t="str">
        <f t="shared" si="146"/>
        <v>y</v>
      </c>
      <c r="MWW1" s="154" t="str">
        <f t="shared" si="146"/>
        <v>y</v>
      </c>
      <c r="MWX1" s="154" t="str">
        <f t="shared" si="146"/>
        <v>y</v>
      </c>
      <c r="MWY1" s="154" t="str">
        <f t="shared" si="146"/>
        <v>y</v>
      </c>
      <c r="MWZ1" s="154" t="str">
        <f t="shared" si="146"/>
        <v>y</v>
      </c>
      <c r="MXA1" s="154" t="str">
        <f t="shared" si="146"/>
        <v>y</v>
      </c>
      <c r="MXB1" s="154" t="str">
        <f t="shared" ref="MXB1:MZM1" si="147">MXB2&amp;"y"</f>
        <v>y</v>
      </c>
      <c r="MXC1" s="154" t="str">
        <f t="shared" si="147"/>
        <v>y</v>
      </c>
      <c r="MXD1" s="154" t="str">
        <f t="shared" si="147"/>
        <v>y</v>
      </c>
      <c r="MXE1" s="154" t="str">
        <f t="shared" si="147"/>
        <v>y</v>
      </c>
      <c r="MXF1" s="154" t="str">
        <f t="shared" si="147"/>
        <v>y</v>
      </c>
      <c r="MXG1" s="154" t="str">
        <f t="shared" si="147"/>
        <v>y</v>
      </c>
      <c r="MXH1" s="154" t="str">
        <f t="shared" si="147"/>
        <v>y</v>
      </c>
      <c r="MXI1" s="154" t="str">
        <f t="shared" si="147"/>
        <v>y</v>
      </c>
      <c r="MXJ1" s="154" t="str">
        <f t="shared" si="147"/>
        <v>y</v>
      </c>
      <c r="MXK1" s="154" t="str">
        <f t="shared" si="147"/>
        <v>y</v>
      </c>
      <c r="MXL1" s="154" t="str">
        <f t="shared" si="147"/>
        <v>y</v>
      </c>
      <c r="MXM1" s="154" t="str">
        <f t="shared" si="147"/>
        <v>y</v>
      </c>
      <c r="MXN1" s="154" t="str">
        <f t="shared" si="147"/>
        <v>y</v>
      </c>
      <c r="MXO1" s="154" t="str">
        <f t="shared" si="147"/>
        <v>y</v>
      </c>
      <c r="MXP1" s="154" t="str">
        <f t="shared" si="147"/>
        <v>y</v>
      </c>
      <c r="MXQ1" s="154" t="str">
        <f t="shared" si="147"/>
        <v>y</v>
      </c>
      <c r="MXR1" s="154" t="str">
        <f t="shared" si="147"/>
        <v>y</v>
      </c>
      <c r="MXS1" s="154" t="str">
        <f t="shared" si="147"/>
        <v>y</v>
      </c>
      <c r="MXT1" s="154" t="str">
        <f t="shared" si="147"/>
        <v>y</v>
      </c>
      <c r="MXU1" s="154" t="str">
        <f t="shared" si="147"/>
        <v>y</v>
      </c>
      <c r="MXV1" s="154" t="str">
        <f t="shared" si="147"/>
        <v>y</v>
      </c>
      <c r="MXW1" s="154" t="str">
        <f t="shared" si="147"/>
        <v>y</v>
      </c>
      <c r="MXX1" s="154" t="str">
        <f t="shared" si="147"/>
        <v>y</v>
      </c>
      <c r="MXY1" s="154" t="str">
        <f t="shared" si="147"/>
        <v>y</v>
      </c>
      <c r="MXZ1" s="154" t="str">
        <f t="shared" si="147"/>
        <v>y</v>
      </c>
      <c r="MYA1" s="154" t="str">
        <f t="shared" si="147"/>
        <v>y</v>
      </c>
      <c r="MYB1" s="154" t="str">
        <f t="shared" si="147"/>
        <v>y</v>
      </c>
      <c r="MYC1" s="154" t="str">
        <f t="shared" si="147"/>
        <v>y</v>
      </c>
      <c r="MYD1" s="154" t="str">
        <f t="shared" si="147"/>
        <v>y</v>
      </c>
      <c r="MYE1" s="154" t="str">
        <f t="shared" si="147"/>
        <v>y</v>
      </c>
      <c r="MYF1" s="154" t="str">
        <f t="shared" si="147"/>
        <v>y</v>
      </c>
      <c r="MYG1" s="154" t="str">
        <f t="shared" si="147"/>
        <v>y</v>
      </c>
      <c r="MYH1" s="154" t="str">
        <f t="shared" si="147"/>
        <v>y</v>
      </c>
      <c r="MYI1" s="154" t="str">
        <f t="shared" si="147"/>
        <v>y</v>
      </c>
      <c r="MYJ1" s="154" t="str">
        <f t="shared" si="147"/>
        <v>y</v>
      </c>
      <c r="MYK1" s="154" t="str">
        <f t="shared" si="147"/>
        <v>y</v>
      </c>
      <c r="MYL1" s="154" t="str">
        <f t="shared" si="147"/>
        <v>y</v>
      </c>
      <c r="MYM1" s="154" t="str">
        <f t="shared" si="147"/>
        <v>y</v>
      </c>
      <c r="MYN1" s="154" t="str">
        <f t="shared" si="147"/>
        <v>y</v>
      </c>
      <c r="MYO1" s="154" t="str">
        <f t="shared" si="147"/>
        <v>y</v>
      </c>
      <c r="MYP1" s="154" t="str">
        <f t="shared" si="147"/>
        <v>y</v>
      </c>
      <c r="MYQ1" s="154" t="str">
        <f t="shared" si="147"/>
        <v>y</v>
      </c>
      <c r="MYR1" s="154" t="str">
        <f t="shared" si="147"/>
        <v>y</v>
      </c>
      <c r="MYS1" s="154" t="str">
        <f t="shared" si="147"/>
        <v>y</v>
      </c>
      <c r="MYT1" s="154" t="str">
        <f t="shared" si="147"/>
        <v>y</v>
      </c>
      <c r="MYU1" s="154" t="str">
        <f t="shared" si="147"/>
        <v>y</v>
      </c>
      <c r="MYV1" s="154" t="str">
        <f t="shared" si="147"/>
        <v>y</v>
      </c>
      <c r="MYW1" s="154" t="str">
        <f t="shared" si="147"/>
        <v>y</v>
      </c>
      <c r="MYX1" s="154" t="str">
        <f t="shared" si="147"/>
        <v>y</v>
      </c>
      <c r="MYY1" s="154" t="str">
        <f t="shared" si="147"/>
        <v>y</v>
      </c>
      <c r="MYZ1" s="154" t="str">
        <f t="shared" si="147"/>
        <v>y</v>
      </c>
      <c r="MZA1" s="154" t="str">
        <f t="shared" si="147"/>
        <v>y</v>
      </c>
      <c r="MZB1" s="154" t="str">
        <f t="shared" si="147"/>
        <v>y</v>
      </c>
      <c r="MZC1" s="154" t="str">
        <f t="shared" si="147"/>
        <v>y</v>
      </c>
      <c r="MZD1" s="154" t="str">
        <f t="shared" si="147"/>
        <v>y</v>
      </c>
      <c r="MZE1" s="154" t="str">
        <f t="shared" si="147"/>
        <v>y</v>
      </c>
      <c r="MZF1" s="154" t="str">
        <f t="shared" si="147"/>
        <v>y</v>
      </c>
      <c r="MZG1" s="154" t="str">
        <f t="shared" si="147"/>
        <v>y</v>
      </c>
      <c r="MZH1" s="154" t="str">
        <f t="shared" si="147"/>
        <v>y</v>
      </c>
      <c r="MZI1" s="154" t="str">
        <f t="shared" si="147"/>
        <v>y</v>
      </c>
      <c r="MZJ1" s="154" t="str">
        <f t="shared" si="147"/>
        <v>y</v>
      </c>
      <c r="MZK1" s="154" t="str">
        <f t="shared" si="147"/>
        <v>y</v>
      </c>
      <c r="MZL1" s="154" t="str">
        <f t="shared" si="147"/>
        <v>y</v>
      </c>
      <c r="MZM1" s="154" t="str">
        <f t="shared" si="147"/>
        <v>y</v>
      </c>
      <c r="MZN1" s="154" t="str">
        <f t="shared" ref="MZN1:NBY1" si="148">MZN2&amp;"y"</f>
        <v>y</v>
      </c>
      <c r="MZO1" s="154" t="str">
        <f t="shared" si="148"/>
        <v>y</v>
      </c>
      <c r="MZP1" s="154" t="str">
        <f t="shared" si="148"/>
        <v>y</v>
      </c>
      <c r="MZQ1" s="154" t="str">
        <f t="shared" si="148"/>
        <v>y</v>
      </c>
      <c r="MZR1" s="154" t="str">
        <f t="shared" si="148"/>
        <v>y</v>
      </c>
      <c r="MZS1" s="154" t="str">
        <f t="shared" si="148"/>
        <v>y</v>
      </c>
      <c r="MZT1" s="154" t="str">
        <f t="shared" si="148"/>
        <v>y</v>
      </c>
      <c r="MZU1" s="154" t="str">
        <f t="shared" si="148"/>
        <v>y</v>
      </c>
      <c r="MZV1" s="154" t="str">
        <f t="shared" si="148"/>
        <v>y</v>
      </c>
      <c r="MZW1" s="154" t="str">
        <f t="shared" si="148"/>
        <v>y</v>
      </c>
      <c r="MZX1" s="154" t="str">
        <f t="shared" si="148"/>
        <v>y</v>
      </c>
      <c r="MZY1" s="154" t="str">
        <f t="shared" si="148"/>
        <v>y</v>
      </c>
      <c r="MZZ1" s="154" t="str">
        <f t="shared" si="148"/>
        <v>y</v>
      </c>
      <c r="NAA1" s="154" t="str">
        <f t="shared" si="148"/>
        <v>y</v>
      </c>
      <c r="NAB1" s="154" t="str">
        <f t="shared" si="148"/>
        <v>y</v>
      </c>
      <c r="NAC1" s="154" t="str">
        <f t="shared" si="148"/>
        <v>y</v>
      </c>
      <c r="NAD1" s="154" t="str">
        <f t="shared" si="148"/>
        <v>y</v>
      </c>
      <c r="NAE1" s="154" t="str">
        <f t="shared" si="148"/>
        <v>y</v>
      </c>
      <c r="NAF1" s="154" t="str">
        <f t="shared" si="148"/>
        <v>y</v>
      </c>
      <c r="NAG1" s="154" t="str">
        <f t="shared" si="148"/>
        <v>y</v>
      </c>
      <c r="NAH1" s="154" t="str">
        <f t="shared" si="148"/>
        <v>y</v>
      </c>
      <c r="NAI1" s="154" t="str">
        <f t="shared" si="148"/>
        <v>y</v>
      </c>
      <c r="NAJ1" s="154" t="str">
        <f t="shared" si="148"/>
        <v>y</v>
      </c>
      <c r="NAK1" s="154" t="str">
        <f t="shared" si="148"/>
        <v>y</v>
      </c>
      <c r="NAL1" s="154" t="str">
        <f t="shared" si="148"/>
        <v>y</v>
      </c>
      <c r="NAM1" s="154" t="str">
        <f t="shared" si="148"/>
        <v>y</v>
      </c>
      <c r="NAN1" s="154" t="str">
        <f t="shared" si="148"/>
        <v>y</v>
      </c>
      <c r="NAO1" s="154" t="str">
        <f t="shared" si="148"/>
        <v>y</v>
      </c>
      <c r="NAP1" s="154" t="str">
        <f t="shared" si="148"/>
        <v>y</v>
      </c>
      <c r="NAQ1" s="154" t="str">
        <f t="shared" si="148"/>
        <v>y</v>
      </c>
      <c r="NAR1" s="154" t="str">
        <f t="shared" si="148"/>
        <v>y</v>
      </c>
      <c r="NAS1" s="154" t="str">
        <f t="shared" si="148"/>
        <v>y</v>
      </c>
      <c r="NAT1" s="154" t="str">
        <f t="shared" si="148"/>
        <v>y</v>
      </c>
      <c r="NAU1" s="154" t="str">
        <f t="shared" si="148"/>
        <v>y</v>
      </c>
      <c r="NAV1" s="154" t="str">
        <f t="shared" si="148"/>
        <v>y</v>
      </c>
      <c r="NAW1" s="154" t="str">
        <f t="shared" si="148"/>
        <v>y</v>
      </c>
      <c r="NAX1" s="154" t="str">
        <f t="shared" si="148"/>
        <v>y</v>
      </c>
      <c r="NAY1" s="154" t="str">
        <f t="shared" si="148"/>
        <v>y</v>
      </c>
      <c r="NAZ1" s="154" t="str">
        <f t="shared" si="148"/>
        <v>y</v>
      </c>
      <c r="NBA1" s="154" t="str">
        <f t="shared" si="148"/>
        <v>y</v>
      </c>
      <c r="NBB1" s="154" t="str">
        <f t="shared" si="148"/>
        <v>y</v>
      </c>
      <c r="NBC1" s="154" t="str">
        <f t="shared" si="148"/>
        <v>y</v>
      </c>
      <c r="NBD1" s="154" t="str">
        <f t="shared" si="148"/>
        <v>y</v>
      </c>
      <c r="NBE1" s="154" t="str">
        <f t="shared" si="148"/>
        <v>y</v>
      </c>
      <c r="NBF1" s="154" t="str">
        <f t="shared" si="148"/>
        <v>y</v>
      </c>
      <c r="NBG1" s="154" t="str">
        <f t="shared" si="148"/>
        <v>y</v>
      </c>
      <c r="NBH1" s="154" t="str">
        <f t="shared" si="148"/>
        <v>y</v>
      </c>
      <c r="NBI1" s="154" t="str">
        <f t="shared" si="148"/>
        <v>y</v>
      </c>
      <c r="NBJ1" s="154" t="str">
        <f t="shared" si="148"/>
        <v>y</v>
      </c>
      <c r="NBK1" s="154" t="str">
        <f t="shared" si="148"/>
        <v>y</v>
      </c>
      <c r="NBL1" s="154" t="str">
        <f t="shared" si="148"/>
        <v>y</v>
      </c>
      <c r="NBM1" s="154" t="str">
        <f t="shared" si="148"/>
        <v>y</v>
      </c>
      <c r="NBN1" s="154" t="str">
        <f t="shared" si="148"/>
        <v>y</v>
      </c>
      <c r="NBO1" s="154" t="str">
        <f t="shared" si="148"/>
        <v>y</v>
      </c>
      <c r="NBP1" s="154" t="str">
        <f t="shared" si="148"/>
        <v>y</v>
      </c>
      <c r="NBQ1" s="154" t="str">
        <f t="shared" si="148"/>
        <v>y</v>
      </c>
      <c r="NBR1" s="154" t="str">
        <f t="shared" si="148"/>
        <v>y</v>
      </c>
      <c r="NBS1" s="154" t="str">
        <f t="shared" si="148"/>
        <v>y</v>
      </c>
      <c r="NBT1" s="154" t="str">
        <f t="shared" si="148"/>
        <v>y</v>
      </c>
      <c r="NBU1" s="154" t="str">
        <f t="shared" si="148"/>
        <v>y</v>
      </c>
      <c r="NBV1" s="154" t="str">
        <f t="shared" si="148"/>
        <v>y</v>
      </c>
      <c r="NBW1" s="154" t="str">
        <f t="shared" si="148"/>
        <v>y</v>
      </c>
      <c r="NBX1" s="154" t="str">
        <f t="shared" si="148"/>
        <v>y</v>
      </c>
      <c r="NBY1" s="154" t="str">
        <f t="shared" si="148"/>
        <v>y</v>
      </c>
      <c r="NBZ1" s="154" t="str">
        <f t="shared" ref="NBZ1:NEK1" si="149">NBZ2&amp;"y"</f>
        <v>y</v>
      </c>
      <c r="NCA1" s="154" t="str">
        <f t="shared" si="149"/>
        <v>y</v>
      </c>
      <c r="NCB1" s="154" t="str">
        <f t="shared" si="149"/>
        <v>y</v>
      </c>
      <c r="NCC1" s="154" t="str">
        <f t="shared" si="149"/>
        <v>y</v>
      </c>
      <c r="NCD1" s="154" t="str">
        <f t="shared" si="149"/>
        <v>y</v>
      </c>
      <c r="NCE1" s="154" t="str">
        <f t="shared" si="149"/>
        <v>y</v>
      </c>
      <c r="NCF1" s="154" t="str">
        <f t="shared" si="149"/>
        <v>y</v>
      </c>
      <c r="NCG1" s="154" t="str">
        <f t="shared" si="149"/>
        <v>y</v>
      </c>
      <c r="NCH1" s="154" t="str">
        <f t="shared" si="149"/>
        <v>y</v>
      </c>
      <c r="NCI1" s="154" t="str">
        <f t="shared" si="149"/>
        <v>y</v>
      </c>
      <c r="NCJ1" s="154" t="str">
        <f t="shared" si="149"/>
        <v>y</v>
      </c>
      <c r="NCK1" s="154" t="str">
        <f t="shared" si="149"/>
        <v>y</v>
      </c>
      <c r="NCL1" s="154" t="str">
        <f t="shared" si="149"/>
        <v>y</v>
      </c>
      <c r="NCM1" s="154" t="str">
        <f t="shared" si="149"/>
        <v>y</v>
      </c>
      <c r="NCN1" s="154" t="str">
        <f t="shared" si="149"/>
        <v>y</v>
      </c>
      <c r="NCO1" s="154" t="str">
        <f t="shared" si="149"/>
        <v>y</v>
      </c>
      <c r="NCP1" s="154" t="str">
        <f t="shared" si="149"/>
        <v>y</v>
      </c>
      <c r="NCQ1" s="154" t="str">
        <f t="shared" si="149"/>
        <v>y</v>
      </c>
      <c r="NCR1" s="154" t="str">
        <f t="shared" si="149"/>
        <v>y</v>
      </c>
      <c r="NCS1" s="154" t="str">
        <f t="shared" si="149"/>
        <v>y</v>
      </c>
      <c r="NCT1" s="154" t="str">
        <f t="shared" si="149"/>
        <v>y</v>
      </c>
      <c r="NCU1" s="154" t="str">
        <f t="shared" si="149"/>
        <v>y</v>
      </c>
      <c r="NCV1" s="154" t="str">
        <f t="shared" si="149"/>
        <v>y</v>
      </c>
      <c r="NCW1" s="154" t="str">
        <f t="shared" si="149"/>
        <v>y</v>
      </c>
      <c r="NCX1" s="154" t="str">
        <f t="shared" si="149"/>
        <v>y</v>
      </c>
      <c r="NCY1" s="154" t="str">
        <f t="shared" si="149"/>
        <v>y</v>
      </c>
      <c r="NCZ1" s="154" t="str">
        <f t="shared" si="149"/>
        <v>y</v>
      </c>
      <c r="NDA1" s="154" t="str">
        <f t="shared" si="149"/>
        <v>y</v>
      </c>
      <c r="NDB1" s="154" t="str">
        <f t="shared" si="149"/>
        <v>y</v>
      </c>
      <c r="NDC1" s="154" t="str">
        <f t="shared" si="149"/>
        <v>y</v>
      </c>
      <c r="NDD1" s="154" t="str">
        <f t="shared" si="149"/>
        <v>y</v>
      </c>
      <c r="NDE1" s="154" t="str">
        <f t="shared" si="149"/>
        <v>y</v>
      </c>
      <c r="NDF1" s="154" t="str">
        <f t="shared" si="149"/>
        <v>y</v>
      </c>
      <c r="NDG1" s="154" t="str">
        <f t="shared" si="149"/>
        <v>y</v>
      </c>
      <c r="NDH1" s="154" t="str">
        <f t="shared" si="149"/>
        <v>y</v>
      </c>
      <c r="NDI1" s="154" t="str">
        <f t="shared" si="149"/>
        <v>y</v>
      </c>
      <c r="NDJ1" s="154" t="str">
        <f t="shared" si="149"/>
        <v>y</v>
      </c>
      <c r="NDK1" s="154" t="str">
        <f t="shared" si="149"/>
        <v>y</v>
      </c>
      <c r="NDL1" s="154" t="str">
        <f t="shared" si="149"/>
        <v>y</v>
      </c>
      <c r="NDM1" s="154" t="str">
        <f t="shared" si="149"/>
        <v>y</v>
      </c>
      <c r="NDN1" s="154" t="str">
        <f t="shared" si="149"/>
        <v>y</v>
      </c>
      <c r="NDO1" s="154" t="str">
        <f t="shared" si="149"/>
        <v>y</v>
      </c>
      <c r="NDP1" s="154" t="str">
        <f t="shared" si="149"/>
        <v>y</v>
      </c>
      <c r="NDQ1" s="154" t="str">
        <f t="shared" si="149"/>
        <v>y</v>
      </c>
      <c r="NDR1" s="154" t="str">
        <f t="shared" si="149"/>
        <v>y</v>
      </c>
      <c r="NDS1" s="154" t="str">
        <f t="shared" si="149"/>
        <v>y</v>
      </c>
      <c r="NDT1" s="154" t="str">
        <f t="shared" si="149"/>
        <v>y</v>
      </c>
      <c r="NDU1" s="154" t="str">
        <f t="shared" si="149"/>
        <v>y</v>
      </c>
      <c r="NDV1" s="154" t="str">
        <f t="shared" si="149"/>
        <v>y</v>
      </c>
      <c r="NDW1" s="154" t="str">
        <f t="shared" si="149"/>
        <v>y</v>
      </c>
      <c r="NDX1" s="154" t="str">
        <f t="shared" si="149"/>
        <v>y</v>
      </c>
      <c r="NDY1" s="154" t="str">
        <f t="shared" si="149"/>
        <v>y</v>
      </c>
      <c r="NDZ1" s="154" t="str">
        <f t="shared" si="149"/>
        <v>y</v>
      </c>
      <c r="NEA1" s="154" t="str">
        <f t="shared" si="149"/>
        <v>y</v>
      </c>
      <c r="NEB1" s="154" t="str">
        <f t="shared" si="149"/>
        <v>y</v>
      </c>
      <c r="NEC1" s="154" t="str">
        <f t="shared" si="149"/>
        <v>y</v>
      </c>
      <c r="NED1" s="154" t="str">
        <f t="shared" si="149"/>
        <v>y</v>
      </c>
      <c r="NEE1" s="154" t="str">
        <f t="shared" si="149"/>
        <v>y</v>
      </c>
      <c r="NEF1" s="154" t="str">
        <f t="shared" si="149"/>
        <v>y</v>
      </c>
      <c r="NEG1" s="154" t="str">
        <f t="shared" si="149"/>
        <v>y</v>
      </c>
      <c r="NEH1" s="154" t="str">
        <f t="shared" si="149"/>
        <v>y</v>
      </c>
      <c r="NEI1" s="154" t="str">
        <f t="shared" si="149"/>
        <v>y</v>
      </c>
      <c r="NEJ1" s="154" t="str">
        <f t="shared" si="149"/>
        <v>y</v>
      </c>
      <c r="NEK1" s="154" t="str">
        <f t="shared" si="149"/>
        <v>y</v>
      </c>
      <c r="NEL1" s="154" t="str">
        <f t="shared" ref="NEL1:NGW1" si="150">NEL2&amp;"y"</f>
        <v>y</v>
      </c>
      <c r="NEM1" s="154" t="str">
        <f t="shared" si="150"/>
        <v>y</v>
      </c>
      <c r="NEN1" s="154" t="str">
        <f t="shared" si="150"/>
        <v>y</v>
      </c>
      <c r="NEO1" s="154" t="str">
        <f t="shared" si="150"/>
        <v>y</v>
      </c>
      <c r="NEP1" s="154" t="str">
        <f t="shared" si="150"/>
        <v>y</v>
      </c>
      <c r="NEQ1" s="154" t="str">
        <f t="shared" si="150"/>
        <v>y</v>
      </c>
      <c r="NER1" s="154" t="str">
        <f t="shared" si="150"/>
        <v>y</v>
      </c>
      <c r="NES1" s="154" t="str">
        <f t="shared" si="150"/>
        <v>y</v>
      </c>
      <c r="NET1" s="154" t="str">
        <f t="shared" si="150"/>
        <v>y</v>
      </c>
      <c r="NEU1" s="154" t="str">
        <f t="shared" si="150"/>
        <v>y</v>
      </c>
      <c r="NEV1" s="154" t="str">
        <f t="shared" si="150"/>
        <v>y</v>
      </c>
      <c r="NEW1" s="154" t="str">
        <f t="shared" si="150"/>
        <v>y</v>
      </c>
      <c r="NEX1" s="154" t="str">
        <f t="shared" si="150"/>
        <v>y</v>
      </c>
      <c r="NEY1" s="154" t="str">
        <f t="shared" si="150"/>
        <v>y</v>
      </c>
      <c r="NEZ1" s="154" t="str">
        <f t="shared" si="150"/>
        <v>y</v>
      </c>
      <c r="NFA1" s="154" t="str">
        <f t="shared" si="150"/>
        <v>y</v>
      </c>
      <c r="NFB1" s="154" t="str">
        <f t="shared" si="150"/>
        <v>y</v>
      </c>
      <c r="NFC1" s="154" t="str">
        <f t="shared" si="150"/>
        <v>y</v>
      </c>
      <c r="NFD1" s="154" t="str">
        <f t="shared" si="150"/>
        <v>y</v>
      </c>
      <c r="NFE1" s="154" t="str">
        <f t="shared" si="150"/>
        <v>y</v>
      </c>
      <c r="NFF1" s="154" t="str">
        <f t="shared" si="150"/>
        <v>y</v>
      </c>
      <c r="NFG1" s="154" t="str">
        <f t="shared" si="150"/>
        <v>y</v>
      </c>
      <c r="NFH1" s="154" t="str">
        <f t="shared" si="150"/>
        <v>y</v>
      </c>
      <c r="NFI1" s="154" t="str">
        <f t="shared" si="150"/>
        <v>y</v>
      </c>
      <c r="NFJ1" s="154" t="str">
        <f t="shared" si="150"/>
        <v>y</v>
      </c>
      <c r="NFK1" s="154" t="str">
        <f t="shared" si="150"/>
        <v>y</v>
      </c>
      <c r="NFL1" s="154" t="str">
        <f t="shared" si="150"/>
        <v>y</v>
      </c>
      <c r="NFM1" s="154" t="str">
        <f t="shared" si="150"/>
        <v>y</v>
      </c>
      <c r="NFN1" s="154" t="str">
        <f t="shared" si="150"/>
        <v>y</v>
      </c>
      <c r="NFO1" s="154" t="str">
        <f t="shared" si="150"/>
        <v>y</v>
      </c>
      <c r="NFP1" s="154" t="str">
        <f t="shared" si="150"/>
        <v>y</v>
      </c>
      <c r="NFQ1" s="154" t="str">
        <f t="shared" si="150"/>
        <v>y</v>
      </c>
      <c r="NFR1" s="154" t="str">
        <f t="shared" si="150"/>
        <v>y</v>
      </c>
      <c r="NFS1" s="154" t="str">
        <f t="shared" si="150"/>
        <v>y</v>
      </c>
      <c r="NFT1" s="154" t="str">
        <f t="shared" si="150"/>
        <v>y</v>
      </c>
      <c r="NFU1" s="154" t="str">
        <f t="shared" si="150"/>
        <v>y</v>
      </c>
      <c r="NFV1" s="154" t="str">
        <f t="shared" si="150"/>
        <v>y</v>
      </c>
      <c r="NFW1" s="154" t="str">
        <f t="shared" si="150"/>
        <v>y</v>
      </c>
      <c r="NFX1" s="154" t="str">
        <f t="shared" si="150"/>
        <v>y</v>
      </c>
      <c r="NFY1" s="154" t="str">
        <f t="shared" si="150"/>
        <v>y</v>
      </c>
      <c r="NFZ1" s="154" t="str">
        <f t="shared" si="150"/>
        <v>y</v>
      </c>
      <c r="NGA1" s="154" t="str">
        <f t="shared" si="150"/>
        <v>y</v>
      </c>
      <c r="NGB1" s="154" t="str">
        <f t="shared" si="150"/>
        <v>y</v>
      </c>
      <c r="NGC1" s="154" t="str">
        <f t="shared" si="150"/>
        <v>y</v>
      </c>
      <c r="NGD1" s="154" t="str">
        <f t="shared" si="150"/>
        <v>y</v>
      </c>
      <c r="NGE1" s="154" t="str">
        <f t="shared" si="150"/>
        <v>y</v>
      </c>
      <c r="NGF1" s="154" t="str">
        <f t="shared" si="150"/>
        <v>y</v>
      </c>
      <c r="NGG1" s="154" t="str">
        <f t="shared" si="150"/>
        <v>y</v>
      </c>
      <c r="NGH1" s="154" t="str">
        <f t="shared" si="150"/>
        <v>y</v>
      </c>
      <c r="NGI1" s="154" t="str">
        <f t="shared" si="150"/>
        <v>y</v>
      </c>
      <c r="NGJ1" s="154" t="str">
        <f t="shared" si="150"/>
        <v>y</v>
      </c>
      <c r="NGK1" s="154" t="str">
        <f t="shared" si="150"/>
        <v>y</v>
      </c>
      <c r="NGL1" s="154" t="str">
        <f t="shared" si="150"/>
        <v>y</v>
      </c>
      <c r="NGM1" s="154" t="str">
        <f t="shared" si="150"/>
        <v>y</v>
      </c>
      <c r="NGN1" s="154" t="str">
        <f t="shared" si="150"/>
        <v>y</v>
      </c>
      <c r="NGO1" s="154" t="str">
        <f t="shared" si="150"/>
        <v>y</v>
      </c>
      <c r="NGP1" s="154" t="str">
        <f t="shared" si="150"/>
        <v>y</v>
      </c>
      <c r="NGQ1" s="154" t="str">
        <f t="shared" si="150"/>
        <v>y</v>
      </c>
      <c r="NGR1" s="154" t="str">
        <f t="shared" si="150"/>
        <v>y</v>
      </c>
      <c r="NGS1" s="154" t="str">
        <f t="shared" si="150"/>
        <v>y</v>
      </c>
      <c r="NGT1" s="154" t="str">
        <f t="shared" si="150"/>
        <v>y</v>
      </c>
      <c r="NGU1" s="154" t="str">
        <f t="shared" si="150"/>
        <v>y</v>
      </c>
      <c r="NGV1" s="154" t="str">
        <f t="shared" si="150"/>
        <v>y</v>
      </c>
      <c r="NGW1" s="154" t="str">
        <f t="shared" si="150"/>
        <v>y</v>
      </c>
      <c r="NGX1" s="154" t="str">
        <f t="shared" ref="NGX1:NJI1" si="151">NGX2&amp;"y"</f>
        <v>y</v>
      </c>
      <c r="NGY1" s="154" t="str">
        <f t="shared" si="151"/>
        <v>y</v>
      </c>
      <c r="NGZ1" s="154" t="str">
        <f t="shared" si="151"/>
        <v>y</v>
      </c>
      <c r="NHA1" s="154" t="str">
        <f t="shared" si="151"/>
        <v>y</v>
      </c>
      <c r="NHB1" s="154" t="str">
        <f t="shared" si="151"/>
        <v>y</v>
      </c>
      <c r="NHC1" s="154" t="str">
        <f t="shared" si="151"/>
        <v>y</v>
      </c>
      <c r="NHD1" s="154" t="str">
        <f t="shared" si="151"/>
        <v>y</v>
      </c>
      <c r="NHE1" s="154" t="str">
        <f t="shared" si="151"/>
        <v>y</v>
      </c>
      <c r="NHF1" s="154" t="str">
        <f t="shared" si="151"/>
        <v>y</v>
      </c>
      <c r="NHG1" s="154" t="str">
        <f t="shared" si="151"/>
        <v>y</v>
      </c>
      <c r="NHH1" s="154" t="str">
        <f t="shared" si="151"/>
        <v>y</v>
      </c>
      <c r="NHI1" s="154" t="str">
        <f t="shared" si="151"/>
        <v>y</v>
      </c>
      <c r="NHJ1" s="154" t="str">
        <f t="shared" si="151"/>
        <v>y</v>
      </c>
      <c r="NHK1" s="154" t="str">
        <f t="shared" si="151"/>
        <v>y</v>
      </c>
      <c r="NHL1" s="154" t="str">
        <f t="shared" si="151"/>
        <v>y</v>
      </c>
      <c r="NHM1" s="154" t="str">
        <f t="shared" si="151"/>
        <v>y</v>
      </c>
      <c r="NHN1" s="154" t="str">
        <f t="shared" si="151"/>
        <v>y</v>
      </c>
      <c r="NHO1" s="154" t="str">
        <f t="shared" si="151"/>
        <v>y</v>
      </c>
      <c r="NHP1" s="154" t="str">
        <f t="shared" si="151"/>
        <v>y</v>
      </c>
      <c r="NHQ1" s="154" t="str">
        <f t="shared" si="151"/>
        <v>y</v>
      </c>
      <c r="NHR1" s="154" t="str">
        <f t="shared" si="151"/>
        <v>y</v>
      </c>
      <c r="NHS1" s="154" t="str">
        <f t="shared" si="151"/>
        <v>y</v>
      </c>
      <c r="NHT1" s="154" t="str">
        <f t="shared" si="151"/>
        <v>y</v>
      </c>
      <c r="NHU1" s="154" t="str">
        <f t="shared" si="151"/>
        <v>y</v>
      </c>
      <c r="NHV1" s="154" t="str">
        <f t="shared" si="151"/>
        <v>y</v>
      </c>
      <c r="NHW1" s="154" t="str">
        <f t="shared" si="151"/>
        <v>y</v>
      </c>
      <c r="NHX1" s="154" t="str">
        <f t="shared" si="151"/>
        <v>y</v>
      </c>
      <c r="NHY1" s="154" t="str">
        <f t="shared" si="151"/>
        <v>y</v>
      </c>
      <c r="NHZ1" s="154" t="str">
        <f t="shared" si="151"/>
        <v>y</v>
      </c>
      <c r="NIA1" s="154" t="str">
        <f t="shared" si="151"/>
        <v>y</v>
      </c>
      <c r="NIB1" s="154" t="str">
        <f t="shared" si="151"/>
        <v>y</v>
      </c>
      <c r="NIC1" s="154" t="str">
        <f t="shared" si="151"/>
        <v>y</v>
      </c>
      <c r="NID1" s="154" t="str">
        <f t="shared" si="151"/>
        <v>y</v>
      </c>
      <c r="NIE1" s="154" t="str">
        <f t="shared" si="151"/>
        <v>y</v>
      </c>
      <c r="NIF1" s="154" t="str">
        <f t="shared" si="151"/>
        <v>y</v>
      </c>
      <c r="NIG1" s="154" t="str">
        <f t="shared" si="151"/>
        <v>y</v>
      </c>
      <c r="NIH1" s="154" t="str">
        <f t="shared" si="151"/>
        <v>y</v>
      </c>
      <c r="NII1" s="154" t="str">
        <f t="shared" si="151"/>
        <v>y</v>
      </c>
      <c r="NIJ1" s="154" t="str">
        <f t="shared" si="151"/>
        <v>y</v>
      </c>
      <c r="NIK1" s="154" t="str">
        <f t="shared" si="151"/>
        <v>y</v>
      </c>
      <c r="NIL1" s="154" t="str">
        <f t="shared" si="151"/>
        <v>y</v>
      </c>
      <c r="NIM1" s="154" t="str">
        <f t="shared" si="151"/>
        <v>y</v>
      </c>
      <c r="NIN1" s="154" t="str">
        <f t="shared" si="151"/>
        <v>y</v>
      </c>
      <c r="NIO1" s="154" t="str">
        <f t="shared" si="151"/>
        <v>y</v>
      </c>
      <c r="NIP1" s="154" t="str">
        <f t="shared" si="151"/>
        <v>y</v>
      </c>
      <c r="NIQ1" s="154" t="str">
        <f t="shared" si="151"/>
        <v>y</v>
      </c>
      <c r="NIR1" s="154" t="str">
        <f t="shared" si="151"/>
        <v>y</v>
      </c>
      <c r="NIS1" s="154" t="str">
        <f t="shared" si="151"/>
        <v>y</v>
      </c>
      <c r="NIT1" s="154" t="str">
        <f t="shared" si="151"/>
        <v>y</v>
      </c>
      <c r="NIU1" s="154" t="str">
        <f t="shared" si="151"/>
        <v>y</v>
      </c>
      <c r="NIV1" s="154" t="str">
        <f t="shared" si="151"/>
        <v>y</v>
      </c>
      <c r="NIW1" s="154" t="str">
        <f t="shared" si="151"/>
        <v>y</v>
      </c>
      <c r="NIX1" s="154" t="str">
        <f t="shared" si="151"/>
        <v>y</v>
      </c>
      <c r="NIY1" s="154" t="str">
        <f t="shared" si="151"/>
        <v>y</v>
      </c>
      <c r="NIZ1" s="154" t="str">
        <f t="shared" si="151"/>
        <v>y</v>
      </c>
      <c r="NJA1" s="154" t="str">
        <f t="shared" si="151"/>
        <v>y</v>
      </c>
      <c r="NJB1" s="154" t="str">
        <f t="shared" si="151"/>
        <v>y</v>
      </c>
      <c r="NJC1" s="154" t="str">
        <f t="shared" si="151"/>
        <v>y</v>
      </c>
      <c r="NJD1" s="154" t="str">
        <f t="shared" si="151"/>
        <v>y</v>
      </c>
      <c r="NJE1" s="154" t="str">
        <f t="shared" si="151"/>
        <v>y</v>
      </c>
      <c r="NJF1" s="154" t="str">
        <f t="shared" si="151"/>
        <v>y</v>
      </c>
      <c r="NJG1" s="154" t="str">
        <f t="shared" si="151"/>
        <v>y</v>
      </c>
      <c r="NJH1" s="154" t="str">
        <f t="shared" si="151"/>
        <v>y</v>
      </c>
      <c r="NJI1" s="154" t="str">
        <f t="shared" si="151"/>
        <v>y</v>
      </c>
      <c r="NJJ1" s="154" t="str">
        <f t="shared" ref="NJJ1:NLU1" si="152">NJJ2&amp;"y"</f>
        <v>y</v>
      </c>
      <c r="NJK1" s="154" t="str">
        <f t="shared" si="152"/>
        <v>y</v>
      </c>
      <c r="NJL1" s="154" t="str">
        <f t="shared" si="152"/>
        <v>y</v>
      </c>
      <c r="NJM1" s="154" t="str">
        <f t="shared" si="152"/>
        <v>y</v>
      </c>
      <c r="NJN1" s="154" t="str">
        <f t="shared" si="152"/>
        <v>y</v>
      </c>
      <c r="NJO1" s="154" t="str">
        <f t="shared" si="152"/>
        <v>y</v>
      </c>
      <c r="NJP1" s="154" t="str">
        <f t="shared" si="152"/>
        <v>y</v>
      </c>
      <c r="NJQ1" s="154" t="str">
        <f t="shared" si="152"/>
        <v>y</v>
      </c>
      <c r="NJR1" s="154" t="str">
        <f t="shared" si="152"/>
        <v>y</v>
      </c>
      <c r="NJS1" s="154" t="str">
        <f t="shared" si="152"/>
        <v>y</v>
      </c>
      <c r="NJT1" s="154" t="str">
        <f t="shared" si="152"/>
        <v>y</v>
      </c>
      <c r="NJU1" s="154" t="str">
        <f t="shared" si="152"/>
        <v>y</v>
      </c>
      <c r="NJV1" s="154" t="str">
        <f t="shared" si="152"/>
        <v>y</v>
      </c>
      <c r="NJW1" s="154" t="str">
        <f t="shared" si="152"/>
        <v>y</v>
      </c>
      <c r="NJX1" s="154" t="str">
        <f t="shared" si="152"/>
        <v>y</v>
      </c>
      <c r="NJY1" s="154" t="str">
        <f t="shared" si="152"/>
        <v>y</v>
      </c>
      <c r="NJZ1" s="154" t="str">
        <f t="shared" si="152"/>
        <v>y</v>
      </c>
      <c r="NKA1" s="154" t="str">
        <f t="shared" si="152"/>
        <v>y</v>
      </c>
      <c r="NKB1" s="154" t="str">
        <f t="shared" si="152"/>
        <v>y</v>
      </c>
      <c r="NKC1" s="154" t="str">
        <f t="shared" si="152"/>
        <v>y</v>
      </c>
      <c r="NKD1" s="154" t="str">
        <f t="shared" si="152"/>
        <v>y</v>
      </c>
      <c r="NKE1" s="154" t="str">
        <f t="shared" si="152"/>
        <v>y</v>
      </c>
      <c r="NKF1" s="154" t="str">
        <f t="shared" si="152"/>
        <v>y</v>
      </c>
      <c r="NKG1" s="154" t="str">
        <f t="shared" si="152"/>
        <v>y</v>
      </c>
      <c r="NKH1" s="154" t="str">
        <f t="shared" si="152"/>
        <v>y</v>
      </c>
      <c r="NKI1" s="154" t="str">
        <f t="shared" si="152"/>
        <v>y</v>
      </c>
      <c r="NKJ1" s="154" t="str">
        <f t="shared" si="152"/>
        <v>y</v>
      </c>
      <c r="NKK1" s="154" t="str">
        <f t="shared" si="152"/>
        <v>y</v>
      </c>
      <c r="NKL1" s="154" t="str">
        <f t="shared" si="152"/>
        <v>y</v>
      </c>
      <c r="NKM1" s="154" t="str">
        <f t="shared" si="152"/>
        <v>y</v>
      </c>
      <c r="NKN1" s="154" t="str">
        <f t="shared" si="152"/>
        <v>y</v>
      </c>
      <c r="NKO1" s="154" t="str">
        <f t="shared" si="152"/>
        <v>y</v>
      </c>
      <c r="NKP1" s="154" t="str">
        <f t="shared" si="152"/>
        <v>y</v>
      </c>
      <c r="NKQ1" s="154" t="str">
        <f t="shared" si="152"/>
        <v>y</v>
      </c>
      <c r="NKR1" s="154" t="str">
        <f t="shared" si="152"/>
        <v>y</v>
      </c>
      <c r="NKS1" s="154" t="str">
        <f t="shared" si="152"/>
        <v>y</v>
      </c>
      <c r="NKT1" s="154" t="str">
        <f t="shared" si="152"/>
        <v>y</v>
      </c>
      <c r="NKU1" s="154" t="str">
        <f t="shared" si="152"/>
        <v>y</v>
      </c>
      <c r="NKV1" s="154" t="str">
        <f t="shared" si="152"/>
        <v>y</v>
      </c>
      <c r="NKW1" s="154" t="str">
        <f t="shared" si="152"/>
        <v>y</v>
      </c>
      <c r="NKX1" s="154" t="str">
        <f t="shared" si="152"/>
        <v>y</v>
      </c>
      <c r="NKY1" s="154" t="str">
        <f t="shared" si="152"/>
        <v>y</v>
      </c>
      <c r="NKZ1" s="154" t="str">
        <f t="shared" si="152"/>
        <v>y</v>
      </c>
      <c r="NLA1" s="154" t="str">
        <f t="shared" si="152"/>
        <v>y</v>
      </c>
      <c r="NLB1" s="154" t="str">
        <f t="shared" si="152"/>
        <v>y</v>
      </c>
      <c r="NLC1" s="154" t="str">
        <f t="shared" si="152"/>
        <v>y</v>
      </c>
      <c r="NLD1" s="154" t="str">
        <f t="shared" si="152"/>
        <v>y</v>
      </c>
      <c r="NLE1" s="154" t="str">
        <f t="shared" si="152"/>
        <v>y</v>
      </c>
      <c r="NLF1" s="154" t="str">
        <f t="shared" si="152"/>
        <v>y</v>
      </c>
      <c r="NLG1" s="154" t="str">
        <f t="shared" si="152"/>
        <v>y</v>
      </c>
      <c r="NLH1" s="154" t="str">
        <f t="shared" si="152"/>
        <v>y</v>
      </c>
      <c r="NLI1" s="154" t="str">
        <f t="shared" si="152"/>
        <v>y</v>
      </c>
      <c r="NLJ1" s="154" t="str">
        <f t="shared" si="152"/>
        <v>y</v>
      </c>
      <c r="NLK1" s="154" t="str">
        <f t="shared" si="152"/>
        <v>y</v>
      </c>
      <c r="NLL1" s="154" t="str">
        <f t="shared" si="152"/>
        <v>y</v>
      </c>
      <c r="NLM1" s="154" t="str">
        <f t="shared" si="152"/>
        <v>y</v>
      </c>
      <c r="NLN1" s="154" t="str">
        <f t="shared" si="152"/>
        <v>y</v>
      </c>
      <c r="NLO1" s="154" t="str">
        <f t="shared" si="152"/>
        <v>y</v>
      </c>
      <c r="NLP1" s="154" t="str">
        <f t="shared" si="152"/>
        <v>y</v>
      </c>
      <c r="NLQ1" s="154" t="str">
        <f t="shared" si="152"/>
        <v>y</v>
      </c>
      <c r="NLR1" s="154" t="str">
        <f t="shared" si="152"/>
        <v>y</v>
      </c>
      <c r="NLS1" s="154" t="str">
        <f t="shared" si="152"/>
        <v>y</v>
      </c>
      <c r="NLT1" s="154" t="str">
        <f t="shared" si="152"/>
        <v>y</v>
      </c>
      <c r="NLU1" s="154" t="str">
        <f t="shared" si="152"/>
        <v>y</v>
      </c>
      <c r="NLV1" s="154" t="str">
        <f t="shared" ref="NLV1:NOG1" si="153">NLV2&amp;"y"</f>
        <v>y</v>
      </c>
      <c r="NLW1" s="154" t="str">
        <f t="shared" si="153"/>
        <v>y</v>
      </c>
      <c r="NLX1" s="154" t="str">
        <f t="shared" si="153"/>
        <v>y</v>
      </c>
      <c r="NLY1" s="154" t="str">
        <f t="shared" si="153"/>
        <v>y</v>
      </c>
      <c r="NLZ1" s="154" t="str">
        <f t="shared" si="153"/>
        <v>y</v>
      </c>
      <c r="NMA1" s="154" t="str">
        <f t="shared" si="153"/>
        <v>y</v>
      </c>
      <c r="NMB1" s="154" t="str">
        <f t="shared" si="153"/>
        <v>y</v>
      </c>
      <c r="NMC1" s="154" t="str">
        <f t="shared" si="153"/>
        <v>y</v>
      </c>
      <c r="NMD1" s="154" t="str">
        <f t="shared" si="153"/>
        <v>y</v>
      </c>
      <c r="NME1" s="154" t="str">
        <f t="shared" si="153"/>
        <v>y</v>
      </c>
      <c r="NMF1" s="154" t="str">
        <f t="shared" si="153"/>
        <v>y</v>
      </c>
      <c r="NMG1" s="154" t="str">
        <f t="shared" si="153"/>
        <v>y</v>
      </c>
      <c r="NMH1" s="154" t="str">
        <f t="shared" si="153"/>
        <v>y</v>
      </c>
      <c r="NMI1" s="154" t="str">
        <f t="shared" si="153"/>
        <v>y</v>
      </c>
      <c r="NMJ1" s="154" t="str">
        <f t="shared" si="153"/>
        <v>y</v>
      </c>
      <c r="NMK1" s="154" t="str">
        <f t="shared" si="153"/>
        <v>y</v>
      </c>
      <c r="NML1" s="154" t="str">
        <f t="shared" si="153"/>
        <v>y</v>
      </c>
      <c r="NMM1" s="154" t="str">
        <f t="shared" si="153"/>
        <v>y</v>
      </c>
      <c r="NMN1" s="154" t="str">
        <f t="shared" si="153"/>
        <v>y</v>
      </c>
      <c r="NMO1" s="154" t="str">
        <f t="shared" si="153"/>
        <v>y</v>
      </c>
      <c r="NMP1" s="154" t="str">
        <f t="shared" si="153"/>
        <v>y</v>
      </c>
      <c r="NMQ1" s="154" t="str">
        <f t="shared" si="153"/>
        <v>y</v>
      </c>
      <c r="NMR1" s="154" t="str">
        <f t="shared" si="153"/>
        <v>y</v>
      </c>
      <c r="NMS1" s="154" t="str">
        <f t="shared" si="153"/>
        <v>y</v>
      </c>
      <c r="NMT1" s="154" t="str">
        <f t="shared" si="153"/>
        <v>y</v>
      </c>
      <c r="NMU1" s="154" t="str">
        <f t="shared" si="153"/>
        <v>y</v>
      </c>
      <c r="NMV1" s="154" t="str">
        <f t="shared" si="153"/>
        <v>y</v>
      </c>
      <c r="NMW1" s="154" t="str">
        <f t="shared" si="153"/>
        <v>y</v>
      </c>
      <c r="NMX1" s="154" t="str">
        <f t="shared" si="153"/>
        <v>y</v>
      </c>
      <c r="NMY1" s="154" t="str">
        <f t="shared" si="153"/>
        <v>y</v>
      </c>
      <c r="NMZ1" s="154" t="str">
        <f t="shared" si="153"/>
        <v>y</v>
      </c>
      <c r="NNA1" s="154" t="str">
        <f t="shared" si="153"/>
        <v>y</v>
      </c>
      <c r="NNB1" s="154" t="str">
        <f t="shared" si="153"/>
        <v>y</v>
      </c>
      <c r="NNC1" s="154" t="str">
        <f t="shared" si="153"/>
        <v>y</v>
      </c>
      <c r="NND1" s="154" t="str">
        <f t="shared" si="153"/>
        <v>y</v>
      </c>
      <c r="NNE1" s="154" t="str">
        <f t="shared" si="153"/>
        <v>y</v>
      </c>
      <c r="NNF1" s="154" t="str">
        <f t="shared" si="153"/>
        <v>y</v>
      </c>
      <c r="NNG1" s="154" t="str">
        <f t="shared" si="153"/>
        <v>y</v>
      </c>
      <c r="NNH1" s="154" t="str">
        <f t="shared" si="153"/>
        <v>y</v>
      </c>
      <c r="NNI1" s="154" t="str">
        <f t="shared" si="153"/>
        <v>y</v>
      </c>
      <c r="NNJ1" s="154" t="str">
        <f t="shared" si="153"/>
        <v>y</v>
      </c>
      <c r="NNK1" s="154" t="str">
        <f t="shared" si="153"/>
        <v>y</v>
      </c>
      <c r="NNL1" s="154" t="str">
        <f t="shared" si="153"/>
        <v>y</v>
      </c>
      <c r="NNM1" s="154" t="str">
        <f t="shared" si="153"/>
        <v>y</v>
      </c>
      <c r="NNN1" s="154" t="str">
        <f t="shared" si="153"/>
        <v>y</v>
      </c>
      <c r="NNO1" s="154" t="str">
        <f t="shared" si="153"/>
        <v>y</v>
      </c>
      <c r="NNP1" s="154" t="str">
        <f t="shared" si="153"/>
        <v>y</v>
      </c>
      <c r="NNQ1" s="154" t="str">
        <f t="shared" si="153"/>
        <v>y</v>
      </c>
      <c r="NNR1" s="154" t="str">
        <f t="shared" si="153"/>
        <v>y</v>
      </c>
      <c r="NNS1" s="154" t="str">
        <f t="shared" si="153"/>
        <v>y</v>
      </c>
      <c r="NNT1" s="154" t="str">
        <f t="shared" si="153"/>
        <v>y</v>
      </c>
      <c r="NNU1" s="154" t="str">
        <f t="shared" si="153"/>
        <v>y</v>
      </c>
      <c r="NNV1" s="154" t="str">
        <f t="shared" si="153"/>
        <v>y</v>
      </c>
      <c r="NNW1" s="154" t="str">
        <f t="shared" si="153"/>
        <v>y</v>
      </c>
      <c r="NNX1" s="154" t="str">
        <f t="shared" si="153"/>
        <v>y</v>
      </c>
      <c r="NNY1" s="154" t="str">
        <f t="shared" si="153"/>
        <v>y</v>
      </c>
      <c r="NNZ1" s="154" t="str">
        <f t="shared" si="153"/>
        <v>y</v>
      </c>
      <c r="NOA1" s="154" t="str">
        <f t="shared" si="153"/>
        <v>y</v>
      </c>
      <c r="NOB1" s="154" t="str">
        <f t="shared" si="153"/>
        <v>y</v>
      </c>
      <c r="NOC1" s="154" t="str">
        <f t="shared" si="153"/>
        <v>y</v>
      </c>
      <c r="NOD1" s="154" t="str">
        <f t="shared" si="153"/>
        <v>y</v>
      </c>
      <c r="NOE1" s="154" t="str">
        <f t="shared" si="153"/>
        <v>y</v>
      </c>
      <c r="NOF1" s="154" t="str">
        <f t="shared" si="153"/>
        <v>y</v>
      </c>
      <c r="NOG1" s="154" t="str">
        <f t="shared" si="153"/>
        <v>y</v>
      </c>
      <c r="NOH1" s="154" t="str">
        <f t="shared" ref="NOH1:NQS1" si="154">NOH2&amp;"y"</f>
        <v>y</v>
      </c>
      <c r="NOI1" s="154" t="str">
        <f t="shared" si="154"/>
        <v>y</v>
      </c>
      <c r="NOJ1" s="154" t="str">
        <f t="shared" si="154"/>
        <v>y</v>
      </c>
      <c r="NOK1" s="154" t="str">
        <f t="shared" si="154"/>
        <v>y</v>
      </c>
      <c r="NOL1" s="154" t="str">
        <f t="shared" si="154"/>
        <v>y</v>
      </c>
      <c r="NOM1" s="154" t="str">
        <f t="shared" si="154"/>
        <v>y</v>
      </c>
      <c r="NON1" s="154" t="str">
        <f t="shared" si="154"/>
        <v>y</v>
      </c>
      <c r="NOO1" s="154" t="str">
        <f t="shared" si="154"/>
        <v>y</v>
      </c>
      <c r="NOP1" s="154" t="str">
        <f t="shared" si="154"/>
        <v>y</v>
      </c>
      <c r="NOQ1" s="154" t="str">
        <f t="shared" si="154"/>
        <v>y</v>
      </c>
      <c r="NOR1" s="154" t="str">
        <f t="shared" si="154"/>
        <v>y</v>
      </c>
      <c r="NOS1" s="154" t="str">
        <f t="shared" si="154"/>
        <v>y</v>
      </c>
      <c r="NOT1" s="154" t="str">
        <f t="shared" si="154"/>
        <v>y</v>
      </c>
      <c r="NOU1" s="154" t="str">
        <f t="shared" si="154"/>
        <v>y</v>
      </c>
      <c r="NOV1" s="154" t="str">
        <f t="shared" si="154"/>
        <v>y</v>
      </c>
      <c r="NOW1" s="154" t="str">
        <f t="shared" si="154"/>
        <v>y</v>
      </c>
      <c r="NOX1" s="154" t="str">
        <f t="shared" si="154"/>
        <v>y</v>
      </c>
      <c r="NOY1" s="154" t="str">
        <f t="shared" si="154"/>
        <v>y</v>
      </c>
      <c r="NOZ1" s="154" t="str">
        <f t="shared" si="154"/>
        <v>y</v>
      </c>
      <c r="NPA1" s="154" t="str">
        <f t="shared" si="154"/>
        <v>y</v>
      </c>
      <c r="NPB1" s="154" t="str">
        <f t="shared" si="154"/>
        <v>y</v>
      </c>
      <c r="NPC1" s="154" t="str">
        <f t="shared" si="154"/>
        <v>y</v>
      </c>
      <c r="NPD1" s="154" t="str">
        <f t="shared" si="154"/>
        <v>y</v>
      </c>
      <c r="NPE1" s="154" t="str">
        <f t="shared" si="154"/>
        <v>y</v>
      </c>
      <c r="NPF1" s="154" t="str">
        <f t="shared" si="154"/>
        <v>y</v>
      </c>
      <c r="NPG1" s="154" t="str">
        <f t="shared" si="154"/>
        <v>y</v>
      </c>
      <c r="NPH1" s="154" t="str">
        <f t="shared" si="154"/>
        <v>y</v>
      </c>
      <c r="NPI1" s="154" t="str">
        <f t="shared" si="154"/>
        <v>y</v>
      </c>
      <c r="NPJ1" s="154" t="str">
        <f t="shared" si="154"/>
        <v>y</v>
      </c>
      <c r="NPK1" s="154" t="str">
        <f t="shared" si="154"/>
        <v>y</v>
      </c>
      <c r="NPL1" s="154" t="str">
        <f t="shared" si="154"/>
        <v>y</v>
      </c>
      <c r="NPM1" s="154" t="str">
        <f t="shared" si="154"/>
        <v>y</v>
      </c>
      <c r="NPN1" s="154" t="str">
        <f t="shared" si="154"/>
        <v>y</v>
      </c>
      <c r="NPO1" s="154" t="str">
        <f t="shared" si="154"/>
        <v>y</v>
      </c>
      <c r="NPP1" s="154" t="str">
        <f t="shared" si="154"/>
        <v>y</v>
      </c>
      <c r="NPQ1" s="154" t="str">
        <f t="shared" si="154"/>
        <v>y</v>
      </c>
      <c r="NPR1" s="154" t="str">
        <f t="shared" si="154"/>
        <v>y</v>
      </c>
      <c r="NPS1" s="154" t="str">
        <f t="shared" si="154"/>
        <v>y</v>
      </c>
      <c r="NPT1" s="154" t="str">
        <f t="shared" si="154"/>
        <v>y</v>
      </c>
      <c r="NPU1" s="154" t="str">
        <f t="shared" si="154"/>
        <v>y</v>
      </c>
      <c r="NPV1" s="154" t="str">
        <f t="shared" si="154"/>
        <v>y</v>
      </c>
      <c r="NPW1" s="154" t="str">
        <f t="shared" si="154"/>
        <v>y</v>
      </c>
      <c r="NPX1" s="154" t="str">
        <f t="shared" si="154"/>
        <v>y</v>
      </c>
      <c r="NPY1" s="154" t="str">
        <f t="shared" si="154"/>
        <v>y</v>
      </c>
      <c r="NPZ1" s="154" t="str">
        <f t="shared" si="154"/>
        <v>y</v>
      </c>
      <c r="NQA1" s="154" t="str">
        <f t="shared" si="154"/>
        <v>y</v>
      </c>
      <c r="NQB1" s="154" t="str">
        <f t="shared" si="154"/>
        <v>y</v>
      </c>
      <c r="NQC1" s="154" t="str">
        <f t="shared" si="154"/>
        <v>y</v>
      </c>
      <c r="NQD1" s="154" t="str">
        <f t="shared" si="154"/>
        <v>y</v>
      </c>
      <c r="NQE1" s="154" t="str">
        <f t="shared" si="154"/>
        <v>y</v>
      </c>
      <c r="NQF1" s="154" t="str">
        <f t="shared" si="154"/>
        <v>y</v>
      </c>
      <c r="NQG1" s="154" t="str">
        <f t="shared" si="154"/>
        <v>y</v>
      </c>
      <c r="NQH1" s="154" t="str">
        <f t="shared" si="154"/>
        <v>y</v>
      </c>
      <c r="NQI1" s="154" t="str">
        <f t="shared" si="154"/>
        <v>y</v>
      </c>
      <c r="NQJ1" s="154" t="str">
        <f t="shared" si="154"/>
        <v>y</v>
      </c>
      <c r="NQK1" s="154" t="str">
        <f t="shared" si="154"/>
        <v>y</v>
      </c>
      <c r="NQL1" s="154" t="str">
        <f t="shared" si="154"/>
        <v>y</v>
      </c>
      <c r="NQM1" s="154" t="str">
        <f t="shared" si="154"/>
        <v>y</v>
      </c>
      <c r="NQN1" s="154" t="str">
        <f t="shared" si="154"/>
        <v>y</v>
      </c>
      <c r="NQO1" s="154" t="str">
        <f t="shared" si="154"/>
        <v>y</v>
      </c>
      <c r="NQP1" s="154" t="str">
        <f t="shared" si="154"/>
        <v>y</v>
      </c>
      <c r="NQQ1" s="154" t="str">
        <f t="shared" si="154"/>
        <v>y</v>
      </c>
      <c r="NQR1" s="154" t="str">
        <f t="shared" si="154"/>
        <v>y</v>
      </c>
      <c r="NQS1" s="154" t="str">
        <f t="shared" si="154"/>
        <v>y</v>
      </c>
      <c r="NQT1" s="154" t="str">
        <f t="shared" ref="NQT1:NTE1" si="155">NQT2&amp;"y"</f>
        <v>y</v>
      </c>
      <c r="NQU1" s="154" t="str">
        <f t="shared" si="155"/>
        <v>y</v>
      </c>
      <c r="NQV1" s="154" t="str">
        <f t="shared" si="155"/>
        <v>y</v>
      </c>
      <c r="NQW1" s="154" t="str">
        <f t="shared" si="155"/>
        <v>y</v>
      </c>
      <c r="NQX1" s="154" t="str">
        <f t="shared" si="155"/>
        <v>y</v>
      </c>
      <c r="NQY1" s="154" t="str">
        <f t="shared" si="155"/>
        <v>y</v>
      </c>
      <c r="NQZ1" s="154" t="str">
        <f t="shared" si="155"/>
        <v>y</v>
      </c>
      <c r="NRA1" s="154" t="str">
        <f t="shared" si="155"/>
        <v>y</v>
      </c>
      <c r="NRB1" s="154" t="str">
        <f t="shared" si="155"/>
        <v>y</v>
      </c>
      <c r="NRC1" s="154" t="str">
        <f t="shared" si="155"/>
        <v>y</v>
      </c>
      <c r="NRD1" s="154" t="str">
        <f t="shared" si="155"/>
        <v>y</v>
      </c>
      <c r="NRE1" s="154" t="str">
        <f t="shared" si="155"/>
        <v>y</v>
      </c>
      <c r="NRF1" s="154" t="str">
        <f t="shared" si="155"/>
        <v>y</v>
      </c>
      <c r="NRG1" s="154" t="str">
        <f t="shared" si="155"/>
        <v>y</v>
      </c>
      <c r="NRH1" s="154" t="str">
        <f t="shared" si="155"/>
        <v>y</v>
      </c>
      <c r="NRI1" s="154" t="str">
        <f t="shared" si="155"/>
        <v>y</v>
      </c>
      <c r="NRJ1" s="154" t="str">
        <f t="shared" si="155"/>
        <v>y</v>
      </c>
      <c r="NRK1" s="154" t="str">
        <f t="shared" si="155"/>
        <v>y</v>
      </c>
      <c r="NRL1" s="154" t="str">
        <f t="shared" si="155"/>
        <v>y</v>
      </c>
      <c r="NRM1" s="154" t="str">
        <f t="shared" si="155"/>
        <v>y</v>
      </c>
      <c r="NRN1" s="154" t="str">
        <f t="shared" si="155"/>
        <v>y</v>
      </c>
      <c r="NRO1" s="154" t="str">
        <f t="shared" si="155"/>
        <v>y</v>
      </c>
      <c r="NRP1" s="154" t="str">
        <f t="shared" si="155"/>
        <v>y</v>
      </c>
      <c r="NRQ1" s="154" t="str">
        <f t="shared" si="155"/>
        <v>y</v>
      </c>
      <c r="NRR1" s="154" t="str">
        <f t="shared" si="155"/>
        <v>y</v>
      </c>
      <c r="NRS1" s="154" t="str">
        <f t="shared" si="155"/>
        <v>y</v>
      </c>
      <c r="NRT1" s="154" t="str">
        <f t="shared" si="155"/>
        <v>y</v>
      </c>
      <c r="NRU1" s="154" t="str">
        <f t="shared" si="155"/>
        <v>y</v>
      </c>
      <c r="NRV1" s="154" t="str">
        <f t="shared" si="155"/>
        <v>y</v>
      </c>
      <c r="NRW1" s="154" t="str">
        <f t="shared" si="155"/>
        <v>y</v>
      </c>
      <c r="NRX1" s="154" t="str">
        <f t="shared" si="155"/>
        <v>y</v>
      </c>
      <c r="NRY1" s="154" t="str">
        <f t="shared" si="155"/>
        <v>y</v>
      </c>
      <c r="NRZ1" s="154" t="str">
        <f t="shared" si="155"/>
        <v>y</v>
      </c>
      <c r="NSA1" s="154" t="str">
        <f t="shared" si="155"/>
        <v>y</v>
      </c>
      <c r="NSB1" s="154" t="str">
        <f t="shared" si="155"/>
        <v>y</v>
      </c>
      <c r="NSC1" s="154" t="str">
        <f t="shared" si="155"/>
        <v>y</v>
      </c>
      <c r="NSD1" s="154" t="str">
        <f t="shared" si="155"/>
        <v>y</v>
      </c>
      <c r="NSE1" s="154" t="str">
        <f t="shared" si="155"/>
        <v>y</v>
      </c>
      <c r="NSF1" s="154" t="str">
        <f t="shared" si="155"/>
        <v>y</v>
      </c>
      <c r="NSG1" s="154" t="str">
        <f t="shared" si="155"/>
        <v>y</v>
      </c>
      <c r="NSH1" s="154" t="str">
        <f t="shared" si="155"/>
        <v>y</v>
      </c>
      <c r="NSI1" s="154" t="str">
        <f t="shared" si="155"/>
        <v>y</v>
      </c>
      <c r="NSJ1" s="154" t="str">
        <f t="shared" si="155"/>
        <v>y</v>
      </c>
      <c r="NSK1" s="154" t="str">
        <f t="shared" si="155"/>
        <v>y</v>
      </c>
      <c r="NSL1" s="154" t="str">
        <f t="shared" si="155"/>
        <v>y</v>
      </c>
      <c r="NSM1" s="154" t="str">
        <f t="shared" si="155"/>
        <v>y</v>
      </c>
      <c r="NSN1" s="154" t="str">
        <f t="shared" si="155"/>
        <v>y</v>
      </c>
      <c r="NSO1" s="154" t="str">
        <f t="shared" si="155"/>
        <v>y</v>
      </c>
      <c r="NSP1" s="154" t="str">
        <f t="shared" si="155"/>
        <v>y</v>
      </c>
      <c r="NSQ1" s="154" t="str">
        <f t="shared" si="155"/>
        <v>y</v>
      </c>
      <c r="NSR1" s="154" t="str">
        <f t="shared" si="155"/>
        <v>y</v>
      </c>
      <c r="NSS1" s="154" t="str">
        <f t="shared" si="155"/>
        <v>y</v>
      </c>
      <c r="NST1" s="154" t="str">
        <f t="shared" si="155"/>
        <v>y</v>
      </c>
      <c r="NSU1" s="154" t="str">
        <f t="shared" si="155"/>
        <v>y</v>
      </c>
      <c r="NSV1" s="154" t="str">
        <f t="shared" si="155"/>
        <v>y</v>
      </c>
      <c r="NSW1" s="154" t="str">
        <f t="shared" si="155"/>
        <v>y</v>
      </c>
      <c r="NSX1" s="154" t="str">
        <f t="shared" si="155"/>
        <v>y</v>
      </c>
      <c r="NSY1" s="154" t="str">
        <f t="shared" si="155"/>
        <v>y</v>
      </c>
      <c r="NSZ1" s="154" t="str">
        <f t="shared" si="155"/>
        <v>y</v>
      </c>
      <c r="NTA1" s="154" t="str">
        <f t="shared" si="155"/>
        <v>y</v>
      </c>
      <c r="NTB1" s="154" t="str">
        <f t="shared" si="155"/>
        <v>y</v>
      </c>
      <c r="NTC1" s="154" t="str">
        <f t="shared" si="155"/>
        <v>y</v>
      </c>
      <c r="NTD1" s="154" t="str">
        <f t="shared" si="155"/>
        <v>y</v>
      </c>
      <c r="NTE1" s="154" t="str">
        <f t="shared" si="155"/>
        <v>y</v>
      </c>
      <c r="NTF1" s="154" t="str">
        <f t="shared" ref="NTF1:NVQ1" si="156">NTF2&amp;"y"</f>
        <v>y</v>
      </c>
      <c r="NTG1" s="154" t="str">
        <f t="shared" si="156"/>
        <v>y</v>
      </c>
      <c r="NTH1" s="154" t="str">
        <f t="shared" si="156"/>
        <v>y</v>
      </c>
      <c r="NTI1" s="154" t="str">
        <f t="shared" si="156"/>
        <v>y</v>
      </c>
      <c r="NTJ1" s="154" t="str">
        <f t="shared" si="156"/>
        <v>y</v>
      </c>
      <c r="NTK1" s="154" t="str">
        <f t="shared" si="156"/>
        <v>y</v>
      </c>
      <c r="NTL1" s="154" t="str">
        <f t="shared" si="156"/>
        <v>y</v>
      </c>
      <c r="NTM1" s="154" t="str">
        <f t="shared" si="156"/>
        <v>y</v>
      </c>
      <c r="NTN1" s="154" t="str">
        <f t="shared" si="156"/>
        <v>y</v>
      </c>
      <c r="NTO1" s="154" t="str">
        <f t="shared" si="156"/>
        <v>y</v>
      </c>
      <c r="NTP1" s="154" t="str">
        <f t="shared" si="156"/>
        <v>y</v>
      </c>
      <c r="NTQ1" s="154" t="str">
        <f t="shared" si="156"/>
        <v>y</v>
      </c>
      <c r="NTR1" s="154" t="str">
        <f t="shared" si="156"/>
        <v>y</v>
      </c>
      <c r="NTS1" s="154" t="str">
        <f t="shared" si="156"/>
        <v>y</v>
      </c>
      <c r="NTT1" s="154" t="str">
        <f t="shared" si="156"/>
        <v>y</v>
      </c>
      <c r="NTU1" s="154" t="str">
        <f t="shared" si="156"/>
        <v>y</v>
      </c>
      <c r="NTV1" s="154" t="str">
        <f t="shared" si="156"/>
        <v>y</v>
      </c>
      <c r="NTW1" s="154" t="str">
        <f t="shared" si="156"/>
        <v>y</v>
      </c>
      <c r="NTX1" s="154" t="str">
        <f t="shared" si="156"/>
        <v>y</v>
      </c>
      <c r="NTY1" s="154" t="str">
        <f t="shared" si="156"/>
        <v>y</v>
      </c>
      <c r="NTZ1" s="154" t="str">
        <f t="shared" si="156"/>
        <v>y</v>
      </c>
      <c r="NUA1" s="154" t="str">
        <f t="shared" si="156"/>
        <v>y</v>
      </c>
      <c r="NUB1" s="154" t="str">
        <f t="shared" si="156"/>
        <v>y</v>
      </c>
      <c r="NUC1" s="154" t="str">
        <f t="shared" si="156"/>
        <v>y</v>
      </c>
      <c r="NUD1" s="154" t="str">
        <f t="shared" si="156"/>
        <v>y</v>
      </c>
      <c r="NUE1" s="154" t="str">
        <f t="shared" si="156"/>
        <v>y</v>
      </c>
      <c r="NUF1" s="154" t="str">
        <f t="shared" si="156"/>
        <v>y</v>
      </c>
      <c r="NUG1" s="154" t="str">
        <f t="shared" si="156"/>
        <v>y</v>
      </c>
      <c r="NUH1" s="154" t="str">
        <f t="shared" si="156"/>
        <v>y</v>
      </c>
      <c r="NUI1" s="154" t="str">
        <f t="shared" si="156"/>
        <v>y</v>
      </c>
      <c r="NUJ1" s="154" t="str">
        <f t="shared" si="156"/>
        <v>y</v>
      </c>
      <c r="NUK1" s="154" t="str">
        <f t="shared" si="156"/>
        <v>y</v>
      </c>
      <c r="NUL1" s="154" t="str">
        <f t="shared" si="156"/>
        <v>y</v>
      </c>
      <c r="NUM1" s="154" t="str">
        <f t="shared" si="156"/>
        <v>y</v>
      </c>
      <c r="NUN1" s="154" t="str">
        <f t="shared" si="156"/>
        <v>y</v>
      </c>
      <c r="NUO1" s="154" t="str">
        <f t="shared" si="156"/>
        <v>y</v>
      </c>
      <c r="NUP1" s="154" t="str">
        <f t="shared" si="156"/>
        <v>y</v>
      </c>
      <c r="NUQ1" s="154" t="str">
        <f t="shared" si="156"/>
        <v>y</v>
      </c>
      <c r="NUR1" s="154" t="str">
        <f t="shared" si="156"/>
        <v>y</v>
      </c>
      <c r="NUS1" s="154" t="str">
        <f t="shared" si="156"/>
        <v>y</v>
      </c>
      <c r="NUT1" s="154" t="str">
        <f t="shared" si="156"/>
        <v>y</v>
      </c>
      <c r="NUU1" s="154" t="str">
        <f t="shared" si="156"/>
        <v>y</v>
      </c>
      <c r="NUV1" s="154" t="str">
        <f t="shared" si="156"/>
        <v>y</v>
      </c>
      <c r="NUW1" s="154" t="str">
        <f t="shared" si="156"/>
        <v>y</v>
      </c>
      <c r="NUX1" s="154" t="str">
        <f t="shared" si="156"/>
        <v>y</v>
      </c>
      <c r="NUY1" s="154" t="str">
        <f t="shared" si="156"/>
        <v>y</v>
      </c>
      <c r="NUZ1" s="154" t="str">
        <f t="shared" si="156"/>
        <v>y</v>
      </c>
      <c r="NVA1" s="154" t="str">
        <f t="shared" si="156"/>
        <v>y</v>
      </c>
      <c r="NVB1" s="154" t="str">
        <f t="shared" si="156"/>
        <v>y</v>
      </c>
      <c r="NVC1" s="154" t="str">
        <f t="shared" si="156"/>
        <v>y</v>
      </c>
      <c r="NVD1" s="154" t="str">
        <f t="shared" si="156"/>
        <v>y</v>
      </c>
      <c r="NVE1" s="154" t="str">
        <f t="shared" si="156"/>
        <v>y</v>
      </c>
      <c r="NVF1" s="154" t="str">
        <f t="shared" si="156"/>
        <v>y</v>
      </c>
      <c r="NVG1" s="154" t="str">
        <f t="shared" si="156"/>
        <v>y</v>
      </c>
      <c r="NVH1" s="154" t="str">
        <f t="shared" si="156"/>
        <v>y</v>
      </c>
      <c r="NVI1" s="154" t="str">
        <f t="shared" si="156"/>
        <v>y</v>
      </c>
      <c r="NVJ1" s="154" t="str">
        <f t="shared" si="156"/>
        <v>y</v>
      </c>
      <c r="NVK1" s="154" t="str">
        <f t="shared" si="156"/>
        <v>y</v>
      </c>
      <c r="NVL1" s="154" t="str">
        <f t="shared" si="156"/>
        <v>y</v>
      </c>
      <c r="NVM1" s="154" t="str">
        <f t="shared" si="156"/>
        <v>y</v>
      </c>
      <c r="NVN1" s="154" t="str">
        <f t="shared" si="156"/>
        <v>y</v>
      </c>
      <c r="NVO1" s="154" t="str">
        <f t="shared" si="156"/>
        <v>y</v>
      </c>
      <c r="NVP1" s="154" t="str">
        <f t="shared" si="156"/>
        <v>y</v>
      </c>
      <c r="NVQ1" s="154" t="str">
        <f t="shared" si="156"/>
        <v>y</v>
      </c>
      <c r="NVR1" s="154" t="str">
        <f t="shared" ref="NVR1:NYC1" si="157">NVR2&amp;"y"</f>
        <v>y</v>
      </c>
      <c r="NVS1" s="154" t="str">
        <f t="shared" si="157"/>
        <v>y</v>
      </c>
      <c r="NVT1" s="154" t="str">
        <f t="shared" si="157"/>
        <v>y</v>
      </c>
      <c r="NVU1" s="154" t="str">
        <f t="shared" si="157"/>
        <v>y</v>
      </c>
      <c r="NVV1" s="154" t="str">
        <f t="shared" si="157"/>
        <v>y</v>
      </c>
      <c r="NVW1" s="154" t="str">
        <f t="shared" si="157"/>
        <v>y</v>
      </c>
      <c r="NVX1" s="154" t="str">
        <f t="shared" si="157"/>
        <v>y</v>
      </c>
      <c r="NVY1" s="154" t="str">
        <f t="shared" si="157"/>
        <v>y</v>
      </c>
      <c r="NVZ1" s="154" t="str">
        <f t="shared" si="157"/>
        <v>y</v>
      </c>
      <c r="NWA1" s="154" t="str">
        <f t="shared" si="157"/>
        <v>y</v>
      </c>
      <c r="NWB1" s="154" t="str">
        <f t="shared" si="157"/>
        <v>y</v>
      </c>
      <c r="NWC1" s="154" t="str">
        <f t="shared" si="157"/>
        <v>y</v>
      </c>
      <c r="NWD1" s="154" t="str">
        <f t="shared" si="157"/>
        <v>y</v>
      </c>
      <c r="NWE1" s="154" t="str">
        <f t="shared" si="157"/>
        <v>y</v>
      </c>
      <c r="NWF1" s="154" t="str">
        <f t="shared" si="157"/>
        <v>y</v>
      </c>
      <c r="NWG1" s="154" t="str">
        <f t="shared" si="157"/>
        <v>y</v>
      </c>
      <c r="NWH1" s="154" t="str">
        <f t="shared" si="157"/>
        <v>y</v>
      </c>
      <c r="NWI1" s="154" t="str">
        <f t="shared" si="157"/>
        <v>y</v>
      </c>
      <c r="NWJ1" s="154" t="str">
        <f t="shared" si="157"/>
        <v>y</v>
      </c>
      <c r="NWK1" s="154" t="str">
        <f t="shared" si="157"/>
        <v>y</v>
      </c>
      <c r="NWL1" s="154" t="str">
        <f t="shared" si="157"/>
        <v>y</v>
      </c>
      <c r="NWM1" s="154" t="str">
        <f t="shared" si="157"/>
        <v>y</v>
      </c>
      <c r="NWN1" s="154" t="str">
        <f t="shared" si="157"/>
        <v>y</v>
      </c>
      <c r="NWO1" s="154" t="str">
        <f t="shared" si="157"/>
        <v>y</v>
      </c>
      <c r="NWP1" s="154" t="str">
        <f t="shared" si="157"/>
        <v>y</v>
      </c>
      <c r="NWQ1" s="154" t="str">
        <f t="shared" si="157"/>
        <v>y</v>
      </c>
      <c r="NWR1" s="154" t="str">
        <f t="shared" si="157"/>
        <v>y</v>
      </c>
      <c r="NWS1" s="154" t="str">
        <f t="shared" si="157"/>
        <v>y</v>
      </c>
      <c r="NWT1" s="154" t="str">
        <f t="shared" si="157"/>
        <v>y</v>
      </c>
      <c r="NWU1" s="154" t="str">
        <f t="shared" si="157"/>
        <v>y</v>
      </c>
      <c r="NWV1" s="154" t="str">
        <f t="shared" si="157"/>
        <v>y</v>
      </c>
      <c r="NWW1" s="154" t="str">
        <f t="shared" si="157"/>
        <v>y</v>
      </c>
      <c r="NWX1" s="154" t="str">
        <f t="shared" si="157"/>
        <v>y</v>
      </c>
      <c r="NWY1" s="154" t="str">
        <f t="shared" si="157"/>
        <v>y</v>
      </c>
      <c r="NWZ1" s="154" t="str">
        <f t="shared" si="157"/>
        <v>y</v>
      </c>
      <c r="NXA1" s="154" t="str">
        <f t="shared" si="157"/>
        <v>y</v>
      </c>
      <c r="NXB1" s="154" t="str">
        <f t="shared" si="157"/>
        <v>y</v>
      </c>
      <c r="NXC1" s="154" t="str">
        <f t="shared" si="157"/>
        <v>y</v>
      </c>
      <c r="NXD1" s="154" t="str">
        <f t="shared" si="157"/>
        <v>y</v>
      </c>
      <c r="NXE1" s="154" t="str">
        <f t="shared" si="157"/>
        <v>y</v>
      </c>
      <c r="NXF1" s="154" t="str">
        <f t="shared" si="157"/>
        <v>y</v>
      </c>
      <c r="NXG1" s="154" t="str">
        <f t="shared" si="157"/>
        <v>y</v>
      </c>
      <c r="NXH1" s="154" t="str">
        <f t="shared" si="157"/>
        <v>y</v>
      </c>
      <c r="NXI1" s="154" t="str">
        <f t="shared" si="157"/>
        <v>y</v>
      </c>
      <c r="NXJ1" s="154" t="str">
        <f t="shared" si="157"/>
        <v>y</v>
      </c>
      <c r="NXK1" s="154" t="str">
        <f t="shared" si="157"/>
        <v>y</v>
      </c>
      <c r="NXL1" s="154" t="str">
        <f t="shared" si="157"/>
        <v>y</v>
      </c>
      <c r="NXM1" s="154" t="str">
        <f t="shared" si="157"/>
        <v>y</v>
      </c>
      <c r="NXN1" s="154" t="str">
        <f t="shared" si="157"/>
        <v>y</v>
      </c>
      <c r="NXO1" s="154" t="str">
        <f t="shared" si="157"/>
        <v>y</v>
      </c>
      <c r="NXP1" s="154" t="str">
        <f t="shared" si="157"/>
        <v>y</v>
      </c>
      <c r="NXQ1" s="154" t="str">
        <f t="shared" si="157"/>
        <v>y</v>
      </c>
      <c r="NXR1" s="154" t="str">
        <f t="shared" si="157"/>
        <v>y</v>
      </c>
      <c r="NXS1" s="154" t="str">
        <f t="shared" si="157"/>
        <v>y</v>
      </c>
      <c r="NXT1" s="154" t="str">
        <f t="shared" si="157"/>
        <v>y</v>
      </c>
      <c r="NXU1" s="154" t="str">
        <f t="shared" si="157"/>
        <v>y</v>
      </c>
      <c r="NXV1" s="154" t="str">
        <f t="shared" si="157"/>
        <v>y</v>
      </c>
      <c r="NXW1" s="154" t="str">
        <f t="shared" si="157"/>
        <v>y</v>
      </c>
      <c r="NXX1" s="154" t="str">
        <f t="shared" si="157"/>
        <v>y</v>
      </c>
      <c r="NXY1" s="154" t="str">
        <f t="shared" si="157"/>
        <v>y</v>
      </c>
      <c r="NXZ1" s="154" t="str">
        <f t="shared" si="157"/>
        <v>y</v>
      </c>
      <c r="NYA1" s="154" t="str">
        <f t="shared" si="157"/>
        <v>y</v>
      </c>
      <c r="NYB1" s="154" t="str">
        <f t="shared" si="157"/>
        <v>y</v>
      </c>
      <c r="NYC1" s="154" t="str">
        <f t="shared" si="157"/>
        <v>y</v>
      </c>
      <c r="NYD1" s="154" t="str">
        <f t="shared" ref="NYD1:OAO1" si="158">NYD2&amp;"y"</f>
        <v>y</v>
      </c>
      <c r="NYE1" s="154" t="str">
        <f t="shared" si="158"/>
        <v>y</v>
      </c>
      <c r="NYF1" s="154" t="str">
        <f t="shared" si="158"/>
        <v>y</v>
      </c>
      <c r="NYG1" s="154" t="str">
        <f t="shared" si="158"/>
        <v>y</v>
      </c>
      <c r="NYH1" s="154" t="str">
        <f t="shared" si="158"/>
        <v>y</v>
      </c>
      <c r="NYI1" s="154" t="str">
        <f t="shared" si="158"/>
        <v>y</v>
      </c>
      <c r="NYJ1" s="154" t="str">
        <f t="shared" si="158"/>
        <v>y</v>
      </c>
      <c r="NYK1" s="154" t="str">
        <f t="shared" si="158"/>
        <v>y</v>
      </c>
      <c r="NYL1" s="154" t="str">
        <f t="shared" si="158"/>
        <v>y</v>
      </c>
      <c r="NYM1" s="154" t="str">
        <f t="shared" si="158"/>
        <v>y</v>
      </c>
      <c r="NYN1" s="154" t="str">
        <f t="shared" si="158"/>
        <v>y</v>
      </c>
      <c r="NYO1" s="154" t="str">
        <f t="shared" si="158"/>
        <v>y</v>
      </c>
      <c r="NYP1" s="154" t="str">
        <f t="shared" si="158"/>
        <v>y</v>
      </c>
      <c r="NYQ1" s="154" t="str">
        <f t="shared" si="158"/>
        <v>y</v>
      </c>
      <c r="NYR1" s="154" t="str">
        <f t="shared" si="158"/>
        <v>y</v>
      </c>
      <c r="NYS1" s="154" t="str">
        <f t="shared" si="158"/>
        <v>y</v>
      </c>
      <c r="NYT1" s="154" t="str">
        <f t="shared" si="158"/>
        <v>y</v>
      </c>
      <c r="NYU1" s="154" t="str">
        <f t="shared" si="158"/>
        <v>y</v>
      </c>
      <c r="NYV1" s="154" t="str">
        <f t="shared" si="158"/>
        <v>y</v>
      </c>
      <c r="NYW1" s="154" t="str">
        <f t="shared" si="158"/>
        <v>y</v>
      </c>
      <c r="NYX1" s="154" t="str">
        <f t="shared" si="158"/>
        <v>y</v>
      </c>
      <c r="NYY1" s="154" t="str">
        <f t="shared" si="158"/>
        <v>y</v>
      </c>
      <c r="NYZ1" s="154" t="str">
        <f t="shared" si="158"/>
        <v>y</v>
      </c>
      <c r="NZA1" s="154" t="str">
        <f t="shared" si="158"/>
        <v>y</v>
      </c>
      <c r="NZB1" s="154" t="str">
        <f t="shared" si="158"/>
        <v>y</v>
      </c>
      <c r="NZC1" s="154" t="str">
        <f t="shared" si="158"/>
        <v>y</v>
      </c>
      <c r="NZD1" s="154" t="str">
        <f t="shared" si="158"/>
        <v>y</v>
      </c>
      <c r="NZE1" s="154" t="str">
        <f t="shared" si="158"/>
        <v>y</v>
      </c>
      <c r="NZF1" s="154" t="str">
        <f t="shared" si="158"/>
        <v>y</v>
      </c>
      <c r="NZG1" s="154" t="str">
        <f t="shared" si="158"/>
        <v>y</v>
      </c>
      <c r="NZH1" s="154" t="str">
        <f t="shared" si="158"/>
        <v>y</v>
      </c>
      <c r="NZI1" s="154" t="str">
        <f t="shared" si="158"/>
        <v>y</v>
      </c>
      <c r="NZJ1" s="154" t="str">
        <f t="shared" si="158"/>
        <v>y</v>
      </c>
      <c r="NZK1" s="154" t="str">
        <f t="shared" si="158"/>
        <v>y</v>
      </c>
      <c r="NZL1" s="154" t="str">
        <f t="shared" si="158"/>
        <v>y</v>
      </c>
      <c r="NZM1" s="154" t="str">
        <f t="shared" si="158"/>
        <v>y</v>
      </c>
      <c r="NZN1" s="154" t="str">
        <f t="shared" si="158"/>
        <v>y</v>
      </c>
      <c r="NZO1" s="154" t="str">
        <f t="shared" si="158"/>
        <v>y</v>
      </c>
      <c r="NZP1" s="154" t="str">
        <f t="shared" si="158"/>
        <v>y</v>
      </c>
      <c r="NZQ1" s="154" t="str">
        <f t="shared" si="158"/>
        <v>y</v>
      </c>
      <c r="NZR1" s="154" t="str">
        <f t="shared" si="158"/>
        <v>y</v>
      </c>
      <c r="NZS1" s="154" t="str">
        <f t="shared" si="158"/>
        <v>y</v>
      </c>
      <c r="NZT1" s="154" t="str">
        <f t="shared" si="158"/>
        <v>y</v>
      </c>
      <c r="NZU1" s="154" t="str">
        <f t="shared" si="158"/>
        <v>y</v>
      </c>
      <c r="NZV1" s="154" t="str">
        <f t="shared" si="158"/>
        <v>y</v>
      </c>
      <c r="NZW1" s="154" t="str">
        <f t="shared" si="158"/>
        <v>y</v>
      </c>
      <c r="NZX1" s="154" t="str">
        <f t="shared" si="158"/>
        <v>y</v>
      </c>
      <c r="NZY1" s="154" t="str">
        <f t="shared" si="158"/>
        <v>y</v>
      </c>
      <c r="NZZ1" s="154" t="str">
        <f t="shared" si="158"/>
        <v>y</v>
      </c>
      <c r="OAA1" s="154" t="str">
        <f t="shared" si="158"/>
        <v>y</v>
      </c>
      <c r="OAB1" s="154" t="str">
        <f t="shared" si="158"/>
        <v>y</v>
      </c>
      <c r="OAC1" s="154" t="str">
        <f t="shared" si="158"/>
        <v>y</v>
      </c>
      <c r="OAD1" s="154" t="str">
        <f t="shared" si="158"/>
        <v>y</v>
      </c>
      <c r="OAE1" s="154" t="str">
        <f t="shared" si="158"/>
        <v>y</v>
      </c>
      <c r="OAF1" s="154" t="str">
        <f t="shared" si="158"/>
        <v>y</v>
      </c>
      <c r="OAG1" s="154" t="str">
        <f t="shared" si="158"/>
        <v>y</v>
      </c>
      <c r="OAH1" s="154" t="str">
        <f t="shared" si="158"/>
        <v>y</v>
      </c>
      <c r="OAI1" s="154" t="str">
        <f t="shared" si="158"/>
        <v>y</v>
      </c>
      <c r="OAJ1" s="154" t="str">
        <f t="shared" si="158"/>
        <v>y</v>
      </c>
      <c r="OAK1" s="154" t="str">
        <f t="shared" si="158"/>
        <v>y</v>
      </c>
      <c r="OAL1" s="154" t="str">
        <f t="shared" si="158"/>
        <v>y</v>
      </c>
      <c r="OAM1" s="154" t="str">
        <f t="shared" si="158"/>
        <v>y</v>
      </c>
      <c r="OAN1" s="154" t="str">
        <f t="shared" si="158"/>
        <v>y</v>
      </c>
      <c r="OAO1" s="154" t="str">
        <f t="shared" si="158"/>
        <v>y</v>
      </c>
      <c r="OAP1" s="154" t="str">
        <f t="shared" ref="OAP1:ODA1" si="159">OAP2&amp;"y"</f>
        <v>y</v>
      </c>
      <c r="OAQ1" s="154" t="str">
        <f t="shared" si="159"/>
        <v>y</v>
      </c>
      <c r="OAR1" s="154" t="str">
        <f t="shared" si="159"/>
        <v>y</v>
      </c>
      <c r="OAS1" s="154" t="str">
        <f t="shared" si="159"/>
        <v>y</v>
      </c>
      <c r="OAT1" s="154" t="str">
        <f t="shared" si="159"/>
        <v>y</v>
      </c>
      <c r="OAU1" s="154" t="str">
        <f t="shared" si="159"/>
        <v>y</v>
      </c>
      <c r="OAV1" s="154" t="str">
        <f t="shared" si="159"/>
        <v>y</v>
      </c>
      <c r="OAW1" s="154" t="str">
        <f t="shared" si="159"/>
        <v>y</v>
      </c>
      <c r="OAX1" s="154" t="str">
        <f t="shared" si="159"/>
        <v>y</v>
      </c>
      <c r="OAY1" s="154" t="str">
        <f t="shared" si="159"/>
        <v>y</v>
      </c>
      <c r="OAZ1" s="154" t="str">
        <f t="shared" si="159"/>
        <v>y</v>
      </c>
      <c r="OBA1" s="154" t="str">
        <f t="shared" si="159"/>
        <v>y</v>
      </c>
      <c r="OBB1" s="154" t="str">
        <f t="shared" si="159"/>
        <v>y</v>
      </c>
      <c r="OBC1" s="154" t="str">
        <f t="shared" si="159"/>
        <v>y</v>
      </c>
      <c r="OBD1" s="154" t="str">
        <f t="shared" si="159"/>
        <v>y</v>
      </c>
      <c r="OBE1" s="154" t="str">
        <f t="shared" si="159"/>
        <v>y</v>
      </c>
      <c r="OBF1" s="154" t="str">
        <f t="shared" si="159"/>
        <v>y</v>
      </c>
      <c r="OBG1" s="154" t="str">
        <f t="shared" si="159"/>
        <v>y</v>
      </c>
      <c r="OBH1" s="154" t="str">
        <f t="shared" si="159"/>
        <v>y</v>
      </c>
      <c r="OBI1" s="154" t="str">
        <f t="shared" si="159"/>
        <v>y</v>
      </c>
      <c r="OBJ1" s="154" t="str">
        <f t="shared" si="159"/>
        <v>y</v>
      </c>
      <c r="OBK1" s="154" t="str">
        <f t="shared" si="159"/>
        <v>y</v>
      </c>
      <c r="OBL1" s="154" t="str">
        <f t="shared" si="159"/>
        <v>y</v>
      </c>
      <c r="OBM1" s="154" t="str">
        <f t="shared" si="159"/>
        <v>y</v>
      </c>
      <c r="OBN1" s="154" t="str">
        <f t="shared" si="159"/>
        <v>y</v>
      </c>
      <c r="OBO1" s="154" t="str">
        <f t="shared" si="159"/>
        <v>y</v>
      </c>
      <c r="OBP1" s="154" t="str">
        <f t="shared" si="159"/>
        <v>y</v>
      </c>
      <c r="OBQ1" s="154" t="str">
        <f t="shared" si="159"/>
        <v>y</v>
      </c>
      <c r="OBR1" s="154" t="str">
        <f t="shared" si="159"/>
        <v>y</v>
      </c>
      <c r="OBS1" s="154" t="str">
        <f t="shared" si="159"/>
        <v>y</v>
      </c>
      <c r="OBT1" s="154" t="str">
        <f t="shared" si="159"/>
        <v>y</v>
      </c>
      <c r="OBU1" s="154" t="str">
        <f t="shared" si="159"/>
        <v>y</v>
      </c>
      <c r="OBV1" s="154" t="str">
        <f t="shared" si="159"/>
        <v>y</v>
      </c>
      <c r="OBW1" s="154" t="str">
        <f t="shared" si="159"/>
        <v>y</v>
      </c>
      <c r="OBX1" s="154" t="str">
        <f t="shared" si="159"/>
        <v>y</v>
      </c>
      <c r="OBY1" s="154" t="str">
        <f t="shared" si="159"/>
        <v>y</v>
      </c>
      <c r="OBZ1" s="154" t="str">
        <f t="shared" si="159"/>
        <v>y</v>
      </c>
      <c r="OCA1" s="154" t="str">
        <f t="shared" si="159"/>
        <v>y</v>
      </c>
      <c r="OCB1" s="154" t="str">
        <f t="shared" si="159"/>
        <v>y</v>
      </c>
      <c r="OCC1" s="154" t="str">
        <f t="shared" si="159"/>
        <v>y</v>
      </c>
      <c r="OCD1" s="154" t="str">
        <f t="shared" si="159"/>
        <v>y</v>
      </c>
      <c r="OCE1" s="154" t="str">
        <f t="shared" si="159"/>
        <v>y</v>
      </c>
      <c r="OCF1" s="154" t="str">
        <f t="shared" si="159"/>
        <v>y</v>
      </c>
      <c r="OCG1" s="154" t="str">
        <f t="shared" si="159"/>
        <v>y</v>
      </c>
      <c r="OCH1" s="154" t="str">
        <f t="shared" si="159"/>
        <v>y</v>
      </c>
      <c r="OCI1" s="154" t="str">
        <f t="shared" si="159"/>
        <v>y</v>
      </c>
      <c r="OCJ1" s="154" t="str">
        <f t="shared" si="159"/>
        <v>y</v>
      </c>
      <c r="OCK1" s="154" t="str">
        <f t="shared" si="159"/>
        <v>y</v>
      </c>
      <c r="OCL1" s="154" t="str">
        <f t="shared" si="159"/>
        <v>y</v>
      </c>
      <c r="OCM1" s="154" t="str">
        <f t="shared" si="159"/>
        <v>y</v>
      </c>
      <c r="OCN1" s="154" t="str">
        <f t="shared" si="159"/>
        <v>y</v>
      </c>
      <c r="OCO1" s="154" t="str">
        <f t="shared" si="159"/>
        <v>y</v>
      </c>
      <c r="OCP1" s="154" t="str">
        <f t="shared" si="159"/>
        <v>y</v>
      </c>
      <c r="OCQ1" s="154" t="str">
        <f t="shared" si="159"/>
        <v>y</v>
      </c>
      <c r="OCR1" s="154" t="str">
        <f t="shared" si="159"/>
        <v>y</v>
      </c>
      <c r="OCS1" s="154" t="str">
        <f t="shared" si="159"/>
        <v>y</v>
      </c>
      <c r="OCT1" s="154" t="str">
        <f t="shared" si="159"/>
        <v>y</v>
      </c>
      <c r="OCU1" s="154" t="str">
        <f t="shared" si="159"/>
        <v>y</v>
      </c>
      <c r="OCV1" s="154" t="str">
        <f t="shared" si="159"/>
        <v>y</v>
      </c>
      <c r="OCW1" s="154" t="str">
        <f t="shared" si="159"/>
        <v>y</v>
      </c>
      <c r="OCX1" s="154" t="str">
        <f t="shared" si="159"/>
        <v>y</v>
      </c>
      <c r="OCY1" s="154" t="str">
        <f t="shared" si="159"/>
        <v>y</v>
      </c>
      <c r="OCZ1" s="154" t="str">
        <f t="shared" si="159"/>
        <v>y</v>
      </c>
      <c r="ODA1" s="154" t="str">
        <f t="shared" si="159"/>
        <v>y</v>
      </c>
      <c r="ODB1" s="154" t="str">
        <f t="shared" ref="ODB1:OFM1" si="160">ODB2&amp;"y"</f>
        <v>y</v>
      </c>
      <c r="ODC1" s="154" t="str">
        <f t="shared" si="160"/>
        <v>y</v>
      </c>
      <c r="ODD1" s="154" t="str">
        <f t="shared" si="160"/>
        <v>y</v>
      </c>
      <c r="ODE1" s="154" t="str">
        <f t="shared" si="160"/>
        <v>y</v>
      </c>
      <c r="ODF1" s="154" t="str">
        <f t="shared" si="160"/>
        <v>y</v>
      </c>
      <c r="ODG1" s="154" t="str">
        <f t="shared" si="160"/>
        <v>y</v>
      </c>
      <c r="ODH1" s="154" t="str">
        <f t="shared" si="160"/>
        <v>y</v>
      </c>
      <c r="ODI1" s="154" t="str">
        <f t="shared" si="160"/>
        <v>y</v>
      </c>
      <c r="ODJ1" s="154" t="str">
        <f t="shared" si="160"/>
        <v>y</v>
      </c>
      <c r="ODK1" s="154" t="str">
        <f t="shared" si="160"/>
        <v>y</v>
      </c>
      <c r="ODL1" s="154" t="str">
        <f t="shared" si="160"/>
        <v>y</v>
      </c>
      <c r="ODM1" s="154" t="str">
        <f t="shared" si="160"/>
        <v>y</v>
      </c>
      <c r="ODN1" s="154" t="str">
        <f t="shared" si="160"/>
        <v>y</v>
      </c>
      <c r="ODO1" s="154" t="str">
        <f t="shared" si="160"/>
        <v>y</v>
      </c>
      <c r="ODP1" s="154" t="str">
        <f t="shared" si="160"/>
        <v>y</v>
      </c>
      <c r="ODQ1" s="154" t="str">
        <f t="shared" si="160"/>
        <v>y</v>
      </c>
      <c r="ODR1" s="154" t="str">
        <f t="shared" si="160"/>
        <v>y</v>
      </c>
      <c r="ODS1" s="154" t="str">
        <f t="shared" si="160"/>
        <v>y</v>
      </c>
      <c r="ODT1" s="154" t="str">
        <f t="shared" si="160"/>
        <v>y</v>
      </c>
      <c r="ODU1" s="154" t="str">
        <f t="shared" si="160"/>
        <v>y</v>
      </c>
      <c r="ODV1" s="154" t="str">
        <f t="shared" si="160"/>
        <v>y</v>
      </c>
      <c r="ODW1" s="154" t="str">
        <f t="shared" si="160"/>
        <v>y</v>
      </c>
      <c r="ODX1" s="154" t="str">
        <f t="shared" si="160"/>
        <v>y</v>
      </c>
      <c r="ODY1" s="154" t="str">
        <f t="shared" si="160"/>
        <v>y</v>
      </c>
      <c r="ODZ1" s="154" t="str">
        <f t="shared" si="160"/>
        <v>y</v>
      </c>
      <c r="OEA1" s="154" t="str">
        <f t="shared" si="160"/>
        <v>y</v>
      </c>
      <c r="OEB1" s="154" t="str">
        <f t="shared" si="160"/>
        <v>y</v>
      </c>
      <c r="OEC1" s="154" t="str">
        <f t="shared" si="160"/>
        <v>y</v>
      </c>
      <c r="OED1" s="154" t="str">
        <f t="shared" si="160"/>
        <v>y</v>
      </c>
      <c r="OEE1" s="154" t="str">
        <f t="shared" si="160"/>
        <v>y</v>
      </c>
      <c r="OEF1" s="154" t="str">
        <f t="shared" si="160"/>
        <v>y</v>
      </c>
      <c r="OEG1" s="154" t="str">
        <f t="shared" si="160"/>
        <v>y</v>
      </c>
      <c r="OEH1" s="154" t="str">
        <f t="shared" si="160"/>
        <v>y</v>
      </c>
      <c r="OEI1" s="154" t="str">
        <f t="shared" si="160"/>
        <v>y</v>
      </c>
      <c r="OEJ1" s="154" t="str">
        <f t="shared" si="160"/>
        <v>y</v>
      </c>
      <c r="OEK1" s="154" t="str">
        <f t="shared" si="160"/>
        <v>y</v>
      </c>
      <c r="OEL1" s="154" t="str">
        <f t="shared" si="160"/>
        <v>y</v>
      </c>
      <c r="OEM1" s="154" t="str">
        <f t="shared" si="160"/>
        <v>y</v>
      </c>
      <c r="OEN1" s="154" t="str">
        <f t="shared" si="160"/>
        <v>y</v>
      </c>
      <c r="OEO1" s="154" t="str">
        <f t="shared" si="160"/>
        <v>y</v>
      </c>
      <c r="OEP1" s="154" t="str">
        <f t="shared" si="160"/>
        <v>y</v>
      </c>
      <c r="OEQ1" s="154" t="str">
        <f t="shared" si="160"/>
        <v>y</v>
      </c>
      <c r="OER1" s="154" t="str">
        <f t="shared" si="160"/>
        <v>y</v>
      </c>
      <c r="OES1" s="154" t="str">
        <f t="shared" si="160"/>
        <v>y</v>
      </c>
      <c r="OET1" s="154" t="str">
        <f t="shared" si="160"/>
        <v>y</v>
      </c>
      <c r="OEU1" s="154" t="str">
        <f t="shared" si="160"/>
        <v>y</v>
      </c>
      <c r="OEV1" s="154" t="str">
        <f t="shared" si="160"/>
        <v>y</v>
      </c>
      <c r="OEW1" s="154" t="str">
        <f t="shared" si="160"/>
        <v>y</v>
      </c>
      <c r="OEX1" s="154" t="str">
        <f t="shared" si="160"/>
        <v>y</v>
      </c>
      <c r="OEY1" s="154" t="str">
        <f t="shared" si="160"/>
        <v>y</v>
      </c>
      <c r="OEZ1" s="154" t="str">
        <f t="shared" si="160"/>
        <v>y</v>
      </c>
      <c r="OFA1" s="154" t="str">
        <f t="shared" si="160"/>
        <v>y</v>
      </c>
      <c r="OFB1" s="154" t="str">
        <f t="shared" si="160"/>
        <v>y</v>
      </c>
      <c r="OFC1" s="154" t="str">
        <f t="shared" si="160"/>
        <v>y</v>
      </c>
      <c r="OFD1" s="154" t="str">
        <f t="shared" si="160"/>
        <v>y</v>
      </c>
      <c r="OFE1" s="154" t="str">
        <f t="shared" si="160"/>
        <v>y</v>
      </c>
      <c r="OFF1" s="154" t="str">
        <f t="shared" si="160"/>
        <v>y</v>
      </c>
      <c r="OFG1" s="154" t="str">
        <f t="shared" si="160"/>
        <v>y</v>
      </c>
      <c r="OFH1" s="154" t="str">
        <f t="shared" si="160"/>
        <v>y</v>
      </c>
      <c r="OFI1" s="154" t="str">
        <f t="shared" si="160"/>
        <v>y</v>
      </c>
      <c r="OFJ1" s="154" t="str">
        <f t="shared" si="160"/>
        <v>y</v>
      </c>
      <c r="OFK1" s="154" t="str">
        <f t="shared" si="160"/>
        <v>y</v>
      </c>
      <c r="OFL1" s="154" t="str">
        <f t="shared" si="160"/>
        <v>y</v>
      </c>
      <c r="OFM1" s="154" t="str">
        <f t="shared" si="160"/>
        <v>y</v>
      </c>
      <c r="OFN1" s="154" t="str">
        <f t="shared" ref="OFN1:OHY1" si="161">OFN2&amp;"y"</f>
        <v>y</v>
      </c>
      <c r="OFO1" s="154" t="str">
        <f t="shared" si="161"/>
        <v>y</v>
      </c>
      <c r="OFP1" s="154" t="str">
        <f t="shared" si="161"/>
        <v>y</v>
      </c>
      <c r="OFQ1" s="154" t="str">
        <f t="shared" si="161"/>
        <v>y</v>
      </c>
      <c r="OFR1" s="154" t="str">
        <f t="shared" si="161"/>
        <v>y</v>
      </c>
      <c r="OFS1" s="154" t="str">
        <f t="shared" si="161"/>
        <v>y</v>
      </c>
      <c r="OFT1" s="154" t="str">
        <f t="shared" si="161"/>
        <v>y</v>
      </c>
      <c r="OFU1" s="154" t="str">
        <f t="shared" si="161"/>
        <v>y</v>
      </c>
      <c r="OFV1" s="154" t="str">
        <f t="shared" si="161"/>
        <v>y</v>
      </c>
      <c r="OFW1" s="154" t="str">
        <f t="shared" si="161"/>
        <v>y</v>
      </c>
      <c r="OFX1" s="154" t="str">
        <f t="shared" si="161"/>
        <v>y</v>
      </c>
      <c r="OFY1" s="154" t="str">
        <f t="shared" si="161"/>
        <v>y</v>
      </c>
      <c r="OFZ1" s="154" t="str">
        <f t="shared" si="161"/>
        <v>y</v>
      </c>
      <c r="OGA1" s="154" t="str">
        <f t="shared" si="161"/>
        <v>y</v>
      </c>
      <c r="OGB1" s="154" t="str">
        <f t="shared" si="161"/>
        <v>y</v>
      </c>
      <c r="OGC1" s="154" t="str">
        <f t="shared" si="161"/>
        <v>y</v>
      </c>
      <c r="OGD1" s="154" t="str">
        <f t="shared" si="161"/>
        <v>y</v>
      </c>
      <c r="OGE1" s="154" t="str">
        <f t="shared" si="161"/>
        <v>y</v>
      </c>
      <c r="OGF1" s="154" t="str">
        <f t="shared" si="161"/>
        <v>y</v>
      </c>
      <c r="OGG1" s="154" t="str">
        <f t="shared" si="161"/>
        <v>y</v>
      </c>
      <c r="OGH1" s="154" t="str">
        <f t="shared" si="161"/>
        <v>y</v>
      </c>
      <c r="OGI1" s="154" t="str">
        <f t="shared" si="161"/>
        <v>y</v>
      </c>
      <c r="OGJ1" s="154" t="str">
        <f t="shared" si="161"/>
        <v>y</v>
      </c>
      <c r="OGK1" s="154" t="str">
        <f t="shared" si="161"/>
        <v>y</v>
      </c>
      <c r="OGL1" s="154" t="str">
        <f t="shared" si="161"/>
        <v>y</v>
      </c>
      <c r="OGM1" s="154" t="str">
        <f t="shared" si="161"/>
        <v>y</v>
      </c>
      <c r="OGN1" s="154" t="str">
        <f t="shared" si="161"/>
        <v>y</v>
      </c>
      <c r="OGO1" s="154" t="str">
        <f t="shared" si="161"/>
        <v>y</v>
      </c>
      <c r="OGP1" s="154" t="str">
        <f t="shared" si="161"/>
        <v>y</v>
      </c>
      <c r="OGQ1" s="154" t="str">
        <f t="shared" si="161"/>
        <v>y</v>
      </c>
      <c r="OGR1" s="154" t="str">
        <f t="shared" si="161"/>
        <v>y</v>
      </c>
      <c r="OGS1" s="154" t="str">
        <f t="shared" si="161"/>
        <v>y</v>
      </c>
      <c r="OGT1" s="154" t="str">
        <f t="shared" si="161"/>
        <v>y</v>
      </c>
      <c r="OGU1" s="154" t="str">
        <f t="shared" si="161"/>
        <v>y</v>
      </c>
      <c r="OGV1" s="154" t="str">
        <f t="shared" si="161"/>
        <v>y</v>
      </c>
      <c r="OGW1" s="154" t="str">
        <f t="shared" si="161"/>
        <v>y</v>
      </c>
      <c r="OGX1" s="154" t="str">
        <f t="shared" si="161"/>
        <v>y</v>
      </c>
      <c r="OGY1" s="154" t="str">
        <f t="shared" si="161"/>
        <v>y</v>
      </c>
      <c r="OGZ1" s="154" t="str">
        <f t="shared" si="161"/>
        <v>y</v>
      </c>
      <c r="OHA1" s="154" t="str">
        <f t="shared" si="161"/>
        <v>y</v>
      </c>
      <c r="OHB1" s="154" t="str">
        <f t="shared" si="161"/>
        <v>y</v>
      </c>
      <c r="OHC1" s="154" t="str">
        <f t="shared" si="161"/>
        <v>y</v>
      </c>
      <c r="OHD1" s="154" t="str">
        <f t="shared" si="161"/>
        <v>y</v>
      </c>
      <c r="OHE1" s="154" t="str">
        <f t="shared" si="161"/>
        <v>y</v>
      </c>
      <c r="OHF1" s="154" t="str">
        <f t="shared" si="161"/>
        <v>y</v>
      </c>
      <c r="OHG1" s="154" t="str">
        <f t="shared" si="161"/>
        <v>y</v>
      </c>
      <c r="OHH1" s="154" t="str">
        <f t="shared" si="161"/>
        <v>y</v>
      </c>
      <c r="OHI1" s="154" t="str">
        <f t="shared" si="161"/>
        <v>y</v>
      </c>
      <c r="OHJ1" s="154" t="str">
        <f t="shared" si="161"/>
        <v>y</v>
      </c>
      <c r="OHK1" s="154" t="str">
        <f t="shared" si="161"/>
        <v>y</v>
      </c>
      <c r="OHL1" s="154" t="str">
        <f t="shared" si="161"/>
        <v>y</v>
      </c>
      <c r="OHM1" s="154" t="str">
        <f t="shared" si="161"/>
        <v>y</v>
      </c>
      <c r="OHN1" s="154" t="str">
        <f t="shared" si="161"/>
        <v>y</v>
      </c>
      <c r="OHO1" s="154" t="str">
        <f t="shared" si="161"/>
        <v>y</v>
      </c>
      <c r="OHP1" s="154" t="str">
        <f t="shared" si="161"/>
        <v>y</v>
      </c>
      <c r="OHQ1" s="154" t="str">
        <f t="shared" si="161"/>
        <v>y</v>
      </c>
      <c r="OHR1" s="154" t="str">
        <f t="shared" si="161"/>
        <v>y</v>
      </c>
      <c r="OHS1" s="154" t="str">
        <f t="shared" si="161"/>
        <v>y</v>
      </c>
      <c r="OHT1" s="154" t="str">
        <f t="shared" si="161"/>
        <v>y</v>
      </c>
      <c r="OHU1" s="154" t="str">
        <f t="shared" si="161"/>
        <v>y</v>
      </c>
      <c r="OHV1" s="154" t="str">
        <f t="shared" si="161"/>
        <v>y</v>
      </c>
      <c r="OHW1" s="154" t="str">
        <f t="shared" si="161"/>
        <v>y</v>
      </c>
      <c r="OHX1" s="154" t="str">
        <f t="shared" si="161"/>
        <v>y</v>
      </c>
      <c r="OHY1" s="154" t="str">
        <f t="shared" si="161"/>
        <v>y</v>
      </c>
      <c r="OHZ1" s="154" t="str">
        <f t="shared" ref="OHZ1:OKK1" si="162">OHZ2&amp;"y"</f>
        <v>y</v>
      </c>
      <c r="OIA1" s="154" t="str">
        <f t="shared" si="162"/>
        <v>y</v>
      </c>
      <c r="OIB1" s="154" t="str">
        <f t="shared" si="162"/>
        <v>y</v>
      </c>
      <c r="OIC1" s="154" t="str">
        <f t="shared" si="162"/>
        <v>y</v>
      </c>
      <c r="OID1" s="154" t="str">
        <f t="shared" si="162"/>
        <v>y</v>
      </c>
      <c r="OIE1" s="154" t="str">
        <f t="shared" si="162"/>
        <v>y</v>
      </c>
      <c r="OIF1" s="154" t="str">
        <f t="shared" si="162"/>
        <v>y</v>
      </c>
      <c r="OIG1" s="154" t="str">
        <f t="shared" si="162"/>
        <v>y</v>
      </c>
      <c r="OIH1" s="154" t="str">
        <f t="shared" si="162"/>
        <v>y</v>
      </c>
      <c r="OII1" s="154" t="str">
        <f t="shared" si="162"/>
        <v>y</v>
      </c>
      <c r="OIJ1" s="154" t="str">
        <f t="shared" si="162"/>
        <v>y</v>
      </c>
      <c r="OIK1" s="154" t="str">
        <f t="shared" si="162"/>
        <v>y</v>
      </c>
      <c r="OIL1" s="154" t="str">
        <f t="shared" si="162"/>
        <v>y</v>
      </c>
      <c r="OIM1" s="154" t="str">
        <f t="shared" si="162"/>
        <v>y</v>
      </c>
      <c r="OIN1" s="154" t="str">
        <f t="shared" si="162"/>
        <v>y</v>
      </c>
      <c r="OIO1" s="154" t="str">
        <f t="shared" si="162"/>
        <v>y</v>
      </c>
      <c r="OIP1" s="154" t="str">
        <f t="shared" si="162"/>
        <v>y</v>
      </c>
      <c r="OIQ1" s="154" t="str">
        <f t="shared" si="162"/>
        <v>y</v>
      </c>
      <c r="OIR1" s="154" t="str">
        <f t="shared" si="162"/>
        <v>y</v>
      </c>
      <c r="OIS1" s="154" t="str">
        <f t="shared" si="162"/>
        <v>y</v>
      </c>
      <c r="OIT1" s="154" t="str">
        <f t="shared" si="162"/>
        <v>y</v>
      </c>
      <c r="OIU1" s="154" t="str">
        <f t="shared" si="162"/>
        <v>y</v>
      </c>
      <c r="OIV1" s="154" t="str">
        <f t="shared" si="162"/>
        <v>y</v>
      </c>
      <c r="OIW1" s="154" t="str">
        <f t="shared" si="162"/>
        <v>y</v>
      </c>
      <c r="OIX1" s="154" t="str">
        <f t="shared" si="162"/>
        <v>y</v>
      </c>
      <c r="OIY1" s="154" t="str">
        <f t="shared" si="162"/>
        <v>y</v>
      </c>
      <c r="OIZ1" s="154" t="str">
        <f t="shared" si="162"/>
        <v>y</v>
      </c>
      <c r="OJA1" s="154" t="str">
        <f t="shared" si="162"/>
        <v>y</v>
      </c>
      <c r="OJB1" s="154" t="str">
        <f t="shared" si="162"/>
        <v>y</v>
      </c>
      <c r="OJC1" s="154" t="str">
        <f t="shared" si="162"/>
        <v>y</v>
      </c>
      <c r="OJD1" s="154" t="str">
        <f t="shared" si="162"/>
        <v>y</v>
      </c>
      <c r="OJE1" s="154" t="str">
        <f t="shared" si="162"/>
        <v>y</v>
      </c>
      <c r="OJF1" s="154" t="str">
        <f t="shared" si="162"/>
        <v>y</v>
      </c>
      <c r="OJG1" s="154" t="str">
        <f t="shared" si="162"/>
        <v>y</v>
      </c>
      <c r="OJH1" s="154" t="str">
        <f t="shared" si="162"/>
        <v>y</v>
      </c>
      <c r="OJI1" s="154" t="str">
        <f t="shared" si="162"/>
        <v>y</v>
      </c>
      <c r="OJJ1" s="154" t="str">
        <f t="shared" si="162"/>
        <v>y</v>
      </c>
      <c r="OJK1" s="154" t="str">
        <f t="shared" si="162"/>
        <v>y</v>
      </c>
      <c r="OJL1" s="154" t="str">
        <f t="shared" si="162"/>
        <v>y</v>
      </c>
      <c r="OJM1" s="154" t="str">
        <f t="shared" si="162"/>
        <v>y</v>
      </c>
      <c r="OJN1" s="154" t="str">
        <f t="shared" si="162"/>
        <v>y</v>
      </c>
      <c r="OJO1" s="154" t="str">
        <f t="shared" si="162"/>
        <v>y</v>
      </c>
      <c r="OJP1" s="154" t="str">
        <f t="shared" si="162"/>
        <v>y</v>
      </c>
      <c r="OJQ1" s="154" t="str">
        <f t="shared" si="162"/>
        <v>y</v>
      </c>
      <c r="OJR1" s="154" t="str">
        <f t="shared" si="162"/>
        <v>y</v>
      </c>
      <c r="OJS1" s="154" t="str">
        <f t="shared" si="162"/>
        <v>y</v>
      </c>
      <c r="OJT1" s="154" t="str">
        <f t="shared" si="162"/>
        <v>y</v>
      </c>
      <c r="OJU1" s="154" t="str">
        <f t="shared" si="162"/>
        <v>y</v>
      </c>
      <c r="OJV1" s="154" t="str">
        <f t="shared" si="162"/>
        <v>y</v>
      </c>
      <c r="OJW1" s="154" t="str">
        <f t="shared" si="162"/>
        <v>y</v>
      </c>
      <c r="OJX1" s="154" t="str">
        <f t="shared" si="162"/>
        <v>y</v>
      </c>
      <c r="OJY1" s="154" t="str">
        <f t="shared" si="162"/>
        <v>y</v>
      </c>
      <c r="OJZ1" s="154" t="str">
        <f t="shared" si="162"/>
        <v>y</v>
      </c>
      <c r="OKA1" s="154" t="str">
        <f t="shared" si="162"/>
        <v>y</v>
      </c>
      <c r="OKB1" s="154" t="str">
        <f t="shared" si="162"/>
        <v>y</v>
      </c>
      <c r="OKC1" s="154" t="str">
        <f t="shared" si="162"/>
        <v>y</v>
      </c>
      <c r="OKD1" s="154" t="str">
        <f t="shared" si="162"/>
        <v>y</v>
      </c>
      <c r="OKE1" s="154" t="str">
        <f t="shared" si="162"/>
        <v>y</v>
      </c>
      <c r="OKF1" s="154" t="str">
        <f t="shared" si="162"/>
        <v>y</v>
      </c>
      <c r="OKG1" s="154" t="str">
        <f t="shared" si="162"/>
        <v>y</v>
      </c>
      <c r="OKH1" s="154" t="str">
        <f t="shared" si="162"/>
        <v>y</v>
      </c>
      <c r="OKI1" s="154" t="str">
        <f t="shared" si="162"/>
        <v>y</v>
      </c>
      <c r="OKJ1" s="154" t="str">
        <f t="shared" si="162"/>
        <v>y</v>
      </c>
      <c r="OKK1" s="154" t="str">
        <f t="shared" si="162"/>
        <v>y</v>
      </c>
      <c r="OKL1" s="154" t="str">
        <f t="shared" ref="OKL1:OMW1" si="163">OKL2&amp;"y"</f>
        <v>y</v>
      </c>
      <c r="OKM1" s="154" t="str">
        <f t="shared" si="163"/>
        <v>y</v>
      </c>
      <c r="OKN1" s="154" t="str">
        <f t="shared" si="163"/>
        <v>y</v>
      </c>
      <c r="OKO1" s="154" t="str">
        <f t="shared" si="163"/>
        <v>y</v>
      </c>
      <c r="OKP1" s="154" t="str">
        <f t="shared" si="163"/>
        <v>y</v>
      </c>
      <c r="OKQ1" s="154" t="str">
        <f t="shared" si="163"/>
        <v>y</v>
      </c>
      <c r="OKR1" s="154" t="str">
        <f t="shared" si="163"/>
        <v>y</v>
      </c>
      <c r="OKS1" s="154" t="str">
        <f t="shared" si="163"/>
        <v>y</v>
      </c>
      <c r="OKT1" s="154" t="str">
        <f t="shared" si="163"/>
        <v>y</v>
      </c>
      <c r="OKU1" s="154" t="str">
        <f t="shared" si="163"/>
        <v>y</v>
      </c>
      <c r="OKV1" s="154" t="str">
        <f t="shared" si="163"/>
        <v>y</v>
      </c>
      <c r="OKW1" s="154" t="str">
        <f t="shared" si="163"/>
        <v>y</v>
      </c>
      <c r="OKX1" s="154" t="str">
        <f t="shared" si="163"/>
        <v>y</v>
      </c>
      <c r="OKY1" s="154" t="str">
        <f t="shared" si="163"/>
        <v>y</v>
      </c>
      <c r="OKZ1" s="154" t="str">
        <f t="shared" si="163"/>
        <v>y</v>
      </c>
      <c r="OLA1" s="154" t="str">
        <f t="shared" si="163"/>
        <v>y</v>
      </c>
      <c r="OLB1" s="154" t="str">
        <f t="shared" si="163"/>
        <v>y</v>
      </c>
      <c r="OLC1" s="154" t="str">
        <f t="shared" si="163"/>
        <v>y</v>
      </c>
      <c r="OLD1" s="154" t="str">
        <f t="shared" si="163"/>
        <v>y</v>
      </c>
      <c r="OLE1" s="154" t="str">
        <f t="shared" si="163"/>
        <v>y</v>
      </c>
      <c r="OLF1" s="154" t="str">
        <f t="shared" si="163"/>
        <v>y</v>
      </c>
      <c r="OLG1" s="154" t="str">
        <f t="shared" si="163"/>
        <v>y</v>
      </c>
      <c r="OLH1" s="154" t="str">
        <f t="shared" si="163"/>
        <v>y</v>
      </c>
      <c r="OLI1" s="154" t="str">
        <f t="shared" si="163"/>
        <v>y</v>
      </c>
      <c r="OLJ1" s="154" t="str">
        <f t="shared" si="163"/>
        <v>y</v>
      </c>
      <c r="OLK1" s="154" t="str">
        <f t="shared" si="163"/>
        <v>y</v>
      </c>
      <c r="OLL1" s="154" t="str">
        <f t="shared" si="163"/>
        <v>y</v>
      </c>
      <c r="OLM1" s="154" t="str">
        <f t="shared" si="163"/>
        <v>y</v>
      </c>
      <c r="OLN1" s="154" t="str">
        <f t="shared" si="163"/>
        <v>y</v>
      </c>
      <c r="OLO1" s="154" t="str">
        <f t="shared" si="163"/>
        <v>y</v>
      </c>
      <c r="OLP1" s="154" t="str">
        <f t="shared" si="163"/>
        <v>y</v>
      </c>
      <c r="OLQ1" s="154" t="str">
        <f t="shared" si="163"/>
        <v>y</v>
      </c>
      <c r="OLR1" s="154" t="str">
        <f t="shared" si="163"/>
        <v>y</v>
      </c>
      <c r="OLS1" s="154" t="str">
        <f t="shared" si="163"/>
        <v>y</v>
      </c>
      <c r="OLT1" s="154" t="str">
        <f t="shared" si="163"/>
        <v>y</v>
      </c>
      <c r="OLU1" s="154" t="str">
        <f t="shared" si="163"/>
        <v>y</v>
      </c>
      <c r="OLV1" s="154" t="str">
        <f t="shared" si="163"/>
        <v>y</v>
      </c>
      <c r="OLW1" s="154" t="str">
        <f t="shared" si="163"/>
        <v>y</v>
      </c>
      <c r="OLX1" s="154" t="str">
        <f t="shared" si="163"/>
        <v>y</v>
      </c>
      <c r="OLY1" s="154" t="str">
        <f t="shared" si="163"/>
        <v>y</v>
      </c>
      <c r="OLZ1" s="154" t="str">
        <f t="shared" si="163"/>
        <v>y</v>
      </c>
      <c r="OMA1" s="154" t="str">
        <f t="shared" si="163"/>
        <v>y</v>
      </c>
      <c r="OMB1" s="154" t="str">
        <f t="shared" si="163"/>
        <v>y</v>
      </c>
      <c r="OMC1" s="154" t="str">
        <f t="shared" si="163"/>
        <v>y</v>
      </c>
      <c r="OMD1" s="154" t="str">
        <f t="shared" si="163"/>
        <v>y</v>
      </c>
      <c r="OME1" s="154" t="str">
        <f t="shared" si="163"/>
        <v>y</v>
      </c>
      <c r="OMF1" s="154" t="str">
        <f t="shared" si="163"/>
        <v>y</v>
      </c>
      <c r="OMG1" s="154" t="str">
        <f t="shared" si="163"/>
        <v>y</v>
      </c>
      <c r="OMH1" s="154" t="str">
        <f t="shared" si="163"/>
        <v>y</v>
      </c>
      <c r="OMI1" s="154" t="str">
        <f t="shared" si="163"/>
        <v>y</v>
      </c>
      <c r="OMJ1" s="154" t="str">
        <f t="shared" si="163"/>
        <v>y</v>
      </c>
      <c r="OMK1" s="154" t="str">
        <f t="shared" si="163"/>
        <v>y</v>
      </c>
      <c r="OML1" s="154" t="str">
        <f t="shared" si="163"/>
        <v>y</v>
      </c>
      <c r="OMM1" s="154" t="str">
        <f t="shared" si="163"/>
        <v>y</v>
      </c>
      <c r="OMN1" s="154" t="str">
        <f t="shared" si="163"/>
        <v>y</v>
      </c>
      <c r="OMO1" s="154" t="str">
        <f t="shared" si="163"/>
        <v>y</v>
      </c>
      <c r="OMP1" s="154" t="str">
        <f t="shared" si="163"/>
        <v>y</v>
      </c>
      <c r="OMQ1" s="154" t="str">
        <f t="shared" si="163"/>
        <v>y</v>
      </c>
      <c r="OMR1" s="154" t="str">
        <f t="shared" si="163"/>
        <v>y</v>
      </c>
      <c r="OMS1" s="154" t="str">
        <f t="shared" si="163"/>
        <v>y</v>
      </c>
      <c r="OMT1" s="154" t="str">
        <f t="shared" si="163"/>
        <v>y</v>
      </c>
      <c r="OMU1" s="154" t="str">
        <f t="shared" si="163"/>
        <v>y</v>
      </c>
      <c r="OMV1" s="154" t="str">
        <f t="shared" si="163"/>
        <v>y</v>
      </c>
      <c r="OMW1" s="154" t="str">
        <f t="shared" si="163"/>
        <v>y</v>
      </c>
      <c r="OMX1" s="154" t="str">
        <f t="shared" ref="OMX1:OPI1" si="164">OMX2&amp;"y"</f>
        <v>y</v>
      </c>
      <c r="OMY1" s="154" t="str">
        <f t="shared" si="164"/>
        <v>y</v>
      </c>
      <c r="OMZ1" s="154" t="str">
        <f t="shared" si="164"/>
        <v>y</v>
      </c>
      <c r="ONA1" s="154" t="str">
        <f t="shared" si="164"/>
        <v>y</v>
      </c>
      <c r="ONB1" s="154" t="str">
        <f t="shared" si="164"/>
        <v>y</v>
      </c>
      <c r="ONC1" s="154" t="str">
        <f t="shared" si="164"/>
        <v>y</v>
      </c>
      <c r="OND1" s="154" t="str">
        <f t="shared" si="164"/>
        <v>y</v>
      </c>
      <c r="ONE1" s="154" t="str">
        <f t="shared" si="164"/>
        <v>y</v>
      </c>
      <c r="ONF1" s="154" t="str">
        <f t="shared" si="164"/>
        <v>y</v>
      </c>
      <c r="ONG1" s="154" t="str">
        <f t="shared" si="164"/>
        <v>y</v>
      </c>
      <c r="ONH1" s="154" t="str">
        <f t="shared" si="164"/>
        <v>y</v>
      </c>
      <c r="ONI1" s="154" t="str">
        <f t="shared" si="164"/>
        <v>y</v>
      </c>
      <c r="ONJ1" s="154" t="str">
        <f t="shared" si="164"/>
        <v>y</v>
      </c>
      <c r="ONK1" s="154" t="str">
        <f t="shared" si="164"/>
        <v>y</v>
      </c>
      <c r="ONL1" s="154" t="str">
        <f t="shared" si="164"/>
        <v>y</v>
      </c>
      <c r="ONM1" s="154" t="str">
        <f t="shared" si="164"/>
        <v>y</v>
      </c>
      <c r="ONN1" s="154" t="str">
        <f t="shared" si="164"/>
        <v>y</v>
      </c>
      <c r="ONO1" s="154" t="str">
        <f t="shared" si="164"/>
        <v>y</v>
      </c>
      <c r="ONP1" s="154" t="str">
        <f t="shared" si="164"/>
        <v>y</v>
      </c>
      <c r="ONQ1" s="154" t="str">
        <f t="shared" si="164"/>
        <v>y</v>
      </c>
      <c r="ONR1" s="154" t="str">
        <f t="shared" si="164"/>
        <v>y</v>
      </c>
      <c r="ONS1" s="154" t="str">
        <f t="shared" si="164"/>
        <v>y</v>
      </c>
      <c r="ONT1" s="154" t="str">
        <f t="shared" si="164"/>
        <v>y</v>
      </c>
      <c r="ONU1" s="154" t="str">
        <f t="shared" si="164"/>
        <v>y</v>
      </c>
      <c r="ONV1" s="154" t="str">
        <f t="shared" si="164"/>
        <v>y</v>
      </c>
      <c r="ONW1" s="154" t="str">
        <f t="shared" si="164"/>
        <v>y</v>
      </c>
      <c r="ONX1" s="154" t="str">
        <f t="shared" si="164"/>
        <v>y</v>
      </c>
      <c r="ONY1" s="154" t="str">
        <f t="shared" si="164"/>
        <v>y</v>
      </c>
      <c r="ONZ1" s="154" t="str">
        <f t="shared" si="164"/>
        <v>y</v>
      </c>
      <c r="OOA1" s="154" t="str">
        <f t="shared" si="164"/>
        <v>y</v>
      </c>
      <c r="OOB1" s="154" t="str">
        <f t="shared" si="164"/>
        <v>y</v>
      </c>
      <c r="OOC1" s="154" t="str">
        <f t="shared" si="164"/>
        <v>y</v>
      </c>
      <c r="OOD1" s="154" t="str">
        <f t="shared" si="164"/>
        <v>y</v>
      </c>
      <c r="OOE1" s="154" t="str">
        <f t="shared" si="164"/>
        <v>y</v>
      </c>
      <c r="OOF1" s="154" t="str">
        <f t="shared" si="164"/>
        <v>y</v>
      </c>
      <c r="OOG1" s="154" t="str">
        <f t="shared" si="164"/>
        <v>y</v>
      </c>
      <c r="OOH1" s="154" t="str">
        <f t="shared" si="164"/>
        <v>y</v>
      </c>
      <c r="OOI1" s="154" t="str">
        <f t="shared" si="164"/>
        <v>y</v>
      </c>
      <c r="OOJ1" s="154" t="str">
        <f t="shared" si="164"/>
        <v>y</v>
      </c>
      <c r="OOK1" s="154" t="str">
        <f t="shared" si="164"/>
        <v>y</v>
      </c>
      <c r="OOL1" s="154" t="str">
        <f t="shared" si="164"/>
        <v>y</v>
      </c>
      <c r="OOM1" s="154" t="str">
        <f t="shared" si="164"/>
        <v>y</v>
      </c>
      <c r="OON1" s="154" t="str">
        <f t="shared" si="164"/>
        <v>y</v>
      </c>
      <c r="OOO1" s="154" t="str">
        <f t="shared" si="164"/>
        <v>y</v>
      </c>
      <c r="OOP1" s="154" t="str">
        <f t="shared" si="164"/>
        <v>y</v>
      </c>
      <c r="OOQ1" s="154" t="str">
        <f t="shared" si="164"/>
        <v>y</v>
      </c>
      <c r="OOR1" s="154" t="str">
        <f t="shared" si="164"/>
        <v>y</v>
      </c>
      <c r="OOS1" s="154" t="str">
        <f t="shared" si="164"/>
        <v>y</v>
      </c>
      <c r="OOT1" s="154" t="str">
        <f t="shared" si="164"/>
        <v>y</v>
      </c>
      <c r="OOU1" s="154" t="str">
        <f t="shared" si="164"/>
        <v>y</v>
      </c>
      <c r="OOV1" s="154" t="str">
        <f t="shared" si="164"/>
        <v>y</v>
      </c>
      <c r="OOW1" s="154" t="str">
        <f t="shared" si="164"/>
        <v>y</v>
      </c>
      <c r="OOX1" s="154" t="str">
        <f t="shared" si="164"/>
        <v>y</v>
      </c>
      <c r="OOY1" s="154" t="str">
        <f t="shared" si="164"/>
        <v>y</v>
      </c>
      <c r="OOZ1" s="154" t="str">
        <f t="shared" si="164"/>
        <v>y</v>
      </c>
      <c r="OPA1" s="154" t="str">
        <f t="shared" si="164"/>
        <v>y</v>
      </c>
      <c r="OPB1" s="154" t="str">
        <f t="shared" si="164"/>
        <v>y</v>
      </c>
      <c r="OPC1" s="154" t="str">
        <f t="shared" si="164"/>
        <v>y</v>
      </c>
      <c r="OPD1" s="154" t="str">
        <f t="shared" si="164"/>
        <v>y</v>
      </c>
      <c r="OPE1" s="154" t="str">
        <f t="shared" si="164"/>
        <v>y</v>
      </c>
      <c r="OPF1" s="154" t="str">
        <f t="shared" si="164"/>
        <v>y</v>
      </c>
      <c r="OPG1" s="154" t="str">
        <f t="shared" si="164"/>
        <v>y</v>
      </c>
      <c r="OPH1" s="154" t="str">
        <f t="shared" si="164"/>
        <v>y</v>
      </c>
      <c r="OPI1" s="154" t="str">
        <f t="shared" si="164"/>
        <v>y</v>
      </c>
      <c r="OPJ1" s="154" t="str">
        <f t="shared" ref="OPJ1:ORU1" si="165">OPJ2&amp;"y"</f>
        <v>y</v>
      </c>
      <c r="OPK1" s="154" t="str">
        <f t="shared" si="165"/>
        <v>y</v>
      </c>
      <c r="OPL1" s="154" t="str">
        <f t="shared" si="165"/>
        <v>y</v>
      </c>
      <c r="OPM1" s="154" t="str">
        <f t="shared" si="165"/>
        <v>y</v>
      </c>
      <c r="OPN1" s="154" t="str">
        <f t="shared" si="165"/>
        <v>y</v>
      </c>
      <c r="OPO1" s="154" t="str">
        <f t="shared" si="165"/>
        <v>y</v>
      </c>
      <c r="OPP1" s="154" t="str">
        <f t="shared" si="165"/>
        <v>y</v>
      </c>
      <c r="OPQ1" s="154" t="str">
        <f t="shared" si="165"/>
        <v>y</v>
      </c>
      <c r="OPR1" s="154" t="str">
        <f t="shared" si="165"/>
        <v>y</v>
      </c>
      <c r="OPS1" s="154" t="str">
        <f t="shared" si="165"/>
        <v>y</v>
      </c>
      <c r="OPT1" s="154" t="str">
        <f t="shared" si="165"/>
        <v>y</v>
      </c>
      <c r="OPU1" s="154" t="str">
        <f t="shared" si="165"/>
        <v>y</v>
      </c>
      <c r="OPV1" s="154" t="str">
        <f t="shared" si="165"/>
        <v>y</v>
      </c>
      <c r="OPW1" s="154" t="str">
        <f t="shared" si="165"/>
        <v>y</v>
      </c>
      <c r="OPX1" s="154" t="str">
        <f t="shared" si="165"/>
        <v>y</v>
      </c>
      <c r="OPY1" s="154" t="str">
        <f t="shared" si="165"/>
        <v>y</v>
      </c>
      <c r="OPZ1" s="154" t="str">
        <f t="shared" si="165"/>
        <v>y</v>
      </c>
      <c r="OQA1" s="154" t="str">
        <f t="shared" si="165"/>
        <v>y</v>
      </c>
      <c r="OQB1" s="154" t="str">
        <f t="shared" si="165"/>
        <v>y</v>
      </c>
      <c r="OQC1" s="154" t="str">
        <f t="shared" si="165"/>
        <v>y</v>
      </c>
      <c r="OQD1" s="154" t="str">
        <f t="shared" si="165"/>
        <v>y</v>
      </c>
      <c r="OQE1" s="154" t="str">
        <f t="shared" si="165"/>
        <v>y</v>
      </c>
      <c r="OQF1" s="154" t="str">
        <f t="shared" si="165"/>
        <v>y</v>
      </c>
      <c r="OQG1" s="154" t="str">
        <f t="shared" si="165"/>
        <v>y</v>
      </c>
      <c r="OQH1" s="154" t="str">
        <f t="shared" si="165"/>
        <v>y</v>
      </c>
      <c r="OQI1" s="154" t="str">
        <f t="shared" si="165"/>
        <v>y</v>
      </c>
      <c r="OQJ1" s="154" t="str">
        <f t="shared" si="165"/>
        <v>y</v>
      </c>
      <c r="OQK1" s="154" t="str">
        <f t="shared" si="165"/>
        <v>y</v>
      </c>
      <c r="OQL1" s="154" t="str">
        <f t="shared" si="165"/>
        <v>y</v>
      </c>
      <c r="OQM1" s="154" t="str">
        <f t="shared" si="165"/>
        <v>y</v>
      </c>
      <c r="OQN1" s="154" t="str">
        <f t="shared" si="165"/>
        <v>y</v>
      </c>
      <c r="OQO1" s="154" t="str">
        <f t="shared" si="165"/>
        <v>y</v>
      </c>
      <c r="OQP1" s="154" t="str">
        <f t="shared" si="165"/>
        <v>y</v>
      </c>
      <c r="OQQ1" s="154" t="str">
        <f t="shared" si="165"/>
        <v>y</v>
      </c>
      <c r="OQR1" s="154" t="str">
        <f t="shared" si="165"/>
        <v>y</v>
      </c>
      <c r="OQS1" s="154" t="str">
        <f t="shared" si="165"/>
        <v>y</v>
      </c>
      <c r="OQT1" s="154" t="str">
        <f t="shared" si="165"/>
        <v>y</v>
      </c>
      <c r="OQU1" s="154" t="str">
        <f t="shared" si="165"/>
        <v>y</v>
      </c>
      <c r="OQV1" s="154" t="str">
        <f t="shared" si="165"/>
        <v>y</v>
      </c>
      <c r="OQW1" s="154" t="str">
        <f t="shared" si="165"/>
        <v>y</v>
      </c>
      <c r="OQX1" s="154" t="str">
        <f t="shared" si="165"/>
        <v>y</v>
      </c>
      <c r="OQY1" s="154" t="str">
        <f t="shared" si="165"/>
        <v>y</v>
      </c>
      <c r="OQZ1" s="154" t="str">
        <f t="shared" si="165"/>
        <v>y</v>
      </c>
      <c r="ORA1" s="154" t="str">
        <f t="shared" si="165"/>
        <v>y</v>
      </c>
      <c r="ORB1" s="154" t="str">
        <f t="shared" si="165"/>
        <v>y</v>
      </c>
      <c r="ORC1" s="154" t="str">
        <f t="shared" si="165"/>
        <v>y</v>
      </c>
      <c r="ORD1" s="154" t="str">
        <f t="shared" si="165"/>
        <v>y</v>
      </c>
      <c r="ORE1" s="154" t="str">
        <f t="shared" si="165"/>
        <v>y</v>
      </c>
      <c r="ORF1" s="154" t="str">
        <f t="shared" si="165"/>
        <v>y</v>
      </c>
      <c r="ORG1" s="154" t="str">
        <f t="shared" si="165"/>
        <v>y</v>
      </c>
      <c r="ORH1" s="154" t="str">
        <f t="shared" si="165"/>
        <v>y</v>
      </c>
      <c r="ORI1" s="154" t="str">
        <f t="shared" si="165"/>
        <v>y</v>
      </c>
      <c r="ORJ1" s="154" t="str">
        <f t="shared" si="165"/>
        <v>y</v>
      </c>
      <c r="ORK1" s="154" t="str">
        <f t="shared" si="165"/>
        <v>y</v>
      </c>
      <c r="ORL1" s="154" t="str">
        <f t="shared" si="165"/>
        <v>y</v>
      </c>
      <c r="ORM1" s="154" t="str">
        <f t="shared" si="165"/>
        <v>y</v>
      </c>
      <c r="ORN1" s="154" t="str">
        <f t="shared" si="165"/>
        <v>y</v>
      </c>
      <c r="ORO1" s="154" t="str">
        <f t="shared" si="165"/>
        <v>y</v>
      </c>
      <c r="ORP1" s="154" t="str">
        <f t="shared" si="165"/>
        <v>y</v>
      </c>
      <c r="ORQ1" s="154" t="str">
        <f t="shared" si="165"/>
        <v>y</v>
      </c>
      <c r="ORR1" s="154" t="str">
        <f t="shared" si="165"/>
        <v>y</v>
      </c>
      <c r="ORS1" s="154" t="str">
        <f t="shared" si="165"/>
        <v>y</v>
      </c>
      <c r="ORT1" s="154" t="str">
        <f t="shared" si="165"/>
        <v>y</v>
      </c>
      <c r="ORU1" s="154" t="str">
        <f t="shared" si="165"/>
        <v>y</v>
      </c>
      <c r="ORV1" s="154" t="str">
        <f t="shared" ref="ORV1:OUG1" si="166">ORV2&amp;"y"</f>
        <v>y</v>
      </c>
      <c r="ORW1" s="154" t="str">
        <f t="shared" si="166"/>
        <v>y</v>
      </c>
      <c r="ORX1" s="154" t="str">
        <f t="shared" si="166"/>
        <v>y</v>
      </c>
      <c r="ORY1" s="154" t="str">
        <f t="shared" si="166"/>
        <v>y</v>
      </c>
      <c r="ORZ1" s="154" t="str">
        <f t="shared" si="166"/>
        <v>y</v>
      </c>
      <c r="OSA1" s="154" t="str">
        <f t="shared" si="166"/>
        <v>y</v>
      </c>
      <c r="OSB1" s="154" t="str">
        <f t="shared" si="166"/>
        <v>y</v>
      </c>
      <c r="OSC1" s="154" t="str">
        <f t="shared" si="166"/>
        <v>y</v>
      </c>
      <c r="OSD1" s="154" t="str">
        <f t="shared" si="166"/>
        <v>y</v>
      </c>
      <c r="OSE1" s="154" t="str">
        <f t="shared" si="166"/>
        <v>y</v>
      </c>
      <c r="OSF1" s="154" t="str">
        <f t="shared" si="166"/>
        <v>y</v>
      </c>
      <c r="OSG1" s="154" t="str">
        <f t="shared" si="166"/>
        <v>y</v>
      </c>
      <c r="OSH1" s="154" t="str">
        <f t="shared" si="166"/>
        <v>y</v>
      </c>
      <c r="OSI1" s="154" t="str">
        <f t="shared" si="166"/>
        <v>y</v>
      </c>
      <c r="OSJ1" s="154" t="str">
        <f t="shared" si="166"/>
        <v>y</v>
      </c>
      <c r="OSK1" s="154" t="str">
        <f t="shared" si="166"/>
        <v>y</v>
      </c>
      <c r="OSL1" s="154" t="str">
        <f t="shared" si="166"/>
        <v>y</v>
      </c>
      <c r="OSM1" s="154" t="str">
        <f t="shared" si="166"/>
        <v>y</v>
      </c>
      <c r="OSN1" s="154" t="str">
        <f t="shared" si="166"/>
        <v>y</v>
      </c>
      <c r="OSO1" s="154" t="str">
        <f t="shared" si="166"/>
        <v>y</v>
      </c>
      <c r="OSP1" s="154" t="str">
        <f t="shared" si="166"/>
        <v>y</v>
      </c>
      <c r="OSQ1" s="154" t="str">
        <f t="shared" si="166"/>
        <v>y</v>
      </c>
      <c r="OSR1" s="154" t="str">
        <f t="shared" si="166"/>
        <v>y</v>
      </c>
      <c r="OSS1" s="154" t="str">
        <f t="shared" si="166"/>
        <v>y</v>
      </c>
      <c r="OST1" s="154" t="str">
        <f t="shared" si="166"/>
        <v>y</v>
      </c>
      <c r="OSU1" s="154" t="str">
        <f t="shared" si="166"/>
        <v>y</v>
      </c>
      <c r="OSV1" s="154" t="str">
        <f t="shared" si="166"/>
        <v>y</v>
      </c>
      <c r="OSW1" s="154" t="str">
        <f t="shared" si="166"/>
        <v>y</v>
      </c>
      <c r="OSX1" s="154" t="str">
        <f t="shared" si="166"/>
        <v>y</v>
      </c>
      <c r="OSY1" s="154" t="str">
        <f t="shared" si="166"/>
        <v>y</v>
      </c>
      <c r="OSZ1" s="154" t="str">
        <f t="shared" si="166"/>
        <v>y</v>
      </c>
      <c r="OTA1" s="154" t="str">
        <f t="shared" si="166"/>
        <v>y</v>
      </c>
      <c r="OTB1" s="154" t="str">
        <f t="shared" si="166"/>
        <v>y</v>
      </c>
      <c r="OTC1" s="154" t="str">
        <f t="shared" si="166"/>
        <v>y</v>
      </c>
      <c r="OTD1" s="154" t="str">
        <f t="shared" si="166"/>
        <v>y</v>
      </c>
      <c r="OTE1" s="154" t="str">
        <f t="shared" si="166"/>
        <v>y</v>
      </c>
      <c r="OTF1" s="154" t="str">
        <f t="shared" si="166"/>
        <v>y</v>
      </c>
      <c r="OTG1" s="154" t="str">
        <f t="shared" si="166"/>
        <v>y</v>
      </c>
      <c r="OTH1" s="154" t="str">
        <f t="shared" si="166"/>
        <v>y</v>
      </c>
      <c r="OTI1" s="154" t="str">
        <f t="shared" si="166"/>
        <v>y</v>
      </c>
      <c r="OTJ1" s="154" t="str">
        <f t="shared" si="166"/>
        <v>y</v>
      </c>
      <c r="OTK1" s="154" t="str">
        <f t="shared" si="166"/>
        <v>y</v>
      </c>
      <c r="OTL1" s="154" t="str">
        <f t="shared" si="166"/>
        <v>y</v>
      </c>
      <c r="OTM1" s="154" t="str">
        <f t="shared" si="166"/>
        <v>y</v>
      </c>
      <c r="OTN1" s="154" t="str">
        <f t="shared" si="166"/>
        <v>y</v>
      </c>
      <c r="OTO1" s="154" t="str">
        <f t="shared" si="166"/>
        <v>y</v>
      </c>
      <c r="OTP1" s="154" t="str">
        <f t="shared" si="166"/>
        <v>y</v>
      </c>
      <c r="OTQ1" s="154" t="str">
        <f t="shared" si="166"/>
        <v>y</v>
      </c>
      <c r="OTR1" s="154" t="str">
        <f t="shared" si="166"/>
        <v>y</v>
      </c>
      <c r="OTS1" s="154" t="str">
        <f t="shared" si="166"/>
        <v>y</v>
      </c>
      <c r="OTT1" s="154" t="str">
        <f t="shared" si="166"/>
        <v>y</v>
      </c>
      <c r="OTU1" s="154" t="str">
        <f t="shared" si="166"/>
        <v>y</v>
      </c>
      <c r="OTV1" s="154" t="str">
        <f t="shared" si="166"/>
        <v>y</v>
      </c>
      <c r="OTW1" s="154" t="str">
        <f t="shared" si="166"/>
        <v>y</v>
      </c>
      <c r="OTX1" s="154" t="str">
        <f t="shared" si="166"/>
        <v>y</v>
      </c>
      <c r="OTY1" s="154" t="str">
        <f t="shared" si="166"/>
        <v>y</v>
      </c>
      <c r="OTZ1" s="154" t="str">
        <f t="shared" si="166"/>
        <v>y</v>
      </c>
      <c r="OUA1" s="154" t="str">
        <f t="shared" si="166"/>
        <v>y</v>
      </c>
      <c r="OUB1" s="154" t="str">
        <f t="shared" si="166"/>
        <v>y</v>
      </c>
      <c r="OUC1" s="154" t="str">
        <f t="shared" si="166"/>
        <v>y</v>
      </c>
      <c r="OUD1" s="154" t="str">
        <f t="shared" si="166"/>
        <v>y</v>
      </c>
      <c r="OUE1" s="154" t="str">
        <f t="shared" si="166"/>
        <v>y</v>
      </c>
      <c r="OUF1" s="154" t="str">
        <f t="shared" si="166"/>
        <v>y</v>
      </c>
      <c r="OUG1" s="154" t="str">
        <f t="shared" si="166"/>
        <v>y</v>
      </c>
      <c r="OUH1" s="154" t="str">
        <f t="shared" ref="OUH1:OWS1" si="167">OUH2&amp;"y"</f>
        <v>y</v>
      </c>
      <c r="OUI1" s="154" t="str">
        <f t="shared" si="167"/>
        <v>y</v>
      </c>
      <c r="OUJ1" s="154" t="str">
        <f t="shared" si="167"/>
        <v>y</v>
      </c>
      <c r="OUK1" s="154" t="str">
        <f t="shared" si="167"/>
        <v>y</v>
      </c>
      <c r="OUL1" s="154" t="str">
        <f t="shared" si="167"/>
        <v>y</v>
      </c>
      <c r="OUM1" s="154" t="str">
        <f t="shared" si="167"/>
        <v>y</v>
      </c>
      <c r="OUN1" s="154" t="str">
        <f t="shared" si="167"/>
        <v>y</v>
      </c>
      <c r="OUO1" s="154" t="str">
        <f t="shared" si="167"/>
        <v>y</v>
      </c>
      <c r="OUP1" s="154" t="str">
        <f t="shared" si="167"/>
        <v>y</v>
      </c>
      <c r="OUQ1" s="154" t="str">
        <f t="shared" si="167"/>
        <v>y</v>
      </c>
      <c r="OUR1" s="154" t="str">
        <f t="shared" si="167"/>
        <v>y</v>
      </c>
      <c r="OUS1" s="154" t="str">
        <f t="shared" si="167"/>
        <v>y</v>
      </c>
      <c r="OUT1" s="154" t="str">
        <f t="shared" si="167"/>
        <v>y</v>
      </c>
      <c r="OUU1" s="154" t="str">
        <f t="shared" si="167"/>
        <v>y</v>
      </c>
      <c r="OUV1" s="154" t="str">
        <f t="shared" si="167"/>
        <v>y</v>
      </c>
      <c r="OUW1" s="154" t="str">
        <f t="shared" si="167"/>
        <v>y</v>
      </c>
      <c r="OUX1" s="154" t="str">
        <f t="shared" si="167"/>
        <v>y</v>
      </c>
      <c r="OUY1" s="154" t="str">
        <f t="shared" si="167"/>
        <v>y</v>
      </c>
      <c r="OUZ1" s="154" t="str">
        <f t="shared" si="167"/>
        <v>y</v>
      </c>
      <c r="OVA1" s="154" t="str">
        <f t="shared" si="167"/>
        <v>y</v>
      </c>
      <c r="OVB1" s="154" t="str">
        <f t="shared" si="167"/>
        <v>y</v>
      </c>
      <c r="OVC1" s="154" t="str">
        <f t="shared" si="167"/>
        <v>y</v>
      </c>
      <c r="OVD1" s="154" t="str">
        <f t="shared" si="167"/>
        <v>y</v>
      </c>
      <c r="OVE1" s="154" t="str">
        <f t="shared" si="167"/>
        <v>y</v>
      </c>
      <c r="OVF1" s="154" t="str">
        <f t="shared" si="167"/>
        <v>y</v>
      </c>
      <c r="OVG1" s="154" t="str">
        <f t="shared" si="167"/>
        <v>y</v>
      </c>
      <c r="OVH1" s="154" t="str">
        <f t="shared" si="167"/>
        <v>y</v>
      </c>
      <c r="OVI1" s="154" t="str">
        <f t="shared" si="167"/>
        <v>y</v>
      </c>
      <c r="OVJ1" s="154" t="str">
        <f t="shared" si="167"/>
        <v>y</v>
      </c>
      <c r="OVK1" s="154" t="str">
        <f t="shared" si="167"/>
        <v>y</v>
      </c>
      <c r="OVL1" s="154" t="str">
        <f t="shared" si="167"/>
        <v>y</v>
      </c>
      <c r="OVM1" s="154" t="str">
        <f t="shared" si="167"/>
        <v>y</v>
      </c>
      <c r="OVN1" s="154" t="str">
        <f t="shared" si="167"/>
        <v>y</v>
      </c>
      <c r="OVO1" s="154" t="str">
        <f t="shared" si="167"/>
        <v>y</v>
      </c>
      <c r="OVP1" s="154" t="str">
        <f t="shared" si="167"/>
        <v>y</v>
      </c>
      <c r="OVQ1" s="154" t="str">
        <f t="shared" si="167"/>
        <v>y</v>
      </c>
      <c r="OVR1" s="154" t="str">
        <f t="shared" si="167"/>
        <v>y</v>
      </c>
      <c r="OVS1" s="154" t="str">
        <f t="shared" si="167"/>
        <v>y</v>
      </c>
      <c r="OVT1" s="154" t="str">
        <f t="shared" si="167"/>
        <v>y</v>
      </c>
      <c r="OVU1" s="154" t="str">
        <f t="shared" si="167"/>
        <v>y</v>
      </c>
      <c r="OVV1" s="154" t="str">
        <f t="shared" si="167"/>
        <v>y</v>
      </c>
      <c r="OVW1" s="154" t="str">
        <f t="shared" si="167"/>
        <v>y</v>
      </c>
      <c r="OVX1" s="154" t="str">
        <f t="shared" si="167"/>
        <v>y</v>
      </c>
      <c r="OVY1" s="154" t="str">
        <f t="shared" si="167"/>
        <v>y</v>
      </c>
      <c r="OVZ1" s="154" t="str">
        <f t="shared" si="167"/>
        <v>y</v>
      </c>
      <c r="OWA1" s="154" t="str">
        <f t="shared" si="167"/>
        <v>y</v>
      </c>
      <c r="OWB1" s="154" t="str">
        <f t="shared" si="167"/>
        <v>y</v>
      </c>
      <c r="OWC1" s="154" t="str">
        <f t="shared" si="167"/>
        <v>y</v>
      </c>
      <c r="OWD1" s="154" t="str">
        <f t="shared" si="167"/>
        <v>y</v>
      </c>
      <c r="OWE1" s="154" t="str">
        <f t="shared" si="167"/>
        <v>y</v>
      </c>
      <c r="OWF1" s="154" t="str">
        <f t="shared" si="167"/>
        <v>y</v>
      </c>
      <c r="OWG1" s="154" t="str">
        <f t="shared" si="167"/>
        <v>y</v>
      </c>
      <c r="OWH1" s="154" t="str">
        <f t="shared" si="167"/>
        <v>y</v>
      </c>
      <c r="OWI1" s="154" t="str">
        <f t="shared" si="167"/>
        <v>y</v>
      </c>
      <c r="OWJ1" s="154" t="str">
        <f t="shared" si="167"/>
        <v>y</v>
      </c>
      <c r="OWK1" s="154" t="str">
        <f t="shared" si="167"/>
        <v>y</v>
      </c>
      <c r="OWL1" s="154" t="str">
        <f t="shared" si="167"/>
        <v>y</v>
      </c>
      <c r="OWM1" s="154" t="str">
        <f t="shared" si="167"/>
        <v>y</v>
      </c>
      <c r="OWN1" s="154" t="str">
        <f t="shared" si="167"/>
        <v>y</v>
      </c>
      <c r="OWO1" s="154" t="str">
        <f t="shared" si="167"/>
        <v>y</v>
      </c>
      <c r="OWP1" s="154" t="str">
        <f t="shared" si="167"/>
        <v>y</v>
      </c>
      <c r="OWQ1" s="154" t="str">
        <f t="shared" si="167"/>
        <v>y</v>
      </c>
      <c r="OWR1" s="154" t="str">
        <f t="shared" si="167"/>
        <v>y</v>
      </c>
      <c r="OWS1" s="154" t="str">
        <f t="shared" si="167"/>
        <v>y</v>
      </c>
      <c r="OWT1" s="154" t="str">
        <f t="shared" ref="OWT1:OZE1" si="168">OWT2&amp;"y"</f>
        <v>y</v>
      </c>
      <c r="OWU1" s="154" t="str">
        <f t="shared" si="168"/>
        <v>y</v>
      </c>
      <c r="OWV1" s="154" t="str">
        <f t="shared" si="168"/>
        <v>y</v>
      </c>
      <c r="OWW1" s="154" t="str">
        <f t="shared" si="168"/>
        <v>y</v>
      </c>
      <c r="OWX1" s="154" t="str">
        <f t="shared" si="168"/>
        <v>y</v>
      </c>
      <c r="OWY1" s="154" t="str">
        <f t="shared" si="168"/>
        <v>y</v>
      </c>
      <c r="OWZ1" s="154" t="str">
        <f t="shared" si="168"/>
        <v>y</v>
      </c>
      <c r="OXA1" s="154" t="str">
        <f t="shared" si="168"/>
        <v>y</v>
      </c>
      <c r="OXB1" s="154" t="str">
        <f t="shared" si="168"/>
        <v>y</v>
      </c>
      <c r="OXC1" s="154" t="str">
        <f t="shared" si="168"/>
        <v>y</v>
      </c>
      <c r="OXD1" s="154" t="str">
        <f t="shared" si="168"/>
        <v>y</v>
      </c>
      <c r="OXE1" s="154" t="str">
        <f t="shared" si="168"/>
        <v>y</v>
      </c>
      <c r="OXF1" s="154" t="str">
        <f t="shared" si="168"/>
        <v>y</v>
      </c>
      <c r="OXG1" s="154" t="str">
        <f t="shared" si="168"/>
        <v>y</v>
      </c>
      <c r="OXH1" s="154" t="str">
        <f t="shared" si="168"/>
        <v>y</v>
      </c>
      <c r="OXI1" s="154" t="str">
        <f t="shared" si="168"/>
        <v>y</v>
      </c>
      <c r="OXJ1" s="154" t="str">
        <f t="shared" si="168"/>
        <v>y</v>
      </c>
      <c r="OXK1" s="154" t="str">
        <f t="shared" si="168"/>
        <v>y</v>
      </c>
      <c r="OXL1" s="154" t="str">
        <f t="shared" si="168"/>
        <v>y</v>
      </c>
      <c r="OXM1" s="154" t="str">
        <f t="shared" si="168"/>
        <v>y</v>
      </c>
      <c r="OXN1" s="154" t="str">
        <f t="shared" si="168"/>
        <v>y</v>
      </c>
      <c r="OXO1" s="154" t="str">
        <f t="shared" si="168"/>
        <v>y</v>
      </c>
      <c r="OXP1" s="154" t="str">
        <f t="shared" si="168"/>
        <v>y</v>
      </c>
      <c r="OXQ1" s="154" t="str">
        <f t="shared" si="168"/>
        <v>y</v>
      </c>
      <c r="OXR1" s="154" t="str">
        <f t="shared" si="168"/>
        <v>y</v>
      </c>
      <c r="OXS1" s="154" t="str">
        <f t="shared" si="168"/>
        <v>y</v>
      </c>
      <c r="OXT1" s="154" t="str">
        <f t="shared" si="168"/>
        <v>y</v>
      </c>
      <c r="OXU1" s="154" t="str">
        <f t="shared" si="168"/>
        <v>y</v>
      </c>
      <c r="OXV1" s="154" t="str">
        <f t="shared" si="168"/>
        <v>y</v>
      </c>
      <c r="OXW1" s="154" t="str">
        <f t="shared" si="168"/>
        <v>y</v>
      </c>
      <c r="OXX1" s="154" t="str">
        <f t="shared" si="168"/>
        <v>y</v>
      </c>
      <c r="OXY1" s="154" t="str">
        <f t="shared" si="168"/>
        <v>y</v>
      </c>
      <c r="OXZ1" s="154" t="str">
        <f t="shared" si="168"/>
        <v>y</v>
      </c>
      <c r="OYA1" s="154" t="str">
        <f t="shared" si="168"/>
        <v>y</v>
      </c>
      <c r="OYB1" s="154" t="str">
        <f t="shared" si="168"/>
        <v>y</v>
      </c>
      <c r="OYC1" s="154" t="str">
        <f t="shared" si="168"/>
        <v>y</v>
      </c>
      <c r="OYD1" s="154" t="str">
        <f t="shared" si="168"/>
        <v>y</v>
      </c>
      <c r="OYE1" s="154" t="str">
        <f t="shared" si="168"/>
        <v>y</v>
      </c>
      <c r="OYF1" s="154" t="str">
        <f t="shared" si="168"/>
        <v>y</v>
      </c>
      <c r="OYG1" s="154" t="str">
        <f t="shared" si="168"/>
        <v>y</v>
      </c>
      <c r="OYH1" s="154" t="str">
        <f t="shared" si="168"/>
        <v>y</v>
      </c>
      <c r="OYI1" s="154" t="str">
        <f t="shared" si="168"/>
        <v>y</v>
      </c>
      <c r="OYJ1" s="154" t="str">
        <f t="shared" si="168"/>
        <v>y</v>
      </c>
      <c r="OYK1" s="154" t="str">
        <f t="shared" si="168"/>
        <v>y</v>
      </c>
      <c r="OYL1" s="154" t="str">
        <f t="shared" si="168"/>
        <v>y</v>
      </c>
      <c r="OYM1" s="154" t="str">
        <f t="shared" si="168"/>
        <v>y</v>
      </c>
      <c r="OYN1" s="154" t="str">
        <f t="shared" si="168"/>
        <v>y</v>
      </c>
      <c r="OYO1" s="154" t="str">
        <f t="shared" si="168"/>
        <v>y</v>
      </c>
      <c r="OYP1" s="154" t="str">
        <f t="shared" si="168"/>
        <v>y</v>
      </c>
      <c r="OYQ1" s="154" t="str">
        <f t="shared" si="168"/>
        <v>y</v>
      </c>
      <c r="OYR1" s="154" t="str">
        <f t="shared" si="168"/>
        <v>y</v>
      </c>
      <c r="OYS1" s="154" t="str">
        <f t="shared" si="168"/>
        <v>y</v>
      </c>
      <c r="OYT1" s="154" t="str">
        <f t="shared" si="168"/>
        <v>y</v>
      </c>
      <c r="OYU1" s="154" t="str">
        <f t="shared" si="168"/>
        <v>y</v>
      </c>
      <c r="OYV1" s="154" t="str">
        <f t="shared" si="168"/>
        <v>y</v>
      </c>
      <c r="OYW1" s="154" t="str">
        <f t="shared" si="168"/>
        <v>y</v>
      </c>
      <c r="OYX1" s="154" t="str">
        <f t="shared" si="168"/>
        <v>y</v>
      </c>
      <c r="OYY1" s="154" t="str">
        <f t="shared" si="168"/>
        <v>y</v>
      </c>
      <c r="OYZ1" s="154" t="str">
        <f t="shared" si="168"/>
        <v>y</v>
      </c>
      <c r="OZA1" s="154" t="str">
        <f t="shared" si="168"/>
        <v>y</v>
      </c>
      <c r="OZB1" s="154" t="str">
        <f t="shared" si="168"/>
        <v>y</v>
      </c>
      <c r="OZC1" s="154" t="str">
        <f t="shared" si="168"/>
        <v>y</v>
      </c>
      <c r="OZD1" s="154" t="str">
        <f t="shared" si="168"/>
        <v>y</v>
      </c>
      <c r="OZE1" s="154" t="str">
        <f t="shared" si="168"/>
        <v>y</v>
      </c>
      <c r="OZF1" s="154" t="str">
        <f t="shared" ref="OZF1:PBQ1" si="169">OZF2&amp;"y"</f>
        <v>y</v>
      </c>
      <c r="OZG1" s="154" t="str">
        <f t="shared" si="169"/>
        <v>y</v>
      </c>
      <c r="OZH1" s="154" t="str">
        <f t="shared" si="169"/>
        <v>y</v>
      </c>
      <c r="OZI1" s="154" t="str">
        <f t="shared" si="169"/>
        <v>y</v>
      </c>
      <c r="OZJ1" s="154" t="str">
        <f t="shared" si="169"/>
        <v>y</v>
      </c>
      <c r="OZK1" s="154" t="str">
        <f t="shared" si="169"/>
        <v>y</v>
      </c>
      <c r="OZL1" s="154" t="str">
        <f t="shared" si="169"/>
        <v>y</v>
      </c>
      <c r="OZM1" s="154" t="str">
        <f t="shared" si="169"/>
        <v>y</v>
      </c>
      <c r="OZN1" s="154" t="str">
        <f t="shared" si="169"/>
        <v>y</v>
      </c>
      <c r="OZO1" s="154" t="str">
        <f t="shared" si="169"/>
        <v>y</v>
      </c>
      <c r="OZP1" s="154" t="str">
        <f t="shared" si="169"/>
        <v>y</v>
      </c>
      <c r="OZQ1" s="154" t="str">
        <f t="shared" si="169"/>
        <v>y</v>
      </c>
      <c r="OZR1" s="154" t="str">
        <f t="shared" si="169"/>
        <v>y</v>
      </c>
      <c r="OZS1" s="154" t="str">
        <f t="shared" si="169"/>
        <v>y</v>
      </c>
      <c r="OZT1" s="154" t="str">
        <f t="shared" si="169"/>
        <v>y</v>
      </c>
      <c r="OZU1" s="154" t="str">
        <f t="shared" si="169"/>
        <v>y</v>
      </c>
      <c r="OZV1" s="154" t="str">
        <f t="shared" si="169"/>
        <v>y</v>
      </c>
      <c r="OZW1" s="154" t="str">
        <f t="shared" si="169"/>
        <v>y</v>
      </c>
      <c r="OZX1" s="154" t="str">
        <f t="shared" si="169"/>
        <v>y</v>
      </c>
      <c r="OZY1" s="154" t="str">
        <f t="shared" si="169"/>
        <v>y</v>
      </c>
      <c r="OZZ1" s="154" t="str">
        <f t="shared" si="169"/>
        <v>y</v>
      </c>
      <c r="PAA1" s="154" t="str">
        <f t="shared" si="169"/>
        <v>y</v>
      </c>
      <c r="PAB1" s="154" t="str">
        <f t="shared" si="169"/>
        <v>y</v>
      </c>
      <c r="PAC1" s="154" t="str">
        <f t="shared" si="169"/>
        <v>y</v>
      </c>
      <c r="PAD1" s="154" t="str">
        <f t="shared" si="169"/>
        <v>y</v>
      </c>
      <c r="PAE1" s="154" t="str">
        <f t="shared" si="169"/>
        <v>y</v>
      </c>
      <c r="PAF1" s="154" t="str">
        <f t="shared" si="169"/>
        <v>y</v>
      </c>
      <c r="PAG1" s="154" t="str">
        <f t="shared" si="169"/>
        <v>y</v>
      </c>
      <c r="PAH1" s="154" t="str">
        <f t="shared" si="169"/>
        <v>y</v>
      </c>
      <c r="PAI1" s="154" t="str">
        <f t="shared" si="169"/>
        <v>y</v>
      </c>
      <c r="PAJ1" s="154" t="str">
        <f t="shared" si="169"/>
        <v>y</v>
      </c>
      <c r="PAK1" s="154" t="str">
        <f t="shared" si="169"/>
        <v>y</v>
      </c>
      <c r="PAL1" s="154" t="str">
        <f t="shared" si="169"/>
        <v>y</v>
      </c>
      <c r="PAM1" s="154" t="str">
        <f t="shared" si="169"/>
        <v>y</v>
      </c>
      <c r="PAN1" s="154" t="str">
        <f t="shared" si="169"/>
        <v>y</v>
      </c>
      <c r="PAO1" s="154" t="str">
        <f t="shared" si="169"/>
        <v>y</v>
      </c>
      <c r="PAP1" s="154" t="str">
        <f t="shared" si="169"/>
        <v>y</v>
      </c>
      <c r="PAQ1" s="154" t="str">
        <f t="shared" si="169"/>
        <v>y</v>
      </c>
      <c r="PAR1" s="154" t="str">
        <f t="shared" si="169"/>
        <v>y</v>
      </c>
      <c r="PAS1" s="154" t="str">
        <f t="shared" si="169"/>
        <v>y</v>
      </c>
      <c r="PAT1" s="154" t="str">
        <f t="shared" si="169"/>
        <v>y</v>
      </c>
      <c r="PAU1" s="154" t="str">
        <f t="shared" si="169"/>
        <v>y</v>
      </c>
      <c r="PAV1" s="154" t="str">
        <f t="shared" si="169"/>
        <v>y</v>
      </c>
      <c r="PAW1" s="154" t="str">
        <f t="shared" si="169"/>
        <v>y</v>
      </c>
      <c r="PAX1" s="154" t="str">
        <f t="shared" si="169"/>
        <v>y</v>
      </c>
      <c r="PAY1" s="154" t="str">
        <f t="shared" si="169"/>
        <v>y</v>
      </c>
      <c r="PAZ1" s="154" t="str">
        <f t="shared" si="169"/>
        <v>y</v>
      </c>
      <c r="PBA1" s="154" t="str">
        <f t="shared" si="169"/>
        <v>y</v>
      </c>
      <c r="PBB1" s="154" t="str">
        <f t="shared" si="169"/>
        <v>y</v>
      </c>
      <c r="PBC1" s="154" t="str">
        <f t="shared" si="169"/>
        <v>y</v>
      </c>
      <c r="PBD1" s="154" t="str">
        <f t="shared" si="169"/>
        <v>y</v>
      </c>
      <c r="PBE1" s="154" t="str">
        <f t="shared" si="169"/>
        <v>y</v>
      </c>
      <c r="PBF1" s="154" t="str">
        <f t="shared" si="169"/>
        <v>y</v>
      </c>
      <c r="PBG1" s="154" t="str">
        <f t="shared" si="169"/>
        <v>y</v>
      </c>
      <c r="PBH1" s="154" t="str">
        <f t="shared" si="169"/>
        <v>y</v>
      </c>
      <c r="PBI1" s="154" t="str">
        <f t="shared" si="169"/>
        <v>y</v>
      </c>
      <c r="PBJ1" s="154" t="str">
        <f t="shared" si="169"/>
        <v>y</v>
      </c>
      <c r="PBK1" s="154" t="str">
        <f t="shared" si="169"/>
        <v>y</v>
      </c>
      <c r="PBL1" s="154" t="str">
        <f t="shared" si="169"/>
        <v>y</v>
      </c>
      <c r="PBM1" s="154" t="str">
        <f t="shared" si="169"/>
        <v>y</v>
      </c>
      <c r="PBN1" s="154" t="str">
        <f t="shared" si="169"/>
        <v>y</v>
      </c>
      <c r="PBO1" s="154" t="str">
        <f t="shared" si="169"/>
        <v>y</v>
      </c>
      <c r="PBP1" s="154" t="str">
        <f t="shared" si="169"/>
        <v>y</v>
      </c>
      <c r="PBQ1" s="154" t="str">
        <f t="shared" si="169"/>
        <v>y</v>
      </c>
      <c r="PBR1" s="154" t="str">
        <f t="shared" ref="PBR1:PEC1" si="170">PBR2&amp;"y"</f>
        <v>y</v>
      </c>
      <c r="PBS1" s="154" t="str">
        <f t="shared" si="170"/>
        <v>y</v>
      </c>
      <c r="PBT1" s="154" t="str">
        <f t="shared" si="170"/>
        <v>y</v>
      </c>
      <c r="PBU1" s="154" t="str">
        <f t="shared" si="170"/>
        <v>y</v>
      </c>
      <c r="PBV1" s="154" t="str">
        <f t="shared" si="170"/>
        <v>y</v>
      </c>
      <c r="PBW1" s="154" t="str">
        <f t="shared" si="170"/>
        <v>y</v>
      </c>
      <c r="PBX1" s="154" t="str">
        <f t="shared" si="170"/>
        <v>y</v>
      </c>
      <c r="PBY1" s="154" t="str">
        <f t="shared" si="170"/>
        <v>y</v>
      </c>
      <c r="PBZ1" s="154" t="str">
        <f t="shared" si="170"/>
        <v>y</v>
      </c>
      <c r="PCA1" s="154" t="str">
        <f t="shared" si="170"/>
        <v>y</v>
      </c>
      <c r="PCB1" s="154" t="str">
        <f t="shared" si="170"/>
        <v>y</v>
      </c>
      <c r="PCC1" s="154" t="str">
        <f t="shared" si="170"/>
        <v>y</v>
      </c>
      <c r="PCD1" s="154" t="str">
        <f t="shared" si="170"/>
        <v>y</v>
      </c>
      <c r="PCE1" s="154" t="str">
        <f t="shared" si="170"/>
        <v>y</v>
      </c>
      <c r="PCF1" s="154" t="str">
        <f t="shared" si="170"/>
        <v>y</v>
      </c>
      <c r="PCG1" s="154" t="str">
        <f t="shared" si="170"/>
        <v>y</v>
      </c>
      <c r="PCH1" s="154" t="str">
        <f t="shared" si="170"/>
        <v>y</v>
      </c>
      <c r="PCI1" s="154" t="str">
        <f t="shared" si="170"/>
        <v>y</v>
      </c>
      <c r="PCJ1" s="154" t="str">
        <f t="shared" si="170"/>
        <v>y</v>
      </c>
      <c r="PCK1" s="154" t="str">
        <f t="shared" si="170"/>
        <v>y</v>
      </c>
      <c r="PCL1" s="154" t="str">
        <f t="shared" si="170"/>
        <v>y</v>
      </c>
      <c r="PCM1" s="154" t="str">
        <f t="shared" si="170"/>
        <v>y</v>
      </c>
      <c r="PCN1" s="154" t="str">
        <f t="shared" si="170"/>
        <v>y</v>
      </c>
      <c r="PCO1" s="154" t="str">
        <f t="shared" si="170"/>
        <v>y</v>
      </c>
      <c r="PCP1" s="154" t="str">
        <f t="shared" si="170"/>
        <v>y</v>
      </c>
      <c r="PCQ1" s="154" t="str">
        <f t="shared" si="170"/>
        <v>y</v>
      </c>
      <c r="PCR1" s="154" t="str">
        <f t="shared" si="170"/>
        <v>y</v>
      </c>
      <c r="PCS1" s="154" t="str">
        <f t="shared" si="170"/>
        <v>y</v>
      </c>
      <c r="PCT1" s="154" t="str">
        <f t="shared" si="170"/>
        <v>y</v>
      </c>
      <c r="PCU1" s="154" t="str">
        <f t="shared" si="170"/>
        <v>y</v>
      </c>
      <c r="PCV1" s="154" t="str">
        <f t="shared" si="170"/>
        <v>y</v>
      </c>
      <c r="PCW1" s="154" t="str">
        <f t="shared" si="170"/>
        <v>y</v>
      </c>
      <c r="PCX1" s="154" t="str">
        <f t="shared" si="170"/>
        <v>y</v>
      </c>
      <c r="PCY1" s="154" t="str">
        <f t="shared" si="170"/>
        <v>y</v>
      </c>
      <c r="PCZ1" s="154" t="str">
        <f t="shared" si="170"/>
        <v>y</v>
      </c>
      <c r="PDA1" s="154" t="str">
        <f t="shared" si="170"/>
        <v>y</v>
      </c>
      <c r="PDB1" s="154" t="str">
        <f t="shared" si="170"/>
        <v>y</v>
      </c>
      <c r="PDC1" s="154" t="str">
        <f t="shared" si="170"/>
        <v>y</v>
      </c>
      <c r="PDD1" s="154" t="str">
        <f t="shared" si="170"/>
        <v>y</v>
      </c>
      <c r="PDE1" s="154" t="str">
        <f t="shared" si="170"/>
        <v>y</v>
      </c>
      <c r="PDF1" s="154" t="str">
        <f t="shared" si="170"/>
        <v>y</v>
      </c>
      <c r="PDG1" s="154" t="str">
        <f t="shared" si="170"/>
        <v>y</v>
      </c>
      <c r="PDH1" s="154" t="str">
        <f t="shared" si="170"/>
        <v>y</v>
      </c>
      <c r="PDI1" s="154" t="str">
        <f t="shared" si="170"/>
        <v>y</v>
      </c>
      <c r="PDJ1" s="154" t="str">
        <f t="shared" si="170"/>
        <v>y</v>
      </c>
      <c r="PDK1" s="154" t="str">
        <f t="shared" si="170"/>
        <v>y</v>
      </c>
      <c r="PDL1" s="154" t="str">
        <f t="shared" si="170"/>
        <v>y</v>
      </c>
      <c r="PDM1" s="154" t="str">
        <f t="shared" si="170"/>
        <v>y</v>
      </c>
      <c r="PDN1" s="154" t="str">
        <f t="shared" si="170"/>
        <v>y</v>
      </c>
      <c r="PDO1" s="154" t="str">
        <f t="shared" si="170"/>
        <v>y</v>
      </c>
      <c r="PDP1" s="154" t="str">
        <f t="shared" si="170"/>
        <v>y</v>
      </c>
      <c r="PDQ1" s="154" t="str">
        <f t="shared" si="170"/>
        <v>y</v>
      </c>
      <c r="PDR1" s="154" t="str">
        <f t="shared" si="170"/>
        <v>y</v>
      </c>
      <c r="PDS1" s="154" t="str">
        <f t="shared" si="170"/>
        <v>y</v>
      </c>
      <c r="PDT1" s="154" t="str">
        <f t="shared" si="170"/>
        <v>y</v>
      </c>
      <c r="PDU1" s="154" t="str">
        <f t="shared" si="170"/>
        <v>y</v>
      </c>
      <c r="PDV1" s="154" t="str">
        <f t="shared" si="170"/>
        <v>y</v>
      </c>
      <c r="PDW1" s="154" t="str">
        <f t="shared" si="170"/>
        <v>y</v>
      </c>
      <c r="PDX1" s="154" t="str">
        <f t="shared" si="170"/>
        <v>y</v>
      </c>
      <c r="PDY1" s="154" t="str">
        <f t="shared" si="170"/>
        <v>y</v>
      </c>
      <c r="PDZ1" s="154" t="str">
        <f t="shared" si="170"/>
        <v>y</v>
      </c>
      <c r="PEA1" s="154" t="str">
        <f t="shared" si="170"/>
        <v>y</v>
      </c>
      <c r="PEB1" s="154" t="str">
        <f t="shared" si="170"/>
        <v>y</v>
      </c>
      <c r="PEC1" s="154" t="str">
        <f t="shared" si="170"/>
        <v>y</v>
      </c>
      <c r="PED1" s="154" t="str">
        <f t="shared" ref="PED1:PGO1" si="171">PED2&amp;"y"</f>
        <v>y</v>
      </c>
      <c r="PEE1" s="154" t="str">
        <f t="shared" si="171"/>
        <v>y</v>
      </c>
      <c r="PEF1" s="154" t="str">
        <f t="shared" si="171"/>
        <v>y</v>
      </c>
      <c r="PEG1" s="154" t="str">
        <f t="shared" si="171"/>
        <v>y</v>
      </c>
      <c r="PEH1" s="154" t="str">
        <f t="shared" si="171"/>
        <v>y</v>
      </c>
      <c r="PEI1" s="154" t="str">
        <f t="shared" si="171"/>
        <v>y</v>
      </c>
      <c r="PEJ1" s="154" t="str">
        <f t="shared" si="171"/>
        <v>y</v>
      </c>
      <c r="PEK1" s="154" t="str">
        <f t="shared" si="171"/>
        <v>y</v>
      </c>
      <c r="PEL1" s="154" t="str">
        <f t="shared" si="171"/>
        <v>y</v>
      </c>
      <c r="PEM1" s="154" t="str">
        <f t="shared" si="171"/>
        <v>y</v>
      </c>
      <c r="PEN1" s="154" t="str">
        <f t="shared" si="171"/>
        <v>y</v>
      </c>
      <c r="PEO1" s="154" t="str">
        <f t="shared" si="171"/>
        <v>y</v>
      </c>
      <c r="PEP1" s="154" t="str">
        <f t="shared" si="171"/>
        <v>y</v>
      </c>
      <c r="PEQ1" s="154" t="str">
        <f t="shared" si="171"/>
        <v>y</v>
      </c>
      <c r="PER1" s="154" t="str">
        <f t="shared" si="171"/>
        <v>y</v>
      </c>
      <c r="PES1" s="154" t="str">
        <f t="shared" si="171"/>
        <v>y</v>
      </c>
      <c r="PET1" s="154" t="str">
        <f t="shared" si="171"/>
        <v>y</v>
      </c>
      <c r="PEU1" s="154" t="str">
        <f t="shared" si="171"/>
        <v>y</v>
      </c>
      <c r="PEV1" s="154" t="str">
        <f t="shared" si="171"/>
        <v>y</v>
      </c>
      <c r="PEW1" s="154" t="str">
        <f t="shared" si="171"/>
        <v>y</v>
      </c>
      <c r="PEX1" s="154" t="str">
        <f t="shared" si="171"/>
        <v>y</v>
      </c>
      <c r="PEY1" s="154" t="str">
        <f t="shared" si="171"/>
        <v>y</v>
      </c>
      <c r="PEZ1" s="154" t="str">
        <f t="shared" si="171"/>
        <v>y</v>
      </c>
      <c r="PFA1" s="154" t="str">
        <f t="shared" si="171"/>
        <v>y</v>
      </c>
      <c r="PFB1" s="154" t="str">
        <f t="shared" si="171"/>
        <v>y</v>
      </c>
      <c r="PFC1" s="154" t="str">
        <f t="shared" si="171"/>
        <v>y</v>
      </c>
      <c r="PFD1" s="154" t="str">
        <f t="shared" si="171"/>
        <v>y</v>
      </c>
      <c r="PFE1" s="154" t="str">
        <f t="shared" si="171"/>
        <v>y</v>
      </c>
      <c r="PFF1" s="154" t="str">
        <f t="shared" si="171"/>
        <v>y</v>
      </c>
      <c r="PFG1" s="154" t="str">
        <f t="shared" si="171"/>
        <v>y</v>
      </c>
      <c r="PFH1" s="154" t="str">
        <f t="shared" si="171"/>
        <v>y</v>
      </c>
      <c r="PFI1" s="154" t="str">
        <f t="shared" si="171"/>
        <v>y</v>
      </c>
      <c r="PFJ1" s="154" t="str">
        <f t="shared" si="171"/>
        <v>y</v>
      </c>
      <c r="PFK1" s="154" t="str">
        <f t="shared" si="171"/>
        <v>y</v>
      </c>
      <c r="PFL1" s="154" t="str">
        <f t="shared" si="171"/>
        <v>y</v>
      </c>
      <c r="PFM1" s="154" t="str">
        <f t="shared" si="171"/>
        <v>y</v>
      </c>
      <c r="PFN1" s="154" t="str">
        <f t="shared" si="171"/>
        <v>y</v>
      </c>
      <c r="PFO1" s="154" t="str">
        <f t="shared" si="171"/>
        <v>y</v>
      </c>
      <c r="PFP1" s="154" t="str">
        <f t="shared" si="171"/>
        <v>y</v>
      </c>
      <c r="PFQ1" s="154" t="str">
        <f t="shared" si="171"/>
        <v>y</v>
      </c>
      <c r="PFR1" s="154" t="str">
        <f t="shared" si="171"/>
        <v>y</v>
      </c>
      <c r="PFS1" s="154" t="str">
        <f t="shared" si="171"/>
        <v>y</v>
      </c>
      <c r="PFT1" s="154" t="str">
        <f t="shared" si="171"/>
        <v>y</v>
      </c>
      <c r="PFU1" s="154" t="str">
        <f t="shared" si="171"/>
        <v>y</v>
      </c>
      <c r="PFV1" s="154" t="str">
        <f t="shared" si="171"/>
        <v>y</v>
      </c>
      <c r="PFW1" s="154" t="str">
        <f t="shared" si="171"/>
        <v>y</v>
      </c>
      <c r="PFX1" s="154" t="str">
        <f t="shared" si="171"/>
        <v>y</v>
      </c>
      <c r="PFY1" s="154" t="str">
        <f t="shared" si="171"/>
        <v>y</v>
      </c>
      <c r="PFZ1" s="154" t="str">
        <f t="shared" si="171"/>
        <v>y</v>
      </c>
      <c r="PGA1" s="154" t="str">
        <f t="shared" si="171"/>
        <v>y</v>
      </c>
      <c r="PGB1" s="154" t="str">
        <f t="shared" si="171"/>
        <v>y</v>
      </c>
      <c r="PGC1" s="154" t="str">
        <f t="shared" si="171"/>
        <v>y</v>
      </c>
      <c r="PGD1" s="154" t="str">
        <f t="shared" si="171"/>
        <v>y</v>
      </c>
      <c r="PGE1" s="154" t="str">
        <f t="shared" si="171"/>
        <v>y</v>
      </c>
      <c r="PGF1" s="154" t="str">
        <f t="shared" si="171"/>
        <v>y</v>
      </c>
      <c r="PGG1" s="154" t="str">
        <f t="shared" si="171"/>
        <v>y</v>
      </c>
      <c r="PGH1" s="154" t="str">
        <f t="shared" si="171"/>
        <v>y</v>
      </c>
      <c r="PGI1" s="154" t="str">
        <f t="shared" si="171"/>
        <v>y</v>
      </c>
      <c r="PGJ1" s="154" t="str">
        <f t="shared" si="171"/>
        <v>y</v>
      </c>
      <c r="PGK1" s="154" t="str">
        <f t="shared" si="171"/>
        <v>y</v>
      </c>
      <c r="PGL1" s="154" t="str">
        <f t="shared" si="171"/>
        <v>y</v>
      </c>
      <c r="PGM1" s="154" t="str">
        <f t="shared" si="171"/>
        <v>y</v>
      </c>
      <c r="PGN1" s="154" t="str">
        <f t="shared" si="171"/>
        <v>y</v>
      </c>
      <c r="PGO1" s="154" t="str">
        <f t="shared" si="171"/>
        <v>y</v>
      </c>
      <c r="PGP1" s="154" t="str">
        <f t="shared" ref="PGP1:PJA1" si="172">PGP2&amp;"y"</f>
        <v>y</v>
      </c>
      <c r="PGQ1" s="154" t="str">
        <f t="shared" si="172"/>
        <v>y</v>
      </c>
      <c r="PGR1" s="154" t="str">
        <f t="shared" si="172"/>
        <v>y</v>
      </c>
      <c r="PGS1" s="154" t="str">
        <f t="shared" si="172"/>
        <v>y</v>
      </c>
      <c r="PGT1" s="154" t="str">
        <f t="shared" si="172"/>
        <v>y</v>
      </c>
      <c r="PGU1" s="154" t="str">
        <f t="shared" si="172"/>
        <v>y</v>
      </c>
      <c r="PGV1" s="154" t="str">
        <f t="shared" si="172"/>
        <v>y</v>
      </c>
      <c r="PGW1" s="154" t="str">
        <f t="shared" si="172"/>
        <v>y</v>
      </c>
      <c r="PGX1" s="154" t="str">
        <f t="shared" si="172"/>
        <v>y</v>
      </c>
      <c r="PGY1" s="154" t="str">
        <f t="shared" si="172"/>
        <v>y</v>
      </c>
      <c r="PGZ1" s="154" t="str">
        <f t="shared" si="172"/>
        <v>y</v>
      </c>
      <c r="PHA1" s="154" t="str">
        <f t="shared" si="172"/>
        <v>y</v>
      </c>
      <c r="PHB1" s="154" t="str">
        <f t="shared" si="172"/>
        <v>y</v>
      </c>
      <c r="PHC1" s="154" t="str">
        <f t="shared" si="172"/>
        <v>y</v>
      </c>
      <c r="PHD1" s="154" t="str">
        <f t="shared" si="172"/>
        <v>y</v>
      </c>
      <c r="PHE1" s="154" t="str">
        <f t="shared" si="172"/>
        <v>y</v>
      </c>
      <c r="PHF1" s="154" t="str">
        <f t="shared" si="172"/>
        <v>y</v>
      </c>
      <c r="PHG1" s="154" t="str">
        <f t="shared" si="172"/>
        <v>y</v>
      </c>
      <c r="PHH1" s="154" t="str">
        <f t="shared" si="172"/>
        <v>y</v>
      </c>
      <c r="PHI1" s="154" t="str">
        <f t="shared" si="172"/>
        <v>y</v>
      </c>
      <c r="PHJ1" s="154" t="str">
        <f t="shared" si="172"/>
        <v>y</v>
      </c>
      <c r="PHK1" s="154" t="str">
        <f t="shared" si="172"/>
        <v>y</v>
      </c>
      <c r="PHL1" s="154" t="str">
        <f t="shared" si="172"/>
        <v>y</v>
      </c>
      <c r="PHM1" s="154" t="str">
        <f t="shared" si="172"/>
        <v>y</v>
      </c>
      <c r="PHN1" s="154" t="str">
        <f t="shared" si="172"/>
        <v>y</v>
      </c>
      <c r="PHO1" s="154" t="str">
        <f t="shared" si="172"/>
        <v>y</v>
      </c>
      <c r="PHP1" s="154" t="str">
        <f t="shared" si="172"/>
        <v>y</v>
      </c>
      <c r="PHQ1" s="154" t="str">
        <f t="shared" si="172"/>
        <v>y</v>
      </c>
      <c r="PHR1" s="154" t="str">
        <f t="shared" si="172"/>
        <v>y</v>
      </c>
      <c r="PHS1" s="154" t="str">
        <f t="shared" si="172"/>
        <v>y</v>
      </c>
      <c r="PHT1" s="154" t="str">
        <f t="shared" si="172"/>
        <v>y</v>
      </c>
      <c r="PHU1" s="154" t="str">
        <f t="shared" si="172"/>
        <v>y</v>
      </c>
      <c r="PHV1" s="154" t="str">
        <f t="shared" si="172"/>
        <v>y</v>
      </c>
      <c r="PHW1" s="154" t="str">
        <f t="shared" si="172"/>
        <v>y</v>
      </c>
      <c r="PHX1" s="154" t="str">
        <f t="shared" si="172"/>
        <v>y</v>
      </c>
      <c r="PHY1" s="154" t="str">
        <f t="shared" si="172"/>
        <v>y</v>
      </c>
      <c r="PHZ1" s="154" t="str">
        <f t="shared" si="172"/>
        <v>y</v>
      </c>
      <c r="PIA1" s="154" t="str">
        <f t="shared" si="172"/>
        <v>y</v>
      </c>
      <c r="PIB1" s="154" t="str">
        <f t="shared" si="172"/>
        <v>y</v>
      </c>
      <c r="PIC1" s="154" t="str">
        <f t="shared" si="172"/>
        <v>y</v>
      </c>
      <c r="PID1" s="154" t="str">
        <f t="shared" si="172"/>
        <v>y</v>
      </c>
      <c r="PIE1" s="154" t="str">
        <f t="shared" si="172"/>
        <v>y</v>
      </c>
      <c r="PIF1" s="154" t="str">
        <f t="shared" si="172"/>
        <v>y</v>
      </c>
      <c r="PIG1" s="154" t="str">
        <f t="shared" si="172"/>
        <v>y</v>
      </c>
      <c r="PIH1" s="154" t="str">
        <f t="shared" si="172"/>
        <v>y</v>
      </c>
      <c r="PII1" s="154" t="str">
        <f t="shared" si="172"/>
        <v>y</v>
      </c>
      <c r="PIJ1" s="154" t="str">
        <f t="shared" si="172"/>
        <v>y</v>
      </c>
      <c r="PIK1" s="154" t="str">
        <f t="shared" si="172"/>
        <v>y</v>
      </c>
      <c r="PIL1" s="154" t="str">
        <f t="shared" si="172"/>
        <v>y</v>
      </c>
      <c r="PIM1" s="154" t="str">
        <f t="shared" si="172"/>
        <v>y</v>
      </c>
      <c r="PIN1" s="154" t="str">
        <f t="shared" si="172"/>
        <v>y</v>
      </c>
      <c r="PIO1" s="154" t="str">
        <f t="shared" si="172"/>
        <v>y</v>
      </c>
      <c r="PIP1" s="154" t="str">
        <f t="shared" si="172"/>
        <v>y</v>
      </c>
      <c r="PIQ1" s="154" t="str">
        <f t="shared" si="172"/>
        <v>y</v>
      </c>
      <c r="PIR1" s="154" t="str">
        <f t="shared" si="172"/>
        <v>y</v>
      </c>
      <c r="PIS1" s="154" t="str">
        <f t="shared" si="172"/>
        <v>y</v>
      </c>
      <c r="PIT1" s="154" t="str">
        <f t="shared" si="172"/>
        <v>y</v>
      </c>
      <c r="PIU1" s="154" t="str">
        <f t="shared" si="172"/>
        <v>y</v>
      </c>
      <c r="PIV1" s="154" t="str">
        <f t="shared" si="172"/>
        <v>y</v>
      </c>
      <c r="PIW1" s="154" t="str">
        <f t="shared" si="172"/>
        <v>y</v>
      </c>
      <c r="PIX1" s="154" t="str">
        <f t="shared" si="172"/>
        <v>y</v>
      </c>
      <c r="PIY1" s="154" t="str">
        <f t="shared" si="172"/>
        <v>y</v>
      </c>
      <c r="PIZ1" s="154" t="str">
        <f t="shared" si="172"/>
        <v>y</v>
      </c>
      <c r="PJA1" s="154" t="str">
        <f t="shared" si="172"/>
        <v>y</v>
      </c>
      <c r="PJB1" s="154" t="str">
        <f t="shared" ref="PJB1:PLM1" si="173">PJB2&amp;"y"</f>
        <v>y</v>
      </c>
      <c r="PJC1" s="154" t="str">
        <f t="shared" si="173"/>
        <v>y</v>
      </c>
      <c r="PJD1" s="154" t="str">
        <f t="shared" si="173"/>
        <v>y</v>
      </c>
      <c r="PJE1" s="154" t="str">
        <f t="shared" si="173"/>
        <v>y</v>
      </c>
      <c r="PJF1" s="154" t="str">
        <f t="shared" si="173"/>
        <v>y</v>
      </c>
      <c r="PJG1" s="154" t="str">
        <f t="shared" si="173"/>
        <v>y</v>
      </c>
      <c r="PJH1" s="154" t="str">
        <f t="shared" si="173"/>
        <v>y</v>
      </c>
      <c r="PJI1" s="154" t="str">
        <f t="shared" si="173"/>
        <v>y</v>
      </c>
      <c r="PJJ1" s="154" t="str">
        <f t="shared" si="173"/>
        <v>y</v>
      </c>
      <c r="PJK1" s="154" t="str">
        <f t="shared" si="173"/>
        <v>y</v>
      </c>
      <c r="PJL1" s="154" t="str">
        <f t="shared" si="173"/>
        <v>y</v>
      </c>
      <c r="PJM1" s="154" t="str">
        <f t="shared" si="173"/>
        <v>y</v>
      </c>
      <c r="PJN1" s="154" t="str">
        <f t="shared" si="173"/>
        <v>y</v>
      </c>
      <c r="PJO1" s="154" t="str">
        <f t="shared" si="173"/>
        <v>y</v>
      </c>
      <c r="PJP1" s="154" t="str">
        <f t="shared" si="173"/>
        <v>y</v>
      </c>
      <c r="PJQ1" s="154" t="str">
        <f t="shared" si="173"/>
        <v>y</v>
      </c>
      <c r="PJR1" s="154" t="str">
        <f t="shared" si="173"/>
        <v>y</v>
      </c>
      <c r="PJS1" s="154" t="str">
        <f t="shared" si="173"/>
        <v>y</v>
      </c>
      <c r="PJT1" s="154" t="str">
        <f t="shared" si="173"/>
        <v>y</v>
      </c>
      <c r="PJU1" s="154" t="str">
        <f t="shared" si="173"/>
        <v>y</v>
      </c>
      <c r="PJV1" s="154" t="str">
        <f t="shared" si="173"/>
        <v>y</v>
      </c>
      <c r="PJW1" s="154" t="str">
        <f t="shared" si="173"/>
        <v>y</v>
      </c>
      <c r="PJX1" s="154" t="str">
        <f t="shared" si="173"/>
        <v>y</v>
      </c>
      <c r="PJY1" s="154" t="str">
        <f t="shared" si="173"/>
        <v>y</v>
      </c>
      <c r="PJZ1" s="154" t="str">
        <f t="shared" si="173"/>
        <v>y</v>
      </c>
      <c r="PKA1" s="154" t="str">
        <f t="shared" si="173"/>
        <v>y</v>
      </c>
      <c r="PKB1" s="154" t="str">
        <f t="shared" si="173"/>
        <v>y</v>
      </c>
      <c r="PKC1" s="154" t="str">
        <f t="shared" si="173"/>
        <v>y</v>
      </c>
      <c r="PKD1" s="154" t="str">
        <f t="shared" si="173"/>
        <v>y</v>
      </c>
      <c r="PKE1" s="154" t="str">
        <f t="shared" si="173"/>
        <v>y</v>
      </c>
      <c r="PKF1" s="154" t="str">
        <f t="shared" si="173"/>
        <v>y</v>
      </c>
      <c r="PKG1" s="154" t="str">
        <f t="shared" si="173"/>
        <v>y</v>
      </c>
      <c r="PKH1" s="154" t="str">
        <f t="shared" si="173"/>
        <v>y</v>
      </c>
      <c r="PKI1" s="154" t="str">
        <f t="shared" si="173"/>
        <v>y</v>
      </c>
      <c r="PKJ1" s="154" t="str">
        <f t="shared" si="173"/>
        <v>y</v>
      </c>
      <c r="PKK1" s="154" t="str">
        <f t="shared" si="173"/>
        <v>y</v>
      </c>
      <c r="PKL1" s="154" t="str">
        <f t="shared" si="173"/>
        <v>y</v>
      </c>
      <c r="PKM1" s="154" t="str">
        <f t="shared" si="173"/>
        <v>y</v>
      </c>
      <c r="PKN1" s="154" t="str">
        <f t="shared" si="173"/>
        <v>y</v>
      </c>
      <c r="PKO1" s="154" t="str">
        <f t="shared" si="173"/>
        <v>y</v>
      </c>
      <c r="PKP1" s="154" t="str">
        <f t="shared" si="173"/>
        <v>y</v>
      </c>
      <c r="PKQ1" s="154" t="str">
        <f t="shared" si="173"/>
        <v>y</v>
      </c>
      <c r="PKR1" s="154" t="str">
        <f t="shared" si="173"/>
        <v>y</v>
      </c>
      <c r="PKS1" s="154" t="str">
        <f t="shared" si="173"/>
        <v>y</v>
      </c>
      <c r="PKT1" s="154" t="str">
        <f t="shared" si="173"/>
        <v>y</v>
      </c>
      <c r="PKU1" s="154" t="str">
        <f t="shared" si="173"/>
        <v>y</v>
      </c>
      <c r="PKV1" s="154" t="str">
        <f t="shared" si="173"/>
        <v>y</v>
      </c>
      <c r="PKW1" s="154" t="str">
        <f t="shared" si="173"/>
        <v>y</v>
      </c>
      <c r="PKX1" s="154" t="str">
        <f t="shared" si="173"/>
        <v>y</v>
      </c>
      <c r="PKY1" s="154" t="str">
        <f t="shared" si="173"/>
        <v>y</v>
      </c>
      <c r="PKZ1" s="154" t="str">
        <f t="shared" si="173"/>
        <v>y</v>
      </c>
      <c r="PLA1" s="154" t="str">
        <f t="shared" si="173"/>
        <v>y</v>
      </c>
      <c r="PLB1" s="154" t="str">
        <f t="shared" si="173"/>
        <v>y</v>
      </c>
      <c r="PLC1" s="154" t="str">
        <f t="shared" si="173"/>
        <v>y</v>
      </c>
      <c r="PLD1" s="154" t="str">
        <f t="shared" si="173"/>
        <v>y</v>
      </c>
      <c r="PLE1" s="154" t="str">
        <f t="shared" si="173"/>
        <v>y</v>
      </c>
      <c r="PLF1" s="154" t="str">
        <f t="shared" si="173"/>
        <v>y</v>
      </c>
      <c r="PLG1" s="154" t="str">
        <f t="shared" si="173"/>
        <v>y</v>
      </c>
      <c r="PLH1" s="154" t="str">
        <f t="shared" si="173"/>
        <v>y</v>
      </c>
      <c r="PLI1" s="154" t="str">
        <f t="shared" si="173"/>
        <v>y</v>
      </c>
      <c r="PLJ1" s="154" t="str">
        <f t="shared" si="173"/>
        <v>y</v>
      </c>
      <c r="PLK1" s="154" t="str">
        <f t="shared" si="173"/>
        <v>y</v>
      </c>
      <c r="PLL1" s="154" t="str">
        <f t="shared" si="173"/>
        <v>y</v>
      </c>
      <c r="PLM1" s="154" t="str">
        <f t="shared" si="173"/>
        <v>y</v>
      </c>
      <c r="PLN1" s="154" t="str">
        <f t="shared" ref="PLN1:PNY1" si="174">PLN2&amp;"y"</f>
        <v>y</v>
      </c>
      <c r="PLO1" s="154" t="str">
        <f t="shared" si="174"/>
        <v>y</v>
      </c>
      <c r="PLP1" s="154" t="str">
        <f t="shared" si="174"/>
        <v>y</v>
      </c>
      <c r="PLQ1" s="154" t="str">
        <f t="shared" si="174"/>
        <v>y</v>
      </c>
      <c r="PLR1" s="154" t="str">
        <f t="shared" si="174"/>
        <v>y</v>
      </c>
      <c r="PLS1" s="154" t="str">
        <f t="shared" si="174"/>
        <v>y</v>
      </c>
      <c r="PLT1" s="154" t="str">
        <f t="shared" si="174"/>
        <v>y</v>
      </c>
      <c r="PLU1" s="154" t="str">
        <f t="shared" si="174"/>
        <v>y</v>
      </c>
      <c r="PLV1" s="154" t="str">
        <f t="shared" si="174"/>
        <v>y</v>
      </c>
      <c r="PLW1" s="154" t="str">
        <f t="shared" si="174"/>
        <v>y</v>
      </c>
      <c r="PLX1" s="154" t="str">
        <f t="shared" si="174"/>
        <v>y</v>
      </c>
      <c r="PLY1" s="154" t="str">
        <f t="shared" si="174"/>
        <v>y</v>
      </c>
      <c r="PLZ1" s="154" t="str">
        <f t="shared" si="174"/>
        <v>y</v>
      </c>
      <c r="PMA1" s="154" t="str">
        <f t="shared" si="174"/>
        <v>y</v>
      </c>
      <c r="PMB1" s="154" t="str">
        <f t="shared" si="174"/>
        <v>y</v>
      </c>
      <c r="PMC1" s="154" t="str">
        <f t="shared" si="174"/>
        <v>y</v>
      </c>
      <c r="PMD1" s="154" t="str">
        <f t="shared" si="174"/>
        <v>y</v>
      </c>
      <c r="PME1" s="154" t="str">
        <f t="shared" si="174"/>
        <v>y</v>
      </c>
      <c r="PMF1" s="154" t="str">
        <f t="shared" si="174"/>
        <v>y</v>
      </c>
      <c r="PMG1" s="154" t="str">
        <f t="shared" si="174"/>
        <v>y</v>
      </c>
      <c r="PMH1" s="154" t="str">
        <f t="shared" si="174"/>
        <v>y</v>
      </c>
      <c r="PMI1" s="154" t="str">
        <f t="shared" si="174"/>
        <v>y</v>
      </c>
      <c r="PMJ1" s="154" t="str">
        <f t="shared" si="174"/>
        <v>y</v>
      </c>
      <c r="PMK1" s="154" t="str">
        <f t="shared" si="174"/>
        <v>y</v>
      </c>
      <c r="PML1" s="154" t="str">
        <f t="shared" si="174"/>
        <v>y</v>
      </c>
      <c r="PMM1" s="154" t="str">
        <f t="shared" si="174"/>
        <v>y</v>
      </c>
      <c r="PMN1" s="154" t="str">
        <f t="shared" si="174"/>
        <v>y</v>
      </c>
      <c r="PMO1" s="154" t="str">
        <f t="shared" si="174"/>
        <v>y</v>
      </c>
      <c r="PMP1" s="154" t="str">
        <f t="shared" si="174"/>
        <v>y</v>
      </c>
      <c r="PMQ1" s="154" t="str">
        <f t="shared" si="174"/>
        <v>y</v>
      </c>
      <c r="PMR1" s="154" t="str">
        <f t="shared" si="174"/>
        <v>y</v>
      </c>
      <c r="PMS1" s="154" t="str">
        <f t="shared" si="174"/>
        <v>y</v>
      </c>
      <c r="PMT1" s="154" t="str">
        <f t="shared" si="174"/>
        <v>y</v>
      </c>
      <c r="PMU1" s="154" t="str">
        <f t="shared" si="174"/>
        <v>y</v>
      </c>
      <c r="PMV1" s="154" t="str">
        <f t="shared" si="174"/>
        <v>y</v>
      </c>
      <c r="PMW1" s="154" t="str">
        <f t="shared" si="174"/>
        <v>y</v>
      </c>
      <c r="PMX1" s="154" t="str">
        <f t="shared" si="174"/>
        <v>y</v>
      </c>
      <c r="PMY1" s="154" t="str">
        <f t="shared" si="174"/>
        <v>y</v>
      </c>
      <c r="PMZ1" s="154" t="str">
        <f t="shared" si="174"/>
        <v>y</v>
      </c>
      <c r="PNA1" s="154" t="str">
        <f t="shared" si="174"/>
        <v>y</v>
      </c>
      <c r="PNB1" s="154" t="str">
        <f t="shared" si="174"/>
        <v>y</v>
      </c>
      <c r="PNC1" s="154" t="str">
        <f t="shared" si="174"/>
        <v>y</v>
      </c>
      <c r="PND1" s="154" t="str">
        <f t="shared" si="174"/>
        <v>y</v>
      </c>
      <c r="PNE1" s="154" t="str">
        <f t="shared" si="174"/>
        <v>y</v>
      </c>
      <c r="PNF1" s="154" t="str">
        <f t="shared" si="174"/>
        <v>y</v>
      </c>
      <c r="PNG1" s="154" t="str">
        <f t="shared" si="174"/>
        <v>y</v>
      </c>
      <c r="PNH1" s="154" t="str">
        <f t="shared" si="174"/>
        <v>y</v>
      </c>
      <c r="PNI1" s="154" t="str">
        <f t="shared" si="174"/>
        <v>y</v>
      </c>
      <c r="PNJ1" s="154" t="str">
        <f t="shared" si="174"/>
        <v>y</v>
      </c>
      <c r="PNK1" s="154" t="str">
        <f t="shared" si="174"/>
        <v>y</v>
      </c>
      <c r="PNL1" s="154" t="str">
        <f t="shared" si="174"/>
        <v>y</v>
      </c>
      <c r="PNM1" s="154" t="str">
        <f t="shared" si="174"/>
        <v>y</v>
      </c>
      <c r="PNN1" s="154" t="str">
        <f t="shared" si="174"/>
        <v>y</v>
      </c>
      <c r="PNO1" s="154" t="str">
        <f t="shared" si="174"/>
        <v>y</v>
      </c>
      <c r="PNP1" s="154" t="str">
        <f t="shared" si="174"/>
        <v>y</v>
      </c>
      <c r="PNQ1" s="154" t="str">
        <f t="shared" si="174"/>
        <v>y</v>
      </c>
      <c r="PNR1" s="154" t="str">
        <f t="shared" si="174"/>
        <v>y</v>
      </c>
      <c r="PNS1" s="154" t="str">
        <f t="shared" si="174"/>
        <v>y</v>
      </c>
      <c r="PNT1" s="154" t="str">
        <f t="shared" si="174"/>
        <v>y</v>
      </c>
      <c r="PNU1" s="154" t="str">
        <f t="shared" si="174"/>
        <v>y</v>
      </c>
      <c r="PNV1" s="154" t="str">
        <f t="shared" si="174"/>
        <v>y</v>
      </c>
      <c r="PNW1" s="154" t="str">
        <f t="shared" si="174"/>
        <v>y</v>
      </c>
      <c r="PNX1" s="154" t="str">
        <f t="shared" si="174"/>
        <v>y</v>
      </c>
      <c r="PNY1" s="154" t="str">
        <f t="shared" si="174"/>
        <v>y</v>
      </c>
      <c r="PNZ1" s="154" t="str">
        <f t="shared" ref="PNZ1:PQK1" si="175">PNZ2&amp;"y"</f>
        <v>y</v>
      </c>
      <c r="POA1" s="154" t="str">
        <f t="shared" si="175"/>
        <v>y</v>
      </c>
      <c r="POB1" s="154" t="str">
        <f t="shared" si="175"/>
        <v>y</v>
      </c>
      <c r="POC1" s="154" t="str">
        <f t="shared" si="175"/>
        <v>y</v>
      </c>
      <c r="POD1" s="154" t="str">
        <f t="shared" si="175"/>
        <v>y</v>
      </c>
      <c r="POE1" s="154" t="str">
        <f t="shared" si="175"/>
        <v>y</v>
      </c>
      <c r="POF1" s="154" t="str">
        <f t="shared" si="175"/>
        <v>y</v>
      </c>
      <c r="POG1" s="154" t="str">
        <f t="shared" si="175"/>
        <v>y</v>
      </c>
      <c r="POH1" s="154" t="str">
        <f t="shared" si="175"/>
        <v>y</v>
      </c>
      <c r="POI1" s="154" t="str">
        <f t="shared" si="175"/>
        <v>y</v>
      </c>
      <c r="POJ1" s="154" t="str">
        <f t="shared" si="175"/>
        <v>y</v>
      </c>
      <c r="POK1" s="154" t="str">
        <f t="shared" si="175"/>
        <v>y</v>
      </c>
      <c r="POL1" s="154" t="str">
        <f t="shared" si="175"/>
        <v>y</v>
      </c>
      <c r="POM1" s="154" t="str">
        <f t="shared" si="175"/>
        <v>y</v>
      </c>
      <c r="PON1" s="154" t="str">
        <f t="shared" si="175"/>
        <v>y</v>
      </c>
      <c r="POO1" s="154" t="str">
        <f t="shared" si="175"/>
        <v>y</v>
      </c>
      <c r="POP1" s="154" t="str">
        <f t="shared" si="175"/>
        <v>y</v>
      </c>
      <c r="POQ1" s="154" t="str">
        <f t="shared" si="175"/>
        <v>y</v>
      </c>
      <c r="POR1" s="154" t="str">
        <f t="shared" si="175"/>
        <v>y</v>
      </c>
      <c r="POS1" s="154" t="str">
        <f t="shared" si="175"/>
        <v>y</v>
      </c>
      <c r="POT1" s="154" t="str">
        <f t="shared" si="175"/>
        <v>y</v>
      </c>
      <c r="POU1" s="154" t="str">
        <f t="shared" si="175"/>
        <v>y</v>
      </c>
      <c r="POV1" s="154" t="str">
        <f t="shared" si="175"/>
        <v>y</v>
      </c>
      <c r="POW1" s="154" t="str">
        <f t="shared" si="175"/>
        <v>y</v>
      </c>
      <c r="POX1" s="154" t="str">
        <f t="shared" si="175"/>
        <v>y</v>
      </c>
      <c r="POY1" s="154" t="str">
        <f t="shared" si="175"/>
        <v>y</v>
      </c>
      <c r="POZ1" s="154" t="str">
        <f t="shared" si="175"/>
        <v>y</v>
      </c>
      <c r="PPA1" s="154" t="str">
        <f t="shared" si="175"/>
        <v>y</v>
      </c>
      <c r="PPB1" s="154" t="str">
        <f t="shared" si="175"/>
        <v>y</v>
      </c>
      <c r="PPC1" s="154" t="str">
        <f t="shared" si="175"/>
        <v>y</v>
      </c>
      <c r="PPD1" s="154" t="str">
        <f t="shared" si="175"/>
        <v>y</v>
      </c>
      <c r="PPE1" s="154" t="str">
        <f t="shared" si="175"/>
        <v>y</v>
      </c>
      <c r="PPF1" s="154" t="str">
        <f t="shared" si="175"/>
        <v>y</v>
      </c>
      <c r="PPG1" s="154" t="str">
        <f t="shared" si="175"/>
        <v>y</v>
      </c>
      <c r="PPH1" s="154" t="str">
        <f t="shared" si="175"/>
        <v>y</v>
      </c>
      <c r="PPI1" s="154" t="str">
        <f t="shared" si="175"/>
        <v>y</v>
      </c>
      <c r="PPJ1" s="154" t="str">
        <f t="shared" si="175"/>
        <v>y</v>
      </c>
      <c r="PPK1" s="154" t="str">
        <f t="shared" si="175"/>
        <v>y</v>
      </c>
      <c r="PPL1" s="154" t="str">
        <f t="shared" si="175"/>
        <v>y</v>
      </c>
      <c r="PPM1" s="154" t="str">
        <f t="shared" si="175"/>
        <v>y</v>
      </c>
      <c r="PPN1" s="154" t="str">
        <f t="shared" si="175"/>
        <v>y</v>
      </c>
      <c r="PPO1" s="154" t="str">
        <f t="shared" si="175"/>
        <v>y</v>
      </c>
      <c r="PPP1" s="154" t="str">
        <f t="shared" si="175"/>
        <v>y</v>
      </c>
      <c r="PPQ1" s="154" t="str">
        <f t="shared" si="175"/>
        <v>y</v>
      </c>
      <c r="PPR1" s="154" t="str">
        <f t="shared" si="175"/>
        <v>y</v>
      </c>
      <c r="PPS1" s="154" t="str">
        <f t="shared" si="175"/>
        <v>y</v>
      </c>
      <c r="PPT1" s="154" t="str">
        <f t="shared" si="175"/>
        <v>y</v>
      </c>
      <c r="PPU1" s="154" t="str">
        <f t="shared" si="175"/>
        <v>y</v>
      </c>
      <c r="PPV1" s="154" t="str">
        <f t="shared" si="175"/>
        <v>y</v>
      </c>
      <c r="PPW1" s="154" t="str">
        <f t="shared" si="175"/>
        <v>y</v>
      </c>
      <c r="PPX1" s="154" t="str">
        <f t="shared" si="175"/>
        <v>y</v>
      </c>
      <c r="PPY1" s="154" t="str">
        <f t="shared" si="175"/>
        <v>y</v>
      </c>
      <c r="PPZ1" s="154" t="str">
        <f t="shared" si="175"/>
        <v>y</v>
      </c>
      <c r="PQA1" s="154" t="str">
        <f t="shared" si="175"/>
        <v>y</v>
      </c>
      <c r="PQB1" s="154" t="str">
        <f t="shared" si="175"/>
        <v>y</v>
      </c>
      <c r="PQC1" s="154" t="str">
        <f t="shared" si="175"/>
        <v>y</v>
      </c>
      <c r="PQD1" s="154" t="str">
        <f t="shared" si="175"/>
        <v>y</v>
      </c>
      <c r="PQE1" s="154" t="str">
        <f t="shared" si="175"/>
        <v>y</v>
      </c>
      <c r="PQF1" s="154" t="str">
        <f t="shared" si="175"/>
        <v>y</v>
      </c>
      <c r="PQG1" s="154" t="str">
        <f t="shared" si="175"/>
        <v>y</v>
      </c>
      <c r="PQH1" s="154" t="str">
        <f t="shared" si="175"/>
        <v>y</v>
      </c>
      <c r="PQI1" s="154" t="str">
        <f t="shared" si="175"/>
        <v>y</v>
      </c>
      <c r="PQJ1" s="154" t="str">
        <f t="shared" si="175"/>
        <v>y</v>
      </c>
      <c r="PQK1" s="154" t="str">
        <f t="shared" si="175"/>
        <v>y</v>
      </c>
      <c r="PQL1" s="154" t="str">
        <f t="shared" ref="PQL1:PSW1" si="176">PQL2&amp;"y"</f>
        <v>y</v>
      </c>
      <c r="PQM1" s="154" t="str">
        <f t="shared" si="176"/>
        <v>y</v>
      </c>
      <c r="PQN1" s="154" t="str">
        <f t="shared" si="176"/>
        <v>y</v>
      </c>
      <c r="PQO1" s="154" t="str">
        <f t="shared" si="176"/>
        <v>y</v>
      </c>
      <c r="PQP1" s="154" t="str">
        <f t="shared" si="176"/>
        <v>y</v>
      </c>
      <c r="PQQ1" s="154" t="str">
        <f t="shared" si="176"/>
        <v>y</v>
      </c>
      <c r="PQR1" s="154" t="str">
        <f t="shared" si="176"/>
        <v>y</v>
      </c>
      <c r="PQS1" s="154" t="str">
        <f t="shared" si="176"/>
        <v>y</v>
      </c>
      <c r="PQT1" s="154" t="str">
        <f t="shared" si="176"/>
        <v>y</v>
      </c>
      <c r="PQU1" s="154" t="str">
        <f t="shared" si="176"/>
        <v>y</v>
      </c>
      <c r="PQV1" s="154" t="str">
        <f t="shared" si="176"/>
        <v>y</v>
      </c>
      <c r="PQW1" s="154" t="str">
        <f t="shared" si="176"/>
        <v>y</v>
      </c>
      <c r="PQX1" s="154" t="str">
        <f t="shared" si="176"/>
        <v>y</v>
      </c>
      <c r="PQY1" s="154" t="str">
        <f t="shared" si="176"/>
        <v>y</v>
      </c>
      <c r="PQZ1" s="154" t="str">
        <f t="shared" si="176"/>
        <v>y</v>
      </c>
      <c r="PRA1" s="154" t="str">
        <f t="shared" si="176"/>
        <v>y</v>
      </c>
      <c r="PRB1" s="154" t="str">
        <f t="shared" si="176"/>
        <v>y</v>
      </c>
      <c r="PRC1" s="154" t="str">
        <f t="shared" si="176"/>
        <v>y</v>
      </c>
      <c r="PRD1" s="154" t="str">
        <f t="shared" si="176"/>
        <v>y</v>
      </c>
      <c r="PRE1" s="154" t="str">
        <f t="shared" si="176"/>
        <v>y</v>
      </c>
      <c r="PRF1" s="154" t="str">
        <f t="shared" si="176"/>
        <v>y</v>
      </c>
      <c r="PRG1" s="154" t="str">
        <f t="shared" si="176"/>
        <v>y</v>
      </c>
      <c r="PRH1" s="154" t="str">
        <f t="shared" si="176"/>
        <v>y</v>
      </c>
      <c r="PRI1" s="154" t="str">
        <f t="shared" si="176"/>
        <v>y</v>
      </c>
      <c r="PRJ1" s="154" t="str">
        <f t="shared" si="176"/>
        <v>y</v>
      </c>
      <c r="PRK1" s="154" t="str">
        <f t="shared" si="176"/>
        <v>y</v>
      </c>
      <c r="PRL1" s="154" t="str">
        <f t="shared" si="176"/>
        <v>y</v>
      </c>
      <c r="PRM1" s="154" t="str">
        <f t="shared" si="176"/>
        <v>y</v>
      </c>
      <c r="PRN1" s="154" t="str">
        <f t="shared" si="176"/>
        <v>y</v>
      </c>
      <c r="PRO1" s="154" t="str">
        <f t="shared" si="176"/>
        <v>y</v>
      </c>
      <c r="PRP1" s="154" t="str">
        <f t="shared" si="176"/>
        <v>y</v>
      </c>
      <c r="PRQ1" s="154" t="str">
        <f t="shared" si="176"/>
        <v>y</v>
      </c>
      <c r="PRR1" s="154" t="str">
        <f t="shared" si="176"/>
        <v>y</v>
      </c>
      <c r="PRS1" s="154" t="str">
        <f t="shared" si="176"/>
        <v>y</v>
      </c>
      <c r="PRT1" s="154" t="str">
        <f t="shared" si="176"/>
        <v>y</v>
      </c>
      <c r="PRU1" s="154" t="str">
        <f t="shared" si="176"/>
        <v>y</v>
      </c>
      <c r="PRV1" s="154" t="str">
        <f t="shared" si="176"/>
        <v>y</v>
      </c>
      <c r="PRW1" s="154" t="str">
        <f t="shared" si="176"/>
        <v>y</v>
      </c>
      <c r="PRX1" s="154" t="str">
        <f t="shared" si="176"/>
        <v>y</v>
      </c>
      <c r="PRY1" s="154" t="str">
        <f t="shared" si="176"/>
        <v>y</v>
      </c>
      <c r="PRZ1" s="154" t="str">
        <f t="shared" si="176"/>
        <v>y</v>
      </c>
      <c r="PSA1" s="154" t="str">
        <f t="shared" si="176"/>
        <v>y</v>
      </c>
      <c r="PSB1" s="154" t="str">
        <f t="shared" si="176"/>
        <v>y</v>
      </c>
      <c r="PSC1" s="154" t="str">
        <f t="shared" si="176"/>
        <v>y</v>
      </c>
      <c r="PSD1" s="154" t="str">
        <f t="shared" si="176"/>
        <v>y</v>
      </c>
      <c r="PSE1" s="154" t="str">
        <f t="shared" si="176"/>
        <v>y</v>
      </c>
      <c r="PSF1" s="154" t="str">
        <f t="shared" si="176"/>
        <v>y</v>
      </c>
      <c r="PSG1" s="154" t="str">
        <f t="shared" si="176"/>
        <v>y</v>
      </c>
      <c r="PSH1" s="154" t="str">
        <f t="shared" si="176"/>
        <v>y</v>
      </c>
      <c r="PSI1" s="154" t="str">
        <f t="shared" si="176"/>
        <v>y</v>
      </c>
      <c r="PSJ1" s="154" t="str">
        <f t="shared" si="176"/>
        <v>y</v>
      </c>
      <c r="PSK1" s="154" t="str">
        <f t="shared" si="176"/>
        <v>y</v>
      </c>
      <c r="PSL1" s="154" t="str">
        <f t="shared" si="176"/>
        <v>y</v>
      </c>
      <c r="PSM1" s="154" t="str">
        <f t="shared" si="176"/>
        <v>y</v>
      </c>
      <c r="PSN1" s="154" t="str">
        <f t="shared" si="176"/>
        <v>y</v>
      </c>
      <c r="PSO1" s="154" t="str">
        <f t="shared" si="176"/>
        <v>y</v>
      </c>
      <c r="PSP1" s="154" t="str">
        <f t="shared" si="176"/>
        <v>y</v>
      </c>
      <c r="PSQ1" s="154" t="str">
        <f t="shared" si="176"/>
        <v>y</v>
      </c>
      <c r="PSR1" s="154" t="str">
        <f t="shared" si="176"/>
        <v>y</v>
      </c>
      <c r="PSS1" s="154" t="str">
        <f t="shared" si="176"/>
        <v>y</v>
      </c>
      <c r="PST1" s="154" t="str">
        <f t="shared" si="176"/>
        <v>y</v>
      </c>
      <c r="PSU1" s="154" t="str">
        <f t="shared" si="176"/>
        <v>y</v>
      </c>
      <c r="PSV1" s="154" t="str">
        <f t="shared" si="176"/>
        <v>y</v>
      </c>
      <c r="PSW1" s="154" t="str">
        <f t="shared" si="176"/>
        <v>y</v>
      </c>
      <c r="PSX1" s="154" t="str">
        <f t="shared" ref="PSX1:PVI1" si="177">PSX2&amp;"y"</f>
        <v>y</v>
      </c>
      <c r="PSY1" s="154" t="str">
        <f t="shared" si="177"/>
        <v>y</v>
      </c>
      <c r="PSZ1" s="154" t="str">
        <f t="shared" si="177"/>
        <v>y</v>
      </c>
      <c r="PTA1" s="154" t="str">
        <f t="shared" si="177"/>
        <v>y</v>
      </c>
      <c r="PTB1" s="154" t="str">
        <f t="shared" si="177"/>
        <v>y</v>
      </c>
      <c r="PTC1" s="154" t="str">
        <f t="shared" si="177"/>
        <v>y</v>
      </c>
      <c r="PTD1" s="154" t="str">
        <f t="shared" si="177"/>
        <v>y</v>
      </c>
      <c r="PTE1" s="154" t="str">
        <f t="shared" si="177"/>
        <v>y</v>
      </c>
      <c r="PTF1" s="154" t="str">
        <f t="shared" si="177"/>
        <v>y</v>
      </c>
      <c r="PTG1" s="154" t="str">
        <f t="shared" si="177"/>
        <v>y</v>
      </c>
      <c r="PTH1" s="154" t="str">
        <f t="shared" si="177"/>
        <v>y</v>
      </c>
      <c r="PTI1" s="154" t="str">
        <f t="shared" si="177"/>
        <v>y</v>
      </c>
      <c r="PTJ1" s="154" t="str">
        <f t="shared" si="177"/>
        <v>y</v>
      </c>
      <c r="PTK1" s="154" t="str">
        <f t="shared" si="177"/>
        <v>y</v>
      </c>
      <c r="PTL1" s="154" t="str">
        <f t="shared" si="177"/>
        <v>y</v>
      </c>
      <c r="PTM1" s="154" t="str">
        <f t="shared" si="177"/>
        <v>y</v>
      </c>
      <c r="PTN1" s="154" t="str">
        <f t="shared" si="177"/>
        <v>y</v>
      </c>
      <c r="PTO1" s="154" t="str">
        <f t="shared" si="177"/>
        <v>y</v>
      </c>
      <c r="PTP1" s="154" t="str">
        <f t="shared" si="177"/>
        <v>y</v>
      </c>
      <c r="PTQ1" s="154" t="str">
        <f t="shared" si="177"/>
        <v>y</v>
      </c>
      <c r="PTR1" s="154" t="str">
        <f t="shared" si="177"/>
        <v>y</v>
      </c>
      <c r="PTS1" s="154" t="str">
        <f t="shared" si="177"/>
        <v>y</v>
      </c>
      <c r="PTT1" s="154" t="str">
        <f t="shared" si="177"/>
        <v>y</v>
      </c>
      <c r="PTU1" s="154" t="str">
        <f t="shared" si="177"/>
        <v>y</v>
      </c>
      <c r="PTV1" s="154" t="str">
        <f t="shared" si="177"/>
        <v>y</v>
      </c>
      <c r="PTW1" s="154" t="str">
        <f t="shared" si="177"/>
        <v>y</v>
      </c>
      <c r="PTX1" s="154" t="str">
        <f t="shared" si="177"/>
        <v>y</v>
      </c>
      <c r="PTY1" s="154" t="str">
        <f t="shared" si="177"/>
        <v>y</v>
      </c>
      <c r="PTZ1" s="154" t="str">
        <f t="shared" si="177"/>
        <v>y</v>
      </c>
      <c r="PUA1" s="154" t="str">
        <f t="shared" si="177"/>
        <v>y</v>
      </c>
      <c r="PUB1" s="154" t="str">
        <f t="shared" si="177"/>
        <v>y</v>
      </c>
      <c r="PUC1" s="154" t="str">
        <f t="shared" si="177"/>
        <v>y</v>
      </c>
      <c r="PUD1" s="154" t="str">
        <f t="shared" si="177"/>
        <v>y</v>
      </c>
      <c r="PUE1" s="154" t="str">
        <f t="shared" si="177"/>
        <v>y</v>
      </c>
      <c r="PUF1" s="154" t="str">
        <f t="shared" si="177"/>
        <v>y</v>
      </c>
      <c r="PUG1" s="154" t="str">
        <f t="shared" si="177"/>
        <v>y</v>
      </c>
      <c r="PUH1" s="154" t="str">
        <f t="shared" si="177"/>
        <v>y</v>
      </c>
      <c r="PUI1" s="154" t="str">
        <f t="shared" si="177"/>
        <v>y</v>
      </c>
      <c r="PUJ1" s="154" t="str">
        <f t="shared" si="177"/>
        <v>y</v>
      </c>
      <c r="PUK1" s="154" t="str">
        <f t="shared" si="177"/>
        <v>y</v>
      </c>
      <c r="PUL1" s="154" t="str">
        <f t="shared" si="177"/>
        <v>y</v>
      </c>
      <c r="PUM1" s="154" t="str">
        <f t="shared" si="177"/>
        <v>y</v>
      </c>
      <c r="PUN1" s="154" t="str">
        <f t="shared" si="177"/>
        <v>y</v>
      </c>
      <c r="PUO1" s="154" t="str">
        <f t="shared" si="177"/>
        <v>y</v>
      </c>
      <c r="PUP1" s="154" t="str">
        <f t="shared" si="177"/>
        <v>y</v>
      </c>
      <c r="PUQ1" s="154" t="str">
        <f t="shared" si="177"/>
        <v>y</v>
      </c>
      <c r="PUR1" s="154" t="str">
        <f t="shared" si="177"/>
        <v>y</v>
      </c>
      <c r="PUS1" s="154" t="str">
        <f t="shared" si="177"/>
        <v>y</v>
      </c>
      <c r="PUT1" s="154" t="str">
        <f t="shared" si="177"/>
        <v>y</v>
      </c>
      <c r="PUU1" s="154" t="str">
        <f t="shared" si="177"/>
        <v>y</v>
      </c>
      <c r="PUV1" s="154" t="str">
        <f t="shared" si="177"/>
        <v>y</v>
      </c>
      <c r="PUW1" s="154" t="str">
        <f t="shared" si="177"/>
        <v>y</v>
      </c>
      <c r="PUX1" s="154" t="str">
        <f t="shared" si="177"/>
        <v>y</v>
      </c>
      <c r="PUY1" s="154" t="str">
        <f t="shared" si="177"/>
        <v>y</v>
      </c>
      <c r="PUZ1" s="154" t="str">
        <f t="shared" si="177"/>
        <v>y</v>
      </c>
      <c r="PVA1" s="154" t="str">
        <f t="shared" si="177"/>
        <v>y</v>
      </c>
      <c r="PVB1" s="154" t="str">
        <f t="shared" si="177"/>
        <v>y</v>
      </c>
      <c r="PVC1" s="154" t="str">
        <f t="shared" si="177"/>
        <v>y</v>
      </c>
      <c r="PVD1" s="154" t="str">
        <f t="shared" si="177"/>
        <v>y</v>
      </c>
      <c r="PVE1" s="154" t="str">
        <f t="shared" si="177"/>
        <v>y</v>
      </c>
      <c r="PVF1" s="154" t="str">
        <f t="shared" si="177"/>
        <v>y</v>
      </c>
      <c r="PVG1" s="154" t="str">
        <f t="shared" si="177"/>
        <v>y</v>
      </c>
      <c r="PVH1" s="154" t="str">
        <f t="shared" si="177"/>
        <v>y</v>
      </c>
      <c r="PVI1" s="154" t="str">
        <f t="shared" si="177"/>
        <v>y</v>
      </c>
      <c r="PVJ1" s="154" t="str">
        <f t="shared" ref="PVJ1:PXU1" si="178">PVJ2&amp;"y"</f>
        <v>y</v>
      </c>
      <c r="PVK1" s="154" t="str">
        <f t="shared" si="178"/>
        <v>y</v>
      </c>
      <c r="PVL1" s="154" t="str">
        <f t="shared" si="178"/>
        <v>y</v>
      </c>
      <c r="PVM1" s="154" t="str">
        <f t="shared" si="178"/>
        <v>y</v>
      </c>
      <c r="PVN1" s="154" t="str">
        <f t="shared" si="178"/>
        <v>y</v>
      </c>
      <c r="PVO1" s="154" t="str">
        <f t="shared" si="178"/>
        <v>y</v>
      </c>
      <c r="PVP1" s="154" t="str">
        <f t="shared" si="178"/>
        <v>y</v>
      </c>
      <c r="PVQ1" s="154" t="str">
        <f t="shared" si="178"/>
        <v>y</v>
      </c>
      <c r="PVR1" s="154" t="str">
        <f t="shared" si="178"/>
        <v>y</v>
      </c>
      <c r="PVS1" s="154" t="str">
        <f t="shared" si="178"/>
        <v>y</v>
      </c>
      <c r="PVT1" s="154" t="str">
        <f t="shared" si="178"/>
        <v>y</v>
      </c>
      <c r="PVU1" s="154" t="str">
        <f t="shared" si="178"/>
        <v>y</v>
      </c>
      <c r="PVV1" s="154" t="str">
        <f t="shared" si="178"/>
        <v>y</v>
      </c>
      <c r="PVW1" s="154" t="str">
        <f t="shared" si="178"/>
        <v>y</v>
      </c>
      <c r="PVX1" s="154" t="str">
        <f t="shared" si="178"/>
        <v>y</v>
      </c>
      <c r="PVY1" s="154" t="str">
        <f t="shared" si="178"/>
        <v>y</v>
      </c>
      <c r="PVZ1" s="154" t="str">
        <f t="shared" si="178"/>
        <v>y</v>
      </c>
      <c r="PWA1" s="154" t="str">
        <f t="shared" si="178"/>
        <v>y</v>
      </c>
      <c r="PWB1" s="154" t="str">
        <f t="shared" si="178"/>
        <v>y</v>
      </c>
      <c r="PWC1" s="154" t="str">
        <f t="shared" si="178"/>
        <v>y</v>
      </c>
      <c r="PWD1" s="154" t="str">
        <f t="shared" si="178"/>
        <v>y</v>
      </c>
      <c r="PWE1" s="154" t="str">
        <f t="shared" si="178"/>
        <v>y</v>
      </c>
      <c r="PWF1" s="154" t="str">
        <f t="shared" si="178"/>
        <v>y</v>
      </c>
      <c r="PWG1" s="154" t="str">
        <f t="shared" si="178"/>
        <v>y</v>
      </c>
      <c r="PWH1" s="154" t="str">
        <f t="shared" si="178"/>
        <v>y</v>
      </c>
      <c r="PWI1" s="154" t="str">
        <f t="shared" si="178"/>
        <v>y</v>
      </c>
      <c r="PWJ1" s="154" t="str">
        <f t="shared" si="178"/>
        <v>y</v>
      </c>
      <c r="PWK1" s="154" t="str">
        <f t="shared" si="178"/>
        <v>y</v>
      </c>
      <c r="PWL1" s="154" t="str">
        <f t="shared" si="178"/>
        <v>y</v>
      </c>
      <c r="PWM1" s="154" t="str">
        <f t="shared" si="178"/>
        <v>y</v>
      </c>
      <c r="PWN1" s="154" t="str">
        <f t="shared" si="178"/>
        <v>y</v>
      </c>
      <c r="PWO1" s="154" t="str">
        <f t="shared" si="178"/>
        <v>y</v>
      </c>
      <c r="PWP1" s="154" t="str">
        <f t="shared" si="178"/>
        <v>y</v>
      </c>
      <c r="PWQ1" s="154" t="str">
        <f t="shared" si="178"/>
        <v>y</v>
      </c>
      <c r="PWR1" s="154" t="str">
        <f t="shared" si="178"/>
        <v>y</v>
      </c>
      <c r="PWS1" s="154" t="str">
        <f t="shared" si="178"/>
        <v>y</v>
      </c>
      <c r="PWT1" s="154" t="str">
        <f t="shared" si="178"/>
        <v>y</v>
      </c>
      <c r="PWU1" s="154" t="str">
        <f t="shared" si="178"/>
        <v>y</v>
      </c>
      <c r="PWV1" s="154" t="str">
        <f t="shared" si="178"/>
        <v>y</v>
      </c>
      <c r="PWW1" s="154" t="str">
        <f t="shared" si="178"/>
        <v>y</v>
      </c>
      <c r="PWX1" s="154" t="str">
        <f t="shared" si="178"/>
        <v>y</v>
      </c>
      <c r="PWY1" s="154" t="str">
        <f t="shared" si="178"/>
        <v>y</v>
      </c>
      <c r="PWZ1" s="154" t="str">
        <f t="shared" si="178"/>
        <v>y</v>
      </c>
      <c r="PXA1" s="154" t="str">
        <f t="shared" si="178"/>
        <v>y</v>
      </c>
      <c r="PXB1" s="154" t="str">
        <f t="shared" si="178"/>
        <v>y</v>
      </c>
      <c r="PXC1" s="154" t="str">
        <f t="shared" si="178"/>
        <v>y</v>
      </c>
      <c r="PXD1" s="154" t="str">
        <f t="shared" si="178"/>
        <v>y</v>
      </c>
      <c r="PXE1" s="154" t="str">
        <f t="shared" si="178"/>
        <v>y</v>
      </c>
      <c r="PXF1" s="154" t="str">
        <f t="shared" si="178"/>
        <v>y</v>
      </c>
      <c r="PXG1" s="154" t="str">
        <f t="shared" si="178"/>
        <v>y</v>
      </c>
      <c r="PXH1" s="154" t="str">
        <f t="shared" si="178"/>
        <v>y</v>
      </c>
      <c r="PXI1" s="154" t="str">
        <f t="shared" si="178"/>
        <v>y</v>
      </c>
      <c r="PXJ1" s="154" t="str">
        <f t="shared" si="178"/>
        <v>y</v>
      </c>
      <c r="PXK1" s="154" t="str">
        <f t="shared" si="178"/>
        <v>y</v>
      </c>
      <c r="PXL1" s="154" t="str">
        <f t="shared" si="178"/>
        <v>y</v>
      </c>
      <c r="PXM1" s="154" t="str">
        <f t="shared" si="178"/>
        <v>y</v>
      </c>
      <c r="PXN1" s="154" t="str">
        <f t="shared" si="178"/>
        <v>y</v>
      </c>
      <c r="PXO1" s="154" t="str">
        <f t="shared" si="178"/>
        <v>y</v>
      </c>
      <c r="PXP1" s="154" t="str">
        <f t="shared" si="178"/>
        <v>y</v>
      </c>
      <c r="PXQ1" s="154" t="str">
        <f t="shared" si="178"/>
        <v>y</v>
      </c>
      <c r="PXR1" s="154" t="str">
        <f t="shared" si="178"/>
        <v>y</v>
      </c>
      <c r="PXS1" s="154" t="str">
        <f t="shared" si="178"/>
        <v>y</v>
      </c>
      <c r="PXT1" s="154" t="str">
        <f t="shared" si="178"/>
        <v>y</v>
      </c>
      <c r="PXU1" s="154" t="str">
        <f t="shared" si="178"/>
        <v>y</v>
      </c>
      <c r="PXV1" s="154" t="str">
        <f t="shared" ref="PXV1:QAG1" si="179">PXV2&amp;"y"</f>
        <v>y</v>
      </c>
      <c r="PXW1" s="154" t="str">
        <f t="shared" si="179"/>
        <v>y</v>
      </c>
      <c r="PXX1" s="154" t="str">
        <f t="shared" si="179"/>
        <v>y</v>
      </c>
      <c r="PXY1" s="154" t="str">
        <f t="shared" si="179"/>
        <v>y</v>
      </c>
      <c r="PXZ1" s="154" t="str">
        <f t="shared" si="179"/>
        <v>y</v>
      </c>
      <c r="PYA1" s="154" t="str">
        <f t="shared" si="179"/>
        <v>y</v>
      </c>
      <c r="PYB1" s="154" t="str">
        <f t="shared" si="179"/>
        <v>y</v>
      </c>
      <c r="PYC1" s="154" t="str">
        <f t="shared" si="179"/>
        <v>y</v>
      </c>
      <c r="PYD1" s="154" t="str">
        <f t="shared" si="179"/>
        <v>y</v>
      </c>
      <c r="PYE1" s="154" t="str">
        <f t="shared" si="179"/>
        <v>y</v>
      </c>
      <c r="PYF1" s="154" t="str">
        <f t="shared" si="179"/>
        <v>y</v>
      </c>
      <c r="PYG1" s="154" t="str">
        <f t="shared" si="179"/>
        <v>y</v>
      </c>
      <c r="PYH1" s="154" t="str">
        <f t="shared" si="179"/>
        <v>y</v>
      </c>
      <c r="PYI1" s="154" t="str">
        <f t="shared" si="179"/>
        <v>y</v>
      </c>
      <c r="PYJ1" s="154" t="str">
        <f t="shared" si="179"/>
        <v>y</v>
      </c>
      <c r="PYK1" s="154" t="str">
        <f t="shared" si="179"/>
        <v>y</v>
      </c>
      <c r="PYL1" s="154" t="str">
        <f t="shared" si="179"/>
        <v>y</v>
      </c>
      <c r="PYM1" s="154" t="str">
        <f t="shared" si="179"/>
        <v>y</v>
      </c>
      <c r="PYN1" s="154" t="str">
        <f t="shared" si="179"/>
        <v>y</v>
      </c>
      <c r="PYO1" s="154" t="str">
        <f t="shared" si="179"/>
        <v>y</v>
      </c>
      <c r="PYP1" s="154" t="str">
        <f t="shared" si="179"/>
        <v>y</v>
      </c>
      <c r="PYQ1" s="154" t="str">
        <f t="shared" si="179"/>
        <v>y</v>
      </c>
      <c r="PYR1" s="154" t="str">
        <f t="shared" si="179"/>
        <v>y</v>
      </c>
      <c r="PYS1" s="154" t="str">
        <f t="shared" si="179"/>
        <v>y</v>
      </c>
      <c r="PYT1" s="154" t="str">
        <f t="shared" si="179"/>
        <v>y</v>
      </c>
      <c r="PYU1" s="154" t="str">
        <f t="shared" si="179"/>
        <v>y</v>
      </c>
      <c r="PYV1" s="154" t="str">
        <f t="shared" si="179"/>
        <v>y</v>
      </c>
      <c r="PYW1" s="154" t="str">
        <f t="shared" si="179"/>
        <v>y</v>
      </c>
      <c r="PYX1" s="154" t="str">
        <f t="shared" si="179"/>
        <v>y</v>
      </c>
      <c r="PYY1" s="154" t="str">
        <f t="shared" si="179"/>
        <v>y</v>
      </c>
      <c r="PYZ1" s="154" t="str">
        <f t="shared" si="179"/>
        <v>y</v>
      </c>
      <c r="PZA1" s="154" t="str">
        <f t="shared" si="179"/>
        <v>y</v>
      </c>
      <c r="PZB1" s="154" t="str">
        <f t="shared" si="179"/>
        <v>y</v>
      </c>
      <c r="PZC1" s="154" t="str">
        <f t="shared" si="179"/>
        <v>y</v>
      </c>
      <c r="PZD1" s="154" t="str">
        <f t="shared" si="179"/>
        <v>y</v>
      </c>
      <c r="PZE1" s="154" t="str">
        <f t="shared" si="179"/>
        <v>y</v>
      </c>
      <c r="PZF1" s="154" t="str">
        <f t="shared" si="179"/>
        <v>y</v>
      </c>
      <c r="PZG1" s="154" t="str">
        <f t="shared" si="179"/>
        <v>y</v>
      </c>
      <c r="PZH1" s="154" t="str">
        <f t="shared" si="179"/>
        <v>y</v>
      </c>
      <c r="PZI1" s="154" t="str">
        <f t="shared" si="179"/>
        <v>y</v>
      </c>
      <c r="PZJ1" s="154" t="str">
        <f t="shared" si="179"/>
        <v>y</v>
      </c>
      <c r="PZK1" s="154" t="str">
        <f t="shared" si="179"/>
        <v>y</v>
      </c>
      <c r="PZL1" s="154" t="str">
        <f t="shared" si="179"/>
        <v>y</v>
      </c>
      <c r="PZM1" s="154" t="str">
        <f t="shared" si="179"/>
        <v>y</v>
      </c>
      <c r="PZN1" s="154" t="str">
        <f t="shared" si="179"/>
        <v>y</v>
      </c>
      <c r="PZO1" s="154" t="str">
        <f t="shared" si="179"/>
        <v>y</v>
      </c>
      <c r="PZP1" s="154" t="str">
        <f t="shared" si="179"/>
        <v>y</v>
      </c>
      <c r="PZQ1" s="154" t="str">
        <f t="shared" si="179"/>
        <v>y</v>
      </c>
      <c r="PZR1" s="154" t="str">
        <f t="shared" si="179"/>
        <v>y</v>
      </c>
      <c r="PZS1" s="154" t="str">
        <f t="shared" si="179"/>
        <v>y</v>
      </c>
      <c r="PZT1" s="154" t="str">
        <f t="shared" si="179"/>
        <v>y</v>
      </c>
      <c r="PZU1" s="154" t="str">
        <f t="shared" si="179"/>
        <v>y</v>
      </c>
      <c r="PZV1" s="154" t="str">
        <f t="shared" si="179"/>
        <v>y</v>
      </c>
      <c r="PZW1" s="154" t="str">
        <f t="shared" si="179"/>
        <v>y</v>
      </c>
      <c r="PZX1" s="154" t="str">
        <f t="shared" si="179"/>
        <v>y</v>
      </c>
      <c r="PZY1" s="154" t="str">
        <f t="shared" si="179"/>
        <v>y</v>
      </c>
      <c r="PZZ1" s="154" t="str">
        <f t="shared" si="179"/>
        <v>y</v>
      </c>
      <c r="QAA1" s="154" t="str">
        <f t="shared" si="179"/>
        <v>y</v>
      </c>
      <c r="QAB1" s="154" t="str">
        <f t="shared" si="179"/>
        <v>y</v>
      </c>
      <c r="QAC1" s="154" t="str">
        <f t="shared" si="179"/>
        <v>y</v>
      </c>
      <c r="QAD1" s="154" t="str">
        <f t="shared" si="179"/>
        <v>y</v>
      </c>
      <c r="QAE1" s="154" t="str">
        <f t="shared" si="179"/>
        <v>y</v>
      </c>
      <c r="QAF1" s="154" t="str">
        <f t="shared" si="179"/>
        <v>y</v>
      </c>
      <c r="QAG1" s="154" t="str">
        <f t="shared" si="179"/>
        <v>y</v>
      </c>
      <c r="QAH1" s="154" t="str">
        <f t="shared" ref="QAH1:QCS1" si="180">QAH2&amp;"y"</f>
        <v>y</v>
      </c>
      <c r="QAI1" s="154" t="str">
        <f t="shared" si="180"/>
        <v>y</v>
      </c>
      <c r="QAJ1" s="154" t="str">
        <f t="shared" si="180"/>
        <v>y</v>
      </c>
      <c r="QAK1" s="154" t="str">
        <f t="shared" si="180"/>
        <v>y</v>
      </c>
      <c r="QAL1" s="154" t="str">
        <f t="shared" si="180"/>
        <v>y</v>
      </c>
      <c r="QAM1" s="154" t="str">
        <f t="shared" si="180"/>
        <v>y</v>
      </c>
      <c r="QAN1" s="154" t="str">
        <f t="shared" si="180"/>
        <v>y</v>
      </c>
      <c r="QAO1" s="154" t="str">
        <f t="shared" si="180"/>
        <v>y</v>
      </c>
      <c r="QAP1" s="154" t="str">
        <f t="shared" si="180"/>
        <v>y</v>
      </c>
      <c r="QAQ1" s="154" t="str">
        <f t="shared" si="180"/>
        <v>y</v>
      </c>
      <c r="QAR1" s="154" t="str">
        <f t="shared" si="180"/>
        <v>y</v>
      </c>
      <c r="QAS1" s="154" t="str">
        <f t="shared" si="180"/>
        <v>y</v>
      </c>
      <c r="QAT1" s="154" t="str">
        <f t="shared" si="180"/>
        <v>y</v>
      </c>
      <c r="QAU1" s="154" t="str">
        <f t="shared" si="180"/>
        <v>y</v>
      </c>
      <c r="QAV1" s="154" t="str">
        <f t="shared" si="180"/>
        <v>y</v>
      </c>
      <c r="QAW1" s="154" t="str">
        <f t="shared" si="180"/>
        <v>y</v>
      </c>
      <c r="QAX1" s="154" t="str">
        <f t="shared" si="180"/>
        <v>y</v>
      </c>
      <c r="QAY1" s="154" t="str">
        <f t="shared" si="180"/>
        <v>y</v>
      </c>
      <c r="QAZ1" s="154" t="str">
        <f t="shared" si="180"/>
        <v>y</v>
      </c>
      <c r="QBA1" s="154" t="str">
        <f t="shared" si="180"/>
        <v>y</v>
      </c>
      <c r="QBB1" s="154" t="str">
        <f t="shared" si="180"/>
        <v>y</v>
      </c>
      <c r="QBC1" s="154" t="str">
        <f t="shared" si="180"/>
        <v>y</v>
      </c>
      <c r="QBD1" s="154" t="str">
        <f t="shared" si="180"/>
        <v>y</v>
      </c>
      <c r="QBE1" s="154" t="str">
        <f t="shared" si="180"/>
        <v>y</v>
      </c>
      <c r="QBF1" s="154" t="str">
        <f t="shared" si="180"/>
        <v>y</v>
      </c>
      <c r="QBG1" s="154" t="str">
        <f t="shared" si="180"/>
        <v>y</v>
      </c>
      <c r="QBH1" s="154" t="str">
        <f t="shared" si="180"/>
        <v>y</v>
      </c>
      <c r="QBI1" s="154" t="str">
        <f t="shared" si="180"/>
        <v>y</v>
      </c>
      <c r="QBJ1" s="154" t="str">
        <f t="shared" si="180"/>
        <v>y</v>
      </c>
      <c r="QBK1" s="154" t="str">
        <f t="shared" si="180"/>
        <v>y</v>
      </c>
      <c r="QBL1" s="154" t="str">
        <f t="shared" si="180"/>
        <v>y</v>
      </c>
      <c r="QBM1" s="154" t="str">
        <f t="shared" si="180"/>
        <v>y</v>
      </c>
      <c r="QBN1" s="154" t="str">
        <f t="shared" si="180"/>
        <v>y</v>
      </c>
      <c r="QBO1" s="154" t="str">
        <f t="shared" si="180"/>
        <v>y</v>
      </c>
      <c r="QBP1" s="154" t="str">
        <f t="shared" si="180"/>
        <v>y</v>
      </c>
      <c r="QBQ1" s="154" t="str">
        <f t="shared" si="180"/>
        <v>y</v>
      </c>
      <c r="QBR1" s="154" t="str">
        <f t="shared" si="180"/>
        <v>y</v>
      </c>
      <c r="QBS1" s="154" t="str">
        <f t="shared" si="180"/>
        <v>y</v>
      </c>
      <c r="QBT1" s="154" t="str">
        <f t="shared" si="180"/>
        <v>y</v>
      </c>
      <c r="QBU1" s="154" t="str">
        <f t="shared" si="180"/>
        <v>y</v>
      </c>
      <c r="QBV1" s="154" t="str">
        <f t="shared" si="180"/>
        <v>y</v>
      </c>
      <c r="QBW1" s="154" t="str">
        <f t="shared" si="180"/>
        <v>y</v>
      </c>
      <c r="QBX1" s="154" t="str">
        <f t="shared" si="180"/>
        <v>y</v>
      </c>
      <c r="QBY1" s="154" t="str">
        <f t="shared" si="180"/>
        <v>y</v>
      </c>
      <c r="QBZ1" s="154" t="str">
        <f t="shared" si="180"/>
        <v>y</v>
      </c>
      <c r="QCA1" s="154" t="str">
        <f t="shared" si="180"/>
        <v>y</v>
      </c>
      <c r="QCB1" s="154" t="str">
        <f t="shared" si="180"/>
        <v>y</v>
      </c>
      <c r="QCC1" s="154" t="str">
        <f t="shared" si="180"/>
        <v>y</v>
      </c>
      <c r="QCD1" s="154" t="str">
        <f t="shared" si="180"/>
        <v>y</v>
      </c>
      <c r="QCE1" s="154" t="str">
        <f t="shared" si="180"/>
        <v>y</v>
      </c>
      <c r="QCF1" s="154" t="str">
        <f t="shared" si="180"/>
        <v>y</v>
      </c>
      <c r="QCG1" s="154" t="str">
        <f t="shared" si="180"/>
        <v>y</v>
      </c>
      <c r="QCH1" s="154" t="str">
        <f t="shared" si="180"/>
        <v>y</v>
      </c>
      <c r="QCI1" s="154" t="str">
        <f t="shared" si="180"/>
        <v>y</v>
      </c>
      <c r="QCJ1" s="154" t="str">
        <f t="shared" si="180"/>
        <v>y</v>
      </c>
      <c r="QCK1" s="154" t="str">
        <f t="shared" si="180"/>
        <v>y</v>
      </c>
      <c r="QCL1" s="154" t="str">
        <f t="shared" si="180"/>
        <v>y</v>
      </c>
      <c r="QCM1" s="154" t="str">
        <f t="shared" si="180"/>
        <v>y</v>
      </c>
      <c r="QCN1" s="154" t="str">
        <f t="shared" si="180"/>
        <v>y</v>
      </c>
      <c r="QCO1" s="154" t="str">
        <f t="shared" si="180"/>
        <v>y</v>
      </c>
      <c r="QCP1" s="154" t="str">
        <f t="shared" si="180"/>
        <v>y</v>
      </c>
      <c r="QCQ1" s="154" t="str">
        <f t="shared" si="180"/>
        <v>y</v>
      </c>
      <c r="QCR1" s="154" t="str">
        <f t="shared" si="180"/>
        <v>y</v>
      </c>
      <c r="QCS1" s="154" t="str">
        <f t="shared" si="180"/>
        <v>y</v>
      </c>
      <c r="QCT1" s="154" t="str">
        <f t="shared" ref="QCT1:QFE1" si="181">QCT2&amp;"y"</f>
        <v>y</v>
      </c>
      <c r="QCU1" s="154" t="str">
        <f t="shared" si="181"/>
        <v>y</v>
      </c>
      <c r="QCV1" s="154" t="str">
        <f t="shared" si="181"/>
        <v>y</v>
      </c>
      <c r="QCW1" s="154" t="str">
        <f t="shared" si="181"/>
        <v>y</v>
      </c>
      <c r="QCX1" s="154" t="str">
        <f t="shared" si="181"/>
        <v>y</v>
      </c>
      <c r="QCY1" s="154" t="str">
        <f t="shared" si="181"/>
        <v>y</v>
      </c>
      <c r="QCZ1" s="154" t="str">
        <f t="shared" si="181"/>
        <v>y</v>
      </c>
      <c r="QDA1" s="154" t="str">
        <f t="shared" si="181"/>
        <v>y</v>
      </c>
      <c r="QDB1" s="154" t="str">
        <f t="shared" si="181"/>
        <v>y</v>
      </c>
      <c r="QDC1" s="154" t="str">
        <f t="shared" si="181"/>
        <v>y</v>
      </c>
      <c r="QDD1" s="154" t="str">
        <f t="shared" si="181"/>
        <v>y</v>
      </c>
      <c r="QDE1" s="154" t="str">
        <f t="shared" si="181"/>
        <v>y</v>
      </c>
      <c r="QDF1" s="154" t="str">
        <f t="shared" si="181"/>
        <v>y</v>
      </c>
      <c r="QDG1" s="154" t="str">
        <f t="shared" si="181"/>
        <v>y</v>
      </c>
      <c r="QDH1" s="154" t="str">
        <f t="shared" si="181"/>
        <v>y</v>
      </c>
      <c r="QDI1" s="154" t="str">
        <f t="shared" si="181"/>
        <v>y</v>
      </c>
      <c r="QDJ1" s="154" t="str">
        <f t="shared" si="181"/>
        <v>y</v>
      </c>
      <c r="QDK1" s="154" t="str">
        <f t="shared" si="181"/>
        <v>y</v>
      </c>
      <c r="QDL1" s="154" t="str">
        <f t="shared" si="181"/>
        <v>y</v>
      </c>
      <c r="QDM1" s="154" t="str">
        <f t="shared" si="181"/>
        <v>y</v>
      </c>
      <c r="QDN1" s="154" t="str">
        <f t="shared" si="181"/>
        <v>y</v>
      </c>
      <c r="QDO1" s="154" t="str">
        <f t="shared" si="181"/>
        <v>y</v>
      </c>
      <c r="QDP1" s="154" t="str">
        <f t="shared" si="181"/>
        <v>y</v>
      </c>
      <c r="QDQ1" s="154" t="str">
        <f t="shared" si="181"/>
        <v>y</v>
      </c>
      <c r="QDR1" s="154" t="str">
        <f t="shared" si="181"/>
        <v>y</v>
      </c>
      <c r="QDS1" s="154" t="str">
        <f t="shared" si="181"/>
        <v>y</v>
      </c>
      <c r="QDT1" s="154" t="str">
        <f t="shared" si="181"/>
        <v>y</v>
      </c>
      <c r="QDU1" s="154" t="str">
        <f t="shared" si="181"/>
        <v>y</v>
      </c>
      <c r="QDV1" s="154" t="str">
        <f t="shared" si="181"/>
        <v>y</v>
      </c>
      <c r="QDW1" s="154" t="str">
        <f t="shared" si="181"/>
        <v>y</v>
      </c>
      <c r="QDX1" s="154" t="str">
        <f t="shared" si="181"/>
        <v>y</v>
      </c>
      <c r="QDY1" s="154" t="str">
        <f t="shared" si="181"/>
        <v>y</v>
      </c>
      <c r="QDZ1" s="154" t="str">
        <f t="shared" si="181"/>
        <v>y</v>
      </c>
      <c r="QEA1" s="154" t="str">
        <f t="shared" si="181"/>
        <v>y</v>
      </c>
      <c r="QEB1" s="154" t="str">
        <f t="shared" si="181"/>
        <v>y</v>
      </c>
      <c r="QEC1" s="154" t="str">
        <f t="shared" si="181"/>
        <v>y</v>
      </c>
      <c r="QED1" s="154" t="str">
        <f t="shared" si="181"/>
        <v>y</v>
      </c>
      <c r="QEE1" s="154" t="str">
        <f t="shared" si="181"/>
        <v>y</v>
      </c>
      <c r="QEF1" s="154" t="str">
        <f t="shared" si="181"/>
        <v>y</v>
      </c>
      <c r="QEG1" s="154" t="str">
        <f t="shared" si="181"/>
        <v>y</v>
      </c>
      <c r="QEH1" s="154" t="str">
        <f t="shared" si="181"/>
        <v>y</v>
      </c>
      <c r="QEI1" s="154" t="str">
        <f t="shared" si="181"/>
        <v>y</v>
      </c>
      <c r="QEJ1" s="154" t="str">
        <f t="shared" si="181"/>
        <v>y</v>
      </c>
      <c r="QEK1" s="154" t="str">
        <f t="shared" si="181"/>
        <v>y</v>
      </c>
      <c r="QEL1" s="154" t="str">
        <f t="shared" si="181"/>
        <v>y</v>
      </c>
      <c r="QEM1" s="154" t="str">
        <f t="shared" si="181"/>
        <v>y</v>
      </c>
      <c r="QEN1" s="154" t="str">
        <f t="shared" si="181"/>
        <v>y</v>
      </c>
      <c r="QEO1" s="154" t="str">
        <f t="shared" si="181"/>
        <v>y</v>
      </c>
      <c r="QEP1" s="154" t="str">
        <f t="shared" si="181"/>
        <v>y</v>
      </c>
      <c r="QEQ1" s="154" t="str">
        <f t="shared" si="181"/>
        <v>y</v>
      </c>
      <c r="QER1" s="154" t="str">
        <f t="shared" si="181"/>
        <v>y</v>
      </c>
      <c r="QES1" s="154" t="str">
        <f t="shared" si="181"/>
        <v>y</v>
      </c>
      <c r="QET1" s="154" t="str">
        <f t="shared" si="181"/>
        <v>y</v>
      </c>
      <c r="QEU1" s="154" t="str">
        <f t="shared" si="181"/>
        <v>y</v>
      </c>
      <c r="QEV1" s="154" t="str">
        <f t="shared" si="181"/>
        <v>y</v>
      </c>
      <c r="QEW1" s="154" t="str">
        <f t="shared" si="181"/>
        <v>y</v>
      </c>
      <c r="QEX1" s="154" t="str">
        <f t="shared" si="181"/>
        <v>y</v>
      </c>
      <c r="QEY1" s="154" t="str">
        <f t="shared" si="181"/>
        <v>y</v>
      </c>
      <c r="QEZ1" s="154" t="str">
        <f t="shared" si="181"/>
        <v>y</v>
      </c>
      <c r="QFA1" s="154" t="str">
        <f t="shared" si="181"/>
        <v>y</v>
      </c>
      <c r="QFB1" s="154" t="str">
        <f t="shared" si="181"/>
        <v>y</v>
      </c>
      <c r="QFC1" s="154" t="str">
        <f t="shared" si="181"/>
        <v>y</v>
      </c>
      <c r="QFD1" s="154" t="str">
        <f t="shared" si="181"/>
        <v>y</v>
      </c>
      <c r="QFE1" s="154" t="str">
        <f t="shared" si="181"/>
        <v>y</v>
      </c>
      <c r="QFF1" s="154" t="str">
        <f t="shared" ref="QFF1:QHQ1" si="182">QFF2&amp;"y"</f>
        <v>y</v>
      </c>
      <c r="QFG1" s="154" t="str">
        <f t="shared" si="182"/>
        <v>y</v>
      </c>
      <c r="QFH1" s="154" t="str">
        <f t="shared" si="182"/>
        <v>y</v>
      </c>
      <c r="QFI1" s="154" t="str">
        <f t="shared" si="182"/>
        <v>y</v>
      </c>
      <c r="QFJ1" s="154" t="str">
        <f t="shared" si="182"/>
        <v>y</v>
      </c>
      <c r="QFK1" s="154" t="str">
        <f t="shared" si="182"/>
        <v>y</v>
      </c>
      <c r="QFL1" s="154" t="str">
        <f t="shared" si="182"/>
        <v>y</v>
      </c>
      <c r="QFM1" s="154" t="str">
        <f t="shared" si="182"/>
        <v>y</v>
      </c>
      <c r="QFN1" s="154" t="str">
        <f t="shared" si="182"/>
        <v>y</v>
      </c>
      <c r="QFO1" s="154" t="str">
        <f t="shared" si="182"/>
        <v>y</v>
      </c>
      <c r="QFP1" s="154" t="str">
        <f t="shared" si="182"/>
        <v>y</v>
      </c>
      <c r="QFQ1" s="154" t="str">
        <f t="shared" si="182"/>
        <v>y</v>
      </c>
      <c r="QFR1" s="154" t="str">
        <f t="shared" si="182"/>
        <v>y</v>
      </c>
      <c r="QFS1" s="154" t="str">
        <f t="shared" si="182"/>
        <v>y</v>
      </c>
      <c r="QFT1" s="154" t="str">
        <f t="shared" si="182"/>
        <v>y</v>
      </c>
      <c r="QFU1" s="154" t="str">
        <f t="shared" si="182"/>
        <v>y</v>
      </c>
      <c r="QFV1" s="154" t="str">
        <f t="shared" si="182"/>
        <v>y</v>
      </c>
      <c r="QFW1" s="154" t="str">
        <f t="shared" si="182"/>
        <v>y</v>
      </c>
      <c r="QFX1" s="154" t="str">
        <f t="shared" si="182"/>
        <v>y</v>
      </c>
      <c r="QFY1" s="154" t="str">
        <f t="shared" si="182"/>
        <v>y</v>
      </c>
      <c r="QFZ1" s="154" t="str">
        <f t="shared" si="182"/>
        <v>y</v>
      </c>
      <c r="QGA1" s="154" t="str">
        <f t="shared" si="182"/>
        <v>y</v>
      </c>
      <c r="QGB1" s="154" t="str">
        <f t="shared" si="182"/>
        <v>y</v>
      </c>
      <c r="QGC1" s="154" t="str">
        <f t="shared" si="182"/>
        <v>y</v>
      </c>
      <c r="QGD1" s="154" t="str">
        <f t="shared" si="182"/>
        <v>y</v>
      </c>
      <c r="QGE1" s="154" t="str">
        <f t="shared" si="182"/>
        <v>y</v>
      </c>
      <c r="QGF1" s="154" t="str">
        <f t="shared" si="182"/>
        <v>y</v>
      </c>
      <c r="QGG1" s="154" t="str">
        <f t="shared" si="182"/>
        <v>y</v>
      </c>
      <c r="QGH1" s="154" t="str">
        <f t="shared" si="182"/>
        <v>y</v>
      </c>
      <c r="QGI1" s="154" t="str">
        <f t="shared" si="182"/>
        <v>y</v>
      </c>
      <c r="QGJ1" s="154" t="str">
        <f t="shared" si="182"/>
        <v>y</v>
      </c>
      <c r="QGK1" s="154" t="str">
        <f t="shared" si="182"/>
        <v>y</v>
      </c>
      <c r="QGL1" s="154" t="str">
        <f t="shared" si="182"/>
        <v>y</v>
      </c>
      <c r="QGM1" s="154" t="str">
        <f t="shared" si="182"/>
        <v>y</v>
      </c>
      <c r="QGN1" s="154" t="str">
        <f t="shared" si="182"/>
        <v>y</v>
      </c>
      <c r="QGO1" s="154" t="str">
        <f t="shared" si="182"/>
        <v>y</v>
      </c>
      <c r="QGP1" s="154" t="str">
        <f t="shared" si="182"/>
        <v>y</v>
      </c>
      <c r="QGQ1" s="154" t="str">
        <f t="shared" si="182"/>
        <v>y</v>
      </c>
      <c r="QGR1" s="154" t="str">
        <f t="shared" si="182"/>
        <v>y</v>
      </c>
      <c r="QGS1" s="154" t="str">
        <f t="shared" si="182"/>
        <v>y</v>
      </c>
      <c r="QGT1" s="154" t="str">
        <f t="shared" si="182"/>
        <v>y</v>
      </c>
      <c r="QGU1" s="154" t="str">
        <f t="shared" si="182"/>
        <v>y</v>
      </c>
      <c r="QGV1" s="154" t="str">
        <f t="shared" si="182"/>
        <v>y</v>
      </c>
      <c r="QGW1" s="154" t="str">
        <f t="shared" si="182"/>
        <v>y</v>
      </c>
      <c r="QGX1" s="154" t="str">
        <f t="shared" si="182"/>
        <v>y</v>
      </c>
      <c r="QGY1" s="154" t="str">
        <f t="shared" si="182"/>
        <v>y</v>
      </c>
      <c r="QGZ1" s="154" t="str">
        <f t="shared" si="182"/>
        <v>y</v>
      </c>
      <c r="QHA1" s="154" t="str">
        <f t="shared" si="182"/>
        <v>y</v>
      </c>
      <c r="QHB1" s="154" t="str">
        <f t="shared" si="182"/>
        <v>y</v>
      </c>
      <c r="QHC1" s="154" t="str">
        <f t="shared" si="182"/>
        <v>y</v>
      </c>
      <c r="QHD1" s="154" t="str">
        <f t="shared" si="182"/>
        <v>y</v>
      </c>
      <c r="QHE1" s="154" t="str">
        <f t="shared" si="182"/>
        <v>y</v>
      </c>
      <c r="QHF1" s="154" t="str">
        <f t="shared" si="182"/>
        <v>y</v>
      </c>
      <c r="QHG1" s="154" t="str">
        <f t="shared" si="182"/>
        <v>y</v>
      </c>
      <c r="QHH1" s="154" t="str">
        <f t="shared" si="182"/>
        <v>y</v>
      </c>
      <c r="QHI1" s="154" t="str">
        <f t="shared" si="182"/>
        <v>y</v>
      </c>
      <c r="QHJ1" s="154" t="str">
        <f t="shared" si="182"/>
        <v>y</v>
      </c>
      <c r="QHK1" s="154" t="str">
        <f t="shared" si="182"/>
        <v>y</v>
      </c>
      <c r="QHL1" s="154" t="str">
        <f t="shared" si="182"/>
        <v>y</v>
      </c>
      <c r="QHM1" s="154" t="str">
        <f t="shared" si="182"/>
        <v>y</v>
      </c>
      <c r="QHN1" s="154" t="str">
        <f t="shared" si="182"/>
        <v>y</v>
      </c>
      <c r="QHO1" s="154" t="str">
        <f t="shared" si="182"/>
        <v>y</v>
      </c>
      <c r="QHP1" s="154" t="str">
        <f t="shared" si="182"/>
        <v>y</v>
      </c>
      <c r="QHQ1" s="154" t="str">
        <f t="shared" si="182"/>
        <v>y</v>
      </c>
      <c r="QHR1" s="154" t="str">
        <f t="shared" ref="QHR1:QKC1" si="183">QHR2&amp;"y"</f>
        <v>y</v>
      </c>
      <c r="QHS1" s="154" t="str">
        <f t="shared" si="183"/>
        <v>y</v>
      </c>
      <c r="QHT1" s="154" t="str">
        <f t="shared" si="183"/>
        <v>y</v>
      </c>
      <c r="QHU1" s="154" t="str">
        <f t="shared" si="183"/>
        <v>y</v>
      </c>
      <c r="QHV1" s="154" t="str">
        <f t="shared" si="183"/>
        <v>y</v>
      </c>
      <c r="QHW1" s="154" t="str">
        <f t="shared" si="183"/>
        <v>y</v>
      </c>
      <c r="QHX1" s="154" t="str">
        <f t="shared" si="183"/>
        <v>y</v>
      </c>
      <c r="QHY1" s="154" t="str">
        <f t="shared" si="183"/>
        <v>y</v>
      </c>
      <c r="QHZ1" s="154" t="str">
        <f t="shared" si="183"/>
        <v>y</v>
      </c>
      <c r="QIA1" s="154" t="str">
        <f t="shared" si="183"/>
        <v>y</v>
      </c>
      <c r="QIB1" s="154" t="str">
        <f t="shared" si="183"/>
        <v>y</v>
      </c>
      <c r="QIC1" s="154" t="str">
        <f t="shared" si="183"/>
        <v>y</v>
      </c>
      <c r="QID1" s="154" t="str">
        <f t="shared" si="183"/>
        <v>y</v>
      </c>
      <c r="QIE1" s="154" t="str">
        <f t="shared" si="183"/>
        <v>y</v>
      </c>
      <c r="QIF1" s="154" t="str">
        <f t="shared" si="183"/>
        <v>y</v>
      </c>
      <c r="QIG1" s="154" t="str">
        <f t="shared" si="183"/>
        <v>y</v>
      </c>
      <c r="QIH1" s="154" t="str">
        <f t="shared" si="183"/>
        <v>y</v>
      </c>
      <c r="QII1" s="154" t="str">
        <f t="shared" si="183"/>
        <v>y</v>
      </c>
      <c r="QIJ1" s="154" t="str">
        <f t="shared" si="183"/>
        <v>y</v>
      </c>
      <c r="QIK1" s="154" t="str">
        <f t="shared" si="183"/>
        <v>y</v>
      </c>
      <c r="QIL1" s="154" t="str">
        <f t="shared" si="183"/>
        <v>y</v>
      </c>
      <c r="QIM1" s="154" t="str">
        <f t="shared" si="183"/>
        <v>y</v>
      </c>
      <c r="QIN1" s="154" t="str">
        <f t="shared" si="183"/>
        <v>y</v>
      </c>
      <c r="QIO1" s="154" t="str">
        <f t="shared" si="183"/>
        <v>y</v>
      </c>
      <c r="QIP1" s="154" t="str">
        <f t="shared" si="183"/>
        <v>y</v>
      </c>
      <c r="QIQ1" s="154" t="str">
        <f t="shared" si="183"/>
        <v>y</v>
      </c>
      <c r="QIR1" s="154" t="str">
        <f t="shared" si="183"/>
        <v>y</v>
      </c>
      <c r="QIS1" s="154" t="str">
        <f t="shared" si="183"/>
        <v>y</v>
      </c>
      <c r="QIT1" s="154" t="str">
        <f t="shared" si="183"/>
        <v>y</v>
      </c>
      <c r="QIU1" s="154" t="str">
        <f t="shared" si="183"/>
        <v>y</v>
      </c>
      <c r="QIV1" s="154" t="str">
        <f t="shared" si="183"/>
        <v>y</v>
      </c>
      <c r="QIW1" s="154" t="str">
        <f t="shared" si="183"/>
        <v>y</v>
      </c>
      <c r="QIX1" s="154" t="str">
        <f t="shared" si="183"/>
        <v>y</v>
      </c>
      <c r="QIY1" s="154" t="str">
        <f t="shared" si="183"/>
        <v>y</v>
      </c>
      <c r="QIZ1" s="154" t="str">
        <f t="shared" si="183"/>
        <v>y</v>
      </c>
      <c r="QJA1" s="154" t="str">
        <f t="shared" si="183"/>
        <v>y</v>
      </c>
      <c r="QJB1" s="154" t="str">
        <f t="shared" si="183"/>
        <v>y</v>
      </c>
      <c r="QJC1" s="154" t="str">
        <f t="shared" si="183"/>
        <v>y</v>
      </c>
      <c r="QJD1" s="154" t="str">
        <f t="shared" si="183"/>
        <v>y</v>
      </c>
      <c r="QJE1" s="154" t="str">
        <f t="shared" si="183"/>
        <v>y</v>
      </c>
      <c r="QJF1" s="154" t="str">
        <f t="shared" si="183"/>
        <v>y</v>
      </c>
      <c r="QJG1" s="154" t="str">
        <f t="shared" si="183"/>
        <v>y</v>
      </c>
      <c r="QJH1" s="154" t="str">
        <f t="shared" si="183"/>
        <v>y</v>
      </c>
      <c r="QJI1" s="154" t="str">
        <f t="shared" si="183"/>
        <v>y</v>
      </c>
      <c r="QJJ1" s="154" t="str">
        <f t="shared" si="183"/>
        <v>y</v>
      </c>
      <c r="QJK1" s="154" t="str">
        <f t="shared" si="183"/>
        <v>y</v>
      </c>
      <c r="QJL1" s="154" t="str">
        <f t="shared" si="183"/>
        <v>y</v>
      </c>
      <c r="QJM1" s="154" t="str">
        <f t="shared" si="183"/>
        <v>y</v>
      </c>
      <c r="QJN1" s="154" t="str">
        <f t="shared" si="183"/>
        <v>y</v>
      </c>
      <c r="QJO1" s="154" t="str">
        <f t="shared" si="183"/>
        <v>y</v>
      </c>
      <c r="QJP1" s="154" t="str">
        <f t="shared" si="183"/>
        <v>y</v>
      </c>
      <c r="QJQ1" s="154" t="str">
        <f t="shared" si="183"/>
        <v>y</v>
      </c>
      <c r="QJR1" s="154" t="str">
        <f t="shared" si="183"/>
        <v>y</v>
      </c>
      <c r="QJS1" s="154" t="str">
        <f t="shared" si="183"/>
        <v>y</v>
      </c>
      <c r="QJT1" s="154" t="str">
        <f t="shared" si="183"/>
        <v>y</v>
      </c>
      <c r="QJU1" s="154" t="str">
        <f t="shared" si="183"/>
        <v>y</v>
      </c>
      <c r="QJV1" s="154" t="str">
        <f t="shared" si="183"/>
        <v>y</v>
      </c>
      <c r="QJW1" s="154" t="str">
        <f t="shared" si="183"/>
        <v>y</v>
      </c>
      <c r="QJX1" s="154" t="str">
        <f t="shared" si="183"/>
        <v>y</v>
      </c>
      <c r="QJY1" s="154" t="str">
        <f t="shared" si="183"/>
        <v>y</v>
      </c>
      <c r="QJZ1" s="154" t="str">
        <f t="shared" si="183"/>
        <v>y</v>
      </c>
      <c r="QKA1" s="154" t="str">
        <f t="shared" si="183"/>
        <v>y</v>
      </c>
      <c r="QKB1" s="154" t="str">
        <f t="shared" si="183"/>
        <v>y</v>
      </c>
      <c r="QKC1" s="154" t="str">
        <f t="shared" si="183"/>
        <v>y</v>
      </c>
      <c r="QKD1" s="154" t="str">
        <f t="shared" ref="QKD1:QMO1" si="184">QKD2&amp;"y"</f>
        <v>y</v>
      </c>
      <c r="QKE1" s="154" t="str">
        <f t="shared" si="184"/>
        <v>y</v>
      </c>
      <c r="QKF1" s="154" t="str">
        <f t="shared" si="184"/>
        <v>y</v>
      </c>
      <c r="QKG1" s="154" t="str">
        <f t="shared" si="184"/>
        <v>y</v>
      </c>
      <c r="QKH1" s="154" t="str">
        <f t="shared" si="184"/>
        <v>y</v>
      </c>
      <c r="QKI1" s="154" t="str">
        <f t="shared" si="184"/>
        <v>y</v>
      </c>
      <c r="QKJ1" s="154" t="str">
        <f t="shared" si="184"/>
        <v>y</v>
      </c>
      <c r="QKK1" s="154" t="str">
        <f t="shared" si="184"/>
        <v>y</v>
      </c>
      <c r="QKL1" s="154" t="str">
        <f t="shared" si="184"/>
        <v>y</v>
      </c>
      <c r="QKM1" s="154" t="str">
        <f t="shared" si="184"/>
        <v>y</v>
      </c>
      <c r="QKN1" s="154" t="str">
        <f t="shared" si="184"/>
        <v>y</v>
      </c>
      <c r="QKO1" s="154" t="str">
        <f t="shared" si="184"/>
        <v>y</v>
      </c>
      <c r="QKP1" s="154" t="str">
        <f t="shared" si="184"/>
        <v>y</v>
      </c>
      <c r="QKQ1" s="154" t="str">
        <f t="shared" si="184"/>
        <v>y</v>
      </c>
      <c r="QKR1" s="154" t="str">
        <f t="shared" si="184"/>
        <v>y</v>
      </c>
      <c r="QKS1" s="154" t="str">
        <f t="shared" si="184"/>
        <v>y</v>
      </c>
      <c r="QKT1" s="154" t="str">
        <f t="shared" si="184"/>
        <v>y</v>
      </c>
      <c r="QKU1" s="154" t="str">
        <f t="shared" si="184"/>
        <v>y</v>
      </c>
      <c r="QKV1" s="154" t="str">
        <f t="shared" si="184"/>
        <v>y</v>
      </c>
      <c r="QKW1" s="154" t="str">
        <f t="shared" si="184"/>
        <v>y</v>
      </c>
      <c r="QKX1" s="154" t="str">
        <f t="shared" si="184"/>
        <v>y</v>
      </c>
      <c r="QKY1" s="154" t="str">
        <f t="shared" si="184"/>
        <v>y</v>
      </c>
      <c r="QKZ1" s="154" t="str">
        <f t="shared" si="184"/>
        <v>y</v>
      </c>
      <c r="QLA1" s="154" t="str">
        <f t="shared" si="184"/>
        <v>y</v>
      </c>
      <c r="QLB1" s="154" t="str">
        <f t="shared" si="184"/>
        <v>y</v>
      </c>
      <c r="QLC1" s="154" t="str">
        <f t="shared" si="184"/>
        <v>y</v>
      </c>
      <c r="QLD1" s="154" t="str">
        <f t="shared" si="184"/>
        <v>y</v>
      </c>
      <c r="QLE1" s="154" t="str">
        <f t="shared" si="184"/>
        <v>y</v>
      </c>
      <c r="QLF1" s="154" t="str">
        <f t="shared" si="184"/>
        <v>y</v>
      </c>
      <c r="QLG1" s="154" t="str">
        <f t="shared" si="184"/>
        <v>y</v>
      </c>
      <c r="QLH1" s="154" t="str">
        <f t="shared" si="184"/>
        <v>y</v>
      </c>
      <c r="QLI1" s="154" t="str">
        <f t="shared" si="184"/>
        <v>y</v>
      </c>
      <c r="QLJ1" s="154" t="str">
        <f t="shared" si="184"/>
        <v>y</v>
      </c>
      <c r="QLK1" s="154" t="str">
        <f t="shared" si="184"/>
        <v>y</v>
      </c>
      <c r="QLL1" s="154" t="str">
        <f t="shared" si="184"/>
        <v>y</v>
      </c>
      <c r="QLM1" s="154" t="str">
        <f t="shared" si="184"/>
        <v>y</v>
      </c>
      <c r="QLN1" s="154" t="str">
        <f t="shared" si="184"/>
        <v>y</v>
      </c>
      <c r="QLO1" s="154" t="str">
        <f t="shared" si="184"/>
        <v>y</v>
      </c>
      <c r="QLP1" s="154" t="str">
        <f t="shared" si="184"/>
        <v>y</v>
      </c>
      <c r="QLQ1" s="154" t="str">
        <f t="shared" si="184"/>
        <v>y</v>
      </c>
      <c r="QLR1" s="154" t="str">
        <f t="shared" si="184"/>
        <v>y</v>
      </c>
      <c r="QLS1" s="154" t="str">
        <f t="shared" si="184"/>
        <v>y</v>
      </c>
      <c r="QLT1" s="154" t="str">
        <f t="shared" si="184"/>
        <v>y</v>
      </c>
      <c r="QLU1" s="154" t="str">
        <f t="shared" si="184"/>
        <v>y</v>
      </c>
      <c r="QLV1" s="154" t="str">
        <f t="shared" si="184"/>
        <v>y</v>
      </c>
      <c r="QLW1" s="154" t="str">
        <f t="shared" si="184"/>
        <v>y</v>
      </c>
      <c r="QLX1" s="154" t="str">
        <f t="shared" si="184"/>
        <v>y</v>
      </c>
      <c r="QLY1" s="154" t="str">
        <f t="shared" si="184"/>
        <v>y</v>
      </c>
      <c r="QLZ1" s="154" t="str">
        <f t="shared" si="184"/>
        <v>y</v>
      </c>
      <c r="QMA1" s="154" t="str">
        <f t="shared" si="184"/>
        <v>y</v>
      </c>
      <c r="QMB1" s="154" t="str">
        <f t="shared" si="184"/>
        <v>y</v>
      </c>
      <c r="QMC1" s="154" t="str">
        <f t="shared" si="184"/>
        <v>y</v>
      </c>
      <c r="QMD1" s="154" t="str">
        <f t="shared" si="184"/>
        <v>y</v>
      </c>
      <c r="QME1" s="154" t="str">
        <f t="shared" si="184"/>
        <v>y</v>
      </c>
      <c r="QMF1" s="154" t="str">
        <f t="shared" si="184"/>
        <v>y</v>
      </c>
      <c r="QMG1" s="154" t="str">
        <f t="shared" si="184"/>
        <v>y</v>
      </c>
      <c r="QMH1" s="154" t="str">
        <f t="shared" si="184"/>
        <v>y</v>
      </c>
      <c r="QMI1" s="154" t="str">
        <f t="shared" si="184"/>
        <v>y</v>
      </c>
      <c r="QMJ1" s="154" t="str">
        <f t="shared" si="184"/>
        <v>y</v>
      </c>
      <c r="QMK1" s="154" t="str">
        <f t="shared" si="184"/>
        <v>y</v>
      </c>
      <c r="QML1" s="154" t="str">
        <f t="shared" si="184"/>
        <v>y</v>
      </c>
      <c r="QMM1" s="154" t="str">
        <f t="shared" si="184"/>
        <v>y</v>
      </c>
      <c r="QMN1" s="154" t="str">
        <f t="shared" si="184"/>
        <v>y</v>
      </c>
      <c r="QMO1" s="154" t="str">
        <f t="shared" si="184"/>
        <v>y</v>
      </c>
      <c r="QMP1" s="154" t="str">
        <f t="shared" ref="QMP1:QPA1" si="185">QMP2&amp;"y"</f>
        <v>y</v>
      </c>
      <c r="QMQ1" s="154" t="str">
        <f t="shared" si="185"/>
        <v>y</v>
      </c>
      <c r="QMR1" s="154" t="str">
        <f t="shared" si="185"/>
        <v>y</v>
      </c>
      <c r="QMS1" s="154" t="str">
        <f t="shared" si="185"/>
        <v>y</v>
      </c>
      <c r="QMT1" s="154" t="str">
        <f t="shared" si="185"/>
        <v>y</v>
      </c>
      <c r="QMU1" s="154" t="str">
        <f t="shared" si="185"/>
        <v>y</v>
      </c>
      <c r="QMV1" s="154" t="str">
        <f t="shared" si="185"/>
        <v>y</v>
      </c>
      <c r="QMW1" s="154" t="str">
        <f t="shared" si="185"/>
        <v>y</v>
      </c>
      <c r="QMX1" s="154" t="str">
        <f t="shared" si="185"/>
        <v>y</v>
      </c>
      <c r="QMY1" s="154" t="str">
        <f t="shared" si="185"/>
        <v>y</v>
      </c>
      <c r="QMZ1" s="154" t="str">
        <f t="shared" si="185"/>
        <v>y</v>
      </c>
      <c r="QNA1" s="154" t="str">
        <f t="shared" si="185"/>
        <v>y</v>
      </c>
      <c r="QNB1" s="154" t="str">
        <f t="shared" si="185"/>
        <v>y</v>
      </c>
      <c r="QNC1" s="154" t="str">
        <f t="shared" si="185"/>
        <v>y</v>
      </c>
      <c r="QND1" s="154" t="str">
        <f t="shared" si="185"/>
        <v>y</v>
      </c>
      <c r="QNE1" s="154" t="str">
        <f t="shared" si="185"/>
        <v>y</v>
      </c>
      <c r="QNF1" s="154" t="str">
        <f t="shared" si="185"/>
        <v>y</v>
      </c>
      <c r="QNG1" s="154" t="str">
        <f t="shared" si="185"/>
        <v>y</v>
      </c>
      <c r="QNH1" s="154" t="str">
        <f t="shared" si="185"/>
        <v>y</v>
      </c>
      <c r="QNI1" s="154" t="str">
        <f t="shared" si="185"/>
        <v>y</v>
      </c>
      <c r="QNJ1" s="154" t="str">
        <f t="shared" si="185"/>
        <v>y</v>
      </c>
      <c r="QNK1" s="154" t="str">
        <f t="shared" si="185"/>
        <v>y</v>
      </c>
      <c r="QNL1" s="154" t="str">
        <f t="shared" si="185"/>
        <v>y</v>
      </c>
      <c r="QNM1" s="154" t="str">
        <f t="shared" si="185"/>
        <v>y</v>
      </c>
      <c r="QNN1" s="154" t="str">
        <f t="shared" si="185"/>
        <v>y</v>
      </c>
      <c r="QNO1" s="154" t="str">
        <f t="shared" si="185"/>
        <v>y</v>
      </c>
      <c r="QNP1" s="154" t="str">
        <f t="shared" si="185"/>
        <v>y</v>
      </c>
      <c r="QNQ1" s="154" t="str">
        <f t="shared" si="185"/>
        <v>y</v>
      </c>
      <c r="QNR1" s="154" t="str">
        <f t="shared" si="185"/>
        <v>y</v>
      </c>
      <c r="QNS1" s="154" t="str">
        <f t="shared" si="185"/>
        <v>y</v>
      </c>
      <c r="QNT1" s="154" t="str">
        <f t="shared" si="185"/>
        <v>y</v>
      </c>
      <c r="QNU1" s="154" t="str">
        <f t="shared" si="185"/>
        <v>y</v>
      </c>
      <c r="QNV1" s="154" t="str">
        <f t="shared" si="185"/>
        <v>y</v>
      </c>
      <c r="QNW1" s="154" t="str">
        <f t="shared" si="185"/>
        <v>y</v>
      </c>
      <c r="QNX1" s="154" t="str">
        <f t="shared" si="185"/>
        <v>y</v>
      </c>
      <c r="QNY1" s="154" t="str">
        <f t="shared" si="185"/>
        <v>y</v>
      </c>
      <c r="QNZ1" s="154" t="str">
        <f t="shared" si="185"/>
        <v>y</v>
      </c>
      <c r="QOA1" s="154" t="str">
        <f t="shared" si="185"/>
        <v>y</v>
      </c>
      <c r="QOB1" s="154" t="str">
        <f t="shared" si="185"/>
        <v>y</v>
      </c>
      <c r="QOC1" s="154" t="str">
        <f t="shared" si="185"/>
        <v>y</v>
      </c>
      <c r="QOD1" s="154" t="str">
        <f t="shared" si="185"/>
        <v>y</v>
      </c>
      <c r="QOE1" s="154" t="str">
        <f t="shared" si="185"/>
        <v>y</v>
      </c>
      <c r="QOF1" s="154" t="str">
        <f t="shared" si="185"/>
        <v>y</v>
      </c>
      <c r="QOG1" s="154" t="str">
        <f t="shared" si="185"/>
        <v>y</v>
      </c>
      <c r="QOH1" s="154" t="str">
        <f t="shared" si="185"/>
        <v>y</v>
      </c>
      <c r="QOI1" s="154" t="str">
        <f t="shared" si="185"/>
        <v>y</v>
      </c>
      <c r="QOJ1" s="154" t="str">
        <f t="shared" si="185"/>
        <v>y</v>
      </c>
      <c r="QOK1" s="154" t="str">
        <f t="shared" si="185"/>
        <v>y</v>
      </c>
      <c r="QOL1" s="154" t="str">
        <f t="shared" si="185"/>
        <v>y</v>
      </c>
      <c r="QOM1" s="154" t="str">
        <f t="shared" si="185"/>
        <v>y</v>
      </c>
      <c r="QON1" s="154" t="str">
        <f t="shared" si="185"/>
        <v>y</v>
      </c>
      <c r="QOO1" s="154" t="str">
        <f t="shared" si="185"/>
        <v>y</v>
      </c>
      <c r="QOP1" s="154" t="str">
        <f t="shared" si="185"/>
        <v>y</v>
      </c>
      <c r="QOQ1" s="154" t="str">
        <f t="shared" si="185"/>
        <v>y</v>
      </c>
      <c r="QOR1" s="154" t="str">
        <f t="shared" si="185"/>
        <v>y</v>
      </c>
      <c r="QOS1" s="154" t="str">
        <f t="shared" si="185"/>
        <v>y</v>
      </c>
      <c r="QOT1" s="154" t="str">
        <f t="shared" si="185"/>
        <v>y</v>
      </c>
      <c r="QOU1" s="154" t="str">
        <f t="shared" si="185"/>
        <v>y</v>
      </c>
      <c r="QOV1" s="154" t="str">
        <f t="shared" si="185"/>
        <v>y</v>
      </c>
      <c r="QOW1" s="154" t="str">
        <f t="shared" si="185"/>
        <v>y</v>
      </c>
      <c r="QOX1" s="154" t="str">
        <f t="shared" si="185"/>
        <v>y</v>
      </c>
      <c r="QOY1" s="154" t="str">
        <f t="shared" si="185"/>
        <v>y</v>
      </c>
      <c r="QOZ1" s="154" t="str">
        <f t="shared" si="185"/>
        <v>y</v>
      </c>
      <c r="QPA1" s="154" t="str">
        <f t="shared" si="185"/>
        <v>y</v>
      </c>
      <c r="QPB1" s="154" t="str">
        <f t="shared" ref="QPB1:QRM1" si="186">QPB2&amp;"y"</f>
        <v>y</v>
      </c>
      <c r="QPC1" s="154" t="str">
        <f t="shared" si="186"/>
        <v>y</v>
      </c>
      <c r="QPD1" s="154" t="str">
        <f t="shared" si="186"/>
        <v>y</v>
      </c>
      <c r="QPE1" s="154" t="str">
        <f t="shared" si="186"/>
        <v>y</v>
      </c>
      <c r="QPF1" s="154" t="str">
        <f t="shared" si="186"/>
        <v>y</v>
      </c>
      <c r="QPG1" s="154" t="str">
        <f t="shared" si="186"/>
        <v>y</v>
      </c>
      <c r="QPH1" s="154" t="str">
        <f t="shared" si="186"/>
        <v>y</v>
      </c>
      <c r="QPI1" s="154" t="str">
        <f t="shared" si="186"/>
        <v>y</v>
      </c>
      <c r="QPJ1" s="154" t="str">
        <f t="shared" si="186"/>
        <v>y</v>
      </c>
      <c r="QPK1" s="154" t="str">
        <f t="shared" si="186"/>
        <v>y</v>
      </c>
      <c r="QPL1" s="154" t="str">
        <f t="shared" si="186"/>
        <v>y</v>
      </c>
      <c r="QPM1" s="154" t="str">
        <f t="shared" si="186"/>
        <v>y</v>
      </c>
      <c r="QPN1" s="154" t="str">
        <f t="shared" si="186"/>
        <v>y</v>
      </c>
      <c r="QPO1" s="154" t="str">
        <f t="shared" si="186"/>
        <v>y</v>
      </c>
      <c r="QPP1" s="154" t="str">
        <f t="shared" si="186"/>
        <v>y</v>
      </c>
      <c r="QPQ1" s="154" t="str">
        <f t="shared" si="186"/>
        <v>y</v>
      </c>
      <c r="QPR1" s="154" t="str">
        <f t="shared" si="186"/>
        <v>y</v>
      </c>
      <c r="QPS1" s="154" t="str">
        <f t="shared" si="186"/>
        <v>y</v>
      </c>
      <c r="QPT1" s="154" t="str">
        <f t="shared" si="186"/>
        <v>y</v>
      </c>
      <c r="QPU1" s="154" t="str">
        <f t="shared" si="186"/>
        <v>y</v>
      </c>
      <c r="QPV1" s="154" t="str">
        <f t="shared" si="186"/>
        <v>y</v>
      </c>
      <c r="QPW1" s="154" t="str">
        <f t="shared" si="186"/>
        <v>y</v>
      </c>
      <c r="QPX1" s="154" t="str">
        <f t="shared" si="186"/>
        <v>y</v>
      </c>
      <c r="QPY1" s="154" t="str">
        <f t="shared" si="186"/>
        <v>y</v>
      </c>
      <c r="QPZ1" s="154" t="str">
        <f t="shared" si="186"/>
        <v>y</v>
      </c>
      <c r="QQA1" s="154" t="str">
        <f t="shared" si="186"/>
        <v>y</v>
      </c>
      <c r="QQB1" s="154" t="str">
        <f t="shared" si="186"/>
        <v>y</v>
      </c>
      <c r="QQC1" s="154" t="str">
        <f t="shared" si="186"/>
        <v>y</v>
      </c>
      <c r="QQD1" s="154" t="str">
        <f t="shared" si="186"/>
        <v>y</v>
      </c>
      <c r="QQE1" s="154" t="str">
        <f t="shared" si="186"/>
        <v>y</v>
      </c>
      <c r="QQF1" s="154" t="str">
        <f t="shared" si="186"/>
        <v>y</v>
      </c>
      <c r="QQG1" s="154" t="str">
        <f t="shared" si="186"/>
        <v>y</v>
      </c>
      <c r="QQH1" s="154" t="str">
        <f t="shared" si="186"/>
        <v>y</v>
      </c>
      <c r="QQI1" s="154" t="str">
        <f t="shared" si="186"/>
        <v>y</v>
      </c>
      <c r="QQJ1" s="154" t="str">
        <f t="shared" si="186"/>
        <v>y</v>
      </c>
      <c r="QQK1" s="154" t="str">
        <f t="shared" si="186"/>
        <v>y</v>
      </c>
      <c r="QQL1" s="154" t="str">
        <f t="shared" si="186"/>
        <v>y</v>
      </c>
      <c r="QQM1" s="154" t="str">
        <f t="shared" si="186"/>
        <v>y</v>
      </c>
      <c r="QQN1" s="154" t="str">
        <f t="shared" si="186"/>
        <v>y</v>
      </c>
      <c r="QQO1" s="154" t="str">
        <f t="shared" si="186"/>
        <v>y</v>
      </c>
      <c r="QQP1" s="154" t="str">
        <f t="shared" si="186"/>
        <v>y</v>
      </c>
      <c r="QQQ1" s="154" t="str">
        <f t="shared" si="186"/>
        <v>y</v>
      </c>
      <c r="QQR1" s="154" t="str">
        <f t="shared" si="186"/>
        <v>y</v>
      </c>
      <c r="QQS1" s="154" t="str">
        <f t="shared" si="186"/>
        <v>y</v>
      </c>
      <c r="QQT1" s="154" t="str">
        <f t="shared" si="186"/>
        <v>y</v>
      </c>
      <c r="QQU1" s="154" t="str">
        <f t="shared" si="186"/>
        <v>y</v>
      </c>
      <c r="QQV1" s="154" t="str">
        <f t="shared" si="186"/>
        <v>y</v>
      </c>
      <c r="QQW1" s="154" t="str">
        <f t="shared" si="186"/>
        <v>y</v>
      </c>
      <c r="QQX1" s="154" t="str">
        <f t="shared" si="186"/>
        <v>y</v>
      </c>
      <c r="QQY1" s="154" t="str">
        <f t="shared" si="186"/>
        <v>y</v>
      </c>
      <c r="QQZ1" s="154" t="str">
        <f t="shared" si="186"/>
        <v>y</v>
      </c>
      <c r="QRA1" s="154" t="str">
        <f t="shared" si="186"/>
        <v>y</v>
      </c>
      <c r="QRB1" s="154" t="str">
        <f t="shared" si="186"/>
        <v>y</v>
      </c>
      <c r="QRC1" s="154" t="str">
        <f t="shared" si="186"/>
        <v>y</v>
      </c>
      <c r="QRD1" s="154" t="str">
        <f t="shared" si="186"/>
        <v>y</v>
      </c>
      <c r="QRE1" s="154" t="str">
        <f t="shared" si="186"/>
        <v>y</v>
      </c>
      <c r="QRF1" s="154" t="str">
        <f t="shared" si="186"/>
        <v>y</v>
      </c>
      <c r="QRG1" s="154" t="str">
        <f t="shared" si="186"/>
        <v>y</v>
      </c>
      <c r="QRH1" s="154" t="str">
        <f t="shared" si="186"/>
        <v>y</v>
      </c>
      <c r="QRI1" s="154" t="str">
        <f t="shared" si="186"/>
        <v>y</v>
      </c>
      <c r="QRJ1" s="154" t="str">
        <f t="shared" si="186"/>
        <v>y</v>
      </c>
      <c r="QRK1" s="154" t="str">
        <f t="shared" si="186"/>
        <v>y</v>
      </c>
      <c r="QRL1" s="154" t="str">
        <f t="shared" si="186"/>
        <v>y</v>
      </c>
      <c r="QRM1" s="154" t="str">
        <f t="shared" si="186"/>
        <v>y</v>
      </c>
      <c r="QRN1" s="154" t="str">
        <f t="shared" ref="QRN1:QTY1" si="187">QRN2&amp;"y"</f>
        <v>y</v>
      </c>
      <c r="QRO1" s="154" t="str">
        <f t="shared" si="187"/>
        <v>y</v>
      </c>
      <c r="QRP1" s="154" t="str">
        <f t="shared" si="187"/>
        <v>y</v>
      </c>
      <c r="QRQ1" s="154" t="str">
        <f t="shared" si="187"/>
        <v>y</v>
      </c>
      <c r="QRR1" s="154" t="str">
        <f t="shared" si="187"/>
        <v>y</v>
      </c>
      <c r="QRS1" s="154" t="str">
        <f t="shared" si="187"/>
        <v>y</v>
      </c>
      <c r="QRT1" s="154" t="str">
        <f t="shared" si="187"/>
        <v>y</v>
      </c>
      <c r="QRU1" s="154" t="str">
        <f t="shared" si="187"/>
        <v>y</v>
      </c>
      <c r="QRV1" s="154" t="str">
        <f t="shared" si="187"/>
        <v>y</v>
      </c>
      <c r="QRW1" s="154" t="str">
        <f t="shared" si="187"/>
        <v>y</v>
      </c>
      <c r="QRX1" s="154" t="str">
        <f t="shared" si="187"/>
        <v>y</v>
      </c>
      <c r="QRY1" s="154" t="str">
        <f t="shared" si="187"/>
        <v>y</v>
      </c>
      <c r="QRZ1" s="154" t="str">
        <f t="shared" si="187"/>
        <v>y</v>
      </c>
      <c r="QSA1" s="154" t="str">
        <f t="shared" si="187"/>
        <v>y</v>
      </c>
      <c r="QSB1" s="154" t="str">
        <f t="shared" si="187"/>
        <v>y</v>
      </c>
      <c r="QSC1" s="154" t="str">
        <f t="shared" si="187"/>
        <v>y</v>
      </c>
      <c r="QSD1" s="154" t="str">
        <f t="shared" si="187"/>
        <v>y</v>
      </c>
      <c r="QSE1" s="154" t="str">
        <f t="shared" si="187"/>
        <v>y</v>
      </c>
      <c r="QSF1" s="154" t="str">
        <f t="shared" si="187"/>
        <v>y</v>
      </c>
      <c r="QSG1" s="154" t="str">
        <f t="shared" si="187"/>
        <v>y</v>
      </c>
      <c r="QSH1" s="154" t="str">
        <f t="shared" si="187"/>
        <v>y</v>
      </c>
      <c r="QSI1" s="154" t="str">
        <f t="shared" si="187"/>
        <v>y</v>
      </c>
      <c r="QSJ1" s="154" t="str">
        <f t="shared" si="187"/>
        <v>y</v>
      </c>
      <c r="QSK1" s="154" t="str">
        <f t="shared" si="187"/>
        <v>y</v>
      </c>
      <c r="QSL1" s="154" t="str">
        <f t="shared" si="187"/>
        <v>y</v>
      </c>
      <c r="QSM1" s="154" t="str">
        <f t="shared" si="187"/>
        <v>y</v>
      </c>
      <c r="QSN1" s="154" t="str">
        <f t="shared" si="187"/>
        <v>y</v>
      </c>
      <c r="QSO1" s="154" t="str">
        <f t="shared" si="187"/>
        <v>y</v>
      </c>
      <c r="QSP1" s="154" t="str">
        <f t="shared" si="187"/>
        <v>y</v>
      </c>
      <c r="QSQ1" s="154" t="str">
        <f t="shared" si="187"/>
        <v>y</v>
      </c>
      <c r="QSR1" s="154" t="str">
        <f t="shared" si="187"/>
        <v>y</v>
      </c>
      <c r="QSS1" s="154" t="str">
        <f t="shared" si="187"/>
        <v>y</v>
      </c>
      <c r="QST1" s="154" t="str">
        <f t="shared" si="187"/>
        <v>y</v>
      </c>
      <c r="QSU1" s="154" t="str">
        <f t="shared" si="187"/>
        <v>y</v>
      </c>
      <c r="QSV1" s="154" t="str">
        <f t="shared" si="187"/>
        <v>y</v>
      </c>
      <c r="QSW1" s="154" t="str">
        <f t="shared" si="187"/>
        <v>y</v>
      </c>
      <c r="QSX1" s="154" t="str">
        <f t="shared" si="187"/>
        <v>y</v>
      </c>
      <c r="QSY1" s="154" t="str">
        <f t="shared" si="187"/>
        <v>y</v>
      </c>
      <c r="QSZ1" s="154" t="str">
        <f t="shared" si="187"/>
        <v>y</v>
      </c>
      <c r="QTA1" s="154" t="str">
        <f t="shared" si="187"/>
        <v>y</v>
      </c>
      <c r="QTB1" s="154" t="str">
        <f t="shared" si="187"/>
        <v>y</v>
      </c>
      <c r="QTC1" s="154" t="str">
        <f t="shared" si="187"/>
        <v>y</v>
      </c>
      <c r="QTD1" s="154" t="str">
        <f t="shared" si="187"/>
        <v>y</v>
      </c>
      <c r="QTE1" s="154" t="str">
        <f t="shared" si="187"/>
        <v>y</v>
      </c>
      <c r="QTF1" s="154" t="str">
        <f t="shared" si="187"/>
        <v>y</v>
      </c>
      <c r="QTG1" s="154" t="str">
        <f t="shared" si="187"/>
        <v>y</v>
      </c>
      <c r="QTH1" s="154" t="str">
        <f t="shared" si="187"/>
        <v>y</v>
      </c>
      <c r="QTI1" s="154" t="str">
        <f t="shared" si="187"/>
        <v>y</v>
      </c>
      <c r="QTJ1" s="154" t="str">
        <f t="shared" si="187"/>
        <v>y</v>
      </c>
      <c r="QTK1" s="154" t="str">
        <f t="shared" si="187"/>
        <v>y</v>
      </c>
      <c r="QTL1" s="154" t="str">
        <f t="shared" si="187"/>
        <v>y</v>
      </c>
      <c r="QTM1" s="154" t="str">
        <f t="shared" si="187"/>
        <v>y</v>
      </c>
      <c r="QTN1" s="154" t="str">
        <f t="shared" si="187"/>
        <v>y</v>
      </c>
      <c r="QTO1" s="154" t="str">
        <f t="shared" si="187"/>
        <v>y</v>
      </c>
      <c r="QTP1" s="154" t="str">
        <f t="shared" si="187"/>
        <v>y</v>
      </c>
      <c r="QTQ1" s="154" t="str">
        <f t="shared" si="187"/>
        <v>y</v>
      </c>
      <c r="QTR1" s="154" t="str">
        <f t="shared" si="187"/>
        <v>y</v>
      </c>
      <c r="QTS1" s="154" t="str">
        <f t="shared" si="187"/>
        <v>y</v>
      </c>
      <c r="QTT1" s="154" t="str">
        <f t="shared" si="187"/>
        <v>y</v>
      </c>
      <c r="QTU1" s="154" t="str">
        <f t="shared" si="187"/>
        <v>y</v>
      </c>
      <c r="QTV1" s="154" t="str">
        <f t="shared" si="187"/>
        <v>y</v>
      </c>
      <c r="QTW1" s="154" t="str">
        <f t="shared" si="187"/>
        <v>y</v>
      </c>
      <c r="QTX1" s="154" t="str">
        <f t="shared" si="187"/>
        <v>y</v>
      </c>
      <c r="QTY1" s="154" t="str">
        <f t="shared" si="187"/>
        <v>y</v>
      </c>
      <c r="QTZ1" s="154" t="str">
        <f t="shared" ref="QTZ1:QWK1" si="188">QTZ2&amp;"y"</f>
        <v>y</v>
      </c>
      <c r="QUA1" s="154" t="str">
        <f t="shared" si="188"/>
        <v>y</v>
      </c>
      <c r="QUB1" s="154" t="str">
        <f t="shared" si="188"/>
        <v>y</v>
      </c>
      <c r="QUC1" s="154" t="str">
        <f t="shared" si="188"/>
        <v>y</v>
      </c>
      <c r="QUD1" s="154" t="str">
        <f t="shared" si="188"/>
        <v>y</v>
      </c>
      <c r="QUE1" s="154" t="str">
        <f t="shared" si="188"/>
        <v>y</v>
      </c>
      <c r="QUF1" s="154" t="str">
        <f t="shared" si="188"/>
        <v>y</v>
      </c>
      <c r="QUG1" s="154" t="str">
        <f t="shared" si="188"/>
        <v>y</v>
      </c>
      <c r="QUH1" s="154" t="str">
        <f t="shared" si="188"/>
        <v>y</v>
      </c>
      <c r="QUI1" s="154" t="str">
        <f t="shared" si="188"/>
        <v>y</v>
      </c>
      <c r="QUJ1" s="154" t="str">
        <f t="shared" si="188"/>
        <v>y</v>
      </c>
      <c r="QUK1" s="154" t="str">
        <f t="shared" si="188"/>
        <v>y</v>
      </c>
      <c r="QUL1" s="154" t="str">
        <f t="shared" si="188"/>
        <v>y</v>
      </c>
      <c r="QUM1" s="154" t="str">
        <f t="shared" si="188"/>
        <v>y</v>
      </c>
      <c r="QUN1" s="154" t="str">
        <f t="shared" si="188"/>
        <v>y</v>
      </c>
      <c r="QUO1" s="154" t="str">
        <f t="shared" si="188"/>
        <v>y</v>
      </c>
      <c r="QUP1" s="154" t="str">
        <f t="shared" si="188"/>
        <v>y</v>
      </c>
      <c r="QUQ1" s="154" t="str">
        <f t="shared" si="188"/>
        <v>y</v>
      </c>
      <c r="QUR1" s="154" t="str">
        <f t="shared" si="188"/>
        <v>y</v>
      </c>
      <c r="QUS1" s="154" t="str">
        <f t="shared" si="188"/>
        <v>y</v>
      </c>
      <c r="QUT1" s="154" t="str">
        <f t="shared" si="188"/>
        <v>y</v>
      </c>
      <c r="QUU1" s="154" t="str">
        <f t="shared" si="188"/>
        <v>y</v>
      </c>
      <c r="QUV1" s="154" t="str">
        <f t="shared" si="188"/>
        <v>y</v>
      </c>
      <c r="QUW1" s="154" t="str">
        <f t="shared" si="188"/>
        <v>y</v>
      </c>
      <c r="QUX1" s="154" t="str">
        <f t="shared" si="188"/>
        <v>y</v>
      </c>
      <c r="QUY1" s="154" t="str">
        <f t="shared" si="188"/>
        <v>y</v>
      </c>
      <c r="QUZ1" s="154" t="str">
        <f t="shared" si="188"/>
        <v>y</v>
      </c>
      <c r="QVA1" s="154" t="str">
        <f t="shared" si="188"/>
        <v>y</v>
      </c>
      <c r="QVB1" s="154" t="str">
        <f t="shared" si="188"/>
        <v>y</v>
      </c>
      <c r="QVC1" s="154" t="str">
        <f t="shared" si="188"/>
        <v>y</v>
      </c>
      <c r="QVD1" s="154" t="str">
        <f t="shared" si="188"/>
        <v>y</v>
      </c>
      <c r="QVE1" s="154" t="str">
        <f t="shared" si="188"/>
        <v>y</v>
      </c>
      <c r="QVF1" s="154" t="str">
        <f t="shared" si="188"/>
        <v>y</v>
      </c>
      <c r="QVG1" s="154" t="str">
        <f t="shared" si="188"/>
        <v>y</v>
      </c>
      <c r="QVH1" s="154" t="str">
        <f t="shared" si="188"/>
        <v>y</v>
      </c>
      <c r="QVI1" s="154" t="str">
        <f t="shared" si="188"/>
        <v>y</v>
      </c>
      <c r="QVJ1" s="154" t="str">
        <f t="shared" si="188"/>
        <v>y</v>
      </c>
      <c r="QVK1" s="154" t="str">
        <f t="shared" si="188"/>
        <v>y</v>
      </c>
      <c r="QVL1" s="154" t="str">
        <f t="shared" si="188"/>
        <v>y</v>
      </c>
      <c r="QVM1" s="154" t="str">
        <f t="shared" si="188"/>
        <v>y</v>
      </c>
      <c r="QVN1" s="154" t="str">
        <f t="shared" si="188"/>
        <v>y</v>
      </c>
      <c r="QVO1" s="154" t="str">
        <f t="shared" si="188"/>
        <v>y</v>
      </c>
      <c r="QVP1" s="154" t="str">
        <f t="shared" si="188"/>
        <v>y</v>
      </c>
      <c r="QVQ1" s="154" t="str">
        <f t="shared" si="188"/>
        <v>y</v>
      </c>
      <c r="QVR1" s="154" t="str">
        <f t="shared" si="188"/>
        <v>y</v>
      </c>
      <c r="QVS1" s="154" t="str">
        <f t="shared" si="188"/>
        <v>y</v>
      </c>
      <c r="QVT1" s="154" t="str">
        <f t="shared" si="188"/>
        <v>y</v>
      </c>
      <c r="QVU1" s="154" t="str">
        <f t="shared" si="188"/>
        <v>y</v>
      </c>
      <c r="QVV1" s="154" t="str">
        <f t="shared" si="188"/>
        <v>y</v>
      </c>
      <c r="QVW1" s="154" t="str">
        <f t="shared" si="188"/>
        <v>y</v>
      </c>
      <c r="QVX1" s="154" t="str">
        <f t="shared" si="188"/>
        <v>y</v>
      </c>
      <c r="QVY1" s="154" t="str">
        <f t="shared" si="188"/>
        <v>y</v>
      </c>
      <c r="QVZ1" s="154" t="str">
        <f t="shared" si="188"/>
        <v>y</v>
      </c>
      <c r="QWA1" s="154" t="str">
        <f t="shared" si="188"/>
        <v>y</v>
      </c>
      <c r="QWB1" s="154" t="str">
        <f t="shared" si="188"/>
        <v>y</v>
      </c>
      <c r="QWC1" s="154" t="str">
        <f t="shared" si="188"/>
        <v>y</v>
      </c>
      <c r="QWD1" s="154" t="str">
        <f t="shared" si="188"/>
        <v>y</v>
      </c>
      <c r="QWE1" s="154" t="str">
        <f t="shared" si="188"/>
        <v>y</v>
      </c>
      <c r="QWF1" s="154" t="str">
        <f t="shared" si="188"/>
        <v>y</v>
      </c>
      <c r="QWG1" s="154" t="str">
        <f t="shared" si="188"/>
        <v>y</v>
      </c>
      <c r="QWH1" s="154" t="str">
        <f t="shared" si="188"/>
        <v>y</v>
      </c>
      <c r="QWI1" s="154" t="str">
        <f t="shared" si="188"/>
        <v>y</v>
      </c>
      <c r="QWJ1" s="154" t="str">
        <f t="shared" si="188"/>
        <v>y</v>
      </c>
      <c r="QWK1" s="154" t="str">
        <f t="shared" si="188"/>
        <v>y</v>
      </c>
      <c r="QWL1" s="154" t="str">
        <f t="shared" ref="QWL1:QYW1" si="189">QWL2&amp;"y"</f>
        <v>y</v>
      </c>
      <c r="QWM1" s="154" t="str">
        <f t="shared" si="189"/>
        <v>y</v>
      </c>
      <c r="QWN1" s="154" t="str">
        <f t="shared" si="189"/>
        <v>y</v>
      </c>
      <c r="QWO1" s="154" t="str">
        <f t="shared" si="189"/>
        <v>y</v>
      </c>
      <c r="QWP1" s="154" t="str">
        <f t="shared" si="189"/>
        <v>y</v>
      </c>
      <c r="QWQ1" s="154" t="str">
        <f t="shared" si="189"/>
        <v>y</v>
      </c>
      <c r="QWR1" s="154" t="str">
        <f t="shared" si="189"/>
        <v>y</v>
      </c>
      <c r="QWS1" s="154" t="str">
        <f t="shared" si="189"/>
        <v>y</v>
      </c>
      <c r="QWT1" s="154" t="str">
        <f t="shared" si="189"/>
        <v>y</v>
      </c>
      <c r="QWU1" s="154" t="str">
        <f t="shared" si="189"/>
        <v>y</v>
      </c>
      <c r="QWV1" s="154" t="str">
        <f t="shared" si="189"/>
        <v>y</v>
      </c>
      <c r="QWW1" s="154" t="str">
        <f t="shared" si="189"/>
        <v>y</v>
      </c>
      <c r="QWX1" s="154" t="str">
        <f t="shared" si="189"/>
        <v>y</v>
      </c>
      <c r="QWY1" s="154" t="str">
        <f t="shared" si="189"/>
        <v>y</v>
      </c>
      <c r="QWZ1" s="154" t="str">
        <f t="shared" si="189"/>
        <v>y</v>
      </c>
      <c r="QXA1" s="154" t="str">
        <f t="shared" si="189"/>
        <v>y</v>
      </c>
      <c r="QXB1" s="154" t="str">
        <f t="shared" si="189"/>
        <v>y</v>
      </c>
      <c r="QXC1" s="154" t="str">
        <f t="shared" si="189"/>
        <v>y</v>
      </c>
      <c r="QXD1" s="154" t="str">
        <f t="shared" si="189"/>
        <v>y</v>
      </c>
      <c r="QXE1" s="154" t="str">
        <f t="shared" si="189"/>
        <v>y</v>
      </c>
      <c r="QXF1" s="154" t="str">
        <f t="shared" si="189"/>
        <v>y</v>
      </c>
      <c r="QXG1" s="154" t="str">
        <f t="shared" si="189"/>
        <v>y</v>
      </c>
      <c r="QXH1" s="154" t="str">
        <f t="shared" si="189"/>
        <v>y</v>
      </c>
      <c r="QXI1" s="154" t="str">
        <f t="shared" si="189"/>
        <v>y</v>
      </c>
      <c r="QXJ1" s="154" t="str">
        <f t="shared" si="189"/>
        <v>y</v>
      </c>
      <c r="QXK1" s="154" t="str">
        <f t="shared" si="189"/>
        <v>y</v>
      </c>
      <c r="QXL1" s="154" t="str">
        <f t="shared" si="189"/>
        <v>y</v>
      </c>
      <c r="QXM1" s="154" t="str">
        <f t="shared" si="189"/>
        <v>y</v>
      </c>
      <c r="QXN1" s="154" t="str">
        <f t="shared" si="189"/>
        <v>y</v>
      </c>
      <c r="QXO1" s="154" t="str">
        <f t="shared" si="189"/>
        <v>y</v>
      </c>
      <c r="QXP1" s="154" t="str">
        <f t="shared" si="189"/>
        <v>y</v>
      </c>
      <c r="QXQ1" s="154" t="str">
        <f t="shared" si="189"/>
        <v>y</v>
      </c>
      <c r="QXR1" s="154" t="str">
        <f t="shared" si="189"/>
        <v>y</v>
      </c>
      <c r="QXS1" s="154" t="str">
        <f t="shared" si="189"/>
        <v>y</v>
      </c>
      <c r="QXT1" s="154" t="str">
        <f t="shared" si="189"/>
        <v>y</v>
      </c>
      <c r="QXU1" s="154" t="str">
        <f t="shared" si="189"/>
        <v>y</v>
      </c>
      <c r="QXV1" s="154" t="str">
        <f t="shared" si="189"/>
        <v>y</v>
      </c>
      <c r="QXW1" s="154" t="str">
        <f t="shared" si="189"/>
        <v>y</v>
      </c>
      <c r="QXX1" s="154" t="str">
        <f t="shared" si="189"/>
        <v>y</v>
      </c>
      <c r="QXY1" s="154" t="str">
        <f t="shared" si="189"/>
        <v>y</v>
      </c>
      <c r="QXZ1" s="154" t="str">
        <f t="shared" si="189"/>
        <v>y</v>
      </c>
      <c r="QYA1" s="154" t="str">
        <f t="shared" si="189"/>
        <v>y</v>
      </c>
      <c r="QYB1" s="154" t="str">
        <f t="shared" si="189"/>
        <v>y</v>
      </c>
      <c r="QYC1" s="154" t="str">
        <f t="shared" si="189"/>
        <v>y</v>
      </c>
      <c r="QYD1" s="154" t="str">
        <f t="shared" si="189"/>
        <v>y</v>
      </c>
      <c r="QYE1" s="154" t="str">
        <f t="shared" si="189"/>
        <v>y</v>
      </c>
      <c r="QYF1" s="154" t="str">
        <f t="shared" si="189"/>
        <v>y</v>
      </c>
      <c r="QYG1" s="154" t="str">
        <f t="shared" si="189"/>
        <v>y</v>
      </c>
      <c r="QYH1" s="154" t="str">
        <f t="shared" si="189"/>
        <v>y</v>
      </c>
      <c r="QYI1" s="154" t="str">
        <f t="shared" si="189"/>
        <v>y</v>
      </c>
      <c r="QYJ1" s="154" t="str">
        <f t="shared" si="189"/>
        <v>y</v>
      </c>
      <c r="QYK1" s="154" t="str">
        <f t="shared" si="189"/>
        <v>y</v>
      </c>
      <c r="QYL1" s="154" t="str">
        <f t="shared" si="189"/>
        <v>y</v>
      </c>
      <c r="QYM1" s="154" t="str">
        <f t="shared" si="189"/>
        <v>y</v>
      </c>
      <c r="QYN1" s="154" t="str">
        <f t="shared" si="189"/>
        <v>y</v>
      </c>
      <c r="QYO1" s="154" t="str">
        <f t="shared" si="189"/>
        <v>y</v>
      </c>
      <c r="QYP1" s="154" t="str">
        <f t="shared" si="189"/>
        <v>y</v>
      </c>
      <c r="QYQ1" s="154" t="str">
        <f t="shared" si="189"/>
        <v>y</v>
      </c>
      <c r="QYR1" s="154" t="str">
        <f t="shared" si="189"/>
        <v>y</v>
      </c>
      <c r="QYS1" s="154" t="str">
        <f t="shared" si="189"/>
        <v>y</v>
      </c>
      <c r="QYT1" s="154" t="str">
        <f t="shared" si="189"/>
        <v>y</v>
      </c>
      <c r="QYU1" s="154" t="str">
        <f t="shared" si="189"/>
        <v>y</v>
      </c>
      <c r="QYV1" s="154" t="str">
        <f t="shared" si="189"/>
        <v>y</v>
      </c>
      <c r="QYW1" s="154" t="str">
        <f t="shared" si="189"/>
        <v>y</v>
      </c>
      <c r="QYX1" s="154" t="str">
        <f t="shared" ref="QYX1:RBI1" si="190">QYX2&amp;"y"</f>
        <v>y</v>
      </c>
      <c r="QYY1" s="154" t="str">
        <f t="shared" si="190"/>
        <v>y</v>
      </c>
      <c r="QYZ1" s="154" t="str">
        <f t="shared" si="190"/>
        <v>y</v>
      </c>
      <c r="QZA1" s="154" t="str">
        <f t="shared" si="190"/>
        <v>y</v>
      </c>
      <c r="QZB1" s="154" t="str">
        <f t="shared" si="190"/>
        <v>y</v>
      </c>
      <c r="QZC1" s="154" t="str">
        <f t="shared" si="190"/>
        <v>y</v>
      </c>
      <c r="QZD1" s="154" t="str">
        <f t="shared" si="190"/>
        <v>y</v>
      </c>
      <c r="QZE1" s="154" t="str">
        <f t="shared" si="190"/>
        <v>y</v>
      </c>
      <c r="QZF1" s="154" t="str">
        <f t="shared" si="190"/>
        <v>y</v>
      </c>
      <c r="QZG1" s="154" t="str">
        <f t="shared" si="190"/>
        <v>y</v>
      </c>
      <c r="QZH1" s="154" t="str">
        <f t="shared" si="190"/>
        <v>y</v>
      </c>
      <c r="QZI1" s="154" t="str">
        <f t="shared" si="190"/>
        <v>y</v>
      </c>
      <c r="QZJ1" s="154" t="str">
        <f t="shared" si="190"/>
        <v>y</v>
      </c>
      <c r="QZK1" s="154" t="str">
        <f t="shared" si="190"/>
        <v>y</v>
      </c>
      <c r="QZL1" s="154" t="str">
        <f t="shared" si="190"/>
        <v>y</v>
      </c>
      <c r="QZM1" s="154" t="str">
        <f t="shared" si="190"/>
        <v>y</v>
      </c>
      <c r="QZN1" s="154" t="str">
        <f t="shared" si="190"/>
        <v>y</v>
      </c>
      <c r="QZO1" s="154" t="str">
        <f t="shared" si="190"/>
        <v>y</v>
      </c>
      <c r="QZP1" s="154" t="str">
        <f t="shared" si="190"/>
        <v>y</v>
      </c>
      <c r="QZQ1" s="154" t="str">
        <f t="shared" si="190"/>
        <v>y</v>
      </c>
      <c r="QZR1" s="154" t="str">
        <f t="shared" si="190"/>
        <v>y</v>
      </c>
      <c r="QZS1" s="154" t="str">
        <f t="shared" si="190"/>
        <v>y</v>
      </c>
      <c r="QZT1" s="154" t="str">
        <f t="shared" si="190"/>
        <v>y</v>
      </c>
      <c r="QZU1" s="154" t="str">
        <f t="shared" si="190"/>
        <v>y</v>
      </c>
      <c r="QZV1" s="154" t="str">
        <f t="shared" si="190"/>
        <v>y</v>
      </c>
      <c r="QZW1" s="154" t="str">
        <f t="shared" si="190"/>
        <v>y</v>
      </c>
      <c r="QZX1" s="154" t="str">
        <f t="shared" si="190"/>
        <v>y</v>
      </c>
      <c r="QZY1" s="154" t="str">
        <f t="shared" si="190"/>
        <v>y</v>
      </c>
      <c r="QZZ1" s="154" t="str">
        <f t="shared" si="190"/>
        <v>y</v>
      </c>
      <c r="RAA1" s="154" t="str">
        <f t="shared" si="190"/>
        <v>y</v>
      </c>
      <c r="RAB1" s="154" t="str">
        <f t="shared" si="190"/>
        <v>y</v>
      </c>
      <c r="RAC1" s="154" t="str">
        <f t="shared" si="190"/>
        <v>y</v>
      </c>
      <c r="RAD1" s="154" t="str">
        <f t="shared" si="190"/>
        <v>y</v>
      </c>
      <c r="RAE1" s="154" t="str">
        <f t="shared" si="190"/>
        <v>y</v>
      </c>
      <c r="RAF1" s="154" t="str">
        <f t="shared" si="190"/>
        <v>y</v>
      </c>
      <c r="RAG1" s="154" t="str">
        <f t="shared" si="190"/>
        <v>y</v>
      </c>
      <c r="RAH1" s="154" t="str">
        <f t="shared" si="190"/>
        <v>y</v>
      </c>
      <c r="RAI1" s="154" t="str">
        <f t="shared" si="190"/>
        <v>y</v>
      </c>
      <c r="RAJ1" s="154" t="str">
        <f t="shared" si="190"/>
        <v>y</v>
      </c>
      <c r="RAK1" s="154" t="str">
        <f t="shared" si="190"/>
        <v>y</v>
      </c>
      <c r="RAL1" s="154" t="str">
        <f t="shared" si="190"/>
        <v>y</v>
      </c>
      <c r="RAM1" s="154" t="str">
        <f t="shared" si="190"/>
        <v>y</v>
      </c>
      <c r="RAN1" s="154" t="str">
        <f t="shared" si="190"/>
        <v>y</v>
      </c>
      <c r="RAO1" s="154" t="str">
        <f t="shared" si="190"/>
        <v>y</v>
      </c>
      <c r="RAP1" s="154" t="str">
        <f t="shared" si="190"/>
        <v>y</v>
      </c>
      <c r="RAQ1" s="154" t="str">
        <f t="shared" si="190"/>
        <v>y</v>
      </c>
      <c r="RAR1" s="154" t="str">
        <f t="shared" si="190"/>
        <v>y</v>
      </c>
      <c r="RAS1" s="154" t="str">
        <f t="shared" si="190"/>
        <v>y</v>
      </c>
      <c r="RAT1" s="154" t="str">
        <f t="shared" si="190"/>
        <v>y</v>
      </c>
      <c r="RAU1" s="154" t="str">
        <f t="shared" si="190"/>
        <v>y</v>
      </c>
      <c r="RAV1" s="154" t="str">
        <f t="shared" si="190"/>
        <v>y</v>
      </c>
      <c r="RAW1" s="154" t="str">
        <f t="shared" si="190"/>
        <v>y</v>
      </c>
      <c r="RAX1" s="154" t="str">
        <f t="shared" si="190"/>
        <v>y</v>
      </c>
      <c r="RAY1" s="154" t="str">
        <f t="shared" si="190"/>
        <v>y</v>
      </c>
      <c r="RAZ1" s="154" t="str">
        <f t="shared" si="190"/>
        <v>y</v>
      </c>
      <c r="RBA1" s="154" t="str">
        <f t="shared" si="190"/>
        <v>y</v>
      </c>
      <c r="RBB1" s="154" t="str">
        <f t="shared" si="190"/>
        <v>y</v>
      </c>
      <c r="RBC1" s="154" t="str">
        <f t="shared" si="190"/>
        <v>y</v>
      </c>
      <c r="RBD1" s="154" t="str">
        <f t="shared" si="190"/>
        <v>y</v>
      </c>
      <c r="RBE1" s="154" t="str">
        <f t="shared" si="190"/>
        <v>y</v>
      </c>
      <c r="RBF1" s="154" t="str">
        <f t="shared" si="190"/>
        <v>y</v>
      </c>
      <c r="RBG1" s="154" t="str">
        <f t="shared" si="190"/>
        <v>y</v>
      </c>
      <c r="RBH1" s="154" t="str">
        <f t="shared" si="190"/>
        <v>y</v>
      </c>
      <c r="RBI1" s="154" t="str">
        <f t="shared" si="190"/>
        <v>y</v>
      </c>
      <c r="RBJ1" s="154" t="str">
        <f t="shared" ref="RBJ1:RDU1" si="191">RBJ2&amp;"y"</f>
        <v>y</v>
      </c>
      <c r="RBK1" s="154" t="str">
        <f t="shared" si="191"/>
        <v>y</v>
      </c>
      <c r="RBL1" s="154" t="str">
        <f t="shared" si="191"/>
        <v>y</v>
      </c>
      <c r="RBM1" s="154" t="str">
        <f t="shared" si="191"/>
        <v>y</v>
      </c>
      <c r="RBN1" s="154" t="str">
        <f t="shared" si="191"/>
        <v>y</v>
      </c>
      <c r="RBO1" s="154" t="str">
        <f t="shared" si="191"/>
        <v>y</v>
      </c>
      <c r="RBP1" s="154" t="str">
        <f t="shared" si="191"/>
        <v>y</v>
      </c>
      <c r="RBQ1" s="154" t="str">
        <f t="shared" si="191"/>
        <v>y</v>
      </c>
      <c r="RBR1" s="154" t="str">
        <f t="shared" si="191"/>
        <v>y</v>
      </c>
      <c r="RBS1" s="154" t="str">
        <f t="shared" si="191"/>
        <v>y</v>
      </c>
      <c r="RBT1" s="154" t="str">
        <f t="shared" si="191"/>
        <v>y</v>
      </c>
      <c r="RBU1" s="154" t="str">
        <f t="shared" si="191"/>
        <v>y</v>
      </c>
      <c r="RBV1" s="154" t="str">
        <f t="shared" si="191"/>
        <v>y</v>
      </c>
      <c r="RBW1" s="154" t="str">
        <f t="shared" si="191"/>
        <v>y</v>
      </c>
      <c r="RBX1" s="154" t="str">
        <f t="shared" si="191"/>
        <v>y</v>
      </c>
      <c r="RBY1" s="154" t="str">
        <f t="shared" si="191"/>
        <v>y</v>
      </c>
      <c r="RBZ1" s="154" t="str">
        <f t="shared" si="191"/>
        <v>y</v>
      </c>
      <c r="RCA1" s="154" t="str">
        <f t="shared" si="191"/>
        <v>y</v>
      </c>
      <c r="RCB1" s="154" t="str">
        <f t="shared" si="191"/>
        <v>y</v>
      </c>
      <c r="RCC1" s="154" t="str">
        <f t="shared" si="191"/>
        <v>y</v>
      </c>
      <c r="RCD1" s="154" t="str">
        <f t="shared" si="191"/>
        <v>y</v>
      </c>
      <c r="RCE1" s="154" t="str">
        <f t="shared" si="191"/>
        <v>y</v>
      </c>
      <c r="RCF1" s="154" t="str">
        <f t="shared" si="191"/>
        <v>y</v>
      </c>
      <c r="RCG1" s="154" t="str">
        <f t="shared" si="191"/>
        <v>y</v>
      </c>
      <c r="RCH1" s="154" t="str">
        <f t="shared" si="191"/>
        <v>y</v>
      </c>
      <c r="RCI1" s="154" t="str">
        <f t="shared" si="191"/>
        <v>y</v>
      </c>
      <c r="RCJ1" s="154" t="str">
        <f t="shared" si="191"/>
        <v>y</v>
      </c>
      <c r="RCK1" s="154" t="str">
        <f t="shared" si="191"/>
        <v>y</v>
      </c>
      <c r="RCL1" s="154" t="str">
        <f t="shared" si="191"/>
        <v>y</v>
      </c>
      <c r="RCM1" s="154" t="str">
        <f t="shared" si="191"/>
        <v>y</v>
      </c>
      <c r="RCN1" s="154" t="str">
        <f t="shared" si="191"/>
        <v>y</v>
      </c>
      <c r="RCO1" s="154" t="str">
        <f t="shared" si="191"/>
        <v>y</v>
      </c>
      <c r="RCP1" s="154" t="str">
        <f t="shared" si="191"/>
        <v>y</v>
      </c>
      <c r="RCQ1" s="154" t="str">
        <f t="shared" si="191"/>
        <v>y</v>
      </c>
      <c r="RCR1" s="154" t="str">
        <f t="shared" si="191"/>
        <v>y</v>
      </c>
      <c r="RCS1" s="154" t="str">
        <f t="shared" si="191"/>
        <v>y</v>
      </c>
      <c r="RCT1" s="154" t="str">
        <f t="shared" si="191"/>
        <v>y</v>
      </c>
      <c r="RCU1" s="154" t="str">
        <f t="shared" si="191"/>
        <v>y</v>
      </c>
      <c r="RCV1" s="154" t="str">
        <f t="shared" si="191"/>
        <v>y</v>
      </c>
      <c r="RCW1" s="154" t="str">
        <f t="shared" si="191"/>
        <v>y</v>
      </c>
      <c r="RCX1" s="154" t="str">
        <f t="shared" si="191"/>
        <v>y</v>
      </c>
      <c r="RCY1" s="154" t="str">
        <f t="shared" si="191"/>
        <v>y</v>
      </c>
      <c r="RCZ1" s="154" t="str">
        <f t="shared" si="191"/>
        <v>y</v>
      </c>
      <c r="RDA1" s="154" t="str">
        <f t="shared" si="191"/>
        <v>y</v>
      </c>
      <c r="RDB1" s="154" t="str">
        <f t="shared" si="191"/>
        <v>y</v>
      </c>
      <c r="RDC1" s="154" t="str">
        <f t="shared" si="191"/>
        <v>y</v>
      </c>
      <c r="RDD1" s="154" t="str">
        <f t="shared" si="191"/>
        <v>y</v>
      </c>
      <c r="RDE1" s="154" t="str">
        <f t="shared" si="191"/>
        <v>y</v>
      </c>
      <c r="RDF1" s="154" t="str">
        <f t="shared" si="191"/>
        <v>y</v>
      </c>
      <c r="RDG1" s="154" t="str">
        <f t="shared" si="191"/>
        <v>y</v>
      </c>
      <c r="RDH1" s="154" t="str">
        <f t="shared" si="191"/>
        <v>y</v>
      </c>
      <c r="RDI1" s="154" t="str">
        <f t="shared" si="191"/>
        <v>y</v>
      </c>
      <c r="RDJ1" s="154" t="str">
        <f t="shared" si="191"/>
        <v>y</v>
      </c>
      <c r="RDK1" s="154" t="str">
        <f t="shared" si="191"/>
        <v>y</v>
      </c>
      <c r="RDL1" s="154" t="str">
        <f t="shared" si="191"/>
        <v>y</v>
      </c>
      <c r="RDM1" s="154" t="str">
        <f t="shared" si="191"/>
        <v>y</v>
      </c>
      <c r="RDN1" s="154" t="str">
        <f t="shared" si="191"/>
        <v>y</v>
      </c>
      <c r="RDO1" s="154" t="str">
        <f t="shared" si="191"/>
        <v>y</v>
      </c>
      <c r="RDP1" s="154" t="str">
        <f t="shared" si="191"/>
        <v>y</v>
      </c>
      <c r="RDQ1" s="154" t="str">
        <f t="shared" si="191"/>
        <v>y</v>
      </c>
      <c r="RDR1" s="154" t="str">
        <f t="shared" si="191"/>
        <v>y</v>
      </c>
      <c r="RDS1" s="154" t="str">
        <f t="shared" si="191"/>
        <v>y</v>
      </c>
      <c r="RDT1" s="154" t="str">
        <f t="shared" si="191"/>
        <v>y</v>
      </c>
      <c r="RDU1" s="154" t="str">
        <f t="shared" si="191"/>
        <v>y</v>
      </c>
      <c r="RDV1" s="154" t="str">
        <f t="shared" ref="RDV1:RGG1" si="192">RDV2&amp;"y"</f>
        <v>y</v>
      </c>
      <c r="RDW1" s="154" t="str">
        <f t="shared" si="192"/>
        <v>y</v>
      </c>
      <c r="RDX1" s="154" t="str">
        <f t="shared" si="192"/>
        <v>y</v>
      </c>
      <c r="RDY1" s="154" t="str">
        <f t="shared" si="192"/>
        <v>y</v>
      </c>
      <c r="RDZ1" s="154" t="str">
        <f t="shared" si="192"/>
        <v>y</v>
      </c>
      <c r="REA1" s="154" t="str">
        <f t="shared" si="192"/>
        <v>y</v>
      </c>
      <c r="REB1" s="154" t="str">
        <f t="shared" si="192"/>
        <v>y</v>
      </c>
      <c r="REC1" s="154" t="str">
        <f t="shared" si="192"/>
        <v>y</v>
      </c>
      <c r="RED1" s="154" t="str">
        <f t="shared" si="192"/>
        <v>y</v>
      </c>
      <c r="REE1" s="154" t="str">
        <f t="shared" si="192"/>
        <v>y</v>
      </c>
      <c r="REF1" s="154" t="str">
        <f t="shared" si="192"/>
        <v>y</v>
      </c>
      <c r="REG1" s="154" t="str">
        <f t="shared" si="192"/>
        <v>y</v>
      </c>
      <c r="REH1" s="154" t="str">
        <f t="shared" si="192"/>
        <v>y</v>
      </c>
      <c r="REI1" s="154" t="str">
        <f t="shared" si="192"/>
        <v>y</v>
      </c>
      <c r="REJ1" s="154" t="str">
        <f t="shared" si="192"/>
        <v>y</v>
      </c>
      <c r="REK1" s="154" t="str">
        <f t="shared" si="192"/>
        <v>y</v>
      </c>
      <c r="REL1" s="154" t="str">
        <f t="shared" si="192"/>
        <v>y</v>
      </c>
      <c r="REM1" s="154" t="str">
        <f t="shared" si="192"/>
        <v>y</v>
      </c>
      <c r="REN1" s="154" t="str">
        <f t="shared" si="192"/>
        <v>y</v>
      </c>
      <c r="REO1" s="154" t="str">
        <f t="shared" si="192"/>
        <v>y</v>
      </c>
      <c r="REP1" s="154" t="str">
        <f t="shared" si="192"/>
        <v>y</v>
      </c>
      <c r="REQ1" s="154" t="str">
        <f t="shared" si="192"/>
        <v>y</v>
      </c>
      <c r="RER1" s="154" t="str">
        <f t="shared" si="192"/>
        <v>y</v>
      </c>
      <c r="RES1" s="154" t="str">
        <f t="shared" si="192"/>
        <v>y</v>
      </c>
      <c r="RET1" s="154" t="str">
        <f t="shared" si="192"/>
        <v>y</v>
      </c>
      <c r="REU1" s="154" t="str">
        <f t="shared" si="192"/>
        <v>y</v>
      </c>
      <c r="REV1" s="154" t="str">
        <f t="shared" si="192"/>
        <v>y</v>
      </c>
      <c r="REW1" s="154" t="str">
        <f t="shared" si="192"/>
        <v>y</v>
      </c>
      <c r="REX1" s="154" t="str">
        <f t="shared" si="192"/>
        <v>y</v>
      </c>
      <c r="REY1" s="154" t="str">
        <f t="shared" si="192"/>
        <v>y</v>
      </c>
      <c r="REZ1" s="154" t="str">
        <f t="shared" si="192"/>
        <v>y</v>
      </c>
      <c r="RFA1" s="154" t="str">
        <f t="shared" si="192"/>
        <v>y</v>
      </c>
      <c r="RFB1" s="154" t="str">
        <f t="shared" si="192"/>
        <v>y</v>
      </c>
      <c r="RFC1" s="154" t="str">
        <f t="shared" si="192"/>
        <v>y</v>
      </c>
      <c r="RFD1" s="154" t="str">
        <f t="shared" si="192"/>
        <v>y</v>
      </c>
      <c r="RFE1" s="154" t="str">
        <f t="shared" si="192"/>
        <v>y</v>
      </c>
      <c r="RFF1" s="154" t="str">
        <f t="shared" si="192"/>
        <v>y</v>
      </c>
      <c r="RFG1" s="154" t="str">
        <f t="shared" si="192"/>
        <v>y</v>
      </c>
      <c r="RFH1" s="154" t="str">
        <f t="shared" si="192"/>
        <v>y</v>
      </c>
      <c r="RFI1" s="154" t="str">
        <f t="shared" si="192"/>
        <v>y</v>
      </c>
      <c r="RFJ1" s="154" t="str">
        <f t="shared" si="192"/>
        <v>y</v>
      </c>
      <c r="RFK1" s="154" t="str">
        <f t="shared" si="192"/>
        <v>y</v>
      </c>
      <c r="RFL1" s="154" t="str">
        <f t="shared" si="192"/>
        <v>y</v>
      </c>
      <c r="RFM1" s="154" t="str">
        <f t="shared" si="192"/>
        <v>y</v>
      </c>
      <c r="RFN1" s="154" t="str">
        <f t="shared" si="192"/>
        <v>y</v>
      </c>
      <c r="RFO1" s="154" t="str">
        <f t="shared" si="192"/>
        <v>y</v>
      </c>
      <c r="RFP1" s="154" t="str">
        <f t="shared" si="192"/>
        <v>y</v>
      </c>
      <c r="RFQ1" s="154" t="str">
        <f t="shared" si="192"/>
        <v>y</v>
      </c>
      <c r="RFR1" s="154" t="str">
        <f t="shared" si="192"/>
        <v>y</v>
      </c>
      <c r="RFS1" s="154" t="str">
        <f t="shared" si="192"/>
        <v>y</v>
      </c>
      <c r="RFT1" s="154" t="str">
        <f t="shared" si="192"/>
        <v>y</v>
      </c>
      <c r="RFU1" s="154" t="str">
        <f t="shared" si="192"/>
        <v>y</v>
      </c>
      <c r="RFV1" s="154" t="str">
        <f t="shared" si="192"/>
        <v>y</v>
      </c>
      <c r="RFW1" s="154" t="str">
        <f t="shared" si="192"/>
        <v>y</v>
      </c>
      <c r="RFX1" s="154" t="str">
        <f t="shared" si="192"/>
        <v>y</v>
      </c>
      <c r="RFY1" s="154" t="str">
        <f t="shared" si="192"/>
        <v>y</v>
      </c>
      <c r="RFZ1" s="154" t="str">
        <f t="shared" si="192"/>
        <v>y</v>
      </c>
      <c r="RGA1" s="154" t="str">
        <f t="shared" si="192"/>
        <v>y</v>
      </c>
      <c r="RGB1" s="154" t="str">
        <f t="shared" si="192"/>
        <v>y</v>
      </c>
      <c r="RGC1" s="154" t="str">
        <f t="shared" si="192"/>
        <v>y</v>
      </c>
      <c r="RGD1" s="154" t="str">
        <f t="shared" si="192"/>
        <v>y</v>
      </c>
      <c r="RGE1" s="154" t="str">
        <f t="shared" si="192"/>
        <v>y</v>
      </c>
      <c r="RGF1" s="154" t="str">
        <f t="shared" si="192"/>
        <v>y</v>
      </c>
      <c r="RGG1" s="154" t="str">
        <f t="shared" si="192"/>
        <v>y</v>
      </c>
      <c r="RGH1" s="154" t="str">
        <f t="shared" ref="RGH1:RIS1" si="193">RGH2&amp;"y"</f>
        <v>y</v>
      </c>
      <c r="RGI1" s="154" t="str">
        <f t="shared" si="193"/>
        <v>y</v>
      </c>
      <c r="RGJ1" s="154" t="str">
        <f t="shared" si="193"/>
        <v>y</v>
      </c>
      <c r="RGK1" s="154" t="str">
        <f t="shared" si="193"/>
        <v>y</v>
      </c>
      <c r="RGL1" s="154" t="str">
        <f t="shared" si="193"/>
        <v>y</v>
      </c>
      <c r="RGM1" s="154" t="str">
        <f t="shared" si="193"/>
        <v>y</v>
      </c>
      <c r="RGN1" s="154" t="str">
        <f t="shared" si="193"/>
        <v>y</v>
      </c>
      <c r="RGO1" s="154" t="str">
        <f t="shared" si="193"/>
        <v>y</v>
      </c>
      <c r="RGP1" s="154" t="str">
        <f t="shared" si="193"/>
        <v>y</v>
      </c>
      <c r="RGQ1" s="154" t="str">
        <f t="shared" si="193"/>
        <v>y</v>
      </c>
      <c r="RGR1" s="154" t="str">
        <f t="shared" si="193"/>
        <v>y</v>
      </c>
      <c r="RGS1" s="154" t="str">
        <f t="shared" si="193"/>
        <v>y</v>
      </c>
      <c r="RGT1" s="154" t="str">
        <f t="shared" si="193"/>
        <v>y</v>
      </c>
      <c r="RGU1" s="154" t="str">
        <f t="shared" si="193"/>
        <v>y</v>
      </c>
      <c r="RGV1" s="154" t="str">
        <f t="shared" si="193"/>
        <v>y</v>
      </c>
      <c r="RGW1" s="154" t="str">
        <f t="shared" si="193"/>
        <v>y</v>
      </c>
      <c r="RGX1" s="154" t="str">
        <f t="shared" si="193"/>
        <v>y</v>
      </c>
      <c r="RGY1" s="154" t="str">
        <f t="shared" si="193"/>
        <v>y</v>
      </c>
      <c r="RGZ1" s="154" t="str">
        <f t="shared" si="193"/>
        <v>y</v>
      </c>
      <c r="RHA1" s="154" t="str">
        <f t="shared" si="193"/>
        <v>y</v>
      </c>
      <c r="RHB1" s="154" t="str">
        <f t="shared" si="193"/>
        <v>y</v>
      </c>
      <c r="RHC1" s="154" t="str">
        <f t="shared" si="193"/>
        <v>y</v>
      </c>
      <c r="RHD1" s="154" t="str">
        <f t="shared" si="193"/>
        <v>y</v>
      </c>
      <c r="RHE1" s="154" t="str">
        <f t="shared" si="193"/>
        <v>y</v>
      </c>
      <c r="RHF1" s="154" t="str">
        <f t="shared" si="193"/>
        <v>y</v>
      </c>
      <c r="RHG1" s="154" t="str">
        <f t="shared" si="193"/>
        <v>y</v>
      </c>
      <c r="RHH1" s="154" t="str">
        <f t="shared" si="193"/>
        <v>y</v>
      </c>
      <c r="RHI1" s="154" t="str">
        <f t="shared" si="193"/>
        <v>y</v>
      </c>
      <c r="RHJ1" s="154" t="str">
        <f t="shared" si="193"/>
        <v>y</v>
      </c>
      <c r="RHK1" s="154" t="str">
        <f t="shared" si="193"/>
        <v>y</v>
      </c>
      <c r="RHL1" s="154" t="str">
        <f t="shared" si="193"/>
        <v>y</v>
      </c>
      <c r="RHM1" s="154" t="str">
        <f t="shared" si="193"/>
        <v>y</v>
      </c>
      <c r="RHN1" s="154" t="str">
        <f t="shared" si="193"/>
        <v>y</v>
      </c>
      <c r="RHO1" s="154" t="str">
        <f t="shared" si="193"/>
        <v>y</v>
      </c>
      <c r="RHP1" s="154" t="str">
        <f t="shared" si="193"/>
        <v>y</v>
      </c>
      <c r="RHQ1" s="154" t="str">
        <f t="shared" si="193"/>
        <v>y</v>
      </c>
      <c r="RHR1" s="154" t="str">
        <f t="shared" si="193"/>
        <v>y</v>
      </c>
      <c r="RHS1" s="154" t="str">
        <f t="shared" si="193"/>
        <v>y</v>
      </c>
      <c r="RHT1" s="154" t="str">
        <f t="shared" si="193"/>
        <v>y</v>
      </c>
      <c r="RHU1" s="154" t="str">
        <f t="shared" si="193"/>
        <v>y</v>
      </c>
      <c r="RHV1" s="154" t="str">
        <f t="shared" si="193"/>
        <v>y</v>
      </c>
      <c r="RHW1" s="154" t="str">
        <f t="shared" si="193"/>
        <v>y</v>
      </c>
      <c r="RHX1" s="154" t="str">
        <f t="shared" si="193"/>
        <v>y</v>
      </c>
      <c r="RHY1" s="154" t="str">
        <f t="shared" si="193"/>
        <v>y</v>
      </c>
      <c r="RHZ1" s="154" t="str">
        <f t="shared" si="193"/>
        <v>y</v>
      </c>
      <c r="RIA1" s="154" t="str">
        <f t="shared" si="193"/>
        <v>y</v>
      </c>
      <c r="RIB1" s="154" t="str">
        <f t="shared" si="193"/>
        <v>y</v>
      </c>
      <c r="RIC1" s="154" t="str">
        <f t="shared" si="193"/>
        <v>y</v>
      </c>
      <c r="RID1" s="154" t="str">
        <f t="shared" si="193"/>
        <v>y</v>
      </c>
      <c r="RIE1" s="154" t="str">
        <f t="shared" si="193"/>
        <v>y</v>
      </c>
      <c r="RIF1" s="154" t="str">
        <f t="shared" si="193"/>
        <v>y</v>
      </c>
      <c r="RIG1" s="154" t="str">
        <f t="shared" si="193"/>
        <v>y</v>
      </c>
      <c r="RIH1" s="154" t="str">
        <f t="shared" si="193"/>
        <v>y</v>
      </c>
      <c r="RII1" s="154" t="str">
        <f t="shared" si="193"/>
        <v>y</v>
      </c>
      <c r="RIJ1" s="154" t="str">
        <f t="shared" si="193"/>
        <v>y</v>
      </c>
      <c r="RIK1" s="154" t="str">
        <f t="shared" si="193"/>
        <v>y</v>
      </c>
      <c r="RIL1" s="154" t="str">
        <f t="shared" si="193"/>
        <v>y</v>
      </c>
      <c r="RIM1" s="154" t="str">
        <f t="shared" si="193"/>
        <v>y</v>
      </c>
      <c r="RIN1" s="154" t="str">
        <f t="shared" si="193"/>
        <v>y</v>
      </c>
      <c r="RIO1" s="154" t="str">
        <f t="shared" si="193"/>
        <v>y</v>
      </c>
      <c r="RIP1" s="154" t="str">
        <f t="shared" si="193"/>
        <v>y</v>
      </c>
      <c r="RIQ1" s="154" t="str">
        <f t="shared" si="193"/>
        <v>y</v>
      </c>
      <c r="RIR1" s="154" t="str">
        <f t="shared" si="193"/>
        <v>y</v>
      </c>
      <c r="RIS1" s="154" t="str">
        <f t="shared" si="193"/>
        <v>y</v>
      </c>
      <c r="RIT1" s="154" t="str">
        <f t="shared" ref="RIT1:RLE1" si="194">RIT2&amp;"y"</f>
        <v>y</v>
      </c>
      <c r="RIU1" s="154" t="str">
        <f t="shared" si="194"/>
        <v>y</v>
      </c>
      <c r="RIV1" s="154" t="str">
        <f t="shared" si="194"/>
        <v>y</v>
      </c>
      <c r="RIW1" s="154" t="str">
        <f t="shared" si="194"/>
        <v>y</v>
      </c>
      <c r="RIX1" s="154" t="str">
        <f t="shared" si="194"/>
        <v>y</v>
      </c>
      <c r="RIY1" s="154" t="str">
        <f t="shared" si="194"/>
        <v>y</v>
      </c>
      <c r="RIZ1" s="154" t="str">
        <f t="shared" si="194"/>
        <v>y</v>
      </c>
      <c r="RJA1" s="154" t="str">
        <f t="shared" si="194"/>
        <v>y</v>
      </c>
      <c r="RJB1" s="154" t="str">
        <f t="shared" si="194"/>
        <v>y</v>
      </c>
      <c r="RJC1" s="154" t="str">
        <f t="shared" si="194"/>
        <v>y</v>
      </c>
      <c r="RJD1" s="154" t="str">
        <f t="shared" si="194"/>
        <v>y</v>
      </c>
      <c r="RJE1" s="154" t="str">
        <f t="shared" si="194"/>
        <v>y</v>
      </c>
      <c r="RJF1" s="154" t="str">
        <f t="shared" si="194"/>
        <v>y</v>
      </c>
      <c r="RJG1" s="154" t="str">
        <f t="shared" si="194"/>
        <v>y</v>
      </c>
      <c r="RJH1" s="154" t="str">
        <f t="shared" si="194"/>
        <v>y</v>
      </c>
      <c r="RJI1" s="154" t="str">
        <f t="shared" si="194"/>
        <v>y</v>
      </c>
      <c r="RJJ1" s="154" t="str">
        <f t="shared" si="194"/>
        <v>y</v>
      </c>
      <c r="RJK1" s="154" t="str">
        <f t="shared" si="194"/>
        <v>y</v>
      </c>
      <c r="RJL1" s="154" t="str">
        <f t="shared" si="194"/>
        <v>y</v>
      </c>
      <c r="RJM1" s="154" t="str">
        <f t="shared" si="194"/>
        <v>y</v>
      </c>
      <c r="RJN1" s="154" t="str">
        <f t="shared" si="194"/>
        <v>y</v>
      </c>
      <c r="RJO1" s="154" t="str">
        <f t="shared" si="194"/>
        <v>y</v>
      </c>
      <c r="RJP1" s="154" t="str">
        <f t="shared" si="194"/>
        <v>y</v>
      </c>
      <c r="RJQ1" s="154" t="str">
        <f t="shared" si="194"/>
        <v>y</v>
      </c>
      <c r="RJR1" s="154" t="str">
        <f t="shared" si="194"/>
        <v>y</v>
      </c>
      <c r="RJS1" s="154" t="str">
        <f t="shared" si="194"/>
        <v>y</v>
      </c>
      <c r="RJT1" s="154" t="str">
        <f t="shared" si="194"/>
        <v>y</v>
      </c>
      <c r="RJU1" s="154" t="str">
        <f t="shared" si="194"/>
        <v>y</v>
      </c>
      <c r="RJV1" s="154" t="str">
        <f t="shared" si="194"/>
        <v>y</v>
      </c>
      <c r="RJW1" s="154" t="str">
        <f t="shared" si="194"/>
        <v>y</v>
      </c>
      <c r="RJX1" s="154" t="str">
        <f t="shared" si="194"/>
        <v>y</v>
      </c>
      <c r="RJY1" s="154" t="str">
        <f t="shared" si="194"/>
        <v>y</v>
      </c>
      <c r="RJZ1" s="154" t="str">
        <f t="shared" si="194"/>
        <v>y</v>
      </c>
      <c r="RKA1" s="154" t="str">
        <f t="shared" si="194"/>
        <v>y</v>
      </c>
      <c r="RKB1" s="154" t="str">
        <f t="shared" si="194"/>
        <v>y</v>
      </c>
      <c r="RKC1" s="154" t="str">
        <f t="shared" si="194"/>
        <v>y</v>
      </c>
      <c r="RKD1" s="154" t="str">
        <f t="shared" si="194"/>
        <v>y</v>
      </c>
      <c r="RKE1" s="154" t="str">
        <f t="shared" si="194"/>
        <v>y</v>
      </c>
      <c r="RKF1" s="154" t="str">
        <f t="shared" si="194"/>
        <v>y</v>
      </c>
      <c r="RKG1" s="154" t="str">
        <f t="shared" si="194"/>
        <v>y</v>
      </c>
      <c r="RKH1" s="154" t="str">
        <f t="shared" si="194"/>
        <v>y</v>
      </c>
      <c r="RKI1" s="154" t="str">
        <f t="shared" si="194"/>
        <v>y</v>
      </c>
      <c r="RKJ1" s="154" t="str">
        <f t="shared" si="194"/>
        <v>y</v>
      </c>
      <c r="RKK1" s="154" t="str">
        <f t="shared" si="194"/>
        <v>y</v>
      </c>
      <c r="RKL1" s="154" t="str">
        <f t="shared" si="194"/>
        <v>y</v>
      </c>
      <c r="RKM1" s="154" t="str">
        <f t="shared" si="194"/>
        <v>y</v>
      </c>
      <c r="RKN1" s="154" t="str">
        <f t="shared" si="194"/>
        <v>y</v>
      </c>
      <c r="RKO1" s="154" t="str">
        <f t="shared" si="194"/>
        <v>y</v>
      </c>
      <c r="RKP1" s="154" t="str">
        <f t="shared" si="194"/>
        <v>y</v>
      </c>
      <c r="RKQ1" s="154" t="str">
        <f t="shared" si="194"/>
        <v>y</v>
      </c>
      <c r="RKR1" s="154" t="str">
        <f t="shared" si="194"/>
        <v>y</v>
      </c>
      <c r="RKS1" s="154" t="str">
        <f t="shared" si="194"/>
        <v>y</v>
      </c>
      <c r="RKT1" s="154" t="str">
        <f t="shared" si="194"/>
        <v>y</v>
      </c>
      <c r="RKU1" s="154" t="str">
        <f t="shared" si="194"/>
        <v>y</v>
      </c>
      <c r="RKV1" s="154" t="str">
        <f t="shared" si="194"/>
        <v>y</v>
      </c>
      <c r="RKW1" s="154" t="str">
        <f t="shared" si="194"/>
        <v>y</v>
      </c>
      <c r="RKX1" s="154" t="str">
        <f t="shared" si="194"/>
        <v>y</v>
      </c>
      <c r="RKY1" s="154" t="str">
        <f t="shared" si="194"/>
        <v>y</v>
      </c>
      <c r="RKZ1" s="154" t="str">
        <f t="shared" si="194"/>
        <v>y</v>
      </c>
      <c r="RLA1" s="154" t="str">
        <f t="shared" si="194"/>
        <v>y</v>
      </c>
      <c r="RLB1" s="154" t="str">
        <f t="shared" si="194"/>
        <v>y</v>
      </c>
      <c r="RLC1" s="154" t="str">
        <f t="shared" si="194"/>
        <v>y</v>
      </c>
      <c r="RLD1" s="154" t="str">
        <f t="shared" si="194"/>
        <v>y</v>
      </c>
      <c r="RLE1" s="154" t="str">
        <f t="shared" si="194"/>
        <v>y</v>
      </c>
      <c r="RLF1" s="154" t="str">
        <f t="shared" ref="RLF1:RNQ1" si="195">RLF2&amp;"y"</f>
        <v>y</v>
      </c>
      <c r="RLG1" s="154" t="str">
        <f t="shared" si="195"/>
        <v>y</v>
      </c>
      <c r="RLH1" s="154" t="str">
        <f t="shared" si="195"/>
        <v>y</v>
      </c>
      <c r="RLI1" s="154" t="str">
        <f t="shared" si="195"/>
        <v>y</v>
      </c>
      <c r="RLJ1" s="154" t="str">
        <f t="shared" si="195"/>
        <v>y</v>
      </c>
      <c r="RLK1" s="154" t="str">
        <f t="shared" si="195"/>
        <v>y</v>
      </c>
      <c r="RLL1" s="154" t="str">
        <f t="shared" si="195"/>
        <v>y</v>
      </c>
      <c r="RLM1" s="154" t="str">
        <f t="shared" si="195"/>
        <v>y</v>
      </c>
      <c r="RLN1" s="154" t="str">
        <f t="shared" si="195"/>
        <v>y</v>
      </c>
      <c r="RLO1" s="154" t="str">
        <f t="shared" si="195"/>
        <v>y</v>
      </c>
      <c r="RLP1" s="154" t="str">
        <f t="shared" si="195"/>
        <v>y</v>
      </c>
      <c r="RLQ1" s="154" t="str">
        <f t="shared" si="195"/>
        <v>y</v>
      </c>
      <c r="RLR1" s="154" t="str">
        <f t="shared" si="195"/>
        <v>y</v>
      </c>
      <c r="RLS1" s="154" t="str">
        <f t="shared" si="195"/>
        <v>y</v>
      </c>
      <c r="RLT1" s="154" t="str">
        <f t="shared" si="195"/>
        <v>y</v>
      </c>
      <c r="RLU1" s="154" t="str">
        <f t="shared" si="195"/>
        <v>y</v>
      </c>
      <c r="RLV1" s="154" t="str">
        <f t="shared" si="195"/>
        <v>y</v>
      </c>
      <c r="RLW1" s="154" t="str">
        <f t="shared" si="195"/>
        <v>y</v>
      </c>
      <c r="RLX1" s="154" t="str">
        <f t="shared" si="195"/>
        <v>y</v>
      </c>
      <c r="RLY1" s="154" t="str">
        <f t="shared" si="195"/>
        <v>y</v>
      </c>
      <c r="RLZ1" s="154" t="str">
        <f t="shared" si="195"/>
        <v>y</v>
      </c>
      <c r="RMA1" s="154" t="str">
        <f t="shared" si="195"/>
        <v>y</v>
      </c>
      <c r="RMB1" s="154" t="str">
        <f t="shared" si="195"/>
        <v>y</v>
      </c>
      <c r="RMC1" s="154" t="str">
        <f t="shared" si="195"/>
        <v>y</v>
      </c>
      <c r="RMD1" s="154" t="str">
        <f t="shared" si="195"/>
        <v>y</v>
      </c>
      <c r="RME1" s="154" t="str">
        <f t="shared" si="195"/>
        <v>y</v>
      </c>
      <c r="RMF1" s="154" t="str">
        <f t="shared" si="195"/>
        <v>y</v>
      </c>
      <c r="RMG1" s="154" t="str">
        <f t="shared" si="195"/>
        <v>y</v>
      </c>
      <c r="RMH1" s="154" t="str">
        <f t="shared" si="195"/>
        <v>y</v>
      </c>
      <c r="RMI1" s="154" t="str">
        <f t="shared" si="195"/>
        <v>y</v>
      </c>
      <c r="RMJ1" s="154" t="str">
        <f t="shared" si="195"/>
        <v>y</v>
      </c>
      <c r="RMK1" s="154" t="str">
        <f t="shared" si="195"/>
        <v>y</v>
      </c>
      <c r="RML1" s="154" t="str">
        <f t="shared" si="195"/>
        <v>y</v>
      </c>
      <c r="RMM1" s="154" t="str">
        <f t="shared" si="195"/>
        <v>y</v>
      </c>
      <c r="RMN1" s="154" t="str">
        <f t="shared" si="195"/>
        <v>y</v>
      </c>
      <c r="RMO1" s="154" t="str">
        <f t="shared" si="195"/>
        <v>y</v>
      </c>
      <c r="RMP1" s="154" t="str">
        <f t="shared" si="195"/>
        <v>y</v>
      </c>
      <c r="RMQ1" s="154" t="str">
        <f t="shared" si="195"/>
        <v>y</v>
      </c>
      <c r="RMR1" s="154" t="str">
        <f t="shared" si="195"/>
        <v>y</v>
      </c>
      <c r="RMS1" s="154" t="str">
        <f t="shared" si="195"/>
        <v>y</v>
      </c>
      <c r="RMT1" s="154" t="str">
        <f t="shared" si="195"/>
        <v>y</v>
      </c>
      <c r="RMU1" s="154" t="str">
        <f t="shared" si="195"/>
        <v>y</v>
      </c>
      <c r="RMV1" s="154" t="str">
        <f t="shared" si="195"/>
        <v>y</v>
      </c>
      <c r="RMW1" s="154" t="str">
        <f t="shared" si="195"/>
        <v>y</v>
      </c>
      <c r="RMX1" s="154" t="str">
        <f t="shared" si="195"/>
        <v>y</v>
      </c>
      <c r="RMY1" s="154" t="str">
        <f t="shared" si="195"/>
        <v>y</v>
      </c>
      <c r="RMZ1" s="154" t="str">
        <f t="shared" si="195"/>
        <v>y</v>
      </c>
      <c r="RNA1" s="154" t="str">
        <f t="shared" si="195"/>
        <v>y</v>
      </c>
      <c r="RNB1" s="154" t="str">
        <f t="shared" si="195"/>
        <v>y</v>
      </c>
      <c r="RNC1" s="154" t="str">
        <f t="shared" si="195"/>
        <v>y</v>
      </c>
      <c r="RND1" s="154" t="str">
        <f t="shared" si="195"/>
        <v>y</v>
      </c>
      <c r="RNE1" s="154" t="str">
        <f t="shared" si="195"/>
        <v>y</v>
      </c>
      <c r="RNF1" s="154" t="str">
        <f t="shared" si="195"/>
        <v>y</v>
      </c>
      <c r="RNG1" s="154" t="str">
        <f t="shared" si="195"/>
        <v>y</v>
      </c>
      <c r="RNH1" s="154" t="str">
        <f t="shared" si="195"/>
        <v>y</v>
      </c>
      <c r="RNI1" s="154" t="str">
        <f t="shared" si="195"/>
        <v>y</v>
      </c>
      <c r="RNJ1" s="154" t="str">
        <f t="shared" si="195"/>
        <v>y</v>
      </c>
      <c r="RNK1" s="154" t="str">
        <f t="shared" si="195"/>
        <v>y</v>
      </c>
      <c r="RNL1" s="154" t="str">
        <f t="shared" si="195"/>
        <v>y</v>
      </c>
      <c r="RNM1" s="154" t="str">
        <f t="shared" si="195"/>
        <v>y</v>
      </c>
      <c r="RNN1" s="154" t="str">
        <f t="shared" si="195"/>
        <v>y</v>
      </c>
      <c r="RNO1" s="154" t="str">
        <f t="shared" si="195"/>
        <v>y</v>
      </c>
      <c r="RNP1" s="154" t="str">
        <f t="shared" si="195"/>
        <v>y</v>
      </c>
      <c r="RNQ1" s="154" t="str">
        <f t="shared" si="195"/>
        <v>y</v>
      </c>
      <c r="RNR1" s="154" t="str">
        <f t="shared" ref="RNR1:RQC1" si="196">RNR2&amp;"y"</f>
        <v>y</v>
      </c>
      <c r="RNS1" s="154" t="str">
        <f t="shared" si="196"/>
        <v>y</v>
      </c>
      <c r="RNT1" s="154" t="str">
        <f t="shared" si="196"/>
        <v>y</v>
      </c>
      <c r="RNU1" s="154" t="str">
        <f t="shared" si="196"/>
        <v>y</v>
      </c>
      <c r="RNV1" s="154" t="str">
        <f t="shared" si="196"/>
        <v>y</v>
      </c>
      <c r="RNW1" s="154" t="str">
        <f t="shared" si="196"/>
        <v>y</v>
      </c>
      <c r="RNX1" s="154" t="str">
        <f t="shared" si="196"/>
        <v>y</v>
      </c>
      <c r="RNY1" s="154" t="str">
        <f t="shared" si="196"/>
        <v>y</v>
      </c>
      <c r="RNZ1" s="154" t="str">
        <f t="shared" si="196"/>
        <v>y</v>
      </c>
      <c r="ROA1" s="154" t="str">
        <f t="shared" si="196"/>
        <v>y</v>
      </c>
      <c r="ROB1" s="154" t="str">
        <f t="shared" si="196"/>
        <v>y</v>
      </c>
      <c r="ROC1" s="154" t="str">
        <f t="shared" si="196"/>
        <v>y</v>
      </c>
      <c r="ROD1" s="154" t="str">
        <f t="shared" si="196"/>
        <v>y</v>
      </c>
      <c r="ROE1" s="154" t="str">
        <f t="shared" si="196"/>
        <v>y</v>
      </c>
      <c r="ROF1" s="154" t="str">
        <f t="shared" si="196"/>
        <v>y</v>
      </c>
      <c r="ROG1" s="154" t="str">
        <f t="shared" si="196"/>
        <v>y</v>
      </c>
      <c r="ROH1" s="154" t="str">
        <f t="shared" si="196"/>
        <v>y</v>
      </c>
      <c r="ROI1" s="154" t="str">
        <f t="shared" si="196"/>
        <v>y</v>
      </c>
      <c r="ROJ1" s="154" t="str">
        <f t="shared" si="196"/>
        <v>y</v>
      </c>
      <c r="ROK1" s="154" t="str">
        <f t="shared" si="196"/>
        <v>y</v>
      </c>
      <c r="ROL1" s="154" t="str">
        <f t="shared" si="196"/>
        <v>y</v>
      </c>
      <c r="ROM1" s="154" t="str">
        <f t="shared" si="196"/>
        <v>y</v>
      </c>
      <c r="RON1" s="154" t="str">
        <f t="shared" si="196"/>
        <v>y</v>
      </c>
      <c r="ROO1" s="154" t="str">
        <f t="shared" si="196"/>
        <v>y</v>
      </c>
      <c r="ROP1" s="154" t="str">
        <f t="shared" si="196"/>
        <v>y</v>
      </c>
      <c r="ROQ1" s="154" t="str">
        <f t="shared" si="196"/>
        <v>y</v>
      </c>
      <c r="ROR1" s="154" t="str">
        <f t="shared" si="196"/>
        <v>y</v>
      </c>
      <c r="ROS1" s="154" t="str">
        <f t="shared" si="196"/>
        <v>y</v>
      </c>
      <c r="ROT1" s="154" t="str">
        <f t="shared" si="196"/>
        <v>y</v>
      </c>
      <c r="ROU1" s="154" t="str">
        <f t="shared" si="196"/>
        <v>y</v>
      </c>
      <c r="ROV1" s="154" t="str">
        <f t="shared" si="196"/>
        <v>y</v>
      </c>
      <c r="ROW1" s="154" t="str">
        <f t="shared" si="196"/>
        <v>y</v>
      </c>
      <c r="ROX1" s="154" t="str">
        <f t="shared" si="196"/>
        <v>y</v>
      </c>
      <c r="ROY1" s="154" t="str">
        <f t="shared" si="196"/>
        <v>y</v>
      </c>
      <c r="ROZ1" s="154" t="str">
        <f t="shared" si="196"/>
        <v>y</v>
      </c>
      <c r="RPA1" s="154" t="str">
        <f t="shared" si="196"/>
        <v>y</v>
      </c>
      <c r="RPB1" s="154" t="str">
        <f t="shared" si="196"/>
        <v>y</v>
      </c>
      <c r="RPC1" s="154" t="str">
        <f t="shared" si="196"/>
        <v>y</v>
      </c>
      <c r="RPD1" s="154" t="str">
        <f t="shared" si="196"/>
        <v>y</v>
      </c>
      <c r="RPE1" s="154" t="str">
        <f t="shared" si="196"/>
        <v>y</v>
      </c>
      <c r="RPF1" s="154" t="str">
        <f t="shared" si="196"/>
        <v>y</v>
      </c>
      <c r="RPG1" s="154" t="str">
        <f t="shared" si="196"/>
        <v>y</v>
      </c>
      <c r="RPH1" s="154" t="str">
        <f t="shared" si="196"/>
        <v>y</v>
      </c>
      <c r="RPI1" s="154" t="str">
        <f t="shared" si="196"/>
        <v>y</v>
      </c>
      <c r="RPJ1" s="154" t="str">
        <f t="shared" si="196"/>
        <v>y</v>
      </c>
      <c r="RPK1" s="154" t="str">
        <f t="shared" si="196"/>
        <v>y</v>
      </c>
      <c r="RPL1" s="154" t="str">
        <f t="shared" si="196"/>
        <v>y</v>
      </c>
      <c r="RPM1" s="154" t="str">
        <f t="shared" si="196"/>
        <v>y</v>
      </c>
      <c r="RPN1" s="154" t="str">
        <f t="shared" si="196"/>
        <v>y</v>
      </c>
      <c r="RPO1" s="154" t="str">
        <f t="shared" si="196"/>
        <v>y</v>
      </c>
      <c r="RPP1" s="154" t="str">
        <f t="shared" si="196"/>
        <v>y</v>
      </c>
      <c r="RPQ1" s="154" t="str">
        <f t="shared" si="196"/>
        <v>y</v>
      </c>
      <c r="RPR1" s="154" t="str">
        <f t="shared" si="196"/>
        <v>y</v>
      </c>
      <c r="RPS1" s="154" t="str">
        <f t="shared" si="196"/>
        <v>y</v>
      </c>
      <c r="RPT1" s="154" t="str">
        <f t="shared" si="196"/>
        <v>y</v>
      </c>
      <c r="RPU1" s="154" t="str">
        <f t="shared" si="196"/>
        <v>y</v>
      </c>
      <c r="RPV1" s="154" t="str">
        <f t="shared" si="196"/>
        <v>y</v>
      </c>
      <c r="RPW1" s="154" t="str">
        <f t="shared" si="196"/>
        <v>y</v>
      </c>
      <c r="RPX1" s="154" t="str">
        <f t="shared" si="196"/>
        <v>y</v>
      </c>
      <c r="RPY1" s="154" t="str">
        <f t="shared" si="196"/>
        <v>y</v>
      </c>
      <c r="RPZ1" s="154" t="str">
        <f t="shared" si="196"/>
        <v>y</v>
      </c>
      <c r="RQA1" s="154" t="str">
        <f t="shared" si="196"/>
        <v>y</v>
      </c>
      <c r="RQB1" s="154" t="str">
        <f t="shared" si="196"/>
        <v>y</v>
      </c>
      <c r="RQC1" s="154" t="str">
        <f t="shared" si="196"/>
        <v>y</v>
      </c>
      <c r="RQD1" s="154" t="str">
        <f t="shared" ref="RQD1:RSO1" si="197">RQD2&amp;"y"</f>
        <v>y</v>
      </c>
      <c r="RQE1" s="154" t="str">
        <f t="shared" si="197"/>
        <v>y</v>
      </c>
      <c r="RQF1" s="154" t="str">
        <f t="shared" si="197"/>
        <v>y</v>
      </c>
      <c r="RQG1" s="154" t="str">
        <f t="shared" si="197"/>
        <v>y</v>
      </c>
      <c r="RQH1" s="154" t="str">
        <f t="shared" si="197"/>
        <v>y</v>
      </c>
      <c r="RQI1" s="154" t="str">
        <f t="shared" si="197"/>
        <v>y</v>
      </c>
      <c r="RQJ1" s="154" t="str">
        <f t="shared" si="197"/>
        <v>y</v>
      </c>
      <c r="RQK1" s="154" t="str">
        <f t="shared" si="197"/>
        <v>y</v>
      </c>
      <c r="RQL1" s="154" t="str">
        <f t="shared" si="197"/>
        <v>y</v>
      </c>
      <c r="RQM1" s="154" t="str">
        <f t="shared" si="197"/>
        <v>y</v>
      </c>
      <c r="RQN1" s="154" t="str">
        <f t="shared" si="197"/>
        <v>y</v>
      </c>
      <c r="RQO1" s="154" t="str">
        <f t="shared" si="197"/>
        <v>y</v>
      </c>
      <c r="RQP1" s="154" t="str">
        <f t="shared" si="197"/>
        <v>y</v>
      </c>
      <c r="RQQ1" s="154" t="str">
        <f t="shared" si="197"/>
        <v>y</v>
      </c>
      <c r="RQR1" s="154" t="str">
        <f t="shared" si="197"/>
        <v>y</v>
      </c>
      <c r="RQS1" s="154" t="str">
        <f t="shared" si="197"/>
        <v>y</v>
      </c>
      <c r="RQT1" s="154" t="str">
        <f t="shared" si="197"/>
        <v>y</v>
      </c>
      <c r="RQU1" s="154" t="str">
        <f t="shared" si="197"/>
        <v>y</v>
      </c>
      <c r="RQV1" s="154" t="str">
        <f t="shared" si="197"/>
        <v>y</v>
      </c>
      <c r="RQW1" s="154" t="str">
        <f t="shared" si="197"/>
        <v>y</v>
      </c>
      <c r="RQX1" s="154" t="str">
        <f t="shared" si="197"/>
        <v>y</v>
      </c>
      <c r="RQY1" s="154" t="str">
        <f t="shared" si="197"/>
        <v>y</v>
      </c>
      <c r="RQZ1" s="154" t="str">
        <f t="shared" si="197"/>
        <v>y</v>
      </c>
      <c r="RRA1" s="154" t="str">
        <f t="shared" si="197"/>
        <v>y</v>
      </c>
      <c r="RRB1" s="154" t="str">
        <f t="shared" si="197"/>
        <v>y</v>
      </c>
      <c r="RRC1" s="154" t="str">
        <f t="shared" si="197"/>
        <v>y</v>
      </c>
      <c r="RRD1" s="154" t="str">
        <f t="shared" si="197"/>
        <v>y</v>
      </c>
      <c r="RRE1" s="154" t="str">
        <f t="shared" si="197"/>
        <v>y</v>
      </c>
      <c r="RRF1" s="154" t="str">
        <f t="shared" si="197"/>
        <v>y</v>
      </c>
      <c r="RRG1" s="154" t="str">
        <f t="shared" si="197"/>
        <v>y</v>
      </c>
      <c r="RRH1" s="154" t="str">
        <f t="shared" si="197"/>
        <v>y</v>
      </c>
      <c r="RRI1" s="154" t="str">
        <f t="shared" si="197"/>
        <v>y</v>
      </c>
      <c r="RRJ1" s="154" t="str">
        <f t="shared" si="197"/>
        <v>y</v>
      </c>
      <c r="RRK1" s="154" t="str">
        <f t="shared" si="197"/>
        <v>y</v>
      </c>
      <c r="RRL1" s="154" t="str">
        <f t="shared" si="197"/>
        <v>y</v>
      </c>
      <c r="RRM1" s="154" t="str">
        <f t="shared" si="197"/>
        <v>y</v>
      </c>
      <c r="RRN1" s="154" t="str">
        <f t="shared" si="197"/>
        <v>y</v>
      </c>
      <c r="RRO1" s="154" t="str">
        <f t="shared" si="197"/>
        <v>y</v>
      </c>
      <c r="RRP1" s="154" t="str">
        <f t="shared" si="197"/>
        <v>y</v>
      </c>
      <c r="RRQ1" s="154" t="str">
        <f t="shared" si="197"/>
        <v>y</v>
      </c>
      <c r="RRR1" s="154" t="str">
        <f t="shared" si="197"/>
        <v>y</v>
      </c>
      <c r="RRS1" s="154" t="str">
        <f t="shared" si="197"/>
        <v>y</v>
      </c>
      <c r="RRT1" s="154" t="str">
        <f t="shared" si="197"/>
        <v>y</v>
      </c>
      <c r="RRU1" s="154" t="str">
        <f t="shared" si="197"/>
        <v>y</v>
      </c>
      <c r="RRV1" s="154" t="str">
        <f t="shared" si="197"/>
        <v>y</v>
      </c>
      <c r="RRW1" s="154" t="str">
        <f t="shared" si="197"/>
        <v>y</v>
      </c>
      <c r="RRX1" s="154" t="str">
        <f t="shared" si="197"/>
        <v>y</v>
      </c>
      <c r="RRY1" s="154" t="str">
        <f t="shared" si="197"/>
        <v>y</v>
      </c>
      <c r="RRZ1" s="154" t="str">
        <f t="shared" si="197"/>
        <v>y</v>
      </c>
      <c r="RSA1" s="154" t="str">
        <f t="shared" si="197"/>
        <v>y</v>
      </c>
      <c r="RSB1" s="154" t="str">
        <f t="shared" si="197"/>
        <v>y</v>
      </c>
      <c r="RSC1" s="154" t="str">
        <f t="shared" si="197"/>
        <v>y</v>
      </c>
      <c r="RSD1" s="154" t="str">
        <f t="shared" si="197"/>
        <v>y</v>
      </c>
      <c r="RSE1" s="154" t="str">
        <f t="shared" si="197"/>
        <v>y</v>
      </c>
      <c r="RSF1" s="154" t="str">
        <f t="shared" si="197"/>
        <v>y</v>
      </c>
      <c r="RSG1" s="154" t="str">
        <f t="shared" si="197"/>
        <v>y</v>
      </c>
      <c r="RSH1" s="154" t="str">
        <f t="shared" si="197"/>
        <v>y</v>
      </c>
      <c r="RSI1" s="154" t="str">
        <f t="shared" si="197"/>
        <v>y</v>
      </c>
      <c r="RSJ1" s="154" t="str">
        <f t="shared" si="197"/>
        <v>y</v>
      </c>
      <c r="RSK1" s="154" t="str">
        <f t="shared" si="197"/>
        <v>y</v>
      </c>
      <c r="RSL1" s="154" t="str">
        <f t="shared" si="197"/>
        <v>y</v>
      </c>
      <c r="RSM1" s="154" t="str">
        <f t="shared" si="197"/>
        <v>y</v>
      </c>
      <c r="RSN1" s="154" t="str">
        <f t="shared" si="197"/>
        <v>y</v>
      </c>
      <c r="RSO1" s="154" t="str">
        <f t="shared" si="197"/>
        <v>y</v>
      </c>
      <c r="RSP1" s="154" t="str">
        <f t="shared" ref="RSP1:RVA1" si="198">RSP2&amp;"y"</f>
        <v>y</v>
      </c>
      <c r="RSQ1" s="154" t="str">
        <f t="shared" si="198"/>
        <v>y</v>
      </c>
      <c r="RSR1" s="154" t="str">
        <f t="shared" si="198"/>
        <v>y</v>
      </c>
      <c r="RSS1" s="154" t="str">
        <f t="shared" si="198"/>
        <v>y</v>
      </c>
      <c r="RST1" s="154" t="str">
        <f t="shared" si="198"/>
        <v>y</v>
      </c>
      <c r="RSU1" s="154" t="str">
        <f t="shared" si="198"/>
        <v>y</v>
      </c>
      <c r="RSV1" s="154" t="str">
        <f t="shared" si="198"/>
        <v>y</v>
      </c>
      <c r="RSW1" s="154" t="str">
        <f t="shared" si="198"/>
        <v>y</v>
      </c>
      <c r="RSX1" s="154" t="str">
        <f t="shared" si="198"/>
        <v>y</v>
      </c>
      <c r="RSY1" s="154" t="str">
        <f t="shared" si="198"/>
        <v>y</v>
      </c>
      <c r="RSZ1" s="154" t="str">
        <f t="shared" si="198"/>
        <v>y</v>
      </c>
      <c r="RTA1" s="154" t="str">
        <f t="shared" si="198"/>
        <v>y</v>
      </c>
      <c r="RTB1" s="154" t="str">
        <f t="shared" si="198"/>
        <v>y</v>
      </c>
      <c r="RTC1" s="154" t="str">
        <f t="shared" si="198"/>
        <v>y</v>
      </c>
      <c r="RTD1" s="154" t="str">
        <f t="shared" si="198"/>
        <v>y</v>
      </c>
      <c r="RTE1" s="154" t="str">
        <f t="shared" si="198"/>
        <v>y</v>
      </c>
      <c r="RTF1" s="154" t="str">
        <f t="shared" si="198"/>
        <v>y</v>
      </c>
      <c r="RTG1" s="154" t="str">
        <f t="shared" si="198"/>
        <v>y</v>
      </c>
      <c r="RTH1" s="154" t="str">
        <f t="shared" si="198"/>
        <v>y</v>
      </c>
      <c r="RTI1" s="154" t="str">
        <f t="shared" si="198"/>
        <v>y</v>
      </c>
      <c r="RTJ1" s="154" t="str">
        <f t="shared" si="198"/>
        <v>y</v>
      </c>
      <c r="RTK1" s="154" t="str">
        <f t="shared" si="198"/>
        <v>y</v>
      </c>
      <c r="RTL1" s="154" t="str">
        <f t="shared" si="198"/>
        <v>y</v>
      </c>
      <c r="RTM1" s="154" t="str">
        <f t="shared" si="198"/>
        <v>y</v>
      </c>
      <c r="RTN1" s="154" t="str">
        <f t="shared" si="198"/>
        <v>y</v>
      </c>
      <c r="RTO1" s="154" t="str">
        <f t="shared" si="198"/>
        <v>y</v>
      </c>
      <c r="RTP1" s="154" t="str">
        <f t="shared" si="198"/>
        <v>y</v>
      </c>
      <c r="RTQ1" s="154" t="str">
        <f t="shared" si="198"/>
        <v>y</v>
      </c>
      <c r="RTR1" s="154" t="str">
        <f t="shared" si="198"/>
        <v>y</v>
      </c>
      <c r="RTS1" s="154" t="str">
        <f t="shared" si="198"/>
        <v>y</v>
      </c>
      <c r="RTT1" s="154" t="str">
        <f t="shared" si="198"/>
        <v>y</v>
      </c>
      <c r="RTU1" s="154" t="str">
        <f t="shared" si="198"/>
        <v>y</v>
      </c>
      <c r="RTV1" s="154" t="str">
        <f t="shared" si="198"/>
        <v>y</v>
      </c>
      <c r="RTW1" s="154" t="str">
        <f t="shared" si="198"/>
        <v>y</v>
      </c>
      <c r="RTX1" s="154" t="str">
        <f t="shared" si="198"/>
        <v>y</v>
      </c>
      <c r="RTY1" s="154" t="str">
        <f t="shared" si="198"/>
        <v>y</v>
      </c>
      <c r="RTZ1" s="154" t="str">
        <f t="shared" si="198"/>
        <v>y</v>
      </c>
      <c r="RUA1" s="154" t="str">
        <f t="shared" si="198"/>
        <v>y</v>
      </c>
      <c r="RUB1" s="154" t="str">
        <f t="shared" si="198"/>
        <v>y</v>
      </c>
      <c r="RUC1" s="154" t="str">
        <f t="shared" si="198"/>
        <v>y</v>
      </c>
      <c r="RUD1" s="154" t="str">
        <f t="shared" si="198"/>
        <v>y</v>
      </c>
      <c r="RUE1" s="154" t="str">
        <f t="shared" si="198"/>
        <v>y</v>
      </c>
      <c r="RUF1" s="154" t="str">
        <f t="shared" si="198"/>
        <v>y</v>
      </c>
      <c r="RUG1" s="154" t="str">
        <f t="shared" si="198"/>
        <v>y</v>
      </c>
      <c r="RUH1" s="154" t="str">
        <f t="shared" si="198"/>
        <v>y</v>
      </c>
      <c r="RUI1" s="154" t="str">
        <f t="shared" si="198"/>
        <v>y</v>
      </c>
      <c r="RUJ1" s="154" t="str">
        <f t="shared" si="198"/>
        <v>y</v>
      </c>
      <c r="RUK1" s="154" t="str">
        <f t="shared" si="198"/>
        <v>y</v>
      </c>
      <c r="RUL1" s="154" t="str">
        <f t="shared" si="198"/>
        <v>y</v>
      </c>
      <c r="RUM1" s="154" t="str">
        <f t="shared" si="198"/>
        <v>y</v>
      </c>
      <c r="RUN1" s="154" t="str">
        <f t="shared" si="198"/>
        <v>y</v>
      </c>
      <c r="RUO1" s="154" t="str">
        <f t="shared" si="198"/>
        <v>y</v>
      </c>
      <c r="RUP1" s="154" t="str">
        <f t="shared" si="198"/>
        <v>y</v>
      </c>
      <c r="RUQ1" s="154" t="str">
        <f t="shared" si="198"/>
        <v>y</v>
      </c>
      <c r="RUR1" s="154" t="str">
        <f t="shared" si="198"/>
        <v>y</v>
      </c>
      <c r="RUS1" s="154" t="str">
        <f t="shared" si="198"/>
        <v>y</v>
      </c>
      <c r="RUT1" s="154" t="str">
        <f t="shared" si="198"/>
        <v>y</v>
      </c>
      <c r="RUU1" s="154" t="str">
        <f t="shared" si="198"/>
        <v>y</v>
      </c>
      <c r="RUV1" s="154" t="str">
        <f t="shared" si="198"/>
        <v>y</v>
      </c>
      <c r="RUW1" s="154" t="str">
        <f t="shared" si="198"/>
        <v>y</v>
      </c>
      <c r="RUX1" s="154" t="str">
        <f t="shared" si="198"/>
        <v>y</v>
      </c>
      <c r="RUY1" s="154" t="str">
        <f t="shared" si="198"/>
        <v>y</v>
      </c>
      <c r="RUZ1" s="154" t="str">
        <f t="shared" si="198"/>
        <v>y</v>
      </c>
      <c r="RVA1" s="154" t="str">
        <f t="shared" si="198"/>
        <v>y</v>
      </c>
      <c r="RVB1" s="154" t="str">
        <f t="shared" ref="RVB1:RXM1" si="199">RVB2&amp;"y"</f>
        <v>y</v>
      </c>
      <c r="RVC1" s="154" t="str">
        <f t="shared" si="199"/>
        <v>y</v>
      </c>
      <c r="RVD1" s="154" t="str">
        <f t="shared" si="199"/>
        <v>y</v>
      </c>
      <c r="RVE1" s="154" t="str">
        <f t="shared" si="199"/>
        <v>y</v>
      </c>
      <c r="RVF1" s="154" t="str">
        <f t="shared" si="199"/>
        <v>y</v>
      </c>
      <c r="RVG1" s="154" t="str">
        <f t="shared" si="199"/>
        <v>y</v>
      </c>
      <c r="RVH1" s="154" t="str">
        <f t="shared" si="199"/>
        <v>y</v>
      </c>
      <c r="RVI1" s="154" t="str">
        <f t="shared" si="199"/>
        <v>y</v>
      </c>
      <c r="RVJ1" s="154" t="str">
        <f t="shared" si="199"/>
        <v>y</v>
      </c>
      <c r="RVK1" s="154" t="str">
        <f t="shared" si="199"/>
        <v>y</v>
      </c>
      <c r="RVL1" s="154" t="str">
        <f t="shared" si="199"/>
        <v>y</v>
      </c>
      <c r="RVM1" s="154" t="str">
        <f t="shared" si="199"/>
        <v>y</v>
      </c>
      <c r="RVN1" s="154" t="str">
        <f t="shared" si="199"/>
        <v>y</v>
      </c>
      <c r="RVO1" s="154" t="str">
        <f t="shared" si="199"/>
        <v>y</v>
      </c>
      <c r="RVP1" s="154" t="str">
        <f t="shared" si="199"/>
        <v>y</v>
      </c>
      <c r="RVQ1" s="154" t="str">
        <f t="shared" si="199"/>
        <v>y</v>
      </c>
      <c r="RVR1" s="154" t="str">
        <f t="shared" si="199"/>
        <v>y</v>
      </c>
      <c r="RVS1" s="154" t="str">
        <f t="shared" si="199"/>
        <v>y</v>
      </c>
      <c r="RVT1" s="154" t="str">
        <f t="shared" si="199"/>
        <v>y</v>
      </c>
      <c r="RVU1" s="154" t="str">
        <f t="shared" si="199"/>
        <v>y</v>
      </c>
      <c r="RVV1" s="154" t="str">
        <f t="shared" si="199"/>
        <v>y</v>
      </c>
      <c r="RVW1" s="154" t="str">
        <f t="shared" si="199"/>
        <v>y</v>
      </c>
      <c r="RVX1" s="154" t="str">
        <f t="shared" si="199"/>
        <v>y</v>
      </c>
      <c r="RVY1" s="154" t="str">
        <f t="shared" si="199"/>
        <v>y</v>
      </c>
      <c r="RVZ1" s="154" t="str">
        <f t="shared" si="199"/>
        <v>y</v>
      </c>
      <c r="RWA1" s="154" t="str">
        <f t="shared" si="199"/>
        <v>y</v>
      </c>
      <c r="RWB1" s="154" t="str">
        <f t="shared" si="199"/>
        <v>y</v>
      </c>
      <c r="RWC1" s="154" t="str">
        <f t="shared" si="199"/>
        <v>y</v>
      </c>
      <c r="RWD1" s="154" t="str">
        <f t="shared" si="199"/>
        <v>y</v>
      </c>
      <c r="RWE1" s="154" t="str">
        <f t="shared" si="199"/>
        <v>y</v>
      </c>
      <c r="RWF1" s="154" t="str">
        <f t="shared" si="199"/>
        <v>y</v>
      </c>
      <c r="RWG1" s="154" t="str">
        <f t="shared" si="199"/>
        <v>y</v>
      </c>
      <c r="RWH1" s="154" t="str">
        <f t="shared" si="199"/>
        <v>y</v>
      </c>
      <c r="RWI1" s="154" t="str">
        <f t="shared" si="199"/>
        <v>y</v>
      </c>
      <c r="RWJ1" s="154" t="str">
        <f t="shared" si="199"/>
        <v>y</v>
      </c>
      <c r="RWK1" s="154" t="str">
        <f t="shared" si="199"/>
        <v>y</v>
      </c>
      <c r="RWL1" s="154" t="str">
        <f t="shared" si="199"/>
        <v>y</v>
      </c>
      <c r="RWM1" s="154" t="str">
        <f t="shared" si="199"/>
        <v>y</v>
      </c>
      <c r="RWN1" s="154" t="str">
        <f t="shared" si="199"/>
        <v>y</v>
      </c>
      <c r="RWO1" s="154" t="str">
        <f t="shared" si="199"/>
        <v>y</v>
      </c>
      <c r="RWP1" s="154" t="str">
        <f t="shared" si="199"/>
        <v>y</v>
      </c>
      <c r="RWQ1" s="154" t="str">
        <f t="shared" si="199"/>
        <v>y</v>
      </c>
      <c r="RWR1" s="154" t="str">
        <f t="shared" si="199"/>
        <v>y</v>
      </c>
      <c r="RWS1" s="154" t="str">
        <f t="shared" si="199"/>
        <v>y</v>
      </c>
      <c r="RWT1" s="154" t="str">
        <f t="shared" si="199"/>
        <v>y</v>
      </c>
      <c r="RWU1" s="154" t="str">
        <f t="shared" si="199"/>
        <v>y</v>
      </c>
      <c r="RWV1" s="154" t="str">
        <f t="shared" si="199"/>
        <v>y</v>
      </c>
      <c r="RWW1" s="154" t="str">
        <f t="shared" si="199"/>
        <v>y</v>
      </c>
      <c r="RWX1" s="154" t="str">
        <f t="shared" si="199"/>
        <v>y</v>
      </c>
      <c r="RWY1" s="154" t="str">
        <f t="shared" si="199"/>
        <v>y</v>
      </c>
      <c r="RWZ1" s="154" t="str">
        <f t="shared" si="199"/>
        <v>y</v>
      </c>
      <c r="RXA1" s="154" t="str">
        <f t="shared" si="199"/>
        <v>y</v>
      </c>
      <c r="RXB1" s="154" t="str">
        <f t="shared" si="199"/>
        <v>y</v>
      </c>
      <c r="RXC1" s="154" t="str">
        <f t="shared" si="199"/>
        <v>y</v>
      </c>
      <c r="RXD1" s="154" t="str">
        <f t="shared" si="199"/>
        <v>y</v>
      </c>
      <c r="RXE1" s="154" t="str">
        <f t="shared" si="199"/>
        <v>y</v>
      </c>
      <c r="RXF1" s="154" t="str">
        <f t="shared" si="199"/>
        <v>y</v>
      </c>
      <c r="RXG1" s="154" t="str">
        <f t="shared" si="199"/>
        <v>y</v>
      </c>
      <c r="RXH1" s="154" t="str">
        <f t="shared" si="199"/>
        <v>y</v>
      </c>
      <c r="RXI1" s="154" t="str">
        <f t="shared" si="199"/>
        <v>y</v>
      </c>
      <c r="RXJ1" s="154" t="str">
        <f t="shared" si="199"/>
        <v>y</v>
      </c>
      <c r="RXK1" s="154" t="str">
        <f t="shared" si="199"/>
        <v>y</v>
      </c>
      <c r="RXL1" s="154" t="str">
        <f t="shared" si="199"/>
        <v>y</v>
      </c>
      <c r="RXM1" s="154" t="str">
        <f t="shared" si="199"/>
        <v>y</v>
      </c>
      <c r="RXN1" s="154" t="str">
        <f t="shared" ref="RXN1:RZY1" si="200">RXN2&amp;"y"</f>
        <v>y</v>
      </c>
      <c r="RXO1" s="154" t="str">
        <f t="shared" si="200"/>
        <v>y</v>
      </c>
      <c r="RXP1" s="154" t="str">
        <f t="shared" si="200"/>
        <v>y</v>
      </c>
      <c r="RXQ1" s="154" t="str">
        <f t="shared" si="200"/>
        <v>y</v>
      </c>
      <c r="RXR1" s="154" t="str">
        <f t="shared" si="200"/>
        <v>y</v>
      </c>
      <c r="RXS1" s="154" t="str">
        <f t="shared" si="200"/>
        <v>y</v>
      </c>
      <c r="RXT1" s="154" t="str">
        <f t="shared" si="200"/>
        <v>y</v>
      </c>
      <c r="RXU1" s="154" t="str">
        <f t="shared" si="200"/>
        <v>y</v>
      </c>
      <c r="RXV1" s="154" t="str">
        <f t="shared" si="200"/>
        <v>y</v>
      </c>
      <c r="RXW1" s="154" t="str">
        <f t="shared" si="200"/>
        <v>y</v>
      </c>
      <c r="RXX1" s="154" t="str">
        <f t="shared" si="200"/>
        <v>y</v>
      </c>
      <c r="RXY1" s="154" t="str">
        <f t="shared" si="200"/>
        <v>y</v>
      </c>
      <c r="RXZ1" s="154" t="str">
        <f t="shared" si="200"/>
        <v>y</v>
      </c>
      <c r="RYA1" s="154" t="str">
        <f t="shared" si="200"/>
        <v>y</v>
      </c>
      <c r="RYB1" s="154" t="str">
        <f t="shared" si="200"/>
        <v>y</v>
      </c>
      <c r="RYC1" s="154" t="str">
        <f t="shared" si="200"/>
        <v>y</v>
      </c>
      <c r="RYD1" s="154" t="str">
        <f t="shared" si="200"/>
        <v>y</v>
      </c>
      <c r="RYE1" s="154" t="str">
        <f t="shared" si="200"/>
        <v>y</v>
      </c>
      <c r="RYF1" s="154" t="str">
        <f t="shared" si="200"/>
        <v>y</v>
      </c>
      <c r="RYG1" s="154" t="str">
        <f t="shared" si="200"/>
        <v>y</v>
      </c>
      <c r="RYH1" s="154" t="str">
        <f t="shared" si="200"/>
        <v>y</v>
      </c>
      <c r="RYI1" s="154" t="str">
        <f t="shared" si="200"/>
        <v>y</v>
      </c>
      <c r="RYJ1" s="154" t="str">
        <f t="shared" si="200"/>
        <v>y</v>
      </c>
      <c r="RYK1" s="154" t="str">
        <f t="shared" si="200"/>
        <v>y</v>
      </c>
      <c r="RYL1" s="154" t="str">
        <f t="shared" si="200"/>
        <v>y</v>
      </c>
      <c r="RYM1" s="154" t="str">
        <f t="shared" si="200"/>
        <v>y</v>
      </c>
      <c r="RYN1" s="154" t="str">
        <f t="shared" si="200"/>
        <v>y</v>
      </c>
      <c r="RYO1" s="154" t="str">
        <f t="shared" si="200"/>
        <v>y</v>
      </c>
      <c r="RYP1" s="154" t="str">
        <f t="shared" si="200"/>
        <v>y</v>
      </c>
      <c r="RYQ1" s="154" t="str">
        <f t="shared" si="200"/>
        <v>y</v>
      </c>
      <c r="RYR1" s="154" t="str">
        <f t="shared" si="200"/>
        <v>y</v>
      </c>
      <c r="RYS1" s="154" t="str">
        <f t="shared" si="200"/>
        <v>y</v>
      </c>
      <c r="RYT1" s="154" t="str">
        <f t="shared" si="200"/>
        <v>y</v>
      </c>
      <c r="RYU1" s="154" t="str">
        <f t="shared" si="200"/>
        <v>y</v>
      </c>
      <c r="RYV1" s="154" t="str">
        <f t="shared" si="200"/>
        <v>y</v>
      </c>
      <c r="RYW1" s="154" t="str">
        <f t="shared" si="200"/>
        <v>y</v>
      </c>
      <c r="RYX1" s="154" t="str">
        <f t="shared" si="200"/>
        <v>y</v>
      </c>
      <c r="RYY1" s="154" t="str">
        <f t="shared" si="200"/>
        <v>y</v>
      </c>
      <c r="RYZ1" s="154" t="str">
        <f t="shared" si="200"/>
        <v>y</v>
      </c>
      <c r="RZA1" s="154" t="str">
        <f t="shared" si="200"/>
        <v>y</v>
      </c>
      <c r="RZB1" s="154" t="str">
        <f t="shared" si="200"/>
        <v>y</v>
      </c>
      <c r="RZC1" s="154" t="str">
        <f t="shared" si="200"/>
        <v>y</v>
      </c>
      <c r="RZD1" s="154" t="str">
        <f t="shared" si="200"/>
        <v>y</v>
      </c>
      <c r="RZE1" s="154" t="str">
        <f t="shared" si="200"/>
        <v>y</v>
      </c>
      <c r="RZF1" s="154" t="str">
        <f t="shared" si="200"/>
        <v>y</v>
      </c>
      <c r="RZG1" s="154" t="str">
        <f t="shared" si="200"/>
        <v>y</v>
      </c>
      <c r="RZH1" s="154" t="str">
        <f t="shared" si="200"/>
        <v>y</v>
      </c>
      <c r="RZI1" s="154" t="str">
        <f t="shared" si="200"/>
        <v>y</v>
      </c>
      <c r="RZJ1" s="154" t="str">
        <f t="shared" si="200"/>
        <v>y</v>
      </c>
      <c r="RZK1" s="154" t="str">
        <f t="shared" si="200"/>
        <v>y</v>
      </c>
      <c r="RZL1" s="154" t="str">
        <f t="shared" si="200"/>
        <v>y</v>
      </c>
      <c r="RZM1" s="154" t="str">
        <f t="shared" si="200"/>
        <v>y</v>
      </c>
      <c r="RZN1" s="154" t="str">
        <f t="shared" si="200"/>
        <v>y</v>
      </c>
      <c r="RZO1" s="154" t="str">
        <f t="shared" si="200"/>
        <v>y</v>
      </c>
      <c r="RZP1" s="154" t="str">
        <f t="shared" si="200"/>
        <v>y</v>
      </c>
      <c r="RZQ1" s="154" t="str">
        <f t="shared" si="200"/>
        <v>y</v>
      </c>
      <c r="RZR1" s="154" t="str">
        <f t="shared" si="200"/>
        <v>y</v>
      </c>
      <c r="RZS1" s="154" t="str">
        <f t="shared" si="200"/>
        <v>y</v>
      </c>
      <c r="RZT1" s="154" t="str">
        <f t="shared" si="200"/>
        <v>y</v>
      </c>
      <c r="RZU1" s="154" t="str">
        <f t="shared" si="200"/>
        <v>y</v>
      </c>
      <c r="RZV1" s="154" t="str">
        <f t="shared" si="200"/>
        <v>y</v>
      </c>
      <c r="RZW1" s="154" t="str">
        <f t="shared" si="200"/>
        <v>y</v>
      </c>
      <c r="RZX1" s="154" t="str">
        <f t="shared" si="200"/>
        <v>y</v>
      </c>
      <c r="RZY1" s="154" t="str">
        <f t="shared" si="200"/>
        <v>y</v>
      </c>
      <c r="RZZ1" s="154" t="str">
        <f t="shared" ref="RZZ1:SCK1" si="201">RZZ2&amp;"y"</f>
        <v>y</v>
      </c>
      <c r="SAA1" s="154" t="str">
        <f t="shared" si="201"/>
        <v>y</v>
      </c>
      <c r="SAB1" s="154" t="str">
        <f t="shared" si="201"/>
        <v>y</v>
      </c>
      <c r="SAC1" s="154" t="str">
        <f t="shared" si="201"/>
        <v>y</v>
      </c>
      <c r="SAD1" s="154" t="str">
        <f t="shared" si="201"/>
        <v>y</v>
      </c>
      <c r="SAE1" s="154" t="str">
        <f t="shared" si="201"/>
        <v>y</v>
      </c>
      <c r="SAF1" s="154" t="str">
        <f t="shared" si="201"/>
        <v>y</v>
      </c>
      <c r="SAG1" s="154" t="str">
        <f t="shared" si="201"/>
        <v>y</v>
      </c>
      <c r="SAH1" s="154" t="str">
        <f t="shared" si="201"/>
        <v>y</v>
      </c>
      <c r="SAI1" s="154" t="str">
        <f t="shared" si="201"/>
        <v>y</v>
      </c>
      <c r="SAJ1" s="154" t="str">
        <f t="shared" si="201"/>
        <v>y</v>
      </c>
      <c r="SAK1" s="154" t="str">
        <f t="shared" si="201"/>
        <v>y</v>
      </c>
      <c r="SAL1" s="154" t="str">
        <f t="shared" si="201"/>
        <v>y</v>
      </c>
      <c r="SAM1" s="154" t="str">
        <f t="shared" si="201"/>
        <v>y</v>
      </c>
      <c r="SAN1" s="154" t="str">
        <f t="shared" si="201"/>
        <v>y</v>
      </c>
      <c r="SAO1" s="154" t="str">
        <f t="shared" si="201"/>
        <v>y</v>
      </c>
      <c r="SAP1" s="154" t="str">
        <f t="shared" si="201"/>
        <v>y</v>
      </c>
      <c r="SAQ1" s="154" t="str">
        <f t="shared" si="201"/>
        <v>y</v>
      </c>
      <c r="SAR1" s="154" t="str">
        <f t="shared" si="201"/>
        <v>y</v>
      </c>
      <c r="SAS1" s="154" t="str">
        <f t="shared" si="201"/>
        <v>y</v>
      </c>
      <c r="SAT1" s="154" t="str">
        <f t="shared" si="201"/>
        <v>y</v>
      </c>
      <c r="SAU1" s="154" t="str">
        <f t="shared" si="201"/>
        <v>y</v>
      </c>
      <c r="SAV1" s="154" t="str">
        <f t="shared" si="201"/>
        <v>y</v>
      </c>
      <c r="SAW1" s="154" t="str">
        <f t="shared" si="201"/>
        <v>y</v>
      </c>
      <c r="SAX1" s="154" t="str">
        <f t="shared" si="201"/>
        <v>y</v>
      </c>
      <c r="SAY1" s="154" t="str">
        <f t="shared" si="201"/>
        <v>y</v>
      </c>
      <c r="SAZ1" s="154" t="str">
        <f t="shared" si="201"/>
        <v>y</v>
      </c>
      <c r="SBA1" s="154" t="str">
        <f t="shared" si="201"/>
        <v>y</v>
      </c>
      <c r="SBB1" s="154" t="str">
        <f t="shared" si="201"/>
        <v>y</v>
      </c>
      <c r="SBC1" s="154" t="str">
        <f t="shared" si="201"/>
        <v>y</v>
      </c>
      <c r="SBD1" s="154" t="str">
        <f t="shared" si="201"/>
        <v>y</v>
      </c>
      <c r="SBE1" s="154" t="str">
        <f t="shared" si="201"/>
        <v>y</v>
      </c>
      <c r="SBF1" s="154" t="str">
        <f t="shared" si="201"/>
        <v>y</v>
      </c>
      <c r="SBG1" s="154" t="str">
        <f t="shared" si="201"/>
        <v>y</v>
      </c>
      <c r="SBH1" s="154" t="str">
        <f t="shared" si="201"/>
        <v>y</v>
      </c>
      <c r="SBI1" s="154" t="str">
        <f t="shared" si="201"/>
        <v>y</v>
      </c>
      <c r="SBJ1" s="154" t="str">
        <f t="shared" si="201"/>
        <v>y</v>
      </c>
      <c r="SBK1" s="154" t="str">
        <f t="shared" si="201"/>
        <v>y</v>
      </c>
      <c r="SBL1" s="154" t="str">
        <f t="shared" si="201"/>
        <v>y</v>
      </c>
      <c r="SBM1" s="154" t="str">
        <f t="shared" si="201"/>
        <v>y</v>
      </c>
      <c r="SBN1" s="154" t="str">
        <f t="shared" si="201"/>
        <v>y</v>
      </c>
      <c r="SBO1" s="154" t="str">
        <f t="shared" si="201"/>
        <v>y</v>
      </c>
      <c r="SBP1" s="154" t="str">
        <f t="shared" si="201"/>
        <v>y</v>
      </c>
      <c r="SBQ1" s="154" t="str">
        <f t="shared" si="201"/>
        <v>y</v>
      </c>
      <c r="SBR1" s="154" t="str">
        <f t="shared" si="201"/>
        <v>y</v>
      </c>
      <c r="SBS1" s="154" t="str">
        <f t="shared" si="201"/>
        <v>y</v>
      </c>
      <c r="SBT1" s="154" t="str">
        <f t="shared" si="201"/>
        <v>y</v>
      </c>
      <c r="SBU1" s="154" t="str">
        <f t="shared" si="201"/>
        <v>y</v>
      </c>
      <c r="SBV1" s="154" t="str">
        <f t="shared" si="201"/>
        <v>y</v>
      </c>
      <c r="SBW1" s="154" t="str">
        <f t="shared" si="201"/>
        <v>y</v>
      </c>
      <c r="SBX1" s="154" t="str">
        <f t="shared" si="201"/>
        <v>y</v>
      </c>
      <c r="SBY1" s="154" t="str">
        <f t="shared" si="201"/>
        <v>y</v>
      </c>
      <c r="SBZ1" s="154" t="str">
        <f t="shared" si="201"/>
        <v>y</v>
      </c>
      <c r="SCA1" s="154" t="str">
        <f t="shared" si="201"/>
        <v>y</v>
      </c>
      <c r="SCB1" s="154" t="str">
        <f t="shared" si="201"/>
        <v>y</v>
      </c>
      <c r="SCC1" s="154" t="str">
        <f t="shared" si="201"/>
        <v>y</v>
      </c>
      <c r="SCD1" s="154" t="str">
        <f t="shared" si="201"/>
        <v>y</v>
      </c>
      <c r="SCE1" s="154" t="str">
        <f t="shared" si="201"/>
        <v>y</v>
      </c>
      <c r="SCF1" s="154" t="str">
        <f t="shared" si="201"/>
        <v>y</v>
      </c>
      <c r="SCG1" s="154" t="str">
        <f t="shared" si="201"/>
        <v>y</v>
      </c>
      <c r="SCH1" s="154" t="str">
        <f t="shared" si="201"/>
        <v>y</v>
      </c>
      <c r="SCI1" s="154" t="str">
        <f t="shared" si="201"/>
        <v>y</v>
      </c>
      <c r="SCJ1" s="154" t="str">
        <f t="shared" si="201"/>
        <v>y</v>
      </c>
      <c r="SCK1" s="154" t="str">
        <f t="shared" si="201"/>
        <v>y</v>
      </c>
      <c r="SCL1" s="154" t="str">
        <f t="shared" ref="SCL1:SEW1" si="202">SCL2&amp;"y"</f>
        <v>y</v>
      </c>
      <c r="SCM1" s="154" t="str">
        <f t="shared" si="202"/>
        <v>y</v>
      </c>
      <c r="SCN1" s="154" t="str">
        <f t="shared" si="202"/>
        <v>y</v>
      </c>
      <c r="SCO1" s="154" t="str">
        <f t="shared" si="202"/>
        <v>y</v>
      </c>
      <c r="SCP1" s="154" t="str">
        <f t="shared" si="202"/>
        <v>y</v>
      </c>
      <c r="SCQ1" s="154" t="str">
        <f t="shared" si="202"/>
        <v>y</v>
      </c>
      <c r="SCR1" s="154" t="str">
        <f t="shared" si="202"/>
        <v>y</v>
      </c>
      <c r="SCS1" s="154" t="str">
        <f t="shared" si="202"/>
        <v>y</v>
      </c>
      <c r="SCT1" s="154" t="str">
        <f t="shared" si="202"/>
        <v>y</v>
      </c>
      <c r="SCU1" s="154" t="str">
        <f t="shared" si="202"/>
        <v>y</v>
      </c>
      <c r="SCV1" s="154" t="str">
        <f t="shared" si="202"/>
        <v>y</v>
      </c>
      <c r="SCW1" s="154" t="str">
        <f t="shared" si="202"/>
        <v>y</v>
      </c>
      <c r="SCX1" s="154" t="str">
        <f t="shared" si="202"/>
        <v>y</v>
      </c>
      <c r="SCY1" s="154" t="str">
        <f t="shared" si="202"/>
        <v>y</v>
      </c>
      <c r="SCZ1" s="154" t="str">
        <f t="shared" si="202"/>
        <v>y</v>
      </c>
      <c r="SDA1" s="154" t="str">
        <f t="shared" si="202"/>
        <v>y</v>
      </c>
      <c r="SDB1" s="154" t="str">
        <f t="shared" si="202"/>
        <v>y</v>
      </c>
      <c r="SDC1" s="154" t="str">
        <f t="shared" si="202"/>
        <v>y</v>
      </c>
      <c r="SDD1" s="154" t="str">
        <f t="shared" si="202"/>
        <v>y</v>
      </c>
      <c r="SDE1" s="154" t="str">
        <f t="shared" si="202"/>
        <v>y</v>
      </c>
      <c r="SDF1" s="154" t="str">
        <f t="shared" si="202"/>
        <v>y</v>
      </c>
      <c r="SDG1" s="154" t="str">
        <f t="shared" si="202"/>
        <v>y</v>
      </c>
      <c r="SDH1" s="154" t="str">
        <f t="shared" si="202"/>
        <v>y</v>
      </c>
      <c r="SDI1" s="154" t="str">
        <f t="shared" si="202"/>
        <v>y</v>
      </c>
      <c r="SDJ1" s="154" t="str">
        <f t="shared" si="202"/>
        <v>y</v>
      </c>
      <c r="SDK1" s="154" t="str">
        <f t="shared" si="202"/>
        <v>y</v>
      </c>
      <c r="SDL1" s="154" t="str">
        <f t="shared" si="202"/>
        <v>y</v>
      </c>
      <c r="SDM1" s="154" t="str">
        <f t="shared" si="202"/>
        <v>y</v>
      </c>
      <c r="SDN1" s="154" t="str">
        <f t="shared" si="202"/>
        <v>y</v>
      </c>
      <c r="SDO1" s="154" t="str">
        <f t="shared" si="202"/>
        <v>y</v>
      </c>
      <c r="SDP1" s="154" t="str">
        <f t="shared" si="202"/>
        <v>y</v>
      </c>
      <c r="SDQ1" s="154" t="str">
        <f t="shared" si="202"/>
        <v>y</v>
      </c>
      <c r="SDR1" s="154" t="str">
        <f t="shared" si="202"/>
        <v>y</v>
      </c>
      <c r="SDS1" s="154" t="str">
        <f t="shared" si="202"/>
        <v>y</v>
      </c>
      <c r="SDT1" s="154" t="str">
        <f t="shared" si="202"/>
        <v>y</v>
      </c>
      <c r="SDU1" s="154" t="str">
        <f t="shared" si="202"/>
        <v>y</v>
      </c>
      <c r="SDV1" s="154" t="str">
        <f t="shared" si="202"/>
        <v>y</v>
      </c>
      <c r="SDW1" s="154" t="str">
        <f t="shared" si="202"/>
        <v>y</v>
      </c>
      <c r="SDX1" s="154" t="str">
        <f t="shared" si="202"/>
        <v>y</v>
      </c>
      <c r="SDY1" s="154" t="str">
        <f t="shared" si="202"/>
        <v>y</v>
      </c>
      <c r="SDZ1" s="154" t="str">
        <f t="shared" si="202"/>
        <v>y</v>
      </c>
      <c r="SEA1" s="154" t="str">
        <f t="shared" si="202"/>
        <v>y</v>
      </c>
      <c r="SEB1" s="154" t="str">
        <f t="shared" si="202"/>
        <v>y</v>
      </c>
      <c r="SEC1" s="154" t="str">
        <f t="shared" si="202"/>
        <v>y</v>
      </c>
      <c r="SED1" s="154" t="str">
        <f t="shared" si="202"/>
        <v>y</v>
      </c>
      <c r="SEE1" s="154" t="str">
        <f t="shared" si="202"/>
        <v>y</v>
      </c>
      <c r="SEF1" s="154" t="str">
        <f t="shared" si="202"/>
        <v>y</v>
      </c>
      <c r="SEG1" s="154" t="str">
        <f t="shared" si="202"/>
        <v>y</v>
      </c>
      <c r="SEH1" s="154" t="str">
        <f t="shared" si="202"/>
        <v>y</v>
      </c>
      <c r="SEI1" s="154" t="str">
        <f t="shared" si="202"/>
        <v>y</v>
      </c>
      <c r="SEJ1" s="154" t="str">
        <f t="shared" si="202"/>
        <v>y</v>
      </c>
      <c r="SEK1" s="154" t="str">
        <f t="shared" si="202"/>
        <v>y</v>
      </c>
      <c r="SEL1" s="154" t="str">
        <f t="shared" si="202"/>
        <v>y</v>
      </c>
      <c r="SEM1" s="154" t="str">
        <f t="shared" si="202"/>
        <v>y</v>
      </c>
      <c r="SEN1" s="154" t="str">
        <f t="shared" si="202"/>
        <v>y</v>
      </c>
      <c r="SEO1" s="154" t="str">
        <f t="shared" si="202"/>
        <v>y</v>
      </c>
      <c r="SEP1" s="154" t="str">
        <f t="shared" si="202"/>
        <v>y</v>
      </c>
      <c r="SEQ1" s="154" t="str">
        <f t="shared" si="202"/>
        <v>y</v>
      </c>
      <c r="SER1" s="154" t="str">
        <f t="shared" si="202"/>
        <v>y</v>
      </c>
      <c r="SES1" s="154" t="str">
        <f t="shared" si="202"/>
        <v>y</v>
      </c>
      <c r="SET1" s="154" t="str">
        <f t="shared" si="202"/>
        <v>y</v>
      </c>
      <c r="SEU1" s="154" t="str">
        <f t="shared" si="202"/>
        <v>y</v>
      </c>
      <c r="SEV1" s="154" t="str">
        <f t="shared" si="202"/>
        <v>y</v>
      </c>
      <c r="SEW1" s="154" t="str">
        <f t="shared" si="202"/>
        <v>y</v>
      </c>
      <c r="SEX1" s="154" t="str">
        <f t="shared" ref="SEX1:SHI1" si="203">SEX2&amp;"y"</f>
        <v>y</v>
      </c>
      <c r="SEY1" s="154" t="str">
        <f t="shared" si="203"/>
        <v>y</v>
      </c>
      <c r="SEZ1" s="154" t="str">
        <f t="shared" si="203"/>
        <v>y</v>
      </c>
      <c r="SFA1" s="154" t="str">
        <f t="shared" si="203"/>
        <v>y</v>
      </c>
      <c r="SFB1" s="154" t="str">
        <f t="shared" si="203"/>
        <v>y</v>
      </c>
      <c r="SFC1" s="154" t="str">
        <f t="shared" si="203"/>
        <v>y</v>
      </c>
      <c r="SFD1" s="154" t="str">
        <f t="shared" si="203"/>
        <v>y</v>
      </c>
      <c r="SFE1" s="154" t="str">
        <f t="shared" si="203"/>
        <v>y</v>
      </c>
      <c r="SFF1" s="154" t="str">
        <f t="shared" si="203"/>
        <v>y</v>
      </c>
      <c r="SFG1" s="154" t="str">
        <f t="shared" si="203"/>
        <v>y</v>
      </c>
      <c r="SFH1" s="154" t="str">
        <f t="shared" si="203"/>
        <v>y</v>
      </c>
      <c r="SFI1" s="154" t="str">
        <f t="shared" si="203"/>
        <v>y</v>
      </c>
      <c r="SFJ1" s="154" t="str">
        <f t="shared" si="203"/>
        <v>y</v>
      </c>
      <c r="SFK1" s="154" t="str">
        <f t="shared" si="203"/>
        <v>y</v>
      </c>
      <c r="SFL1" s="154" t="str">
        <f t="shared" si="203"/>
        <v>y</v>
      </c>
      <c r="SFM1" s="154" t="str">
        <f t="shared" si="203"/>
        <v>y</v>
      </c>
      <c r="SFN1" s="154" t="str">
        <f t="shared" si="203"/>
        <v>y</v>
      </c>
      <c r="SFO1" s="154" t="str">
        <f t="shared" si="203"/>
        <v>y</v>
      </c>
      <c r="SFP1" s="154" t="str">
        <f t="shared" si="203"/>
        <v>y</v>
      </c>
      <c r="SFQ1" s="154" t="str">
        <f t="shared" si="203"/>
        <v>y</v>
      </c>
      <c r="SFR1" s="154" t="str">
        <f t="shared" si="203"/>
        <v>y</v>
      </c>
      <c r="SFS1" s="154" t="str">
        <f t="shared" si="203"/>
        <v>y</v>
      </c>
      <c r="SFT1" s="154" t="str">
        <f t="shared" si="203"/>
        <v>y</v>
      </c>
      <c r="SFU1" s="154" t="str">
        <f t="shared" si="203"/>
        <v>y</v>
      </c>
      <c r="SFV1" s="154" t="str">
        <f t="shared" si="203"/>
        <v>y</v>
      </c>
      <c r="SFW1" s="154" t="str">
        <f t="shared" si="203"/>
        <v>y</v>
      </c>
      <c r="SFX1" s="154" t="str">
        <f t="shared" si="203"/>
        <v>y</v>
      </c>
      <c r="SFY1" s="154" t="str">
        <f t="shared" si="203"/>
        <v>y</v>
      </c>
      <c r="SFZ1" s="154" t="str">
        <f t="shared" si="203"/>
        <v>y</v>
      </c>
      <c r="SGA1" s="154" t="str">
        <f t="shared" si="203"/>
        <v>y</v>
      </c>
      <c r="SGB1" s="154" t="str">
        <f t="shared" si="203"/>
        <v>y</v>
      </c>
      <c r="SGC1" s="154" t="str">
        <f t="shared" si="203"/>
        <v>y</v>
      </c>
      <c r="SGD1" s="154" t="str">
        <f t="shared" si="203"/>
        <v>y</v>
      </c>
      <c r="SGE1" s="154" t="str">
        <f t="shared" si="203"/>
        <v>y</v>
      </c>
      <c r="SGF1" s="154" t="str">
        <f t="shared" si="203"/>
        <v>y</v>
      </c>
      <c r="SGG1" s="154" t="str">
        <f t="shared" si="203"/>
        <v>y</v>
      </c>
      <c r="SGH1" s="154" t="str">
        <f t="shared" si="203"/>
        <v>y</v>
      </c>
      <c r="SGI1" s="154" t="str">
        <f t="shared" si="203"/>
        <v>y</v>
      </c>
      <c r="SGJ1" s="154" t="str">
        <f t="shared" si="203"/>
        <v>y</v>
      </c>
      <c r="SGK1" s="154" t="str">
        <f t="shared" si="203"/>
        <v>y</v>
      </c>
      <c r="SGL1" s="154" t="str">
        <f t="shared" si="203"/>
        <v>y</v>
      </c>
      <c r="SGM1" s="154" t="str">
        <f t="shared" si="203"/>
        <v>y</v>
      </c>
      <c r="SGN1" s="154" t="str">
        <f t="shared" si="203"/>
        <v>y</v>
      </c>
      <c r="SGO1" s="154" t="str">
        <f t="shared" si="203"/>
        <v>y</v>
      </c>
      <c r="SGP1" s="154" t="str">
        <f t="shared" si="203"/>
        <v>y</v>
      </c>
      <c r="SGQ1" s="154" t="str">
        <f t="shared" si="203"/>
        <v>y</v>
      </c>
      <c r="SGR1" s="154" t="str">
        <f t="shared" si="203"/>
        <v>y</v>
      </c>
      <c r="SGS1" s="154" t="str">
        <f t="shared" si="203"/>
        <v>y</v>
      </c>
      <c r="SGT1" s="154" t="str">
        <f t="shared" si="203"/>
        <v>y</v>
      </c>
      <c r="SGU1" s="154" t="str">
        <f t="shared" si="203"/>
        <v>y</v>
      </c>
      <c r="SGV1" s="154" t="str">
        <f t="shared" si="203"/>
        <v>y</v>
      </c>
      <c r="SGW1" s="154" t="str">
        <f t="shared" si="203"/>
        <v>y</v>
      </c>
      <c r="SGX1" s="154" t="str">
        <f t="shared" si="203"/>
        <v>y</v>
      </c>
      <c r="SGY1" s="154" t="str">
        <f t="shared" si="203"/>
        <v>y</v>
      </c>
      <c r="SGZ1" s="154" t="str">
        <f t="shared" si="203"/>
        <v>y</v>
      </c>
      <c r="SHA1" s="154" t="str">
        <f t="shared" si="203"/>
        <v>y</v>
      </c>
      <c r="SHB1" s="154" t="str">
        <f t="shared" si="203"/>
        <v>y</v>
      </c>
      <c r="SHC1" s="154" t="str">
        <f t="shared" si="203"/>
        <v>y</v>
      </c>
      <c r="SHD1" s="154" t="str">
        <f t="shared" si="203"/>
        <v>y</v>
      </c>
      <c r="SHE1" s="154" t="str">
        <f t="shared" si="203"/>
        <v>y</v>
      </c>
      <c r="SHF1" s="154" t="str">
        <f t="shared" si="203"/>
        <v>y</v>
      </c>
      <c r="SHG1" s="154" t="str">
        <f t="shared" si="203"/>
        <v>y</v>
      </c>
      <c r="SHH1" s="154" t="str">
        <f t="shared" si="203"/>
        <v>y</v>
      </c>
      <c r="SHI1" s="154" t="str">
        <f t="shared" si="203"/>
        <v>y</v>
      </c>
      <c r="SHJ1" s="154" t="str">
        <f t="shared" ref="SHJ1:SJU1" si="204">SHJ2&amp;"y"</f>
        <v>y</v>
      </c>
      <c r="SHK1" s="154" t="str">
        <f t="shared" si="204"/>
        <v>y</v>
      </c>
      <c r="SHL1" s="154" t="str">
        <f t="shared" si="204"/>
        <v>y</v>
      </c>
      <c r="SHM1" s="154" t="str">
        <f t="shared" si="204"/>
        <v>y</v>
      </c>
      <c r="SHN1" s="154" t="str">
        <f t="shared" si="204"/>
        <v>y</v>
      </c>
      <c r="SHO1" s="154" t="str">
        <f t="shared" si="204"/>
        <v>y</v>
      </c>
      <c r="SHP1" s="154" t="str">
        <f t="shared" si="204"/>
        <v>y</v>
      </c>
      <c r="SHQ1" s="154" t="str">
        <f t="shared" si="204"/>
        <v>y</v>
      </c>
      <c r="SHR1" s="154" t="str">
        <f t="shared" si="204"/>
        <v>y</v>
      </c>
      <c r="SHS1" s="154" t="str">
        <f t="shared" si="204"/>
        <v>y</v>
      </c>
      <c r="SHT1" s="154" t="str">
        <f t="shared" si="204"/>
        <v>y</v>
      </c>
      <c r="SHU1" s="154" t="str">
        <f t="shared" si="204"/>
        <v>y</v>
      </c>
      <c r="SHV1" s="154" t="str">
        <f t="shared" si="204"/>
        <v>y</v>
      </c>
      <c r="SHW1" s="154" t="str">
        <f t="shared" si="204"/>
        <v>y</v>
      </c>
      <c r="SHX1" s="154" t="str">
        <f t="shared" si="204"/>
        <v>y</v>
      </c>
      <c r="SHY1" s="154" t="str">
        <f t="shared" si="204"/>
        <v>y</v>
      </c>
      <c r="SHZ1" s="154" t="str">
        <f t="shared" si="204"/>
        <v>y</v>
      </c>
      <c r="SIA1" s="154" t="str">
        <f t="shared" si="204"/>
        <v>y</v>
      </c>
      <c r="SIB1" s="154" t="str">
        <f t="shared" si="204"/>
        <v>y</v>
      </c>
      <c r="SIC1" s="154" t="str">
        <f t="shared" si="204"/>
        <v>y</v>
      </c>
      <c r="SID1" s="154" t="str">
        <f t="shared" si="204"/>
        <v>y</v>
      </c>
      <c r="SIE1" s="154" t="str">
        <f t="shared" si="204"/>
        <v>y</v>
      </c>
      <c r="SIF1" s="154" t="str">
        <f t="shared" si="204"/>
        <v>y</v>
      </c>
      <c r="SIG1" s="154" t="str">
        <f t="shared" si="204"/>
        <v>y</v>
      </c>
      <c r="SIH1" s="154" t="str">
        <f t="shared" si="204"/>
        <v>y</v>
      </c>
      <c r="SII1" s="154" t="str">
        <f t="shared" si="204"/>
        <v>y</v>
      </c>
      <c r="SIJ1" s="154" t="str">
        <f t="shared" si="204"/>
        <v>y</v>
      </c>
      <c r="SIK1" s="154" t="str">
        <f t="shared" si="204"/>
        <v>y</v>
      </c>
      <c r="SIL1" s="154" t="str">
        <f t="shared" si="204"/>
        <v>y</v>
      </c>
      <c r="SIM1" s="154" t="str">
        <f t="shared" si="204"/>
        <v>y</v>
      </c>
      <c r="SIN1" s="154" t="str">
        <f t="shared" si="204"/>
        <v>y</v>
      </c>
      <c r="SIO1" s="154" t="str">
        <f t="shared" si="204"/>
        <v>y</v>
      </c>
      <c r="SIP1" s="154" t="str">
        <f t="shared" si="204"/>
        <v>y</v>
      </c>
      <c r="SIQ1" s="154" t="str">
        <f t="shared" si="204"/>
        <v>y</v>
      </c>
      <c r="SIR1" s="154" t="str">
        <f t="shared" si="204"/>
        <v>y</v>
      </c>
      <c r="SIS1" s="154" t="str">
        <f t="shared" si="204"/>
        <v>y</v>
      </c>
      <c r="SIT1" s="154" t="str">
        <f t="shared" si="204"/>
        <v>y</v>
      </c>
      <c r="SIU1" s="154" t="str">
        <f t="shared" si="204"/>
        <v>y</v>
      </c>
      <c r="SIV1" s="154" t="str">
        <f t="shared" si="204"/>
        <v>y</v>
      </c>
      <c r="SIW1" s="154" t="str">
        <f t="shared" si="204"/>
        <v>y</v>
      </c>
      <c r="SIX1" s="154" t="str">
        <f t="shared" si="204"/>
        <v>y</v>
      </c>
      <c r="SIY1" s="154" t="str">
        <f t="shared" si="204"/>
        <v>y</v>
      </c>
      <c r="SIZ1" s="154" t="str">
        <f t="shared" si="204"/>
        <v>y</v>
      </c>
      <c r="SJA1" s="154" t="str">
        <f t="shared" si="204"/>
        <v>y</v>
      </c>
      <c r="SJB1" s="154" t="str">
        <f t="shared" si="204"/>
        <v>y</v>
      </c>
      <c r="SJC1" s="154" t="str">
        <f t="shared" si="204"/>
        <v>y</v>
      </c>
      <c r="SJD1" s="154" t="str">
        <f t="shared" si="204"/>
        <v>y</v>
      </c>
      <c r="SJE1" s="154" t="str">
        <f t="shared" si="204"/>
        <v>y</v>
      </c>
      <c r="SJF1" s="154" t="str">
        <f t="shared" si="204"/>
        <v>y</v>
      </c>
      <c r="SJG1" s="154" t="str">
        <f t="shared" si="204"/>
        <v>y</v>
      </c>
      <c r="SJH1" s="154" t="str">
        <f t="shared" si="204"/>
        <v>y</v>
      </c>
      <c r="SJI1" s="154" t="str">
        <f t="shared" si="204"/>
        <v>y</v>
      </c>
      <c r="SJJ1" s="154" t="str">
        <f t="shared" si="204"/>
        <v>y</v>
      </c>
      <c r="SJK1" s="154" t="str">
        <f t="shared" si="204"/>
        <v>y</v>
      </c>
      <c r="SJL1" s="154" t="str">
        <f t="shared" si="204"/>
        <v>y</v>
      </c>
      <c r="SJM1" s="154" t="str">
        <f t="shared" si="204"/>
        <v>y</v>
      </c>
      <c r="SJN1" s="154" t="str">
        <f t="shared" si="204"/>
        <v>y</v>
      </c>
      <c r="SJO1" s="154" t="str">
        <f t="shared" si="204"/>
        <v>y</v>
      </c>
      <c r="SJP1" s="154" t="str">
        <f t="shared" si="204"/>
        <v>y</v>
      </c>
      <c r="SJQ1" s="154" t="str">
        <f t="shared" si="204"/>
        <v>y</v>
      </c>
      <c r="SJR1" s="154" t="str">
        <f t="shared" si="204"/>
        <v>y</v>
      </c>
      <c r="SJS1" s="154" t="str">
        <f t="shared" si="204"/>
        <v>y</v>
      </c>
      <c r="SJT1" s="154" t="str">
        <f t="shared" si="204"/>
        <v>y</v>
      </c>
      <c r="SJU1" s="154" t="str">
        <f t="shared" si="204"/>
        <v>y</v>
      </c>
      <c r="SJV1" s="154" t="str">
        <f t="shared" ref="SJV1:SMG1" si="205">SJV2&amp;"y"</f>
        <v>y</v>
      </c>
      <c r="SJW1" s="154" t="str">
        <f t="shared" si="205"/>
        <v>y</v>
      </c>
      <c r="SJX1" s="154" t="str">
        <f t="shared" si="205"/>
        <v>y</v>
      </c>
      <c r="SJY1" s="154" t="str">
        <f t="shared" si="205"/>
        <v>y</v>
      </c>
      <c r="SJZ1" s="154" t="str">
        <f t="shared" si="205"/>
        <v>y</v>
      </c>
      <c r="SKA1" s="154" t="str">
        <f t="shared" si="205"/>
        <v>y</v>
      </c>
      <c r="SKB1" s="154" t="str">
        <f t="shared" si="205"/>
        <v>y</v>
      </c>
      <c r="SKC1" s="154" t="str">
        <f t="shared" si="205"/>
        <v>y</v>
      </c>
      <c r="SKD1" s="154" t="str">
        <f t="shared" si="205"/>
        <v>y</v>
      </c>
      <c r="SKE1" s="154" t="str">
        <f t="shared" si="205"/>
        <v>y</v>
      </c>
      <c r="SKF1" s="154" t="str">
        <f t="shared" si="205"/>
        <v>y</v>
      </c>
      <c r="SKG1" s="154" t="str">
        <f t="shared" si="205"/>
        <v>y</v>
      </c>
      <c r="SKH1" s="154" t="str">
        <f t="shared" si="205"/>
        <v>y</v>
      </c>
      <c r="SKI1" s="154" t="str">
        <f t="shared" si="205"/>
        <v>y</v>
      </c>
      <c r="SKJ1" s="154" t="str">
        <f t="shared" si="205"/>
        <v>y</v>
      </c>
      <c r="SKK1" s="154" t="str">
        <f t="shared" si="205"/>
        <v>y</v>
      </c>
      <c r="SKL1" s="154" t="str">
        <f t="shared" si="205"/>
        <v>y</v>
      </c>
      <c r="SKM1" s="154" t="str">
        <f t="shared" si="205"/>
        <v>y</v>
      </c>
      <c r="SKN1" s="154" t="str">
        <f t="shared" si="205"/>
        <v>y</v>
      </c>
      <c r="SKO1" s="154" t="str">
        <f t="shared" si="205"/>
        <v>y</v>
      </c>
      <c r="SKP1" s="154" t="str">
        <f t="shared" si="205"/>
        <v>y</v>
      </c>
      <c r="SKQ1" s="154" t="str">
        <f t="shared" si="205"/>
        <v>y</v>
      </c>
      <c r="SKR1" s="154" t="str">
        <f t="shared" si="205"/>
        <v>y</v>
      </c>
      <c r="SKS1" s="154" t="str">
        <f t="shared" si="205"/>
        <v>y</v>
      </c>
      <c r="SKT1" s="154" t="str">
        <f t="shared" si="205"/>
        <v>y</v>
      </c>
      <c r="SKU1" s="154" t="str">
        <f t="shared" si="205"/>
        <v>y</v>
      </c>
      <c r="SKV1" s="154" t="str">
        <f t="shared" si="205"/>
        <v>y</v>
      </c>
      <c r="SKW1" s="154" t="str">
        <f t="shared" si="205"/>
        <v>y</v>
      </c>
      <c r="SKX1" s="154" t="str">
        <f t="shared" si="205"/>
        <v>y</v>
      </c>
      <c r="SKY1" s="154" t="str">
        <f t="shared" si="205"/>
        <v>y</v>
      </c>
      <c r="SKZ1" s="154" t="str">
        <f t="shared" si="205"/>
        <v>y</v>
      </c>
      <c r="SLA1" s="154" t="str">
        <f t="shared" si="205"/>
        <v>y</v>
      </c>
      <c r="SLB1" s="154" t="str">
        <f t="shared" si="205"/>
        <v>y</v>
      </c>
      <c r="SLC1" s="154" t="str">
        <f t="shared" si="205"/>
        <v>y</v>
      </c>
      <c r="SLD1" s="154" t="str">
        <f t="shared" si="205"/>
        <v>y</v>
      </c>
      <c r="SLE1" s="154" t="str">
        <f t="shared" si="205"/>
        <v>y</v>
      </c>
      <c r="SLF1" s="154" t="str">
        <f t="shared" si="205"/>
        <v>y</v>
      </c>
      <c r="SLG1" s="154" t="str">
        <f t="shared" si="205"/>
        <v>y</v>
      </c>
      <c r="SLH1" s="154" t="str">
        <f t="shared" si="205"/>
        <v>y</v>
      </c>
      <c r="SLI1" s="154" t="str">
        <f t="shared" si="205"/>
        <v>y</v>
      </c>
      <c r="SLJ1" s="154" t="str">
        <f t="shared" si="205"/>
        <v>y</v>
      </c>
      <c r="SLK1" s="154" t="str">
        <f t="shared" si="205"/>
        <v>y</v>
      </c>
      <c r="SLL1" s="154" t="str">
        <f t="shared" si="205"/>
        <v>y</v>
      </c>
      <c r="SLM1" s="154" t="str">
        <f t="shared" si="205"/>
        <v>y</v>
      </c>
      <c r="SLN1" s="154" t="str">
        <f t="shared" si="205"/>
        <v>y</v>
      </c>
      <c r="SLO1" s="154" t="str">
        <f t="shared" si="205"/>
        <v>y</v>
      </c>
      <c r="SLP1" s="154" t="str">
        <f t="shared" si="205"/>
        <v>y</v>
      </c>
      <c r="SLQ1" s="154" t="str">
        <f t="shared" si="205"/>
        <v>y</v>
      </c>
      <c r="SLR1" s="154" t="str">
        <f t="shared" si="205"/>
        <v>y</v>
      </c>
      <c r="SLS1" s="154" t="str">
        <f t="shared" si="205"/>
        <v>y</v>
      </c>
      <c r="SLT1" s="154" t="str">
        <f t="shared" si="205"/>
        <v>y</v>
      </c>
      <c r="SLU1" s="154" t="str">
        <f t="shared" si="205"/>
        <v>y</v>
      </c>
      <c r="SLV1" s="154" t="str">
        <f t="shared" si="205"/>
        <v>y</v>
      </c>
      <c r="SLW1" s="154" t="str">
        <f t="shared" si="205"/>
        <v>y</v>
      </c>
      <c r="SLX1" s="154" t="str">
        <f t="shared" si="205"/>
        <v>y</v>
      </c>
      <c r="SLY1" s="154" t="str">
        <f t="shared" si="205"/>
        <v>y</v>
      </c>
      <c r="SLZ1" s="154" t="str">
        <f t="shared" si="205"/>
        <v>y</v>
      </c>
      <c r="SMA1" s="154" t="str">
        <f t="shared" si="205"/>
        <v>y</v>
      </c>
      <c r="SMB1" s="154" t="str">
        <f t="shared" si="205"/>
        <v>y</v>
      </c>
      <c r="SMC1" s="154" t="str">
        <f t="shared" si="205"/>
        <v>y</v>
      </c>
      <c r="SMD1" s="154" t="str">
        <f t="shared" si="205"/>
        <v>y</v>
      </c>
      <c r="SME1" s="154" t="str">
        <f t="shared" si="205"/>
        <v>y</v>
      </c>
      <c r="SMF1" s="154" t="str">
        <f t="shared" si="205"/>
        <v>y</v>
      </c>
      <c r="SMG1" s="154" t="str">
        <f t="shared" si="205"/>
        <v>y</v>
      </c>
      <c r="SMH1" s="154" t="str">
        <f t="shared" ref="SMH1:SOS1" si="206">SMH2&amp;"y"</f>
        <v>y</v>
      </c>
      <c r="SMI1" s="154" t="str">
        <f t="shared" si="206"/>
        <v>y</v>
      </c>
      <c r="SMJ1" s="154" t="str">
        <f t="shared" si="206"/>
        <v>y</v>
      </c>
      <c r="SMK1" s="154" t="str">
        <f t="shared" si="206"/>
        <v>y</v>
      </c>
      <c r="SML1" s="154" t="str">
        <f t="shared" si="206"/>
        <v>y</v>
      </c>
      <c r="SMM1" s="154" t="str">
        <f t="shared" si="206"/>
        <v>y</v>
      </c>
      <c r="SMN1" s="154" t="str">
        <f t="shared" si="206"/>
        <v>y</v>
      </c>
      <c r="SMO1" s="154" t="str">
        <f t="shared" si="206"/>
        <v>y</v>
      </c>
      <c r="SMP1" s="154" t="str">
        <f t="shared" si="206"/>
        <v>y</v>
      </c>
      <c r="SMQ1" s="154" t="str">
        <f t="shared" si="206"/>
        <v>y</v>
      </c>
      <c r="SMR1" s="154" t="str">
        <f t="shared" si="206"/>
        <v>y</v>
      </c>
      <c r="SMS1" s="154" t="str">
        <f t="shared" si="206"/>
        <v>y</v>
      </c>
      <c r="SMT1" s="154" t="str">
        <f t="shared" si="206"/>
        <v>y</v>
      </c>
      <c r="SMU1" s="154" t="str">
        <f t="shared" si="206"/>
        <v>y</v>
      </c>
      <c r="SMV1" s="154" t="str">
        <f t="shared" si="206"/>
        <v>y</v>
      </c>
      <c r="SMW1" s="154" t="str">
        <f t="shared" si="206"/>
        <v>y</v>
      </c>
      <c r="SMX1" s="154" t="str">
        <f t="shared" si="206"/>
        <v>y</v>
      </c>
      <c r="SMY1" s="154" t="str">
        <f t="shared" si="206"/>
        <v>y</v>
      </c>
      <c r="SMZ1" s="154" t="str">
        <f t="shared" si="206"/>
        <v>y</v>
      </c>
      <c r="SNA1" s="154" t="str">
        <f t="shared" si="206"/>
        <v>y</v>
      </c>
      <c r="SNB1" s="154" t="str">
        <f t="shared" si="206"/>
        <v>y</v>
      </c>
      <c r="SNC1" s="154" t="str">
        <f t="shared" si="206"/>
        <v>y</v>
      </c>
      <c r="SND1" s="154" t="str">
        <f t="shared" si="206"/>
        <v>y</v>
      </c>
      <c r="SNE1" s="154" t="str">
        <f t="shared" si="206"/>
        <v>y</v>
      </c>
      <c r="SNF1" s="154" t="str">
        <f t="shared" si="206"/>
        <v>y</v>
      </c>
      <c r="SNG1" s="154" t="str">
        <f t="shared" si="206"/>
        <v>y</v>
      </c>
      <c r="SNH1" s="154" t="str">
        <f t="shared" si="206"/>
        <v>y</v>
      </c>
      <c r="SNI1" s="154" t="str">
        <f t="shared" si="206"/>
        <v>y</v>
      </c>
      <c r="SNJ1" s="154" t="str">
        <f t="shared" si="206"/>
        <v>y</v>
      </c>
      <c r="SNK1" s="154" t="str">
        <f t="shared" si="206"/>
        <v>y</v>
      </c>
      <c r="SNL1" s="154" t="str">
        <f t="shared" si="206"/>
        <v>y</v>
      </c>
      <c r="SNM1" s="154" t="str">
        <f t="shared" si="206"/>
        <v>y</v>
      </c>
      <c r="SNN1" s="154" t="str">
        <f t="shared" si="206"/>
        <v>y</v>
      </c>
      <c r="SNO1" s="154" t="str">
        <f t="shared" si="206"/>
        <v>y</v>
      </c>
      <c r="SNP1" s="154" t="str">
        <f t="shared" si="206"/>
        <v>y</v>
      </c>
      <c r="SNQ1" s="154" t="str">
        <f t="shared" si="206"/>
        <v>y</v>
      </c>
      <c r="SNR1" s="154" t="str">
        <f t="shared" si="206"/>
        <v>y</v>
      </c>
      <c r="SNS1" s="154" t="str">
        <f t="shared" si="206"/>
        <v>y</v>
      </c>
      <c r="SNT1" s="154" t="str">
        <f t="shared" si="206"/>
        <v>y</v>
      </c>
      <c r="SNU1" s="154" t="str">
        <f t="shared" si="206"/>
        <v>y</v>
      </c>
      <c r="SNV1" s="154" t="str">
        <f t="shared" si="206"/>
        <v>y</v>
      </c>
      <c r="SNW1" s="154" t="str">
        <f t="shared" si="206"/>
        <v>y</v>
      </c>
      <c r="SNX1" s="154" t="str">
        <f t="shared" si="206"/>
        <v>y</v>
      </c>
      <c r="SNY1" s="154" t="str">
        <f t="shared" si="206"/>
        <v>y</v>
      </c>
      <c r="SNZ1" s="154" t="str">
        <f t="shared" si="206"/>
        <v>y</v>
      </c>
      <c r="SOA1" s="154" t="str">
        <f t="shared" si="206"/>
        <v>y</v>
      </c>
      <c r="SOB1" s="154" t="str">
        <f t="shared" si="206"/>
        <v>y</v>
      </c>
      <c r="SOC1" s="154" t="str">
        <f t="shared" si="206"/>
        <v>y</v>
      </c>
      <c r="SOD1" s="154" t="str">
        <f t="shared" si="206"/>
        <v>y</v>
      </c>
      <c r="SOE1" s="154" t="str">
        <f t="shared" si="206"/>
        <v>y</v>
      </c>
      <c r="SOF1" s="154" t="str">
        <f t="shared" si="206"/>
        <v>y</v>
      </c>
      <c r="SOG1" s="154" t="str">
        <f t="shared" si="206"/>
        <v>y</v>
      </c>
      <c r="SOH1" s="154" t="str">
        <f t="shared" si="206"/>
        <v>y</v>
      </c>
      <c r="SOI1" s="154" t="str">
        <f t="shared" si="206"/>
        <v>y</v>
      </c>
      <c r="SOJ1" s="154" t="str">
        <f t="shared" si="206"/>
        <v>y</v>
      </c>
      <c r="SOK1" s="154" t="str">
        <f t="shared" si="206"/>
        <v>y</v>
      </c>
      <c r="SOL1" s="154" t="str">
        <f t="shared" si="206"/>
        <v>y</v>
      </c>
      <c r="SOM1" s="154" t="str">
        <f t="shared" si="206"/>
        <v>y</v>
      </c>
      <c r="SON1" s="154" t="str">
        <f t="shared" si="206"/>
        <v>y</v>
      </c>
      <c r="SOO1" s="154" t="str">
        <f t="shared" si="206"/>
        <v>y</v>
      </c>
      <c r="SOP1" s="154" t="str">
        <f t="shared" si="206"/>
        <v>y</v>
      </c>
      <c r="SOQ1" s="154" t="str">
        <f t="shared" si="206"/>
        <v>y</v>
      </c>
      <c r="SOR1" s="154" t="str">
        <f t="shared" si="206"/>
        <v>y</v>
      </c>
      <c r="SOS1" s="154" t="str">
        <f t="shared" si="206"/>
        <v>y</v>
      </c>
      <c r="SOT1" s="154" t="str">
        <f t="shared" ref="SOT1:SRE1" si="207">SOT2&amp;"y"</f>
        <v>y</v>
      </c>
      <c r="SOU1" s="154" t="str">
        <f t="shared" si="207"/>
        <v>y</v>
      </c>
      <c r="SOV1" s="154" t="str">
        <f t="shared" si="207"/>
        <v>y</v>
      </c>
      <c r="SOW1" s="154" t="str">
        <f t="shared" si="207"/>
        <v>y</v>
      </c>
      <c r="SOX1" s="154" t="str">
        <f t="shared" si="207"/>
        <v>y</v>
      </c>
      <c r="SOY1" s="154" t="str">
        <f t="shared" si="207"/>
        <v>y</v>
      </c>
      <c r="SOZ1" s="154" t="str">
        <f t="shared" si="207"/>
        <v>y</v>
      </c>
      <c r="SPA1" s="154" t="str">
        <f t="shared" si="207"/>
        <v>y</v>
      </c>
      <c r="SPB1" s="154" t="str">
        <f t="shared" si="207"/>
        <v>y</v>
      </c>
      <c r="SPC1" s="154" t="str">
        <f t="shared" si="207"/>
        <v>y</v>
      </c>
      <c r="SPD1" s="154" t="str">
        <f t="shared" si="207"/>
        <v>y</v>
      </c>
      <c r="SPE1" s="154" t="str">
        <f t="shared" si="207"/>
        <v>y</v>
      </c>
      <c r="SPF1" s="154" t="str">
        <f t="shared" si="207"/>
        <v>y</v>
      </c>
      <c r="SPG1" s="154" t="str">
        <f t="shared" si="207"/>
        <v>y</v>
      </c>
      <c r="SPH1" s="154" t="str">
        <f t="shared" si="207"/>
        <v>y</v>
      </c>
      <c r="SPI1" s="154" t="str">
        <f t="shared" si="207"/>
        <v>y</v>
      </c>
      <c r="SPJ1" s="154" t="str">
        <f t="shared" si="207"/>
        <v>y</v>
      </c>
      <c r="SPK1" s="154" t="str">
        <f t="shared" si="207"/>
        <v>y</v>
      </c>
      <c r="SPL1" s="154" t="str">
        <f t="shared" si="207"/>
        <v>y</v>
      </c>
      <c r="SPM1" s="154" t="str">
        <f t="shared" si="207"/>
        <v>y</v>
      </c>
      <c r="SPN1" s="154" t="str">
        <f t="shared" si="207"/>
        <v>y</v>
      </c>
      <c r="SPO1" s="154" t="str">
        <f t="shared" si="207"/>
        <v>y</v>
      </c>
      <c r="SPP1" s="154" t="str">
        <f t="shared" si="207"/>
        <v>y</v>
      </c>
      <c r="SPQ1" s="154" t="str">
        <f t="shared" si="207"/>
        <v>y</v>
      </c>
      <c r="SPR1" s="154" t="str">
        <f t="shared" si="207"/>
        <v>y</v>
      </c>
      <c r="SPS1" s="154" t="str">
        <f t="shared" si="207"/>
        <v>y</v>
      </c>
      <c r="SPT1" s="154" t="str">
        <f t="shared" si="207"/>
        <v>y</v>
      </c>
      <c r="SPU1" s="154" t="str">
        <f t="shared" si="207"/>
        <v>y</v>
      </c>
      <c r="SPV1" s="154" t="str">
        <f t="shared" si="207"/>
        <v>y</v>
      </c>
      <c r="SPW1" s="154" t="str">
        <f t="shared" si="207"/>
        <v>y</v>
      </c>
      <c r="SPX1" s="154" t="str">
        <f t="shared" si="207"/>
        <v>y</v>
      </c>
      <c r="SPY1" s="154" t="str">
        <f t="shared" si="207"/>
        <v>y</v>
      </c>
      <c r="SPZ1" s="154" t="str">
        <f t="shared" si="207"/>
        <v>y</v>
      </c>
      <c r="SQA1" s="154" t="str">
        <f t="shared" si="207"/>
        <v>y</v>
      </c>
      <c r="SQB1" s="154" t="str">
        <f t="shared" si="207"/>
        <v>y</v>
      </c>
      <c r="SQC1" s="154" t="str">
        <f t="shared" si="207"/>
        <v>y</v>
      </c>
      <c r="SQD1" s="154" t="str">
        <f t="shared" si="207"/>
        <v>y</v>
      </c>
      <c r="SQE1" s="154" t="str">
        <f t="shared" si="207"/>
        <v>y</v>
      </c>
      <c r="SQF1" s="154" t="str">
        <f t="shared" si="207"/>
        <v>y</v>
      </c>
      <c r="SQG1" s="154" t="str">
        <f t="shared" si="207"/>
        <v>y</v>
      </c>
      <c r="SQH1" s="154" t="str">
        <f t="shared" si="207"/>
        <v>y</v>
      </c>
      <c r="SQI1" s="154" t="str">
        <f t="shared" si="207"/>
        <v>y</v>
      </c>
      <c r="SQJ1" s="154" t="str">
        <f t="shared" si="207"/>
        <v>y</v>
      </c>
      <c r="SQK1" s="154" t="str">
        <f t="shared" si="207"/>
        <v>y</v>
      </c>
      <c r="SQL1" s="154" t="str">
        <f t="shared" si="207"/>
        <v>y</v>
      </c>
      <c r="SQM1" s="154" t="str">
        <f t="shared" si="207"/>
        <v>y</v>
      </c>
      <c r="SQN1" s="154" t="str">
        <f t="shared" si="207"/>
        <v>y</v>
      </c>
      <c r="SQO1" s="154" t="str">
        <f t="shared" si="207"/>
        <v>y</v>
      </c>
      <c r="SQP1" s="154" t="str">
        <f t="shared" si="207"/>
        <v>y</v>
      </c>
      <c r="SQQ1" s="154" t="str">
        <f t="shared" si="207"/>
        <v>y</v>
      </c>
      <c r="SQR1" s="154" t="str">
        <f t="shared" si="207"/>
        <v>y</v>
      </c>
      <c r="SQS1" s="154" t="str">
        <f t="shared" si="207"/>
        <v>y</v>
      </c>
      <c r="SQT1" s="154" t="str">
        <f t="shared" si="207"/>
        <v>y</v>
      </c>
      <c r="SQU1" s="154" t="str">
        <f t="shared" si="207"/>
        <v>y</v>
      </c>
      <c r="SQV1" s="154" t="str">
        <f t="shared" si="207"/>
        <v>y</v>
      </c>
      <c r="SQW1" s="154" t="str">
        <f t="shared" si="207"/>
        <v>y</v>
      </c>
      <c r="SQX1" s="154" t="str">
        <f t="shared" si="207"/>
        <v>y</v>
      </c>
      <c r="SQY1" s="154" t="str">
        <f t="shared" si="207"/>
        <v>y</v>
      </c>
      <c r="SQZ1" s="154" t="str">
        <f t="shared" si="207"/>
        <v>y</v>
      </c>
      <c r="SRA1" s="154" t="str">
        <f t="shared" si="207"/>
        <v>y</v>
      </c>
      <c r="SRB1" s="154" t="str">
        <f t="shared" si="207"/>
        <v>y</v>
      </c>
      <c r="SRC1" s="154" t="str">
        <f t="shared" si="207"/>
        <v>y</v>
      </c>
      <c r="SRD1" s="154" t="str">
        <f t="shared" si="207"/>
        <v>y</v>
      </c>
      <c r="SRE1" s="154" t="str">
        <f t="shared" si="207"/>
        <v>y</v>
      </c>
      <c r="SRF1" s="154" t="str">
        <f t="shared" ref="SRF1:STQ1" si="208">SRF2&amp;"y"</f>
        <v>y</v>
      </c>
      <c r="SRG1" s="154" t="str">
        <f t="shared" si="208"/>
        <v>y</v>
      </c>
      <c r="SRH1" s="154" t="str">
        <f t="shared" si="208"/>
        <v>y</v>
      </c>
      <c r="SRI1" s="154" t="str">
        <f t="shared" si="208"/>
        <v>y</v>
      </c>
      <c r="SRJ1" s="154" t="str">
        <f t="shared" si="208"/>
        <v>y</v>
      </c>
      <c r="SRK1" s="154" t="str">
        <f t="shared" si="208"/>
        <v>y</v>
      </c>
      <c r="SRL1" s="154" t="str">
        <f t="shared" si="208"/>
        <v>y</v>
      </c>
      <c r="SRM1" s="154" t="str">
        <f t="shared" si="208"/>
        <v>y</v>
      </c>
      <c r="SRN1" s="154" t="str">
        <f t="shared" si="208"/>
        <v>y</v>
      </c>
      <c r="SRO1" s="154" t="str">
        <f t="shared" si="208"/>
        <v>y</v>
      </c>
      <c r="SRP1" s="154" t="str">
        <f t="shared" si="208"/>
        <v>y</v>
      </c>
      <c r="SRQ1" s="154" t="str">
        <f t="shared" si="208"/>
        <v>y</v>
      </c>
      <c r="SRR1" s="154" t="str">
        <f t="shared" si="208"/>
        <v>y</v>
      </c>
      <c r="SRS1" s="154" t="str">
        <f t="shared" si="208"/>
        <v>y</v>
      </c>
      <c r="SRT1" s="154" t="str">
        <f t="shared" si="208"/>
        <v>y</v>
      </c>
      <c r="SRU1" s="154" t="str">
        <f t="shared" si="208"/>
        <v>y</v>
      </c>
      <c r="SRV1" s="154" t="str">
        <f t="shared" si="208"/>
        <v>y</v>
      </c>
      <c r="SRW1" s="154" t="str">
        <f t="shared" si="208"/>
        <v>y</v>
      </c>
      <c r="SRX1" s="154" t="str">
        <f t="shared" si="208"/>
        <v>y</v>
      </c>
      <c r="SRY1" s="154" t="str">
        <f t="shared" si="208"/>
        <v>y</v>
      </c>
      <c r="SRZ1" s="154" t="str">
        <f t="shared" si="208"/>
        <v>y</v>
      </c>
      <c r="SSA1" s="154" t="str">
        <f t="shared" si="208"/>
        <v>y</v>
      </c>
      <c r="SSB1" s="154" t="str">
        <f t="shared" si="208"/>
        <v>y</v>
      </c>
      <c r="SSC1" s="154" t="str">
        <f t="shared" si="208"/>
        <v>y</v>
      </c>
      <c r="SSD1" s="154" t="str">
        <f t="shared" si="208"/>
        <v>y</v>
      </c>
      <c r="SSE1" s="154" t="str">
        <f t="shared" si="208"/>
        <v>y</v>
      </c>
      <c r="SSF1" s="154" t="str">
        <f t="shared" si="208"/>
        <v>y</v>
      </c>
      <c r="SSG1" s="154" t="str">
        <f t="shared" si="208"/>
        <v>y</v>
      </c>
      <c r="SSH1" s="154" t="str">
        <f t="shared" si="208"/>
        <v>y</v>
      </c>
      <c r="SSI1" s="154" t="str">
        <f t="shared" si="208"/>
        <v>y</v>
      </c>
      <c r="SSJ1" s="154" t="str">
        <f t="shared" si="208"/>
        <v>y</v>
      </c>
      <c r="SSK1" s="154" t="str">
        <f t="shared" si="208"/>
        <v>y</v>
      </c>
      <c r="SSL1" s="154" t="str">
        <f t="shared" si="208"/>
        <v>y</v>
      </c>
      <c r="SSM1" s="154" t="str">
        <f t="shared" si="208"/>
        <v>y</v>
      </c>
      <c r="SSN1" s="154" t="str">
        <f t="shared" si="208"/>
        <v>y</v>
      </c>
      <c r="SSO1" s="154" t="str">
        <f t="shared" si="208"/>
        <v>y</v>
      </c>
      <c r="SSP1" s="154" t="str">
        <f t="shared" si="208"/>
        <v>y</v>
      </c>
      <c r="SSQ1" s="154" t="str">
        <f t="shared" si="208"/>
        <v>y</v>
      </c>
      <c r="SSR1" s="154" t="str">
        <f t="shared" si="208"/>
        <v>y</v>
      </c>
      <c r="SSS1" s="154" t="str">
        <f t="shared" si="208"/>
        <v>y</v>
      </c>
      <c r="SST1" s="154" t="str">
        <f t="shared" si="208"/>
        <v>y</v>
      </c>
      <c r="SSU1" s="154" t="str">
        <f t="shared" si="208"/>
        <v>y</v>
      </c>
      <c r="SSV1" s="154" t="str">
        <f t="shared" si="208"/>
        <v>y</v>
      </c>
      <c r="SSW1" s="154" t="str">
        <f t="shared" si="208"/>
        <v>y</v>
      </c>
      <c r="SSX1" s="154" t="str">
        <f t="shared" si="208"/>
        <v>y</v>
      </c>
      <c r="SSY1" s="154" t="str">
        <f t="shared" si="208"/>
        <v>y</v>
      </c>
      <c r="SSZ1" s="154" t="str">
        <f t="shared" si="208"/>
        <v>y</v>
      </c>
      <c r="STA1" s="154" t="str">
        <f t="shared" si="208"/>
        <v>y</v>
      </c>
      <c r="STB1" s="154" t="str">
        <f t="shared" si="208"/>
        <v>y</v>
      </c>
      <c r="STC1" s="154" t="str">
        <f t="shared" si="208"/>
        <v>y</v>
      </c>
      <c r="STD1" s="154" t="str">
        <f t="shared" si="208"/>
        <v>y</v>
      </c>
      <c r="STE1" s="154" t="str">
        <f t="shared" si="208"/>
        <v>y</v>
      </c>
      <c r="STF1" s="154" t="str">
        <f t="shared" si="208"/>
        <v>y</v>
      </c>
      <c r="STG1" s="154" t="str">
        <f t="shared" si="208"/>
        <v>y</v>
      </c>
      <c r="STH1" s="154" t="str">
        <f t="shared" si="208"/>
        <v>y</v>
      </c>
      <c r="STI1" s="154" t="str">
        <f t="shared" si="208"/>
        <v>y</v>
      </c>
      <c r="STJ1" s="154" t="str">
        <f t="shared" si="208"/>
        <v>y</v>
      </c>
      <c r="STK1" s="154" t="str">
        <f t="shared" si="208"/>
        <v>y</v>
      </c>
      <c r="STL1" s="154" t="str">
        <f t="shared" si="208"/>
        <v>y</v>
      </c>
      <c r="STM1" s="154" t="str">
        <f t="shared" si="208"/>
        <v>y</v>
      </c>
      <c r="STN1" s="154" t="str">
        <f t="shared" si="208"/>
        <v>y</v>
      </c>
      <c r="STO1" s="154" t="str">
        <f t="shared" si="208"/>
        <v>y</v>
      </c>
      <c r="STP1" s="154" t="str">
        <f t="shared" si="208"/>
        <v>y</v>
      </c>
      <c r="STQ1" s="154" t="str">
        <f t="shared" si="208"/>
        <v>y</v>
      </c>
      <c r="STR1" s="154" t="str">
        <f t="shared" ref="STR1:SWC1" si="209">STR2&amp;"y"</f>
        <v>y</v>
      </c>
      <c r="STS1" s="154" t="str">
        <f t="shared" si="209"/>
        <v>y</v>
      </c>
      <c r="STT1" s="154" t="str">
        <f t="shared" si="209"/>
        <v>y</v>
      </c>
      <c r="STU1" s="154" t="str">
        <f t="shared" si="209"/>
        <v>y</v>
      </c>
      <c r="STV1" s="154" t="str">
        <f t="shared" si="209"/>
        <v>y</v>
      </c>
      <c r="STW1" s="154" t="str">
        <f t="shared" si="209"/>
        <v>y</v>
      </c>
      <c r="STX1" s="154" t="str">
        <f t="shared" si="209"/>
        <v>y</v>
      </c>
      <c r="STY1" s="154" t="str">
        <f t="shared" si="209"/>
        <v>y</v>
      </c>
      <c r="STZ1" s="154" t="str">
        <f t="shared" si="209"/>
        <v>y</v>
      </c>
      <c r="SUA1" s="154" t="str">
        <f t="shared" si="209"/>
        <v>y</v>
      </c>
      <c r="SUB1" s="154" t="str">
        <f t="shared" si="209"/>
        <v>y</v>
      </c>
      <c r="SUC1" s="154" t="str">
        <f t="shared" si="209"/>
        <v>y</v>
      </c>
      <c r="SUD1" s="154" t="str">
        <f t="shared" si="209"/>
        <v>y</v>
      </c>
      <c r="SUE1" s="154" t="str">
        <f t="shared" si="209"/>
        <v>y</v>
      </c>
      <c r="SUF1" s="154" t="str">
        <f t="shared" si="209"/>
        <v>y</v>
      </c>
      <c r="SUG1" s="154" t="str">
        <f t="shared" si="209"/>
        <v>y</v>
      </c>
      <c r="SUH1" s="154" t="str">
        <f t="shared" si="209"/>
        <v>y</v>
      </c>
      <c r="SUI1" s="154" t="str">
        <f t="shared" si="209"/>
        <v>y</v>
      </c>
      <c r="SUJ1" s="154" t="str">
        <f t="shared" si="209"/>
        <v>y</v>
      </c>
      <c r="SUK1" s="154" t="str">
        <f t="shared" si="209"/>
        <v>y</v>
      </c>
      <c r="SUL1" s="154" t="str">
        <f t="shared" si="209"/>
        <v>y</v>
      </c>
      <c r="SUM1" s="154" t="str">
        <f t="shared" si="209"/>
        <v>y</v>
      </c>
      <c r="SUN1" s="154" t="str">
        <f t="shared" si="209"/>
        <v>y</v>
      </c>
      <c r="SUO1" s="154" t="str">
        <f t="shared" si="209"/>
        <v>y</v>
      </c>
      <c r="SUP1" s="154" t="str">
        <f t="shared" si="209"/>
        <v>y</v>
      </c>
      <c r="SUQ1" s="154" t="str">
        <f t="shared" si="209"/>
        <v>y</v>
      </c>
      <c r="SUR1" s="154" t="str">
        <f t="shared" si="209"/>
        <v>y</v>
      </c>
      <c r="SUS1" s="154" t="str">
        <f t="shared" si="209"/>
        <v>y</v>
      </c>
      <c r="SUT1" s="154" t="str">
        <f t="shared" si="209"/>
        <v>y</v>
      </c>
      <c r="SUU1" s="154" t="str">
        <f t="shared" si="209"/>
        <v>y</v>
      </c>
      <c r="SUV1" s="154" t="str">
        <f t="shared" si="209"/>
        <v>y</v>
      </c>
      <c r="SUW1" s="154" t="str">
        <f t="shared" si="209"/>
        <v>y</v>
      </c>
      <c r="SUX1" s="154" t="str">
        <f t="shared" si="209"/>
        <v>y</v>
      </c>
      <c r="SUY1" s="154" t="str">
        <f t="shared" si="209"/>
        <v>y</v>
      </c>
      <c r="SUZ1" s="154" t="str">
        <f t="shared" si="209"/>
        <v>y</v>
      </c>
      <c r="SVA1" s="154" t="str">
        <f t="shared" si="209"/>
        <v>y</v>
      </c>
      <c r="SVB1" s="154" t="str">
        <f t="shared" si="209"/>
        <v>y</v>
      </c>
      <c r="SVC1" s="154" t="str">
        <f t="shared" si="209"/>
        <v>y</v>
      </c>
      <c r="SVD1" s="154" t="str">
        <f t="shared" si="209"/>
        <v>y</v>
      </c>
      <c r="SVE1" s="154" t="str">
        <f t="shared" si="209"/>
        <v>y</v>
      </c>
      <c r="SVF1" s="154" t="str">
        <f t="shared" si="209"/>
        <v>y</v>
      </c>
      <c r="SVG1" s="154" t="str">
        <f t="shared" si="209"/>
        <v>y</v>
      </c>
      <c r="SVH1" s="154" t="str">
        <f t="shared" si="209"/>
        <v>y</v>
      </c>
      <c r="SVI1" s="154" t="str">
        <f t="shared" si="209"/>
        <v>y</v>
      </c>
      <c r="SVJ1" s="154" t="str">
        <f t="shared" si="209"/>
        <v>y</v>
      </c>
      <c r="SVK1" s="154" t="str">
        <f t="shared" si="209"/>
        <v>y</v>
      </c>
      <c r="SVL1" s="154" t="str">
        <f t="shared" si="209"/>
        <v>y</v>
      </c>
      <c r="SVM1" s="154" t="str">
        <f t="shared" si="209"/>
        <v>y</v>
      </c>
      <c r="SVN1" s="154" t="str">
        <f t="shared" si="209"/>
        <v>y</v>
      </c>
      <c r="SVO1" s="154" t="str">
        <f t="shared" si="209"/>
        <v>y</v>
      </c>
      <c r="SVP1" s="154" t="str">
        <f t="shared" si="209"/>
        <v>y</v>
      </c>
      <c r="SVQ1" s="154" t="str">
        <f t="shared" si="209"/>
        <v>y</v>
      </c>
      <c r="SVR1" s="154" t="str">
        <f t="shared" si="209"/>
        <v>y</v>
      </c>
      <c r="SVS1" s="154" t="str">
        <f t="shared" si="209"/>
        <v>y</v>
      </c>
      <c r="SVT1" s="154" t="str">
        <f t="shared" si="209"/>
        <v>y</v>
      </c>
      <c r="SVU1" s="154" t="str">
        <f t="shared" si="209"/>
        <v>y</v>
      </c>
      <c r="SVV1" s="154" t="str">
        <f t="shared" si="209"/>
        <v>y</v>
      </c>
      <c r="SVW1" s="154" t="str">
        <f t="shared" si="209"/>
        <v>y</v>
      </c>
      <c r="SVX1" s="154" t="str">
        <f t="shared" si="209"/>
        <v>y</v>
      </c>
      <c r="SVY1" s="154" t="str">
        <f t="shared" si="209"/>
        <v>y</v>
      </c>
      <c r="SVZ1" s="154" t="str">
        <f t="shared" si="209"/>
        <v>y</v>
      </c>
      <c r="SWA1" s="154" t="str">
        <f t="shared" si="209"/>
        <v>y</v>
      </c>
      <c r="SWB1" s="154" t="str">
        <f t="shared" si="209"/>
        <v>y</v>
      </c>
      <c r="SWC1" s="154" t="str">
        <f t="shared" si="209"/>
        <v>y</v>
      </c>
      <c r="SWD1" s="154" t="str">
        <f t="shared" ref="SWD1:SYO1" si="210">SWD2&amp;"y"</f>
        <v>y</v>
      </c>
      <c r="SWE1" s="154" t="str">
        <f t="shared" si="210"/>
        <v>y</v>
      </c>
      <c r="SWF1" s="154" t="str">
        <f t="shared" si="210"/>
        <v>y</v>
      </c>
      <c r="SWG1" s="154" t="str">
        <f t="shared" si="210"/>
        <v>y</v>
      </c>
      <c r="SWH1" s="154" t="str">
        <f t="shared" si="210"/>
        <v>y</v>
      </c>
      <c r="SWI1" s="154" t="str">
        <f t="shared" si="210"/>
        <v>y</v>
      </c>
      <c r="SWJ1" s="154" t="str">
        <f t="shared" si="210"/>
        <v>y</v>
      </c>
      <c r="SWK1" s="154" t="str">
        <f t="shared" si="210"/>
        <v>y</v>
      </c>
      <c r="SWL1" s="154" t="str">
        <f t="shared" si="210"/>
        <v>y</v>
      </c>
      <c r="SWM1" s="154" t="str">
        <f t="shared" si="210"/>
        <v>y</v>
      </c>
      <c r="SWN1" s="154" t="str">
        <f t="shared" si="210"/>
        <v>y</v>
      </c>
      <c r="SWO1" s="154" t="str">
        <f t="shared" si="210"/>
        <v>y</v>
      </c>
      <c r="SWP1" s="154" t="str">
        <f t="shared" si="210"/>
        <v>y</v>
      </c>
      <c r="SWQ1" s="154" t="str">
        <f t="shared" si="210"/>
        <v>y</v>
      </c>
      <c r="SWR1" s="154" t="str">
        <f t="shared" si="210"/>
        <v>y</v>
      </c>
      <c r="SWS1" s="154" t="str">
        <f t="shared" si="210"/>
        <v>y</v>
      </c>
      <c r="SWT1" s="154" t="str">
        <f t="shared" si="210"/>
        <v>y</v>
      </c>
      <c r="SWU1" s="154" t="str">
        <f t="shared" si="210"/>
        <v>y</v>
      </c>
      <c r="SWV1" s="154" t="str">
        <f t="shared" si="210"/>
        <v>y</v>
      </c>
      <c r="SWW1" s="154" t="str">
        <f t="shared" si="210"/>
        <v>y</v>
      </c>
      <c r="SWX1" s="154" t="str">
        <f t="shared" si="210"/>
        <v>y</v>
      </c>
      <c r="SWY1" s="154" t="str">
        <f t="shared" si="210"/>
        <v>y</v>
      </c>
      <c r="SWZ1" s="154" t="str">
        <f t="shared" si="210"/>
        <v>y</v>
      </c>
      <c r="SXA1" s="154" t="str">
        <f t="shared" si="210"/>
        <v>y</v>
      </c>
      <c r="SXB1" s="154" t="str">
        <f t="shared" si="210"/>
        <v>y</v>
      </c>
      <c r="SXC1" s="154" t="str">
        <f t="shared" si="210"/>
        <v>y</v>
      </c>
      <c r="SXD1" s="154" t="str">
        <f t="shared" si="210"/>
        <v>y</v>
      </c>
      <c r="SXE1" s="154" t="str">
        <f t="shared" si="210"/>
        <v>y</v>
      </c>
      <c r="SXF1" s="154" t="str">
        <f t="shared" si="210"/>
        <v>y</v>
      </c>
      <c r="SXG1" s="154" t="str">
        <f t="shared" si="210"/>
        <v>y</v>
      </c>
      <c r="SXH1" s="154" t="str">
        <f t="shared" si="210"/>
        <v>y</v>
      </c>
      <c r="SXI1" s="154" t="str">
        <f t="shared" si="210"/>
        <v>y</v>
      </c>
      <c r="SXJ1" s="154" t="str">
        <f t="shared" si="210"/>
        <v>y</v>
      </c>
      <c r="SXK1" s="154" t="str">
        <f t="shared" si="210"/>
        <v>y</v>
      </c>
      <c r="SXL1" s="154" t="str">
        <f t="shared" si="210"/>
        <v>y</v>
      </c>
      <c r="SXM1" s="154" t="str">
        <f t="shared" si="210"/>
        <v>y</v>
      </c>
      <c r="SXN1" s="154" t="str">
        <f t="shared" si="210"/>
        <v>y</v>
      </c>
      <c r="SXO1" s="154" t="str">
        <f t="shared" si="210"/>
        <v>y</v>
      </c>
      <c r="SXP1" s="154" t="str">
        <f t="shared" si="210"/>
        <v>y</v>
      </c>
      <c r="SXQ1" s="154" t="str">
        <f t="shared" si="210"/>
        <v>y</v>
      </c>
      <c r="SXR1" s="154" t="str">
        <f t="shared" si="210"/>
        <v>y</v>
      </c>
      <c r="SXS1" s="154" t="str">
        <f t="shared" si="210"/>
        <v>y</v>
      </c>
      <c r="SXT1" s="154" t="str">
        <f t="shared" si="210"/>
        <v>y</v>
      </c>
      <c r="SXU1" s="154" t="str">
        <f t="shared" si="210"/>
        <v>y</v>
      </c>
      <c r="SXV1" s="154" t="str">
        <f t="shared" si="210"/>
        <v>y</v>
      </c>
      <c r="SXW1" s="154" t="str">
        <f t="shared" si="210"/>
        <v>y</v>
      </c>
      <c r="SXX1" s="154" t="str">
        <f t="shared" si="210"/>
        <v>y</v>
      </c>
      <c r="SXY1" s="154" t="str">
        <f t="shared" si="210"/>
        <v>y</v>
      </c>
      <c r="SXZ1" s="154" t="str">
        <f t="shared" si="210"/>
        <v>y</v>
      </c>
      <c r="SYA1" s="154" t="str">
        <f t="shared" si="210"/>
        <v>y</v>
      </c>
      <c r="SYB1" s="154" t="str">
        <f t="shared" si="210"/>
        <v>y</v>
      </c>
      <c r="SYC1" s="154" t="str">
        <f t="shared" si="210"/>
        <v>y</v>
      </c>
      <c r="SYD1" s="154" t="str">
        <f t="shared" si="210"/>
        <v>y</v>
      </c>
      <c r="SYE1" s="154" t="str">
        <f t="shared" si="210"/>
        <v>y</v>
      </c>
      <c r="SYF1" s="154" t="str">
        <f t="shared" si="210"/>
        <v>y</v>
      </c>
      <c r="SYG1" s="154" t="str">
        <f t="shared" si="210"/>
        <v>y</v>
      </c>
      <c r="SYH1" s="154" t="str">
        <f t="shared" si="210"/>
        <v>y</v>
      </c>
      <c r="SYI1" s="154" t="str">
        <f t="shared" si="210"/>
        <v>y</v>
      </c>
      <c r="SYJ1" s="154" t="str">
        <f t="shared" si="210"/>
        <v>y</v>
      </c>
      <c r="SYK1" s="154" t="str">
        <f t="shared" si="210"/>
        <v>y</v>
      </c>
      <c r="SYL1" s="154" t="str">
        <f t="shared" si="210"/>
        <v>y</v>
      </c>
      <c r="SYM1" s="154" t="str">
        <f t="shared" si="210"/>
        <v>y</v>
      </c>
      <c r="SYN1" s="154" t="str">
        <f t="shared" si="210"/>
        <v>y</v>
      </c>
      <c r="SYO1" s="154" t="str">
        <f t="shared" si="210"/>
        <v>y</v>
      </c>
      <c r="SYP1" s="154" t="str">
        <f t="shared" ref="SYP1:TBA1" si="211">SYP2&amp;"y"</f>
        <v>y</v>
      </c>
      <c r="SYQ1" s="154" t="str">
        <f t="shared" si="211"/>
        <v>y</v>
      </c>
      <c r="SYR1" s="154" t="str">
        <f t="shared" si="211"/>
        <v>y</v>
      </c>
      <c r="SYS1" s="154" t="str">
        <f t="shared" si="211"/>
        <v>y</v>
      </c>
      <c r="SYT1" s="154" t="str">
        <f t="shared" si="211"/>
        <v>y</v>
      </c>
      <c r="SYU1" s="154" t="str">
        <f t="shared" si="211"/>
        <v>y</v>
      </c>
      <c r="SYV1" s="154" t="str">
        <f t="shared" si="211"/>
        <v>y</v>
      </c>
      <c r="SYW1" s="154" t="str">
        <f t="shared" si="211"/>
        <v>y</v>
      </c>
      <c r="SYX1" s="154" t="str">
        <f t="shared" si="211"/>
        <v>y</v>
      </c>
      <c r="SYY1" s="154" t="str">
        <f t="shared" si="211"/>
        <v>y</v>
      </c>
      <c r="SYZ1" s="154" t="str">
        <f t="shared" si="211"/>
        <v>y</v>
      </c>
      <c r="SZA1" s="154" t="str">
        <f t="shared" si="211"/>
        <v>y</v>
      </c>
      <c r="SZB1" s="154" t="str">
        <f t="shared" si="211"/>
        <v>y</v>
      </c>
      <c r="SZC1" s="154" t="str">
        <f t="shared" si="211"/>
        <v>y</v>
      </c>
      <c r="SZD1" s="154" t="str">
        <f t="shared" si="211"/>
        <v>y</v>
      </c>
      <c r="SZE1" s="154" t="str">
        <f t="shared" si="211"/>
        <v>y</v>
      </c>
      <c r="SZF1" s="154" t="str">
        <f t="shared" si="211"/>
        <v>y</v>
      </c>
      <c r="SZG1" s="154" t="str">
        <f t="shared" si="211"/>
        <v>y</v>
      </c>
      <c r="SZH1" s="154" t="str">
        <f t="shared" si="211"/>
        <v>y</v>
      </c>
      <c r="SZI1" s="154" t="str">
        <f t="shared" si="211"/>
        <v>y</v>
      </c>
      <c r="SZJ1" s="154" t="str">
        <f t="shared" si="211"/>
        <v>y</v>
      </c>
      <c r="SZK1" s="154" t="str">
        <f t="shared" si="211"/>
        <v>y</v>
      </c>
      <c r="SZL1" s="154" t="str">
        <f t="shared" si="211"/>
        <v>y</v>
      </c>
      <c r="SZM1" s="154" t="str">
        <f t="shared" si="211"/>
        <v>y</v>
      </c>
      <c r="SZN1" s="154" t="str">
        <f t="shared" si="211"/>
        <v>y</v>
      </c>
      <c r="SZO1" s="154" t="str">
        <f t="shared" si="211"/>
        <v>y</v>
      </c>
      <c r="SZP1" s="154" t="str">
        <f t="shared" si="211"/>
        <v>y</v>
      </c>
      <c r="SZQ1" s="154" t="str">
        <f t="shared" si="211"/>
        <v>y</v>
      </c>
      <c r="SZR1" s="154" t="str">
        <f t="shared" si="211"/>
        <v>y</v>
      </c>
      <c r="SZS1" s="154" t="str">
        <f t="shared" si="211"/>
        <v>y</v>
      </c>
      <c r="SZT1" s="154" t="str">
        <f t="shared" si="211"/>
        <v>y</v>
      </c>
      <c r="SZU1" s="154" t="str">
        <f t="shared" si="211"/>
        <v>y</v>
      </c>
      <c r="SZV1" s="154" t="str">
        <f t="shared" si="211"/>
        <v>y</v>
      </c>
      <c r="SZW1" s="154" t="str">
        <f t="shared" si="211"/>
        <v>y</v>
      </c>
      <c r="SZX1" s="154" t="str">
        <f t="shared" si="211"/>
        <v>y</v>
      </c>
      <c r="SZY1" s="154" t="str">
        <f t="shared" si="211"/>
        <v>y</v>
      </c>
      <c r="SZZ1" s="154" t="str">
        <f t="shared" si="211"/>
        <v>y</v>
      </c>
      <c r="TAA1" s="154" t="str">
        <f t="shared" si="211"/>
        <v>y</v>
      </c>
      <c r="TAB1" s="154" t="str">
        <f t="shared" si="211"/>
        <v>y</v>
      </c>
      <c r="TAC1" s="154" t="str">
        <f t="shared" si="211"/>
        <v>y</v>
      </c>
      <c r="TAD1" s="154" t="str">
        <f t="shared" si="211"/>
        <v>y</v>
      </c>
      <c r="TAE1" s="154" t="str">
        <f t="shared" si="211"/>
        <v>y</v>
      </c>
      <c r="TAF1" s="154" t="str">
        <f t="shared" si="211"/>
        <v>y</v>
      </c>
      <c r="TAG1" s="154" t="str">
        <f t="shared" si="211"/>
        <v>y</v>
      </c>
      <c r="TAH1" s="154" t="str">
        <f t="shared" si="211"/>
        <v>y</v>
      </c>
      <c r="TAI1" s="154" t="str">
        <f t="shared" si="211"/>
        <v>y</v>
      </c>
      <c r="TAJ1" s="154" t="str">
        <f t="shared" si="211"/>
        <v>y</v>
      </c>
      <c r="TAK1" s="154" t="str">
        <f t="shared" si="211"/>
        <v>y</v>
      </c>
      <c r="TAL1" s="154" t="str">
        <f t="shared" si="211"/>
        <v>y</v>
      </c>
      <c r="TAM1" s="154" t="str">
        <f t="shared" si="211"/>
        <v>y</v>
      </c>
      <c r="TAN1" s="154" t="str">
        <f t="shared" si="211"/>
        <v>y</v>
      </c>
      <c r="TAO1" s="154" t="str">
        <f t="shared" si="211"/>
        <v>y</v>
      </c>
      <c r="TAP1" s="154" t="str">
        <f t="shared" si="211"/>
        <v>y</v>
      </c>
      <c r="TAQ1" s="154" t="str">
        <f t="shared" si="211"/>
        <v>y</v>
      </c>
      <c r="TAR1" s="154" t="str">
        <f t="shared" si="211"/>
        <v>y</v>
      </c>
      <c r="TAS1" s="154" t="str">
        <f t="shared" si="211"/>
        <v>y</v>
      </c>
      <c r="TAT1" s="154" t="str">
        <f t="shared" si="211"/>
        <v>y</v>
      </c>
      <c r="TAU1" s="154" t="str">
        <f t="shared" si="211"/>
        <v>y</v>
      </c>
      <c r="TAV1" s="154" t="str">
        <f t="shared" si="211"/>
        <v>y</v>
      </c>
      <c r="TAW1" s="154" t="str">
        <f t="shared" si="211"/>
        <v>y</v>
      </c>
      <c r="TAX1" s="154" t="str">
        <f t="shared" si="211"/>
        <v>y</v>
      </c>
      <c r="TAY1" s="154" t="str">
        <f t="shared" si="211"/>
        <v>y</v>
      </c>
      <c r="TAZ1" s="154" t="str">
        <f t="shared" si="211"/>
        <v>y</v>
      </c>
      <c r="TBA1" s="154" t="str">
        <f t="shared" si="211"/>
        <v>y</v>
      </c>
      <c r="TBB1" s="154" t="str">
        <f t="shared" ref="TBB1:TDM1" si="212">TBB2&amp;"y"</f>
        <v>y</v>
      </c>
      <c r="TBC1" s="154" t="str">
        <f t="shared" si="212"/>
        <v>y</v>
      </c>
      <c r="TBD1" s="154" t="str">
        <f t="shared" si="212"/>
        <v>y</v>
      </c>
      <c r="TBE1" s="154" t="str">
        <f t="shared" si="212"/>
        <v>y</v>
      </c>
      <c r="TBF1" s="154" t="str">
        <f t="shared" si="212"/>
        <v>y</v>
      </c>
      <c r="TBG1" s="154" t="str">
        <f t="shared" si="212"/>
        <v>y</v>
      </c>
      <c r="TBH1" s="154" t="str">
        <f t="shared" si="212"/>
        <v>y</v>
      </c>
      <c r="TBI1" s="154" t="str">
        <f t="shared" si="212"/>
        <v>y</v>
      </c>
      <c r="TBJ1" s="154" t="str">
        <f t="shared" si="212"/>
        <v>y</v>
      </c>
      <c r="TBK1" s="154" t="str">
        <f t="shared" si="212"/>
        <v>y</v>
      </c>
      <c r="TBL1" s="154" t="str">
        <f t="shared" si="212"/>
        <v>y</v>
      </c>
      <c r="TBM1" s="154" t="str">
        <f t="shared" si="212"/>
        <v>y</v>
      </c>
      <c r="TBN1" s="154" t="str">
        <f t="shared" si="212"/>
        <v>y</v>
      </c>
      <c r="TBO1" s="154" t="str">
        <f t="shared" si="212"/>
        <v>y</v>
      </c>
      <c r="TBP1" s="154" t="str">
        <f t="shared" si="212"/>
        <v>y</v>
      </c>
      <c r="TBQ1" s="154" t="str">
        <f t="shared" si="212"/>
        <v>y</v>
      </c>
      <c r="TBR1" s="154" t="str">
        <f t="shared" si="212"/>
        <v>y</v>
      </c>
      <c r="TBS1" s="154" t="str">
        <f t="shared" si="212"/>
        <v>y</v>
      </c>
      <c r="TBT1" s="154" t="str">
        <f t="shared" si="212"/>
        <v>y</v>
      </c>
      <c r="TBU1" s="154" t="str">
        <f t="shared" si="212"/>
        <v>y</v>
      </c>
      <c r="TBV1" s="154" t="str">
        <f t="shared" si="212"/>
        <v>y</v>
      </c>
      <c r="TBW1" s="154" t="str">
        <f t="shared" si="212"/>
        <v>y</v>
      </c>
      <c r="TBX1" s="154" t="str">
        <f t="shared" si="212"/>
        <v>y</v>
      </c>
      <c r="TBY1" s="154" t="str">
        <f t="shared" si="212"/>
        <v>y</v>
      </c>
      <c r="TBZ1" s="154" t="str">
        <f t="shared" si="212"/>
        <v>y</v>
      </c>
      <c r="TCA1" s="154" t="str">
        <f t="shared" si="212"/>
        <v>y</v>
      </c>
      <c r="TCB1" s="154" t="str">
        <f t="shared" si="212"/>
        <v>y</v>
      </c>
      <c r="TCC1" s="154" t="str">
        <f t="shared" si="212"/>
        <v>y</v>
      </c>
      <c r="TCD1" s="154" t="str">
        <f t="shared" si="212"/>
        <v>y</v>
      </c>
      <c r="TCE1" s="154" t="str">
        <f t="shared" si="212"/>
        <v>y</v>
      </c>
      <c r="TCF1" s="154" t="str">
        <f t="shared" si="212"/>
        <v>y</v>
      </c>
      <c r="TCG1" s="154" t="str">
        <f t="shared" si="212"/>
        <v>y</v>
      </c>
      <c r="TCH1" s="154" t="str">
        <f t="shared" si="212"/>
        <v>y</v>
      </c>
      <c r="TCI1" s="154" t="str">
        <f t="shared" si="212"/>
        <v>y</v>
      </c>
      <c r="TCJ1" s="154" t="str">
        <f t="shared" si="212"/>
        <v>y</v>
      </c>
      <c r="TCK1" s="154" t="str">
        <f t="shared" si="212"/>
        <v>y</v>
      </c>
      <c r="TCL1" s="154" t="str">
        <f t="shared" si="212"/>
        <v>y</v>
      </c>
      <c r="TCM1" s="154" t="str">
        <f t="shared" si="212"/>
        <v>y</v>
      </c>
      <c r="TCN1" s="154" t="str">
        <f t="shared" si="212"/>
        <v>y</v>
      </c>
      <c r="TCO1" s="154" t="str">
        <f t="shared" si="212"/>
        <v>y</v>
      </c>
      <c r="TCP1" s="154" t="str">
        <f t="shared" si="212"/>
        <v>y</v>
      </c>
      <c r="TCQ1" s="154" t="str">
        <f t="shared" si="212"/>
        <v>y</v>
      </c>
      <c r="TCR1" s="154" t="str">
        <f t="shared" si="212"/>
        <v>y</v>
      </c>
      <c r="TCS1" s="154" t="str">
        <f t="shared" si="212"/>
        <v>y</v>
      </c>
      <c r="TCT1" s="154" t="str">
        <f t="shared" si="212"/>
        <v>y</v>
      </c>
      <c r="TCU1" s="154" t="str">
        <f t="shared" si="212"/>
        <v>y</v>
      </c>
      <c r="TCV1" s="154" t="str">
        <f t="shared" si="212"/>
        <v>y</v>
      </c>
      <c r="TCW1" s="154" t="str">
        <f t="shared" si="212"/>
        <v>y</v>
      </c>
      <c r="TCX1" s="154" t="str">
        <f t="shared" si="212"/>
        <v>y</v>
      </c>
      <c r="TCY1" s="154" t="str">
        <f t="shared" si="212"/>
        <v>y</v>
      </c>
      <c r="TCZ1" s="154" t="str">
        <f t="shared" si="212"/>
        <v>y</v>
      </c>
      <c r="TDA1" s="154" t="str">
        <f t="shared" si="212"/>
        <v>y</v>
      </c>
      <c r="TDB1" s="154" t="str">
        <f t="shared" si="212"/>
        <v>y</v>
      </c>
      <c r="TDC1" s="154" t="str">
        <f t="shared" si="212"/>
        <v>y</v>
      </c>
      <c r="TDD1" s="154" t="str">
        <f t="shared" si="212"/>
        <v>y</v>
      </c>
      <c r="TDE1" s="154" t="str">
        <f t="shared" si="212"/>
        <v>y</v>
      </c>
      <c r="TDF1" s="154" t="str">
        <f t="shared" si="212"/>
        <v>y</v>
      </c>
      <c r="TDG1" s="154" t="str">
        <f t="shared" si="212"/>
        <v>y</v>
      </c>
      <c r="TDH1" s="154" t="str">
        <f t="shared" si="212"/>
        <v>y</v>
      </c>
      <c r="TDI1" s="154" t="str">
        <f t="shared" si="212"/>
        <v>y</v>
      </c>
      <c r="TDJ1" s="154" t="str">
        <f t="shared" si="212"/>
        <v>y</v>
      </c>
      <c r="TDK1" s="154" t="str">
        <f t="shared" si="212"/>
        <v>y</v>
      </c>
      <c r="TDL1" s="154" t="str">
        <f t="shared" si="212"/>
        <v>y</v>
      </c>
      <c r="TDM1" s="154" t="str">
        <f t="shared" si="212"/>
        <v>y</v>
      </c>
      <c r="TDN1" s="154" t="str">
        <f t="shared" ref="TDN1:TFY1" si="213">TDN2&amp;"y"</f>
        <v>y</v>
      </c>
      <c r="TDO1" s="154" t="str">
        <f t="shared" si="213"/>
        <v>y</v>
      </c>
      <c r="TDP1" s="154" t="str">
        <f t="shared" si="213"/>
        <v>y</v>
      </c>
      <c r="TDQ1" s="154" t="str">
        <f t="shared" si="213"/>
        <v>y</v>
      </c>
      <c r="TDR1" s="154" t="str">
        <f t="shared" si="213"/>
        <v>y</v>
      </c>
      <c r="TDS1" s="154" t="str">
        <f t="shared" si="213"/>
        <v>y</v>
      </c>
      <c r="TDT1" s="154" t="str">
        <f t="shared" si="213"/>
        <v>y</v>
      </c>
      <c r="TDU1" s="154" t="str">
        <f t="shared" si="213"/>
        <v>y</v>
      </c>
      <c r="TDV1" s="154" t="str">
        <f t="shared" si="213"/>
        <v>y</v>
      </c>
      <c r="TDW1" s="154" t="str">
        <f t="shared" si="213"/>
        <v>y</v>
      </c>
      <c r="TDX1" s="154" t="str">
        <f t="shared" si="213"/>
        <v>y</v>
      </c>
      <c r="TDY1" s="154" t="str">
        <f t="shared" si="213"/>
        <v>y</v>
      </c>
      <c r="TDZ1" s="154" t="str">
        <f t="shared" si="213"/>
        <v>y</v>
      </c>
      <c r="TEA1" s="154" t="str">
        <f t="shared" si="213"/>
        <v>y</v>
      </c>
      <c r="TEB1" s="154" t="str">
        <f t="shared" si="213"/>
        <v>y</v>
      </c>
      <c r="TEC1" s="154" t="str">
        <f t="shared" si="213"/>
        <v>y</v>
      </c>
      <c r="TED1" s="154" t="str">
        <f t="shared" si="213"/>
        <v>y</v>
      </c>
      <c r="TEE1" s="154" t="str">
        <f t="shared" si="213"/>
        <v>y</v>
      </c>
      <c r="TEF1" s="154" t="str">
        <f t="shared" si="213"/>
        <v>y</v>
      </c>
      <c r="TEG1" s="154" t="str">
        <f t="shared" si="213"/>
        <v>y</v>
      </c>
      <c r="TEH1" s="154" t="str">
        <f t="shared" si="213"/>
        <v>y</v>
      </c>
      <c r="TEI1" s="154" t="str">
        <f t="shared" si="213"/>
        <v>y</v>
      </c>
      <c r="TEJ1" s="154" t="str">
        <f t="shared" si="213"/>
        <v>y</v>
      </c>
      <c r="TEK1" s="154" t="str">
        <f t="shared" si="213"/>
        <v>y</v>
      </c>
      <c r="TEL1" s="154" t="str">
        <f t="shared" si="213"/>
        <v>y</v>
      </c>
      <c r="TEM1" s="154" t="str">
        <f t="shared" si="213"/>
        <v>y</v>
      </c>
      <c r="TEN1" s="154" t="str">
        <f t="shared" si="213"/>
        <v>y</v>
      </c>
      <c r="TEO1" s="154" t="str">
        <f t="shared" si="213"/>
        <v>y</v>
      </c>
      <c r="TEP1" s="154" t="str">
        <f t="shared" si="213"/>
        <v>y</v>
      </c>
      <c r="TEQ1" s="154" t="str">
        <f t="shared" si="213"/>
        <v>y</v>
      </c>
      <c r="TER1" s="154" t="str">
        <f t="shared" si="213"/>
        <v>y</v>
      </c>
      <c r="TES1" s="154" t="str">
        <f t="shared" si="213"/>
        <v>y</v>
      </c>
      <c r="TET1" s="154" t="str">
        <f t="shared" si="213"/>
        <v>y</v>
      </c>
      <c r="TEU1" s="154" t="str">
        <f t="shared" si="213"/>
        <v>y</v>
      </c>
      <c r="TEV1" s="154" t="str">
        <f t="shared" si="213"/>
        <v>y</v>
      </c>
      <c r="TEW1" s="154" t="str">
        <f t="shared" si="213"/>
        <v>y</v>
      </c>
      <c r="TEX1" s="154" t="str">
        <f t="shared" si="213"/>
        <v>y</v>
      </c>
      <c r="TEY1" s="154" t="str">
        <f t="shared" si="213"/>
        <v>y</v>
      </c>
      <c r="TEZ1" s="154" t="str">
        <f t="shared" si="213"/>
        <v>y</v>
      </c>
      <c r="TFA1" s="154" t="str">
        <f t="shared" si="213"/>
        <v>y</v>
      </c>
      <c r="TFB1" s="154" t="str">
        <f t="shared" si="213"/>
        <v>y</v>
      </c>
      <c r="TFC1" s="154" t="str">
        <f t="shared" si="213"/>
        <v>y</v>
      </c>
      <c r="TFD1" s="154" t="str">
        <f t="shared" si="213"/>
        <v>y</v>
      </c>
      <c r="TFE1" s="154" t="str">
        <f t="shared" si="213"/>
        <v>y</v>
      </c>
      <c r="TFF1" s="154" t="str">
        <f t="shared" si="213"/>
        <v>y</v>
      </c>
      <c r="TFG1" s="154" t="str">
        <f t="shared" si="213"/>
        <v>y</v>
      </c>
      <c r="TFH1" s="154" t="str">
        <f t="shared" si="213"/>
        <v>y</v>
      </c>
      <c r="TFI1" s="154" t="str">
        <f t="shared" si="213"/>
        <v>y</v>
      </c>
      <c r="TFJ1" s="154" t="str">
        <f t="shared" si="213"/>
        <v>y</v>
      </c>
      <c r="TFK1" s="154" t="str">
        <f t="shared" si="213"/>
        <v>y</v>
      </c>
      <c r="TFL1" s="154" t="str">
        <f t="shared" si="213"/>
        <v>y</v>
      </c>
      <c r="TFM1" s="154" t="str">
        <f t="shared" si="213"/>
        <v>y</v>
      </c>
      <c r="TFN1" s="154" t="str">
        <f t="shared" si="213"/>
        <v>y</v>
      </c>
      <c r="TFO1" s="154" t="str">
        <f t="shared" si="213"/>
        <v>y</v>
      </c>
      <c r="TFP1" s="154" t="str">
        <f t="shared" si="213"/>
        <v>y</v>
      </c>
      <c r="TFQ1" s="154" t="str">
        <f t="shared" si="213"/>
        <v>y</v>
      </c>
      <c r="TFR1" s="154" t="str">
        <f t="shared" si="213"/>
        <v>y</v>
      </c>
      <c r="TFS1" s="154" t="str">
        <f t="shared" si="213"/>
        <v>y</v>
      </c>
      <c r="TFT1" s="154" t="str">
        <f t="shared" si="213"/>
        <v>y</v>
      </c>
      <c r="TFU1" s="154" t="str">
        <f t="shared" si="213"/>
        <v>y</v>
      </c>
      <c r="TFV1" s="154" t="str">
        <f t="shared" si="213"/>
        <v>y</v>
      </c>
      <c r="TFW1" s="154" t="str">
        <f t="shared" si="213"/>
        <v>y</v>
      </c>
      <c r="TFX1" s="154" t="str">
        <f t="shared" si="213"/>
        <v>y</v>
      </c>
      <c r="TFY1" s="154" t="str">
        <f t="shared" si="213"/>
        <v>y</v>
      </c>
      <c r="TFZ1" s="154" t="str">
        <f t="shared" ref="TFZ1:TIK1" si="214">TFZ2&amp;"y"</f>
        <v>y</v>
      </c>
      <c r="TGA1" s="154" t="str">
        <f t="shared" si="214"/>
        <v>y</v>
      </c>
      <c r="TGB1" s="154" t="str">
        <f t="shared" si="214"/>
        <v>y</v>
      </c>
      <c r="TGC1" s="154" t="str">
        <f t="shared" si="214"/>
        <v>y</v>
      </c>
      <c r="TGD1" s="154" t="str">
        <f t="shared" si="214"/>
        <v>y</v>
      </c>
      <c r="TGE1" s="154" t="str">
        <f t="shared" si="214"/>
        <v>y</v>
      </c>
      <c r="TGF1" s="154" t="str">
        <f t="shared" si="214"/>
        <v>y</v>
      </c>
      <c r="TGG1" s="154" t="str">
        <f t="shared" si="214"/>
        <v>y</v>
      </c>
      <c r="TGH1" s="154" t="str">
        <f t="shared" si="214"/>
        <v>y</v>
      </c>
      <c r="TGI1" s="154" t="str">
        <f t="shared" si="214"/>
        <v>y</v>
      </c>
      <c r="TGJ1" s="154" t="str">
        <f t="shared" si="214"/>
        <v>y</v>
      </c>
      <c r="TGK1" s="154" t="str">
        <f t="shared" si="214"/>
        <v>y</v>
      </c>
      <c r="TGL1" s="154" t="str">
        <f t="shared" si="214"/>
        <v>y</v>
      </c>
      <c r="TGM1" s="154" t="str">
        <f t="shared" si="214"/>
        <v>y</v>
      </c>
      <c r="TGN1" s="154" t="str">
        <f t="shared" si="214"/>
        <v>y</v>
      </c>
      <c r="TGO1" s="154" t="str">
        <f t="shared" si="214"/>
        <v>y</v>
      </c>
      <c r="TGP1" s="154" t="str">
        <f t="shared" si="214"/>
        <v>y</v>
      </c>
      <c r="TGQ1" s="154" t="str">
        <f t="shared" si="214"/>
        <v>y</v>
      </c>
      <c r="TGR1" s="154" t="str">
        <f t="shared" si="214"/>
        <v>y</v>
      </c>
      <c r="TGS1" s="154" t="str">
        <f t="shared" si="214"/>
        <v>y</v>
      </c>
      <c r="TGT1" s="154" t="str">
        <f t="shared" si="214"/>
        <v>y</v>
      </c>
      <c r="TGU1" s="154" t="str">
        <f t="shared" si="214"/>
        <v>y</v>
      </c>
      <c r="TGV1" s="154" t="str">
        <f t="shared" si="214"/>
        <v>y</v>
      </c>
      <c r="TGW1" s="154" t="str">
        <f t="shared" si="214"/>
        <v>y</v>
      </c>
      <c r="TGX1" s="154" t="str">
        <f t="shared" si="214"/>
        <v>y</v>
      </c>
      <c r="TGY1" s="154" t="str">
        <f t="shared" si="214"/>
        <v>y</v>
      </c>
      <c r="TGZ1" s="154" t="str">
        <f t="shared" si="214"/>
        <v>y</v>
      </c>
      <c r="THA1" s="154" t="str">
        <f t="shared" si="214"/>
        <v>y</v>
      </c>
      <c r="THB1" s="154" t="str">
        <f t="shared" si="214"/>
        <v>y</v>
      </c>
      <c r="THC1" s="154" t="str">
        <f t="shared" si="214"/>
        <v>y</v>
      </c>
      <c r="THD1" s="154" t="str">
        <f t="shared" si="214"/>
        <v>y</v>
      </c>
      <c r="THE1" s="154" t="str">
        <f t="shared" si="214"/>
        <v>y</v>
      </c>
      <c r="THF1" s="154" t="str">
        <f t="shared" si="214"/>
        <v>y</v>
      </c>
      <c r="THG1" s="154" t="str">
        <f t="shared" si="214"/>
        <v>y</v>
      </c>
      <c r="THH1" s="154" t="str">
        <f t="shared" si="214"/>
        <v>y</v>
      </c>
      <c r="THI1" s="154" t="str">
        <f t="shared" si="214"/>
        <v>y</v>
      </c>
      <c r="THJ1" s="154" t="str">
        <f t="shared" si="214"/>
        <v>y</v>
      </c>
      <c r="THK1" s="154" t="str">
        <f t="shared" si="214"/>
        <v>y</v>
      </c>
      <c r="THL1" s="154" t="str">
        <f t="shared" si="214"/>
        <v>y</v>
      </c>
      <c r="THM1" s="154" t="str">
        <f t="shared" si="214"/>
        <v>y</v>
      </c>
      <c r="THN1" s="154" t="str">
        <f t="shared" si="214"/>
        <v>y</v>
      </c>
      <c r="THO1" s="154" t="str">
        <f t="shared" si="214"/>
        <v>y</v>
      </c>
      <c r="THP1" s="154" t="str">
        <f t="shared" si="214"/>
        <v>y</v>
      </c>
      <c r="THQ1" s="154" t="str">
        <f t="shared" si="214"/>
        <v>y</v>
      </c>
      <c r="THR1" s="154" t="str">
        <f t="shared" si="214"/>
        <v>y</v>
      </c>
      <c r="THS1" s="154" t="str">
        <f t="shared" si="214"/>
        <v>y</v>
      </c>
      <c r="THT1" s="154" t="str">
        <f t="shared" si="214"/>
        <v>y</v>
      </c>
      <c r="THU1" s="154" t="str">
        <f t="shared" si="214"/>
        <v>y</v>
      </c>
      <c r="THV1" s="154" t="str">
        <f t="shared" si="214"/>
        <v>y</v>
      </c>
      <c r="THW1" s="154" t="str">
        <f t="shared" si="214"/>
        <v>y</v>
      </c>
      <c r="THX1" s="154" t="str">
        <f t="shared" si="214"/>
        <v>y</v>
      </c>
      <c r="THY1" s="154" t="str">
        <f t="shared" si="214"/>
        <v>y</v>
      </c>
      <c r="THZ1" s="154" t="str">
        <f t="shared" si="214"/>
        <v>y</v>
      </c>
      <c r="TIA1" s="154" t="str">
        <f t="shared" si="214"/>
        <v>y</v>
      </c>
      <c r="TIB1" s="154" t="str">
        <f t="shared" si="214"/>
        <v>y</v>
      </c>
      <c r="TIC1" s="154" t="str">
        <f t="shared" si="214"/>
        <v>y</v>
      </c>
      <c r="TID1" s="154" t="str">
        <f t="shared" si="214"/>
        <v>y</v>
      </c>
      <c r="TIE1" s="154" t="str">
        <f t="shared" si="214"/>
        <v>y</v>
      </c>
      <c r="TIF1" s="154" t="str">
        <f t="shared" si="214"/>
        <v>y</v>
      </c>
      <c r="TIG1" s="154" t="str">
        <f t="shared" si="214"/>
        <v>y</v>
      </c>
      <c r="TIH1" s="154" t="str">
        <f t="shared" si="214"/>
        <v>y</v>
      </c>
      <c r="TII1" s="154" t="str">
        <f t="shared" si="214"/>
        <v>y</v>
      </c>
      <c r="TIJ1" s="154" t="str">
        <f t="shared" si="214"/>
        <v>y</v>
      </c>
      <c r="TIK1" s="154" t="str">
        <f t="shared" si="214"/>
        <v>y</v>
      </c>
      <c r="TIL1" s="154" t="str">
        <f t="shared" ref="TIL1:TKW1" si="215">TIL2&amp;"y"</f>
        <v>y</v>
      </c>
      <c r="TIM1" s="154" t="str">
        <f t="shared" si="215"/>
        <v>y</v>
      </c>
      <c r="TIN1" s="154" t="str">
        <f t="shared" si="215"/>
        <v>y</v>
      </c>
      <c r="TIO1" s="154" t="str">
        <f t="shared" si="215"/>
        <v>y</v>
      </c>
      <c r="TIP1" s="154" t="str">
        <f t="shared" si="215"/>
        <v>y</v>
      </c>
      <c r="TIQ1" s="154" t="str">
        <f t="shared" si="215"/>
        <v>y</v>
      </c>
      <c r="TIR1" s="154" t="str">
        <f t="shared" si="215"/>
        <v>y</v>
      </c>
      <c r="TIS1" s="154" t="str">
        <f t="shared" si="215"/>
        <v>y</v>
      </c>
      <c r="TIT1" s="154" t="str">
        <f t="shared" si="215"/>
        <v>y</v>
      </c>
      <c r="TIU1" s="154" t="str">
        <f t="shared" si="215"/>
        <v>y</v>
      </c>
      <c r="TIV1" s="154" t="str">
        <f t="shared" si="215"/>
        <v>y</v>
      </c>
      <c r="TIW1" s="154" t="str">
        <f t="shared" si="215"/>
        <v>y</v>
      </c>
      <c r="TIX1" s="154" t="str">
        <f t="shared" si="215"/>
        <v>y</v>
      </c>
      <c r="TIY1" s="154" t="str">
        <f t="shared" si="215"/>
        <v>y</v>
      </c>
      <c r="TIZ1" s="154" t="str">
        <f t="shared" si="215"/>
        <v>y</v>
      </c>
      <c r="TJA1" s="154" t="str">
        <f t="shared" si="215"/>
        <v>y</v>
      </c>
      <c r="TJB1" s="154" t="str">
        <f t="shared" si="215"/>
        <v>y</v>
      </c>
      <c r="TJC1" s="154" t="str">
        <f t="shared" si="215"/>
        <v>y</v>
      </c>
      <c r="TJD1" s="154" t="str">
        <f t="shared" si="215"/>
        <v>y</v>
      </c>
      <c r="TJE1" s="154" t="str">
        <f t="shared" si="215"/>
        <v>y</v>
      </c>
      <c r="TJF1" s="154" t="str">
        <f t="shared" si="215"/>
        <v>y</v>
      </c>
      <c r="TJG1" s="154" t="str">
        <f t="shared" si="215"/>
        <v>y</v>
      </c>
      <c r="TJH1" s="154" t="str">
        <f t="shared" si="215"/>
        <v>y</v>
      </c>
      <c r="TJI1" s="154" t="str">
        <f t="shared" si="215"/>
        <v>y</v>
      </c>
      <c r="TJJ1" s="154" t="str">
        <f t="shared" si="215"/>
        <v>y</v>
      </c>
      <c r="TJK1" s="154" t="str">
        <f t="shared" si="215"/>
        <v>y</v>
      </c>
      <c r="TJL1" s="154" t="str">
        <f t="shared" si="215"/>
        <v>y</v>
      </c>
      <c r="TJM1" s="154" t="str">
        <f t="shared" si="215"/>
        <v>y</v>
      </c>
      <c r="TJN1" s="154" t="str">
        <f t="shared" si="215"/>
        <v>y</v>
      </c>
      <c r="TJO1" s="154" t="str">
        <f t="shared" si="215"/>
        <v>y</v>
      </c>
      <c r="TJP1" s="154" t="str">
        <f t="shared" si="215"/>
        <v>y</v>
      </c>
      <c r="TJQ1" s="154" t="str">
        <f t="shared" si="215"/>
        <v>y</v>
      </c>
      <c r="TJR1" s="154" t="str">
        <f t="shared" si="215"/>
        <v>y</v>
      </c>
      <c r="TJS1" s="154" t="str">
        <f t="shared" si="215"/>
        <v>y</v>
      </c>
      <c r="TJT1" s="154" t="str">
        <f t="shared" si="215"/>
        <v>y</v>
      </c>
      <c r="TJU1" s="154" t="str">
        <f t="shared" si="215"/>
        <v>y</v>
      </c>
      <c r="TJV1" s="154" t="str">
        <f t="shared" si="215"/>
        <v>y</v>
      </c>
      <c r="TJW1" s="154" t="str">
        <f t="shared" si="215"/>
        <v>y</v>
      </c>
      <c r="TJX1" s="154" t="str">
        <f t="shared" si="215"/>
        <v>y</v>
      </c>
      <c r="TJY1" s="154" t="str">
        <f t="shared" si="215"/>
        <v>y</v>
      </c>
      <c r="TJZ1" s="154" t="str">
        <f t="shared" si="215"/>
        <v>y</v>
      </c>
      <c r="TKA1" s="154" t="str">
        <f t="shared" si="215"/>
        <v>y</v>
      </c>
      <c r="TKB1" s="154" t="str">
        <f t="shared" si="215"/>
        <v>y</v>
      </c>
      <c r="TKC1" s="154" t="str">
        <f t="shared" si="215"/>
        <v>y</v>
      </c>
      <c r="TKD1" s="154" t="str">
        <f t="shared" si="215"/>
        <v>y</v>
      </c>
      <c r="TKE1" s="154" t="str">
        <f t="shared" si="215"/>
        <v>y</v>
      </c>
      <c r="TKF1" s="154" t="str">
        <f t="shared" si="215"/>
        <v>y</v>
      </c>
      <c r="TKG1" s="154" t="str">
        <f t="shared" si="215"/>
        <v>y</v>
      </c>
      <c r="TKH1" s="154" t="str">
        <f t="shared" si="215"/>
        <v>y</v>
      </c>
      <c r="TKI1" s="154" t="str">
        <f t="shared" si="215"/>
        <v>y</v>
      </c>
      <c r="TKJ1" s="154" t="str">
        <f t="shared" si="215"/>
        <v>y</v>
      </c>
      <c r="TKK1" s="154" t="str">
        <f t="shared" si="215"/>
        <v>y</v>
      </c>
      <c r="TKL1" s="154" t="str">
        <f t="shared" si="215"/>
        <v>y</v>
      </c>
      <c r="TKM1" s="154" t="str">
        <f t="shared" si="215"/>
        <v>y</v>
      </c>
      <c r="TKN1" s="154" t="str">
        <f t="shared" si="215"/>
        <v>y</v>
      </c>
      <c r="TKO1" s="154" t="str">
        <f t="shared" si="215"/>
        <v>y</v>
      </c>
      <c r="TKP1" s="154" t="str">
        <f t="shared" si="215"/>
        <v>y</v>
      </c>
      <c r="TKQ1" s="154" t="str">
        <f t="shared" si="215"/>
        <v>y</v>
      </c>
      <c r="TKR1" s="154" t="str">
        <f t="shared" si="215"/>
        <v>y</v>
      </c>
      <c r="TKS1" s="154" t="str">
        <f t="shared" si="215"/>
        <v>y</v>
      </c>
      <c r="TKT1" s="154" t="str">
        <f t="shared" si="215"/>
        <v>y</v>
      </c>
      <c r="TKU1" s="154" t="str">
        <f t="shared" si="215"/>
        <v>y</v>
      </c>
      <c r="TKV1" s="154" t="str">
        <f t="shared" si="215"/>
        <v>y</v>
      </c>
      <c r="TKW1" s="154" t="str">
        <f t="shared" si="215"/>
        <v>y</v>
      </c>
      <c r="TKX1" s="154" t="str">
        <f t="shared" ref="TKX1:TNI1" si="216">TKX2&amp;"y"</f>
        <v>y</v>
      </c>
      <c r="TKY1" s="154" t="str">
        <f t="shared" si="216"/>
        <v>y</v>
      </c>
      <c r="TKZ1" s="154" t="str">
        <f t="shared" si="216"/>
        <v>y</v>
      </c>
      <c r="TLA1" s="154" t="str">
        <f t="shared" si="216"/>
        <v>y</v>
      </c>
      <c r="TLB1" s="154" t="str">
        <f t="shared" si="216"/>
        <v>y</v>
      </c>
      <c r="TLC1" s="154" t="str">
        <f t="shared" si="216"/>
        <v>y</v>
      </c>
      <c r="TLD1" s="154" t="str">
        <f t="shared" si="216"/>
        <v>y</v>
      </c>
      <c r="TLE1" s="154" t="str">
        <f t="shared" si="216"/>
        <v>y</v>
      </c>
      <c r="TLF1" s="154" t="str">
        <f t="shared" si="216"/>
        <v>y</v>
      </c>
      <c r="TLG1" s="154" t="str">
        <f t="shared" si="216"/>
        <v>y</v>
      </c>
      <c r="TLH1" s="154" t="str">
        <f t="shared" si="216"/>
        <v>y</v>
      </c>
      <c r="TLI1" s="154" t="str">
        <f t="shared" si="216"/>
        <v>y</v>
      </c>
      <c r="TLJ1" s="154" t="str">
        <f t="shared" si="216"/>
        <v>y</v>
      </c>
      <c r="TLK1" s="154" t="str">
        <f t="shared" si="216"/>
        <v>y</v>
      </c>
      <c r="TLL1" s="154" t="str">
        <f t="shared" si="216"/>
        <v>y</v>
      </c>
      <c r="TLM1" s="154" t="str">
        <f t="shared" si="216"/>
        <v>y</v>
      </c>
      <c r="TLN1" s="154" t="str">
        <f t="shared" si="216"/>
        <v>y</v>
      </c>
      <c r="TLO1" s="154" t="str">
        <f t="shared" si="216"/>
        <v>y</v>
      </c>
      <c r="TLP1" s="154" t="str">
        <f t="shared" si="216"/>
        <v>y</v>
      </c>
      <c r="TLQ1" s="154" t="str">
        <f t="shared" si="216"/>
        <v>y</v>
      </c>
      <c r="TLR1" s="154" t="str">
        <f t="shared" si="216"/>
        <v>y</v>
      </c>
      <c r="TLS1" s="154" t="str">
        <f t="shared" si="216"/>
        <v>y</v>
      </c>
      <c r="TLT1" s="154" t="str">
        <f t="shared" si="216"/>
        <v>y</v>
      </c>
      <c r="TLU1" s="154" t="str">
        <f t="shared" si="216"/>
        <v>y</v>
      </c>
      <c r="TLV1" s="154" t="str">
        <f t="shared" si="216"/>
        <v>y</v>
      </c>
      <c r="TLW1" s="154" t="str">
        <f t="shared" si="216"/>
        <v>y</v>
      </c>
      <c r="TLX1" s="154" t="str">
        <f t="shared" si="216"/>
        <v>y</v>
      </c>
      <c r="TLY1" s="154" t="str">
        <f t="shared" si="216"/>
        <v>y</v>
      </c>
      <c r="TLZ1" s="154" t="str">
        <f t="shared" si="216"/>
        <v>y</v>
      </c>
      <c r="TMA1" s="154" t="str">
        <f t="shared" si="216"/>
        <v>y</v>
      </c>
      <c r="TMB1" s="154" t="str">
        <f t="shared" si="216"/>
        <v>y</v>
      </c>
      <c r="TMC1" s="154" t="str">
        <f t="shared" si="216"/>
        <v>y</v>
      </c>
      <c r="TMD1" s="154" t="str">
        <f t="shared" si="216"/>
        <v>y</v>
      </c>
      <c r="TME1" s="154" t="str">
        <f t="shared" si="216"/>
        <v>y</v>
      </c>
      <c r="TMF1" s="154" t="str">
        <f t="shared" si="216"/>
        <v>y</v>
      </c>
      <c r="TMG1" s="154" t="str">
        <f t="shared" si="216"/>
        <v>y</v>
      </c>
      <c r="TMH1" s="154" t="str">
        <f t="shared" si="216"/>
        <v>y</v>
      </c>
      <c r="TMI1" s="154" t="str">
        <f t="shared" si="216"/>
        <v>y</v>
      </c>
      <c r="TMJ1" s="154" t="str">
        <f t="shared" si="216"/>
        <v>y</v>
      </c>
      <c r="TMK1" s="154" t="str">
        <f t="shared" si="216"/>
        <v>y</v>
      </c>
      <c r="TML1" s="154" t="str">
        <f t="shared" si="216"/>
        <v>y</v>
      </c>
      <c r="TMM1" s="154" t="str">
        <f t="shared" si="216"/>
        <v>y</v>
      </c>
      <c r="TMN1" s="154" t="str">
        <f t="shared" si="216"/>
        <v>y</v>
      </c>
      <c r="TMO1" s="154" t="str">
        <f t="shared" si="216"/>
        <v>y</v>
      </c>
      <c r="TMP1" s="154" t="str">
        <f t="shared" si="216"/>
        <v>y</v>
      </c>
      <c r="TMQ1" s="154" t="str">
        <f t="shared" si="216"/>
        <v>y</v>
      </c>
      <c r="TMR1" s="154" t="str">
        <f t="shared" si="216"/>
        <v>y</v>
      </c>
      <c r="TMS1" s="154" t="str">
        <f t="shared" si="216"/>
        <v>y</v>
      </c>
      <c r="TMT1" s="154" t="str">
        <f t="shared" si="216"/>
        <v>y</v>
      </c>
      <c r="TMU1" s="154" t="str">
        <f t="shared" si="216"/>
        <v>y</v>
      </c>
      <c r="TMV1" s="154" t="str">
        <f t="shared" si="216"/>
        <v>y</v>
      </c>
      <c r="TMW1" s="154" t="str">
        <f t="shared" si="216"/>
        <v>y</v>
      </c>
      <c r="TMX1" s="154" t="str">
        <f t="shared" si="216"/>
        <v>y</v>
      </c>
      <c r="TMY1" s="154" t="str">
        <f t="shared" si="216"/>
        <v>y</v>
      </c>
      <c r="TMZ1" s="154" t="str">
        <f t="shared" si="216"/>
        <v>y</v>
      </c>
      <c r="TNA1" s="154" t="str">
        <f t="shared" si="216"/>
        <v>y</v>
      </c>
      <c r="TNB1" s="154" t="str">
        <f t="shared" si="216"/>
        <v>y</v>
      </c>
      <c r="TNC1" s="154" t="str">
        <f t="shared" si="216"/>
        <v>y</v>
      </c>
      <c r="TND1" s="154" t="str">
        <f t="shared" si="216"/>
        <v>y</v>
      </c>
      <c r="TNE1" s="154" t="str">
        <f t="shared" si="216"/>
        <v>y</v>
      </c>
      <c r="TNF1" s="154" t="str">
        <f t="shared" si="216"/>
        <v>y</v>
      </c>
      <c r="TNG1" s="154" t="str">
        <f t="shared" si="216"/>
        <v>y</v>
      </c>
      <c r="TNH1" s="154" t="str">
        <f t="shared" si="216"/>
        <v>y</v>
      </c>
      <c r="TNI1" s="154" t="str">
        <f t="shared" si="216"/>
        <v>y</v>
      </c>
      <c r="TNJ1" s="154" t="str">
        <f t="shared" ref="TNJ1:TPU1" si="217">TNJ2&amp;"y"</f>
        <v>y</v>
      </c>
      <c r="TNK1" s="154" t="str">
        <f t="shared" si="217"/>
        <v>y</v>
      </c>
      <c r="TNL1" s="154" t="str">
        <f t="shared" si="217"/>
        <v>y</v>
      </c>
      <c r="TNM1" s="154" t="str">
        <f t="shared" si="217"/>
        <v>y</v>
      </c>
      <c r="TNN1" s="154" t="str">
        <f t="shared" si="217"/>
        <v>y</v>
      </c>
      <c r="TNO1" s="154" t="str">
        <f t="shared" si="217"/>
        <v>y</v>
      </c>
      <c r="TNP1" s="154" t="str">
        <f t="shared" si="217"/>
        <v>y</v>
      </c>
      <c r="TNQ1" s="154" t="str">
        <f t="shared" si="217"/>
        <v>y</v>
      </c>
      <c r="TNR1" s="154" t="str">
        <f t="shared" si="217"/>
        <v>y</v>
      </c>
      <c r="TNS1" s="154" t="str">
        <f t="shared" si="217"/>
        <v>y</v>
      </c>
      <c r="TNT1" s="154" t="str">
        <f t="shared" si="217"/>
        <v>y</v>
      </c>
      <c r="TNU1" s="154" t="str">
        <f t="shared" si="217"/>
        <v>y</v>
      </c>
      <c r="TNV1" s="154" t="str">
        <f t="shared" si="217"/>
        <v>y</v>
      </c>
      <c r="TNW1" s="154" t="str">
        <f t="shared" si="217"/>
        <v>y</v>
      </c>
      <c r="TNX1" s="154" t="str">
        <f t="shared" si="217"/>
        <v>y</v>
      </c>
      <c r="TNY1" s="154" t="str">
        <f t="shared" si="217"/>
        <v>y</v>
      </c>
      <c r="TNZ1" s="154" t="str">
        <f t="shared" si="217"/>
        <v>y</v>
      </c>
      <c r="TOA1" s="154" t="str">
        <f t="shared" si="217"/>
        <v>y</v>
      </c>
      <c r="TOB1" s="154" t="str">
        <f t="shared" si="217"/>
        <v>y</v>
      </c>
      <c r="TOC1" s="154" t="str">
        <f t="shared" si="217"/>
        <v>y</v>
      </c>
      <c r="TOD1" s="154" t="str">
        <f t="shared" si="217"/>
        <v>y</v>
      </c>
      <c r="TOE1" s="154" t="str">
        <f t="shared" si="217"/>
        <v>y</v>
      </c>
      <c r="TOF1" s="154" t="str">
        <f t="shared" si="217"/>
        <v>y</v>
      </c>
      <c r="TOG1" s="154" t="str">
        <f t="shared" si="217"/>
        <v>y</v>
      </c>
      <c r="TOH1" s="154" t="str">
        <f t="shared" si="217"/>
        <v>y</v>
      </c>
      <c r="TOI1" s="154" t="str">
        <f t="shared" si="217"/>
        <v>y</v>
      </c>
      <c r="TOJ1" s="154" t="str">
        <f t="shared" si="217"/>
        <v>y</v>
      </c>
      <c r="TOK1" s="154" t="str">
        <f t="shared" si="217"/>
        <v>y</v>
      </c>
      <c r="TOL1" s="154" t="str">
        <f t="shared" si="217"/>
        <v>y</v>
      </c>
      <c r="TOM1" s="154" t="str">
        <f t="shared" si="217"/>
        <v>y</v>
      </c>
      <c r="TON1" s="154" t="str">
        <f t="shared" si="217"/>
        <v>y</v>
      </c>
      <c r="TOO1" s="154" t="str">
        <f t="shared" si="217"/>
        <v>y</v>
      </c>
      <c r="TOP1" s="154" t="str">
        <f t="shared" si="217"/>
        <v>y</v>
      </c>
      <c r="TOQ1" s="154" t="str">
        <f t="shared" si="217"/>
        <v>y</v>
      </c>
      <c r="TOR1" s="154" t="str">
        <f t="shared" si="217"/>
        <v>y</v>
      </c>
      <c r="TOS1" s="154" t="str">
        <f t="shared" si="217"/>
        <v>y</v>
      </c>
      <c r="TOT1" s="154" t="str">
        <f t="shared" si="217"/>
        <v>y</v>
      </c>
      <c r="TOU1" s="154" t="str">
        <f t="shared" si="217"/>
        <v>y</v>
      </c>
      <c r="TOV1" s="154" t="str">
        <f t="shared" si="217"/>
        <v>y</v>
      </c>
      <c r="TOW1" s="154" t="str">
        <f t="shared" si="217"/>
        <v>y</v>
      </c>
      <c r="TOX1" s="154" t="str">
        <f t="shared" si="217"/>
        <v>y</v>
      </c>
      <c r="TOY1" s="154" t="str">
        <f t="shared" si="217"/>
        <v>y</v>
      </c>
      <c r="TOZ1" s="154" t="str">
        <f t="shared" si="217"/>
        <v>y</v>
      </c>
      <c r="TPA1" s="154" t="str">
        <f t="shared" si="217"/>
        <v>y</v>
      </c>
      <c r="TPB1" s="154" t="str">
        <f t="shared" si="217"/>
        <v>y</v>
      </c>
      <c r="TPC1" s="154" t="str">
        <f t="shared" si="217"/>
        <v>y</v>
      </c>
      <c r="TPD1" s="154" t="str">
        <f t="shared" si="217"/>
        <v>y</v>
      </c>
      <c r="TPE1" s="154" t="str">
        <f t="shared" si="217"/>
        <v>y</v>
      </c>
      <c r="TPF1" s="154" t="str">
        <f t="shared" si="217"/>
        <v>y</v>
      </c>
      <c r="TPG1" s="154" t="str">
        <f t="shared" si="217"/>
        <v>y</v>
      </c>
      <c r="TPH1" s="154" t="str">
        <f t="shared" si="217"/>
        <v>y</v>
      </c>
      <c r="TPI1" s="154" t="str">
        <f t="shared" si="217"/>
        <v>y</v>
      </c>
      <c r="TPJ1" s="154" t="str">
        <f t="shared" si="217"/>
        <v>y</v>
      </c>
      <c r="TPK1" s="154" t="str">
        <f t="shared" si="217"/>
        <v>y</v>
      </c>
      <c r="TPL1" s="154" t="str">
        <f t="shared" si="217"/>
        <v>y</v>
      </c>
      <c r="TPM1" s="154" t="str">
        <f t="shared" si="217"/>
        <v>y</v>
      </c>
      <c r="TPN1" s="154" t="str">
        <f t="shared" si="217"/>
        <v>y</v>
      </c>
      <c r="TPO1" s="154" t="str">
        <f t="shared" si="217"/>
        <v>y</v>
      </c>
      <c r="TPP1" s="154" t="str">
        <f t="shared" si="217"/>
        <v>y</v>
      </c>
      <c r="TPQ1" s="154" t="str">
        <f t="shared" si="217"/>
        <v>y</v>
      </c>
      <c r="TPR1" s="154" t="str">
        <f t="shared" si="217"/>
        <v>y</v>
      </c>
      <c r="TPS1" s="154" t="str">
        <f t="shared" si="217"/>
        <v>y</v>
      </c>
      <c r="TPT1" s="154" t="str">
        <f t="shared" si="217"/>
        <v>y</v>
      </c>
      <c r="TPU1" s="154" t="str">
        <f t="shared" si="217"/>
        <v>y</v>
      </c>
      <c r="TPV1" s="154" t="str">
        <f t="shared" ref="TPV1:TSG1" si="218">TPV2&amp;"y"</f>
        <v>y</v>
      </c>
      <c r="TPW1" s="154" t="str">
        <f t="shared" si="218"/>
        <v>y</v>
      </c>
      <c r="TPX1" s="154" t="str">
        <f t="shared" si="218"/>
        <v>y</v>
      </c>
      <c r="TPY1" s="154" t="str">
        <f t="shared" si="218"/>
        <v>y</v>
      </c>
      <c r="TPZ1" s="154" t="str">
        <f t="shared" si="218"/>
        <v>y</v>
      </c>
      <c r="TQA1" s="154" t="str">
        <f t="shared" si="218"/>
        <v>y</v>
      </c>
      <c r="TQB1" s="154" t="str">
        <f t="shared" si="218"/>
        <v>y</v>
      </c>
      <c r="TQC1" s="154" t="str">
        <f t="shared" si="218"/>
        <v>y</v>
      </c>
      <c r="TQD1" s="154" t="str">
        <f t="shared" si="218"/>
        <v>y</v>
      </c>
      <c r="TQE1" s="154" t="str">
        <f t="shared" si="218"/>
        <v>y</v>
      </c>
      <c r="TQF1" s="154" t="str">
        <f t="shared" si="218"/>
        <v>y</v>
      </c>
      <c r="TQG1" s="154" t="str">
        <f t="shared" si="218"/>
        <v>y</v>
      </c>
      <c r="TQH1" s="154" t="str">
        <f t="shared" si="218"/>
        <v>y</v>
      </c>
      <c r="TQI1" s="154" t="str">
        <f t="shared" si="218"/>
        <v>y</v>
      </c>
      <c r="TQJ1" s="154" t="str">
        <f t="shared" si="218"/>
        <v>y</v>
      </c>
      <c r="TQK1" s="154" t="str">
        <f t="shared" si="218"/>
        <v>y</v>
      </c>
      <c r="TQL1" s="154" t="str">
        <f t="shared" si="218"/>
        <v>y</v>
      </c>
      <c r="TQM1" s="154" t="str">
        <f t="shared" si="218"/>
        <v>y</v>
      </c>
      <c r="TQN1" s="154" t="str">
        <f t="shared" si="218"/>
        <v>y</v>
      </c>
      <c r="TQO1" s="154" t="str">
        <f t="shared" si="218"/>
        <v>y</v>
      </c>
      <c r="TQP1" s="154" t="str">
        <f t="shared" si="218"/>
        <v>y</v>
      </c>
      <c r="TQQ1" s="154" t="str">
        <f t="shared" si="218"/>
        <v>y</v>
      </c>
      <c r="TQR1" s="154" t="str">
        <f t="shared" si="218"/>
        <v>y</v>
      </c>
      <c r="TQS1" s="154" t="str">
        <f t="shared" si="218"/>
        <v>y</v>
      </c>
      <c r="TQT1" s="154" t="str">
        <f t="shared" si="218"/>
        <v>y</v>
      </c>
      <c r="TQU1" s="154" t="str">
        <f t="shared" si="218"/>
        <v>y</v>
      </c>
      <c r="TQV1" s="154" t="str">
        <f t="shared" si="218"/>
        <v>y</v>
      </c>
      <c r="TQW1" s="154" t="str">
        <f t="shared" si="218"/>
        <v>y</v>
      </c>
      <c r="TQX1" s="154" t="str">
        <f t="shared" si="218"/>
        <v>y</v>
      </c>
      <c r="TQY1" s="154" t="str">
        <f t="shared" si="218"/>
        <v>y</v>
      </c>
      <c r="TQZ1" s="154" t="str">
        <f t="shared" si="218"/>
        <v>y</v>
      </c>
      <c r="TRA1" s="154" t="str">
        <f t="shared" si="218"/>
        <v>y</v>
      </c>
      <c r="TRB1" s="154" t="str">
        <f t="shared" si="218"/>
        <v>y</v>
      </c>
      <c r="TRC1" s="154" t="str">
        <f t="shared" si="218"/>
        <v>y</v>
      </c>
      <c r="TRD1" s="154" t="str">
        <f t="shared" si="218"/>
        <v>y</v>
      </c>
      <c r="TRE1" s="154" t="str">
        <f t="shared" si="218"/>
        <v>y</v>
      </c>
      <c r="TRF1" s="154" t="str">
        <f t="shared" si="218"/>
        <v>y</v>
      </c>
      <c r="TRG1" s="154" t="str">
        <f t="shared" si="218"/>
        <v>y</v>
      </c>
      <c r="TRH1" s="154" t="str">
        <f t="shared" si="218"/>
        <v>y</v>
      </c>
      <c r="TRI1" s="154" t="str">
        <f t="shared" si="218"/>
        <v>y</v>
      </c>
      <c r="TRJ1" s="154" t="str">
        <f t="shared" si="218"/>
        <v>y</v>
      </c>
      <c r="TRK1" s="154" t="str">
        <f t="shared" si="218"/>
        <v>y</v>
      </c>
      <c r="TRL1" s="154" t="str">
        <f t="shared" si="218"/>
        <v>y</v>
      </c>
      <c r="TRM1" s="154" t="str">
        <f t="shared" si="218"/>
        <v>y</v>
      </c>
      <c r="TRN1" s="154" t="str">
        <f t="shared" si="218"/>
        <v>y</v>
      </c>
      <c r="TRO1" s="154" t="str">
        <f t="shared" si="218"/>
        <v>y</v>
      </c>
      <c r="TRP1" s="154" t="str">
        <f t="shared" si="218"/>
        <v>y</v>
      </c>
      <c r="TRQ1" s="154" t="str">
        <f t="shared" si="218"/>
        <v>y</v>
      </c>
      <c r="TRR1" s="154" t="str">
        <f t="shared" si="218"/>
        <v>y</v>
      </c>
      <c r="TRS1" s="154" t="str">
        <f t="shared" si="218"/>
        <v>y</v>
      </c>
      <c r="TRT1" s="154" t="str">
        <f t="shared" si="218"/>
        <v>y</v>
      </c>
      <c r="TRU1" s="154" t="str">
        <f t="shared" si="218"/>
        <v>y</v>
      </c>
      <c r="TRV1" s="154" t="str">
        <f t="shared" si="218"/>
        <v>y</v>
      </c>
      <c r="TRW1" s="154" t="str">
        <f t="shared" si="218"/>
        <v>y</v>
      </c>
      <c r="TRX1" s="154" t="str">
        <f t="shared" si="218"/>
        <v>y</v>
      </c>
      <c r="TRY1" s="154" t="str">
        <f t="shared" si="218"/>
        <v>y</v>
      </c>
      <c r="TRZ1" s="154" t="str">
        <f t="shared" si="218"/>
        <v>y</v>
      </c>
      <c r="TSA1" s="154" t="str">
        <f t="shared" si="218"/>
        <v>y</v>
      </c>
      <c r="TSB1" s="154" t="str">
        <f t="shared" si="218"/>
        <v>y</v>
      </c>
      <c r="TSC1" s="154" t="str">
        <f t="shared" si="218"/>
        <v>y</v>
      </c>
      <c r="TSD1" s="154" t="str">
        <f t="shared" si="218"/>
        <v>y</v>
      </c>
      <c r="TSE1" s="154" t="str">
        <f t="shared" si="218"/>
        <v>y</v>
      </c>
      <c r="TSF1" s="154" t="str">
        <f t="shared" si="218"/>
        <v>y</v>
      </c>
      <c r="TSG1" s="154" t="str">
        <f t="shared" si="218"/>
        <v>y</v>
      </c>
      <c r="TSH1" s="154" t="str">
        <f t="shared" ref="TSH1:TUS1" si="219">TSH2&amp;"y"</f>
        <v>y</v>
      </c>
      <c r="TSI1" s="154" t="str">
        <f t="shared" si="219"/>
        <v>y</v>
      </c>
      <c r="TSJ1" s="154" t="str">
        <f t="shared" si="219"/>
        <v>y</v>
      </c>
      <c r="TSK1" s="154" t="str">
        <f t="shared" si="219"/>
        <v>y</v>
      </c>
      <c r="TSL1" s="154" t="str">
        <f t="shared" si="219"/>
        <v>y</v>
      </c>
      <c r="TSM1" s="154" t="str">
        <f t="shared" si="219"/>
        <v>y</v>
      </c>
      <c r="TSN1" s="154" t="str">
        <f t="shared" si="219"/>
        <v>y</v>
      </c>
      <c r="TSO1" s="154" t="str">
        <f t="shared" si="219"/>
        <v>y</v>
      </c>
      <c r="TSP1" s="154" t="str">
        <f t="shared" si="219"/>
        <v>y</v>
      </c>
      <c r="TSQ1" s="154" t="str">
        <f t="shared" si="219"/>
        <v>y</v>
      </c>
      <c r="TSR1" s="154" t="str">
        <f t="shared" si="219"/>
        <v>y</v>
      </c>
      <c r="TSS1" s="154" t="str">
        <f t="shared" si="219"/>
        <v>y</v>
      </c>
      <c r="TST1" s="154" t="str">
        <f t="shared" si="219"/>
        <v>y</v>
      </c>
      <c r="TSU1" s="154" t="str">
        <f t="shared" si="219"/>
        <v>y</v>
      </c>
      <c r="TSV1" s="154" t="str">
        <f t="shared" si="219"/>
        <v>y</v>
      </c>
      <c r="TSW1" s="154" t="str">
        <f t="shared" si="219"/>
        <v>y</v>
      </c>
      <c r="TSX1" s="154" t="str">
        <f t="shared" si="219"/>
        <v>y</v>
      </c>
      <c r="TSY1" s="154" t="str">
        <f t="shared" si="219"/>
        <v>y</v>
      </c>
      <c r="TSZ1" s="154" t="str">
        <f t="shared" si="219"/>
        <v>y</v>
      </c>
      <c r="TTA1" s="154" t="str">
        <f t="shared" si="219"/>
        <v>y</v>
      </c>
      <c r="TTB1" s="154" t="str">
        <f t="shared" si="219"/>
        <v>y</v>
      </c>
      <c r="TTC1" s="154" t="str">
        <f t="shared" si="219"/>
        <v>y</v>
      </c>
      <c r="TTD1" s="154" t="str">
        <f t="shared" si="219"/>
        <v>y</v>
      </c>
      <c r="TTE1" s="154" t="str">
        <f t="shared" si="219"/>
        <v>y</v>
      </c>
      <c r="TTF1" s="154" t="str">
        <f t="shared" si="219"/>
        <v>y</v>
      </c>
      <c r="TTG1" s="154" t="str">
        <f t="shared" si="219"/>
        <v>y</v>
      </c>
      <c r="TTH1" s="154" t="str">
        <f t="shared" si="219"/>
        <v>y</v>
      </c>
      <c r="TTI1" s="154" t="str">
        <f t="shared" si="219"/>
        <v>y</v>
      </c>
      <c r="TTJ1" s="154" t="str">
        <f t="shared" si="219"/>
        <v>y</v>
      </c>
      <c r="TTK1" s="154" t="str">
        <f t="shared" si="219"/>
        <v>y</v>
      </c>
      <c r="TTL1" s="154" t="str">
        <f t="shared" si="219"/>
        <v>y</v>
      </c>
      <c r="TTM1" s="154" t="str">
        <f t="shared" si="219"/>
        <v>y</v>
      </c>
      <c r="TTN1" s="154" t="str">
        <f t="shared" si="219"/>
        <v>y</v>
      </c>
      <c r="TTO1" s="154" t="str">
        <f t="shared" si="219"/>
        <v>y</v>
      </c>
      <c r="TTP1" s="154" t="str">
        <f t="shared" si="219"/>
        <v>y</v>
      </c>
      <c r="TTQ1" s="154" t="str">
        <f t="shared" si="219"/>
        <v>y</v>
      </c>
      <c r="TTR1" s="154" t="str">
        <f t="shared" si="219"/>
        <v>y</v>
      </c>
      <c r="TTS1" s="154" t="str">
        <f t="shared" si="219"/>
        <v>y</v>
      </c>
      <c r="TTT1" s="154" t="str">
        <f t="shared" si="219"/>
        <v>y</v>
      </c>
      <c r="TTU1" s="154" t="str">
        <f t="shared" si="219"/>
        <v>y</v>
      </c>
      <c r="TTV1" s="154" t="str">
        <f t="shared" si="219"/>
        <v>y</v>
      </c>
      <c r="TTW1" s="154" t="str">
        <f t="shared" si="219"/>
        <v>y</v>
      </c>
      <c r="TTX1" s="154" t="str">
        <f t="shared" si="219"/>
        <v>y</v>
      </c>
      <c r="TTY1" s="154" t="str">
        <f t="shared" si="219"/>
        <v>y</v>
      </c>
      <c r="TTZ1" s="154" t="str">
        <f t="shared" si="219"/>
        <v>y</v>
      </c>
      <c r="TUA1" s="154" t="str">
        <f t="shared" si="219"/>
        <v>y</v>
      </c>
      <c r="TUB1" s="154" t="str">
        <f t="shared" si="219"/>
        <v>y</v>
      </c>
      <c r="TUC1" s="154" t="str">
        <f t="shared" si="219"/>
        <v>y</v>
      </c>
      <c r="TUD1" s="154" t="str">
        <f t="shared" si="219"/>
        <v>y</v>
      </c>
      <c r="TUE1" s="154" t="str">
        <f t="shared" si="219"/>
        <v>y</v>
      </c>
      <c r="TUF1" s="154" t="str">
        <f t="shared" si="219"/>
        <v>y</v>
      </c>
      <c r="TUG1" s="154" t="str">
        <f t="shared" si="219"/>
        <v>y</v>
      </c>
      <c r="TUH1" s="154" t="str">
        <f t="shared" si="219"/>
        <v>y</v>
      </c>
      <c r="TUI1" s="154" t="str">
        <f t="shared" si="219"/>
        <v>y</v>
      </c>
      <c r="TUJ1" s="154" t="str">
        <f t="shared" si="219"/>
        <v>y</v>
      </c>
      <c r="TUK1" s="154" t="str">
        <f t="shared" si="219"/>
        <v>y</v>
      </c>
      <c r="TUL1" s="154" t="str">
        <f t="shared" si="219"/>
        <v>y</v>
      </c>
      <c r="TUM1" s="154" t="str">
        <f t="shared" si="219"/>
        <v>y</v>
      </c>
      <c r="TUN1" s="154" t="str">
        <f t="shared" si="219"/>
        <v>y</v>
      </c>
      <c r="TUO1" s="154" t="str">
        <f t="shared" si="219"/>
        <v>y</v>
      </c>
      <c r="TUP1" s="154" t="str">
        <f t="shared" si="219"/>
        <v>y</v>
      </c>
      <c r="TUQ1" s="154" t="str">
        <f t="shared" si="219"/>
        <v>y</v>
      </c>
      <c r="TUR1" s="154" t="str">
        <f t="shared" si="219"/>
        <v>y</v>
      </c>
      <c r="TUS1" s="154" t="str">
        <f t="shared" si="219"/>
        <v>y</v>
      </c>
      <c r="TUT1" s="154" t="str">
        <f t="shared" ref="TUT1:TXE1" si="220">TUT2&amp;"y"</f>
        <v>y</v>
      </c>
      <c r="TUU1" s="154" t="str">
        <f t="shared" si="220"/>
        <v>y</v>
      </c>
      <c r="TUV1" s="154" t="str">
        <f t="shared" si="220"/>
        <v>y</v>
      </c>
      <c r="TUW1" s="154" t="str">
        <f t="shared" si="220"/>
        <v>y</v>
      </c>
      <c r="TUX1" s="154" t="str">
        <f t="shared" si="220"/>
        <v>y</v>
      </c>
      <c r="TUY1" s="154" t="str">
        <f t="shared" si="220"/>
        <v>y</v>
      </c>
      <c r="TUZ1" s="154" t="str">
        <f t="shared" si="220"/>
        <v>y</v>
      </c>
      <c r="TVA1" s="154" t="str">
        <f t="shared" si="220"/>
        <v>y</v>
      </c>
      <c r="TVB1" s="154" t="str">
        <f t="shared" si="220"/>
        <v>y</v>
      </c>
      <c r="TVC1" s="154" t="str">
        <f t="shared" si="220"/>
        <v>y</v>
      </c>
      <c r="TVD1" s="154" t="str">
        <f t="shared" si="220"/>
        <v>y</v>
      </c>
      <c r="TVE1" s="154" t="str">
        <f t="shared" si="220"/>
        <v>y</v>
      </c>
      <c r="TVF1" s="154" t="str">
        <f t="shared" si="220"/>
        <v>y</v>
      </c>
      <c r="TVG1" s="154" t="str">
        <f t="shared" si="220"/>
        <v>y</v>
      </c>
      <c r="TVH1" s="154" t="str">
        <f t="shared" si="220"/>
        <v>y</v>
      </c>
      <c r="TVI1" s="154" t="str">
        <f t="shared" si="220"/>
        <v>y</v>
      </c>
      <c r="TVJ1" s="154" t="str">
        <f t="shared" si="220"/>
        <v>y</v>
      </c>
      <c r="TVK1" s="154" t="str">
        <f t="shared" si="220"/>
        <v>y</v>
      </c>
      <c r="TVL1" s="154" t="str">
        <f t="shared" si="220"/>
        <v>y</v>
      </c>
      <c r="TVM1" s="154" t="str">
        <f t="shared" si="220"/>
        <v>y</v>
      </c>
      <c r="TVN1" s="154" t="str">
        <f t="shared" si="220"/>
        <v>y</v>
      </c>
      <c r="TVO1" s="154" t="str">
        <f t="shared" si="220"/>
        <v>y</v>
      </c>
      <c r="TVP1" s="154" t="str">
        <f t="shared" si="220"/>
        <v>y</v>
      </c>
      <c r="TVQ1" s="154" t="str">
        <f t="shared" si="220"/>
        <v>y</v>
      </c>
      <c r="TVR1" s="154" t="str">
        <f t="shared" si="220"/>
        <v>y</v>
      </c>
      <c r="TVS1" s="154" t="str">
        <f t="shared" si="220"/>
        <v>y</v>
      </c>
      <c r="TVT1" s="154" t="str">
        <f t="shared" si="220"/>
        <v>y</v>
      </c>
      <c r="TVU1" s="154" t="str">
        <f t="shared" si="220"/>
        <v>y</v>
      </c>
      <c r="TVV1" s="154" t="str">
        <f t="shared" si="220"/>
        <v>y</v>
      </c>
      <c r="TVW1" s="154" t="str">
        <f t="shared" si="220"/>
        <v>y</v>
      </c>
      <c r="TVX1" s="154" t="str">
        <f t="shared" si="220"/>
        <v>y</v>
      </c>
      <c r="TVY1" s="154" t="str">
        <f t="shared" si="220"/>
        <v>y</v>
      </c>
      <c r="TVZ1" s="154" t="str">
        <f t="shared" si="220"/>
        <v>y</v>
      </c>
      <c r="TWA1" s="154" t="str">
        <f t="shared" si="220"/>
        <v>y</v>
      </c>
      <c r="TWB1" s="154" t="str">
        <f t="shared" si="220"/>
        <v>y</v>
      </c>
      <c r="TWC1" s="154" t="str">
        <f t="shared" si="220"/>
        <v>y</v>
      </c>
      <c r="TWD1" s="154" t="str">
        <f t="shared" si="220"/>
        <v>y</v>
      </c>
      <c r="TWE1" s="154" t="str">
        <f t="shared" si="220"/>
        <v>y</v>
      </c>
      <c r="TWF1" s="154" t="str">
        <f t="shared" si="220"/>
        <v>y</v>
      </c>
      <c r="TWG1" s="154" t="str">
        <f t="shared" si="220"/>
        <v>y</v>
      </c>
      <c r="TWH1" s="154" t="str">
        <f t="shared" si="220"/>
        <v>y</v>
      </c>
      <c r="TWI1" s="154" t="str">
        <f t="shared" si="220"/>
        <v>y</v>
      </c>
      <c r="TWJ1" s="154" t="str">
        <f t="shared" si="220"/>
        <v>y</v>
      </c>
      <c r="TWK1" s="154" t="str">
        <f t="shared" si="220"/>
        <v>y</v>
      </c>
      <c r="TWL1" s="154" t="str">
        <f t="shared" si="220"/>
        <v>y</v>
      </c>
      <c r="TWM1" s="154" t="str">
        <f t="shared" si="220"/>
        <v>y</v>
      </c>
      <c r="TWN1" s="154" t="str">
        <f t="shared" si="220"/>
        <v>y</v>
      </c>
      <c r="TWO1" s="154" t="str">
        <f t="shared" si="220"/>
        <v>y</v>
      </c>
      <c r="TWP1" s="154" t="str">
        <f t="shared" si="220"/>
        <v>y</v>
      </c>
      <c r="TWQ1" s="154" t="str">
        <f t="shared" si="220"/>
        <v>y</v>
      </c>
      <c r="TWR1" s="154" t="str">
        <f t="shared" si="220"/>
        <v>y</v>
      </c>
      <c r="TWS1" s="154" t="str">
        <f t="shared" si="220"/>
        <v>y</v>
      </c>
      <c r="TWT1" s="154" t="str">
        <f t="shared" si="220"/>
        <v>y</v>
      </c>
      <c r="TWU1" s="154" t="str">
        <f t="shared" si="220"/>
        <v>y</v>
      </c>
      <c r="TWV1" s="154" t="str">
        <f t="shared" si="220"/>
        <v>y</v>
      </c>
      <c r="TWW1" s="154" t="str">
        <f t="shared" si="220"/>
        <v>y</v>
      </c>
      <c r="TWX1" s="154" t="str">
        <f t="shared" si="220"/>
        <v>y</v>
      </c>
      <c r="TWY1" s="154" t="str">
        <f t="shared" si="220"/>
        <v>y</v>
      </c>
      <c r="TWZ1" s="154" t="str">
        <f t="shared" si="220"/>
        <v>y</v>
      </c>
      <c r="TXA1" s="154" t="str">
        <f t="shared" si="220"/>
        <v>y</v>
      </c>
      <c r="TXB1" s="154" t="str">
        <f t="shared" si="220"/>
        <v>y</v>
      </c>
      <c r="TXC1" s="154" t="str">
        <f t="shared" si="220"/>
        <v>y</v>
      </c>
      <c r="TXD1" s="154" t="str">
        <f t="shared" si="220"/>
        <v>y</v>
      </c>
      <c r="TXE1" s="154" t="str">
        <f t="shared" si="220"/>
        <v>y</v>
      </c>
      <c r="TXF1" s="154" t="str">
        <f t="shared" ref="TXF1:TZQ1" si="221">TXF2&amp;"y"</f>
        <v>y</v>
      </c>
      <c r="TXG1" s="154" t="str">
        <f t="shared" si="221"/>
        <v>y</v>
      </c>
      <c r="TXH1" s="154" t="str">
        <f t="shared" si="221"/>
        <v>y</v>
      </c>
      <c r="TXI1" s="154" t="str">
        <f t="shared" si="221"/>
        <v>y</v>
      </c>
      <c r="TXJ1" s="154" t="str">
        <f t="shared" si="221"/>
        <v>y</v>
      </c>
      <c r="TXK1" s="154" t="str">
        <f t="shared" si="221"/>
        <v>y</v>
      </c>
      <c r="TXL1" s="154" t="str">
        <f t="shared" si="221"/>
        <v>y</v>
      </c>
      <c r="TXM1" s="154" t="str">
        <f t="shared" si="221"/>
        <v>y</v>
      </c>
      <c r="TXN1" s="154" t="str">
        <f t="shared" si="221"/>
        <v>y</v>
      </c>
      <c r="TXO1" s="154" t="str">
        <f t="shared" si="221"/>
        <v>y</v>
      </c>
      <c r="TXP1" s="154" t="str">
        <f t="shared" si="221"/>
        <v>y</v>
      </c>
      <c r="TXQ1" s="154" t="str">
        <f t="shared" si="221"/>
        <v>y</v>
      </c>
      <c r="TXR1" s="154" t="str">
        <f t="shared" si="221"/>
        <v>y</v>
      </c>
      <c r="TXS1" s="154" t="str">
        <f t="shared" si="221"/>
        <v>y</v>
      </c>
      <c r="TXT1" s="154" t="str">
        <f t="shared" si="221"/>
        <v>y</v>
      </c>
      <c r="TXU1" s="154" t="str">
        <f t="shared" si="221"/>
        <v>y</v>
      </c>
      <c r="TXV1" s="154" t="str">
        <f t="shared" si="221"/>
        <v>y</v>
      </c>
      <c r="TXW1" s="154" t="str">
        <f t="shared" si="221"/>
        <v>y</v>
      </c>
      <c r="TXX1" s="154" t="str">
        <f t="shared" si="221"/>
        <v>y</v>
      </c>
      <c r="TXY1" s="154" t="str">
        <f t="shared" si="221"/>
        <v>y</v>
      </c>
      <c r="TXZ1" s="154" t="str">
        <f t="shared" si="221"/>
        <v>y</v>
      </c>
      <c r="TYA1" s="154" t="str">
        <f t="shared" si="221"/>
        <v>y</v>
      </c>
      <c r="TYB1" s="154" t="str">
        <f t="shared" si="221"/>
        <v>y</v>
      </c>
      <c r="TYC1" s="154" t="str">
        <f t="shared" si="221"/>
        <v>y</v>
      </c>
      <c r="TYD1" s="154" t="str">
        <f t="shared" si="221"/>
        <v>y</v>
      </c>
      <c r="TYE1" s="154" t="str">
        <f t="shared" si="221"/>
        <v>y</v>
      </c>
      <c r="TYF1" s="154" t="str">
        <f t="shared" si="221"/>
        <v>y</v>
      </c>
      <c r="TYG1" s="154" t="str">
        <f t="shared" si="221"/>
        <v>y</v>
      </c>
      <c r="TYH1" s="154" t="str">
        <f t="shared" si="221"/>
        <v>y</v>
      </c>
      <c r="TYI1" s="154" t="str">
        <f t="shared" si="221"/>
        <v>y</v>
      </c>
      <c r="TYJ1" s="154" t="str">
        <f t="shared" si="221"/>
        <v>y</v>
      </c>
      <c r="TYK1" s="154" t="str">
        <f t="shared" si="221"/>
        <v>y</v>
      </c>
      <c r="TYL1" s="154" t="str">
        <f t="shared" si="221"/>
        <v>y</v>
      </c>
      <c r="TYM1" s="154" t="str">
        <f t="shared" si="221"/>
        <v>y</v>
      </c>
      <c r="TYN1" s="154" t="str">
        <f t="shared" si="221"/>
        <v>y</v>
      </c>
      <c r="TYO1" s="154" t="str">
        <f t="shared" si="221"/>
        <v>y</v>
      </c>
      <c r="TYP1" s="154" t="str">
        <f t="shared" si="221"/>
        <v>y</v>
      </c>
      <c r="TYQ1" s="154" t="str">
        <f t="shared" si="221"/>
        <v>y</v>
      </c>
      <c r="TYR1" s="154" t="str">
        <f t="shared" si="221"/>
        <v>y</v>
      </c>
      <c r="TYS1" s="154" t="str">
        <f t="shared" si="221"/>
        <v>y</v>
      </c>
      <c r="TYT1" s="154" t="str">
        <f t="shared" si="221"/>
        <v>y</v>
      </c>
      <c r="TYU1" s="154" t="str">
        <f t="shared" si="221"/>
        <v>y</v>
      </c>
      <c r="TYV1" s="154" t="str">
        <f t="shared" si="221"/>
        <v>y</v>
      </c>
      <c r="TYW1" s="154" t="str">
        <f t="shared" si="221"/>
        <v>y</v>
      </c>
      <c r="TYX1" s="154" t="str">
        <f t="shared" si="221"/>
        <v>y</v>
      </c>
      <c r="TYY1" s="154" t="str">
        <f t="shared" si="221"/>
        <v>y</v>
      </c>
      <c r="TYZ1" s="154" t="str">
        <f t="shared" si="221"/>
        <v>y</v>
      </c>
      <c r="TZA1" s="154" t="str">
        <f t="shared" si="221"/>
        <v>y</v>
      </c>
      <c r="TZB1" s="154" t="str">
        <f t="shared" si="221"/>
        <v>y</v>
      </c>
      <c r="TZC1" s="154" t="str">
        <f t="shared" si="221"/>
        <v>y</v>
      </c>
      <c r="TZD1" s="154" t="str">
        <f t="shared" si="221"/>
        <v>y</v>
      </c>
      <c r="TZE1" s="154" t="str">
        <f t="shared" si="221"/>
        <v>y</v>
      </c>
      <c r="TZF1" s="154" t="str">
        <f t="shared" si="221"/>
        <v>y</v>
      </c>
      <c r="TZG1" s="154" t="str">
        <f t="shared" si="221"/>
        <v>y</v>
      </c>
      <c r="TZH1" s="154" t="str">
        <f t="shared" si="221"/>
        <v>y</v>
      </c>
      <c r="TZI1" s="154" t="str">
        <f t="shared" si="221"/>
        <v>y</v>
      </c>
      <c r="TZJ1" s="154" t="str">
        <f t="shared" si="221"/>
        <v>y</v>
      </c>
      <c r="TZK1" s="154" t="str">
        <f t="shared" si="221"/>
        <v>y</v>
      </c>
      <c r="TZL1" s="154" t="str">
        <f t="shared" si="221"/>
        <v>y</v>
      </c>
      <c r="TZM1" s="154" t="str">
        <f t="shared" si="221"/>
        <v>y</v>
      </c>
      <c r="TZN1" s="154" t="str">
        <f t="shared" si="221"/>
        <v>y</v>
      </c>
      <c r="TZO1" s="154" t="str">
        <f t="shared" si="221"/>
        <v>y</v>
      </c>
      <c r="TZP1" s="154" t="str">
        <f t="shared" si="221"/>
        <v>y</v>
      </c>
      <c r="TZQ1" s="154" t="str">
        <f t="shared" si="221"/>
        <v>y</v>
      </c>
      <c r="TZR1" s="154" t="str">
        <f t="shared" ref="TZR1:UCC1" si="222">TZR2&amp;"y"</f>
        <v>y</v>
      </c>
      <c r="TZS1" s="154" t="str">
        <f t="shared" si="222"/>
        <v>y</v>
      </c>
      <c r="TZT1" s="154" t="str">
        <f t="shared" si="222"/>
        <v>y</v>
      </c>
      <c r="TZU1" s="154" t="str">
        <f t="shared" si="222"/>
        <v>y</v>
      </c>
      <c r="TZV1" s="154" t="str">
        <f t="shared" si="222"/>
        <v>y</v>
      </c>
      <c r="TZW1" s="154" t="str">
        <f t="shared" si="222"/>
        <v>y</v>
      </c>
      <c r="TZX1" s="154" t="str">
        <f t="shared" si="222"/>
        <v>y</v>
      </c>
      <c r="TZY1" s="154" t="str">
        <f t="shared" si="222"/>
        <v>y</v>
      </c>
      <c r="TZZ1" s="154" t="str">
        <f t="shared" si="222"/>
        <v>y</v>
      </c>
      <c r="UAA1" s="154" t="str">
        <f t="shared" si="222"/>
        <v>y</v>
      </c>
      <c r="UAB1" s="154" t="str">
        <f t="shared" si="222"/>
        <v>y</v>
      </c>
      <c r="UAC1" s="154" t="str">
        <f t="shared" si="222"/>
        <v>y</v>
      </c>
      <c r="UAD1" s="154" t="str">
        <f t="shared" si="222"/>
        <v>y</v>
      </c>
      <c r="UAE1" s="154" t="str">
        <f t="shared" si="222"/>
        <v>y</v>
      </c>
      <c r="UAF1" s="154" t="str">
        <f t="shared" si="222"/>
        <v>y</v>
      </c>
      <c r="UAG1" s="154" t="str">
        <f t="shared" si="222"/>
        <v>y</v>
      </c>
      <c r="UAH1" s="154" t="str">
        <f t="shared" si="222"/>
        <v>y</v>
      </c>
      <c r="UAI1" s="154" t="str">
        <f t="shared" si="222"/>
        <v>y</v>
      </c>
      <c r="UAJ1" s="154" t="str">
        <f t="shared" si="222"/>
        <v>y</v>
      </c>
      <c r="UAK1" s="154" t="str">
        <f t="shared" si="222"/>
        <v>y</v>
      </c>
      <c r="UAL1" s="154" t="str">
        <f t="shared" si="222"/>
        <v>y</v>
      </c>
      <c r="UAM1" s="154" t="str">
        <f t="shared" si="222"/>
        <v>y</v>
      </c>
      <c r="UAN1" s="154" t="str">
        <f t="shared" si="222"/>
        <v>y</v>
      </c>
      <c r="UAO1" s="154" t="str">
        <f t="shared" si="222"/>
        <v>y</v>
      </c>
      <c r="UAP1" s="154" t="str">
        <f t="shared" si="222"/>
        <v>y</v>
      </c>
      <c r="UAQ1" s="154" t="str">
        <f t="shared" si="222"/>
        <v>y</v>
      </c>
      <c r="UAR1" s="154" t="str">
        <f t="shared" si="222"/>
        <v>y</v>
      </c>
      <c r="UAS1" s="154" t="str">
        <f t="shared" si="222"/>
        <v>y</v>
      </c>
      <c r="UAT1" s="154" t="str">
        <f t="shared" si="222"/>
        <v>y</v>
      </c>
      <c r="UAU1" s="154" t="str">
        <f t="shared" si="222"/>
        <v>y</v>
      </c>
      <c r="UAV1" s="154" t="str">
        <f t="shared" si="222"/>
        <v>y</v>
      </c>
      <c r="UAW1" s="154" t="str">
        <f t="shared" si="222"/>
        <v>y</v>
      </c>
      <c r="UAX1" s="154" t="str">
        <f t="shared" si="222"/>
        <v>y</v>
      </c>
      <c r="UAY1" s="154" t="str">
        <f t="shared" si="222"/>
        <v>y</v>
      </c>
      <c r="UAZ1" s="154" t="str">
        <f t="shared" si="222"/>
        <v>y</v>
      </c>
      <c r="UBA1" s="154" t="str">
        <f t="shared" si="222"/>
        <v>y</v>
      </c>
      <c r="UBB1" s="154" t="str">
        <f t="shared" si="222"/>
        <v>y</v>
      </c>
      <c r="UBC1" s="154" t="str">
        <f t="shared" si="222"/>
        <v>y</v>
      </c>
      <c r="UBD1" s="154" t="str">
        <f t="shared" si="222"/>
        <v>y</v>
      </c>
      <c r="UBE1" s="154" t="str">
        <f t="shared" si="222"/>
        <v>y</v>
      </c>
      <c r="UBF1" s="154" t="str">
        <f t="shared" si="222"/>
        <v>y</v>
      </c>
      <c r="UBG1" s="154" t="str">
        <f t="shared" si="222"/>
        <v>y</v>
      </c>
      <c r="UBH1" s="154" t="str">
        <f t="shared" si="222"/>
        <v>y</v>
      </c>
      <c r="UBI1" s="154" t="str">
        <f t="shared" si="222"/>
        <v>y</v>
      </c>
      <c r="UBJ1" s="154" t="str">
        <f t="shared" si="222"/>
        <v>y</v>
      </c>
      <c r="UBK1" s="154" t="str">
        <f t="shared" si="222"/>
        <v>y</v>
      </c>
      <c r="UBL1" s="154" t="str">
        <f t="shared" si="222"/>
        <v>y</v>
      </c>
      <c r="UBM1" s="154" t="str">
        <f t="shared" si="222"/>
        <v>y</v>
      </c>
      <c r="UBN1" s="154" t="str">
        <f t="shared" si="222"/>
        <v>y</v>
      </c>
      <c r="UBO1" s="154" t="str">
        <f t="shared" si="222"/>
        <v>y</v>
      </c>
      <c r="UBP1" s="154" t="str">
        <f t="shared" si="222"/>
        <v>y</v>
      </c>
      <c r="UBQ1" s="154" t="str">
        <f t="shared" si="222"/>
        <v>y</v>
      </c>
      <c r="UBR1" s="154" t="str">
        <f t="shared" si="222"/>
        <v>y</v>
      </c>
      <c r="UBS1" s="154" t="str">
        <f t="shared" si="222"/>
        <v>y</v>
      </c>
      <c r="UBT1" s="154" t="str">
        <f t="shared" si="222"/>
        <v>y</v>
      </c>
      <c r="UBU1" s="154" t="str">
        <f t="shared" si="222"/>
        <v>y</v>
      </c>
      <c r="UBV1" s="154" t="str">
        <f t="shared" si="222"/>
        <v>y</v>
      </c>
      <c r="UBW1" s="154" t="str">
        <f t="shared" si="222"/>
        <v>y</v>
      </c>
      <c r="UBX1" s="154" t="str">
        <f t="shared" si="222"/>
        <v>y</v>
      </c>
      <c r="UBY1" s="154" t="str">
        <f t="shared" si="222"/>
        <v>y</v>
      </c>
      <c r="UBZ1" s="154" t="str">
        <f t="shared" si="222"/>
        <v>y</v>
      </c>
      <c r="UCA1" s="154" t="str">
        <f t="shared" si="222"/>
        <v>y</v>
      </c>
      <c r="UCB1" s="154" t="str">
        <f t="shared" si="222"/>
        <v>y</v>
      </c>
      <c r="UCC1" s="154" t="str">
        <f t="shared" si="222"/>
        <v>y</v>
      </c>
      <c r="UCD1" s="154" t="str">
        <f t="shared" ref="UCD1:UEO1" si="223">UCD2&amp;"y"</f>
        <v>y</v>
      </c>
      <c r="UCE1" s="154" t="str">
        <f t="shared" si="223"/>
        <v>y</v>
      </c>
      <c r="UCF1" s="154" t="str">
        <f t="shared" si="223"/>
        <v>y</v>
      </c>
      <c r="UCG1" s="154" t="str">
        <f t="shared" si="223"/>
        <v>y</v>
      </c>
      <c r="UCH1" s="154" t="str">
        <f t="shared" si="223"/>
        <v>y</v>
      </c>
      <c r="UCI1" s="154" t="str">
        <f t="shared" si="223"/>
        <v>y</v>
      </c>
      <c r="UCJ1" s="154" t="str">
        <f t="shared" si="223"/>
        <v>y</v>
      </c>
      <c r="UCK1" s="154" t="str">
        <f t="shared" si="223"/>
        <v>y</v>
      </c>
      <c r="UCL1" s="154" t="str">
        <f t="shared" si="223"/>
        <v>y</v>
      </c>
      <c r="UCM1" s="154" t="str">
        <f t="shared" si="223"/>
        <v>y</v>
      </c>
      <c r="UCN1" s="154" t="str">
        <f t="shared" si="223"/>
        <v>y</v>
      </c>
      <c r="UCO1" s="154" t="str">
        <f t="shared" si="223"/>
        <v>y</v>
      </c>
      <c r="UCP1" s="154" t="str">
        <f t="shared" si="223"/>
        <v>y</v>
      </c>
      <c r="UCQ1" s="154" t="str">
        <f t="shared" si="223"/>
        <v>y</v>
      </c>
      <c r="UCR1" s="154" t="str">
        <f t="shared" si="223"/>
        <v>y</v>
      </c>
      <c r="UCS1" s="154" t="str">
        <f t="shared" si="223"/>
        <v>y</v>
      </c>
      <c r="UCT1" s="154" t="str">
        <f t="shared" si="223"/>
        <v>y</v>
      </c>
      <c r="UCU1" s="154" t="str">
        <f t="shared" si="223"/>
        <v>y</v>
      </c>
      <c r="UCV1" s="154" t="str">
        <f t="shared" si="223"/>
        <v>y</v>
      </c>
      <c r="UCW1" s="154" t="str">
        <f t="shared" si="223"/>
        <v>y</v>
      </c>
      <c r="UCX1" s="154" t="str">
        <f t="shared" si="223"/>
        <v>y</v>
      </c>
      <c r="UCY1" s="154" t="str">
        <f t="shared" si="223"/>
        <v>y</v>
      </c>
      <c r="UCZ1" s="154" t="str">
        <f t="shared" si="223"/>
        <v>y</v>
      </c>
      <c r="UDA1" s="154" t="str">
        <f t="shared" si="223"/>
        <v>y</v>
      </c>
      <c r="UDB1" s="154" t="str">
        <f t="shared" si="223"/>
        <v>y</v>
      </c>
      <c r="UDC1" s="154" t="str">
        <f t="shared" si="223"/>
        <v>y</v>
      </c>
      <c r="UDD1" s="154" t="str">
        <f t="shared" si="223"/>
        <v>y</v>
      </c>
      <c r="UDE1" s="154" t="str">
        <f t="shared" si="223"/>
        <v>y</v>
      </c>
      <c r="UDF1" s="154" t="str">
        <f t="shared" si="223"/>
        <v>y</v>
      </c>
      <c r="UDG1" s="154" t="str">
        <f t="shared" si="223"/>
        <v>y</v>
      </c>
      <c r="UDH1" s="154" t="str">
        <f t="shared" si="223"/>
        <v>y</v>
      </c>
      <c r="UDI1" s="154" t="str">
        <f t="shared" si="223"/>
        <v>y</v>
      </c>
      <c r="UDJ1" s="154" t="str">
        <f t="shared" si="223"/>
        <v>y</v>
      </c>
      <c r="UDK1" s="154" t="str">
        <f t="shared" si="223"/>
        <v>y</v>
      </c>
      <c r="UDL1" s="154" t="str">
        <f t="shared" si="223"/>
        <v>y</v>
      </c>
      <c r="UDM1" s="154" t="str">
        <f t="shared" si="223"/>
        <v>y</v>
      </c>
      <c r="UDN1" s="154" t="str">
        <f t="shared" si="223"/>
        <v>y</v>
      </c>
      <c r="UDO1" s="154" t="str">
        <f t="shared" si="223"/>
        <v>y</v>
      </c>
      <c r="UDP1" s="154" t="str">
        <f t="shared" si="223"/>
        <v>y</v>
      </c>
      <c r="UDQ1" s="154" t="str">
        <f t="shared" si="223"/>
        <v>y</v>
      </c>
      <c r="UDR1" s="154" t="str">
        <f t="shared" si="223"/>
        <v>y</v>
      </c>
      <c r="UDS1" s="154" t="str">
        <f t="shared" si="223"/>
        <v>y</v>
      </c>
      <c r="UDT1" s="154" t="str">
        <f t="shared" si="223"/>
        <v>y</v>
      </c>
      <c r="UDU1" s="154" t="str">
        <f t="shared" si="223"/>
        <v>y</v>
      </c>
      <c r="UDV1" s="154" t="str">
        <f t="shared" si="223"/>
        <v>y</v>
      </c>
      <c r="UDW1" s="154" t="str">
        <f t="shared" si="223"/>
        <v>y</v>
      </c>
      <c r="UDX1" s="154" t="str">
        <f t="shared" si="223"/>
        <v>y</v>
      </c>
      <c r="UDY1" s="154" t="str">
        <f t="shared" si="223"/>
        <v>y</v>
      </c>
      <c r="UDZ1" s="154" t="str">
        <f t="shared" si="223"/>
        <v>y</v>
      </c>
      <c r="UEA1" s="154" t="str">
        <f t="shared" si="223"/>
        <v>y</v>
      </c>
      <c r="UEB1" s="154" t="str">
        <f t="shared" si="223"/>
        <v>y</v>
      </c>
      <c r="UEC1" s="154" t="str">
        <f t="shared" si="223"/>
        <v>y</v>
      </c>
      <c r="UED1" s="154" t="str">
        <f t="shared" si="223"/>
        <v>y</v>
      </c>
      <c r="UEE1" s="154" t="str">
        <f t="shared" si="223"/>
        <v>y</v>
      </c>
      <c r="UEF1" s="154" t="str">
        <f t="shared" si="223"/>
        <v>y</v>
      </c>
      <c r="UEG1" s="154" t="str">
        <f t="shared" si="223"/>
        <v>y</v>
      </c>
      <c r="UEH1" s="154" t="str">
        <f t="shared" si="223"/>
        <v>y</v>
      </c>
      <c r="UEI1" s="154" t="str">
        <f t="shared" si="223"/>
        <v>y</v>
      </c>
      <c r="UEJ1" s="154" t="str">
        <f t="shared" si="223"/>
        <v>y</v>
      </c>
      <c r="UEK1" s="154" t="str">
        <f t="shared" si="223"/>
        <v>y</v>
      </c>
      <c r="UEL1" s="154" t="str">
        <f t="shared" si="223"/>
        <v>y</v>
      </c>
      <c r="UEM1" s="154" t="str">
        <f t="shared" si="223"/>
        <v>y</v>
      </c>
      <c r="UEN1" s="154" t="str">
        <f t="shared" si="223"/>
        <v>y</v>
      </c>
      <c r="UEO1" s="154" t="str">
        <f t="shared" si="223"/>
        <v>y</v>
      </c>
      <c r="UEP1" s="154" t="str">
        <f t="shared" ref="UEP1:UHA1" si="224">UEP2&amp;"y"</f>
        <v>y</v>
      </c>
      <c r="UEQ1" s="154" t="str">
        <f t="shared" si="224"/>
        <v>y</v>
      </c>
      <c r="UER1" s="154" t="str">
        <f t="shared" si="224"/>
        <v>y</v>
      </c>
      <c r="UES1" s="154" t="str">
        <f t="shared" si="224"/>
        <v>y</v>
      </c>
      <c r="UET1" s="154" t="str">
        <f t="shared" si="224"/>
        <v>y</v>
      </c>
      <c r="UEU1" s="154" t="str">
        <f t="shared" si="224"/>
        <v>y</v>
      </c>
      <c r="UEV1" s="154" t="str">
        <f t="shared" si="224"/>
        <v>y</v>
      </c>
      <c r="UEW1" s="154" t="str">
        <f t="shared" si="224"/>
        <v>y</v>
      </c>
      <c r="UEX1" s="154" t="str">
        <f t="shared" si="224"/>
        <v>y</v>
      </c>
      <c r="UEY1" s="154" t="str">
        <f t="shared" si="224"/>
        <v>y</v>
      </c>
      <c r="UEZ1" s="154" t="str">
        <f t="shared" si="224"/>
        <v>y</v>
      </c>
      <c r="UFA1" s="154" t="str">
        <f t="shared" si="224"/>
        <v>y</v>
      </c>
      <c r="UFB1" s="154" t="str">
        <f t="shared" si="224"/>
        <v>y</v>
      </c>
      <c r="UFC1" s="154" t="str">
        <f t="shared" si="224"/>
        <v>y</v>
      </c>
      <c r="UFD1" s="154" t="str">
        <f t="shared" si="224"/>
        <v>y</v>
      </c>
      <c r="UFE1" s="154" t="str">
        <f t="shared" si="224"/>
        <v>y</v>
      </c>
      <c r="UFF1" s="154" t="str">
        <f t="shared" si="224"/>
        <v>y</v>
      </c>
      <c r="UFG1" s="154" t="str">
        <f t="shared" si="224"/>
        <v>y</v>
      </c>
      <c r="UFH1" s="154" t="str">
        <f t="shared" si="224"/>
        <v>y</v>
      </c>
      <c r="UFI1" s="154" t="str">
        <f t="shared" si="224"/>
        <v>y</v>
      </c>
      <c r="UFJ1" s="154" t="str">
        <f t="shared" si="224"/>
        <v>y</v>
      </c>
      <c r="UFK1" s="154" t="str">
        <f t="shared" si="224"/>
        <v>y</v>
      </c>
      <c r="UFL1" s="154" t="str">
        <f t="shared" si="224"/>
        <v>y</v>
      </c>
      <c r="UFM1" s="154" t="str">
        <f t="shared" si="224"/>
        <v>y</v>
      </c>
      <c r="UFN1" s="154" t="str">
        <f t="shared" si="224"/>
        <v>y</v>
      </c>
      <c r="UFO1" s="154" t="str">
        <f t="shared" si="224"/>
        <v>y</v>
      </c>
      <c r="UFP1" s="154" t="str">
        <f t="shared" si="224"/>
        <v>y</v>
      </c>
      <c r="UFQ1" s="154" t="str">
        <f t="shared" si="224"/>
        <v>y</v>
      </c>
      <c r="UFR1" s="154" t="str">
        <f t="shared" si="224"/>
        <v>y</v>
      </c>
      <c r="UFS1" s="154" t="str">
        <f t="shared" si="224"/>
        <v>y</v>
      </c>
      <c r="UFT1" s="154" t="str">
        <f t="shared" si="224"/>
        <v>y</v>
      </c>
      <c r="UFU1" s="154" t="str">
        <f t="shared" si="224"/>
        <v>y</v>
      </c>
      <c r="UFV1" s="154" t="str">
        <f t="shared" si="224"/>
        <v>y</v>
      </c>
      <c r="UFW1" s="154" t="str">
        <f t="shared" si="224"/>
        <v>y</v>
      </c>
      <c r="UFX1" s="154" t="str">
        <f t="shared" si="224"/>
        <v>y</v>
      </c>
      <c r="UFY1" s="154" t="str">
        <f t="shared" si="224"/>
        <v>y</v>
      </c>
      <c r="UFZ1" s="154" t="str">
        <f t="shared" si="224"/>
        <v>y</v>
      </c>
      <c r="UGA1" s="154" t="str">
        <f t="shared" si="224"/>
        <v>y</v>
      </c>
      <c r="UGB1" s="154" t="str">
        <f t="shared" si="224"/>
        <v>y</v>
      </c>
      <c r="UGC1" s="154" t="str">
        <f t="shared" si="224"/>
        <v>y</v>
      </c>
      <c r="UGD1" s="154" t="str">
        <f t="shared" si="224"/>
        <v>y</v>
      </c>
      <c r="UGE1" s="154" t="str">
        <f t="shared" si="224"/>
        <v>y</v>
      </c>
      <c r="UGF1" s="154" t="str">
        <f t="shared" si="224"/>
        <v>y</v>
      </c>
      <c r="UGG1" s="154" t="str">
        <f t="shared" si="224"/>
        <v>y</v>
      </c>
      <c r="UGH1" s="154" t="str">
        <f t="shared" si="224"/>
        <v>y</v>
      </c>
      <c r="UGI1" s="154" t="str">
        <f t="shared" si="224"/>
        <v>y</v>
      </c>
      <c r="UGJ1" s="154" t="str">
        <f t="shared" si="224"/>
        <v>y</v>
      </c>
      <c r="UGK1" s="154" t="str">
        <f t="shared" si="224"/>
        <v>y</v>
      </c>
      <c r="UGL1" s="154" t="str">
        <f t="shared" si="224"/>
        <v>y</v>
      </c>
      <c r="UGM1" s="154" t="str">
        <f t="shared" si="224"/>
        <v>y</v>
      </c>
      <c r="UGN1" s="154" t="str">
        <f t="shared" si="224"/>
        <v>y</v>
      </c>
      <c r="UGO1" s="154" t="str">
        <f t="shared" si="224"/>
        <v>y</v>
      </c>
      <c r="UGP1" s="154" t="str">
        <f t="shared" si="224"/>
        <v>y</v>
      </c>
      <c r="UGQ1" s="154" t="str">
        <f t="shared" si="224"/>
        <v>y</v>
      </c>
      <c r="UGR1" s="154" t="str">
        <f t="shared" si="224"/>
        <v>y</v>
      </c>
      <c r="UGS1" s="154" t="str">
        <f t="shared" si="224"/>
        <v>y</v>
      </c>
      <c r="UGT1" s="154" t="str">
        <f t="shared" si="224"/>
        <v>y</v>
      </c>
      <c r="UGU1" s="154" t="str">
        <f t="shared" si="224"/>
        <v>y</v>
      </c>
      <c r="UGV1" s="154" t="str">
        <f t="shared" si="224"/>
        <v>y</v>
      </c>
      <c r="UGW1" s="154" t="str">
        <f t="shared" si="224"/>
        <v>y</v>
      </c>
      <c r="UGX1" s="154" t="str">
        <f t="shared" si="224"/>
        <v>y</v>
      </c>
      <c r="UGY1" s="154" t="str">
        <f t="shared" si="224"/>
        <v>y</v>
      </c>
      <c r="UGZ1" s="154" t="str">
        <f t="shared" si="224"/>
        <v>y</v>
      </c>
      <c r="UHA1" s="154" t="str">
        <f t="shared" si="224"/>
        <v>y</v>
      </c>
      <c r="UHB1" s="154" t="str">
        <f t="shared" ref="UHB1:UJM1" si="225">UHB2&amp;"y"</f>
        <v>y</v>
      </c>
      <c r="UHC1" s="154" t="str">
        <f t="shared" si="225"/>
        <v>y</v>
      </c>
      <c r="UHD1" s="154" t="str">
        <f t="shared" si="225"/>
        <v>y</v>
      </c>
      <c r="UHE1" s="154" t="str">
        <f t="shared" si="225"/>
        <v>y</v>
      </c>
      <c r="UHF1" s="154" t="str">
        <f t="shared" si="225"/>
        <v>y</v>
      </c>
      <c r="UHG1" s="154" t="str">
        <f t="shared" si="225"/>
        <v>y</v>
      </c>
      <c r="UHH1" s="154" t="str">
        <f t="shared" si="225"/>
        <v>y</v>
      </c>
      <c r="UHI1" s="154" t="str">
        <f t="shared" si="225"/>
        <v>y</v>
      </c>
      <c r="UHJ1" s="154" t="str">
        <f t="shared" si="225"/>
        <v>y</v>
      </c>
      <c r="UHK1" s="154" t="str">
        <f t="shared" si="225"/>
        <v>y</v>
      </c>
      <c r="UHL1" s="154" t="str">
        <f t="shared" si="225"/>
        <v>y</v>
      </c>
      <c r="UHM1" s="154" t="str">
        <f t="shared" si="225"/>
        <v>y</v>
      </c>
      <c r="UHN1" s="154" t="str">
        <f t="shared" si="225"/>
        <v>y</v>
      </c>
      <c r="UHO1" s="154" t="str">
        <f t="shared" si="225"/>
        <v>y</v>
      </c>
      <c r="UHP1" s="154" t="str">
        <f t="shared" si="225"/>
        <v>y</v>
      </c>
      <c r="UHQ1" s="154" t="str">
        <f t="shared" si="225"/>
        <v>y</v>
      </c>
      <c r="UHR1" s="154" t="str">
        <f t="shared" si="225"/>
        <v>y</v>
      </c>
      <c r="UHS1" s="154" t="str">
        <f t="shared" si="225"/>
        <v>y</v>
      </c>
      <c r="UHT1" s="154" t="str">
        <f t="shared" si="225"/>
        <v>y</v>
      </c>
      <c r="UHU1" s="154" t="str">
        <f t="shared" si="225"/>
        <v>y</v>
      </c>
      <c r="UHV1" s="154" t="str">
        <f t="shared" si="225"/>
        <v>y</v>
      </c>
      <c r="UHW1" s="154" t="str">
        <f t="shared" si="225"/>
        <v>y</v>
      </c>
      <c r="UHX1" s="154" t="str">
        <f t="shared" si="225"/>
        <v>y</v>
      </c>
      <c r="UHY1" s="154" t="str">
        <f t="shared" si="225"/>
        <v>y</v>
      </c>
      <c r="UHZ1" s="154" t="str">
        <f t="shared" si="225"/>
        <v>y</v>
      </c>
      <c r="UIA1" s="154" t="str">
        <f t="shared" si="225"/>
        <v>y</v>
      </c>
      <c r="UIB1" s="154" t="str">
        <f t="shared" si="225"/>
        <v>y</v>
      </c>
      <c r="UIC1" s="154" t="str">
        <f t="shared" si="225"/>
        <v>y</v>
      </c>
      <c r="UID1" s="154" t="str">
        <f t="shared" si="225"/>
        <v>y</v>
      </c>
      <c r="UIE1" s="154" t="str">
        <f t="shared" si="225"/>
        <v>y</v>
      </c>
      <c r="UIF1" s="154" t="str">
        <f t="shared" si="225"/>
        <v>y</v>
      </c>
      <c r="UIG1" s="154" t="str">
        <f t="shared" si="225"/>
        <v>y</v>
      </c>
      <c r="UIH1" s="154" t="str">
        <f t="shared" si="225"/>
        <v>y</v>
      </c>
      <c r="UII1" s="154" t="str">
        <f t="shared" si="225"/>
        <v>y</v>
      </c>
      <c r="UIJ1" s="154" t="str">
        <f t="shared" si="225"/>
        <v>y</v>
      </c>
      <c r="UIK1" s="154" t="str">
        <f t="shared" si="225"/>
        <v>y</v>
      </c>
      <c r="UIL1" s="154" t="str">
        <f t="shared" si="225"/>
        <v>y</v>
      </c>
      <c r="UIM1" s="154" t="str">
        <f t="shared" si="225"/>
        <v>y</v>
      </c>
      <c r="UIN1" s="154" t="str">
        <f t="shared" si="225"/>
        <v>y</v>
      </c>
      <c r="UIO1" s="154" t="str">
        <f t="shared" si="225"/>
        <v>y</v>
      </c>
      <c r="UIP1" s="154" t="str">
        <f t="shared" si="225"/>
        <v>y</v>
      </c>
      <c r="UIQ1" s="154" t="str">
        <f t="shared" si="225"/>
        <v>y</v>
      </c>
      <c r="UIR1" s="154" t="str">
        <f t="shared" si="225"/>
        <v>y</v>
      </c>
      <c r="UIS1" s="154" t="str">
        <f t="shared" si="225"/>
        <v>y</v>
      </c>
      <c r="UIT1" s="154" t="str">
        <f t="shared" si="225"/>
        <v>y</v>
      </c>
      <c r="UIU1" s="154" t="str">
        <f t="shared" si="225"/>
        <v>y</v>
      </c>
      <c r="UIV1" s="154" t="str">
        <f t="shared" si="225"/>
        <v>y</v>
      </c>
      <c r="UIW1" s="154" t="str">
        <f t="shared" si="225"/>
        <v>y</v>
      </c>
      <c r="UIX1" s="154" t="str">
        <f t="shared" si="225"/>
        <v>y</v>
      </c>
      <c r="UIY1" s="154" t="str">
        <f t="shared" si="225"/>
        <v>y</v>
      </c>
      <c r="UIZ1" s="154" t="str">
        <f t="shared" si="225"/>
        <v>y</v>
      </c>
      <c r="UJA1" s="154" t="str">
        <f t="shared" si="225"/>
        <v>y</v>
      </c>
      <c r="UJB1" s="154" t="str">
        <f t="shared" si="225"/>
        <v>y</v>
      </c>
      <c r="UJC1" s="154" t="str">
        <f t="shared" si="225"/>
        <v>y</v>
      </c>
      <c r="UJD1" s="154" t="str">
        <f t="shared" si="225"/>
        <v>y</v>
      </c>
      <c r="UJE1" s="154" t="str">
        <f t="shared" si="225"/>
        <v>y</v>
      </c>
      <c r="UJF1" s="154" t="str">
        <f t="shared" si="225"/>
        <v>y</v>
      </c>
      <c r="UJG1" s="154" t="str">
        <f t="shared" si="225"/>
        <v>y</v>
      </c>
      <c r="UJH1" s="154" t="str">
        <f t="shared" si="225"/>
        <v>y</v>
      </c>
      <c r="UJI1" s="154" t="str">
        <f t="shared" si="225"/>
        <v>y</v>
      </c>
      <c r="UJJ1" s="154" t="str">
        <f t="shared" si="225"/>
        <v>y</v>
      </c>
      <c r="UJK1" s="154" t="str">
        <f t="shared" si="225"/>
        <v>y</v>
      </c>
      <c r="UJL1" s="154" t="str">
        <f t="shared" si="225"/>
        <v>y</v>
      </c>
      <c r="UJM1" s="154" t="str">
        <f t="shared" si="225"/>
        <v>y</v>
      </c>
      <c r="UJN1" s="154" t="str">
        <f t="shared" ref="UJN1:ULY1" si="226">UJN2&amp;"y"</f>
        <v>y</v>
      </c>
      <c r="UJO1" s="154" t="str">
        <f t="shared" si="226"/>
        <v>y</v>
      </c>
      <c r="UJP1" s="154" t="str">
        <f t="shared" si="226"/>
        <v>y</v>
      </c>
      <c r="UJQ1" s="154" t="str">
        <f t="shared" si="226"/>
        <v>y</v>
      </c>
      <c r="UJR1" s="154" t="str">
        <f t="shared" si="226"/>
        <v>y</v>
      </c>
      <c r="UJS1" s="154" t="str">
        <f t="shared" si="226"/>
        <v>y</v>
      </c>
      <c r="UJT1" s="154" t="str">
        <f t="shared" si="226"/>
        <v>y</v>
      </c>
      <c r="UJU1" s="154" t="str">
        <f t="shared" si="226"/>
        <v>y</v>
      </c>
      <c r="UJV1" s="154" t="str">
        <f t="shared" si="226"/>
        <v>y</v>
      </c>
      <c r="UJW1" s="154" t="str">
        <f t="shared" si="226"/>
        <v>y</v>
      </c>
      <c r="UJX1" s="154" t="str">
        <f t="shared" si="226"/>
        <v>y</v>
      </c>
      <c r="UJY1" s="154" t="str">
        <f t="shared" si="226"/>
        <v>y</v>
      </c>
      <c r="UJZ1" s="154" t="str">
        <f t="shared" si="226"/>
        <v>y</v>
      </c>
      <c r="UKA1" s="154" t="str">
        <f t="shared" si="226"/>
        <v>y</v>
      </c>
      <c r="UKB1" s="154" t="str">
        <f t="shared" si="226"/>
        <v>y</v>
      </c>
      <c r="UKC1" s="154" t="str">
        <f t="shared" si="226"/>
        <v>y</v>
      </c>
      <c r="UKD1" s="154" t="str">
        <f t="shared" si="226"/>
        <v>y</v>
      </c>
      <c r="UKE1" s="154" t="str">
        <f t="shared" si="226"/>
        <v>y</v>
      </c>
      <c r="UKF1" s="154" t="str">
        <f t="shared" si="226"/>
        <v>y</v>
      </c>
      <c r="UKG1" s="154" t="str">
        <f t="shared" si="226"/>
        <v>y</v>
      </c>
      <c r="UKH1" s="154" t="str">
        <f t="shared" si="226"/>
        <v>y</v>
      </c>
      <c r="UKI1" s="154" t="str">
        <f t="shared" si="226"/>
        <v>y</v>
      </c>
      <c r="UKJ1" s="154" t="str">
        <f t="shared" si="226"/>
        <v>y</v>
      </c>
      <c r="UKK1" s="154" t="str">
        <f t="shared" si="226"/>
        <v>y</v>
      </c>
      <c r="UKL1" s="154" t="str">
        <f t="shared" si="226"/>
        <v>y</v>
      </c>
      <c r="UKM1" s="154" t="str">
        <f t="shared" si="226"/>
        <v>y</v>
      </c>
      <c r="UKN1" s="154" t="str">
        <f t="shared" si="226"/>
        <v>y</v>
      </c>
      <c r="UKO1" s="154" t="str">
        <f t="shared" si="226"/>
        <v>y</v>
      </c>
      <c r="UKP1" s="154" t="str">
        <f t="shared" si="226"/>
        <v>y</v>
      </c>
      <c r="UKQ1" s="154" t="str">
        <f t="shared" si="226"/>
        <v>y</v>
      </c>
      <c r="UKR1" s="154" t="str">
        <f t="shared" si="226"/>
        <v>y</v>
      </c>
      <c r="UKS1" s="154" t="str">
        <f t="shared" si="226"/>
        <v>y</v>
      </c>
      <c r="UKT1" s="154" t="str">
        <f t="shared" si="226"/>
        <v>y</v>
      </c>
      <c r="UKU1" s="154" t="str">
        <f t="shared" si="226"/>
        <v>y</v>
      </c>
      <c r="UKV1" s="154" t="str">
        <f t="shared" si="226"/>
        <v>y</v>
      </c>
      <c r="UKW1" s="154" t="str">
        <f t="shared" si="226"/>
        <v>y</v>
      </c>
      <c r="UKX1" s="154" t="str">
        <f t="shared" si="226"/>
        <v>y</v>
      </c>
      <c r="UKY1" s="154" t="str">
        <f t="shared" si="226"/>
        <v>y</v>
      </c>
      <c r="UKZ1" s="154" t="str">
        <f t="shared" si="226"/>
        <v>y</v>
      </c>
      <c r="ULA1" s="154" t="str">
        <f t="shared" si="226"/>
        <v>y</v>
      </c>
      <c r="ULB1" s="154" t="str">
        <f t="shared" si="226"/>
        <v>y</v>
      </c>
      <c r="ULC1" s="154" t="str">
        <f t="shared" si="226"/>
        <v>y</v>
      </c>
      <c r="ULD1" s="154" t="str">
        <f t="shared" si="226"/>
        <v>y</v>
      </c>
      <c r="ULE1" s="154" t="str">
        <f t="shared" si="226"/>
        <v>y</v>
      </c>
      <c r="ULF1" s="154" t="str">
        <f t="shared" si="226"/>
        <v>y</v>
      </c>
      <c r="ULG1" s="154" t="str">
        <f t="shared" si="226"/>
        <v>y</v>
      </c>
      <c r="ULH1" s="154" t="str">
        <f t="shared" si="226"/>
        <v>y</v>
      </c>
      <c r="ULI1" s="154" t="str">
        <f t="shared" si="226"/>
        <v>y</v>
      </c>
      <c r="ULJ1" s="154" t="str">
        <f t="shared" si="226"/>
        <v>y</v>
      </c>
      <c r="ULK1" s="154" t="str">
        <f t="shared" si="226"/>
        <v>y</v>
      </c>
      <c r="ULL1" s="154" t="str">
        <f t="shared" si="226"/>
        <v>y</v>
      </c>
      <c r="ULM1" s="154" t="str">
        <f t="shared" si="226"/>
        <v>y</v>
      </c>
      <c r="ULN1" s="154" t="str">
        <f t="shared" si="226"/>
        <v>y</v>
      </c>
      <c r="ULO1" s="154" t="str">
        <f t="shared" si="226"/>
        <v>y</v>
      </c>
      <c r="ULP1" s="154" t="str">
        <f t="shared" si="226"/>
        <v>y</v>
      </c>
      <c r="ULQ1" s="154" t="str">
        <f t="shared" si="226"/>
        <v>y</v>
      </c>
      <c r="ULR1" s="154" t="str">
        <f t="shared" si="226"/>
        <v>y</v>
      </c>
      <c r="ULS1" s="154" t="str">
        <f t="shared" si="226"/>
        <v>y</v>
      </c>
      <c r="ULT1" s="154" t="str">
        <f t="shared" si="226"/>
        <v>y</v>
      </c>
      <c r="ULU1" s="154" t="str">
        <f t="shared" si="226"/>
        <v>y</v>
      </c>
      <c r="ULV1" s="154" t="str">
        <f t="shared" si="226"/>
        <v>y</v>
      </c>
      <c r="ULW1" s="154" t="str">
        <f t="shared" si="226"/>
        <v>y</v>
      </c>
      <c r="ULX1" s="154" t="str">
        <f t="shared" si="226"/>
        <v>y</v>
      </c>
      <c r="ULY1" s="154" t="str">
        <f t="shared" si="226"/>
        <v>y</v>
      </c>
      <c r="ULZ1" s="154" t="str">
        <f t="shared" ref="ULZ1:UOK1" si="227">ULZ2&amp;"y"</f>
        <v>y</v>
      </c>
      <c r="UMA1" s="154" t="str">
        <f t="shared" si="227"/>
        <v>y</v>
      </c>
      <c r="UMB1" s="154" t="str">
        <f t="shared" si="227"/>
        <v>y</v>
      </c>
      <c r="UMC1" s="154" t="str">
        <f t="shared" si="227"/>
        <v>y</v>
      </c>
      <c r="UMD1" s="154" t="str">
        <f t="shared" si="227"/>
        <v>y</v>
      </c>
      <c r="UME1" s="154" t="str">
        <f t="shared" si="227"/>
        <v>y</v>
      </c>
      <c r="UMF1" s="154" t="str">
        <f t="shared" si="227"/>
        <v>y</v>
      </c>
      <c r="UMG1" s="154" t="str">
        <f t="shared" si="227"/>
        <v>y</v>
      </c>
      <c r="UMH1" s="154" t="str">
        <f t="shared" si="227"/>
        <v>y</v>
      </c>
      <c r="UMI1" s="154" t="str">
        <f t="shared" si="227"/>
        <v>y</v>
      </c>
      <c r="UMJ1" s="154" t="str">
        <f t="shared" si="227"/>
        <v>y</v>
      </c>
      <c r="UMK1" s="154" t="str">
        <f t="shared" si="227"/>
        <v>y</v>
      </c>
      <c r="UML1" s="154" t="str">
        <f t="shared" si="227"/>
        <v>y</v>
      </c>
      <c r="UMM1" s="154" t="str">
        <f t="shared" si="227"/>
        <v>y</v>
      </c>
      <c r="UMN1" s="154" t="str">
        <f t="shared" si="227"/>
        <v>y</v>
      </c>
      <c r="UMO1" s="154" t="str">
        <f t="shared" si="227"/>
        <v>y</v>
      </c>
      <c r="UMP1" s="154" t="str">
        <f t="shared" si="227"/>
        <v>y</v>
      </c>
      <c r="UMQ1" s="154" t="str">
        <f t="shared" si="227"/>
        <v>y</v>
      </c>
      <c r="UMR1" s="154" t="str">
        <f t="shared" si="227"/>
        <v>y</v>
      </c>
      <c r="UMS1" s="154" t="str">
        <f t="shared" si="227"/>
        <v>y</v>
      </c>
      <c r="UMT1" s="154" t="str">
        <f t="shared" si="227"/>
        <v>y</v>
      </c>
      <c r="UMU1" s="154" t="str">
        <f t="shared" si="227"/>
        <v>y</v>
      </c>
      <c r="UMV1" s="154" t="str">
        <f t="shared" si="227"/>
        <v>y</v>
      </c>
      <c r="UMW1" s="154" t="str">
        <f t="shared" si="227"/>
        <v>y</v>
      </c>
      <c r="UMX1" s="154" t="str">
        <f t="shared" si="227"/>
        <v>y</v>
      </c>
      <c r="UMY1" s="154" t="str">
        <f t="shared" si="227"/>
        <v>y</v>
      </c>
      <c r="UMZ1" s="154" t="str">
        <f t="shared" si="227"/>
        <v>y</v>
      </c>
      <c r="UNA1" s="154" t="str">
        <f t="shared" si="227"/>
        <v>y</v>
      </c>
      <c r="UNB1" s="154" t="str">
        <f t="shared" si="227"/>
        <v>y</v>
      </c>
      <c r="UNC1" s="154" t="str">
        <f t="shared" si="227"/>
        <v>y</v>
      </c>
      <c r="UND1" s="154" t="str">
        <f t="shared" si="227"/>
        <v>y</v>
      </c>
      <c r="UNE1" s="154" t="str">
        <f t="shared" si="227"/>
        <v>y</v>
      </c>
      <c r="UNF1" s="154" t="str">
        <f t="shared" si="227"/>
        <v>y</v>
      </c>
      <c r="UNG1" s="154" t="str">
        <f t="shared" si="227"/>
        <v>y</v>
      </c>
      <c r="UNH1" s="154" t="str">
        <f t="shared" si="227"/>
        <v>y</v>
      </c>
      <c r="UNI1" s="154" t="str">
        <f t="shared" si="227"/>
        <v>y</v>
      </c>
      <c r="UNJ1" s="154" t="str">
        <f t="shared" si="227"/>
        <v>y</v>
      </c>
      <c r="UNK1" s="154" t="str">
        <f t="shared" si="227"/>
        <v>y</v>
      </c>
      <c r="UNL1" s="154" t="str">
        <f t="shared" si="227"/>
        <v>y</v>
      </c>
      <c r="UNM1" s="154" t="str">
        <f t="shared" si="227"/>
        <v>y</v>
      </c>
      <c r="UNN1" s="154" t="str">
        <f t="shared" si="227"/>
        <v>y</v>
      </c>
      <c r="UNO1" s="154" t="str">
        <f t="shared" si="227"/>
        <v>y</v>
      </c>
      <c r="UNP1" s="154" t="str">
        <f t="shared" si="227"/>
        <v>y</v>
      </c>
      <c r="UNQ1" s="154" t="str">
        <f t="shared" si="227"/>
        <v>y</v>
      </c>
      <c r="UNR1" s="154" t="str">
        <f t="shared" si="227"/>
        <v>y</v>
      </c>
      <c r="UNS1" s="154" t="str">
        <f t="shared" si="227"/>
        <v>y</v>
      </c>
      <c r="UNT1" s="154" t="str">
        <f t="shared" si="227"/>
        <v>y</v>
      </c>
      <c r="UNU1" s="154" t="str">
        <f t="shared" si="227"/>
        <v>y</v>
      </c>
      <c r="UNV1" s="154" t="str">
        <f t="shared" si="227"/>
        <v>y</v>
      </c>
      <c r="UNW1" s="154" t="str">
        <f t="shared" si="227"/>
        <v>y</v>
      </c>
      <c r="UNX1" s="154" t="str">
        <f t="shared" si="227"/>
        <v>y</v>
      </c>
      <c r="UNY1" s="154" t="str">
        <f t="shared" si="227"/>
        <v>y</v>
      </c>
      <c r="UNZ1" s="154" t="str">
        <f t="shared" si="227"/>
        <v>y</v>
      </c>
      <c r="UOA1" s="154" t="str">
        <f t="shared" si="227"/>
        <v>y</v>
      </c>
      <c r="UOB1" s="154" t="str">
        <f t="shared" si="227"/>
        <v>y</v>
      </c>
      <c r="UOC1" s="154" t="str">
        <f t="shared" si="227"/>
        <v>y</v>
      </c>
      <c r="UOD1" s="154" t="str">
        <f t="shared" si="227"/>
        <v>y</v>
      </c>
      <c r="UOE1" s="154" t="str">
        <f t="shared" si="227"/>
        <v>y</v>
      </c>
      <c r="UOF1" s="154" t="str">
        <f t="shared" si="227"/>
        <v>y</v>
      </c>
      <c r="UOG1" s="154" t="str">
        <f t="shared" si="227"/>
        <v>y</v>
      </c>
      <c r="UOH1" s="154" t="str">
        <f t="shared" si="227"/>
        <v>y</v>
      </c>
      <c r="UOI1" s="154" t="str">
        <f t="shared" si="227"/>
        <v>y</v>
      </c>
      <c r="UOJ1" s="154" t="str">
        <f t="shared" si="227"/>
        <v>y</v>
      </c>
      <c r="UOK1" s="154" t="str">
        <f t="shared" si="227"/>
        <v>y</v>
      </c>
      <c r="UOL1" s="154" t="str">
        <f t="shared" ref="UOL1:UQW1" si="228">UOL2&amp;"y"</f>
        <v>y</v>
      </c>
      <c r="UOM1" s="154" t="str">
        <f t="shared" si="228"/>
        <v>y</v>
      </c>
      <c r="UON1" s="154" t="str">
        <f t="shared" si="228"/>
        <v>y</v>
      </c>
      <c r="UOO1" s="154" t="str">
        <f t="shared" si="228"/>
        <v>y</v>
      </c>
      <c r="UOP1" s="154" t="str">
        <f t="shared" si="228"/>
        <v>y</v>
      </c>
      <c r="UOQ1" s="154" t="str">
        <f t="shared" si="228"/>
        <v>y</v>
      </c>
      <c r="UOR1" s="154" t="str">
        <f t="shared" si="228"/>
        <v>y</v>
      </c>
      <c r="UOS1" s="154" t="str">
        <f t="shared" si="228"/>
        <v>y</v>
      </c>
      <c r="UOT1" s="154" t="str">
        <f t="shared" si="228"/>
        <v>y</v>
      </c>
      <c r="UOU1" s="154" t="str">
        <f t="shared" si="228"/>
        <v>y</v>
      </c>
      <c r="UOV1" s="154" t="str">
        <f t="shared" si="228"/>
        <v>y</v>
      </c>
      <c r="UOW1" s="154" t="str">
        <f t="shared" si="228"/>
        <v>y</v>
      </c>
      <c r="UOX1" s="154" t="str">
        <f t="shared" si="228"/>
        <v>y</v>
      </c>
      <c r="UOY1" s="154" t="str">
        <f t="shared" si="228"/>
        <v>y</v>
      </c>
      <c r="UOZ1" s="154" t="str">
        <f t="shared" si="228"/>
        <v>y</v>
      </c>
      <c r="UPA1" s="154" t="str">
        <f t="shared" si="228"/>
        <v>y</v>
      </c>
      <c r="UPB1" s="154" t="str">
        <f t="shared" si="228"/>
        <v>y</v>
      </c>
      <c r="UPC1" s="154" t="str">
        <f t="shared" si="228"/>
        <v>y</v>
      </c>
      <c r="UPD1" s="154" t="str">
        <f t="shared" si="228"/>
        <v>y</v>
      </c>
      <c r="UPE1" s="154" t="str">
        <f t="shared" si="228"/>
        <v>y</v>
      </c>
      <c r="UPF1" s="154" t="str">
        <f t="shared" si="228"/>
        <v>y</v>
      </c>
      <c r="UPG1" s="154" t="str">
        <f t="shared" si="228"/>
        <v>y</v>
      </c>
      <c r="UPH1" s="154" t="str">
        <f t="shared" si="228"/>
        <v>y</v>
      </c>
      <c r="UPI1" s="154" t="str">
        <f t="shared" si="228"/>
        <v>y</v>
      </c>
      <c r="UPJ1" s="154" t="str">
        <f t="shared" si="228"/>
        <v>y</v>
      </c>
      <c r="UPK1" s="154" t="str">
        <f t="shared" si="228"/>
        <v>y</v>
      </c>
      <c r="UPL1" s="154" t="str">
        <f t="shared" si="228"/>
        <v>y</v>
      </c>
      <c r="UPM1" s="154" t="str">
        <f t="shared" si="228"/>
        <v>y</v>
      </c>
      <c r="UPN1" s="154" t="str">
        <f t="shared" si="228"/>
        <v>y</v>
      </c>
      <c r="UPO1" s="154" t="str">
        <f t="shared" si="228"/>
        <v>y</v>
      </c>
      <c r="UPP1" s="154" t="str">
        <f t="shared" si="228"/>
        <v>y</v>
      </c>
      <c r="UPQ1" s="154" t="str">
        <f t="shared" si="228"/>
        <v>y</v>
      </c>
      <c r="UPR1" s="154" t="str">
        <f t="shared" si="228"/>
        <v>y</v>
      </c>
      <c r="UPS1" s="154" t="str">
        <f t="shared" si="228"/>
        <v>y</v>
      </c>
      <c r="UPT1" s="154" t="str">
        <f t="shared" si="228"/>
        <v>y</v>
      </c>
      <c r="UPU1" s="154" t="str">
        <f t="shared" si="228"/>
        <v>y</v>
      </c>
      <c r="UPV1" s="154" t="str">
        <f t="shared" si="228"/>
        <v>y</v>
      </c>
      <c r="UPW1" s="154" t="str">
        <f t="shared" si="228"/>
        <v>y</v>
      </c>
      <c r="UPX1" s="154" t="str">
        <f t="shared" si="228"/>
        <v>y</v>
      </c>
      <c r="UPY1" s="154" t="str">
        <f t="shared" si="228"/>
        <v>y</v>
      </c>
      <c r="UPZ1" s="154" t="str">
        <f t="shared" si="228"/>
        <v>y</v>
      </c>
      <c r="UQA1" s="154" t="str">
        <f t="shared" si="228"/>
        <v>y</v>
      </c>
      <c r="UQB1" s="154" t="str">
        <f t="shared" si="228"/>
        <v>y</v>
      </c>
      <c r="UQC1" s="154" t="str">
        <f t="shared" si="228"/>
        <v>y</v>
      </c>
      <c r="UQD1" s="154" t="str">
        <f t="shared" si="228"/>
        <v>y</v>
      </c>
      <c r="UQE1" s="154" t="str">
        <f t="shared" si="228"/>
        <v>y</v>
      </c>
      <c r="UQF1" s="154" t="str">
        <f t="shared" si="228"/>
        <v>y</v>
      </c>
      <c r="UQG1" s="154" t="str">
        <f t="shared" si="228"/>
        <v>y</v>
      </c>
      <c r="UQH1" s="154" t="str">
        <f t="shared" si="228"/>
        <v>y</v>
      </c>
      <c r="UQI1" s="154" t="str">
        <f t="shared" si="228"/>
        <v>y</v>
      </c>
      <c r="UQJ1" s="154" t="str">
        <f t="shared" si="228"/>
        <v>y</v>
      </c>
      <c r="UQK1" s="154" t="str">
        <f t="shared" si="228"/>
        <v>y</v>
      </c>
      <c r="UQL1" s="154" t="str">
        <f t="shared" si="228"/>
        <v>y</v>
      </c>
      <c r="UQM1" s="154" t="str">
        <f t="shared" si="228"/>
        <v>y</v>
      </c>
      <c r="UQN1" s="154" t="str">
        <f t="shared" si="228"/>
        <v>y</v>
      </c>
      <c r="UQO1" s="154" t="str">
        <f t="shared" si="228"/>
        <v>y</v>
      </c>
      <c r="UQP1" s="154" t="str">
        <f t="shared" si="228"/>
        <v>y</v>
      </c>
      <c r="UQQ1" s="154" t="str">
        <f t="shared" si="228"/>
        <v>y</v>
      </c>
      <c r="UQR1" s="154" t="str">
        <f t="shared" si="228"/>
        <v>y</v>
      </c>
      <c r="UQS1" s="154" t="str">
        <f t="shared" si="228"/>
        <v>y</v>
      </c>
      <c r="UQT1" s="154" t="str">
        <f t="shared" si="228"/>
        <v>y</v>
      </c>
      <c r="UQU1" s="154" t="str">
        <f t="shared" si="228"/>
        <v>y</v>
      </c>
      <c r="UQV1" s="154" t="str">
        <f t="shared" si="228"/>
        <v>y</v>
      </c>
      <c r="UQW1" s="154" t="str">
        <f t="shared" si="228"/>
        <v>y</v>
      </c>
      <c r="UQX1" s="154" t="str">
        <f t="shared" ref="UQX1:UTI1" si="229">UQX2&amp;"y"</f>
        <v>y</v>
      </c>
      <c r="UQY1" s="154" t="str">
        <f t="shared" si="229"/>
        <v>y</v>
      </c>
      <c r="UQZ1" s="154" t="str">
        <f t="shared" si="229"/>
        <v>y</v>
      </c>
      <c r="URA1" s="154" t="str">
        <f t="shared" si="229"/>
        <v>y</v>
      </c>
      <c r="URB1" s="154" t="str">
        <f t="shared" si="229"/>
        <v>y</v>
      </c>
      <c r="URC1" s="154" t="str">
        <f t="shared" si="229"/>
        <v>y</v>
      </c>
      <c r="URD1" s="154" t="str">
        <f t="shared" si="229"/>
        <v>y</v>
      </c>
      <c r="URE1" s="154" t="str">
        <f t="shared" si="229"/>
        <v>y</v>
      </c>
      <c r="URF1" s="154" t="str">
        <f t="shared" si="229"/>
        <v>y</v>
      </c>
      <c r="URG1" s="154" t="str">
        <f t="shared" si="229"/>
        <v>y</v>
      </c>
      <c r="URH1" s="154" t="str">
        <f t="shared" si="229"/>
        <v>y</v>
      </c>
      <c r="URI1" s="154" t="str">
        <f t="shared" si="229"/>
        <v>y</v>
      </c>
      <c r="URJ1" s="154" t="str">
        <f t="shared" si="229"/>
        <v>y</v>
      </c>
      <c r="URK1" s="154" t="str">
        <f t="shared" si="229"/>
        <v>y</v>
      </c>
      <c r="URL1" s="154" t="str">
        <f t="shared" si="229"/>
        <v>y</v>
      </c>
      <c r="URM1" s="154" t="str">
        <f t="shared" si="229"/>
        <v>y</v>
      </c>
      <c r="URN1" s="154" t="str">
        <f t="shared" si="229"/>
        <v>y</v>
      </c>
      <c r="URO1" s="154" t="str">
        <f t="shared" si="229"/>
        <v>y</v>
      </c>
      <c r="URP1" s="154" t="str">
        <f t="shared" si="229"/>
        <v>y</v>
      </c>
      <c r="URQ1" s="154" t="str">
        <f t="shared" si="229"/>
        <v>y</v>
      </c>
      <c r="URR1" s="154" t="str">
        <f t="shared" si="229"/>
        <v>y</v>
      </c>
      <c r="URS1" s="154" t="str">
        <f t="shared" si="229"/>
        <v>y</v>
      </c>
      <c r="URT1" s="154" t="str">
        <f t="shared" si="229"/>
        <v>y</v>
      </c>
      <c r="URU1" s="154" t="str">
        <f t="shared" si="229"/>
        <v>y</v>
      </c>
      <c r="URV1" s="154" t="str">
        <f t="shared" si="229"/>
        <v>y</v>
      </c>
      <c r="URW1" s="154" t="str">
        <f t="shared" si="229"/>
        <v>y</v>
      </c>
      <c r="URX1" s="154" t="str">
        <f t="shared" si="229"/>
        <v>y</v>
      </c>
      <c r="URY1" s="154" t="str">
        <f t="shared" si="229"/>
        <v>y</v>
      </c>
      <c r="URZ1" s="154" t="str">
        <f t="shared" si="229"/>
        <v>y</v>
      </c>
      <c r="USA1" s="154" t="str">
        <f t="shared" si="229"/>
        <v>y</v>
      </c>
      <c r="USB1" s="154" t="str">
        <f t="shared" si="229"/>
        <v>y</v>
      </c>
      <c r="USC1" s="154" t="str">
        <f t="shared" si="229"/>
        <v>y</v>
      </c>
      <c r="USD1" s="154" t="str">
        <f t="shared" si="229"/>
        <v>y</v>
      </c>
      <c r="USE1" s="154" t="str">
        <f t="shared" si="229"/>
        <v>y</v>
      </c>
      <c r="USF1" s="154" t="str">
        <f t="shared" si="229"/>
        <v>y</v>
      </c>
      <c r="USG1" s="154" t="str">
        <f t="shared" si="229"/>
        <v>y</v>
      </c>
      <c r="USH1" s="154" t="str">
        <f t="shared" si="229"/>
        <v>y</v>
      </c>
      <c r="USI1" s="154" t="str">
        <f t="shared" si="229"/>
        <v>y</v>
      </c>
      <c r="USJ1" s="154" t="str">
        <f t="shared" si="229"/>
        <v>y</v>
      </c>
      <c r="USK1" s="154" t="str">
        <f t="shared" si="229"/>
        <v>y</v>
      </c>
      <c r="USL1" s="154" t="str">
        <f t="shared" si="229"/>
        <v>y</v>
      </c>
      <c r="USM1" s="154" t="str">
        <f t="shared" si="229"/>
        <v>y</v>
      </c>
      <c r="USN1" s="154" t="str">
        <f t="shared" si="229"/>
        <v>y</v>
      </c>
      <c r="USO1" s="154" t="str">
        <f t="shared" si="229"/>
        <v>y</v>
      </c>
      <c r="USP1" s="154" t="str">
        <f t="shared" si="229"/>
        <v>y</v>
      </c>
      <c r="USQ1" s="154" t="str">
        <f t="shared" si="229"/>
        <v>y</v>
      </c>
      <c r="USR1" s="154" t="str">
        <f t="shared" si="229"/>
        <v>y</v>
      </c>
      <c r="USS1" s="154" t="str">
        <f t="shared" si="229"/>
        <v>y</v>
      </c>
      <c r="UST1" s="154" t="str">
        <f t="shared" si="229"/>
        <v>y</v>
      </c>
      <c r="USU1" s="154" t="str">
        <f t="shared" si="229"/>
        <v>y</v>
      </c>
      <c r="USV1" s="154" t="str">
        <f t="shared" si="229"/>
        <v>y</v>
      </c>
      <c r="USW1" s="154" t="str">
        <f t="shared" si="229"/>
        <v>y</v>
      </c>
      <c r="USX1" s="154" t="str">
        <f t="shared" si="229"/>
        <v>y</v>
      </c>
      <c r="USY1" s="154" t="str">
        <f t="shared" si="229"/>
        <v>y</v>
      </c>
      <c r="USZ1" s="154" t="str">
        <f t="shared" si="229"/>
        <v>y</v>
      </c>
      <c r="UTA1" s="154" t="str">
        <f t="shared" si="229"/>
        <v>y</v>
      </c>
      <c r="UTB1" s="154" t="str">
        <f t="shared" si="229"/>
        <v>y</v>
      </c>
      <c r="UTC1" s="154" t="str">
        <f t="shared" si="229"/>
        <v>y</v>
      </c>
      <c r="UTD1" s="154" t="str">
        <f t="shared" si="229"/>
        <v>y</v>
      </c>
      <c r="UTE1" s="154" t="str">
        <f t="shared" si="229"/>
        <v>y</v>
      </c>
      <c r="UTF1" s="154" t="str">
        <f t="shared" si="229"/>
        <v>y</v>
      </c>
      <c r="UTG1" s="154" t="str">
        <f t="shared" si="229"/>
        <v>y</v>
      </c>
      <c r="UTH1" s="154" t="str">
        <f t="shared" si="229"/>
        <v>y</v>
      </c>
      <c r="UTI1" s="154" t="str">
        <f t="shared" si="229"/>
        <v>y</v>
      </c>
      <c r="UTJ1" s="154" t="str">
        <f t="shared" ref="UTJ1:UVU1" si="230">UTJ2&amp;"y"</f>
        <v>y</v>
      </c>
      <c r="UTK1" s="154" t="str">
        <f t="shared" si="230"/>
        <v>y</v>
      </c>
      <c r="UTL1" s="154" t="str">
        <f t="shared" si="230"/>
        <v>y</v>
      </c>
      <c r="UTM1" s="154" t="str">
        <f t="shared" si="230"/>
        <v>y</v>
      </c>
      <c r="UTN1" s="154" t="str">
        <f t="shared" si="230"/>
        <v>y</v>
      </c>
      <c r="UTO1" s="154" t="str">
        <f t="shared" si="230"/>
        <v>y</v>
      </c>
      <c r="UTP1" s="154" t="str">
        <f t="shared" si="230"/>
        <v>y</v>
      </c>
      <c r="UTQ1" s="154" t="str">
        <f t="shared" si="230"/>
        <v>y</v>
      </c>
      <c r="UTR1" s="154" t="str">
        <f t="shared" si="230"/>
        <v>y</v>
      </c>
      <c r="UTS1" s="154" t="str">
        <f t="shared" si="230"/>
        <v>y</v>
      </c>
      <c r="UTT1" s="154" t="str">
        <f t="shared" si="230"/>
        <v>y</v>
      </c>
      <c r="UTU1" s="154" t="str">
        <f t="shared" si="230"/>
        <v>y</v>
      </c>
      <c r="UTV1" s="154" t="str">
        <f t="shared" si="230"/>
        <v>y</v>
      </c>
      <c r="UTW1" s="154" t="str">
        <f t="shared" si="230"/>
        <v>y</v>
      </c>
      <c r="UTX1" s="154" t="str">
        <f t="shared" si="230"/>
        <v>y</v>
      </c>
      <c r="UTY1" s="154" t="str">
        <f t="shared" si="230"/>
        <v>y</v>
      </c>
      <c r="UTZ1" s="154" t="str">
        <f t="shared" si="230"/>
        <v>y</v>
      </c>
      <c r="UUA1" s="154" t="str">
        <f t="shared" si="230"/>
        <v>y</v>
      </c>
      <c r="UUB1" s="154" t="str">
        <f t="shared" si="230"/>
        <v>y</v>
      </c>
      <c r="UUC1" s="154" t="str">
        <f t="shared" si="230"/>
        <v>y</v>
      </c>
      <c r="UUD1" s="154" t="str">
        <f t="shared" si="230"/>
        <v>y</v>
      </c>
      <c r="UUE1" s="154" t="str">
        <f t="shared" si="230"/>
        <v>y</v>
      </c>
      <c r="UUF1" s="154" t="str">
        <f t="shared" si="230"/>
        <v>y</v>
      </c>
      <c r="UUG1" s="154" t="str">
        <f t="shared" si="230"/>
        <v>y</v>
      </c>
      <c r="UUH1" s="154" t="str">
        <f t="shared" si="230"/>
        <v>y</v>
      </c>
      <c r="UUI1" s="154" t="str">
        <f t="shared" si="230"/>
        <v>y</v>
      </c>
      <c r="UUJ1" s="154" t="str">
        <f t="shared" si="230"/>
        <v>y</v>
      </c>
      <c r="UUK1" s="154" t="str">
        <f t="shared" si="230"/>
        <v>y</v>
      </c>
      <c r="UUL1" s="154" t="str">
        <f t="shared" si="230"/>
        <v>y</v>
      </c>
      <c r="UUM1" s="154" t="str">
        <f t="shared" si="230"/>
        <v>y</v>
      </c>
      <c r="UUN1" s="154" t="str">
        <f t="shared" si="230"/>
        <v>y</v>
      </c>
      <c r="UUO1" s="154" t="str">
        <f t="shared" si="230"/>
        <v>y</v>
      </c>
      <c r="UUP1" s="154" t="str">
        <f t="shared" si="230"/>
        <v>y</v>
      </c>
      <c r="UUQ1" s="154" t="str">
        <f t="shared" si="230"/>
        <v>y</v>
      </c>
      <c r="UUR1" s="154" t="str">
        <f t="shared" si="230"/>
        <v>y</v>
      </c>
      <c r="UUS1" s="154" t="str">
        <f t="shared" si="230"/>
        <v>y</v>
      </c>
      <c r="UUT1" s="154" t="str">
        <f t="shared" si="230"/>
        <v>y</v>
      </c>
      <c r="UUU1" s="154" t="str">
        <f t="shared" si="230"/>
        <v>y</v>
      </c>
      <c r="UUV1" s="154" t="str">
        <f t="shared" si="230"/>
        <v>y</v>
      </c>
      <c r="UUW1" s="154" t="str">
        <f t="shared" si="230"/>
        <v>y</v>
      </c>
      <c r="UUX1" s="154" t="str">
        <f t="shared" si="230"/>
        <v>y</v>
      </c>
      <c r="UUY1" s="154" t="str">
        <f t="shared" si="230"/>
        <v>y</v>
      </c>
      <c r="UUZ1" s="154" t="str">
        <f t="shared" si="230"/>
        <v>y</v>
      </c>
      <c r="UVA1" s="154" t="str">
        <f t="shared" si="230"/>
        <v>y</v>
      </c>
      <c r="UVB1" s="154" t="str">
        <f t="shared" si="230"/>
        <v>y</v>
      </c>
      <c r="UVC1" s="154" t="str">
        <f t="shared" si="230"/>
        <v>y</v>
      </c>
      <c r="UVD1" s="154" t="str">
        <f t="shared" si="230"/>
        <v>y</v>
      </c>
      <c r="UVE1" s="154" t="str">
        <f t="shared" si="230"/>
        <v>y</v>
      </c>
      <c r="UVF1" s="154" t="str">
        <f t="shared" si="230"/>
        <v>y</v>
      </c>
      <c r="UVG1" s="154" t="str">
        <f t="shared" si="230"/>
        <v>y</v>
      </c>
      <c r="UVH1" s="154" t="str">
        <f t="shared" si="230"/>
        <v>y</v>
      </c>
      <c r="UVI1" s="154" t="str">
        <f t="shared" si="230"/>
        <v>y</v>
      </c>
      <c r="UVJ1" s="154" t="str">
        <f t="shared" si="230"/>
        <v>y</v>
      </c>
      <c r="UVK1" s="154" t="str">
        <f t="shared" si="230"/>
        <v>y</v>
      </c>
      <c r="UVL1" s="154" t="str">
        <f t="shared" si="230"/>
        <v>y</v>
      </c>
      <c r="UVM1" s="154" t="str">
        <f t="shared" si="230"/>
        <v>y</v>
      </c>
      <c r="UVN1" s="154" t="str">
        <f t="shared" si="230"/>
        <v>y</v>
      </c>
      <c r="UVO1" s="154" t="str">
        <f t="shared" si="230"/>
        <v>y</v>
      </c>
      <c r="UVP1" s="154" t="str">
        <f t="shared" si="230"/>
        <v>y</v>
      </c>
      <c r="UVQ1" s="154" t="str">
        <f t="shared" si="230"/>
        <v>y</v>
      </c>
      <c r="UVR1" s="154" t="str">
        <f t="shared" si="230"/>
        <v>y</v>
      </c>
      <c r="UVS1" s="154" t="str">
        <f t="shared" si="230"/>
        <v>y</v>
      </c>
      <c r="UVT1" s="154" t="str">
        <f t="shared" si="230"/>
        <v>y</v>
      </c>
      <c r="UVU1" s="154" t="str">
        <f t="shared" si="230"/>
        <v>y</v>
      </c>
      <c r="UVV1" s="154" t="str">
        <f t="shared" ref="UVV1:UYG1" si="231">UVV2&amp;"y"</f>
        <v>y</v>
      </c>
      <c r="UVW1" s="154" t="str">
        <f t="shared" si="231"/>
        <v>y</v>
      </c>
      <c r="UVX1" s="154" t="str">
        <f t="shared" si="231"/>
        <v>y</v>
      </c>
      <c r="UVY1" s="154" t="str">
        <f t="shared" si="231"/>
        <v>y</v>
      </c>
      <c r="UVZ1" s="154" t="str">
        <f t="shared" si="231"/>
        <v>y</v>
      </c>
      <c r="UWA1" s="154" t="str">
        <f t="shared" si="231"/>
        <v>y</v>
      </c>
      <c r="UWB1" s="154" t="str">
        <f t="shared" si="231"/>
        <v>y</v>
      </c>
      <c r="UWC1" s="154" t="str">
        <f t="shared" si="231"/>
        <v>y</v>
      </c>
      <c r="UWD1" s="154" t="str">
        <f t="shared" si="231"/>
        <v>y</v>
      </c>
      <c r="UWE1" s="154" t="str">
        <f t="shared" si="231"/>
        <v>y</v>
      </c>
      <c r="UWF1" s="154" t="str">
        <f t="shared" si="231"/>
        <v>y</v>
      </c>
      <c r="UWG1" s="154" t="str">
        <f t="shared" si="231"/>
        <v>y</v>
      </c>
      <c r="UWH1" s="154" t="str">
        <f t="shared" si="231"/>
        <v>y</v>
      </c>
      <c r="UWI1" s="154" t="str">
        <f t="shared" si="231"/>
        <v>y</v>
      </c>
      <c r="UWJ1" s="154" t="str">
        <f t="shared" si="231"/>
        <v>y</v>
      </c>
      <c r="UWK1" s="154" t="str">
        <f t="shared" si="231"/>
        <v>y</v>
      </c>
      <c r="UWL1" s="154" t="str">
        <f t="shared" si="231"/>
        <v>y</v>
      </c>
      <c r="UWM1" s="154" t="str">
        <f t="shared" si="231"/>
        <v>y</v>
      </c>
      <c r="UWN1" s="154" t="str">
        <f t="shared" si="231"/>
        <v>y</v>
      </c>
      <c r="UWO1" s="154" t="str">
        <f t="shared" si="231"/>
        <v>y</v>
      </c>
      <c r="UWP1" s="154" t="str">
        <f t="shared" si="231"/>
        <v>y</v>
      </c>
      <c r="UWQ1" s="154" t="str">
        <f t="shared" si="231"/>
        <v>y</v>
      </c>
      <c r="UWR1" s="154" t="str">
        <f t="shared" si="231"/>
        <v>y</v>
      </c>
      <c r="UWS1" s="154" t="str">
        <f t="shared" si="231"/>
        <v>y</v>
      </c>
      <c r="UWT1" s="154" t="str">
        <f t="shared" si="231"/>
        <v>y</v>
      </c>
      <c r="UWU1" s="154" t="str">
        <f t="shared" si="231"/>
        <v>y</v>
      </c>
      <c r="UWV1" s="154" t="str">
        <f t="shared" si="231"/>
        <v>y</v>
      </c>
      <c r="UWW1" s="154" t="str">
        <f t="shared" si="231"/>
        <v>y</v>
      </c>
      <c r="UWX1" s="154" t="str">
        <f t="shared" si="231"/>
        <v>y</v>
      </c>
      <c r="UWY1" s="154" t="str">
        <f t="shared" si="231"/>
        <v>y</v>
      </c>
      <c r="UWZ1" s="154" t="str">
        <f t="shared" si="231"/>
        <v>y</v>
      </c>
      <c r="UXA1" s="154" t="str">
        <f t="shared" si="231"/>
        <v>y</v>
      </c>
      <c r="UXB1" s="154" t="str">
        <f t="shared" si="231"/>
        <v>y</v>
      </c>
      <c r="UXC1" s="154" t="str">
        <f t="shared" si="231"/>
        <v>y</v>
      </c>
      <c r="UXD1" s="154" t="str">
        <f t="shared" si="231"/>
        <v>y</v>
      </c>
      <c r="UXE1" s="154" t="str">
        <f t="shared" si="231"/>
        <v>y</v>
      </c>
      <c r="UXF1" s="154" t="str">
        <f t="shared" si="231"/>
        <v>y</v>
      </c>
      <c r="UXG1" s="154" t="str">
        <f t="shared" si="231"/>
        <v>y</v>
      </c>
      <c r="UXH1" s="154" t="str">
        <f t="shared" si="231"/>
        <v>y</v>
      </c>
      <c r="UXI1" s="154" t="str">
        <f t="shared" si="231"/>
        <v>y</v>
      </c>
      <c r="UXJ1" s="154" t="str">
        <f t="shared" si="231"/>
        <v>y</v>
      </c>
      <c r="UXK1" s="154" t="str">
        <f t="shared" si="231"/>
        <v>y</v>
      </c>
      <c r="UXL1" s="154" t="str">
        <f t="shared" si="231"/>
        <v>y</v>
      </c>
      <c r="UXM1" s="154" t="str">
        <f t="shared" si="231"/>
        <v>y</v>
      </c>
      <c r="UXN1" s="154" t="str">
        <f t="shared" si="231"/>
        <v>y</v>
      </c>
      <c r="UXO1" s="154" t="str">
        <f t="shared" si="231"/>
        <v>y</v>
      </c>
      <c r="UXP1" s="154" t="str">
        <f t="shared" si="231"/>
        <v>y</v>
      </c>
      <c r="UXQ1" s="154" t="str">
        <f t="shared" si="231"/>
        <v>y</v>
      </c>
      <c r="UXR1" s="154" t="str">
        <f t="shared" si="231"/>
        <v>y</v>
      </c>
      <c r="UXS1" s="154" t="str">
        <f t="shared" si="231"/>
        <v>y</v>
      </c>
      <c r="UXT1" s="154" t="str">
        <f t="shared" si="231"/>
        <v>y</v>
      </c>
      <c r="UXU1" s="154" t="str">
        <f t="shared" si="231"/>
        <v>y</v>
      </c>
      <c r="UXV1" s="154" t="str">
        <f t="shared" si="231"/>
        <v>y</v>
      </c>
      <c r="UXW1" s="154" t="str">
        <f t="shared" si="231"/>
        <v>y</v>
      </c>
      <c r="UXX1" s="154" t="str">
        <f t="shared" si="231"/>
        <v>y</v>
      </c>
      <c r="UXY1" s="154" t="str">
        <f t="shared" si="231"/>
        <v>y</v>
      </c>
      <c r="UXZ1" s="154" t="str">
        <f t="shared" si="231"/>
        <v>y</v>
      </c>
      <c r="UYA1" s="154" t="str">
        <f t="shared" si="231"/>
        <v>y</v>
      </c>
      <c r="UYB1" s="154" t="str">
        <f t="shared" si="231"/>
        <v>y</v>
      </c>
      <c r="UYC1" s="154" t="str">
        <f t="shared" si="231"/>
        <v>y</v>
      </c>
      <c r="UYD1" s="154" t="str">
        <f t="shared" si="231"/>
        <v>y</v>
      </c>
      <c r="UYE1" s="154" t="str">
        <f t="shared" si="231"/>
        <v>y</v>
      </c>
      <c r="UYF1" s="154" t="str">
        <f t="shared" si="231"/>
        <v>y</v>
      </c>
      <c r="UYG1" s="154" t="str">
        <f t="shared" si="231"/>
        <v>y</v>
      </c>
      <c r="UYH1" s="154" t="str">
        <f t="shared" ref="UYH1:VAS1" si="232">UYH2&amp;"y"</f>
        <v>y</v>
      </c>
      <c r="UYI1" s="154" t="str">
        <f t="shared" si="232"/>
        <v>y</v>
      </c>
      <c r="UYJ1" s="154" t="str">
        <f t="shared" si="232"/>
        <v>y</v>
      </c>
      <c r="UYK1" s="154" t="str">
        <f t="shared" si="232"/>
        <v>y</v>
      </c>
      <c r="UYL1" s="154" t="str">
        <f t="shared" si="232"/>
        <v>y</v>
      </c>
      <c r="UYM1" s="154" t="str">
        <f t="shared" si="232"/>
        <v>y</v>
      </c>
      <c r="UYN1" s="154" t="str">
        <f t="shared" si="232"/>
        <v>y</v>
      </c>
      <c r="UYO1" s="154" t="str">
        <f t="shared" si="232"/>
        <v>y</v>
      </c>
      <c r="UYP1" s="154" t="str">
        <f t="shared" si="232"/>
        <v>y</v>
      </c>
      <c r="UYQ1" s="154" t="str">
        <f t="shared" si="232"/>
        <v>y</v>
      </c>
      <c r="UYR1" s="154" t="str">
        <f t="shared" si="232"/>
        <v>y</v>
      </c>
      <c r="UYS1" s="154" t="str">
        <f t="shared" si="232"/>
        <v>y</v>
      </c>
      <c r="UYT1" s="154" t="str">
        <f t="shared" si="232"/>
        <v>y</v>
      </c>
      <c r="UYU1" s="154" t="str">
        <f t="shared" si="232"/>
        <v>y</v>
      </c>
      <c r="UYV1" s="154" t="str">
        <f t="shared" si="232"/>
        <v>y</v>
      </c>
      <c r="UYW1" s="154" t="str">
        <f t="shared" si="232"/>
        <v>y</v>
      </c>
      <c r="UYX1" s="154" t="str">
        <f t="shared" si="232"/>
        <v>y</v>
      </c>
      <c r="UYY1" s="154" t="str">
        <f t="shared" si="232"/>
        <v>y</v>
      </c>
      <c r="UYZ1" s="154" t="str">
        <f t="shared" si="232"/>
        <v>y</v>
      </c>
      <c r="UZA1" s="154" t="str">
        <f t="shared" si="232"/>
        <v>y</v>
      </c>
      <c r="UZB1" s="154" t="str">
        <f t="shared" si="232"/>
        <v>y</v>
      </c>
      <c r="UZC1" s="154" t="str">
        <f t="shared" si="232"/>
        <v>y</v>
      </c>
      <c r="UZD1" s="154" t="str">
        <f t="shared" si="232"/>
        <v>y</v>
      </c>
      <c r="UZE1" s="154" t="str">
        <f t="shared" si="232"/>
        <v>y</v>
      </c>
      <c r="UZF1" s="154" t="str">
        <f t="shared" si="232"/>
        <v>y</v>
      </c>
      <c r="UZG1" s="154" t="str">
        <f t="shared" si="232"/>
        <v>y</v>
      </c>
      <c r="UZH1" s="154" t="str">
        <f t="shared" si="232"/>
        <v>y</v>
      </c>
      <c r="UZI1" s="154" t="str">
        <f t="shared" si="232"/>
        <v>y</v>
      </c>
      <c r="UZJ1" s="154" t="str">
        <f t="shared" si="232"/>
        <v>y</v>
      </c>
      <c r="UZK1" s="154" t="str">
        <f t="shared" si="232"/>
        <v>y</v>
      </c>
      <c r="UZL1" s="154" t="str">
        <f t="shared" si="232"/>
        <v>y</v>
      </c>
      <c r="UZM1" s="154" t="str">
        <f t="shared" si="232"/>
        <v>y</v>
      </c>
      <c r="UZN1" s="154" t="str">
        <f t="shared" si="232"/>
        <v>y</v>
      </c>
      <c r="UZO1" s="154" t="str">
        <f t="shared" si="232"/>
        <v>y</v>
      </c>
      <c r="UZP1" s="154" t="str">
        <f t="shared" si="232"/>
        <v>y</v>
      </c>
      <c r="UZQ1" s="154" t="str">
        <f t="shared" si="232"/>
        <v>y</v>
      </c>
      <c r="UZR1" s="154" t="str">
        <f t="shared" si="232"/>
        <v>y</v>
      </c>
      <c r="UZS1" s="154" t="str">
        <f t="shared" si="232"/>
        <v>y</v>
      </c>
      <c r="UZT1" s="154" t="str">
        <f t="shared" si="232"/>
        <v>y</v>
      </c>
      <c r="UZU1" s="154" t="str">
        <f t="shared" si="232"/>
        <v>y</v>
      </c>
      <c r="UZV1" s="154" t="str">
        <f t="shared" si="232"/>
        <v>y</v>
      </c>
      <c r="UZW1" s="154" t="str">
        <f t="shared" si="232"/>
        <v>y</v>
      </c>
      <c r="UZX1" s="154" t="str">
        <f t="shared" si="232"/>
        <v>y</v>
      </c>
      <c r="UZY1" s="154" t="str">
        <f t="shared" si="232"/>
        <v>y</v>
      </c>
      <c r="UZZ1" s="154" t="str">
        <f t="shared" si="232"/>
        <v>y</v>
      </c>
      <c r="VAA1" s="154" t="str">
        <f t="shared" si="232"/>
        <v>y</v>
      </c>
      <c r="VAB1" s="154" t="str">
        <f t="shared" si="232"/>
        <v>y</v>
      </c>
      <c r="VAC1" s="154" t="str">
        <f t="shared" si="232"/>
        <v>y</v>
      </c>
      <c r="VAD1" s="154" t="str">
        <f t="shared" si="232"/>
        <v>y</v>
      </c>
      <c r="VAE1" s="154" t="str">
        <f t="shared" si="232"/>
        <v>y</v>
      </c>
      <c r="VAF1" s="154" t="str">
        <f t="shared" si="232"/>
        <v>y</v>
      </c>
      <c r="VAG1" s="154" t="str">
        <f t="shared" si="232"/>
        <v>y</v>
      </c>
      <c r="VAH1" s="154" t="str">
        <f t="shared" si="232"/>
        <v>y</v>
      </c>
      <c r="VAI1" s="154" t="str">
        <f t="shared" si="232"/>
        <v>y</v>
      </c>
      <c r="VAJ1" s="154" t="str">
        <f t="shared" si="232"/>
        <v>y</v>
      </c>
      <c r="VAK1" s="154" t="str">
        <f t="shared" si="232"/>
        <v>y</v>
      </c>
      <c r="VAL1" s="154" t="str">
        <f t="shared" si="232"/>
        <v>y</v>
      </c>
      <c r="VAM1" s="154" t="str">
        <f t="shared" si="232"/>
        <v>y</v>
      </c>
      <c r="VAN1" s="154" t="str">
        <f t="shared" si="232"/>
        <v>y</v>
      </c>
      <c r="VAO1" s="154" t="str">
        <f t="shared" si="232"/>
        <v>y</v>
      </c>
      <c r="VAP1" s="154" t="str">
        <f t="shared" si="232"/>
        <v>y</v>
      </c>
      <c r="VAQ1" s="154" t="str">
        <f t="shared" si="232"/>
        <v>y</v>
      </c>
      <c r="VAR1" s="154" t="str">
        <f t="shared" si="232"/>
        <v>y</v>
      </c>
      <c r="VAS1" s="154" t="str">
        <f t="shared" si="232"/>
        <v>y</v>
      </c>
      <c r="VAT1" s="154" t="str">
        <f t="shared" ref="VAT1:VDE1" si="233">VAT2&amp;"y"</f>
        <v>y</v>
      </c>
      <c r="VAU1" s="154" t="str">
        <f t="shared" si="233"/>
        <v>y</v>
      </c>
      <c r="VAV1" s="154" t="str">
        <f t="shared" si="233"/>
        <v>y</v>
      </c>
      <c r="VAW1" s="154" t="str">
        <f t="shared" si="233"/>
        <v>y</v>
      </c>
      <c r="VAX1" s="154" t="str">
        <f t="shared" si="233"/>
        <v>y</v>
      </c>
      <c r="VAY1" s="154" t="str">
        <f t="shared" si="233"/>
        <v>y</v>
      </c>
      <c r="VAZ1" s="154" t="str">
        <f t="shared" si="233"/>
        <v>y</v>
      </c>
      <c r="VBA1" s="154" t="str">
        <f t="shared" si="233"/>
        <v>y</v>
      </c>
      <c r="VBB1" s="154" t="str">
        <f t="shared" si="233"/>
        <v>y</v>
      </c>
      <c r="VBC1" s="154" t="str">
        <f t="shared" si="233"/>
        <v>y</v>
      </c>
      <c r="VBD1" s="154" t="str">
        <f t="shared" si="233"/>
        <v>y</v>
      </c>
      <c r="VBE1" s="154" t="str">
        <f t="shared" si="233"/>
        <v>y</v>
      </c>
      <c r="VBF1" s="154" t="str">
        <f t="shared" si="233"/>
        <v>y</v>
      </c>
      <c r="VBG1" s="154" t="str">
        <f t="shared" si="233"/>
        <v>y</v>
      </c>
      <c r="VBH1" s="154" t="str">
        <f t="shared" si="233"/>
        <v>y</v>
      </c>
      <c r="VBI1" s="154" t="str">
        <f t="shared" si="233"/>
        <v>y</v>
      </c>
      <c r="VBJ1" s="154" t="str">
        <f t="shared" si="233"/>
        <v>y</v>
      </c>
      <c r="VBK1" s="154" t="str">
        <f t="shared" si="233"/>
        <v>y</v>
      </c>
      <c r="VBL1" s="154" t="str">
        <f t="shared" si="233"/>
        <v>y</v>
      </c>
      <c r="VBM1" s="154" t="str">
        <f t="shared" si="233"/>
        <v>y</v>
      </c>
      <c r="VBN1" s="154" t="str">
        <f t="shared" si="233"/>
        <v>y</v>
      </c>
      <c r="VBO1" s="154" t="str">
        <f t="shared" si="233"/>
        <v>y</v>
      </c>
      <c r="VBP1" s="154" t="str">
        <f t="shared" si="233"/>
        <v>y</v>
      </c>
      <c r="VBQ1" s="154" t="str">
        <f t="shared" si="233"/>
        <v>y</v>
      </c>
      <c r="VBR1" s="154" t="str">
        <f t="shared" si="233"/>
        <v>y</v>
      </c>
      <c r="VBS1" s="154" t="str">
        <f t="shared" si="233"/>
        <v>y</v>
      </c>
      <c r="VBT1" s="154" t="str">
        <f t="shared" si="233"/>
        <v>y</v>
      </c>
      <c r="VBU1" s="154" t="str">
        <f t="shared" si="233"/>
        <v>y</v>
      </c>
      <c r="VBV1" s="154" t="str">
        <f t="shared" si="233"/>
        <v>y</v>
      </c>
      <c r="VBW1" s="154" t="str">
        <f t="shared" si="233"/>
        <v>y</v>
      </c>
      <c r="VBX1" s="154" t="str">
        <f t="shared" si="233"/>
        <v>y</v>
      </c>
      <c r="VBY1" s="154" t="str">
        <f t="shared" si="233"/>
        <v>y</v>
      </c>
      <c r="VBZ1" s="154" t="str">
        <f t="shared" si="233"/>
        <v>y</v>
      </c>
      <c r="VCA1" s="154" t="str">
        <f t="shared" si="233"/>
        <v>y</v>
      </c>
      <c r="VCB1" s="154" t="str">
        <f t="shared" si="233"/>
        <v>y</v>
      </c>
      <c r="VCC1" s="154" t="str">
        <f t="shared" si="233"/>
        <v>y</v>
      </c>
      <c r="VCD1" s="154" t="str">
        <f t="shared" si="233"/>
        <v>y</v>
      </c>
      <c r="VCE1" s="154" t="str">
        <f t="shared" si="233"/>
        <v>y</v>
      </c>
      <c r="VCF1" s="154" t="str">
        <f t="shared" si="233"/>
        <v>y</v>
      </c>
      <c r="VCG1" s="154" t="str">
        <f t="shared" si="233"/>
        <v>y</v>
      </c>
      <c r="VCH1" s="154" t="str">
        <f t="shared" si="233"/>
        <v>y</v>
      </c>
      <c r="VCI1" s="154" t="str">
        <f t="shared" si="233"/>
        <v>y</v>
      </c>
      <c r="VCJ1" s="154" t="str">
        <f t="shared" si="233"/>
        <v>y</v>
      </c>
      <c r="VCK1" s="154" t="str">
        <f t="shared" si="233"/>
        <v>y</v>
      </c>
      <c r="VCL1" s="154" t="str">
        <f t="shared" si="233"/>
        <v>y</v>
      </c>
      <c r="VCM1" s="154" t="str">
        <f t="shared" si="233"/>
        <v>y</v>
      </c>
      <c r="VCN1" s="154" t="str">
        <f t="shared" si="233"/>
        <v>y</v>
      </c>
      <c r="VCO1" s="154" t="str">
        <f t="shared" si="233"/>
        <v>y</v>
      </c>
      <c r="VCP1" s="154" t="str">
        <f t="shared" si="233"/>
        <v>y</v>
      </c>
      <c r="VCQ1" s="154" t="str">
        <f t="shared" si="233"/>
        <v>y</v>
      </c>
      <c r="VCR1" s="154" t="str">
        <f t="shared" si="233"/>
        <v>y</v>
      </c>
      <c r="VCS1" s="154" t="str">
        <f t="shared" si="233"/>
        <v>y</v>
      </c>
      <c r="VCT1" s="154" t="str">
        <f t="shared" si="233"/>
        <v>y</v>
      </c>
      <c r="VCU1" s="154" t="str">
        <f t="shared" si="233"/>
        <v>y</v>
      </c>
      <c r="VCV1" s="154" t="str">
        <f t="shared" si="233"/>
        <v>y</v>
      </c>
      <c r="VCW1" s="154" t="str">
        <f t="shared" si="233"/>
        <v>y</v>
      </c>
      <c r="VCX1" s="154" t="str">
        <f t="shared" si="233"/>
        <v>y</v>
      </c>
      <c r="VCY1" s="154" t="str">
        <f t="shared" si="233"/>
        <v>y</v>
      </c>
      <c r="VCZ1" s="154" t="str">
        <f t="shared" si="233"/>
        <v>y</v>
      </c>
      <c r="VDA1" s="154" t="str">
        <f t="shared" si="233"/>
        <v>y</v>
      </c>
      <c r="VDB1" s="154" t="str">
        <f t="shared" si="233"/>
        <v>y</v>
      </c>
      <c r="VDC1" s="154" t="str">
        <f t="shared" si="233"/>
        <v>y</v>
      </c>
      <c r="VDD1" s="154" t="str">
        <f t="shared" si="233"/>
        <v>y</v>
      </c>
      <c r="VDE1" s="154" t="str">
        <f t="shared" si="233"/>
        <v>y</v>
      </c>
      <c r="VDF1" s="154" t="str">
        <f t="shared" ref="VDF1:VFQ1" si="234">VDF2&amp;"y"</f>
        <v>y</v>
      </c>
      <c r="VDG1" s="154" t="str">
        <f t="shared" si="234"/>
        <v>y</v>
      </c>
      <c r="VDH1" s="154" t="str">
        <f t="shared" si="234"/>
        <v>y</v>
      </c>
      <c r="VDI1" s="154" t="str">
        <f t="shared" si="234"/>
        <v>y</v>
      </c>
      <c r="VDJ1" s="154" t="str">
        <f t="shared" si="234"/>
        <v>y</v>
      </c>
      <c r="VDK1" s="154" t="str">
        <f t="shared" si="234"/>
        <v>y</v>
      </c>
      <c r="VDL1" s="154" t="str">
        <f t="shared" si="234"/>
        <v>y</v>
      </c>
      <c r="VDM1" s="154" t="str">
        <f t="shared" si="234"/>
        <v>y</v>
      </c>
      <c r="VDN1" s="154" t="str">
        <f t="shared" si="234"/>
        <v>y</v>
      </c>
      <c r="VDO1" s="154" t="str">
        <f t="shared" si="234"/>
        <v>y</v>
      </c>
      <c r="VDP1" s="154" t="str">
        <f t="shared" si="234"/>
        <v>y</v>
      </c>
      <c r="VDQ1" s="154" t="str">
        <f t="shared" si="234"/>
        <v>y</v>
      </c>
      <c r="VDR1" s="154" t="str">
        <f t="shared" si="234"/>
        <v>y</v>
      </c>
      <c r="VDS1" s="154" t="str">
        <f t="shared" si="234"/>
        <v>y</v>
      </c>
      <c r="VDT1" s="154" t="str">
        <f t="shared" si="234"/>
        <v>y</v>
      </c>
      <c r="VDU1" s="154" t="str">
        <f t="shared" si="234"/>
        <v>y</v>
      </c>
      <c r="VDV1" s="154" t="str">
        <f t="shared" si="234"/>
        <v>y</v>
      </c>
      <c r="VDW1" s="154" t="str">
        <f t="shared" si="234"/>
        <v>y</v>
      </c>
      <c r="VDX1" s="154" t="str">
        <f t="shared" si="234"/>
        <v>y</v>
      </c>
      <c r="VDY1" s="154" t="str">
        <f t="shared" si="234"/>
        <v>y</v>
      </c>
      <c r="VDZ1" s="154" t="str">
        <f t="shared" si="234"/>
        <v>y</v>
      </c>
      <c r="VEA1" s="154" t="str">
        <f t="shared" si="234"/>
        <v>y</v>
      </c>
      <c r="VEB1" s="154" t="str">
        <f t="shared" si="234"/>
        <v>y</v>
      </c>
      <c r="VEC1" s="154" t="str">
        <f t="shared" si="234"/>
        <v>y</v>
      </c>
      <c r="VED1" s="154" t="str">
        <f t="shared" si="234"/>
        <v>y</v>
      </c>
      <c r="VEE1" s="154" t="str">
        <f t="shared" si="234"/>
        <v>y</v>
      </c>
      <c r="VEF1" s="154" t="str">
        <f t="shared" si="234"/>
        <v>y</v>
      </c>
      <c r="VEG1" s="154" t="str">
        <f t="shared" si="234"/>
        <v>y</v>
      </c>
      <c r="VEH1" s="154" t="str">
        <f t="shared" si="234"/>
        <v>y</v>
      </c>
      <c r="VEI1" s="154" t="str">
        <f t="shared" si="234"/>
        <v>y</v>
      </c>
      <c r="VEJ1" s="154" t="str">
        <f t="shared" si="234"/>
        <v>y</v>
      </c>
      <c r="VEK1" s="154" t="str">
        <f t="shared" si="234"/>
        <v>y</v>
      </c>
      <c r="VEL1" s="154" t="str">
        <f t="shared" si="234"/>
        <v>y</v>
      </c>
      <c r="VEM1" s="154" t="str">
        <f t="shared" si="234"/>
        <v>y</v>
      </c>
      <c r="VEN1" s="154" t="str">
        <f t="shared" si="234"/>
        <v>y</v>
      </c>
      <c r="VEO1" s="154" t="str">
        <f t="shared" si="234"/>
        <v>y</v>
      </c>
      <c r="VEP1" s="154" t="str">
        <f t="shared" si="234"/>
        <v>y</v>
      </c>
      <c r="VEQ1" s="154" t="str">
        <f t="shared" si="234"/>
        <v>y</v>
      </c>
      <c r="VER1" s="154" t="str">
        <f t="shared" si="234"/>
        <v>y</v>
      </c>
      <c r="VES1" s="154" t="str">
        <f t="shared" si="234"/>
        <v>y</v>
      </c>
      <c r="VET1" s="154" t="str">
        <f t="shared" si="234"/>
        <v>y</v>
      </c>
      <c r="VEU1" s="154" t="str">
        <f t="shared" si="234"/>
        <v>y</v>
      </c>
      <c r="VEV1" s="154" t="str">
        <f t="shared" si="234"/>
        <v>y</v>
      </c>
      <c r="VEW1" s="154" t="str">
        <f t="shared" si="234"/>
        <v>y</v>
      </c>
      <c r="VEX1" s="154" t="str">
        <f t="shared" si="234"/>
        <v>y</v>
      </c>
      <c r="VEY1" s="154" t="str">
        <f t="shared" si="234"/>
        <v>y</v>
      </c>
      <c r="VEZ1" s="154" t="str">
        <f t="shared" si="234"/>
        <v>y</v>
      </c>
      <c r="VFA1" s="154" t="str">
        <f t="shared" si="234"/>
        <v>y</v>
      </c>
      <c r="VFB1" s="154" t="str">
        <f t="shared" si="234"/>
        <v>y</v>
      </c>
      <c r="VFC1" s="154" t="str">
        <f t="shared" si="234"/>
        <v>y</v>
      </c>
      <c r="VFD1" s="154" t="str">
        <f t="shared" si="234"/>
        <v>y</v>
      </c>
      <c r="VFE1" s="154" t="str">
        <f t="shared" si="234"/>
        <v>y</v>
      </c>
      <c r="VFF1" s="154" t="str">
        <f t="shared" si="234"/>
        <v>y</v>
      </c>
      <c r="VFG1" s="154" t="str">
        <f t="shared" si="234"/>
        <v>y</v>
      </c>
      <c r="VFH1" s="154" t="str">
        <f t="shared" si="234"/>
        <v>y</v>
      </c>
      <c r="VFI1" s="154" t="str">
        <f t="shared" si="234"/>
        <v>y</v>
      </c>
      <c r="VFJ1" s="154" t="str">
        <f t="shared" si="234"/>
        <v>y</v>
      </c>
      <c r="VFK1" s="154" t="str">
        <f t="shared" si="234"/>
        <v>y</v>
      </c>
      <c r="VFL1" s="154" t="str">
        <f t="shared" si="234"/>
        <v>y</v>
      </c>
      <c r="VFM1" s="154" t="str">
        <f t="shared" si="234"/>
        <v>y</v>
      </c>
      <c r="VFN1" s="154" t="str">
        <f t="shared" si="234"/>
        <v>y</v>
      </c>
      <c r="VFO1" s="154" t="str">
        <f t="shared" si="234"/>
        <v>y</v>
      </c>
      <c r="VFP1" s="154" t="str">
        <f t="shared" si="234"/>
        <v>y</v>
      </c>
      <c r="VFQ1" s="154" t="str">
        <f t="shared" si="234"/>
        <v>y</v>
      </c>
      <c r="VFR1" s="154" t="str">
        <f t="shared" ref="VFR1:VIC1" si="235">VFR2&amp;"y"</f>
        <v>y</v>
      </c>
      <c r="VFS1" s="154" t="str">
        <f t="shared" si="235"/>
        <v>y</v>
      </c>
      <c r="VFT1" s="154" t="str">
        <f t="shared" si="235"/>
        <v>y</v>
      </c>
      <c r="VFU1" s="154" t="str">
        <f t="shared" si="235"/>
        <v>y</v>
      </c>
      <c r="VFV1" s="154" t="str">
        <f t="shared" si="235"/>
        <v>y</v>
      </c>
      <c r="VFW1" s="154" t="str">
        <f t="shared" si="235"/>
        <v>y</v>
      </c>
      <c r="VFX1" s="154" t="str">
        <f t="shared" si="235"/>
        <v>y</v>
      </c>
      <c r="VFY1" s="154" t="str">
        <f t="shared" si="235"/>
        <v>y</v>
      </c>
      <c r="VFZ1" s="154" t="str">
        <f t="shared" si="235"/>
        <v>y</v>
      </c>
      <c r="VGA1" s="154" t="str">
        <f t="shared" si="235"/>
        <v>y</v>
      </c>
      <c r="VGB1" s="154" t="str">
        <f t="shared" si="235"/>
        <v>y</v>
      </c>
      <c r="VGC1" s="154" t="str">
        <f t="shared" si="235"/>
        <v>y</v>
      </c>
      <c r="VGD1" s="154" t="str">
        <f t="shared" si="235"/>
        <v>y</v>
      </c>
      <c r="VGE1" s="154" t="str">
        <f t="shared" si="235"/>
        <v>y</v>
      </c>
      <c r="VGF1" s="154" t="str">
        <f t="shared" si="235"/>
        <v>y</v>
      </c>
      <c r="VGG1" s="154" t="str">
        <f t="shared" si="235"/>
        <v>y</v>
      </c>
      <c r="VGH1" s="154" t="str">
        <f t="shared" si="235"/>
        <v>y</v>
      </c>
      <c r="VGI1" s="154" t="str">
        <f t="shared" si="235"/>
        <v>y</v>
      </c>
      <c r="VGJ1" s="154" t="str">
        <f t="shared" si="235"/>
        <v>y</v>
      </c>
      <c r="VGK1" s="154" t="str">
        <f t="shared" si="235"/>
        <v>y</v>
      </c>
      <c r="VGL1" s="154" t="str">
        <f t="shared" si="235"/>
        <v>y</v>
      </c>
      <c r="VGM1" s="154" t="str">
        <f t="shared" si="235"/>
        <v>y</v>
      </c>
      <c r="VGN1" s="154" t="str">
        <f t="shared" si="235"/>
        <v>y</v>
      </c>
      <c r="VGO1" s="154" t="str">
        <f t="shared" si="235"/>
        <v>y</v>
      </c>
      <c r="VGP1" s="154" t="str">
        <f t="shared" si="235"/>
        <v>y</v>
      </c>
      <c r="VGQ1" s="154" t="str">
        <f t="shared" si="235"/>
        <v>y</v>
      </c>
      <c r="VGR1" s="154" t="str">
        <f t="shared" si="235"/>
        <v>y</v>
      </c>
      <c r="VGS1" s="154" t="str">
        <f t="shared" si="235"/>
        <v>y</v>
      </c>
      <c r="VGT1" s="154" t="str">
        <f t="shared" si="235"/>
        <v>y</v>
      </c>
      <c r="VGU1" s="154" t="str">
        <f t="shared" si="235"/>
        <v>y</v>
      </c>
      <c r="VGV1" s="154" t="str">
        <f t="shared" si="235"/>
        <v>y</v>
      </c>
      <c r="VGW1" s="154" t="str">
        <f t="shared" si="235"/>
        <v>y</v>
      </c>
      <c r="VGX1" s="154" t="str">
        <f t="shared" si="235"/>
        <v>y</v>
      </c>
      <c r="VGY1" s="154" t="str">
        <f t="shared" si="235"/>
        <v>y</v>
      </c>
      <c r="VGZ1" s="154" t="str">
        <f t="shared" si="235"/>
        <v>y</v>
      </c>
      <c r="VHA1" s="154" t="str">
        <f t="shared" si="235"/>
        <v>y</v>
      </c>
      <c r="VHB1" s="154" t="str">
        <f t="shared" si="235"/>
        <v>y</v>
      </c>
      <c r="VHC1" s="154" t="str">
        <f t="shared" si="235"/>
        <v>y</v>
      </c>
      <c r="VHD1" s="154" t="str">
        <f t="shared" si="235"/>
        <v>y</v>
      </c>
      <c r="VHE1" s="154" t="str">
        <f t="shared" si="235"/>
        <v>y</v>
      </c>
      <c r="VHF1" s="154" t="str">
        <f t="shared" si="235"/>
        <v>y</v>
      </c>
      <c r="VHG1" s="154" t="str">
        <f t="shared" si="235"/>
        <v>y</v>
      </c>
      <c r="VHH1" s="154" t="str">
        <f t="shared" si="235"/>
        <v>y</v>
      </c>
      <c r="VHI1" s="154" t="str">
        <f t="shared" si="235"/>
        <v>y</v>
      </c>
      <c r="VHJ1" s="154" t="str">
        <f t="shared" si="235"/>
        <v>y</v>
      </c>
      <c r="VHK1" s="154" t="str">
        <f t="shared" si="235"/>
        <v>y</v>
      </c>
      <c r="VHL1" s="154" t="str">
        <f t="shared" si="235"/>
        <v>y</v>
      </c>
      <c r="VHM1" s="154" t="str">
        <f t="shared" si="235"/>
        <v>y</v>
      </c>
      <c r="VHN1" s="154" t="str">
        <f t="shared" si="235"/>
        <v>y</v>
      </c>
      <c r="VHO1" s="154" t="str">
        <f t="shared" si="235"/>
        <v>y</v>
      </c>
      <c r="VHP1" s="154" t="str">
        <f t="shared" si="235"/>
        <v>y</v>
      </c>
      <c r="VHQ1" s="154" t="str">
        <f t="shared" si="235"/>
        <v>y</v>
      </c>
      <c r="VHR1" s="154" t="str">
        <f t="shared" si="235"/>
        <v>y</v>
      </c>
      <c r="VHS1" s="154" t="str">
        <f t="shared" si="235"/>
        <v>y</v>
      </c>
      <c r="VHT1" s="154" t="str">
        <f t="shared" si="235"/>
        <v>y</v>
      </c>
      <c r="VHU1" s="154" t="str">
        <f t="shared" si="235"/>
        <v>y</v>
      </c>
      <c r="VHV1" s="154" t="str">
        <f t="shared" si="235"/>
        <v>y</v>
      </c>
      <c r="VHW1" s="154" t="str">
        <f t="shared" si="235"/>
        <v>y</v>
      </c>
      <c r="VHX1" s="154" t="str">
        <f t="shared" si="235"/>
        <v>y</v>
      </c>
      <c r="VHY1" s="154" t="str">
        <f t="shared" si="235"/>
        <v>y</v>
      </c>
      <c r="VHZ1" s="154" t="str">
        <f t="shared" si="235"/>
        <v>y</v>
      </c>
      <c r="VIA1" s="154" t="str">
        <f t="shared" si="235"/>
        <v>y</v>
      </c>
      <c r="VIB1" s="154" t="str">
        <f t="shared" si="235"/>
        <v>y</v>
      </c>
      <c r="VIC1" s="154" t="str">
        <f t="shared" si="235"/>
        <v>y</v>
      </c>
      <c r="VID1" s="154" t="str">
        <f t="shared" ref="VID1:VKO1" si="236">VID2&amp;"y"</f>
        <v>y</v>
      </c>
      <c r="VIE1" s="154" t="str">
        <f t="shared" si="236"/>
        <v>y</v>
      </c>
      <c r="VIF1" s="154" t="str">
        <f t="shared" si="236"/>
        <v>y</v>
      </c>
      <c r="VIG1" s="154" t="str">
        <f t="shared" si="236"/>
        <v>y</v>
      </c>
      <c r="VIH1" s="154" t="str">
        <f t="shared" si="236"/>
        <v>y</v>
      </c>
      <c r="VII1" s="154" t="str">
        <f t="shared" si="236"/>
        <v>y</v>
      </c>
      <c r="VIJ1" s="154" t="str">
        <f t="shared" si="236"/>
        <v>y</v>
      </c>
      <c r="VIK1" s="154" t="str">
        <f t="shared" si="236"/>
        <v>y</v>
      </c>
      <c r="VIL1" s="154" t="str">
        <f t="shared" si="236"/>
        <v>y</v>
      </c>
      <c r="VIM1" s="154" t="str">
        <f t="shared" si="236"/>
        <v>y</v>
      </c>
      <c r="VIN1" s="154" t="str">
        <f t="shared" si="236"/>
        <v>y</v>
      </c>
      <c r="VIO1" s="154" t="str">
        <f t="shared" si="236"/>
        <v>y</v>
      </c>
      <c r="VIP1" s="154" t="str">
        <f t="shared" si="236"/>
        <v>y</v>
      </c>
      <c r="VIQ1" s="154" t="str">
        <f t="shared" si="236"/>
        <v>y</v>
      </c>
      <c r="VIR1" s="154" t="str">
        <f t="shared" si="236"/>
        <v>y</v>
      </c>
      <c r="VIS1" s="154" t="str">
        <f t="shared" si="236"/>
        <v>y</v>
      </c>
      <c r="VIT1" s="154" t="str">
        <f t="shared" si="236"/>
        <v>y</v>
      </c>
      <c r="VIU1" s="154" t="str">
        <f t="shared" si="236"/>
        <v>y</v>
      </c>
      <c r="VIV1" s="154" t="str">
        <f t="shared" si="236"/>
        <v>y</v>
      </c>
      <c r="VIW1" s="154" t="str">
        <f t="shared" si="236"/>
        <v>y</v>
      </c>
      <c r="VIX1" s="154" t="str">
        <f t="shared" si="236"/>
        <v>y</v>
      </c>
      <c r="VIY1" s="154" t="str">
        <f t="shared" si="236"/>
        <v>y</v>
      </c>
      <c r="VIZ1" s="154" t="str">
        <f t="shared" si="236"/>
        <v>y</v>
      </c>
      <c r="VJA1" s="154" t="str">
        <f t="shared" si="236"/>
        <v>y</v>
      </c>
      <c r="VJB1" s="154" t="str">
        <f t="shared" si="236"/>
        <v>y</v>
      </c>
      <c r="VJC1" s="154" t="str">
        <f t="shared" si="236"/>
        <v>y</v>
      </c>
      <c r="VJD1" s="154" t="str">
        <f t="shared" si="236"/>
        <v>y</v>
      </c>
      <c r="VJE1" s="154" t="str">
        <f t="shared" si="236"/>
        <v>y</v>
      </c>
      <c r="VJF1" s="154" t="str">
        <f t="shared" si="236"/>
        <v>y</v>
      </c>
      <c r="VJG1" s="154" t="str">
        <f t="shared" si="236"/>
        <v>y</v>
      </c>
      <c r="VJH1" s="154" t="str">
        <f t="shared" si="236"/>
        <v>y</v>
      </c>
      <c r="VJI1" s="154" t="str">
        <f t="shared" si="236"/>
        <v>y</v>
      </c>
      <c r="VJJ1" s="154" t="str">
        <f t="shared" si="236"/>
        <v>y</v>
      </c>
      <c r="VJK1" s="154" t="str">
        <f t="shared" si="236"/>
        <v>y</v>
      </c>
      <c r="VJL1" s="154" t="str">
        <f t="shared" si="236"/>
        <v>y</v>
      </c>
      <c r="VJM1" s="154" t="str">
        <f t="shared" si="236"/>
        <v>y</v>
      </c>
      <c r="VJN1" s="154" t="str">
        <f t="shared" si="236"/>
        <v>y</v>
      </c>
      <c r="VJO1" s="154" t="str">
        <f t="shared" si="236"/>
        <v>y</v>
      </c>
      <c r="VJP1" s="154" t="str">
        <f t="shared" si="236"/>
        <v>y</v>
      </c>
      <c r="VJQ1" s="154" t="str">
        <f t="shared" si="236"/>
        <v>y</v>
      </c>
      <c r="VJR1" s="154" t="str">
        <f t="shared" si="236"/>
        <v>y</v>
      </c>
      <c r="VJS1" s="154" t="str">
        <f t="shared" si="236"/>
        <v>y</v>
      </c>
      <c r="VJT1" s="154" t="str">
        <f t="shared" si="236"/>
        <v>y</v>
      </c>
      <c r="VJU1" s="154" t="str">
        <f t="shared" si="236"/>
        <v>y</v>
      </c>
      <c r="VJV1" s="154" t="str">
        <f t="shared" si="236"/>
        <v>y</v>
      </c>
      <c r="VJW1" s="154" t="str">
        <f t="shared" si="236"/>
        <v>y</v>
      </c>
      <c r="VJX1" s="154" t="str">
        <f t="shared" si="236"/>
        <v>y</v>
      </c>
      <c r="VJY1" s="154" t="str">
        <f t="shared" si="236"/>
        <v>y</v>
      </c>
      <c r="VJZ1" s="154" t="str">
        <f t="shared" si="236"/>
        <v>y</v>
      </c>
      <c r="VKA1" s="154" t="str">
        <f t="shared" si="236"/>
        <v>y</v>
      </c>
      <c r="VKB1" s="154" t="str">
        <f t="shared" si="236"/>
        <v>y</v>
      </c>
      <c r="VKC1" s="154" t="str">
        <f t="shared" si="236"/>
        <v>y</v>
      </c>
      <c r="VKD1" s="154" t="str">
        <f t="shared" si="236"/>
        <v>y</v>
      </c>
      <c r="VKE1" s="154" t="str">
        <f t="shared" si="236"/>
        <v>y</v>
      </c>
      <c r="VKF1" s="154" t="str">
        <f t="shared" si="236"/>
        <v>y</v>
      </c>
      <c r="VKG1" s="154" t="str">
        <f t="shared" si="236"/>
        <v>y</v>
      </c>
      <c r="VKH1" s="154" t="str">
        <f t="shared" si="236"/>
        <v>y</v>
      </c>
      <c r="VKI1" s="154" t="str">
        <f t="shared" si="236"/>
        <v>y</v>
      </c>
      <c r="VKJ1" s="154" t="str">
        <f t="shared" si="236"/>
        <v>y</v>
      </c>
      <c r="VKK1" s="154" t="str">
        <f t="shared" si="236"/>
        <v>y</v>
      </c>
      <c r="VKL1" s="154" t="str">
        <f t="shared" si="236"/>
        <v>y</v>
      </c>
      <c r="VKM1" s="154" t="str">
        <f t="shared" si="236"/>
        <v>y</v>
      </c>
      <c r="VKN1" s="154" t="str">
        <f t="shared" si="236"/>
        <v>y</v>
      </c>
      <c r="VKO1" s="154" t="str">
        <f t="shared" si="236"/>
        <v>y</v>
      </c>
      <c r="VKP1" s="154" t="str">
        <f t="shared" ref="VKP1:VNA1" si="237">VKP2&amp;"y"</f>
        <v>y</v>
      </c>
      <c r="VKQ1" s="154" t="str">
        <f t="shared" si="237"/>
        <v>y</v>
      </c>
      <c r="VKR1" s="154" t="str">
        <f t="shared" si="237"/>
        <v>y</v>
      </c>
      <c r="VKS1" s="154" t="str">
        <f t="shared" si="237"/>
        <v>y</v>
      </c>
      <c r="VKT1" s="154" t="str">
        <f t="shared" si="237"/>
        <v>y</v>
      </c>
      <c r="VKU1" s="154" t="str">
        <f t="shared" si="237"/>
        <v>y</v>
      </c>
      <c r="VKV1" s="154" t="str">
        <f t="shared" si="237"/>
        <v>y</v>
      </c>
      <c r="VKW1" s="154" t="str">
        <f t="shared" si="237"/>
        <v>y</v>
      </c>
      <c r="VKX1" s="154" t="str">
        <f t="shared" si="237"/>
        <v>y</v>
      </c>
      <c r="VKY1" s="154" t="str">
        <f t="shared" si="237"/>
        <v>y</v>
      </c>
      <c r="VKZ1" s="154" t="str">
        <f t="shared" si="237"/>
        <v>y</v>
      </c>
      <c r="VLA1" s="154" t="str">
        <f t="shared" si="237"/>
        <v>y</v>
      </c>
      <c r="VLB1" s="154" t="str">
        <f t="shared" si="237"/>
        <v>y</v>
      </c>
      <c r="VLC1" s="154" t="str">
        <f t="shared" si="237"/>
        <v>y</v>
      </c>
      <c r="VLD1" s="154" t="str">
        <f t="shared" si="237"/>
        <v>y</v>
      </c>
      <c r="VLE1" s="154" t="str">
        <f t="shared" si="237"/>
        <v>y</v>
      </c>
      <c r="VLF1" s="154" t="str">
        <f t="shared" si="237"/>
        <v>y</v>
      </c>
      <c r="VLG1" s="154" t="str">
        <f t="shared" si="237"/>
        <v>y</v>
      </c>
      <c r="VLH1" s="154" t="str">
        <f t="shared" si="237"/>
        <v>y</v>
      </c>
      <c r="VLI1" s="154" t="str">
        <f t="shared" si="237"/>
        <v>y</v>
      </c>
      <c r="VLJ1" s="154" t="str">
        <f t="shared" si="237"/>
        <v>y</v>
      </c>
      <c r="VLK1" s="154" t="str">
        <f t="shared" si="237"/>
        <v>y</v>
      </c>
      <c r="VLL1" s="154" t="str">
        <f t="shared" si="237"/>
        <v>y</v>
      </c>
      <c r="VLM1" s="154" t="str">
        <f t="shared" si="237"/>
        <v>y</v>
      </c>
      <c r="VLN1" s="154" t="str">
        <f t="shared" si="237"/>
        <v>y</v>
      </c>
      <c r="VLO1" s="154" t="str">
        <f t="shared" si="237"/>
        <v>y</v>
      </c>
      <c r="VLP1" s="154" t="str">
        <f t="shared" si="237"/>
        <v>y</v>
      </c>
      <c r="VLQ1" s="154" t="str">
        <f t="shared" si="237"/>
        <v>y</v>
      </c>
      <c r="VLR1" s="154" t="str">
        <f t="shared" si="237"/>
        <v>y</v>
      </c>
      <c r="VLS1" s="154" t="str">
        <f t="shared" si="237"/>
        <v>y</v>
      </c>
      <c r="VLT1" s="154" t="str">
        <f t="shared" si="237"/>
        <v>y</v>
      </c>
      <c r="VLU1" s="154" t="str">
        <f t="shared" si="237"/>
        <v>y</v>
      </c>
      <c r="VLV1" s="154" t="str">
        <f t="shared" si="237"/>
        <v>y</v>
      </c>
      <c r="VLW1" s="154" t="str">
        <f t="shared" si="237"/>
        <v>y</v>
      </c>
      <c r="VLX1" s="154" t="str">
        <f t="shared" si="237"/>
        <v>y</v>
      </c>
      <c r="VLY1" s="154" t="str">
        <f t="shared" si="237"/>
        <v>y</v>
      </c>
      <c r="VLZ1" s="154" t="str">
        <f t="shared" si="237"/>
        <v>y</v>
      </c>
      <c r="VMA1" s="154" t="str">
        <f t="shared" si="237"/>
        <v>y</v>
      </c>
      <c r="VMB1" s="154" t="str">
        <f t="shared" si="237"/>
        <v>y</v>
      </c>
      <c r="VMC1" s="154" t="str">
        <f t="shared" si="237"/>
        <v>y</v>
      </c>
      <c r="VMD1" s="154" t="str">
        <f t="shared" si="237"/>
        <v>y</v>
      </c>
      <c r="VME1" s="154" t="str">
        <f t="shared" si="237"/>
        <v>y</v>
      </c>
      <c r="VMF1" s="154" t="str">
        <f t="shared" si="237"/>
        <v>y</v>
      </c>
      <c r="VMG1" s="154" t="str">
        <f t="shared" si="237"/>
        <v>y</v>
      </c>
      <c r="VMH1" s="154" t="str">
        <f t="shared" si="237"/>
        <v>y</v>
      </c>
      <c r="VMI1" s="154" t="str">
        <f t="shared" si="237"/>
        <v>y</v>
      </c>
      <c r="VMJ1" s="154" t="str">
        <f t="shared" si="237"/>
        <v>y</v>
      </c>
      <c r="VMK1" s="154" t="str">
        <f t="shared" si="237"/>
        <v>y</v>
      </c>
      <c r="VML1" s="154" t="str">
        <f t="shared" si="237"/>
        <v>y</v>
      </c>
      <c r="VMM1" s="154" t="str">
        <f t="shared" si="237"/>
        <v>y</v>
      </c>
      <c r="VMN1" s="154" t="str">
        <f t="shared" si="237"/>
        <v>y</v>
      </c>
      <c r="VMO1" s="154" t="str">
        <f t="shared" si="237"/>
        <v>y</v>
      </c>
      <c r="VMP1" s="154" t="str">
        <f t="shared" si="237"/>
        <v>y</v>
      </c>
      <c r="VMQ1" s="154" t="str">
        <f t="shared" si="237"/>
        <v>y</v>
      </c>
      <c r="VMR1" s="154" t="str">
        <f t="shared" si="237"/>
        <v>y</v>
      </c>
      <c r="VMS1" s="154" t="str">
        <f t="shared" si="237"/>
        <v>y</v>
      </c>
      <c r="VMT1" s="154" t="str">
        <f t="shared" si="237"/>
        <v>y</v>
      </c>
      <c r="VMU1" s="154" t="str">
        <f t="shared" si="237"/>
        <v>y</v>
      </c>
      <c r="VMV1" s="154" t="str">
        <f t="shared" si="237"/>
        <v>y</v>
      </c>
      <c r="VMW1" s="154" t="str">
        <f t="shared" si="237"/>
        <v>y</v>
      </c>
      <c r="VMX1" s="154" t="str">
        <f t="shared" si="237"/>
        <v>y</v>
      </c>
      <c r="VMY1" s="154" t="str">
        <f t="shared" si="237"/>
        <v>y</v>
      </c>
      <c r="VMZ1" s="154" t="str">
        <f t="shared" si="237"/>
        <v>y</v>
      </c>
      <c r="VNA1" s="154" t="str">
        <f t="shared" si="237"/>
        <v>y</v>
      </c>
      <c r="VNB1" s="154" t="str">
        <f t="shared" ref="VNB1:VPM1" si="238">VNB2&amp;"y"</f>
        <v>y</v>
      </c>
      <c r="VNC1" s="154" t="str">
        <f t="shared" si="238"/>
        <v>y</v>
      </c>
      <c r="VND1" s="154" t="str">
        <f t="shared" si="238"/>
        <v>y</v>
      </c>
      <c r="VNE1" s="154" t="str">
        <f t="shared" si="238"/>
        <v>y</v>
      </c>
      <c r="VNF1" s="154" t="str">
        <f t="shared" si="238"/>
        <v>y</v>
      </c>
      <c r="VNG1" s="154" t="str">
        <f t="shared" si="238"/>
        <v>y</v>
      </c>
      <c r="VNH1" s="154" t="str">
        <f t="shared" si="238"/>
        <v>y</v>
      </c>
      <c r="VNI1" s="154" t="str">
        <f t="shared" si="238"/>
        <v>y</v>
      </c>
      <c r="VNJ1" s="154" t="str">
        <f t="shared" si="238"/>
        <v>y</v>
      </c>
      <c r="VNK1" s="154" t="str">
        <f t="shared" si="238"/>
        <v>y</v>
      </c>
      <c r="VNL1" s="154" t="str">
        <f t="shared" si="238"/>
        <v>y</v>
      </c>
      <c r="VNM1" s="154" t="str">
        <f t="shared" si="238"/>
        <v>y</v>
      </c>
      <c r="VNN1" s="154" t="str">
        <f t="shared" si="238"/>
        <v>y</v>
      </c>
      <c r="VNO1" s="154" t="str">
        <f t="shared" si="238"/>
        <v>y</v>
      </c>
      <c r="VNP1" s="154" t="str">
        <f t="shared" si="238"/>
        <v>y</v>
      </c>
      <c r="VNQ1" s="154" t="str">
        <f t="shared" si="238"/>
        <v>y</v>
      </c>
      <c r="VNR1" s="154" t="str">
        <f t="shared" si="238"/>
        <v>y</v>
      </c>
      <c r="VNS1" s="154" t="str">
        <f t="shared" si="238"/>
        <v>y</v>
      </c>
      <c r="VNT1" s="154" t="str">
        <f t="shared" si="238"/>
        <v>y</v>
      </c>
      <c r="VNU1" s="154" t="str">
        <f t="shared" si="238"/>
        <v>y</v>
      </c>
      <c r="VNV1" s="154" t="str">
        <f t="shared" si="238"/>
        <v>y</v>
      </c>
      <c r="VNW1" s="154" t="str">
        <f t="shared" si="238"/>
        <v>y</v>
      </c>
      <c r="VNX1" s="154" t="str">
        <f t="shared" si="238"/>
        <v>y</v>
      </c>
      <c r="VNY1" s="154" t="str">
        <f t="shared" si="238"/>
        <v>y</v>
      </c>
      <c r="VNZ1" s="154" t="str">
        <f t="shared" si="238"/>
        <v>y</v>
      </c>
      <c r="VOA1" s="154" t="str">
        <f t="shared" si="238"/>
        <v>y</v>
      </c>
      <c r="VOB1" s="154" t="str">
        <f t="shared" si="238"/>
        <v>y</v>
      </c>
      <c r="VOC1" s="154" t="str">
        <f t="shared" si="238"/>
        <v>y</v>
      </c>
      <c r="VOD1" s="154" t="str">
        <f t="shared" si="238"/>
        <v>y</v>
      </c>
      <c r="VOE1" s="154" t="str">
        <f t="shared" si="238"/>
        <v>y</v>
      </c>
      <c r="VOF1" s="154" t="str">
        <f t="shared" si="238"/>
        <v>y</v>
      </c>
      <c r="VOG1" s="154" t="str">
        <f t="shared" si="238"/>
        <v>y</v>
      </c>
      <c r="VOH1" s="154" t="str">
        <f t="shared" si="238"/>
        <v>y</v>
      </c>
      <c r="VOI1" s="154" t="str">
        <f t="shared" si="238"/>
        <v>y</v>
      </c>
      <c r="VOJ1" s="154" t="str">
        <f t="shared" si="238"/>
        <v>y</v>
      </c>
      <c r="VOK1" s="154" t="str">
        <f t="shared" si="238"/>
        <v>y</v>
      </c>
      <c r="VOL1" s="154" t="str">
        <f t="shared" si="238"/>
        <v>y</v>
      </c>
      <c r="VOM1" s="154" t="str">
        <f t="shared" si="238"/>
        <v>y</v>
      </c>
      <c r="VON1" s="154" t="str">
        <f t="shared" si="238"/>
        <v>y</v>
      </c>
      <c r="VOO1" s="154" t="str">
        <f t="shared" si="238"/>
        <v>y</v>
      </c>
      <c r="VOP1" s="154" t="str">
        <f t="shared" si="238"/>
        <v>y</v>
      </c>
      <c r="VOQ1" s="154" t="str">
        <f t="shared" si="238"/>
        <v>y</v>
      </c>
      <c r="VOR1" s="154" t="str">
        <f t="shared" si="238"/>
        <v>y</v>
      </c>
      <c r="VOS1" s="154" t="str">
        <f t="shared" si="238"/>
        <v>y</v>
      </c>
      <c r="VOT1" s="154" t="str">
        <f t="shared" si="238"/>
        <v>y</v>
      </c>
      <c r="VOU1" s="154" t="str">
        <f t="shared" si="238"/>
        <v>y</v>
      </c>
      <c r="VOV1" s="154" t="str">
        <f t="shared" si="238"/>
        <v>y</v>
      </c>
      <c r="VOW1" s="154" t="str">
        <f t="shared" si="238"/>
        <v>y</v>
      </c>
      <c r="VOX1" s="154" t="str">
        <f t="shared" si="238"/>
        <v>y</v>
      </c>
      <c r="VOY1" s="154" t="str">
        <f t="shared" si="238"/>
        <v>y</v>
      </c>
      <c r="VOZ1" s="154" t="str">
        <f t="shared" si="238"/>
        <v>y</v>
      </c>
      <c r="VPA1" s="154" t="str">
        <f t="shared" si="238"/>
        <v>y</v>
      </c>
      <c r="VPB1" s="154" t="str">
        <f t="shared" si="238"/>
        <v>y</v>
      </c>
      <c r="VPC1" s="154" t="str">
        <f t="shared" si="238"/>
        <v>y</v>
      </c>
      <c r="VPD1" s="154" t="str">
        <f t="shared" si="238"/>
        <v>y</v>
      </c>
      <c r="VPE1" s="154" t="str">
        <f t="shared" si="238"/>
        <v>y</v>
      </c>
      <c r="VPF1" s="154" t="str">
        <f t="shared" si="238"/>
        <v>y</v>
      </c>
      <c r="VPG1" s="154" t="str">
        <f t="shared" si="238"/>
        <v>y</v>
      </c>
      <c r="VPH1" s="154" t="str">
        <f t="shared" si="238"/>
        <v>y</v>
      </c>
      <c r="VPI1" s="154" t="str">
        <f t="shared" si="238"/>
        <v>y</v>
      </c>
      <c r="VPJ1" s="154" t="str">
        <f t="shared" si="238"/>
        <v>y</v>
      </c>
      <c r="VPK1" s="154" t="str">
        <f t="shared" si="238"/>
        <v>y</v>
      </c>
      <c r="VPL1" s="154" t="str">
        <f t="shared" si="238"/>
        <v>y</v>
      </c>
      <c r="VPM1" s="154" t="str">
        <f t="shared" si="238"/>
        <v>y</v>
      </c>
      <c r="VPN1" s="154" t="str">
        <f t="shared" ref="VPN1:VRY1" si="239">VPN2&amp;"y"</f>
        <v>y</v>
      </c>
      <c r="VPO1" s="154" t="str">
        <f t="shared" si="239"/>
        <v>y</v>
      </c>
      <c r="VPP1" s="154" t="str">
        <f t="shared" si="239"/>
        <v>y</v>
      </c>
      <c r="VPQ1" s="154" t="str">
        <f t="shared" si="239"/>
        <v>y</v>
      </c>
      <c r="VPR1" s="154" t="str">
        <f t="shared" si="239"/>
        <v>y</v>
      </c>
      <c r="VPS1" s="154" t="str">
        <f t="shared" si="239"/>
        <v>y</v>
      </c>
      <c r="VPT1" s="154" t="str">
        <f t="shared" si="239"/>
        <v>y</v>
      </c>
      <c r="VPU1" s="154" t="str">
        <f t="shared" si="239"/>
        <v>y</v>
      </c>
      <c r="VPV1" s="154" t="str">
        <f t="shared" si="239"/>
        <v>y</v>
      </c>
      <c r="VPW1" s="154" t="str">
        <f t="shared" si="239"/>
        <v>y</v>
      </c>
      <c r="VPX1" s="154" t="str">
        <f t="shared" si="239"/>
        <v>y</v>
      </c>
      <c r="VPY1" s="154" t="str">
        <f t="shared" si="239"/>
        <v>y</v>
      </c>
      <c r="VPZ1" s="154" t="str">
        <f t="shared" si="239"/>
        <v>y</v>
      </c>
      <c r="VQA1" s="154" t="str">
        <f t="shared" si="239"/>
        <v>y</v>
      </c>
      <c r="VQB1" s="154" t="str">
        <f t="shared" si="239"/>
        <v>y</v>
      </c>
      <c r="VQC1" s="154" t="str">
        <f t="shared" si="239"/>
        <v>y</v>
      </c>
      <c r="VQD1" s="154" t="str">
        <f t="shared" si="239"/>
        <v>y</v>
      </c>
      <c r="VQE1" s="154" t="str">
        <f t="shared" si="239"/>
        <v>y</v>
      </c>
      <c r="VQF1" s="154" t="str">
        <f t="shared" si="239"/>
        <v>y</v>
      </c>
      <c r="VQG1" s="154" t="str">
        <f t="shared" si="239"/>
        <v>y</v>
      </c>
      <c r="VQH1" s="154" t="str">
        <f t="shared" si="239"/>
        <v>y</v>
      </c>
      <c r="VQI1" s="154" t="str">
        <f t="shared" si="239"/>
        <v>y</v>
      </c>
      <c r="VQJ1" s="154" t="str">
        <f t="shared" si="239"/>
        <v>y</v>
      </c>
      <c r="VQK1" s="154" t="str">
        <f t="shared" si="239"/>
        <v>y</v>
      </c>
      <c r="VQL1" s="154" t="str">
        <f t="shared" si="239"/>
        <v>y</v>
      </c>
      <c r="VQM1" s="154" t="str">
        <f t="shared" si="239"/>
        <v>y</v>
      </c>
      <c r="VQN1" s="154" t="str">
        <f t="shared" si="239"/>
        <v>y</v>
      </c>
      <c r="VQO1" s="154" t="str">
        <f t="shared" si="239"/>
        <v>y</v>
      </c>
      <c r="VQP1" s="154" t="str">
        <f t="shared" si="239"/>
        <v>y</v>
      </c>
      <c r="VQQ1" s="154" t="str">
        <f t="shared" si="239"/>
        <v>y</v>
      </c>
      <c r="VQR1" s="154" t="str">
        <f t="shared" si="239"/>
        <v>y</v>
      </c>
      <c r="VQS1" s="154" t="str">
        <f t="shared" si="239"/>
        <v>y</v>
      </c>
      <c r="VQT1" s="154" t="str">
        <f t="shared" si="239"/>
        <v>y</v>
      </c>
      <c r="VQU1" s="154" t="str">
        <f t="shared" si="239"/>
        <v>y</v>
      </c>
      <c r="VQV1" s="154" t="str">
        <f t="shared" si="239"/>
        <v>y</v>
      </c>
      <c r="VQW1" s="154" t="str">
        <f t="shared" si="239"/>
        <v>y</v>
      </c>
      <c r="VQX1" s="154" t="str">
        <f t="shared" si="239"/>
        <v>y</v>
      </c>
      <c r="VQY1" s="154" t="str">
        <f t="shared" si="239"/>
        <v>y</v>
      </c>
      <c r="VQZ1" s="154" t="str">
        <f t="shared" si="239"/>
        <v>y</v>
      </c>
      <c r="VRA1" s="154" t="str">
        <f t="shared" si="239"/>
        <v>y</v>
      </c>
      <c r="VRB1" s="154" t="str">
        <f t="shared" si="239"/>
        <v>y</v>
      </c>
      <c r="VRC1" s="154" t="str">
        <f t="shared" si="239"/>
        <v>y</v>
      </c>
      <c r="VRD1" s="154" t="str">
        <f t="shared" si="239"/>
        <v>y</v>
      </c>
      <c r="VRE1" s="154" t="str">
        <f t="shared" si="239"/>
        <v>y</v>
      </c>
      <c r="VRF1" s="154" t="str">
        <f t="shared" si="239"/>
        <v>y</v>
      </c>
      <c r="VRG1" s="154" t="str">
        <f t="shared" si="239"/>
        <v>y</v>
      </c>
      <c r="VRH1" s="154" t="str">
        <f t="shared" si="239"/>
        <v>y</v>
      </c>
      <c r="VRI1" s="154" t="str">
        <f t="shared" si="239"/>
        <v>y</v>
      </c>
      <c r="VRJ1" s="154" t="str">
        <f t="shared" si="239"/>
        <v>y</v>
      </c>
      <c r="VRK1" s="154" t="str">
        <f t="shared" si="239"/>
        <v>y</v>
      </c>
      <c r="VRL1" s="154" t="str">
        <f t="shared" si="239"/>
        <v>y</v>
      </c>
      <c r="VRM1" s="154" t="str">
        <f t="shared" si="239"/>
        <v>y</v>
      </c>
      <c r="VRN1" s="154" t="str">
        <f t="shared" si="239"/>
        <v>y</v>
      </c>
      <c r="VRO1" s="154" t="str">
        <f t="shared" si="239"/>
        <v>y</v>
      </c>
      <c r="VRP1" s="154" t="str">
        <f t="shared" si="239"/>
        <v>y</v>
      </c>
      <c r="VRQ1" s="154" t="str">
        <f t="shared" si="239"/>
        <v>y</v>
      </c>
      <c r="VRR1" s="154" t="str">
        <f t="shared" si="239"/>
        <v>y</v>
      </c>
      <c r="VRS1" s="154" t="str">
        <f t="shared" si="239"/>
        <v>y</v>
      </c>
      <c r="VRT1" s="154" t="str">
        <f t="shared" si="239"/>
        <v>y</v>
      </c>
      <c r="VRU1" s="154" t="str">
        <f t="shared" si="239"/>
        <v>y</v>
      </c>
      <c r="VRV1" s="154" t="str">
        <f t="shared" si="239"/>
        <v>y</v>
      </c>
      <c r="VRW1" s="154" t="str">
        <f t="shared" si="239"/>
        <v>y</v>
      </c>
      <c r="VRX1" s="154" t="str">
        <f t="shared" si="239"/>
        <v>y</v>
      </c>
      <c r="VRY1" s="154" t="str">
        <f t="shared" si="239"/>
        <v>y</v>
      </c>
      <c r="VRZ1" s="154" t="str">
        <f t="shared" ref="VRZ1:VUK1" si="240">VRZ2&amp;"y"</f>
        <v>y</v>
      </c>
      <c r="VSA1" s="154" t="str">
        <f t="shared" si="240"/>
        <v>y</v>
      </c>
      <c r="VSB1" s="154" t="str">
        <f t="shared" si="240"/>
        <v>y</v>
      </c>
      <c r="VSC1" s="154" t="str">
        <f t="shared" si="240"/>
        <v>y</v>
      </c>
      <c r="VSD1" s="154" t="str">
        <f t="shared" si="240"/>
        <v>y</v>
      </c>
      <c r="VSE1" s="154" t="str">
        <f t="shared" si="240"/>
        <v>y</v>
      </c>
      <c r="VSF1" s="154" t="str">
        <f t="shared" si="240"/>
        <v>y</v>
      </c>
      <c r="VSG1" s="154" t="str">
        <f t="shared" si="240"/>
        <v>y</v>
      </c>
      <c r="VSH1" s="154" t="str">
        <f t="shared" si="240"/>
        <v>y</v>
      </c>
      <c r="VSI1" s="154" t="str">
        <f t="shared" si="240"/>
        <v>y</v>
      </c>
      <c r="VSJ1" s="154" t="str">
        <f t="shared" si="240"/>
        <v>y</v>
      </c>
      <c r="VSK1" s="154" t="str">
        <f t="shared" si="240"/>
        <v>y</v>
      </c>
      <c r="VSL1" s="154" t="str">
        <f t="shared" si="240"/>
        <v>y</v>
      </c>
      <c r="VSM1" s="154" t="str">
        <f t="shared" si="240"/>
        <v>y</v>
      </c>
      <c r="VSN1" s="154" t="str">
        <f t="shared" si="240"/>
        <v>y</v>
      </c>
      <c r="VSO1" s="154" t="str">
        <f t="shared" si="240"/>
        <v>y</v>
      </c>
      <c r="VSP1" s="154" t="str">
        <f t="shared" si="240"/>
        <v>y</v>
      </c>
      <c r="VSQ1" s="154" t="str">
        <f t="shared" si="240"/>
        <v>y</v>
      </c>
      <c r="VSR1" s="154" t="str">
        <f t="shared" si="240"/>
        <v>y</v>
      </c>
      <c r="VSS1" s="154" t="str">
        <f t="shared" si="240"/>
        <v>y</v>
      </c>
      <c r="VST1" s="154" t="str">
        <f t="shared" si="240"/>
        <v>y</v>
      </c>
      <c r="VSU1" s="154" t="str">
        <f t="shared" si="240"/>
        <v>y</v>
      </c>
      <c r="VSV1" s="154" t="str">
        <f t="shared" si="240"/>
        <v>y</v>
      </c>
      <c r="VSW1" s="154" t="str">
        <f t="shared" si="240"/>
        <v>y</v>
      </c>
      <c r="VSX1" s="154" t="str">
        <f t="shared" si="240"/>
        <v>y</v>
      </c>
      <c r="VSY1" s="154" t="str">
        <f t="shared" si="240"/>
        <v>y</v>
      </c>
      <c r="VSZ1" s="154" t="str">
        <f t="shared" si="240"/>
        <v>y</v>
      </c>
      <c r="VTA1" s="154" t="str">
        <f t="shared" si="240"/>
        <v>y</v>
      </c>
      <c r="VTB1" s="154" t="str">
        <f t="shared" si="240"/>
        <v>y</v>
      </c>
      <c r="VTC1" s="154" t="str">
        <f t="shared" si="240"/>
        <v>y</v>
      </c>
      <c r="VTD1" s="154" t="str">
        <f t="shared" si="240"/>
        <v>y</v>
      </c>
      <c r="VTE1" s="154" t="str">
        <f t="shared" si="240"/>
        <v>y</v>
      </c>
      <c r="VTF1" s="154" t="str">
        <f t="shared" si="240"/>
        <v>y</v>
      </c>
      <c r="VTG1" s="154" t="str">
        <f t="shared" si="240"/>
        <v>y</v>
      </c>
      <c r="VTH1" s="154" t="str">
        <f t="shared" si="240"/>
        <v>y</v>
      </c>
      <c r="VTI1" s="154" t="str">
        <f t="shared" si="240"/>
        <v>y</v>
      </c>
      <c r="VTJ1" s="154" t="str">
        <f t="shared" si="240"/>
        <v>y</v>
      </c>
      <c r="VTK1" s="154" t="str">
        <f t="shared" si="240"/>
        <v>y</v>
      </c>
      <c r="VTL1" s="154" t="str">
        <f t="shared" si="240"/>
        <v>y</v>
      </c>
      <c r="VTM1" s="154" t="str">
        <f t="shared" si="240"/>
        <v>y</v>
      </c>
      <c r="VTN1" s="154" t="str">
        <f t="shared" si="240"/>
        <v>y</v>
      </c>
      <c r="VTO1" s="154" t="str">
        <f t="shared" si="240"/>
        <v>y</v>
      </c>
      <c r="VTP1" s="154" t="str">
        <f t="shared" si="240"/>
        <v>y</v>
      </c>
      <c r="VTQ1" s="154" t="str">
        <f t="shared" si="240"/>
        <v>y</v>
      </c>
      <c r="VTR1" s="154" t="str">
        <f t="shared" si="240"/>
        <v>y</v>
      </c>
      <c r="VTS1" s="154" t="str">
        <f t="shared" si="240"/>
        <v>y</v>
      </c>
      <c r="VTT1" s="154" t="str">
        <f t="shared" si="240"/>
        <v>y</v>
      </c>
      <c r="VTU1" s="154" t="str">
        <f t="shared" si="240"/>
        <v>y</v>
      </c>
      <c r="VTV1" s="154" t="str">
        <f t="shared" si="240"/>
        <v>y</v>
      </c>
      <c r="VTW1" s="154" t="str">
        <f t="shared" si="240"/>
        <v>y</v>
      </c>
      <c r="VTX1" s="154" t="str">
        <f t="shared" si="240"/>
        <v>y</v>
      </c>
      <c r="VTY1" s="154" t="str">
        <f t="shared" si="240"/>
        <v>y</v>
      </c>
      <c r="VTZ1" s="154" t="str">
        <f t="shared" si="240"/>
        <v>y</v>
      </c>
      <c r="VUA1" s="154" t="str">
        <f t="shared" si="240"/>
        <v>y</v>
      </c>
      <c r="VUB1" s="154" t="str">
        <f t="shared" si="240"/>
        <v>y</v>
      </c>
      <c r="VUC1" s="154" t="str">
        <f t="shared" si="240"/>
        <v>y</v>
      </c>
      <c r="VUD1" s="154" t="str">
        <f t="shared" si="240"/>
        <v>y</v>
      </c>
      <c r="VUE1" s="154" t="str">
        <f t="shared" si="240"/>
        <v>y</v>
      </c>
      <c r="VUF1" s="154" t="str">
        <f t="shared" si="240"/>
        <v>y</v>
      </c>
      <c r="VUG1" s="154" t="str">
        <f t="shared" si="240"/>
        <v>y</v>
      </c>
      <c r="VUH1" s="154" t="str">
        <f t="shared" si="240"/>
        <v>y</v>
      </c>
      <c r="VUI1" s="154" t="str">
        <f t="shared" si="240"/>
        <v>y</v>
      </c>
      <c r="VUJ1" s="154" t="str">
        <f t="shared" si="240"/>
        <v>y</v>
      </c>
      <c r="VUK1" s="154" t="str">
        <f t="shared" si="240"/>
        <v>y</v>
      </c>
      <c r="VUL1" s="154" t="str">
        <f t="shared" ref="VUL1:VWW1" si="241">VUL2&amp;"y"</f>
        <v>y</v>
      </c>
      <c r="VUM1" s="154" t="str">
        <f t="shared" si="241"/>
        <v>y</v>
      </c>
      <c r="VUN1" s="154" t="str">
        <f t="shared" si="241"/>
        <v>y</v>
      </c>
      <c r="VUO1" s="154" t="str">
        <f t="shared" si="241"/>
        <v>y</v>
      </c>
      <c r="VUP1" s="154" t="str">
        <f t="shared" si="241"/>
        <v>y</v>
      </c>
      <c r="VUQ1" s="154" t="str">
        <f t="shared" si="241"/>
        <v>y</v>
      </c>
      <c r="VUR1" s="154" t="str">
        <f t="shared" si="241"/>
        <v>y</v>
      </c>
      <c r="VUS1" s="154" t="str">
        <f t="shared" si="241"/>
        <v>y</v>
      </c>
      <c r="VUT1" s="154" t="str">
        <f t="shared" si="241"/>
        <v>y</v>
      </c>
      <c r="VUU1" s="154" t="str">
        <f t="shared" si="241"/>
        <v>y</v>
      </c>
      <c r="VUV1" s="154" t="str">
        <f t="shared" si="241"/>
        <v>y</v>
      </c>
      <c r="VUW1" s="154" t="str">
        <f t="shared" si="241"/>
        <v>y</v>
      </c>
      <c r="VUX1" s="154" t="str">
        <f t="shared" si="241"/>
        <v>y</v>
      </c>
      <c r="VUY1" s="154" t="str">
        <f t="shared" si="241"/>
        <v>y</v>
      </c>
      <c r="VUZ1" s="154" t="str">
        <f t="shared" si="241"/>
        <v>y</v>
      </c>
      <c r="VVA1" s="154" t="str">
        <f t="shared" si="241"/>
        <v>y</v>
      </c>
      <c r="VVB1" s="154" t="str">
        <f t="shared" si="241"/>
        <v>y</v>
      </c>
      <c r="VVC1" s="154" t="str">
        <f t="shared" si="241"/>
        <v>y</v>
      </c>
      <c r="VVD1" s="154" t="str">
        <f t="shared" si="241"/>
        <v>y</v>
      </c>
      <c r="VVE1" s="154" t="str">
        <f t="shared" si="241"/>
        <v>y</v>
      </c>
      <c r="VVF1" s="154" t="str">
        <f t="shared" si="241"/>
        <v>y</v>
      </c>
      <c r="VVG1" s="154" t="str">
        <f t="shared" si="241"/>
        <v>y</v>
      </c>
      <c r="VVH1" s="154" t="str">
        <f t="shared" si="241"/>
        <v>y</v>
      </c>
      <c r="VVI1" s="154" t="str">
        <f t="shared" si="241"/>
        <v>y</v>
      </c>
      <c r="VVJ1" s="154" t="str">
        <f t="shared" si="241"/>
        <v>y</v>
      </c>
      <c r="VVK1" s="154" t="str">
        <f t="shared" si="241"/>
        <v>y</v>
      </c>
      <c r="VVL1" s="154" t="str">
        <f t="shared" si="241"/>
        <v>y</v>
      </c>
      <c r="VVM1" s="154" t="str">
        <f t="shared" si="241"/>
        <v>y</v>
      </c>
      <c r="VVN1" s="154" t="str">
        <f t="shared" si="241"/>
        <v>y</v>
      </c>
      <c r="VVO1" s="154" t="str">
        <f t="shared" si="241"/>
        <v>y</v>
      </c>
      <c r="VVP1" s="154" t="str">
        <f t="shared" si="241"/>
        <v>y</v>
      </c>
      <c r="VVQ1" s="154" t="str">
        <f t="shared" si="241"/>
        <v>y</v>
      </c>
      <c r="VVR1" s="154" t="str">
        <f t="shared" si="241"/>
        <v>y</v>
      </c>
      <c r="VVS1" s="154" t="str">
        <f t="shared" si="241"/>
        <v>y</v>
      </c>
      <c r="VVT1" s="154" t="str">
        <f t="shared" si="241"/>
        <v>y</v>
      </c>
      <c r="VVU1" s="154" t="str">
        <f t="shared" si="241"/>
        <v>y</v>
      </c>
      <c r="VVV1" s="154" t="str">
        <f t="shared" si="241"/>
        <v>y</v>
      </c>
      <c r="VVW1" s="154" t="str">
        <f t="shared" si="241"/>
        <v>y</v>
      </c>
      <c r="VVX1" s="154" t="str">
        <f t="shared" si="241"/>
        <v>y</v>
      </c>
      <c r="VVY1" s="154" t="str">
        <f t="shared" si="241"/>
        <v>y</v>
      </c>
      <c r="VVZ1" s="154" t="str">
        <f t="shared" si="241"/>
        <v>y</v>
      </c>
      <c r="VWA1" s="154" t="str">
        <f t="shared" si="241"/>
        <v>y</v>
      </c>
      <c r="VWB1" s="154" t="str">
        <f t="shared" si="241"/>
        <v>y</v>
      </c>
      <c r="VWC1" s="154" t="str">
        <f t="shared" si="241"/>
        <v>y</v>
      </c>
      <c r="VWD1" s="154" t="str">
        <f t="shared" si="241"/>
        <v>y</v>
      </c>
      <c r="VWE1" s="154" t="str">
        <f t="shared" si="241"/>
        <v>y</v>
      </c>
      <c r="VWF1" s="154" t="str">
        <f t="shared" si="241"/>
        <v>y</v>
      </c>
      <c r="VWG1" s="154" t="str">
        <f t="shared" si="241"/>
        <v>y</v>
      </c>
      <c r="VWH1" s="154" t="str">
        <f t="shared" si="241"/>
        <v>y</v>
      </c>
      <c r="VWI1" s="154" t="str">
        <f t="shared" si="241"/>
        <v>y</v>
      </c>
      <c r="VWJ1" s="154" t="str">
        <f t="shared" si="241"/>
        <v>y</v>
      </c>
      <c r="VWK1" s="154" t="str">
        <f t="shared" si="241"/>
        <v>y</v>
      </c>
      <c r="VWL1" s="154" t="str">
        <f t="shared" si="241"/>
        <v>y</v>
      </c>
      <c r="VWM1" s="154" t="str">
        <f t="shared" si="241"/>
        <v>y</v>
      </c>
      <c r="VWN1" s="154" t="str">
        <f t="shared" si="241"/>
        <v>y</v>
      </c>
      <c r="VWO1" s="154" t="str">
        <f t="shared" si="241"/>
        <v>y</v>
      </c>
      <c r="VWP1" s="154" t="str">
        <f t="shared" si="241"/>
        <v>y</v>
      </c>
      <c r="VWQ1" s="154" t="str">
        <f t="shared" si="241"/>
        <v>y</v>
      </c>
      <c r="VWR1" s="154" t="str">
        <f t="shared" si="241"/>
        <v>y</v>
      </c>
      <c r="VWS1" s="154" t="str">
        <f t="shared" si="241"/>
        <v>y</v>
      </c>
      <c r="VWT1" s="154" t="str">
        <f t="shared" si="241"/>
        <v>y</v>
      </c>
      <c r="VWU1" s="154" t="str">
        <f t="shared" si="241"/>
        <v>y</v>
      </c>
      <c r="VWV1" s="154" t="str">
        <f t="shared" si="241"/>
        <v>y</v>
      </c>
      <c r="VWW1" s="154" t="str">
        <f t="shared" si="241"/>
        <v>y</v>
      </c>
      <c r="VWX1" s="154" t="str">
        <f t="shared" ref="VWX1:VZI1" si="242">VWX2&amp;"y"</f>
        <v>y</v>
      </c>
      <c r="VWY1" s="154" t="str">
        <f t="shared" si="242"/>
        <v>y</v>
      </c>
      <c r="VWZ1" s="154" t="str">
        <f t="shared" si="242"/>
        <v>y</v>
      </c>
      <c r="VXA1" s="154" t="str">
        <f t="shared" si="242"/>
        <v>y</v>
      </c>
      <c r="VXB1" s="154" t="str">
        <f t="shared" si="242"/>
        <v>y</v>
      </c>
      <c r="VXC1" s="154" t="str">
        <f t="shared" si="242"/>
        <v>y</v>
      </c>
      <c r="VXD1" s="154" t="str">
        <f t="shared" si="242"/>
        <v>y</v>
      </c>
      <c r="VXE1" s="154" t="str">
        <f t="shared" si="242"/>
        <v>y</v>
      </c>
      <c r="VXF1" s="154" t="str">
        <f t="shared" si="242"/>
        <v>y</v>
      </c>
      <c r="VXG1" s="154" t="str">
        <f t="shared" si="242"/>
        <v>y</v>
      </c>
      <c r="VXH1" s="154" t="str">
        <f t="shared" si="242"/>
        <v>y</v>
      </c>
      <c r="VXI1" s="154" t="str">
        <f t="shared" si="242"/>
        <v>y</v>
      </c>
      <c r="VXJ1" s="154" t="str">
        <f t="shared" si="242"/>
        <v>y</v>
      </c>
      <c r="VXK1" s="154" t="str">
        <f t="shared" si="242"/>
        <v>y</v>
      </c>
      <c r="VXL1" s="154" t="str">
        <f t="shared" si="242"/>
        <v>y</v>
      </c>
      <c r="VXM1" s="154" t="str">
        <f t="shared" si="242"/>
        <v>y</v>
      </c>
      <c r="VXN1" s="154" t="str">
        <f t="shared" si="242"/>
        <v>y</v>
      </c>
      <c r="VXO1" s="154" t="str">
        <f t="shared" si="242"/>
        <v>y</v>
      </c>
      <c r="VXP1" s="154" t="str">
        <f t="shared" si="242"/>
        <v>y</v>
      </c>
      <c r="VXQ1" s="154" t="str">
        <f t="shared" si="242"/>
        <v>y</v>
      </c>
      <c r="VXR1" s="154" t="str">
        <f t="shared" si="242"/>
        <v>y</v>
      </c>
      <c r="VXS1" s="154" t="str">
        <f t="shared" si="242"/>
        <v>y</v>
      </c>
      <c r="VXT1" s="154" t="str">
        <f t="shared" si="242"/>
        <v>y</v>
      </c>
      <c r="VXU1" s="154" t="str">
        <f t="shared" si="242"/>
        <v>y</v>
      </c>
      <c r="VXV1" s="154" t="str">
        <f t="shared" si="242"/>
        <v>y</v>
      </c>
      <c r="VXW1" s="154" t="str">
        <f t="shared" si="242"/>
        <v>y</v>
      </c>
      <c r="VXX1" s="154" t="str">
        <f t="shared" si="242"/>
        <v>y</v>
      </c>
      <c r="VXY1" s="154" t="str">
        <f t="shared" si="242"/>
        <v>y</v>
      </c>
      <c r="VXZ1" s="154" t="str">
        <f t="shared" si="242"/>
        <v>y</v>
      </c>
      <c r="VYA1" s="154" t="str">
        <f t="shared" si="242"/>
        <v>y</v>
      </c>
      <c r="VYB1" s="154" t="str">
        <f t="shared" si="242"/>
        <v>y</v>
      </c>
      <c r="VYC1" s="154" t="str">
        <f t="shared" si="242"/>
        <v>y</v>
      </c>
      <c r="VYD1" s="154" t="str">
        <f t="shared" si="242"/>
        <v>y</v>
      </c>
      <c r="VYE1" s="154" t="str">
        <f t="shared" si="242"/>
        <v>y</v>
      </c>
      <c r="VYF1" s="154" t="str">
        <f t="shared" si="242"/>
        <v>y</v>
      </c>
      <c r="VYG1" s="154" t="str">
        <f t="shared" si="242"/>
        <v>y</v>
      </c>
      <c r="VYH1" s="154" t="str">
        <f t="shared" si="242"/>
        <v>y</v>
      </c>
      <c r="VYI1" s="154" t="str">
        <f t="shared" si="242"/>
        <v>y</v>
      </c>
      <c r="VYJ1" s="154" t="str">
        <f t="shared" si="242"/>
        <v>y</v>
      </c>
      <c r="VYK1" s="154" t="str">
        <f t="shared" si="242"/>
        <v>y</v>
      </c>
      <c r="VYL1" s="154" t="str">
        <f t="shared" si="242"/>
        <v>y</v>
      </c>
      <c r="VYM1" s="154" t="str">
        <f t="shared" si="242"/>
        <v>y</v>
      </c>
      <c r="VYN1" s="154" t="str">
        <f t="shared" si="242"/>
        <v>y</v>
      </c>
      <c r="VYO1" s="154" t="str">
        <f t="shared" si="242"/>
        <v>y</v>
      </c>
      <c r="VYP1" s="154" t="str">
        <f t="shared" si="242"/>
        <v>y</v>
      </c>
      <c r="VYQ1" s="154" t="str">
        <f t="shared" si="242"/>
        <v>y</v>
      </c>
      <c r="VYR1" s="154" t="str">
        <f t="shared" si="242"/>
        <v>y</v>
      </c>
      <c r="VYS1" s="154" t="str">
        <f t="shared" si="242"/>
        <v>y</v>
      </c>
      <c r="VYT1" s="154" t="str">
        <f t="shared" si="242"/>
        <v>y</v>
      </c>
      <c r="VYU1" s="154" t="str">
        <f t="shared" si="242"/>
        <v>y</v>
      </c>
      <c r="VYV1" s="154" t="str">
        <f t="shared" si="242"/>
        <v>y</v>
      </c>
      <c r="VYW1" s="154" t="str">
        <f t="shared" si="242"/>
        <v>y</v>
      </c>
      <c r="VYX1" s="154" t="str">
        <f t="shared" si="242"/>
        <v>y</v>
      </c>
      <c r="VYY1" s="154" t="str">
        <f t="shared" si="242"/>
        <v>y</v>
      </c>
      <c r="VYZ1" s="154" t="str">
        <f t="shared" si="242"/>
        <v>y</v>
      </c>
      <c r="VZA1" s="154" t="str">
        <f t="shared" si="242"/>
        <v>y</v>
      </c>
      <c r="VZB1" s="154" t="str">
        <f t="shared" si="242"/>
        <v>y</v>
      </c>
      <c r="VZC1" s="154" t="str">
        <f t="shared" si="242"/>
        <v>y</v>
      </c>
      <c r="VZD1" s="154" t="str">
        <f t="shared" si="242"/>
        <v>y</v>
      </c>
      <c r="VZE1" s="154" t="str">
        <f t="shared" si="242"/>
        <v>y</v>
      </c>
      <c r="VZF1" s="154" t="str">
        <f t="shared" si="242"/>
        <v>y</v>
      </c>
      <c r="VZG1" s="154" t="str">
        <f t="shared" si="242"/>
        <v>y</v>
      </c>
      <c r="VZH1" s="154" t="str">
        <f t="shared" si="242"/>
        <v>y</v>
      </c>
      <c r="VZI1" s="154" t="str">
        <f t="shared" si="242"/>
        <v>y</v>
      </c>
      <c r="VZJ1" s="154" t="str">
        <f t="shared" ref="VZJ1:WBU1" si="243">VZJ2&amp;"y"</f>
        <v>y</v>
      </c>
      <c r="VZK1" s="154" t="str">
        <f t="shared" si="243"/>
        <v>y</v>
      </c>
      <c r="VZL1" s="154" t="str">
        <f t="shared" si="243"/>
        <v>y</v>
      </c>
      <c r="VZM1" s="154" t="str">
        <f t="shared" si="243"/>
        <v>y</v>
      </c>
      <c r="VZN1" s="154" t="str">
        <f t="shared" si="243"/>
        <v>y</v>
      </c>
      <c r="VZO1" s="154" t="str">
        <f t="shared" si="243"/>
        <v>y</v>
      </c>
      <c r="VZP1" s="154" t="str">
        <f t="shared" si="243"/>
        <v>y</v>
      </c>
      <c r="VZQ1" s="154" t="str">
        <f t="shared" si="243"/>
        <v>y</v>
      </c>
      <c r="VZR1" s="154" t="str">
        <f t="shared" si="243"/>
        <v>y</v>
      </c>
      <c r="VZS1" s="154" t="str">
        <f t="shared" si="243"/>
        <v>y</v>
      </c>
      <c r="VZT1" s="154" t="str">
        <f t="shared" si="243"/>
        <v>y</v>
      </c>
      <c r="VZU1" s="154" t="str">
        <f t="shared" si="243"/>
        <v>y</v>
      </c>
      <c r="VZV1" s="154" t="str">
        <f t="shared" si="243"/>
        <v>y</v>
      </c>
      <c r="VZW1" s="154" t="str">
        <f t="shared" si="243"/>
        <v>y</v>
      </c>
      <c r="VZX1" s="154" t="str">
        <f t="shared" si="243"/>
        <v>y</v>
      </c>
      <c r="VZY1" s="154" t="str">
        <f t="shared" si="243"/>
        <v>y</v>
      </c>
      <c r="VZZ1" s="154" t="str">
        <f t="shared" si="243"/>
        <v>y</v>
      </c>
      <c r="WAA1" s="154" t="str">
        <f t="shared" si="243"/>
        <v>y</v>
      </c>
      <c r="WAB1" s="154" t="str">
        <f t="shared" si="243"/>
        <v>y</v>
      </c>
      <c r="WAC1" s="154" t="str">
        <f t="shared" si="243"/>
        <v>y</v>
      </c>
      <c r="WAD1" s="154" t="str">
        <f t="shared" si="243"/>
        <v>y</v>
      </c>
      <c r="WAE1" s="154" t="str">
        <f t="shared" si="243"/>
        <v>y</v>
      </c>
      <c r="WAF1" s="154" t="str">
        <f t="shared" si="243"/>
        <v>y</v>
      </c>
      <c r="WAG1" s="154" t="str">
        <f t="shared" si="243"/>
        <v>y</v>
      </c>
      <c r="WAH1" s="154" t="str">
        <f t="shared" si="243"/>
        <v>y</v>
      </c>
      <c r="WAI1" s="154" t="str">
        <f t="shared" si="243"/>
        <v>y</v>
      </c>
      <c r="WAJ1" s="154" t="str">
        <f t="shared" si="243"/>
        <v>y</v>
      </c>
      <c r="WAK1" s="154" t="str">
        <f t="shared" si="243"/>
        <v>y</v>
      </c>
      <c r="WAL1" s="154" t="str">
        <f t="shared" si="243"/>
        <v>y</v>
      </c>
      <c r="WAM1" s="154" t="str">
        <f t="shared" si="243"/>
        <v>y</v>
      </c>
      <c r="WAN1" s="154" t="str">
        <f t="shared" si="243"/>
        <v>y</v>
      </c>
      <c r="WAO1" s="154" t="str">
        <f t="shared" si="243"/>
        <v>y</v>
      </c>
      <c r="WAP1" s="154" t="str">
        <f t="shared" si="243"/>
        <v>y</v>
      </c>
      <c r="WAQ1" s="154" t="str">
        <f t="shared" si="243"/>
        <v>y</v>
      </c>
      <c r="WAR1" s="154" t="str">
        <f t="shared" si="243"/>
        <v>y</v>
      </c>
      <c r="WAS1" s="154" t="str">
        <f t="shared" si="243"/>
        <v>y</v>
      </c>
      <c r="WAT1" s="154" t="str">
        <f t="shared" si="243"/>
        <v>y</v>
      </c>
      <c r="WAU1" s="154" t="str">
        <f t="shared" si="243"/>
        <v>y</v>
      </c>
      <c r="WAV1" s="154" t="str">
        <f t="shared" si="243"/>
        <v>y</v>
      </c>
      <c r="WAW1" s="154" t="str">
        <f t="shared" si="243"/>
        <v>y</v>
      </c>
      <c r="WAX1" s="154" t="str">
        <f t="shared" si="243"/>
        <v>y</v>
      </c>
      <c r="WAY1" s="154" t="str">
        <f t="shared" si="243"/>
        <v>y</v>
      </c>
      <c r="WAZ1" s="154" t="str">
        <f t="shared" si="243"/>
        <v>y</v>
      </c>
      <c r="WBA1" s="154" t="str">
        <f t="shared" si="243"/>
        <v>y</v>
      </c>
      <c r="WBB1" s="154" t="str">
        <f t="shared" si="243"/>
        <v>y</v>
      </c>
      <c r="WBC1" s="154" t="str">
        <f t="shared" si="243"/>
        <v>y</v>
      </c>
      <c r="WBD1" s="154" t="str">
        <f t="shared" si="243"/>
        <v>y</v>
      </c>
      <c r="WBE1" s="154" t="str">
        <f t="shared" si="243"/>
        <v>y</v>
      </c>
      <c r="WBF1" s="154" t="str">
        <f t="shared" si="243"/>
        <v>y</v>
      </c>
      <c r="WBG1" s="154" t="str">
        <f t="shared" si="243"/>
        <v>y</v>
      </c>
      <c r="WBH1" s="154" t="str">
        <f t="shared" si="243"/>
        <v>y</v>
      </c>
      <c r="WBI1" s="154" t="str">
        <f t="shared" si="243"/>
        <v>y</v>
      </c>
      <c r="WBJ1" s="154" t="str">
        <f t="shared" si="243"/>
        <v>y</v>
      </c>
      <c r="WBK1" s="154" t="str">
        <f t="shared" si="243"/>
        <v>y</v>
      </c>
      <c r="WBL1" s="154" t="str">
        <f t="shared" si="243"/>
        <v>y</v>
      </c>
      <c r="WBM1" s="154" t="str">
        <f t="shared" si="243"/>
        <v>y</v>
      </c>
      <c r="WBN1" s="154" t="str">
        <f t="shared" si="243"/>
        <v>y</v>
      </c>
      <c r="WBO1" s="154" t="str">
        <f t="shared" si="243"/>
        <v>y</v>
      </c>
      <c r="WBP1" s="154" t="str">
        <f t="shared" si="243"/>
        <v>y</v>
      </c>
      <c r="WBQ1" s="154" t="str">
        <f t="shared" si="243"/>
        <v>y</v>
      </c>
      <c r="WBR1" s="154" t="str">
        <f t="shared" si="243"/>
        <v>y</v>
      </c>
      <c r="WBS1" s="154" t="str">
        <f t="shared" si="243"/>
        <v>y</v>
      </c>
      <c r="WBT1" s="154" t="str">
        <f t="shared" si="243"/>
        <v>y</v>
      </c>
      <c r="WBU1" s="154" t="str">
        <f t="shared" si="243"/>
        <v>y</v>
      </c>
      <c r="WBV1" s="154" t="str">
        <f t="shared" ref="WBV1:WEG1" si="244">WBV2&amp;"y"</f>
        <v>y</v>
      </c>
      <c r="WBW1" s="154" t="str">
        <f t="shared" si="244"/>
        <v>y</v>
      </c>
      <c r="WBX1" s="154" t="str">
        <f t="shared" si="244"/>
        <v>y</v>
      </c>
      <c r="WBY1" s="154" t="str">
        <f t="shared" si="244"/>
        <v>y</v>
      </c>
      <c r="WBZ1" s="154" t="str">
        <f t="shared" si="244"/>
        <v>y</v>
      </c>
      <c r="WCA1" s="154" t="str">
        <f t="shared" si="244"/>
        <v>y</v>
      </c>
      <c r="WCB1" s="154" t="str">
        <f t="shared" si="244"/>
        <v>y</v>
      </c>
      <c r="WCC1" s="154" t="str">
        <f t="shared" si="244"/>
        <v>y</v>
      </c>
      <c r="WCD1" s="154" t="str">
        <f t="shared" si="244"/>
        <v>y</v>
      </c>
      <c r="WCE1" s="154" t="str">
        <f t="shared" si="244"/>
        <v>y</v>
      </c>
      <c r="WCF1" s="154" t="str">
        <f t="shared" si="244"/>
        <v>y</v>
      </c>
      <c r="WCG1" s="154" t="str">
        <f t="shared" si="244"/>
        <v>y</v>
      </c>
      <c r="WCH1" s="154" t="str">
        <f t="shared" si="244"/>
        <v>y</v>
      </c>
      <c r="WCI1" s="154" t="str">
        <f t="shared" si="244"/>
        <v>y</v>
      </c>
      <c r="WCJ1" s="154" t="str">
        <f t="shared" si="244"/>
        <v>y</v>
      </c>
      <c r="WCK1" s="154" t="str">
        <f t="shared" si="244"/>
        <v>y</v>
      </c>
      <c r="WCL1" s="154" t="str">
        <f t="shared" si="244"/>
        <v>y</v>
      </c>
      <c r="WCM1" s="154" t="str">
        <f t="shared" si="244"/>
        <v>y</v>
      </c>
      <c r="WCN1" s="154" t="str">
        <f t="shared" si="244"/>
        <v>y</v>
      </c>
      <c r="WCO1" s="154" t="str">
        <f t="shared" si="244"/>
        <v>y</v>
      </c>
      <c r="WCP1" s="154" t="str">
        <f t="shared" si="244"/>
        <v>y</v>
      </c>
      <c r="WCQ1" s="154" t="str">
        <f t="shared" si="244"/>
        <v>y</v>
      </c>
      <c r="WCR1" s="154" t="str">
        <f t="shared" si="244"/>
        <v>y</v>
      </c>
      <c r="WCS1" s="154" t="str">
        <f t="shared" si="244"/>
        <v>y</v>
      </c>
      <c r="WCT1" s="154" t="str">
        <f t="shared" si="244"/>
        <v>y</v>
      </c>
      <c r="WCU1" s="154" t="str">
        <f t="shared" si="244"/>
        <v>y</v>
      </c>
      <c r="WCV1" s="154" t="str">
        <f t="shared" si="244"/>
        <v>y</v>
      </c>
      <c r="WCW1" s="154" t="str">
        <f t="shared" si="244"/>
        <v>y</v>
      </c>
      <c r="WCX1" s="154" t="str">
        <f t="shared" si="244"/>
        <v>y</v>
      </c>
      <c r="WCY1" s="154" t="str">
        <f t="shared" si="244"/>
        <v>y</v>
      </c>
      <c r="WCZ1" s="154" t="str">
        <f t="shared" si="244"/>
        <v>y</v>
      </c>
      <c r="WDA1" s="154" t="str">
        <f t="shared" si="244"/>
        <v>y</v>
      </c>
      <c r="WDB1" s="154" t="str">
        <f t="shared" si="244"/>
        <v>y</v>
      </c>
      <c r="WDC1" s="154" t="str">
        <f t="shared" si="244"/>
        <v>y</v>
      </c>
      <c r="WDD1" s="154" t="str">
        <f t="shared" si="244"/>
        <v>y</v>
      </c>
      <c r="WDE1" s="154" t="str">
        <f t="shared" si="244"/>
        <v>y</v>
      </c>
      <c r="WDF1" s="154" t="str">
        <f t="shared" si="244"/>
        <v>y</v>
      </c>
      <c r="WDG1" s="154" t="str">
        <f t="shared" si="244"/>
        <v>y</v>
      </c>
      <c r="WDH1" s="154" t="str">
        <f t="shared" si="244"/>
        <v>y</v>
      </c>
      <c r="WDI1" s="154" t="str">
        <f t="shared" si="244"/>
        <v>y</v>
      </c>
      <c r="WDJ1" s="154" t="str">
        <f t="shared" si="244"/>
        <v>y</v>
      </c>
      <c r="WDK1" s="154" t="str">
        <f t="shared" si="244"/>
        <v>y</v>
      </c>
      <c r="WDL1" s="154" t="str">
        <f t="shared" si="244"/>
        <v>y</v>
      </c>
      <c r="WDM1" s="154" t="str">
        <f t="shared" si="244"/>
        <v>y</v>
      </c>
      <c r="WDN1" s="154" t="str">
        <f t="shared" si="244"/>
        <v>y</v>
      </c>
      <c r="WDO1" s="154" t="str">
        <f t="shared" si="244"/>
        <v>y</v>
      </c>
      <c r="WDP1" s="154" t="str">
        <f t="shared" si="244"/>
        <v>y</v>
      </c>
      <c r="WDQ1" s="154" t="str">
        <f t="shared" si="244"/>
        <v>y</v>
      </c>
      <c r="WDR1" s="154" t="str">
        <f t="shared" si="244"/>
        <v>y</v>
      </c>
      <c r="WDS1" s="154" t="str">
        <f t="shared" si="244"/>
        <v>y</v>
      </c>
      <c r="WDT1" s="154" t="str">
        <f t="shared" si="244"/>
        <v>y</v>
      </c>
      <c r="WDU1" s="154" t="str">
        <f t="shared" si="244"/>
        <v>y</v>
      </c>
      <c r="WDV1" s="154" t="str">
        <f t="shared" si="244"/>
        <v>y</v>
      </c>
      <c r="WDW1" s="154" t="str">
        <f t="shared" si="244"/>
        <v>y</v>
      </c>
      <c r="WDX1" s="154" t="str">
        <f t="shared" si="244"/>
        <v>y</v>
      </c>
      <c r="WDY1" s="154" t="str">
        <f t="shared" si="244"/>
        <v>y</v>
      </c>
      <c r="WDZ1" s="154" t="str">
        <f t="shared" si="244"/>
        <v>y</v>
      </c>
      <c r="WEA1" s="154" t="str">
        <f t="shared" si="244"/>
        <v>y</v>
      </c>
      <c r="WEB1" s="154" t="str">
        <f t="shared" si="244"/>
        <v>y</v>
      </c>
      <c r="WEC1" s="154" t="str">
        <f t="shared" si="244"/>
        <v>y</v>
      </c>
      <c r="WED1" s="154" t="str">
        <f t="shared" si="244"/>
        <v>y</v>
      </c>
      <c r="WEE1" s="154" t="str">
        <f t="shared" si="244"/>
        <v>y</v>
      </c>
      <c r="WEF1" s="154" t="str">
        <f t="shared" si="244"/>
        <v>y</v>
      </c>
      <c r="WEG1" s="154" t="str">
        <f t="shared" si="244"/>
        <v>y</v>
      </c>
      <c r="WEH1" s="154" t="str">
        <f t="shared" ref="WEH1:WGS1" si="245">WEH2&amp;"y"</f>
        <v>y</v>
      </c>
      <c r="WEI1" s="154" t="str">
        <f t="shared" si="245"/>
        <v>y</v>
      </c>
      <c r="WEJ1" s="154" t="str">
        <f t="shared" si="245"/>
        <v>y</v>
      </c>
      <c r="WEK1" s="154" t="str">
        <f t="shared" si="245"/>
        <v>y</v>
      </c>
      <c r="WEL1" s="154" t="str">
        <f t="shared" si="245"/>
        <v>y</v>
      </c>
      <c r="WEM1" s="154" t="str">
        <f t="shared" si="245"/>
        <v>y</v>
      </c>
      <c r="WEN1" s="154" t="str">
        <f t="shared" si="245"/>
        <v>y</v>
      </c>
      <c r="WEO1" s="154" t="str">
        <f t="shared" si="245"/>
        <v>y</v>
      </c>
      <c r="WEP1" s="154" t="str">
        <f t="shared" si="245"/>
        <v>y</v>
      </c>
      <c r="WEQ1" s="154" t="str">
        <f t="shared" si="245"/>
        <v>y</v>
      </c>
      <c r="WER1" s="154" t="str">
        <f t="shared" si="245"/>
        <v>y</v>
      </c>
      <c r="WES1" s="154" t="str">
        <f t="shared" si="245"/>
        <v>y</v>
      </c>
      <c r="WET1" s="154" t="str">
        <f t="shared" si="245"/>
        <v>y</v>
      </c>
      <c r="WEU1" s="154" t="str">
        <f t="shared" si="245"/>
        <v>y</v>
      </c>
      <c r="WEV1" s="154" t="str">
        <f t="shared" si="245"/>
        <v>y</v>
      </c>
      <c r="WEW1" s="154" t="str">
        <f t="shared" si="245"/>
        <v>y</v>
      </c>
      <c r="WEX1" s="154" t="str">
        <f t="shared" si="245"/>
        <v>y</v>
      </c>
      <c r="WEY1" s="154" t="str">
        <f t="shared" si="245"/>
        <v>y</v>
      </c>
      <c r="WEZ1" s="154" t="str">
        <f t="shared" si="245"/>
        <v>y</v>
      </c>
      <c r="WFA1" s="154" t="str">
        <f t="shared" si="245"/>
        <v>y</v>
      </c>
      <c r="WFB1" s="154" t="str">
        <f t="shared" si="245"/>
        <v>y</v>
      </c>
      <c r="WFC1" s="154" t="str">
        <f t="shared" si="245"/>
        <v>y</v>
      </c>
      <c r="WFD1" s="154" t="str">
        <f t="shared" si="245"/>
        <v>y</v>
      </c>
      <c r="WFE1" s="154" t="str">
        <f t="shared" si="245"/>
        <v>y</v>
      </c>
      <c r="WFF1" s="154" t="str">
        <f t="shared" si="245"/>
        <v>y</v>
      </c>
      <c r="WFG1" s="154" t="str">
        <f t="shared" si="245"/>
        <v>y</v>
      </c>
      <c r="WFH1" s="154" t="str">
        <f t="shared" si="245"/>
        <v>y</v>
      </c>
      <c r="WFI1" s="154" t="str">
        <f t="shared" si="245"/>
        <v>y</v>
      </c>
      <c r="WFJ1" s="154" t="str">
        <f t="shared" si="245"/>
        <v>y</v>
      </c>
      <c r="WFK1" s="154" t="str">
        <f t="shared" si="245"/>
        <v>y</v>
      </c>
      <c r="WFL1" s="154" t="str">
        <f t="shared" si="245"/>
        <v>y</v>
      </c>
      <c r="WFM1" s="154" t="str">
        <f t="shared" si="245"/>
        <v>y</v>
      </c>
      <c r="WFN1" s="154" t="str">
        <f t="shared" si="245"/>
        <v>y</v>
      </c>
      <c r="WFO1" s="154" t="str">
        <f t="shared" si="245"/>
        <v>y</v>
      </c>
      <c r="WFP1" s="154" t="str">
        <f t="shared" si="245"/>
        <v>y</v>
      </c>
      <c r="WFQ1" s="154" t="str">
        <f t="shared" si="245"/>
        <v>y</v>
      </c>
      <c r="WFR1" s="154" t="str">
        <f t="shared" si="245"/>
        <v>y</v>
      </c>
      <c r="WFS1" s="154" t="str">
        <f t="shared" si="245"/>
        <v>y</v>
      </c>
      <c r="WFT1" s="154" t="str">
        <f t="shared" si="245"/>
        <v>y</v>
      </c>
      <c r="WFU1" s="154" t="str">
        <f t="shared" si="245"/>
        <v>y</v>
      </c>
      <c r="WFV1" s="154" t="str">
        <f t="shared" si="245"/>
        <v>y</v>
      </c>
      <c r="WFW1" s="154" t="str">
        <f t="shared" si="245"/>
        <v>y</v>
      </c>
      <c r="WFX1" s="154" t="str">
        <f t="shared" si="245"/>
        <v>y</v>
      </c>
      <c r="WFY1" s="154" t="str">
        <f t="shared" si="245"/>
        <v>y</v>
      </c>
      <c r="WFZ1" s="154" t="str">
        <f t="shared" si="245"/>
        <v>y</v>
      </c>
      <c r="WGA1" s="154" t="str">
        <f t="shared" si="245"/>
        <v>y</v>
      </c>
      <c r="WGB1" s="154" t="str">
        <f t="shared" si="245"/>
        <v>y</v>
      </c>
      <c r="WGC1" s="154" t="str">
        <f t="shared" si="245"/>
        <v>y</v>
      </c>
      <c r="WGD1" s="154" t="str">
        <f t="shared" si="245"/>
        <v>y</v>
      </c>
      <c r="WGE1" s="154" t="str">
        <f t="shared" si="245"/>
        <v>y</v>
      </c>
      <c r="WGF1" s="154" t="str">
        <f t="shared" si="245"/>
        <v>y</v>
      </c>
      <c r="WGG1" s="154" t="str">
        <f t="shared" si="245"/>
        <v>y</v>
      </c>
      <c r="WGH1" s="154" t="str">
        <f t="shared" si="245"/>
        <v>y</v>
      </c>
      <c r="WGI1" s="154" t="str">
        <f t="shared" si="245"/>
        <v>y</v>
      </c>
      <c r="WGJ1" s="154" t="str">
        <f t="shared" si="245"/>
        <v>y</v>
      </c>
      <c r="WGK1" s="154" t="str">
        <f t="shared" si="245"/>
        <v>y</v>
      </c>
      <c r="WGL1" s="154" t="str">
        <f t="shared" si="245"/>
        <v>y</v>
      </c>
      <c r="WGM1" s="154" t="str">
        <f t="shared" si="245"/>
        <v>y</v>
      </c>
      <c r="WGN1" s="154" t="str">
        <f t="shared" si="245"/>
        <v>y</v>
      </c>
      <c r="WGO1" s="154" t="str">
        <f t="shared" si="245"/>
        <v>y</v>
      </c>
      <c r="WGP1" s="154" t="str">
        <f t="shared" si="245"/>
        <v>y</v>
      </c>
      <c r="WGQ1" s="154" t="str">
        <f t="shared" si="245"/>
        <v>y</v>
      </c>
      <c r="WGR1" s="154" t="str">
        <f t="shared" si="245"/>
        <v>y</v>
      </c>
      <c r="WGS1" s="154" t="str">
        <f t="shared" si="245"/>
        <v>y</v>
      </c>
      <c r="WGT1" s="154" t="str">
        <f t="shared" ref="WGT1:WJE1" si="246">WGT2&amp;"y"</f>
        <v>y</v>
      </c>
      <c r="WGU1" s="154" t="str">
        <f t="shared" si="246"/>
        <v>y</v>
      </c>
      <c r="WGV1" s="154" t="str">
        <f t="shared" si="246"/>
        <v>y</v>
      </c>
      <c r="WGW1" s="154" t="str">
        <f t="shared" si="246"/>
        <v>y</v>
      </c>
      <c r="WGX1" s="154" t="str">
        <f t="shared" si="246"/>
        <v>y</v>
      </c>
      <c r="WGY1" s="154" t="str">
        <f t="shared" si="246"/>
        <v>y</v>
      </c>
      <c r="WGZ1" s="154" t="str">
        <f t="shared" si="246"/>
        <v>y</v>
      </c>
      <c r="WHA1" s="154" t="str">
        <f t="shared" si="246"/>
        <v>y</v>
      </c>
      <c r="WHB1" s="154" t="str">
        <f t="shared" si="246"/>
        <v>y</v>
      </c>
      <c r="WHC1" s="154" t="str">
        <f t="shared" si="246"/>
        <v>y</v>
      </c>
      <c r="WHD1" s="154" t="str">
        <f t="shared" si="246"/>
        <v>y</v>
      </c>
      <c r="WHE1" s="154" t="str">
        <f t="shared" si="246"/>
        <v>y</v>
      </c>
      <c r="WHF1" s="154" t="str">
        <f t="shared" si="246"/>
        <v>y</v>
      </c>
      <c r="WHG1" s="154" t="str">
        <f t="shared" si="246"/>
        <v>y</v>
      </c>
      <c r="WHH1" s="154" t="str">
        <f t="shared" si="246"/>
        <v>y</v>
      </c>
      <c r="WHI1" s="154" t="str">
        <f t="shared" si="246"/>
        <v>y</v>
      </c>
      <c r="WHJ1" s="154" t="str">
        <f t="shared" si="246"/>
        <v>y</v>
      </c>
      <c r="WHK1" s="154" t="str">
        <f t="shared" si="246"/>
        <v>y</v>
      </c>
      <c r="WHL1" s="154" t="str">
        <f t="shared" si="246"/>
        <v>y</v>
      </c>
      <c r="WHM1" s="154" t="str">
        <f t="shared" si="246"/>
        <v>y</v>
      </c>
      <c r="WHN1" s="154" t="str">
        <f t="shared" si="246"/>
        <v>y</v>
      </c>
      <c r="WHO1" s="154" t="str">
        <f t="shared" si="246"/>
        <v>y</v>
      </c>
      <c r="WHP1" s="154" t="str">
        <f t="shared" si="246"/>
        <v>y</v>
      </c>
      <c r="WHQ1" s="154" t="str">
        <f t="shared" si="246"/>
        <v>y</v>
      </c>
      <c r="WHR1" s="154" t="str">
        <f t="shared" si="246"/>
        <v>y</v>
      </c>
      <c r="WHS1" s="154" t="str">
        <f t="shared" si="246"/>
        <v>y</v>
      </c>
      <c r="WHT1" s="154" t="str">
        <f t="shared" si="246"/>
        <v>y</v>
      </c>
      <c r="WHU1" s="154" t="str">
        <f t="shared" si="246"/>
        <v>y</v>
      </c>
      <c r="WHV1" s="154" t="str">
        <f t="shared" si="246"/>
        <v>y</v>
      </c>
      <c r="WHW1" s="154" t="str">
        <f t="shared" si="246"/>
        <v>y</v>
      </c>
      <c r="WHX1" s="154" t="str">
        <f t="shared" si="246"/>
        <v>y</v>
      </c>
      <c r="WHY1" s="154" t="str">
        <f t="shared" si="246"/>
        <v>y</v>
      </c>
      <c r="WHZ1" s="154" t="str">
        <f t="shared" si="246"/>
        <v>y</v>
      </c>
      <c r="WIA1" s="154" t="str">
        <f t="shared" si="246"/>
        <v>y</v>
      </c>
      <c r="WIB1" s="154" t="str">
        <f t="shared" si="246"/>
        <v>y</v>
      </c>
      <c r="WIC1" s="154" t="str">
        <f t="shared" si="246"/>
        <v>y</v>
      </c>
      <c r="WID1" s="154" t="str">
        <f t="shared" si="246"/>
        <v>y</v>
      </c>
      <c r="WIE1" s="154" t="str">
        <f t="shared" si="246"/>
        <v>y</v>
      </c>
      <c r="WIF1" s="154" t="str">
        <f t="shared" si="246"/>
        <v>y</v>
      </c>
      <c r="WIG1" s="154" t="str">
        <f t="shared" si="246"/>
        <v>y</v>
      </c>
      <c r="WIH1" s="154" t="str">
        <f t="shared" si="246"/>
        <v>y</v>
      </c>
      <c r="WII1" s="154" t="str">
        <f t="shared" si="246"/>
        <v>y</v>
      </c>
      <c r="WIJ1" s="154" t="str">
        <f t="shared" si="246"/>
        <v>y</v>
      </c>
      <c r="WIK1" s="154" t="str">
        <f t="shared" si="246"/>
        <v>y</v>
      </c>
      <c r="WIL1" s="154" t="str">
        <f t="shared" si="246"/>
        <v>y</v>
      </c>
      <c r="WIM1" s="154" t="str">
        <f t="shared" si="246"/>
        <v>y</v>
      </c>
      <c r="WIN1" s="154" t="str">
        <f t="shared" si="246"/>
        <v>y</v>
      </c>
      <c r="WIO1" s="154" t="str">
        <f t="shared" si="246"/>
        <v>y</v>
      </c>
      <c r="WIP1" s="154" t="str">
        <f t="shared" si="246"/>
        <v>y</v>
      </c>
      <c r="WIQ1" s="154" t="str">
        <f t="shared" si="246"/>
        <v>y</v>
      </c>
      <c r="WIR1" s="154" t="str">
        <f t="shared" si="246"/>
        <v>y</v>
      </c>
      <c r="WIS1" s="154" t="str">
        <f t="shared" si="246"/>
        <v>y</v>
      </c>
      <c r="WIT1" s="154" t="str">
        <f t="shared" si="246"/>
        <v>y</v>
      </c>
      <c r="WIU1" s="154" t="str">
        <f t="shared" si="246"/>
        <v>y</v>
      </c>
      <c r="WIV1" s="154" t="str">
        <f t="shared" si="246"/>
        <v>y</v>
      </c>
      <c r="WIW1" s="154" t="str">
        <f t="shared" si="246"/>
        <v>y</v>
      </c>
      <c r="WIX1" s="154" t="str">
        <f t="shared" si="246"/>
        <v>y</v>
      </c>
      <c r="WIY1" s="154" t="str">
        <f t="shared" si="246"/>
        <v>y</v>
      </c>
      <c r="WIZ1" s="154" t="str">
        <f t="shared" si="246"/>
        <v>y</v>
      </c>
      <c r="WJA1" s="154" t="str">
        <f t="shared" si="246"/>
        <v>y</v>
      </c>
      <c r="WJB1" s="154" t="str">
        <f t="shared" si="246"/>
        <v>y</v>
      </c>
      <c r="WJC1" s="154" t="str">
        <f t="shared" si="246"/>
        <v>y</v>
      </c>
      <c r="WJD1" s="154" t="str">
        <f t="shared" si="246"/>
        <v>y</v>
      </c>
      <c r="WJE1" s="154" t="str">
        <f t="shared" si="246"/>
        <v>y</v>
      </c>
      <c r="WJF1" s="154" t="str">
        <f t="shared" ref="WJF1:WLQ1" si="247">WJF2&amp;"y"</f>
        <v>y</v>
      </c>
      <c r="WJG1" s="154" t="str">
        <f t="shared" si="247"/>
        <v>y</v>
      </c>
      <c r="WJH1" s="154" t="str">
        <f t="shared" si="247"/>
        <v>y</v>
      </c>
      <c r="WJI1" s="154" t="str">
        <f t="shared" si="247"/>
        <v>y</v>
      </c>
      <c r="WJJ1" s="154" t="str">
        <f t="shared" si="247"/>
        <v>y</v>
      </c>
      <c r="WJK1" s="154" t="str">
        <f t="shared" si="247"/>
        <v>y</v>
      </c>
      <c r="WJL1" s="154" t="str">
        <f t="shared" si="247"/>
        <v>y</v>
      </c>
      <c r="WJM1" s="154" t="str">
        <f t="shared" si="247"/>
        <v>y</v>
      </c>
      <c r="WJN1" s="154" t="str">
        <f t="shared" si="247"/>
        <v>y</v>
      </c>
      <c r="WJO1" s="154" t="str">
        <f t="shared" si="247"/>
        <v>y</v>
      </c>
      <c r="WJP1" s="154" t="str">
        <f t="shared" si="247"/>
        <v>y</v>
      </c>
      <c r="WJQ1" s="154" t="str">
        <f t="shared" si="247"/>
        <v>y</v>
      </c>
      <c r="WJR1" s="154" t="str">
        <f t="shared" si="247"/>
        <v>y</v>
      </c>
      <c r="WJS1" s="154" t="str">
        <f t="shared" si="247"/>
        <v>y</v>
      </c>
      <c r="WJT1" s="154" t="str">
        <f t="shared" si="247"/>
        <v>y</v>
      </c>
      <c r="WJU1" s="154" t="str">
        <f t="shared" si="247"/>
        <v>y</v>
      </c>
      <c r="WJV1" s="154" t="str">
        <f t="shared" si="247"/>
        <v>y</v>
      </c>
      <c r="WJW1" s="154" t="str">
        <f t="shared" si="247"/>
        <v>y</v>
      </c>
      <c r="WJX1" s="154" t="str">
        <f t="shared" si="247"/>
        <v>y</v>
      </c>
      <c r="WJY1" s="154" t="str">
        <f t="shared" si="247"/>
        <v>y</v>
      </c>
      <c r="WJZ1" s="154" t="str">
        <f t="shared" si="247"/>
        <v>y</v>
      </c>
      <c r="WKA1" s="154" t="str">
        <f t="shared" si="247"/>
        <v>y</v>
      </c>
      <c r="WKB1" s="154" t="str">
        <f t="shared" si="247"/>
        <v>y</v>
      </c>
      <c r="WKC1" s="154" t="str">
        <f t="shared" si="247"/>
        <v>y</v>
      </c>
      <c r="WKD1" s="154" t="str">
        <f t="shared" si="247"/>
        <v>y</v>
      </c>
      <c r="WKE1" s="154" t="str">
        <f t="shared" si="247"/>
        <v>y</v>
      </c>
      <c r="WKF1" s="154" t="str">
        <f t="shared" si="247"/>
        <v>y</v>
      </c>
      <c r="WKG1" s="154" t="str">
        <f t="shared" si="247"/>
        <v>y</v>
      </c>
      <c r="WKH1" s="154" t="str">
        <f t="shared" si="247"/>
        <v>y</v>
      </c>
      <c r="WKI1" s="154" t="str">
        <f t="shared" si="247"/>
        <v>y</v>
      </c>
      <c r="WKJ1" s="154" t="str">
        <f t="shared" si="247"/>
        <v>y</v>
      </c>
      <c r="WKK1" s="154" t="str">
        <f t="shared" si="247"/>
        <v>y</v>
      </c>
      <c r="WKL1" s="154" t="str">
        <f t="shared" si="247"/>
        <v>y</v>
      </c>
      <c r="WKM1" s="154" t="str">
        <f t="shared" si="247"/>
        <v>y</v>
      </c>
      <c r="WKN1" s="154" t="str">
        <f t="shared" si="247"/>
        <v>y</v>
      </c>
      <c r="WKO1" s="154" t="str">
        <f t="shared" si="247"/>
        <v>y</v>
      </c>
      <c r="WKP1" s="154" t="str">
        <f t="shared" si="247"/>
        <v>y</v>
      </c>
      <c r="WKQ1" s="154" t="str">
        <f t="shared" si="247"/>
        <v>y</v>
      </c>
      <c r="WKR1" s="154" t="str">
        <f t="shared" si="247"/>
        <v>y</v>
      </c>
      <c r="WKS1" s="154" t="str">
        <f t="shared" si="247"/>
        <v>y</v>
      </c>
      <c r="WKT1" s="154" t="str">
        <f t="shared" si="247"/>
        <v>y</v>
      </c>
      <c r="WKU1" s="154" t="str">
        <f t="shared" si="247"/>
        <v>y</v>
      </c>
      <c r="WKV1" s="154" t="str">
        <f t="shared" si="247"/>
        <v>y</v>
      </c>
      <c r="WKW1" s="154" t="str">
        <f t="shared" si="247"/>
        <v>y</v>
      </c>
      <c r="WKX1" s="154" t="str">
        <f t="shared" si="247"/>
        <v>y</v>
      </c>
      <c r="WKY1" s="154" t="str">
        <f t="shared" si="247"/>
        <v>y</v>
      </c>
      <c r="WKZ1" s="154" t="str">
        <f t="shared" si="247"/>
        <v>y</v>
      </c>
      <c r="WLA1" s="154" t="str">
        <f t="shared" si="247"/>
        <v>y</v>
      </c>
      <c r="WLB1" s="154" t="str">
        <f t="shared" si="247"/>
        <v>y</v>
      </c>
      <c r="WLC1" s="154" t="str">
        <f t="shared" si="247"/>
        <v>y</v>
      </c>
      <c r="WLD1" s="154" t="str">
        <f t="shared" si="247"/>
        <v>y</v>
      </c>
      <c r="WLE1" s="154" t="str">
        <f t="shared" si="247"/>
        <v>y</v>
      </c>
      <c r="WLF1" s="154" t="str">
        <f t="shared" si="247"/>
        <v>y</v>
      </c>
      <c r="WLG1" s="154" t="str">
        <f t="shared" si="247"/>
        <v>y</v>
      </c>
      <c r="WLH1" s="154" t="str">
        <f t="shared" si="247"/>
        <v>y</v>
      </c>
      <c r="WLI1" s="154" t="str">
        <f t="shared" si="247"/>
        <v>y</v>
      </c>
      <c r="WLJ1" s="154" t="str">
        <f t="shared" si="247"/>
        <v>y</v>
      </c>
      <c r="WLK1" s="154" t="str">
        <f t="shared" si="247"/>
        <v>y</v>
      </c>
      <c r="WLL1" s="154" t="str">
        <f t="shared" si="247"/>
        <v>y</v>
      </c>
      <c r="WLM1" s="154" t="str">
        <f t="shared" si="247"/>
        <v>y</v>
      </c>
      <c r="WLN1" s="154" t="str">
        <f t="shared" si="247"/>
        <v>y</v>
      </c>
      <c r="WLO1" s="154" t="str">
        <f t="shared" si="247"/>
        <v>y</v>
      </c>
      <c r="WLP1" s="154" t="str">
        <f t="shared" si="247"/>
        <v>y</v>
      </c>
      <c r="WLQ1" s="154" t="str">
        <f t="shared" si="247"/>
        <v>y</v>
      </c>
      <c r="WLR1" s="154" t="str">
        <f t="shared" ref="WLR1:WOC1" si="248">WLR2&amp;"y"</f>
        <v>y</v>
      </c>
      <c r="WLS1" s="154" t="str">
        <f t="shared" si="248"/>
        <v>y</v>
      </c>
      <c r="WLT1" s="154" t="str">
        <f t="shared" si="248"/>
        <v>y</v>
      </c>
      <c r="WLU1" s="154" t="str">
        <f t="shared" si="248"/>
        <v>y</v>
      </c>
      <c r="WLV1" s="154" t="str">
        <f t="shared" si="248"/>
        <v>y</v>
      </c>
      <c r="WLW1" s="154" t="str">
        <f t="shared" si="248"/>
        <v>y</v>
      </c>
      <c r="WLX1" s="154" t="str">
        <f t="shared" si="248"/>
        <v>y</v>
      </c>
      <c r="WLY1" s="154" t="str">
        <f t="shared" si="248"/>
        <v>y</v>
      </c>
      <c r="WLZ1" s="154" t="str">
        <f t="shared" si="248"/>
        <v>y</v>
      </c>
      <c r="WMA1" s="154" t="str">
        <f t="shared" si="248"/>
        <v>y</v>
      </c>
      <c r="WMB1" s="154" t="str">
        <f t="shared" si="248"/>
        <v>y</v>
      </c>
      <c r="WMC1" s="154" t="str">
        <f t="shared" si="248"/>
        <v>y</v>
      </c>
      <c r="WMD1" s="154" t="str">
        <f t="shared" si="248"/>
        <v>y</v>
      </c>
      <c r="WME1" s="154" t="str">
        <f t="shared" si="248"/>
        <v>y</v>
      </c>
      <c r="WMF1" s="154" t="str">
        <f t="shared" si="248"/>
        <v>y</v>
      </c>
      <c r="WMG1" s="154" t="str">
        <f t="shared" si="248"/>
        <v>y</v>
      </c>
      <c r="WMH1" s="154" t="str">
        <f t="shared" si="248"/>
        <v>y</v>
      </c>
      <c r="WMI1" s="154" t="str">
        <f t="shared" si="248"/>
        <v>y</v>
      </c>
      <c r="WMJ1" s="154" t="str">
        <f t="shared" si="248"/>
        <v>y</v>
      </c>
      <c r="WMK1" s="154" t="str">
        <f t="shared" si="248"/>
        <v>y</v>
      </c>
      <c r="WML1" s="154" t="str">
        <f t="shared" si="248"/>
        <v>y</v>
      </c>
      <c r="WMM1" s="154" t="str">
        <f t="shared" si="248"/>
        <v>y</v>
      </c>
      <c r="WMN1" s="154" t="str">
        <f t="shared" si="248"/>
        <v>y</v>
      </c>
      <c r="WMO1" s="154" t="str">
        <f t="shared" si="248"/>
        <v>y</v>
      </c>
      <c r="WMP1" s="154" t="str">
        <f t="shared" si="248"/>
        <v>y</v>
      </c>
      <c r="WMQ1" s="154" t="str">
        <f t="shared" si="248"/>
        <v>y</v>
      </c>
      <c r="WMR1" s="154" t="str">
        <f t="shared" si="248"/>
        <v>y</v>
      </c>
      <c r="WMS1" s="154" t="str">
        <f t="shared" si="248"/>
        <v>y</v>
      </c>
      <c r="WMT1" s="154" t="str">
        <f t="shared" si="248"/>
        <v>y</v>
      </c>
      <c r="WMU1" s="154" t="str">
        <f t="shared" si="248"/>
        <v>y</v>
      </c>
      <c r="WMV1" s="154" t="str">
        <f t="shared" si="248"/>
        <v>y</v>
      </c>
      <c r="WMW1" s="154" t="str">
        <f t="shared" si="248"/>
        <v>y</v>
      </c>
      <c r="WMX1" s="154" t="str">
        <f t="shared" si="248"/>
        <v>y</v>
      </c>
      <c r="WMY1" s="154" t="str">
        <f t="shared" si="248"/>
        <v>y</v>
      </c>
      <c r="WMZ1" s="154" t="str">
        <f t="shared" si="248"/>
        <v>y</v>
      </c>
      <c r="WNA1" s="154" t="str">
        <f t="shared" si="248"/>
        <v>y</v>
      </c>
      <c r="WNB1" s="154" t="str">
        <f t="shared" si="248"/>
        <v>y</v>
      </c>
      <c r="WNC1" s="154" t="str">
        <f t="shared" si="248"/>
        <v>y</v>
      </c>
      <c r="WND1" s="154" t="str">
        <f t="shared" si="248"/>
        <v>y</v>
      </c>
      <c r="WNE1" s="154" t="str">
        <f t="shared" si="248"/>
        <v>y</v>
      </c>
      <c r="WNF1" s="154" t="str">
        <f t="shared" si="248"/>
        <v>y</v>
      </c>
      <c r="WNG1" s="154" t="str">
        <f t="shared" si="248"/>
        <v>y</v>
      </c>
      <c r="WNH1" s="154" t="str">
        <f t="shared" si="248"/>
        <v>y</v>
      </c>
      <c r="WNI1" s="154" t="str">
        <f t="shared" si="248"/>
        <v>y</v>
      </c>
      <c r="WNJ1" s="154" t="str">
        <f t="shared" si="248"/>
        <v>y</v>
      </c>
      <c r="WNK1" s="154" t="str">
        <f t="shared" si="248"/>
        <v>y</v>
      </c>
      <c r="WNL1" s="154" t="str">
        <f t="shared" si="248"/>
        <v>y</v>
      </c>
      <c r="WNM1" s="154" t="str">
        <f t="shared" si="248"/>
        <v>y</v>
      </c>
      <c r="WNN1" s="154" t="str">
        <f t="shared" si="248"/>
        <v>y</v>
      </c>
      <c r="WNO1" s="154" t="str">
        <f t="shared" si="248"/>
        <v>y</v>
      </c>
      <c r="WNP1" s="154" t="str">
        <f t="shared" si="248"/>
        <v>y</v>
      </c>
      <c r="WNQ1" s="154" t="str">
        <f t="shared" si="248"/>
        <v>y</v>
      </c>
      <c r="WNR1" s="154" t="str">
        <f t="shared" si="248"/>
        <v>y</v>
      </c>
      <c r="WNS1" s="154" t="str">
        <f t="shared" si="248"/>
        <v>y</v>
      </c>
      <c r="WNT1" s="154" t="str">
        <f t="shared" si="248"/>
        <v>y</v>
      </c>
      <c r="WNU1" s="154" t="str">
        <f t="shared" si="248"/>
        <v>y</v>
      </c>
      <c r="WNV1" s="154" t="str">
        <f t="shared" si="248"/>
        <v>y</v>
      </c>
      <c r="WNW1" s="154" t="str">
        <f t="shared" si="248"/>
        <v>y</v>
      </c>
      <c r="WNX1" s="154" t="str">
        <f t="shared" si="248"/>
        <v>y</v>
      </c>
      <c r="WNY1" s="154" t="str">
        <f t="shared" si="248"/>
        <v>y</v>
      </c>
      <c r="WNZ1" s="154" t="str">
        <f t="shared" si="248"/>
        <v>y</v>
      </c>
      <c r="WOA1" s="154" t="str">
        <f t="shared" si="248"/>
        <v>y</v>
      </c>
      <c r="WOB1" s="154" t="str">
        <f t="shared" si="248"/>
        <v>y</v>
      </c>
      <c r="WOC1" s="154" t="str">
        <f t="shared" si="248"/>
        <v>y</v>
      </c>
      <c r="WOD1" s="154" t="str">
        <f t="shared" ref="WOD1:WQO1" si="249">WOD2&amp;"y"</f>
        <v>y</v>
      </c>
      <c r="WOE1" s="154" t="str">
        <f t="shared" si="249"/>
        <v>y</v>
      </c>
      <c r="WOF1" s="154" t="str">
        <f t="shared" si="249"/>
        <v>y</v>
      </c>
      <c r="WOG1" s="154" t="str">
        <f t="shared" si="249"/>
        <v>y</v>
      </c>
      <c r="WOH1" s="154" t="str">
        <f t="shared" si="249"/>
        <v>y</v>
      </c>
      <c r="WOI1" s="154" t="str">
        <f t="shared" si="249"/>
        <v>y</v>
      </c>
      <c r="WOJ1" s="154" t="str">
        <f t="shared" si="249"/>
        <v>y</v>
      </c>
      <c r="WOK1" s="154" t="str">
        <f t="shared" si="249"/>
        <v>y</v>
      </c>
      <c r="WOL1" s="154" t="str">
        <f t="shared" si="249"/>
        <v>y</v>
      </c>
      <c r="WOM1" s="154" t="str">
        <f t="shared" si="249"/>
        <v>y</v>
      </c>
      <c r="WON1" s="154" t="str">
        <f t="shared" si="249"/>
        <v>y</v>
      </c>
      <c r="WOO1" s="154" t="str">
        <f t="shared" si="249"/>
        <v>y</v>
      </c>
      <c r="WOP1" s="154" t="str">
        <f t="shared" si="249"/>
        <v>y</v>
      </c>
      <c r="WOQ1" s="154" t="str">
        <f t="shared" si="249"/>
        <v>y</v>
      </c>
      <c r="WOR1" s="154" t="str">
        <f t="shared" si="249"/>
        <v>y</v>
      </c>
      <c r="WOS1" s="154" t="str">
        <f t="shared" si="249"/>
        <v>y</v>
      </c>
      <c r="WOT1" s="154" t="str">
        <f t="shared" si="249"/>
        <v>y</v>
      </c>
      <c r="WOU1" s="154" t="str">
        <f t="shared" si="249"/>
        <v>y</v>
      </c>
      <c r="WOV1" s="154" t="str">
        <f t="shared" si="249"/>
        <v>y</v>
      </c>
      <c r="WOW1" s="154" t="str">
        <f t="shared" si="249"/>
        <v>y</v>
      </c>
      <c r="WOX1" s="154" t="str">
        <f t="shared" si="249"/>
        <v>y</v>
      </c>
      <c r="WOY1" s="154" t="str">
        <f t="shared" si="249"/>
        <v>y</v>
      </c>
      <c r="WOZ1" s="154" t="str">
        <f t="shared" si="249"/>
        <v>y</v>
      </c>
      <c r="WPA1" s="154" t="str">
        <f t="shared" si="249"/>
        <v>y</v>
      </c>
      <c r="WPB1" s="154" t="str">
        <f t="shared" si="249"/>
        <v>y</v>
      </c>
      <c r="WPC1" s="154" t="str">
        <f t="shared" si="249"/>
        <v>y</v>
      </c>
      <c r="WPD1" s="154" t="str">
        <f t="shared" si="249"/>
        <v>y</v>
      </c>
      <c r="WPE1" s="154" t="str">
        <f t="shared" si="249"/>
        <v>y</v>
      </c>
      <c r="WPF1" s="154" t="str">
        <f t="shared" si="249"/>
        <v>y</v>
      </c>
      <c r="WPG1" s="154" t="str">
        <f t="shared" si="249"/>
        <v>y</v>
      </c>
      <c r="WPH1" s="154" t="str">
        <f t="shared" si="249"/>
        <v>y</v>
      </c>
      <c r="WPI1" s="154" t="str">
        <f t="shared" si="249"/>
        <v>y</v>
      </c>
      <c r="WPJ1" s="154" t="str">
        <f t="shared" si="249"/>
        <v>y</v>
      </c>
      <c r="WPK1" s="154" t="str">
        <f t="shared" si="249"/>
        <v>y</v>
      </c>
      <c r="WPL1" s="154" t="str">
        <f t="shared" si="249"/>
        <v>y</v>
      </c>
      <c r="WPM1" s="154" t="str">
        <f t="shared" si="249"/>
        <v>y</v>
      </c>
      <c r="WPN1" s="154" t="str">
        <f t="shared" si="249"/>
        <v>y</v>
      </c>
      <c r="WPO1" s="154" t="str">
        <f t="shared" si="249"/>
        <v>y</v>
      </c>
      <c r="WPP1" s="154" t="str">
        <f t="shared" si="249"/>
        <v>y</v>
      </c>
      <c r="WPQ1" s="154" t="str">
        <f t="shared" si="249"/>
        <v>y</v>
      </c>
      <c r="WPR1" s="154" t="str">
        <f t="shared" si="249"/>
        <v>y</v>
      </c>
      <c r="WPS1" s="154" t="str">
        <f t="shared" si="249"/>
        <v>y</v>
      </c>
      <c r="WPT1" s="154" t="str">
        <f t="shared" si="249"/>
        <v>y</v>
      </c>
      <c r="WPU1" s="154" t="str">
        <f t="shared" si="249"/>
        <v>y</v>
      </c>
      <c r="WPV1" s="154" t="str">
        <f t="shared" si="249"/>
        <v>y</v>
      </c>
      <c r="WPW1" s="154" t="str">
        <f t="shared" si="249"/>
        <v>y</v>
      </c>
      <c r="WPX1" s="154" t="str">
        <f t="shared" si="249"/>
        <v>y</v>
      </c>
      <c r="WPY1" s="154" t="str">
        <f t="shared" si="249"/>
        <v>y</v>
      </c>
      <c r="WPZ1" s="154" t="str">
        <f t="shared" si="249"/>
        <v>y</v>
      </c>
      <c r="WQA1" s="154" t="str">
        <f t="shared" si="249"/>
        <v>y</v>
      </c>
      <c r="WQB1" s="154" t="str">
        <f t="shared" si="249"/>
        <v>y</v>
      </c>
      <c r="WQC1" s="154" t="str">
        <f t="shared" si="249"/>
        <v>y</v>
      </c>
      <c r="WQD1" s="154" t="str">
        <f t="shared" si="249"/>
        <v>y</v>
      </c>
      <c r="WQE1" s="154" t="str">
        <f t="shared" si="249"/>
        <v>y</v>
      </c>
      <c r="WQF1" s="154" t="str">
        <f t="shared" si="249"/>
        <v>y</v>
      </c>
      <c r="WQG1" s="154" t="str">
        <f t="shared" si="249"/>
        <v>y</v>
      </c>
      <c r="WQH1" s="154" t="str">
        <f t="shared" si="249"/>
        <v>y</v>
      </c>
      <c r="WQI1" s="154" t="str">
        <f t="shared" si="249"/>
        <v>y</v>
      </c>
      <c r="WQJ1" s="154" t="str">
        <f t="shared" si="249"/>
        <v>y</v>
      </c>
      <c r="WQK1" s="154" t="str">
        <f t="shared" si="249"/>
        <v>y</v>
      </c>
      <c r="WQL1" s="154" t="str">
        <f t="shared" si="249"/>
        <v>y</v>
      </c>
      <c r="WQM1" s="154" t="str">
        <f t="shared" si="249"/>
        <v>y</v>
      </c>
      <c r="WQN1" s="154" t="str">
        <f t="shared" si="249"/>
        <v>y</v>
      </c>
      <c r="WQO1" s="154" t="str">
        <f t="shared" si="249"/>
        <v>y</v>
      </c>
      <c r="WQP1" s="154" t="str">
        <f t="shared" ref="WQP1:WTA1" si="250">WQP2&amp;"y"</f>
        <v>y</v>
      </c>
      <c r="WQQ1" s="154" t="str">
        <f t="shared" si="250"/>
        <v>y</v>
      </c>
      <c r="WQR1" s="154" t="str">
        <f t="shared" si="250"/>
        <v>y</v>
      </c>
      <c r="WQS1" s="154" t="str">
        <f t="shared" si="250"/>
        <v>y</v>
      </c>
      <c r="WQT1" s="154" t="str">
        <f t="shared" si="250"/>
        <v>y</v>
      </c>
      <c r="WQU1" s="154" t="str">
        <f t="shared" si="250"/>
        <v>y</v>
      </c>
      <c r="WQV1" s="154" t="str">
        <f t="shared" si="250"/>
        <v>y</v>
      </c>
      <c r="WQW1" s="154" t="str">
        <f t="shared" si="250"/>
        <v>y</v>
      </c>
      <c r="WQX1" s="154" t="str">
        <f t="shared" si="250"/>
        <v>y</v>
      </c>
      <c r="WQY1" s="154" t="str">
        <f t="shared" si="250"/>
        <v>y</v>
      </c>
      <c r="WQZ1" s="154" t="str">
        <f t="shared" si="250"/>
        <v>y</v>
      </c>
      <c r="WRA1" s="154" t="str">
        <f t="shared" si="250"/>
        <v>y</v>
      </c>
      <c r="WRB1" s="154" t="str">
        <f t="shared" si="250"/>
        <v>y</v>
      </c>
      <c r="WRC1" s="154" t="str">
        <f t="shared" si="250"/>
        <v>y</v>
      </c>
      <c r="WRD1" s="154" t="str">
        <f t="shared" si="250"/>
        <v>y</v>
      </c>
      <c r="WRE1" s="154" t="str">
        <f t="shared" si="250"/>
        <v>y</v>
      </c>
      <c r="WRF1" s="154" t="str">
        <f t="shared" si="250"/>
        <v>y</v>
      </c>
      <c r="WRG1" s="154" t="str">
        <f t="shared" si="250"/>
        <v>y</v>
      </c>
      <c r="WRH1" s="154" t="str">
        <f t="shared" si="250"/>
        <v>y</v>
      </c>
      <c r="WRI1" s="154" t="str">
        <f t="shared" si="250"/>
        <v>y</v>
      </c>
      <c r="WRJ1" s="154" t="str">
        <f t="shared" si="250"/>
        <v>y</v>
      </c>
      <c r="WRK1" s="154" t="str">
        <f t="shared" si="250"/>
        <v>y</v>
      </c>
      <c r="WRL1" s="154" t="str">
        <f t="shared" si="250"/>
        <v>y</v>
      </c>
      <c r="WRM1" s="154" t="str">
        <f t="shared" si="250"/>
        <v>y</v>
      </c>
      <c r="WRN1" s="154" t="str">
        <f t="shared" si="250"/>
        <v>y</v>
      </c>
      <c r="WRO1" s="154" t="str">
        <f t="shared" si="250"/>
        <v>y</v>
      </c>
      <c r="WRP1" s="154" t="str">
        <f t="shared" si="250"/>
        <v>y</v>
      </c>
      <c r="WRQ1" s="154" t="str">
        <f t="shared" si="250"/>
        <v>y</v>
      </c>
      <c r="WRR1" s="154" t="str">
        <f t="shared" si="250"/>
        <v>y</v>
      </c>
      <c r="WRS1" s="154" t="str">
        <f t="shared" si="250"/>
        <v>y</v>
      </c>
      <c r="WRT1" s="154" t="str">
        <f t="shared" si="250"/>
        <v>y</v>
      </c>
      <c r="WRU1" s="154" t="str">
        <f t="shared" si="250"/>
        <v>y</v>
      </c>
      <c r="WRV1" s="154" t="str">
        <f t="shared" si="250"/>
        <v>y</v>
      </c>
      <c r="WRW1" s="154" t="str">
        <f t="shared" si="250"/>
        <v>y</v>
      </c>
      <c r="WRX1" s="154" t="str">
        <f t="shared" si="250"/>
        <v>y</v>
      </c>
      <c r="WRY1" s="154" t="str">
        <f t="shared" si="250"/>
        <v>y</v>
      </c>
      <c r="WRZ1" s="154" t="str">
        <f t="shared" si="250"/>
        <v>y</v>
      </c>
      <c r="WSA1" s="154" t="str">
        <f t="shared" si="250"/>
        <v>y</v>
      </c>
      <c r="WSB1" s="154" t="str">
        <f t="shared" si="250"/>
        <v>y</v>
      </c>
      <c r="WSC1" s="154" t="str">
        <f t="shared" si="250"/>
        <v>y</v>
      </c>
      <c r="WSD1" s="154" t="str">
        <f t="shared" si="250"/>
        <v>y</v>
      </c>
      <c r="WSE1" s="154" t="str">
        <f t="shared" si="250"/>
        <v>y</v>
      </c>
      <c r="WSF1" s="154" t="str">
        <f t="shared" si="250"/>
        <v>y</v>
      </c>
      <c r="WSG1" s="154" t="str">
        <f t="shared" si="250"/>
        <v>y</v>
      </c>
      <c r="WSH1" s="154" t="str">
        <f t="shared" si="250"/>
        <v>y</v>
      </c>
      <c r="WSI1" s="154" t="str">
        <f t="shared" si="250"/>
        <v>y</v>
      </c>
      <c r="WSJ1" s="154" t="str">
        <f t="shared" si="250"/>
        <v>y</v>
      </c>
      <c r="WSK1" s="154" t="str">
        <f t="shared" si="250"/>
        <v>y</v>
      </c>
      <c r="WSL1" s="154" t="str">
        <f t="shared" si="250"/>
        <v>y</v>
      </c>
      <c r="WSM1" s="154" t="str">
        <f t="shared" si="250"/>
        <v>y</v>
      </c>
      <c r="WSN1" s="154" t="str">
        <f t="shared" si="250"/>
        <v>y</v>
      </c>
      <c r="WSO1" s="154" t="str">
        <f t="shared" si="250"/>
        <v>y</v>
      </c>
      <c r="WSP1" s="154" t="str">
        <f t="shared" si="250"/>
        <v>y</v>
      </c>
      <c r="WSQ1" s="154" t="str">
        <f t="shared" si="250"/>
        <v>y</v>
      </c>
      <c r="WSR1" s="154" t="str">
        <f t="shared" si="250"/>
        <v>y</v>
      </c>
      <c r="WSS1" s="154" t="str">
        <f t="shared" si="250"/>
        <v>y</v>
      </c>
      <c r="WST1" s="154" t="str">
        <f t="shared" si="250"/>
        <v>y</v>
      </c>
      <c r="WSU1" s="154" t="str">
        <f t="shared" si="250"/>
        <v>y</v>
      </c>
      <c r="WSV1" s="154" t="str">
        <f t="shared" si="250"/>
        <v>y</v>
      </c>
      <c r="WSW1" s="154" t="str">
        <f t="shared" si="250"/>
        <v>y</v>
      </c>
      <c r="WSX1" s="154" t="str">
        <f t="shared" si="250"/>
        <v>y</v>
      </c>
      <c r="WSY1" s="154" t="str">
        <f t="shared" si="250"/>
        <v>y</v>
      </c>
      <c r="WSZ1" s="154" t="str">
        <f t="shared" si="250"/>
        <v>y</v>
      </c>
      <c r="WTA1" s="154" t="str">
        <f t="shared" si="250"/>
        <v>y</v>
      </c>
      <c r="WTB1" s="154" t="str">
        <f t="shared" ref="WTB1:WVM1" si="251">WTB2&amp;"y"</f>
        <v>y</v>
      </c>
      <c r="WTC1" s="154" t="str">
        <f t="shared" si="251"/>
        <v>y</v>
      </c>
      <c r="WTD1" s="154" t="str">
        <f t="shared" si="251"/>
        <v>y</v>
      </c>
      <c r="WTE1" s="154" t="str">
        <f t="shared" si="251"/>
        <v>y</v>
      </c>
      <c r="WTF1" s="154" t="str">
        <f t="shared" si="251"/>
        <v>y</v>
      </c>
      <c r="WTG1" s="154" t="str">
        <f t="shared" si="251"/>
        <v>y</v>
      </c>
      <c r="WTH1" s="154" t="str">
        <f t="shared" si="251"/>
        <v>y</v>
      </c>
      <c r="WTI1" s="154" t="str">
        <f t="shared" si="251"/>
        <v>y</v>
      </c>
      <c r="WTJ1" s="154" t="str">
        <f t="shared" si="251"/>
        <v>y</v>
      </c>
      <c r="WTK1" s="154" t="str">
        <f t="shared" si="251"/>
        <v>y</v>
      </c>
      <c r="WTL1" s="154" t="str">
        <f t="shared" si="251"/>
        <v>y</v>
      </c>
      <c r="WTM1" s="154" t="str">
        <f t="shared" si="251"/>
        <v>y</v>
      </c>
      <c r="WTN1" s="154" t="str">
        <f t="shared" si="251"/>
        <v>y</v>
      </c>
      <c r="WTO1" s="154" t="str">
        <f t="shared" si="251"/>
        <v>y</v>
      </c>
      <c r="WTP1" s="154" t="str">
        <f t="shared" si="251"/>
        <v>y</v>
      </c>
      <c r="WTQ1" s="154" t="str">
        <f t="shared" si="251"/>
        <v>y</v>
      </c>
      <c r="WTR1" s="154" t="str">
        <f t="shared" si="251"/>
        <v>y</v>
      </c>
      <c r="WTS1" s="154" t="str">
        <f t="shared" si="251"/>
        <v>y</v>
      </c>
      <c r="WTT1" s="154" t="str">
        <f t="shared" si="251"/>
        <v>y</v>
      </c>
      <c r="WTU1" s="154" t="str">
        <f t="shared" si="251"/>
        <v>y</v>
      </c>
      <c r="WTV1" s="154" t="str">
        <f t="shared" si="251"/>
        <v>y</v>
      </c>
      <c r="WTW1" s="154" t="str">
        <f t="shared" si="251"/>
        <v>y</v>
      </c>
      <c r="WTX1" s="154" t="str">
        <f t="shared" si="251"/>
        <v>y</v>
      </c>
      <c r="WTY1" s="154" t="str">
        <f t="shared" si="251"/>
        <v>y</v>
      </c>
      <c r="WTZ1" s="154" t="str">
        <f t="shared" si="251"/>
        <v>y</v>
      </c>
      <c r="WUA1" s="154" t="str">
        <f t="shared" si="251"/>
        <v>y</v>
      </c>
      <c r="WUB1" s="154" t="str">
        <f t="shared" si="251"/>
        <v>y</v>
      </c>
      <c r="WUC1" s="154" t="str">
        <f t="shared" si="251"/>
        <v>y</v>
      </c>
      <c r="WUD1" s="154" t="str">
        <f t="shared" si="251"/>
        <v>y</v>
      </c>
      <c r="WUE1" s="154" t="str">
        <f t="shared" si="251"/>
        <v>y</v>
      </c>
      <c r="WUF1" s="154" t="str">
        <f t="shared" si="251"/>
        <v>y</v>
      </c>
      <c r="WUG1" s="154" t="str">
        <f t="shared" si="251"/>
        <v>y</v>
      </c>
      <c r="WUH1" s="154" t="str">
        <f t="shared" si="251"/>
        <v>y</v>
      </c>
      <c r="WUI1" s="154" t="str">
        <f t="shared" si="251"/>
        <v>y</v>
      </c>
      <c r="WUJ1" s="154" t="str">
        <f t="shared" si="251"/>
        <v>y</v>
      </c>
      <c r="WUK1" s="154" t="str">
        <f t="shared" si="251"/>
        <v>y</v>
      </c>
      <c r="WUL1" s="154" t="str">
        <f t="shared" si="251"/>
        <v>y</v>
      </c>
      <c r="WUM1" s="154" t="str">
        <f t="shared" si="251"/>
        <v>y</v>
      </c>
      <c r="WUN1" s="154" t="str">
        <f t="shared" si="251"/>
        <v>y</v>
      </c>
      <c r="WUO1" s="154" t="str">
        <f t="shared" si="251"/>
        <v>y</v>
      </c>
      <c r="WUP1" s="154" t="str">
        <f t="shared" si="251"/>
        <v>y</v>
      </c>
      <c r="WUQ1" s="154" t="str">
        <f t="shared" si="251"/>
        <v>y</v>
      </c>
      <c r="WUR1" s="154" t="str">
        <f t="shared" si="251"/>
        <v>y</v>
      </c>
      <c r="WUS1" s="154" t="str">
        <f t="shared" si="251"/>
        <v>y</v>
      </c>
      <c r="WUT1" s="154" t="str">
        <f t="shared" si="251"/>
        <v>y</v>
      </c>
      <c r="WUU1" s="154" t="str">
        <f t="shared" si="251"/>
        <v>y</v>
      </c>
      <c r="WUV1" s="154" t="str">
        <f t="shared" si="251"/>
        <v>y</v>
      </c>
      <c r="WUW1" s="154" t="str">
        <f t="shared" si="251"/>
        <v>y</v>
      </c>
      <c r="WUX1" s="154" t="str">
        <f t="shared" si="251"/>
        <v>y</v>
      </c>
      <c r="WUY1" s="154" t="str">
        <f t="shared" si="251"/>
        <v>y</v>
      </c>
      <c r="WUZ1" s="154" t="str">
        <f t="shared" si="251"/>
        <v>y</v>
      </c>
      <c r="WVA1" s="154" t="str">
        <f t="shared" si="251"/>
        <v>y</v>
      </c>
      <c r="WVB1" s="154" t="str">
        <f t="shared" si="251"/>
        <v>y</v>
      </c>
      <c r="WVC1" s="154" t="str">
        <f t="shared" si="251"/>
        <v>y</v>
      </c>
      <c r="WVD1" s="154" t="str">
        <f t="shared" si="251"/>
        <v>y</v>
      </c>
      <c r="WVE1" s="154" t="str">
        <f t="shared" si="251"/>
        <v>y</v>
      </c>
      <c r="WVF1" s="154" t="str">
        <f t="shared" si="251"/>
        <v>y</v>
      </c>
      <c r="WVG1" s="154" t="str">
        <f t="shared" si="251"/>
        <v>y</v>
      </c>
      <c r="WVH1" s="154" t="str">
        <f t="shared" si="251"/>
        <v>y</v>
      </c>
      <c r="WVI1" s="154" t="str">
        <f t="shared" si="251"/>
        <v>y</v>
      </c>
      <c r="WVJ1" s="154" t="str">
        <f t="shared" si="251"/>
        <v>y</v>
      </c>
      <c r="WVK1" s="154" t="str">
        <f t="shared" si="251"/>
        <v>y</v>
      </c>
      <c r="WVL1" s="154" t="str">
        <f t="shared" si="251"/>
        <v>y</v>
      </c>
      <c r="WVM1" s="154" t="str">
        <f t="shared" si="251"/>
        <v>y</v>
      </c>
      <c r="WVN1" s="154" t="str">
        <f t="shared" ref="WVN1:WXY1" si="252">WVN2&amp;"y"</f>
        <v>y</v>
      </c>
      <c r="WVO1" s="154" t="str">
        <f t="shared" si="252"/>
        <v>y</v>
      </c>
      <c r="WVP1" s="154" t="str">
        <f t="shared" si="252"/>
        <v>y</v>
      </c>
      <c r="WVQ1" s="154" t="str">
        <f t="shared" si="252"/>
        <v>y</v>
      </c>
      <c r="WVR1" s="154" t="str">
        <f t="shared" si="252"/>
        <v>y</v>
      </c>
      <c r="WVS1" s="154" t="str">
        <f t="shared" si="252"/>
        <v>y</v>
      </c>
      <c r="WVT1" s="154" t="str">
        <f t="shared" si="252"/>
        <v>y</v>
      </c>
      <c r="WVU1" s="154" t="str">
        <f t="shared" si="252"/>
        <v>y</v>
      </c>
      <c r="WVV1" s="154" t="str">
        <f t="shared" si="252"/>
        <v>y</v>
      </c>
      <c r="WVW1" s="154" t="str">
        <f t="shared" si="252"/>
        <v>y</v>
      </c>
      <c r="WVX1" s="154" t="str">
        <f t="shared" si="252"/>
        <v>y</v>
      </c>
      <c r="WVY1" s="154" t="str">
        <f t="shared" si="252"/>
        <v>y</v>
      </c>
      <c r="WVZ1" s="154" t="str">
        <f t="shared" si="252"/>
        <v>y</v>
      </c>
      <c r="WWA1" s="154" t="str">
        <f t="shared" si="252"/>
        <v>y</v>
      </c>
      <c r="WWB1" s="154" t="str">
        <f t="shared" si="252"/>
        <v>y</v>
      </c>
      <c r="WWC1" s="154" t="str">
        <f t="shared" si="252"/>
        <v>y</v>
      </c>
      <c r="WWD1" s="154" t="str">
        <f t="shared" si="252"/>
        <v>y</v>
      </c>
      <c r="WWE1" s="154" t="str">
        <f t="shared" si="252"/>
        <v>y</v>
      </c>
      <c r="WWF1" s="154" t="str">
        <f t="shared" si="252"/>
        <v>y</v>
      </c>
      <c r="WWG1" s="154" t="str">
        <f t="shared" si="252"/>
        <v>y</v>
      </c>
      <c r="WWH1" s="154" t="str">
        <f t="shared" si="252"/>
        <v>y</v>
      </c>
      <c r="WWI1" s="154" t="str">
        <f t="shared" si="252"/>
        <v>y</v>
      </c>
      <c r="WWJ1" s="154" t="str">
        <f t="shared" si="252"/>
        <v>y</v>
      </c>
      <c r="WWK1" s="154" t="str">
        <f t="shared" si="252"/>
        <v>y</v>
      </c>
      <c r="WWL1" s="154" t="str">
        <f t="shared" si="252"/>
        <v>y</v>
      </c>
      <c r="WWM1" s="154" t="str">
        <f t="shared" si="252"/>
        <v>y</v>
      </c>
      <c r="WWN1" s="154" t="str">
        <f t="shared" si="252"/>
        <v>y</v>
      </c>
      <c r="WWO1" s="154" t="str">
        <f t="shared" si="252"/>
        <v>y</v>
      </c>
      <c r="WWP1" s="154" t="str">
        <f t="shared" si="252"/>
        <v>y</v>
      </c>
      <c r="WWQ1" s="154" t="str">
        <f t="shared" si="252"/>
        <v>y</v>
      </c>
      <c r="WWR1" s="154" t="str">
        <f t="shared" si="252"/>
        <v>y</v>
      </c>
      <c r="WWS1" s="154" t="str">
        <f t="shared" si="252"/>
        <v>y</v>
      </c>
      <c r="WWT1" s="154" t="str">
        <f t="shared" si="252"/>
        <v>y</v>
      </c>
      <c r="WWU1" s="154" t="str">
        <f t="shared" si="252"/>
        <v>y</v>
      </c>
      <c r="WWV1" s="154" t="str">
        <f t="shared" si="252"/>
        <v>y</v>
      </c>
      <c r="WWW1" s="154" t="str">
        <f t="shared" si="252"/>
        <v>y</v>
      </c>
      <c r="WWX1" s="154" t="str">
        <f t="shared" si="252"/>
        <v>y</v>
      </c>
      <c r="WWY1" s="154" t="str">
        <f t="shared" si="252"/>
        <v>y</v>
      </c>
      <c r="WWZ1" s="154" t="str">
        <f t="shared" si="252"/>
        <v>y</v>
      </c>
      <c r="WXA1" s="154" t="str">
        <f t="shared" si="252"/>
        <v>y</v>
      </c>
      <c r="WXB1" s="154" t="str">
        <f t="shared" si="252"/>
        <v>y</v>
      </c>
      <c r="WXC1" s="154" t="str">
        <f t="shared" si="252"/>
        <v>y</v>
      </c>
      <c r="WXD1" s="154" t="str">
        <f t="shared" si="252"/>
        <v>y</v>
      </c>
      <c r="WXE1" s="154" t="str">
        <f t="shared" si="252"/>
        <v>y</v>
      </c>
      <c r="WXF1" s="154" t="str">
        <f t="shared" si="252"/>
        <v>y</v>
      </c>
      <c r="WXG1" s="154" t="str">
        <f t="shared" si="252"/>
        <v>y</v>
      </c>
      <c r="WXH1" s="154" t="str">
        <f t="shared" si="252"/>
        <v>y</v>
      </c>
      <c r="WXI1" s="154" t="str">
        <f t="shared" si="252"/>
        <v>y</v>
      </c>
      <c r="WXJ1" s="154" t="str">
        <f t="shared" si="252"/>
        <v>y</v>
      </c>
      <c r="WXK1" s="154" t="str">
        <f t="shared" si="252"/>
        <v>y</v>
      </c>
      <c r="WXL1" s="154" t="str">
        <f t="shared" si="252"/>
        <v>y</v>
      </c>
      <c r="WXM1" s="154" t="str">
        <f t="shared" si="252"/>
        <v>y</v>
      </c>
      <c r="WXN1" s="154" t="str">
        <f t="shared" si="252"/>
        <v>y</v>
      </c>
      <c r="WXO1" s="154" t="str">
        <f t="shared" si="252"/>
        <v>y</v>
      </c>
      <c r="WXP1" s="154" t="str">
        <f t="shared" si="252"/>
        <v>y</v>
      </c>
      <c r="WXQ1" s="154" t="str">
        <f t="shared" si="252"/>
        <v>y</v>
      </c>
      <c r="WXR1" s="154" t="str">
        <f t="shared" si="252"/>
        <v>y</v>
      </c>
      <c r="WXS1" s="154" t="str">
        <f t="shared" si="252"/>
        <v>y</v>
      </c>
      <c r="WXT1" s="154" t="str">
        <f t="shared" si="252"/>
        <v>y</v>
      </c>
      <c r="WXU1" s="154" t="str">
        <f t="shared" si="252"/>
        <v>y</v>
      </c>
      <c r="WXV1" s="154" t="str">
        <f t="shared" si="252"/>
        <v>y</v>
      </c>
      <c r="WXW1" s="154" t="str">
        <f t="shared" si="252"/>
        <v>y</v>
      </c>
      <c r="WXX1" s="154" t="str">
        <f t="shared" si="252"/>
        <v>y</v>
      </c>
      <c r="WXY1" s="154" t="str">
        <f t="shared" si="252"/>
        <v>y</v>
      </c>
      <c r="WXZ1" s="154" t="str">
        <f t="shared" ref="WXZ1:XAK1" si="253">WXZ2&amp;"y"</f>
        <v>y</v>
      </c>
      <c r="WYA1" s="154" t="str">
        <f t="shared" si="253"/>
        <v>y</v>
      </c>
      <c r="WYB1" s="154" t="str">
        <f t="shared" si="253"/>
        <v>y</v>
      </c>
      <c r="WYC1" s="154" t="str">
        <f t="shared" si="253"/>
        <v>y</v>
      </c>
      <c r="WYD1" s="154" t="str">
        <f t="shared" si="253"/>
        <v>y</v>
      </c>
      <c r="WYE1" s="154" t="str">
        <f t="shared" si="253"/>
        <v>y</v>
      </c>
      <c r="WYF1" s="154" t="str">
        <f t="shared" si="253"/>
        <v>y</v>
      </c>
      <c r="WYG1" s="154" t="str">
        <f t="shared" si="253"/>
        <v>y</v>
      </c>
      <c r="WYH1" s="154" t="str">
        <f t="shared" si="253"/>
        <v>y</v>
      </c>
      <c r="WYI1" s="154" t="str">
        <f t="shared" si="253"/>
        <v>y</v>
      </c>
      <c r="WYJ1" s="154" t="str">
        <f t="shared" si="253"/>
        <v>y</v>
      </c>
      <c r="WYK1" s="154" t="str">
        <f t="shared" si="253"/>
        <v>y</v>
      </c>
      <c r="WYL1" s="154" t="str">
        <f t="shared" si="253"/>
        <v>y</v>
      </c>
      <c r="WYM1" s="154" t="str">
        <f t="shared" si="253"/>
        <v>y</v>
      </c>
      <c r="WYN1" s="154" t="str">
        <f t="shared" si="253"/>
        <v>y</v>
      </c>
      <c r="WYO1" s="154" t="str">
        <f t="shared" si="253"/>
        <v>y</v>
      </c>
      <c r="WYP1" s="154" t="str">
        <f t="shared" si="253"/>
        <v>y</v>
      </c>
      <c r="WYQ1" s="154" t="str">
        <f t="shared" si="253"/>
        <v>y</v>
      </c>
      <c r="WYR1" s="154" t="str">
        <f t="shared" si="253"/>
        <v>y</v>
      </c>
      <c r="WYS1" s="154" t="str">
        <f t="shared" si="253"/>
        <v>y</v>
      </c>
      <c r="WYT1" s="154" t="str">
        <f t="shared" si="253"/>
        <v>y</v>
      </c>
      <c r="WYU1" s="154" t="str">
        <f t="shared" si="253"/>
        <v>y</v>
      </c>
      <c r="WYV1" s="154" t="str">
        <f t="shared" si="253"/>
        <v>y</v>
      </c>
      <c r="WYW1" s="154" t="str">
        <f t="shared" si="253"/>
        <v>y</v>
      </c>
      <c r="WYX1" s="154" t="str">
        <f t="shared" si="253"/>
        <v>y</v>
      </c>
      <c r="WYY1" s="154" t="str">
        <f t="shared" si="253"/>
        <v>y</v>
      </c>
      <c r="WYZ1" s="154" t="str">
        <f t="shared" si="253"/>
        <v>y</v>
      </c>
      <c r="WZA1" s="154" t="str">
        <f t="shared" si="253"/>
        <v>y</v>
      </c>
      <c r="WZB1" s="154" t="str">
        <f t="shared" si="253"/>
        <v>y</v>
      </c>
      <c r="WZC1" s="154" t="str">
        <f t="shared" si="253"/>
        <v>y</v>
      </c>
      <c r="WZD1" s="154" t="str">
        <f t="shared" si="253"/>
        <v>y</v>
      </c>
      <c r="WZE1" s="154" t="str">
        <f t="shared" si="253"/>
        <v>y</v>
      </c>
      <c r="WZF1" s="154" t="str">
        <f t="shared" si="253"/>
        <v>y</v>
      </c>
      <c r="WZG1" s="154" t="str">
        <f t="shared" si="253"/>
        <v>y</v>
      </c>
      <c r="WZH1" s="154" t="str">
        <f t="shared" si="253"/>
        <v>y</v>
      </c>
      <c r="WZI1" s="154" t="str">
        <f t="shared" si="253"/>
        <v>y</v>
      </c>
      <c r="WZJ1" s="154" t="str">
        <f t="shared" si="253"/>
        <v>y</v>
      </c>
      <c r="WZK1" s="154" t="str">
        <f t="shared" si="253"/>
        <v>y</v>
      </c>
      <c r="WZL1" s="154" t="str">
        <f t="shared" si="253"/>
        <v>y</v>
      </c>
      <c r="WZM1" s="154" t="str">
        <f t="shared" si="253"/>
        <v>y</v>
      </c>
      <c r="WZN1" s="154" t="str">
        <f t="shared" si="253"/>
        <v>y</v>
      </c>
      <c r="WZO1" s="154" t="str">
        <f t="shared" si="253"/>
        <v>y</v>
      </c>
      <c r="WZP1" s="154" t="str">
        <f t="shared" si="253"/>
        <v>y</v>
      </c>
      <c r="WZQ1" s="154" t="str">
        <f t="shared" si="253"/>
        <v>y</v>
      </c>
      <c r="WZR1" s="154" t="str">
        <f t="shared" si="253"/>
        <v>y</v>
      </c>
      <c r="WZS1" s="154" t="str">
        <f t="shared" si="253"/>
        <v>y</v>
      </c>
      <c r="WZT1" s="154" t="str">
        <f t="shared" si="253"/>
        <v>y</v>
      </c>
      <c r="WZU1" s="154" t="str">
        <f t="shared" si="253"/>
        <v>y</v>
      </c>
      <c r="WZV1" s="154" t="str">
        <f t="shared" si="253"/>
        <v>y</v>
      </c>
      <c r="WZW1" s="154" t="str">
        <f t="shared" si="253"/>
        <v>y</v>
      </c>
      <c r="WZX1" s="154" t="str">
        <f t="shared" si="253"/>
        <v>y</v>
      </c>
      <c r="WZY1" s="154" t="str">
        <f t="shared" si="253"/>
        <v>y</v>
      </c>
      <c r="WZZ1" s="154" t="str">
        <f t="shared" si="253"/>
        <v>y</v>
      </c>
      <c r="XAA1" s="154" t="str">
        <f t="shared" si="253"/>
        <v>y</v>
      </c>
      <c r="XAB1" s="154" t="str">
        <f t="shared" si="253"/>
        <v>y</v>
      </c>
      <c r="XAC1" s="154" t="str">
        <f t="shared" si="253"/>
        <v>y</v>
      </c>
      <c r="XAD1" s="154" t="str">
        <f t="shared" si="253"/>
        <v>y</v>
      </c>
      <c r="XAE1" s="154" t="str">
        <f t="shared" si="253"/>
        <v>y</v>
      </c>
      <c r="XAF1" s="154" t="str">
        <f t="shared" si="253"/>
        <v>y</v>
      </c>
      <c r="XAG1" s="154" t="str">
        <f t="shared" si="253"/>
        <v>y</v>
      </c>
      <c r="XAH1" s="154" t="str">
        <f t="shared" si="253"/>
        <v>y</v>
      </c>
      <c r="XAI1" s="154" t="str">
        <f t="shared" si="253"/>
        <v>y</v>
      </c>
      <c r="XAJ1" s="154" t="str">
        <f t="shared" si="253"/>
        <v>y</v>
      </c>
      <c r="XAK1" s="154" t="str">
        <f t="shared" si="253"/>
        <v>y</v>
      </c>
      <c r="XAL1" s="154" t="str">
        <f t="shared" ref="XAL1:XCW1" si="254">XAL2&amp;"y"</f>
        <v>y</v>
      </c>
      <c r="XAM1" s="154" t="str">
        <f t="shared" si="254"/>
        <v>y</v>
      </c>
      <c r="XAN1" s="154" t="str">
        <f t="shared" si="254"/>
        <v>y</v>
      </c>
      <c r="XAO1" s="154" t="str">
        <f t="shared" si="254"/>
        <v>y</v>
      </c>
      <c r="XAP1" s="154" t="str">
        <f t="shared" si="254"/>
        <v>y</v>
      </c>
      <c r="XAQ1" s="154" t="str">
        <f t="shared" si="254"/>
        <v>y</v>
      </c>
      <c r="XAR1" s="154" t="str">
        <f t="shared" si="254"/>
        <v>y</v>
      </c>
      <c r="XAS1" s="154" t="str">
        <f t="shared" si="254"/>
        <v>y</v>
      </c>
      <c r="XAT1" s="154" t="str">
        <f t="shared" si="254"/>
        <v>y</v>
      </c>
      <c r="XAU1" s="154" t="str">
        <f t="shared" si="254"/>
        <v>y</v>
      </c>
      <c r="XAV1" s="154" t="str">
        <f t="shared" si="254"/>
        <v>y</v>
      </c>
      <c r="XAW1" s="154" t="str">
        <f t="shared" si="254"/>
        <v>y</v>
      </c>
      <c r="XAX1" s="154" t="str">
        <f t="shared" si="254"/>
        <v>y</v>
      </c>
      <c r="XAY1" s="154" t="str">
        <f t="shared" si="254"/>
        <v>y</v>
      </c>
      <c r="XAZ1" s="154" t="str">
        <f t="shared" si="254"/>
        <v>y</v>
      </c>
      <c r="XBA1" s="154" t="str">
        <f t="shared" si="254"/>
        <v>y</v>
      </c>
      <c r="XBB1" s="154" t="str">
        <f t="shared" si="254"/>
        <v>y</v>
      </c>
      <c r="XBC1" s="154" t="str">
        <f t="shared" si="254"/>
        <v>y</v>
      </c>
      <c r="XBD1" s="154" t="str">
        <f t="shared" si="254"/>
        <v>y</v>
      </c>
      <c r="XBE1" s="154" t="str">
        <f t="shared" si="254"/>
        <v>y</v>
      </c>
      <c r="XBF1" s="154" t="str">
        <f t="shared" si="254"/>
        <v>y</v>
      </c>
      <c r="XBG1" s="154" t="str">
        <f t="shared" si="254"/>
        <v>y</v>
      </c>
      <c r="XBH1" s="154" t="str">
        <f t="shared" si="254"/>
        <v>y</v>
      </c>
      <c r="XBI1" s="154" t="str">
        <f t="shared" si="254"/>
        <v>y</v>
      </c>
      <c r="XBJ1" s="154" t="str">
        <f t="shared" si="254"/>
        <v>y</v>
      </c>
      <c r="XBK1" s="154" t="str">
        <f t="shared" si="254"/>
        <v>y</v>
      </c>
      <c r="XBL1" s="154" t="str">
        <f t="shared" si="254"/>
        <v>y</v>
      </c>
      <c r="XBM1" s="154" t="str">
        <f t="shared" si="254"/>
        <v>y</v>
      </c>
      <c r="XBN1" s="154" t="str">
        <f t="shared" si="254"/>
        <v>y</v>
      </c>
      <c r="XBO1" s="154" t="str">
        <f t="shared" si="254"/>
        <v>y</v>
      </c>
      <c r="XBP1" s="154" t="str">
        <f t="shared" si="254"/>
        <v>y</v>
      </c>
      <c r="XBQ1" s="154" t="str">
        <f t="shared" si="254"/>
        <v>y</v>
      </c>
      <c r="XBR1" s="154" t="str">
        <f t="shared" si="254"/>
        <v>y</v>
      </c>
      <c r="XBS1" s="154" t="str">
        <f t="shared" si="254"/>
        <v>y</v>
      </c>
      <c r="XBT1" s="154" t="str">
        <f t="shared" si="254"/>
        <v>y</v>
      </c>
      <c r="XBU1" s="154" t="str">
        <f t="shared" si="254"/>
        <v>y</v>
      </c>
      <c r="XBV1" s="154" t="str">
        <f t="shared" si="254"/>
        <v>y</v>
      </c>
      <c r="XBW1" s="154" t="str">
        <f t="shared" si="254"/>
        <v>y</v>
      </c>
      <c r="XBX1" s="154" t="str">
        <f t="shared" si="254"/>
        <v>y</v>
      </c>
      <c r="XBY1" s="154" t="str">
        <f t="shared" si="254"/>
        <v>y</v>
      </c>
      <c r="XBZ1" s="154" t="str">
        <f t="shared" si="254"/>
        <v>y</v>
      </c>
      <c r="XCA1" s="154" t="str">
        <f t="shared" si="254"/>
        <v>y</v>
      </c>
      <c r="XCB1" s="154" t="str">
        <f t="shared" si="254"/>
        <v>y</v>
      </c>
      <c r="XCC1" s="154" t="str">
        <f t="shared" si="254"/>
        <v>y</v>
      </c>
      <c r="XCD1" s="154" t="str">
        <f t="shared" si="254"/>
        <v>y</v>
      </c>
      <c r="XCE1" s="154" t="str">
        <f t="shared" si="254"/>
        <v>y</v>
      </c>
      <c r="XCF1" s="154" t="str">
        <f t="shared" si="254"/>
        <v>y</v>
      </c>
      <c r="XCG1" s="154" t="str">
        <f t="shared" si="254"/>
        <v>y</v>
      </c>
      <c r="XCH1" s="154" t="str">
        <f t="shared" si="254"/>
        <v>y</v>
      </c>
      <c r="XCI1" s="154" t="str">
        <f t="shared" si="254"/>
        <v>y</v>
      </c>
      <c r="XCJ1" s="154" t="str">
        <f t="shared" si="254"/>
        <v>y</v>
      </c>
      <c r="XCK1" s="154" t="str">
        <f t="shared" si="254"/>
        <v>y</v>
      </c>
      <c r="XCL1" s="154" t="str">
        <f t="shared" si="254"/>
        <v>y</v>
      </c>
      <c r="XCM1" s="154" t="str">
        <f t="shared" si="254"/>
        <v>y</v>
      </c>
      <c r="XCN1" s="154" t="str">
        <f t="shared" si="254"/>
        <v>y</v>
      </c>
      <c r="XCO1" s="154" t="str">
        <f t="shared" si="254"/>
        <v>y</v>
      </c>
      <c r="XCP1" s="154" t="str">
        <f t="shared" si="254"/>
        <v>y</v>
      </c>
      <c r="XCQ1" s="154" t="str">
        <f t="shared" si="254"/>
        <v>y</v>
      </c>
      <c r="XCR1" s="154" t="str">
        <f t="shared" si="254"/>
        <v>y</v>
      </c>
      <c r="XCS1" s="154" t="str">
        <f t="shared" si="254"/>
        <v>y</v>
      </c>
      <c r="XCT1" s="154" t="str">
        <f t="shared" si="254"/>
        <v>y</v>
      </c>
      <c r="XCU1" s="154" t="str">
        <f t="shared" si="254"/>
        <v>y</v>
      </c>
      <c r="XCV1" s="154" t="str">
        <f t="shared" si="254"/>
        <v>y</v>
      </c>
      <c r="XCW1" s="154" t="str">
        <f t="shared" si="254"/>
        <v>y</v>
      </c>
      <c r="XCX1" s="154" t="str">
        <f t="shared" ref="XCX1:XFD1" si="255">XCX2&amp;"y"</f>
        <v>y</v>
      </c>
      <c r="XCY1" s="154" t="str">
        <f t="shared" si="255"/>
        <v>y</v>
      </c>
      <c r="XCZ1" s="154" t="str">
        <f t="shared" si="255"/>
        <v>y</v>
      </c>
      <c r="XDA1" s="154" t="str">
        <f t="shared" si="255"/>
        <v>y</v>
      </c>
      <c r="XDB1" s="154" t="str">
        <f t="shared" si="255"/>
        <v>y</v>
      </c>
      <c r="XDC1" s="154" t="str">
        <f t="shared" si="255"/>
        <v>y</v>
      </c>
      <c r="XDD1" s="154" t="str">
        <f t="shared" si="255"/>
        <v>y</v>
      </c>
      <c r="XDE1" s="154" t="str">
        <f t="shared" si="255"/>
        <v>y</v>
      </c>
      <c r="XDF1" s="154" t="str">
        <f t="shared" si="255"/>
        <v>y</v>
      </c>
      <c r="XDG1" s="154" t="str">
        <f t="shared" si="255"/>
        <v>y</v>
      </c>
      <c r="XDH1" s="154" t="str">
        <f t="shared" si="255"/>
        <v>y</v>
      </c>
      <c r="XDI1" s="154" t="str">
        <f t="shared" si="255"/>
        <v>y</v>
      </c>
      <c r="XDJ1" s="154" t="str">
        <f t="shared" si="255"/>
        <v>y</v>
      </c>
      <c r="XDK1" s="154" t="str">
        <f t="shared" si="255"/>
        <v>y</v>
      </c>
      <c r="XDL1" s="154" t="str">
        <f t="shared" si="255"/>
        <v>y</v>
      </c>
      <c r="XDM1" s="154" t="str">
        <f t="shared" si="255"/>
        <v>y</v>
      </c>
      <c r="XDN1" s="154" t="str">
        <f t="shared" si="255"/>
        <v>y</v>
      </c>
      <c r="XDO1" s="154" t="str">
        <f t="shared" si="255"/>
        <v>y</v>
      </c>
      <c r="XDP1" s="154" t="str">
        <f t="shared" si="255"/>
        <v>y</v>
      </c>
      <c r="XDQ1" s="154" t="str">
        <f t="shared" si="255"/>
        <v>y</v>
      </c>
      <c r="XDR1" s="154" t="str">
        <f t="shared" si="255"/>
        <v>y</v>
      </c>
      <c r="XDS1" s="154" t="str">
        <f t="shared" si="255"/>
        <v>y</v>
      </c>
      <c r="XDT1" s="154" t="str">
        <f t="shared" si="255"/>
        <v>y</v>
      </c>
      <c r="XDU1" s="154" t="str">
        <f t="shared" si="255"/>
        <v>y</v>
      </c>
      <c r="XDV1" s="154" t="str">
        <f t="shared" si="255"/>
        <v>y</v>
      </c>
      <c r="XDW1" s="154" t="str">
        <f t="shared" si="255"/>
        <v>y</v>
      </c>
      <c r="XDX1" s="154" t="str">
        <f t="shared" si="255"/>
        <v>y</v>
      </c>
      <c r="XDY1" s="154" t="str">
        <f t="shared" si="255"/>
        <v>y</v>
      </c>
      <c r="XDZ1" s="154" t="str">
        <f t="shared" si="255"/>
        <v>y</v>
      </c>
      <c r="XEA1" s="154" t="str">
        <f t="shared" si="255"/>
        <v>y</v>
      </c>
      <c r="XEB1" s="154" t="str">
        <f t="shared" si="255"/>
        <v>y</v>
      </c>
      <c r="XEC1" s="154" t="str">
        <f t="shared" si="255"/>
        <v>y</v>
      </c>
      <c r="XED1" s="154" t="str">
        <f t="shared" si="255"/>
        <v>y</v>
      </c>
      <c r="XEE1" s="154" t="str">
        <f t="shared" si="255"/>
        <v>y</v>
      </c>
      <c r="XEF1" s="154" t="str">
        <f t="shared" si="255"/>
        <v>y</v>
      </c>
      <c r="XEG1" s="154" t="str">
        <f t="shared" si="255"/>
        <v>y</v>
      </c>
      <c r="XEH1" s="154" t="str">
        <f t="shared" si="255"/>
        <v>y</v>
      </c>
      <c r="XEI1" s="154" t="str">
        <f t="shared" si="255"/>
        <v>y</v>
      </c>
      <c r="XEJ1" s="154" t="str">
        <f t="shared" si="255"/>
        <v>y</v>
      </c>
      <c r="XEK1" s="154" t="str">
        <f t="shared" si="255"/>
        <v>y</v>
      </c>
      <c r="XEL1" s="154" t="str">
        <f t="shared" si="255"/>
        <v>y</v>
      </c>
      <c r="XEM1" s="154" t="str">
        <f t="shared" si="255"/>
        <v>y</v>
      </c>
      <c r="XEN1" s="154" t="str">
        <f t="shared" si="255"/>
        <v>y</v>
      </c>
      <c r="XEO1" s="154" t="str">
        <f t="shared" si="255"/>
        <v>y</v>
      </c>
      <c r="XEP1" s="154" t="str">
        <f t="shared" si="255"/>
        <v>y</v>
      </c>
      <c r="XEQ1" s="154" t="str">
        <f t="shared" si="255"/>
        <v>y</v>
      </c>
      <c r="XER1" s="154" t="str">
        <f t="shared" si="255"/>
        <v>y</v>
      </c>
      <c r="XES1" s="154" t="str">
        <f t="shared" si="255"/>
        <v>y</v>
      </c>
      <c r="XET1" s="154" t="str">
        <f t="shared" si="255"/>
        <v>y</v>
      </c>
      <c r="XEU1" s="154" t="str">
        <f t="shared" si="255"/>
        <v>y</v>
      </c>
      <c r="XEV1" s="154" t="str">
        <f t="shared" si="255"/>
        <v>y</v>
      </c>
      <c r="XEW1" s="154" t="str">
        <f t="shared" si="255"/>
        <v>y</v>
      </c>
      <c r="XEX1" s="154" t="str">
        <f t="shared" si="255"/>
        <v>y</v>
      </c>
      <c r="XEY1" s="154" t="str">
        <f t="shared" si="255"/>
        <v>y</v>
      </c>
      <c r="XEZ1" s="154" t="str">
        <f t="shared" si="255"/>
        <v>y</v>
      </c>
      <c r="XFA1" s="154" t="str">
        <f t="shared" si="255"/>
        <v>y</v>
      </c>
      <c r="XFB1" s="154" t="str">
        <f t="shared" si="255"/>
        <v>y</v>
      </c>
      <c r="XFC1" s="154" t="str">
        <f t="shared" si="255"/>
        <v>y</v>
      </c>
      <c r="XFD1" s="154" t="str">
        <f t="shared" si="255"/>
        <v>y</v>
      </c>
    </row>
    <row r="2" spans="1:16384" s="157" customFormat="1" collapsed="1">
      <c r="A2" s="156" t="s">
        <v>95</v>
      </c>
      <c r="B2" s="156" t="s">
        <v>96</v>
      </c>
      <c r="C2" s="156" t="s">
        <v>97</v>
      </c>
      <c r="D2" s="156" t="s">
        <v>98</v>
      </c>
      <c r="E2" s="157" t="s">
        <v>99</v>
      </c>
      <c r="F2" s="157" t="s">
        <v>100</v>
      </c>
      <c r="G2" s="157" t="s">
        <v>101</v>
      </c>
      <c r="H2" s="157" t="s">
        <v>102</v>
      </c>
      <c r="I2" s="157" t="s">
        <v>103</v>
      </c>
      <c r="J2" s="158" t="s">
        <v>104</v>
      </c>
      <c r="K2" s="158" t="s">
        <v>105</v>
      </c>
      <c r="L2" s="158" t="s">
        <v>106</v>
      </c>
      <c r="M2" s="158" t="s">
        <v>107</v>
      </c>
      <c r="N2" s="158" t="s">
        <v>108</v>
      </c>
      <c r="O2" s="158" t="s">
        <v>109</v>
      </c>
      <c r="P2" s="158" t="s">
        <v>110</v>
      </c>
      <c r="Q2" s="158" t="s">
        <v>111</v>
      </c>
      <c r="R2" s="158" t="s">
        <v>112</v>
      </c>
      <c r="S2" s="158" t="s">
        <v>113</v>
      </c>
      <c r="T2" s="158" t="s">
        <v>114</v>
      </c>
      <c r="U2" s="158" t="s">
        <v>115</v>
      </c>
      <c r="V2" s="158" t="s">
        <v>116</v>
      </c>
      <c r="W2" s="158" t="s">
        <v>117</v>
      </c>
      <c r="X2" s="158" t="s">
        <v>118</v>
      </c>
      <c r="Y2" s="158" t="s">
        <v>119</v>
      </c>
      <c r="Z2" s="158" t="s">
        <v>120</v>
      </c>
      <c r="AA2" s="159" t="s">
        <v>121</v>
      </c>
      <c r="AB2" s="159">
        <v>2013</v>
      </c>
    </row>
    <row r="3" spans="1:16384">
      <c r="A3" s="160" t="s">
        <v>122</v>
      </c>
      <c r="B3" s="160" t="s">
        <v>123</v>
      </c>
      <c r="C3" s="160" t="s">
        <v>34</v>
      </c>
      <c r="D3" s="160" t="s">
        <v>86</v>
      </c>
      <c r="E3" s="161">
        <v>3.6999510091501975</v>
      </c>
      <c r="F3" s="161">
        <v>3.3261334967420453</v>
      </c>
      <c r="G3" s="161">
        <v>2.2804255924325787</v>
      </c>
      <c r="H3" s="161">
        <v>2.3797929997670479</v>
      </c>
      <c r="I3" s="161">
        <v>2.1287895530368104</v>
      </c>
      <c r="J3" s="161">
        <v>2.085992155447002</v>
      </c>
      <c r="K3" s="161">
        <v>1.8263571495784561</v>
      </c>
      <c r="L3" s="161">
        <v>1.7109593625256281</v>
      </c>
      <c r="M3" s="161">
        <v>1.0847571589375207</v>
      </c>
      <c r="N3" s="161">
        <v>1.4281214843104664</v>
      </c>
      <c r="O3" s="161">
        <v>2.2722090656732092</v>
      </c>
      <c r="P3" s="161">
        <v>2.2911272880888873</v>
      </c>
      <c r="Q3" s="161">
        <v>1.5366495194064811</v>
      </c>
      <c r="R3" s="161">
        <v>1.9983866692040237</v>
      </c>
      <c r="S3" s="161">
        <v>2.7412331708923432</v>
      </c>
      <c r="T3" s="161">
        <v>3.2073946372354953</v>
      </c>
      <c r="U3" s="161">
        <v>3.0741277269069656</v>
      </c>
      <c r="V3" s="161">
        <v>2.6538813616040784</v>
      </c>
      <c r="W3" s="161">
        <v>1.9534818725774272</v>
      </c>
      <c r="X3" s="161">
        <v>0.76968540043304756</v>
      </c>
      <c r="Y3" s="161">
        <v>1.2104686252489358</v>
      </c>
      <c r="Z3" s="161">
        <v>1.9639198319509035</v>
      </c>
      <c r="AA3" s="162">
        <v>1.748285229977256</v>
      </c>
      <c r="AB3" s="162">
        <v>1.5141202710397863</v>
      </c>
    </row>
    <row r="6" spans="1:16384">
      <c r="A6" s="160" t="s">
        <v>122</v>
      </c>
      <c r="B6" s="160" t="s">
        <v>123</v>
      </c>
      <c r="C6" s="160" t="s">
        <v>71</v>
      </c>
      <c r="D6" s="160" t="s">
        <v>124</v>
      </c>
      <c r="E6" s="161" t="s">
        <v>125</v>
      </c>
      <c r="F6" s="161" t="s">
        <v>125</v>
      </c>
      <c r="G6" s="161" t="s">
        <v>125</v>
      </c>
      <c r="H6" s="161" t="s">
        <v>125</v>
      </c>
      <c r="I6" s="161" t="s">
        <v>125</v>
      </c>
      <c r="J6" s="161" t="s">
        <v>125</v>
      </c>
      <c r="K6" s="161" t="s">
        <v>125</v>
      </c>
      <c r="L6" s="161" t="s">
        <v>125</v>
      </c>
      <c r="M6" s="161" t="s">
        <v>125</v>
      </c>
      <c r="N6" s="161" t="s">
        <v>125</v>
      </c>
      <c r="O6" s="161" t="s">
        <v>125</v>
      </c>
      <c r="P6" s="161" t="s">
        <v>125</v>
      </c>
      <c r="Q6" s="161" t="s">
        <v>125</v>
      </c>
      <c r="R6" s="161">
        <v>11.715672362429501</v>
      </c>
      <c r="S6" s="161">
        <v>11.242729371024907</v>
      </c>
      <c r="T6" s="161">
        <v>10.90026800925223</v>
      </c>
      <c r="U6" s="161">
        <v>7.171260740042456</v>
      </c>
      <c r="V6" s="161">
        <v>22.382015777892022</v>
      </c>
      <c r="W6" s="161">
        <v>2.1791032740268435</v>
      </c>
      <c r="X6" s="161">
        <v>-2.1070825347712088</v>
      </c>
      <c r="Y6" s="161">
        <v>9.4377947590957803</v>
      </c>
      <c r="Z6" s="161">
        <v>10.561139279631277</v>
      </c>
      <c r="AA6" s="162">
        <v>8.3047608729492026</v>
      </c>
      <c r="AB6" s="162">
        <v>3.7689159220900308</v>
      </c>
    </row>
    <row r="7" spans="1:16384">
      <c r="A7" s="160" t="s">
        <v>122</v>
      </c>
      <c r="B7" s="160" t="s">
        <v>123</v>
      </c>
      <c r="C7" s="160" t="s">
        <v>126</v>
      </c>
      <c r="D7" s="160" t="s">
        <v>127</v>
      </c>
      <c r="E7" s="161">
        <v>-0.46870766187761603</v>
      </c>
      <c r="F7" s="161">
        <v>38.568342591357606</v>
      </c>
      <c r="G7" s="161">
        <v>249.68343674808096</v>
      </c>
      <c r="H7" s="161">
        <v>114.83564754710031</v>
      </c>
      <c r="I7" s="161">
        <v>38.416494838005917</v>
      </c>
      <c r="J7" s="161">
        <v>5.5733074377704526</v>
      </c>
      <c r="K7" s="161">
        <v>28.418483424989063</v>
      </c>
      <c r="L7" s="161">
        <v>13.943100767398391</v>
      </c>
      <c r="M7" s="161">
        <v>13.556008154534709</v>
      </c>
      <c r="N7" s="161">
        <v>4.4760685233933515</v>
      </c>
      <c r="O7" s="161">
        <v>4.3215111275102629</v>
      </c>
      <c r="P7" s="161">
        <v>3.4582809553593563</v>
      </c>
      <c r="Q7" s="161">
        <v>3.3001958718633233</v>
      </c>
      <c r="R7" s="161">
        <v>3.3834860703535412</v>
      </c>
      <c r="S7" s="161">
        <v>6.0077446710218112</v>
      </c>
      <c r="T7" s="161">
        <v>3.469252199656637</v>
      </c>
      <c r="U7" s="161">
        <v>1.9952412210968191</v>
      </c>
      <c r="V7" s="161">
        <v>1.9893035824091783</v>
      </c>
      <c r="W7" s="161">
        <v>3.6937271779909508</v>
      </c>
      <c r="X7" s="161">
        <v>2.4722095626980973</v>
      </c>
      <c r="Y7" s="161">
        <v>4.7019900912091117</v>
      </c>
      <c r="Z7" s="161">
        <v>1.8632165289853617</v>
      </c>
      <c r="AA7" s="162">
        <v>1.3628712300593975</v>
      </c>
      <c r="AB7" s="162">
        <v>0.78968101455218687</v>
      </c>
    </row>
    <row r="8" spans="1:16384">
      <c r="A8" s="160" t="s">
        <v>122</v>
      </c>
      <c r="B8" s="160" t="s">
        <v>123</v>
      </c>
      <c r="C8" s="160" t="s">
        <v>128</v>
      </c>
      <c r="D8" s="160" t="s">
        <v>129</v>
      </c>
      <c r="E8" s="161">
        <v>30.259598481874008</v>
      </c>
      <c r="F8" s="161">
        <v>53.788604227670163</v>
      </c>
      <c r="G8" s="161">
        <v>21.926114507899072</v>
      </c>
      <c r="H8" s="161">
        <v>13.624424663048245</v>
      </c>
      <c r="I8" s="161">
        <v>29.077647335932369</v>
      </c>
      <c r="J8" s="161">
        <v>28.577037501981664</v>
      </c>
      <c r="K8" s="161">
        <v>24.021904059532545</v>
      </c>
      <c r="L8" s="161">
        <v>7.0019630627749621</v>
      </c>
      <c r="M8" s="161">
        <v>-3.1310886946040455</v>
      </c>
      <c r="N8" s="161">
        <v>10.856407619392684</v>
      </c>
      <c r="O8" s="161">
        <v>24.598098845404493</v>
      </c>
      <c r="P8" s="161">
        <v>-2.0071938560710407</v>
      </c>
      <c r="Q8" s="161">
        <v>1.3204321730507331</v>
      </c>
      <c r="R8" s="161">
        <v>8.3307285139712803</v>
      </c>
      <c r="S8" s="161">
        <v>12.247624326687685</v>
      </c>
      <c r="T8" s="161">
        <v>16.125362225579806</v>
      </c>
      <c r="U8" s="161">
        <v>10.546695835623822</v>
      </c>
      <c r="V8" s="161">
        <v>6.3953443036346016</v>
      </c>
      <c r="W8" s="161">
        <v>15.76276917163915</v>
      </c>
      <c r="X8" s="161">
        <v>-11.161590965044866</v>
      </c>
      <c r="Y8" s="161">
        <v>16.119786936847774</v>
      </c>
      <c r="Z8" s="161">
        <v>17.785502974811777</v>
      </c>
      <c r="AA8" s="162">
        <v>5.6273442250515728</v>
      </c>
      <c r="AB8" s="162">
        <v>2.5270381440537051</v>
      </c>
    </row>
    <row r="9" spans="1:16384">
      <c r="A9" s="160" t="s">
        <v>122</v>
      </c>
      <c r="B9" s="160" t="s">
        <v>123</v>
      </c>
      <c r="C9" s="160" t="s">
        <v>130</v>
      </c>
      <c r="D9" s="160" t="s">
        <v>131</v>
      </c>
      <c r="E9" s="161" t="s">
        <v>125</v>
      </c>
      <c r="F9" s="161" t="s">
        <v>125</v>
      </c>
      <c r="G9" s="161" t="s">
        <v>125</v>
      </c>
      <c r="H9" s="161" t="s">
        <v>125</v>
      </c>
      <c r="I9" s="161" t="s">
        <v>125</v>
      </c>
      <c r="J9" s="161" t="s">
        <v>125</v>
      </c>
      <c r="K9" s="161" t="s">
        <v>125</v>
      </c>
      <c r="L9" s="161" t="s">
        <v>125</v>
      </c>
      <c r="M9" s="161" t="s">
        <v>125</v>
      </c>
      <c r="N9" s="161" t="s">
        <v>125</v>
      </c>
      <c r="O9" s="161" t="s">
        <v>125</v>
      </c>
      <c r="P9" s="161" t="s">
        <v>125</v>
      </c>
      <c r="Q9" s="161" t="s">
        <v>125</v>
      </c>
      <c r="R9" s="161" t="s">
        <v>125</v>
      </c>
      <c r="S9" s="161" t="s">
        <v>125</v>
      </c>
      <c r="T9" s="161" t="s">
        <v>125</v>
      </c>
      <c r="U9" s="161" t="s">
        <v>125</v>
      </c>
      <c r="V9" s="161" t="s">
        <v>125</v>
      </c>
      <c r="W9" s="161" t="s">
        <v>125</v>
      </c>
      <c r="X9" s="161" t="s">
        <v>125</v>
      </c>
      <c r="Y9" s="161" t="s">
        <v>125</v>
      </c>
      <c r="Z9" s="161" t="s">
        <v>125</v>
      </c>
      <c r="AA9" s="162" t="s">
        <v>125</v>
      </c>
      <c r="AB9" s="162" t="s">
        <v>125</v>
      </c>
    </row>
    <row r="10" spans="1:16384">
      <c r="A10" s="160" t="s">
        <v>122</v>
      </c>
      <c r="B10" s="160" t="s">
        <v>123</v>
      </c>
      <c r="C10" s="160" t="s">
        <v>132</v>
      </c>
      <c r="D10" s="160" t="s">
        <v>133</v>
      </c>
      <c r="E10" s="161">
        <v>7.3262512448464037</v>
      </c>
      <c r="F10" s="161">
        <v>6.9351393476203498</v>
      </c>
      <c r="G10" s="161">
        <v>6.7107713563414109</v>
      </c>
      <c r="H10" s="161">
        <v>4.5372410811195465</v>
      </c>
      <c r="I10" s="161">
        <v>3.8798420607297714</v>
      </c>
      <c r="J10" s="161">
        <v>4.9331298221693203</v>
      </c>
      <c r="K10" s="161">
        <v>0.79718277785968894</v>
      </c>
      <c r="L10" s="161">
        <v>2.2281514914388225</v>
      </c>
      <c r="M10" s="161">
        <v>1.4995616423843217</v>
      </c>
      <c r="N10" s="161">
        <v>2.7319769115482018</v>
      </c>
      <c r="O10" s="161">
        <v>4.5139798238310789</v>
      </c>
      <c r="P10" s="161">
        <v>2.7700000161202638</v>
      </c>
      <c r="Q10" s="161">
        <v>3.3999999436857564</v>
      </c>
      <c r="R10" s="161">
        <v>2.8800000300278157</v>
      </c>
      <c r="S10" s="161">
        <v>3.3499999885627574</v>
      </c>
      <c r="T10" s="161">
        <v>3.1000000395289931</v>
      </c>
      <c r="U10" s="161">
        <v>3.2000000150404873</v>
      </c>
      <c r="V10" s="161">
        <v>3.8699999634436892</v>
      </c>
      <c r="W10" s="161">
        <v>3.1850986979459464</v>
      </c>
      <c r="X10" s="161" t="s">
        <v>125</v>
      </c>
      <c r="Y10" s="161" t="s">
        <v>125</v>
      </c>
      <c r="Z10" s="161" t="s">
        <v>125</v>
      </c>
      <c r="AA10" s="162" t="s">
        <v>125</v>
      </c>
      <c r="AB10" s="162" t="s">
        <v>125</v>
      </c>
    </row>
    <row r="11" spans="1:16384">
      <c r="A11" s="160" t="s">
        <v>122</v>
      </c>
      <c r="B11" s="160" t="s">
        <v>123</v>
      </c>
      <c r="C11" s="160" t="s">
        <v>134</v>
      </c>
      <c r="D11" s="160" t="s">
        <v>135</v>
      </c>
      <c r="E11" s="161">
        <v>10.858623914000958</v>
      </c>
      <c r="F11" s="161">
        <v>165.39958083348733</v>
      </c>
      <c r="G11" s="161">
        <v>252.7404965478114</v>
      </c>
      <c r="H11" s="161">
        <v>1253.2805682258065</v>
      </c>
      <c r="I11" s="161">
        <v>2124.6072371193632</v>
      </c>
      <c r="J11" s="161">
        <v>1895.2064929872965</v>
      </c>
      <c r="K11" s="161">
        <v>5399.5261723894082</v>
      </c>
      <c r="L11" s="161">
        <v>94.319571001276159</v>
      </c>
      <c r="M11" s="161">
        <v>35.31682520629758</v>
      </c>
      <c r="N11" s="161">
        <v>556.93925685425313</v>
      </c>
      <c r="O11" s="161">
        <v>418.23295385405834</v>
      </c>
      <c r="P11" s="161">
        <v>106.32249242238677</v>
      </c>
      <c r="Q11" s="161">
        <v>142.47819078440602</v>
      </c>
      <c r="R11" s="161">
        <v>84.886474810724025</v>
      </c>
      <c r="S11" s="161">
        <v>39.792942438916896</v>
      </c>
      <c r="T11" s="161">
        <v>26.81629389225418</v>
      </c>
      <c r="U11" s="161">
        <v>13.041179687450594</v>
      </c>
      <c r="V11" s="161">
        <v>12.616432476532168</v>
      </c>
      <c r="W11" s="161">
        <v>19.681608967392023</v>
      </c>
      <c r="X11" s="161">
        <v>-7.4188384441516888</v>
      </c>
      <c r="Y11" s="161">
        <v>22.393923531058974</v>
      </c>
      <c r="Z11" s="161">
        <v>24.16717200790228</v>
      </c>
      <c r="AA11" s="162">
        <v>7.027647476635849</v>
      </c>
      <c r="AB11" s="162">
        <v>2.5111103390605081</v>
      </c>
    </row>
    <row r="12" spans="1:16384">
      <c r="A12" s="160" t="s">
        <v>122</v>
      </c>
      <c r="B12" s="160" t="s">
        <v>123</v>
      </c>
      <c r="C12" s="160" t="s">
        <v>136</v>
      </c>
      <c r="D12" s="160" t="s">
        <v>137</v>
      </c>
      <c r="E12" s="161">
        <v>2.2624687447806195</v>
      </c>
      <c r="F12" s="161">
        <v>2.7142021651677339</v>
      </c>
      <c r="G12" s="161">
        <v>2.3904148990730079</v>
      </c>
      <c r="H12" s="161">
        <v>2.2240746641766691</v>
      </c>
      <c r="I12" s="161">
        <v>3.0208389526843433</v>
      </c>
      <c r="J12" s="161">
        <v>3.1268992486060796</v>
      </c>
      <c r="K12" s="161">
        <v>2.5750158303670503</v>
      </c>
      <c r="L12" s="161">
        <v>2.1747108639760313</v>
      </c>
      <c r="M12" s="161">
        <v>2.4160861410751835</v>
      </c>
      <c r="N12" s="161">
        <v>0.96955078365883196</v>
      </c>
      <c r="O12" s="161">
        <v>14.975685874949491</v>
      </c>
      <c r="P12" s="161">
        <v>1.9910953704091838</v>
      </c>
      <c r="Q12" s="161">
        <v>0.70700550742448343</v>
      </c>
      <c r="R12" s="161">
        <v>-1.2067408128065438</v>
      </c>
      <c r="S12" s="161">
        <v>1.5892508108786672</v>
      </c>
      <c r="T12" s="161">
        <v>4.3219409159888329</v>
      </c>
      <c r="U12" s="161">
        <v>0.33413296327506714</v>
      </c>
      <c r="V12" s="161">
        <v>3.7246722288438718</v>
      </c>
      <c r="W12" s="161">
        <v>4.447952716687638</v>
      </c>
      <c r="X12" s="161">
        <v>1.7712865364952819</v>
      </c>
      <c r="Y12" s="161">
        <v>1.4138878792622478</v>
      </c>
      <c r="Z12" s="161">
        <v>1.2813743347872588</v>
      </c>
      <c r="AA12" s="162">
        <v>2.551327229972685</v>
      </c>
      <c r="AB12" s="162">
        <v>2.3450641306877174</v>
      </c>
    </row>
    <row r="13" spans="1:16384">
      <c r="A13" s="160" t="s">
        <v>122</v>
      </c>
      <c r="B13" s="160" t="s">
        <v>123</v>
      </c>
      <c r="C13" s="160" t="s">
        <v>138</v>
      </c>
      <c r="D13" s="160" t="s">
        <v>139</v>
      </c>
      <c r="E13" s="161">
        <v>2076.7934732221297</v>
      </c>
      <c r="F13" s="161">
        <v>132.95322814277336</v>
      </c>
      <c r="G13" s="161">
        <v>11.920760241953161</v>
      </c>
      <c r="H13" s="161">
        <v>-1.466659949207326</v>
      </c>
      <c r="I13" s="161">
        <v>24.587523863212397</v>
      </c>
      <c r="J13" s="161">
        <v>3.1651235627479792</v>
      </c>
      <c r="K13" s="161">
        <v>-5.2376507180213139E-2</v>
      </c>
      <c r="L13" s="161">
        <v>-0.46391279315203349</v>
      </c>
      <c r="M13" s="161">
        <v>-1.7052791644727563</v>
      </c>
      <c r="N13" s="161">
        <v>-1.8365582397607199</v>
      </c>
      <c r="O13" s="161">
        <v>1.0372869441830375</v>
      </c>
      <c r="P13" s="161">
        <v>-1.0957672074151077</v>
      </c>
      <c r="Q13" s="161">
        <v>30.555203469182516</v>
      </c>
      <c r="R13" s="161">
        <v>10.495702197699003</v>
      </c>
      <c r="S13" s="161">
        <v>7.9257363527380278</v>
      </c>
      <c r="T13" s="161">
        <v>10.620155545216562</v>
      </c>
      <c r="U13" s="161">
        <v>15.283849676645687</v>
      </c>
      <c r="V13" s="161">
        <v>17.638259958654217</v>
      </c>
      <c r="W13" s="161">
        <v>21.213722697868704</v>
      </c>
      <c r="X13" s="161">
        <v>9.8845046083779806</v>
      </c>
      <c r="Y13" s="161">
        <v>17.513685289707809</v>
      </c>
      <c r="Z13" s="161">
        <v>17.204582790664773</v>
      </c>
      <c r="AA13" s="162">
        <v>18.05514096714829</v>
      </c>
      <c r="AB13" s="162">
        <v>18.54369772598541</v>
      </c>
    </row>
    <row r="14" spans="1:16384">
      <c r="A14" s="160" t="s">
        <v>122</v>
      </c>
      <c r="B14" s="160" t="s">
        <v>123</v>
      </c>
      <c r="C14" s="160" t="s">
        <v>140</v>
      </c>
      <c r="D14" s="160" t="s">
        <v>141</v>
      </c>
      <c r="E14" s="161" t="s">
        <v>125</v>
      </c>
      <c r="F14" s="161">
        <v>79.386104295597079</v>
      </c>
      <c r="G14" s="161">
        <v>568.80732996952133</v>
      </c>
      <c r="H14" s="161">
        <v>1391.1664605647893</v>
      </c>
      <c r="I14" s="161">
        <v>4107.2967860975159</v>
      </c>
      <c r="J14" s="161">
        <v>161.16391756269445</v>
      </c>
      <c r="K14" s="161">
        <v>19.591770303754785</v>
      </c>
      <c r="L14" s="161">
        <v>17.735994507459992</v>
      </c>
      <c r="M14" s="161">
        <v>10.698497748079674</v>
      </c>
      <c r="N14" s="161">
        <v>5.3804078495574004E-2</v>
      </c>
      <c r="O14" s="161">
        <v>-1.3736759973722883</v>
      </c>
      <c r="P14" s="161">
        <v>4.0691399397479557</v>
      </c>
      <c r="Q14" s="161">
        <v>2.3697878125225316</v>
      </c>
      <c r="R14" s="161">
        <v>4.5610983976886956</v>
      </c>
      <c r="S14" s="161">
        <v>6.3095327165958395</v>
      </c>
      <c r="T14" s="161">
        <v>3.2398362509917717</v>
      </c>
      <c r="U14" s="161">
        <v>4.6198576672921376</v>
      </c>
      <c r="V14" s="161">
        <v>4.2327703824993819</v>
      </c>
      <c r="W14" s="161">
        <v>5.9895623611132294</v>
      </c>
      <c r="X14" s="161">
        <v>2.5569350520500365</v>
      </c>
      <c r="Y14" s="161">
        <v>7.7687154809033672</v>
      </c>
      <c r="Z14" s="161">
        <v>4.281549996940754</v>
      </c>
      <c r="AA14" s="162">
        <v>-1.2157085839251351</v>
      </c>
      <c r="AB14" s="162">
        <v>3.1913884471391043</v>
      </c>
    </row>
    <row r="15" spans="1:16384">
      <c r="A15" s="160" t="s">
        <v>122</v>
      </c>
      <c r="B15" s="160" t="s">
        <v>123</v>
      </c>
      <c r="C15" s="160" t="s">
        <v>142</v>
      </c>
      <c r="D15" s="160" t="s">
        <v>143</v>
      </c>
      <c r="E15" s="161" t="s">
        <v>125</v>
      </c>
      <c r="F15" s="161" t="s">
        <v>125</v>
      </c>
      <c r="G15" s="161" t="s">
        <v>125</v>
      </c>
      <c r="H15" s="161" t="s">
        <v>125</v>
      </c>
      <c r="I15" s="161" t="s">
        <v>125</v>
      </c>
      <c r="J15" s="161">
        <v>-1.9349794751094862</v>
      </c>
      <c r="K15" s="161">
        <v>-3.0891097934463261</v>
      </c>
      <c r="L15" s="161">
        <v>4.0739303863051504</v>
      </c>
      <c r="M15" s="161">
        <v>7.4754938198592384</v>
      </c>
      <c r="N15" s="161">
        <v>-1.0192115219251292</v>
      </c>
      <c r="O15" s="161">
        <v>9.1427411400771774</v>
      </c>
      <c r="P15" s="161">
        <v>4.7662207941747425</v>
      </c>
      <c r="Q15" s="161">
        <v>0.61671321824381664</v>
      </c>
      <c r="R15" s="161">
        <v>-3.1505347955627343</v>
      </c>
      <c r="S15" s="161">
        <v>8.9577248381238661</v>
      </c>
      <c r="T15" s="161">
        <v>4.2136962877697073</v>
      </c>
      <c r="U15" s="161">
        <v>1.4908946307051991</v>
      </c>
      <c r="V15" s="161">
        <v>12.462489021823757</v>
      </c>
      <c r="W15" s="161">
        <v>14.275706447256084</v>
      </c>
      <c r="X15" s="161">
        <v>-5.1320555931238943</v>
      </c>
      <c r="Y15" s="161" t="s">
        <v>125</v>
      </c>
      <c r="Z15" s="161" t="s">
        <v>125</v>
      </c>
      <c r="AA15" s="162" t="s">
        <v>125</v>
      </c>
      <c r="AB15" s="162" t="s">
        <v>125</v>
      </c>
    </row>
    <row r="16" spans="1:16384">
      <c r="A16" s="160" t="s">
        <v>122</v>
      </c>
      <c r="B16" s="160" t="s">
        <v>123</v>
      </c>
      <c r="C16" s="160" t="s">
        <v>144</v>
      </c>
      <c r="D16" s="160" t="s">
        <v>145</v>
      </c>
      <c r="E16" s="161">
        <v>5.147837565237225</v>
      </c>
      <c r="F16" s="161">
        <v>2.6393886953269572</v>
      </c>
      <c r="G16" s="161">
        <v>1.6730755742125183</v>
      </c>
      <c r="H16" s="161">
        <v>0.76884958375916312</v>
      </c>
      <c r="I16" s="161">
        <v>1.0250911126179716</v>
      </c>
      <c r="J16" s="161">
        <v>2.4482731145248948</v>
      </c>
      <c r="K16" s="161">
        <v>2.6763353261419098</v>
      </c>
      <c r="L16" s="161">
        <v>1.2251341598130523</v>
      </c>
      <c r="M16" s="161">
        <v>1.2784560932337143</v>
      </c>
      <c r="N16" s="161">
        <v>0.33458500752419695</v>
      </c>
      <c r="O16" s="161">
        <v>2.5635191379596307</v>
      </c>
      <c r="P16" s="161">
        <v>4.7047497565897203</v>
      </c>
      <c r="Q16" s="161">
        <v>2.8655882235773618</v>
      </c>
      <c r="R16" s="161">
        <v>3.1134022166817488</v>
      </c>
      <c r="S16" s="161">
        <v>3.2835446012571197</v>
      </c>
      <c r="T16" s="161">
        <v>3.7079639376073317</v>
      </c>
      <c r="U16" s="161">
        <v>5.0586324607315447</v>
      </c>
      <c r="V16" s="161">
        <v>4.9825596801972551</v>
      </c>
      <c r="W16" s="161">
        <v>4.5384531799507783</v>
      </c>
      <c r="X16" s="161">
        <v>4.9317298930439506</v>
      </c>
      <c r="Y16" s="161">
        <v>1.0102777923373338</v>
      </c>
      <c r="Z16" s="161">
        <v>6.1356204771717131</v>
      </c>
      <c r="AA16" s="162">
        <v>1.958880221459026</v>
      </c>
      <c r="AB16" s="162">
        <v>-0.29103246388477544</v>
      </c>
    </row>
    <row r="17" spans="1:28">
      <c r="A17" s="160" t="s">
        <v>122</v>
      </c>
      <c r="B17" s="160" t="s">
        <v>123</v>
      </c>
      <c r="C17" s="160" t="s">
        <v>146</v>
      </c>
      <c r="D17" s="160" t="s">
        <v>147</v>
      </c>
      <c r="E17" s="161">
        <v>2.9996804361724259</v>
      </c>
      <c r="F17" s="161">
        <v>3.6418715150202416</v>
      </c>
      <c r="G17" s="161">
        <v>3.4790930928103165</v>
      </c>
      <c r="H17" s="161">
        <v>2.7570846199318453</v>
      </c>
      <c r="I17" s="161">
        <v>2.5249429002436159</v>
      </c>
      <c r="J17" s="161">
        <v>1.813918041966474</v>
      </c>
      <c r="K17" s="161">
        <v>0.81197607424934404</v>
      </c>
      <c r="L17" s="161">
        <v>-0.22090192566774647</v>
      </c>
      <c r="M17" s="161">
        <v>0.32032606044923284</v>
      </c>
      <c r="N17" s="161">
        <v>0.28342108754588935</v>
      </c>
      <c r="O17" s="161">
        <v>0.91921701823704893</v>
      </c>
      <c r="P17" s="161">
        <v>1.873800687288778</v>
      </c>
      <c r="Q17" s="161">
        <v>1.2396270195687293</v>
      </c>
      <c r="R17" s="161">
        <v>1.1496102484900348</v>
      </c>
      <c r="S17" s="161">
        <v>1.6832949771499131</v>
      </c>
      <c r="T17" s="161">
        <v>2.0391816348538612</v>
      </c>
      <c r="U17" s="161">
        <v>1.8844718339182691</v>
      </c>
      <c r="V17" s="161">
        <v>2.0048146370898792</v>
      </c>
      <c r="W17" s="161">
        <v>1.7228741647138008</v>
      </c>
      <c r="X17" s="161">
        <v>1.5775651902245897</v>
      </c>
      <c r="Y17" s="161">
        <v>1.4407854949318732</v>
      </c>
      <c r="Z17" s="161">
        <v>2.0435017189860361</v>
      </c>
      <c r="AA17" s="162">
        <v>1.7089736614401545</v>
      </c>
      <c r="AB17" s="162">
        <v>1.6170557650611528</v>
      </c>
    </row>
    <row r="18" spans="1:28">
      <c r="A18" s="160" t="s">
        <v>122</v>
      </c>
      <c r="B18" s="160" t="s">
        <v>123</v>
      </c>
      <c r="C18" s="160" t="s">
        <v>148</v>
      </c>
      <c r="D18" s="160" t="s">
        <v>149</v>
      </c>
      <c r="E18" s="161" t="s">
        <v>125</v>
      </c>
      <c r="F18" s="161">
        <v>83.549512343567272</v>
      </c>
      <c r="G18" s="161">
        <v>1065.3292252703889</v>
      </c>
      <c r="H18" s="161">
        <v>747.56698144897007</v>
      </c>
      <c r="I18" s="161">
        <v>1385.2020320850609</v>
      </c>
      <c r="J18" s="161">
        <v>545.69530385799453</v>
      </c>
      <c r="K18" s="161">
        <v>26.421012728243326</v>
      </c>
      <c r="L18" s="161">
        <v>9.2402137470584762</v>
      </c>
      <c r="M18" s="161">
        <v>-0.96393088528046178</v>
      </c>
      <c r="N18" s="161">
        <v>2.161007813682005</v>
      </c>
      <c r="O18" s="161">
        <v>12.493368921112918</v>
      </c>
      <c r="P18" s="161">
        <v>2.5150101002047904</v>
      </c>
      <c r="Q18" s="161">
        <v>3.1193183882521396</v>
      </c>
      <c r="R18" s="161">
        <v>6.0086142393743387</v>
      </c>
      <c r="S18" s="161">
        <v>8.3151766827593434</v>
      </c>
      <c r="T18" s="161">
        <v>16.139422285740238</v>
      </c>
      <c r="U18" s="161">
        <v>11.301397261880595</v>
      </c>
      <c r="V18" s="161">
        <v>20.981710094371664</v>
      </c>
      <c r="W18" s="161">
        <v>27.761953288347868</v>
      </c>
      <c r="X18" s="161">
        <v>-18.929731408310971</v>
      </c>
      <c r="Y18" s="161">
        <v>13.756552796474026</v>
      </c>
      <c r="Z18" s="161">
        <v>22.566086787892587</v>
      </c>
      <c r="AA18" s="162">
        <v>1.4413444522342331</v>
      </c>
      <c r="AB18" s="162">
        <v>1.0210665722341332</v>
      </c>
    </row>
    <row r="19" spans="1:28">
      <c r="A19" s="160" t="s">
        <v>122</v>
      </c>
      <c r="B19" s="160" t="s">
        <v>123</v>
      </c>
      <c r="C19" s="160" t="s">
        <v>150</v>
      </c>
      <c r="D19" s="160" t="s">
        <v>151</v>
      </c>
      <c r="E19" s="161">
        <v>5.0737112247939677</v>
      </c>
      <c r="F19" s="161">
        <v>2.5565382185724275</v>
      </c>
      <c r="G19" s="161">
        <v>3.9055659160334102</v>
      </c>
      <c r="H19" s="161">
        <v>-0.85198360641230408</v>
      </c>
      <c r="I19" s="161">
        <v>2.1833662322262342</v>
      </c>
      <c r="J19" s="161">
        <v>0.80243635876331609</v>
      </c>
      <c r="K19" s="161">
        <v>0.98424378564369874</v>
      </c>
      <c r="L19" s="161">
        <v>34.687615956094362</v>
      </c>
      <c r="M19" s="161">
        <v>3.0493128177925684</v>
      </c>
      <c r="N19" s="161">
        <v>4.9509405063141116</v>
      </c>
      <c r="O19" s="161">
        <v>0.92183066446843043</v>
      </c>
      <c r="P19" s="161">
        <v>0.35359062214183723</v>
      </c>
      <c r="Q19" s="161">
        <v>3.9608188388627639</v>
      </c>
      <c r="R19" s="161">
        <v>1.1546133483889065</v>
      </c>
      <c r="S19" s="161">
        <v>1.1944872447938337</v>
      </c>
      <c r="T19" s="161">
        <v>5.056827497721855</v>
      </c>
      <c r="U19" s="161">
        <v>0.82796732302807641</v>
      </c>
      <c r="V19" s="161">
        <v>2.9475255704501109</v>
      </c>
      <c r="W19" s="161">
        <v>1.4888899025596913</v>
      </c>
      <c r="X19" s="161">
        <v>-1.0365421207707612</v>
      </c>
      <c r="Y19" s="161">
        <v>-0.12152524003541032</v>
      </c>
      <c r="Z19" s="161">
        <v>-1.8256277410191331</v>
      </c>
      <c r="AA19" s="162">
        <v>1.64879199807595</v>
      </c>
      <c r="AB19" s="162" t="s">
        <v>125</v>
      </c>
    </row>
    <row r="20" spans="1:28">
      <c r="A20" s="160" t="s">
        <v>122</v>
      </c>
      <c r="B20" s="160" t="s">
        <v>123</v>
      </c>
      <c r="C20" s="160" t="s">
        <v>152</v>
      </c>
      <c r="D20" s="160" t="s">
        <v>153</v>
      </c>
      <c r="E20" s="161">
        <v>4.826693103224116</v>
      </c>
      <c r="F20" s="161">
        <v>-1.8825275034596132</v>
      </c>
      <c r="G20" s="161">
        <v>-3.532648805545648</v>
      </c>
      <c r="H20" s="161">
        <v>-3.0258169763638421</v>
      </c>
      <c r="I20" s="161">
        <v>7.3311888756207821</v>
      </c>
      <c r="J20" s="161">
        <v>1.0906712042785927</v>
      </c>
      <c r="K20" s="161">
        <v>0.19672116781120508</v>
      </c>
      <c r="L20" s="161">
        <v>0.93171529205355341</v>
      </c>
      <c r="M20" s="161">
        <v>-7.0574087552076179</v>
      </c>
      <c r="N20" s="161">
        <v>2.6564306838556888</v>
      </c>
      <c r="O20" s="161">
        <v>29.991485720425857</v>
      </c>
      <c r="P20" s="161">
        <v>-3.3638766925138555</v>
      </c>
      <c r="Q20" s="161">
        <v>3.5646422755148137</v>
      </c>
      <c r="R20" s="161">
        <v>8.4449434931086245</v>
      </c>
      <c r="S20" s="161">
        <v>10.991077928675423</v>
      </c>
      <c r="T20" s="161">
        <v>13.734990963759785</v>
      </c>
      <c r="U20" s="161">
        <v>8.8423561520348386</v>
      </c>
      <c r="V20" s="161">
        <v>8.4356733055349196</v>
      </c>
      <c r="W20" s="161">
        <v>11.373776483705186</v>
      </c>
      <c r="X20" s="161">
        <v>-12.998702897994178</v>
      </c>
      <c r="Y20" s="161">
        <v>7.438587789420481</v>
      </c>
      <c r="Z20" s="161">
        <v>10.630340083518462</v>
      </c>
      <c r="AA20" s="162">
        <v>1.1006974865470909</v>
      </c>
      <c r="AB20" s="162">
        <v>2.369417142172054</v>
      </c>
    </row>
    <row r="21" spans="1:28">
      <c r="A21" s="160" t="s">
        <v>122</v>
      </c>
      <c r="B21" s="160" t="s">
        <v>123</v>
      </c>
      <c r="C21" s="160" t="s">
        <v>154</v>
      </c>
      <c r="D21" s="160" t="s">
        <v>155</v>
      </c>
      <c r="E21" s="161">
        <v>6.3355971849366597</v>
      </c>
      <c r="F21" s="161">
        <v>6.5962351709092388</v>
      </c>
      <c r="G21" s="161">
        <v>2.9763697664636908</v>
      </c>
      <c r="H21" s="161">
        <v>0.28696994316483426</v>
      </c>
      <c r="I21" s="161">
        <v>3.7718272470472556</v>
      </c>
      <c r="J21" s="161">
        <v>7.3453321952790702</v>
      </c>
      <c r="K21" s="161">
        <v>4.2345036162364806</v>
      </c>
      <c r="L21" s="161">
        <v>3.0900971741629064</v>
      </c>
      <c r="M21" s="161">
        <v>5.2743663086716595</v>
      </c>
      <c r="N21" s="161">
        <v>4.6557306802337877</v>
      </c>
      <c r="O21" s="161">
        <v>1.8596608695415853</v>
      </c>
      <c r="P21" s="161">
        <v>1.5853946148010039</v>
      </c>
      <c r="Q21" s="161">
        <v>3.1953751366212941</v>
      </c>
      <c r="R21" s="161">
        <v>4.5276295975754692</v>
      </c>
      <c r="S21" s="161">
        <v>4.2404287646959631</v>
      </c>
      <c r="T21" s="161">
        <v>5.0747149151710147</v>
      </c>
      <c r="U21" s="161">
        <v>5.1723735136527154</v>
      </c>
      <c r="V21" s="161">
        <v>6.78645029797174</v>
      </c>
      <c r="W21" s="161">
        <v>8.7891012264964132</v>
      </c>
      <c r="X21" s="161">
        <v>6.5209543261760246</v>
      </c>
      <c r="Y21" s="161">
        <v>6.4736226975529547</v>
      </c>
      <c r="Z21" s="161">
        <v>7.5319114471253101</v>
      </c>
      <c r="AA21" s="162">
        <v>8.4801146752069059</v>
      </c>
      <c r="AB21" s="162">
        <v>6.6233843474947918</v>
      </c>
    </row>
    <row r="22" spans="1:28">
      <c r="A22" s="160" t="s">
        <v>122</v>
      </c>
      <c r="B22" s="160" t="s">
        <v>123</v>
      </c>
      <c r="C22" s="160" t="s">
        <v>156</v>
      </c>
      <c r="D22" s="160" t="s">
        <v>157</v>
      </c>
      <c r="E22" s="161">
        <v>24.740742453974079</v>
      </c>
      <c r="F22" s="161">
        <v>2.1742884713192154</v>
      </c>
      <c r="G22" s="161">
        <v>1.7176882139856389</v>
      </c>
      <c r="H22" s="161">
        <v>4.4446092181882335</v>
      </c>
      <c r="I22" s="161">
        <v>1.1174457465644423</v>
      </c>
      <c r="J22" s="161">
        <v>3.6007714545720546</v>
      </c>
      <c r="K22" s="161">
        <v>4.7067635856464989</v>
      </c>
      <c r="L22" s="161">
        <v>-0.65504453559961462</v>
      </c>
      <c r="M22" s="161">
        <v>8.3012609764029577</v>
      </c>
      <c r="N22" s="161">
        <v>2.137951925262513</v>
      </c>
      <c r="O22" s="161">
        <v>0.67065957579910673</v>
      </c>
      <c r="P22" s="161">
        <v>2.3817191825662292</v>
      </c>
      <c r="Q22" s="161">
        <v>1.1271126302232943</v>
      </c>
      <c r="R22" s="161">
        <v>1.2404814999019749</v>
      </c>
      <c r="S22" s="161">
        <v>5.7748824030681618</v>
      </c>
      <c r="T22" s="161">
        <v>6.6171789293096026</v>
      </c>
      <c r="U22" s="161">
        <v>4.8736435980206778</v>
      </c>
      <c r="V22" s="161">
        <v>2.8980939312005916</v>
      </c>
      <c r="W22" s="161">
        <v>0.28292564047359292</v>
      </c>
      <c r="X22" s="161">
        <v>5.4921939868986698</v>
      </c>
      <c r="Y22" s="161">
        <v>-3.7050470152413482</v>
      </c>
      <c r="Z22" s="161">
        <v>-2.2033191122438467</v>
      </c>
      <c r="AA22" s="162">
        <v>-3.3061550404981688</v>
      </c>
      <c r="AB22" s="162" t="s">
        <v>125</v>
      </c>
    </row>
    <row r="23" spans="1:28">
      <c r="A23" s="160" t="s">
        <v>122</v>
      </c>
      <c r="B23" s="160" t="s">
        <v>123</v>
      </c>
      <c r="C23" s="160" t="s">
        <v>158</v>
      </c>
      <c r="D23" s="160" t="s">
        <v>159</v>
      </c>
      <c r="E23" s="161" t="s">
        <v>125</v>
      </c>
      <c r="F23" s="161">
        <v>103.59790932295931</v>
      </c>
      <c r="G23" s="161">
        <v>1074.1412068317409</v>
      </c>
      <c r="H23" s="161">
        <v>1053.4490387924682</v>
      </c>
      <c r="I23" s="161">
        <v>1945.1071100884417</v>
      </c>
      <c r="J23" s="161">
        <v>661.49300414925824</v>
      </c>
      <c r="K23" s="161">
        <v>53.715000981940193</v>
      </c>
      <c r="L23" s="161">
        <v>71.649450984319714</v>
      </c>
      <c r="M23" s="161">
        <v>76.580409364150512</v>
      </c>
      <c r="N23" s="161">
        <v>316.79333108853137</v>
      </c>
      <c r="O23" s="161">
        <v>185.29079825531204</v>
      </c>
      <c r="P23" s="161">
        <v>79.534572521797315</v>
      </c>
      <c r="Q23" s="161">
        <v>44.893739095270064</v>
      </c>
      <c r="R23" s="161">
        <v>30.685321361102012</v>
      </c>
      <c r="S23" s="161">
        <v>22.675122647451971</v>
      </c>
      <c r="T23" s="161">
        <v>18.927696310745674</v>
      </c>
      <c r="U23" s="161">
        <v>10.750637465506657</v>
      </c>
      <c r="V23" s="161">
        <v>12.823553280187767</v>
      </c>
      <c r="W23" s="161">
        <v>21.160491095418593</v>
      </c>
      <c r="X23" s="161">
        <v>5.7222859029108832</v>
      </c>
      <c r="Y23" s="161">
        <v>11.071485731149394</v>
      </c>
      <c r="Z23" s="161">
        <v>71.179528774473681</v>
      </c>
      <c r="AA23" s="162">
        <v>75.438580626192987</v>
      </c>
      <c r="AB23" s="162">
        <v>19.00289711691407</v>
      </c>
    </row>
    <row r="24" spans="1:28">
      <c r="A24" s="160" t="s">
        <v>122</v>
      </c>
      <c r="B24" s="160" t="s">
        <v>123</v>
      </c>
      <c r="C24" s="160" t="s">
        <v>160</v>
      </c>
      <c r="D24" s="160" t="s">
        <v>161</v>
      </c>
      <c r="E24" s="161">
        <v>2.8124032043117921</v>
      </c>
      <c r="F24" s="161">
        <v>2.8766245557679326</v>
      </c>
      <c r="G24" s="161">
        <v>3.4245245481250066</v>
      </c>
      <c r="H24" s="161">
        <v>3.9932318417181421</v>
      </c>
      <c r="I24" s="161">
        <v>2.0943050739853533</v>
      </c>
      <c r="J24" s="161">
        <v>1.2207694391571806</v>
      </c>
      <c r="K24" s="161">
        <v>0.37235765138238719</v>
      </c>
      <c r="L24" s="161">
        <v>0.87104965490287611</v>
      </c>
      <c r="M24" s="161">
        <v>1.8702951621737895</v>
      </c>
      <c r="N24" s="161">
        <v>0.31387861380838444</v>
      </c>
      <c r="O24" s="161">
        <v>1.9787054953878993</v>
      </c>
      <c r="P24" s="161">
        <v>2.0505636539110981</v>
      </c>
      <c r="Q24" s="161">
        <v>2.0067862364157492</v>
      </c>
      <c r="R24" s="161">
        <v>1.982991679530997</v>
      </c>
      <c r="S24" s="161">
        <v>2.1345637064692937</v>
      </c>
      <c r="T24" s="161">
        <v>2.3777127894299923</v>
      </c>
      <c r="U24" s="161">
        <v>2.3441938538508538</v>
      </c>
      <c r="V24" s="161">
        <v>2.3759050101456438</v>
      </c>
      <c r="W24" s="161">
        <v>2.1383591736117609</v>
      </c>
      <c r="X24" s="161">
        <v>1.1864465575327046</v>
      </c>
      <c r="Y24" s="161">
        <v>2.0530829356104334</v>
      </c>
      <c r="Z24" s="161">
        <v>1.9958346332539207</v>
      </c>
      <c r="AA24" s="162">
        <v>1.932323914440758</v>
      </c>
      <c r="AB24" s="162">
        <v>1.6200574363622167</v>
      </c>
    </row>
    <row r="25" spans="1:28">
      <c r="A25" s="160" t="s">
        <v>122</v>
      </c>
      <c r="B25" s="160" t="s">
        <v>123</v>
      </c>
      <c r="C25" s="160" t="s">
        <v>162</v>
      </c>
      <c r="D25" s="160" t="s">
        <v>163</v>
      </c>
      <c r="E25" s="161">
        <v>2.813281688441549</v>
      </c>
      <c r="F25" s="161">
        <v>-2.56071324572207</v>
      </c>
      <c r="G25" s="161">
        <v>3.9934962097164544</v>
      </c>
      <c r="H25" s="161">
        <v>1.651519835617691</v>
      </c>
      <c r="I25" s="161">
        <v>3.5881050346233678</v>
      </c>
      <c r="J25" s="161">
        <v>6.0789813302498175</v>
      </c>
      <c r="K25" s="161">
        <v>1.968710124430558</v>
      </c>
      <c r="L25" s="161">
        <v>-1.4770146351982589</v>
      </c>
      <c r="M25" s="161">
        <v>1.5030976384079935</v>
      </c>
      <c r="N25" s="161">
        <v>-2.235249030264356</v>
      </c>
      <c r="O25" s="161">
        <v>0.43700258036678008</v>
      </c>
      <c r="P25" s="161">
        <v>-0.1862718842926796</v>
      </c>
      <c r="Q25" s="161">
        <v>1.7687457765536578</v>
      </c>
      <c r="R25" s="161">
        <v>-2.8771608966916631</v>
      </c>
      <c r="S25" s="161">
        <v>2.0714007974800097</v>
      </c>
      <c r="T25" s="161">
        <v>2.2875470216986002</v>
      </c>
      <c r="U25" s="161">
        <v>4.3642884509312836</v>
      </c>
      <c r="V25" s="161">
        <v>4.7484166121879383</v>
      </c>
      <c r="W25" s="161">
        <v>2.156575322278556</v>
      </c>
      <c r="X25" s="161">
        <v>-2.5499769159212207</v>
      </c>
      <c r="Y25" s="161">
        <v>0.60822354488809083</v>
      </c>
      <c r="Z25" s="161">
        <v>5.0736255944188429</v>
      </c>
      <c r="AA25" s="162">
        <v>1.5288662428233977</v>
      </c>
      <c r="AB25" s="162">
        <v>1.3374335887237834</v>
      </c>
    </row>
    <row r="26" spans="1:28">
      <c r="A26" s="160" t="s">
        <v>122</v>
      </c>
      <c r="B26" s="160" t="s">
        <v>123</v>
      </c>
      <c r="C26" s="160" t="s">
        <v>164</v>
      </c>
      <c r="D26" s="160" t="s">
        <v>165</v>
      </c>
      <c r="E26" s="161">
        <v>2.1765969309778654</v>
      </c>
      <c r="F26" s="161">
        <v>0.75662013806501704</v>
      </c>
      <c r="G26" s="161">
        <v>3.0251344904714585</v>
      </c>
      <c r="H26" s="161">
        <v>2.3783218084938227</v>
      </c>
      <c r="I26" s="161">
        <v>35.030112779559261</v>
      </c>
      <c r="J26" s="161">
        <v>15.099451914655887</v>
      </c>
      <c r="K26" s="161">
        <v>6.9072936644849676</v>
      </c>
      <c r="L26" s="161">
        <v>3.6675091805045099</v>
      </c>
      <c r="M26" s="161">
        <v>5.2316047413667519</v>
      </c>
      <c r="N26" s="161">
        <v>0.43636213062652018</v>
      </c>
      <c r="O26" s="161">
        <v>4.5260527241879629</v>
      </c>
      <c r="P26" s="161">
        <v>2.6600424628200727</v>
      </c>
      <c r="Q26" s="161">
        <v>2.2919259032419035</v>
      </c>
      <c r="R26" s="161">
        <v>1.7011313662645335</v>
      </c>
      <c r="S26" s="161">
        <v>0.37749951835684215</v>
      </c>
      <c r="T26" s="161">
        <v>4.4239215872529343</v>
      </c>
      <c r="U26" s="161">
        <v>3.1563456636679774</v>
      </c>
      <c r="V26" s="161">
        <v>2.5217255166418227</v>
      </c>
      <c r="W26" s="161">
        <v>7.185279214230647</v>
      </c>
      <c r="X26" s="161">
        <v>1.956107379609449</v>
      </c>
      <c r="Y26" s="161">
        <v>1.864187900647778</v>
      </c>
      <c r="Z26" s="161">
        <v>2.3580149709059697</v>
      </c>
      <c r="AA26" s="162">
        <v>6.143854909566187</v>
      </c>
      <c r="AB26" s="162">
        <v>0.91829511984052203</v>
      </c>
    </row>
    <row r="27" spans="1:28">
      <c r="A27" s="160" t="s">
        <v>122</v>
      </c>
      <c r="B27" s="160" t="s">
        <v>123</v>
      </c>
      <c r="C27" s="160" t="s">
        <v>166</v>
      </c>
      <c r="D27" s="160" t="s">
        <v>167</v>
      </c>
      <c r="E27" s="161">
        <v>6.033572310089113</v>
      </c>
      <c r="F27" s="161">
        <v>6.4305905236251562</v>
      </c>
      <c r="G27" s="161">
        <v>2.81388398355395</v>
      </c>
      <c r="H27" s="161">
        <v>5.1963043386832624</v>
      </c>
      <c r="I27" s="161">
        <v>1.9595642022601396</v>
      </c>
      <c r="J27" s="161">
        <v>4.1784635341389134</v>
      </c>
      <c r="K27" s="161">
        <v>29.364699885581359</v>
      </c>
      <c r="L27" s="161">
        <v>4.0239039396044802</v>
      </c>
      <c r="M27" s="161">
        <v>2.7415511996353246</v>
      </c>
      <c r="N27" s="161">
        <v>2.7121495195929981</v>
      </c>
      <c r="O27" s="161">
        <v>-4.2363554164638373</v>
      </c>
      <c r="P27" s="161">
        <v>-1.3691961746387733</v>
      </c>
      <c r="Q27" s="161">
        <v>8.5804420451361665</v>
      </c>
      <c r="R27" s="161">
        <v>2.8247399907234154</v>
      </c>
      <c r="S27" s="161">
        <v>4.6921433622055417</v>
      </c>
      <c r="T27" s="161">
        <v>6.7623736506356522</v>
      </c>
      <c r="U27" s="161">
        <v>5.3771710568480557</v>
      </c>
      <c r="V27" s="161">
        <v>5.8664057651196515</v>
      </c>
      <c r="W27" s="161">
        <v>2.0853376488843054</v>
      </c>
      <c r="X27" s="161">
        <v>0.33366494548721448</v>
      </c>
      <c r="Y27" s="161">
        <v>1.0489075417979166</v>
      </c>
      <c r="Z27" s="161">
        <v>-3.2572528376846321E-2</v>
      </c>
      <c r="AA27" s="162">
        <v>3.6551253824815433</v>
      </c>
      <c r="AB27" s="162" t="s">
        <v>125</v>
      </c>
    </row>
    <row r="28" spans="1:28">
      <c r="A28" s="160" t="s">
        <v>122</v>
      </c>
      <c r="B28" s="160" t="s">
        <v>123</v>
      </c>
      <c r="C28" s="160" t="s">
        <v>168</v>
      </c>
      <c r="D28" s="160" t="s">
        <v>169</v>
      </c>
      <c r="E28" s="161">
        <v>5.7088499363447909</v>
      </c>
      <c r="F28" s="161">
        <v>8.7641477212508221</v>
      </c>
      <c r="G28" s="161">
        <v>9.2967573916845652</v>
      </c>
      <c r="H28" s="161">
        <v>8.1864620729161572</v>
      </c>
      <c r="I28" s="161">
        <v>12.851991043882393</v>
      </c>
      <c r="J28" s="161">
        <v>8.0478193084110785</v>
      </c>
      <c r="K28" s="161">
        <v>8.0561272844859104</v>
      </c>
      <c r="L28" s="161">
        <v>12.48539767731576</v>
      </c>
      <c r="M28" s="161">
        <v>10.509630375618499</v>
      </c>
      <c r="N28" s="161">
        <v>7.4353082479865122</v>
      </c>
      <c r="O28" s="161">
        <v>2.2862092927539663</v>
      </c>
      <c r="P28" s="161">
        <v>5.2663086070941461</v>
      </c>
      <c r="Q28" s="161">
        <v>4.8812171835836295</v>
      </c>
      <c r="R28" s="161">
        <v>3.0850744901462832</v>
      </c>
      <c r="S28" s="161">
        <v>3.7909327782649029</v>
      </c>
      <c r="T28" s="161">
        <v>5.8579339797616683</v>
      </c>
      <c r="U28" s="161">
        <v>5.4111949878684129</v>
      </c>
      <c r="V28" s="161">
        <v>3.1106603957025811</v>
      </c>
      <c r="W28" s="161">
        <v>5.6530724607338385</v>
      </c>
      <c r="X28" s="161">
        <v>4.851251140404031</v>
      </c>
      <c r="Y28" s="161">
        <v>5.9855106273545715</v>
      </c>
      <c r="Z28" s="161">
        <v>9.1669159154838269</v>
      </c>
      <c r="AA28" s="162">
        <v>10.650446392190176</v>
      </c>
      <c r="AB28" s="162">
        <v>5.7161497236562155</v>
      </c>
    </row>
    <row r="29" spans="1:28">
      <c r="A29" s="160" t="s">
        <v>122</v>
      </c>
      <c r="B29" s="160" t="s">
        <v>123</v>
      </c>
      <c r="C29" s="160" t="s">
        <v>170</v>
      </c>
      <c r="D29" s="160" t="s">
        <v>171</v>
      </c>
      <c r="E29" s="161">
        <v>16.267937693149932</v>
      </c>
      <c r="F29" s="161">
        <v>17.6894429635243</v>
      </c>
      <c r="G29" s="161">
        <v>13.199204115370279</v>
      </c>
      <c r="H29" s="161">
        <v>6.5571576850568505</v>
      </c>
      <c r="I29" s="161">
        <v>7.9522082383503516</v>
      </c>
      <c r="J29" s="161">
        <v>11.42728132554582</v>
      </c>
      <c r="K29" s="161">
        <v>11.580208872889912</v>
      </c>
      <c r="L29" s="161">
        <v>5.7050425077964917</v>
      </c>
      <c r="M29" s="161">
        <v>7.0511278298231161</v>
      </c>
      <c r="N29" s="161">
        <v>2.4115657184012491</v>
      </c>
      <c r="O29" s="161">
        <v>5.1954043847189268</v>
      </c>
      <c r="P29" s="161">
        <v>1.8700947047308745</v>
      </c>
      <c r="Q29" s="161">
        <v>2.8207574620418256</v>
      </c>
      <c r="R29" s="161">
        <v>6.3299920466670585</v>
      </c>
      <c r="S29" s="161">
        <v>7.9677086857005577</v>
      </c>
      <c r="T29" s="161">
        <v>5.9407972595702887</v>
      </c>
      <c r="U29" s="161">
        <v>13.663679851123959</v>
      </c>
      <c r="V29" s="161">
        <v>7.3733535756722119</v>
      </c>
      <c r="W29" s="161">
        <v>10.38118207541396</v>
      </c>
      <c r="X29" s="161">
        <v>-2.4198941906293356</v>
      </c>
      <c r="Y29" s="161">
        <v>8.7775081308528513</v>
      </c>
      <c r="Z29" s="161">
        <v>14.565891508915826</v>
      </c>
      <c r="AA29" s="162">
        <v>6.9145970219716162</v>
      </c>
      <c r="AB29" s="162">
        <v>6.007767850539139</v>
      </c>
    </row>
    <row r="30" spans="1:28">
      <c r="A30" s="160" t="s">
        <v>122</v>
      </c>
      <c r="B30" s="160" t="s">
        <v>123</v>
      </c>
      <c r="C30" s="160" t="s">
        <v>172</v>
      </c>
      <c r="D30" s="160" t="s">
        <v>173</v>
      </c>
      <c r="E30" s="161" t="s">
        <v>125</v>
      </c>
      <c r="F30" s="161" t="s">
        <v>125</v>
      </c>
      <c r="G30" s="161" t="s">
        <v>125</v>
      </c>
      <c r="H30" s="161" t="s">
        <v>125</v>
      </c>
      <c r="I30" s="161" t="s">
        <v>125</v>
      </c>
      <c r="J30" s="161">
        <v>8.8474310596903649</v>
      </c>
      <c r="K30" s="161">
        <v>-17.056763302476952</v>
      </c>
      <c r="L30" s="161">
        <v>13.011481263376595</v>
      </c>
      <c r="M30" s="161">
        <v>-1.581924902737498</v>
      </c>
      <c r="N30" s="161">
        <v>8.3556508109715537</v>
      </c>
      <c r="O30" s="161">
        <v>28.790136151968369</v>
      </c>
      <c r="P30" s="161">
        <v>2.9619624764932553</v>
      </c>
      <c r="Q30" s="161">
        <v>4.4615830530837286</v>
      </c>
      <c r="R30" s="161">
        <v>0.91238476828185355</v>
      </c>
      <c r="S30" s="161">
        <v>2.5724976237259369</v>
      </c>
      <c r="T30" s="161">
        <v>3.8776273044363734</v>
      </c>
      <c r="U30" s="161">
        <v>5.7284902433159033</v>
      </c>
      <c r="V30" s="161">
        <v>5.7177923064783727</v>
      </c>
      <c r="W30" s="161">
        <v>7.5565844334703769</v>
      </c>
      <c r="X30" s="161">
        <v>5.1945392578531369E-2</v>
      </c>
      <c r="Y30" s="161">
        <v>2.2859525144966995</v>
      </c>
      <c r="Z30" s="161">
        <v>2.3309418765395264</v>
      </c>
      <c r="AA30" s="162">
        <v>0.60297475481402785</v>
      </c>
      <c r="AB30" s="162">
        <v>1.9977766773006351</v>
      </c>
    </row>
    <row r="31" spans="1:28">
      <c r="A31" s="160" t="s">
        <v>122</v>
      </c>
      <c r="B31" s="160" t="s">
        <v>123</v>
      </c>
      <c r="C31" s="160" t="s">
        <v>174</v>
      </c>
      <c r="D31" s="160" t="s">
        <v>175</v>
      </c>
      <c r="E31" s="161">
        <v>6.3000182245485377</v>
      </c>
      <c r="F31" s="161">
        <v>5.1777103794368173</v>
      </c>
      <c r="G31" s="161">
        <v>6.6392807005154992</v>
      </c>
      <c r="H31" s="161">
        <v>13.064700223701038</v>
      </c>
      <c r="I31" s="161">
        <v>9.4638048545385089</v>
      </c>
      <c r="J31" s="161">
        <v>7.1552948401152605</v>
      </c>
      <c r="K31" s="161">
        <v>16.112195377904499</v>
      </c>
      <c r="L31" s="161">
        <v>5.2815377459737078</v>
      </c>
      <c r="M31" s="161">
        <v>9.6633933622817665</v>
      </c>
      <c r="N31" s="161">
        <v>14.235208454151888</v>
      </c>
      <c r="O31" s="161">
        <v>14.170966891306634</v>
      </c>
      <c r="P31" s="161">
        <v>8.3128250891515592</v>
      </c>
      <c r="Q31" s="161">
        <v>1.1873707045576793</v>
      </c>
      <c r="R31" s="161">
        <v>3.2590844251837865</v>
      </c>
      <c r="S31" s="161">
        <v>10.078788741227896</v>
      </c>
      <c r="T31" s="161">
        <v>15.471706500667665</v>
      </c>
      <c r="U31" s="161">
        <v>7.8756490306001581</v>
      </c>
      <c r="V31" s="161">
        <v>4.536128238323073</v>
      </c>
      <c r="W31" s="161">
        <v>8.7347819763966754</v>
      </c>
      <c r="X31" s="161">
        <v>3.4288689775785031</v>
      </c>
      <c r="Y31" s="161">
        <v>18.921543952473201</v>
      </c>
      <c r="Z31" s="161">
        <v>5.4546542636855833</v>
      </c>
      <c r="AA31" s="162">
        <v>1.594605736033671</v>
      </c>
      <c r="AB31" s="162">
        <v>5.9064544283856719</v>
      </c>
    </row>
    <row r="32" spans="1:28">
      <c r="A32" s="160" t="s">
        <v>122</v>
      </c>
      <c r="B32" s="160" t="s">
        <v>123</v>
      </c>
      <c r="C32" s="160" t="s">
        <v>176</v>
      </c>
      <c r="D32" s="160" t="s">
        <v>177</v>
      </c>
      <c r="E32" s="161">
        <v>2735.4884605909442</v>
      </c>
      <c r="F32" s="161">
        <v>414.23559576279661</v>
      </c>
      <c r="G32" s="161">
        <v>968.18423289755606</v>
      </c>
      <c r="H32" s="161">
        <v>2001.3481919619489</v>
      </c>
      <c r="I32" s="161">
        <v>2251.7040277104579</v>
      </c>
      <c r="J32" s="161">
        <v>93.522004341264591</v>
      </c>
      <c r="K32" s="161">
        <v>17.085269169349317</v>
      </c>
      <c r="L32" s="161">
        <v>7.6450028551321623</v>
      </c>
      <c r="M32" s="161">
        <v>4.2359035337286741</v>
      </c>
      <c r="N32" s="161">
        <v>8.4764492639447013</v>
      </c>
      <c r="O32" s="161">
        <v>6.1778397715256119</v>
      </c>
      <c r="P32" s="161">
        <v>8.9661796822251318</v>
      </c>
      <c r="Q32" s="161">
        <v>10.555805329986057</v>
      </c>
      <c r="R32" s="161">
        <v>13.726475622810355</v>
      </c>
      <c r="S32" s="161">
        <v>8.0362172955648532</v>
      </c>
      <c r="T32" s="161">
        <v>7.2129980528486044</v>
      </c>
      <c r="U32" s="161">
        <v>6.1514401780052026</v>
      </c>
      <c r="V32" s="161">
        <v>5.8645301340476124</v>
      </c>
      <c r="W32" s="161">
        <v>8.3349497118901752</v>
      </c>
      <c r="X32" s="161">
        <v>7.1851464681938211</v>
      </c>
      <c r="Y32" s="161">
        <v>8.2285350577905092</v>
      </c>
      <c r="Z32" s="161">
        <v>6.9688847519690569</v>
      </c>
      <c r="AA32" s="162">
        <v>4.9293577043255681</v>
      </c>
      <c r="AB32" s="162">
        <v>7.6255921232017698</v>
      </c>
    </row>
    <row r="33" spans="1:28">
      <c r="A33" s="160" t="s">
        <v>122</v>
      </c>
      <c r="B33" s="160" t="s">
        <v>123</v>
      </c>
      <c r="C33" s="160" t="s">
        <v>178</v>
      </c>
      <c r="D33" s="160" t="s">
        <v>179</v>
      </c>
      <c r="E33" s="161">
        <v>8.409963521771374</v>
      </c>
      <c r="F33" s="161">
        <v>-2.8372807193305931</v>
      </c>
      <c r="G33" s="161">
        <v>1.7268761002988668</v>
      </c>
      <c r="H33" s="161">
        <v>-2.9514905879747459</v>
      </c>
      <c r="I33" s="161">
        <v>-8.763625913901123</v>
      </c>
      <c r="J33" s="161">
        <v>2.8729977723100291</v>
      </c>
      <c r="K33" s="161">
        <v>4.4887552584629304</v>
      </c>
      <c r="L33" s="161">
        <v>8.5848535597946096</v>
      </c>
      <c r="M33" s="161">
        <v>-11.648573973349272</v>
      </c>
      <c r="N33" s="161">
        <v>11.593977640574948</v>
      </c>
      <c r="O33" s="161">
        <v>29.015709408331475</v>
      </c>
      <c r="P33" s="161">
        <v>-5.5918990467814638</v>
      </c>
      <c r="Q33" s="161">
        <v>0.37420917042510382</v>
      </c>
      <c r="R33" s="161">
        <v>6.104611342593941</v>
      </c>
      <c r="S33" s="161">
        <v>15.886165057164533</v>
      </c>
      <c r="T33" s="161">
        <v>18.766319539313869</v>
      </c>
      <c r="U33" s="161">
        <v>10.04772088786909</v>
      </c>
      <c r="V33" s="161">
        <v>1.1204480486911592</v>
      </c>
      <c r="W33" s="161">
        <v>12.692729808445335</v>
      </c>
      <c r="X33" s="161">
        <v>-22.091416330987826</v>
      </c>
      <c r="Y33" s="161">
        <v>5.3087401915079369</v>
      </c>
      <c r="Z33" s="161">
        <v>20.351113813117408</v>
      </c>
      <c r="AA33" s="162">
        <v>-4.8589631261663158E-2</v>
      </c>
      <c r="AB33" s="162">
        <v>-3.1529121146838435</v>
      </c>
    </row>
    <row r="34" spans="1:28">
      <c r="A34" s="160" t="s">
        <v>122</v>
      </c>
      <c r="B34" s="160" t="s">
        <v>123</v>
      </c>
      <c r="C34" s="160" t="s">
        <v>180</v>
      </c>
      <c r="D34" s="160" t="s">
        <v>181</v>
      </c>
      <c r="E34" s="161">
        <v>26.18799020316483</v>
      </c>
      <c r="F34" s="161">
        <v>226.53787466004587</v>
      </c>
      <c r="G34" s="161">
        <v>59.578649199704813</v>
      </c>
      <c r="H34" s="161">
        <v>51.091053788942105</v>
      </c>
      <c r="I34" s="161">
        <v>72.70496887313638</v>
      </c>
      <c r="J34" s="161">
        <v>62.37664867076316</v>
      </c>
      <c r="K34" s="161">
        <v>98.030635041454815</v>
      </c>
      <c r="L34" s="161">
        <v>987.07048578367312</v>
      </c>
      <c r="M34" s="161">
        <v>29.672228600204534</v>
      </c>
      <c r="N34" s="161">
        <v>3.6946829899664522</v>
      </c>
      <c r="O34" s="161">
        <v>6.6300326405350489</v>
      </c>
      <c r="P34" s="161">
        <v>6.1281009479522197</v>
      </c>
      <c r="Q34" s="161">
        <v>4.6206136675101419</v>
      </c>
      <c r="R34" s="161">
        <v>2.2778769524111482</v>
      </c>
      <c r="S34" s="161">
        <v>4.2199103875141475</v>
      </c>
      <c r="T34" s="161">
        <v>7.3430637199983266</v>
      </c>
      <c r="U34" s="161">
        <v>6.9010729576273206</v>
      </c>
      <c r="V34" s="161">
        <v>9.2335360925188041</v>
      </c>
      <c r="W34" s="161">
        <v>8.4157097758830588</v>
      </c>
      <c r="X34" s="161">
        <v>4.3335496450367401</v>
      </c>
      <c r="Y34" s="161">
        <v>2.7937159460196028</v>
      </c>
      <c r="Z34" s="161">
        <v>4.9142570899646927</v>
      </c>
      <c r="AA34" s="162">
        <v>3.0738570690828908</v>
      </c>
      <c r="AB34" s="162">
        <v>-0.85765163191356919</v>
      </c>
    </row>
    <row r="35" spans="1:28">
      <c r="A35" s="160" t="s">
        <v>122</v>
      </c>
      <c r="B35" s="160" t="s">
        <v>123</v>
      </c>
      <c r="C35" s="160" t="s">
        <v>77</v>
      </c>
      <c r="D35" s="160" t="s">
        <v>182</v>
      </c>
      <c r="E35" s="161">
        <v>1.8100154244777116</v>
      </c>
      <c r="F35" s="161">
        <v>-3.9677807509659999</v>
      </c>
      <c r="G35" s="161">
        <v>0.22705961406855124</v>
      </c>
      <c r="H35" s="161">
        <v>-1.4418397722263023</v>
      </c>
      <c r="I35" s="161">
        <v>14.638961880038366</v>
      </c>
      <c r="J35" s="161">
        <v>6.7695690322048421</v>
      </c>
      <c r="K35" s="161">
        <v>0.34870514974979017</v>
      </c>
      <c r="L35" s="161">
        <v>1.5561998518489446</v>
      </c>
      <c r="M35" s="161">
        <v>7.9403160321763551</v>
      </c>
      <c r="N35" s="161">
        <v>4.4364839191448198</v>
      </c>
      <c r="O35" s="161">
        <v>-1.6646693500322129</v>
      </c>
      <c r="P35" s="161">
        <v>4.0661418056359793</v>
      </c>
      <c r="Q35" s="161">
        <v>3.0569860953838059</v>
      </c>
      <c r="R35" s="161">
        <v>1.4847288120672317</v>
      </c>
      <c r="S35" s="161">
        <v>9.0648589680270675E-2</v>
      </c>
      <c r="T35" s="161">
        <v>3.7393853990327415</v>
      </c>
      <c r="U35" s="161">
        <v>-0.65963185047010597</v>
      </c>
      <c r="V35" s="161">
        <v>2.258513799888334</v>
      </c>
      <c r="W35" s="161">
        <v>9.1619456468970952</v>
      </c>
      <c r="X35" s="161">
        <v>2.3764027654196127</v>
      </c>
      <c r="Y35" s="161">
        <v>7.1985967669273094</v>
      </c>
      <c r="Z35" s="161">
        <v>3.2026759102019184</v>
      </c>
      <c r="AA35" s="162">
        <v>1.9134615689340393</v>
      </c>
      <c r="AB35" s="162">
        <v>-1.9091506526199566</v>
      </c>
    </row>
    <row r="36" spans="1:28">
      <c r="A36" s="160" t="s">
        <v>122</v>
      </c>
      <c r="B36" s="160" t="s">
        <v>123</v>
      </c>
      <c r="C36" s="160" t="s">
        <v>183</v>
      </c>
      <c r="D36" s="160" t="s">
        <v>184</v>
      </c>
      <c r="E36" s="161">
        <v>5.9855615423862929</v>
      </c>
      <c r="F36" s="161">
        <v>4.0931407842312808</v>
      </c>
      <c r="G36" s="161">
        <v>5.4017607078618255</v>
      </c>
      <c r="H36" s="161">
        <v>7.7426456760732378</v>
      </c>
      <c r="I36" s="161">
        <v>6.6384454715517194</v>
      </c>
      <c r="J36" s="161">
        <v>16.102711729309348</v>
      </c>
      <c r="K36" s="161">
        <v>14.453111401282428</v>
      </c>
      <c r="L36" s="161">
        <v>32.39778923500225</v>
      </c>
      <c r="M36" s="161">
        <v>11.450555999587635</v>
      </c>
      <c r="N36" s="161">
        <v>14.954140264951718</v>
      </c>
      <c r="O36" s="161">
        <v>38.944893197340662</v>
      </c>
      <c r="P36" s="161">
        <v>13.7164067914469</v>
      </c>
      <c r="Q36" s="161">
        <v>1.0278585710680233</v>
      </c>
      <c r="R36" s="161">
        <v>11.945748639384007</v>
      </c>
      <c r="S36" s="161">
        <v>13.146159345047309</v>
      </c>
      <c r="T36" s="161">
        <v>18.856933467206915</v>
      </c>
      <c r="U36" s="161">
        <v>2.8451279741418034</v>
      </c>
      <c r="V36" s="161">
        <v>6.901875290025643</v>
      </c>
      <c r="W36" s="161">
        <v>23.990943268422498</v>
      </c>
      <c r="X36" s="161">
        <v>8.2473528860636236</v>
      </c>
      <c r="Y36" s="161">
        <v>12.30329597909514</v>
      </c>
      <c r="Z36" s="161">
        <v>14.294338404307851</v>
      </c>
      <c r="AA36" s="162">
        <v>15.416498766765201</v>
      </c>
      <c r="AB36" s="162">
        <v>13.452352521027436</v>
      </c>
    </row>
    <row r="37" spans="1:28">
      <c r="A37" s="160" t="s">
        <v>122</v>
      </c>
      <c r="B37" s="160" t="s">
        <v>123</v>
      </c>
      <c r="C37" s="160" t="s">
        <v>185</v>
      </c>
      <c r="D37" s="160" t="s">
        <v>186</v>
      </c>
      <c r="E37" s="161">
        <v>2.3453103452631012</v>
      </c>
      <c r="F37" s="161">
        <v>4.7924187932980971</v>
      </c>
      <c r="G37" s="161">
        <v>-4.1158445649591044</v>
      </c>
      <c r="H37" s="161">
        <v>49.354086139302581</v>
      </c>
      <c r="I37" s="161">
        <v>-29.172462059737029</v>
      </c>
      <c r="J37" s="161">
        <v>-1.5468994622405745</v>
      </c>
      <c r="K37" s="161">
        <v>-0.54613588961845494</v>
      </c>
      <c r="L37" s="161">
        <v>-0.83529132669396233</v>
      </c>
      <c r="M37" s="161">
        <v>-0.33599077087701801</v>
      </c>
      <c r="N37" s="161">
        <v>7.612078302509957</v>
      </c>
      <c r="O37" s="161">
        <v>-7.9011034950510037</v>
      </c>
      <c r="P37" s="161">
        <v>5.1553350816426473</v>
      </c>
      <c r="Q37" s="161">
        <v>-0.36320894003819149</v>
      </c>
      <c r="R37" s="161">
        <v>4.9210998418828211</v>
      </c>
      <c r="S37" s="161">
        <v>-6.3325470068286478</v>
      </c>
      <c r="T37" s="161">
        <v>-1.7948831836328196</v>
      </c>
      <c r="U37" s="161">
        <v>4.6397709703969667</v>
      </c>
      <c r="V37" s="161">
        <v>8.751418966007023</v>
      </c>
      <c r="W37" s="161">
        <v>3.5459326096260497</v>
      </c>
      <c r="X37" s="161">
        <v>2.1745980787128758</v>
      </c>
      <c r="Y37" s="161">
        <v>0.50496457433526132</v>
      </c>
      <c r="Z37" s="161">
        <v>2.6765121937789189</v>
      </c>
      <c r="AA37" s="162">
        <v>0.64858299090968785</v>
      </c>
      <c r="AB37" s="162">
        <v>3.4825688740104113</v>
      </c>
    </row>
    <row r="38" spans="1:28">
      <c r="A38" s="160" t="s">
        <v>122</v>
      </c>
      <c r="B38" s="160" t="s">
        <v>123</v>
      </c>
      <c r="C38" s="160" t="s">
        <v>187</v>
      </c>
      <c r="D38" s="160" t="s">
        <v>188</v>
      </c>
      <c r="E38" s="161" t="s">
        <v>125</v>
      </c>
      <c r="F38" s="161" t="s">
        <v>125</v>
      </c>
      <c r="G38" s="161" t="s">
        <v>125</v>
      </c>
      <c r="H38" s="161" t="s">
        <v>125</v>
      </c>
      <c r="I38" s="161">
        <v>-4.4142400470124414</v>
      </c>
      <c r="J38" s="161">
        <v>11.515504967359107</v>
      </c>
      <c r="K38" s="161">
        <v>3.5067148859544659</v>
      </c>
      <c r="L38" s="161">
        <v>4.3860194137583619</v>
      </c>
      <c r="M38" s="161">
        <v>10.013660318419397</v>
      </c>
      <c r="N38" s="161">
        <v>1.9814720037745843</v>
      </c>
      <c r="O38" s="161">
        <v>-3.2036246892666327</v>
      </c>
      <c r="P38" s="161">
        <v>2.6428280654095175</v>
      </c>
      <c r="Q38" s="161">
        <v>0.71614400915839838</v>
      </c>
      <c r="R38" s="161">
        <v>1.7975224891903423</v>
      </c>
      <c r="S38" s="161">
        <v>4.8237384270079247</v>
      </c>
      <c r="T38" s="161">
        <v>6.0766799437476777</v>
      </c>
      <c r="U38" s="161">
        <v>4.6299188308867514</v>
      </c>
      <c r="V38" s="161">
        <v>6.5192442292445918</v>
      </c>
      <c r="W38" s="161">
        <v>12.25378660702286</v>
      </c>
      <c r="X38" s="161">
        <v>2.5043846621516366</v>
      </c>
      <c r="Y38" s="161">
        <v>3.1205928697758623</v>
      </c>
      <c r="Z38" s="161">
        <v>3.364066249774126</v>
      </c>
      <c r="AA38" s="162">
        <v>1.4405181275557055</v>
      </c>
      <c r="AB38" s="162">
        <v>0.82821486222157148</v>
      </c>
    </row>
    <row r="39" spans="1:28">
      <c r="A39" s="160" t="s">
        <v>122</v>
      </c>
      <c r="B39" s="160" t="s">
        <v>123</v>
      </c>
      <c r="C39" s="160" t="s">
        <v>189</v>
      </c>
      <c r="D39" s="160" t="s">
        <v>190</v>
      </c>
      <c r="E39" s="161">
        <v>1.6430984333516818</v>
      </c>
      <c r="F39" s="161">
        <v>3.5687135257670803</v>
      </c>
      <c r="G39" s="161">
        <v>-1.2776710288603113</v>
      </c>
      <c r="H39" s="161">
        <v>16.0986562903513</v>
      </c>
      <c r="I39" s="161">
        <v>14.383142771077956</v>
      </c>
      <c r="J39" s="161">
        <v>9.4843054015342432</v>
      </c>
      <c r="K39" s="161">
        <v>2.6923792244017477</v>
      </c>
      <c r="L39" s="161">
        <v>3.7377421850995631</v>
      </c>
      <c r="M39" s="161">
        <v>3.6622322116765815</v>
      </c>
      <c r="N39" s="161">
        <v>1.9485677247036932</v>
      </c>
      <c r="O39" s="161">
        <v>2.840067593258027</v>
      </c>
      <c r="P39" s="161">
        <v>2.1785001047349937</v>
      </c>
      <c r="Q39" s="161">
        <v>3.2478680249837595</v>
      </c>
      <c r="R39" s="161">
        <v>0.35809871965169293</v>
      </c>
      <c r="S39" s="161">
        <v>1.5079707315921382</v>
      </c>
      <c r="T39" s="161">
        <v>2.6312117869760954</v>
      </c>
      <c r="U39" s="161">
        <v>3.9414723965247589</v>
      </c>
      <c r="V39" s="161">
        <v>1.4311311517578815</v>
      </c>
      <c r="W39" s="161">
        <v>4.7444411717985275</v>
      </c>
      <c r="X39" s="161">
        <v>-3.3385516150042633</v>
      </c>
      <c r="Y39" s="161">
        <v>2.9999999999996021</v>
      </c>
      <c r="Z39" s="161">
        <v>3.6991727283784144</v>
      </c>
      <c r="AA39" s="162">
        <v>7.4355884615836061</v>
      </c>
      <c r="AB39" s="162">
        <v>1.4354771686008121</v>
      </c>
    </row>
    <row r="40" spans="1:28">
      <c r="A40" s="160" t="s">
        <v>122</v>
      </c>
      <c r="B40" s="160" t="s">
        <v>123</v>
      </c>
      <c r="C40" s="160" t="s">
        <v>191</v>
      </c>
      <c r="D40" s="160" t="s">
        <v>192</v>
      </c>
      <c r="E40" s="161">
        <v>3.3751795506100137</v>
      </c>
      <c r="F40" s="161">
        <v>3.0711923976690372</v>
      </c>
      <c r="G40" s="161">
        <v>1.4905334881447629</v>
      </c>
      <c r="H40" s="161">
        <v>1.3228816072628575</v>
      </c>
      <c r="I40" s="161">
        <v>1.446904700794164</v>
      </c>
      <c r="J40" s="161">
        <v>2.2384476122702353</v>
      </c>
      <c r="K40" s="161">
        <v>1.7564609754059859</v>
      </c>
      <c r="L40" s="161">
        <v>1.141080068919976</v>
      </c>
      <c r="M40" s="161">
        <v>-0.20737964295710754</v>
      </c>
      <c r="N40" s="161">
        <v>1.861051683189558</v>
      </c>
      <c r="O40" s="161">
        <v>4.2723608183649304</v>
      </c>
      <c r="P40" s="161">
        <v>1.6230619340261967</v>
      </c>
      <c r="Q40" s="161">
        <v>1.2274262716728543</v>
      </c>
      <c r="R40" s="161">
        <v>3.3350919900596807</v>
      </c>
      <c r="S40" s="161">
        <v>3.2793530279608092</v>
      </c>
      <c r="T40" s="161">
        <v>3.2088703327705304</v>
      </c>
      <c r="U40" s="161">
        <v>2.7092891547585651</v>
      </c>
      <c r="V40" s="161">
        <v>3.2384435456431362</v>
      </c>
      <c r="W40" s="161">
        <v>3.892429871501534</v>
      </c>
      <c r="X40" s="161">
        <v>-2.1442545970753315</v>
      </c>
      <c r="Y40" s="161">
        <v>2.6468104099615744</v>
      </c>
      <c r="Z40" s="161">
        <v>3.2388911522053263</v>
      </c>
      <c r="AA40" s="162">
        <v>1.6690399743852282</v>
      </c>
      <c r="AB40" s="162">
        <v>1.2359855353726346</v>
      </c>
    </row>
    <row r="41" spans="1:28">
      <c r="A41" s="160" t="s">
        <v>122</v>
      </c>
      <c r="B41" s="160" t="s">
        <v>123</v>
      </c>
      <c r="C41" s="160" t="s">
        <v>193</v>
      </c>
      <c r="D41" s="160" t="s">
        <v>194</v>
      </c>
      <c r="E41" s="161" t="s">
        <v>125</v>
      </c>
      <c r="F41" s="161" t="s">
        <v>125</v>
      </c>
      <c r="G41" s="161" t="s">
        <v>125</v>
      </c>
      <c r="H41" s="161" t="s">
        <v>125</v>
      </c>
      <c r="I41" s="161">
        <v>3.0978031872331542</v>
      </c>
      <c r="J41" s="161" t="s">
        <v>125</v>
      </c>
      <c r="K41" s="161" t="s">
        <v>125</v>
      </c>
      <c r="L41" s="161" t="s">
        <v>125</v>
      </c>
      <c r="M41" s="161" t="s">
        <v>125</v>
      </c>
      <c r="N41" s="161" t="s">
        <v>125</v>
      </c>
      <c r="O41" s="161" t="s">
        <v>125</v>
      </c>
      <c r="P41" s="161" t="s">
        <v>125</v>
      </c>
      <c r="Q41" s="161" t="s">
        <v>125</v>
      </c>
      <c r="R41" s="161" t="s">
        <v>125</v>
      </c>
      <c r="S41" s="161" t="s">
        <v>125</v>
      </c>
      <c r="T41" s="161" t="s">
        <v>125</v>
      </c>
      <c r="U41" s="161" t="s">
        <v>125</v>
      </c>
      <c r="V41" s="161" t="s">
        <v>125</v>
      </c>
      <c r="W41" s="161" t="s">
        <v>125</v>
      </c>
      <c r="X41" s="161" t="s">
        <v>125</v>
      </c>
      <c r="Y41" s="161" t="s">
        <v>125</v>
      </c>
      <c r="Z41" s="161" t="s">
        <v>125</v>
      </c>
      <c r="AA41" s="162" t="s">
        <v>125</v>
      </c>
      <c r="AB41" s="162" t="s">
        <v>125</v>
      </c>
    </row>
    <row r="42" spans="1:28">
      <c r="A42" s="160" t="s">
        <v>122</v>
      </c>
      <c r="B42" s="160" t="s">
        <v>123</v>
      </c>
      <c r="C42" s="160" t="s">
        <v>195</v>
      </c>
      <c r="D42" s="160" t="s">
        <v>196</v>
      </c>
      <c r="E42" s="161">
        <v>1.8367641333307176</v>
      </c>
      <c r="F42" s="161">
        <v>-0.38993188024876702</v>
      </c>
      <c r="G42" s="161">
        <v>2.7826648035264014</v>
      </c>
      <c r="H42" s="161">
        <v>-3.4328953117153986</v>
      </c>
      <c r="I42" s="161">
        <v>24.412510762897412</v>
      </c>
      <c r="J42" s="161">
        <v>9.8980201869559181</v>
      </c>
      <c r="K42" s="161">
        <v>-3.5431377817387784</v>
      </c>
      <c r="L42" s="161">
        <v>0.82331721259237156</v>
      </c>
      <c r="M42" s="161">
        <v>-0.41401283158664626</v>
      </c>
      <c r="N42" s="161">
        <v>4.0846873217439423</v>
      </c>
      <c r="O42" s="161">
        <v>8.5066207398790823</v>
      </c>
      <c r="P42" s="161">
        <v>0.42589674014365642</v>
      </c>
      <c r="Q42" s="161">
        <v>-2.3718306548562964</v>
      </c>
      <c r="R42" s="161">
        <v>1.3364014981464152</v>
      </c>
      <c r="S42" s="161">
        <v>-4.4398828484636113</v>
      </c>
      <c r="T42" s="161">
        <v>5.1965652843304326</v>
      </c>
      <c r="U42" s="161">
        <v>0.55077189352547862</v>
      </c>
      <c r="V42" s="161">
        <v>-2.3203693652352229</v>
      </c>
      <c r="W42" s="161">
        <v>5.1480171475891865</v>
      </c>
      <c r="X42" s="161">
        <v>-3.3569915844593083</v>
      </c>
      <c r="Y42" s="161">
        <v>-1.423878463175555</v>
      </c>
      <c r="Z42" s="161">
        <v>1.9626477382045096</v>
      </c>
      <c r="AA42" s="162">
        <v>2.7063442166303844</v>
      </c>
      <c r="AB42" s="162">
        <v>7.1630289771427442</v>
      </c>
    </row>
    <row r="43" spans="1:28">
      <c r="A43" s="160" t="s">
        <v>122</v>
      </c>
      <c r="B43" s="160" t="s">
        <v>123</v>
      </c>
      <c r="C43" s="160" t="s">
        <v>197</v>
      </c>
      <c r="D43" s="160" t="s">
        <v>198</v>
      </c>
      <c r="E43" s="161">
        <v>8.0123290311529871</v>
      </c>
      <c r="F43" s="161">
        <v>3.0734989593572948</v>
      </c>
      <c r="G43" s="161">
        <v>-12.906553831853699</v>
      </c>
      <c r="H43" s="161">
        <v>-1.3146037140753464</v>
      </c>
      <c r="I43" s="161">
        <v>43.544963774265142</v>
      </c>
      <c r="J43" s="161">
        <v>8.8331272702040451</v>
      </c>
      <c r="K43" s="161">
        <v>11.4584549439315</v>
      </c>
      <c r="L43" s="161">
        <v>3.782785468008143</v>
      </c>
      <c r="M43" s="161">
        <v>6.7494088277043431</v>
      </c>
      <c r="N43" s="161">
        <v>-7.5728662821408932</v>
      </c>
      <c r="O43" s="161">
        <v>5.2898048567458886</v>
      </c>
      <c r="P43" s="161">
        <v>13.797652755776383</v>
      </c>
      <c r="Q43" s="161">
        <v>1.907819434292108</v>
      </c>
      <c r="R43" s="161">
        <v>7.9004696197898738E-2</v>
      </c>
      <c r="S43" s="161">
        <v>9.7342564815241133</v>
      </c>
      <c r="T43" s="161">
        <v>28.111933674965087</v>
      </c>
      <c r="U43" s="161">
        <v>9.9844279200389536</v>
      </c>
      <c r="V43" s="161">
        <v>3.3019342613335994</v>
      </c>
      <c r="W43" s="161">
        <v>8.6488197899857795</v>
      </c>
      <c r="X43" s="161">
        <v>-9.5587544761545331</v>
      </c>
      <c r="Y43" s="161">
        <v>6.3911950512676157</v>
      </c>
      <c r="Z43" s="161">
        <v>8.5803989571550972</v>
      </c>
      <c r="AA43" s="162">
        <v>5.3395942103013283</v>
      </c>
      <c r="AB43" s="162">
        <v>-2.7736092912394525</v>
      </c>
    </row>
    <row r="44" spans="1:28">
      <c r="A44" s="160" t="s">
        <v>122</v>
      </c>
      <c r="B44" s="160" t="s">
        <v>123</v>
      </c>
      <c r="C44" s="160" t="s">
        <v>199</v>
      </c>
      <c r="D44" s="160" t="s">
        <v>200</v>
      </c>
      <c r="E44" s="161" t="s">
        <v>125</v>
      </c>
      <c r="F44" s="161" t="s">
        <v>125</v>
      </c>
      <c r="G44" s="161" t="s">
        <v>125</v>
      </c>
      <c r="H44" s="161" t="s">
        <v>125</v>
      </c>
      <c r="I44" s="161" t="s">
        <v>125</v>
      </c>
      <c r="J44" s="161" t="s">
        <v>125</v>
      </c>
      <c r="K44" s="161" t="s">
        <v>125</v>
      </c>
      <c r="L44" s="161" t="s">
        <v>125</v>
      </c>
      <c r="M44" s="161" t="s">
        <v>125</v>
      </c>
      <c r="N44" s="161">
        <v>3.9096309788335475</v>
      </c>
      <c r="O44" s="161">
        <v>3.8923175923718958</v>
      </c>
      <c r="P44" s="161">
        <v>3.3016355313307173</v>
      </c>
      <c r="Q44" s="161">
        <v>4.3827255671919971</v>
      </c>
      <c r="R44" s="161">
        <v>4.3537154939644154</v>
      </c>
      <c r="S44" s="161">
        <v>3.7975713354445588</v>
      </c>
      <c r="T44" s="161">
        <v>2.5047096573489682</v>
      </c>
      <c r="U44" s="161">
        <v>3.2789316074921118</v>
      </c>
      <c r="V44" s="161">
        <v>3.3363332509521797</v>
      </c>
      <c r="W44" s="161" t="s">
        <v>125</v>
      </c>
      <c r="X44" s="161" t="s">
        <v>125</v>
      </c>
      <c r="Y44" s="161" t="s">
        <v>125</v>
      </c>
      <c r="Z44" s="161" t="s">
        <v>125</v>
      </c>
      <c r="AA44" s="162" t="s">
        <v>125</v>
      </c>
      <c r="AB44" s="162" t="s">
        <v>125</v>
      </c>
    </row>
    <row r="45" spans="1:28">
      <c r="A45" s="160" t="s">
        <v>122</v>
      </c>
      <c r="B45" s="160" t="s">
        <v>123</v>
      </c>
      <c r="C45" s="160" t="s">
        <v>78</v>
      </c>
      <c r="D45" s="160" t="s">
        <v>201</v>
      </c>
      <c r="E45" s="161">
        <v>22.459259271214023</v>
      </c>
      <c r="F45" s="161">
        <v>22.435126771619679</v>
      </c>
      <c r="G45" s="161">
        <v>12.893196028220785</v>
      </c>
      <c r="H45" s="161">
        <v>11.75030637257322</v>
      </c>
      <c r="I45" s="161">
        <v>13.730795573024963</v>
      </c>
      <c r="J45" s="161">
        <v>10.420668256043669</v>
      </c>
      <c r="K45" s="161">
        <v>2.7274605447293681</v>
      </c>
      <c r="L45" s="161">
        <v>4.2700102367238912</v>
      </c>
      <c r="M45" s="161">
        <v>1.926072586227761</v>
      </c>
      <c r="N45" s="161">
        <v>2.4316652684121181</v>
      </c>
      <c r="O45" s="161">
        <v>10.278221431446539</v>
      </c>
      <c r="P45" s="161">
        <v>3.8428911557908236</v>
      </c>
      <c r="Q45" s="161">
        <v>4.2178427534155389</v>
      </c>
      <c r="R45" s="161">
        <v>5.8608088667575515</v>
      </c>
      <c r="S45" s="161">
        <v>7.477659665121152</v>
      </c>
      <c r="T45" s="161">
        <v>7.5523257294834707</v>
      </c>
      <c r="U45" s="161">
        <v>12.809674908565</v>
      </c>
      <c r="V45" s="161">
        <v>4.8437536074597887</v>
      </c>
      <c r="W45" s="161">
        <v>0.47302640895662762</v>
      </c>
      <c r="X45" s="161">
        <v>3.8422458866577642</v>
      </c>
      <c r="Y45" s="161">
        <v>8.8293547048509993</v>
      </c>
      <c r="Z45" s="161">
        <v>3.3307278297847631</v>
      </c>
      <c r="AA45" s="162">
        <v>1.3009312110380193</v>
      </c>
      <c r="AB45" s="162">
        <v>1.7277448336689787</v>
      </c>
    </row>
    <row r="46" spans="1:28">
      <c r="A46" s="160" t="s">
        <v>122</v>
      </c>
      <c r="B46" s="160" t="s">
        <v>123</v>
      </c>
      <c r="C46" s="160" t="s">
        <v>73</v>
      </c>
      <c r="D46" s="160" t="s">
        <v>202</v>
      </c>
      <c r="E46" s="161">
        <v>5.5708007188039517</v>
      </c>
      <c r="F46" s="161">
        <v>12.365635189032886</v>
      </c>
      <c r="G46" s="161">
        <v>13.215138572835826</v>
      </c>
      <c r="H46" s="161">
        <v>14.878793090239157</v>
      </c>
      <c r="I46" s="161">
        <v>19.692506032548195</v>
      </c>
      <c r="J46" s="161">
        <v>11.543082427534017</v>
      </c>
      <c r="K46" s="161">
        <v>5.5477655823978438</v>
      </c>
      <c r="L46" s="161">
        <v>0.85915079305796382</v>
      </c>
      <c r="M46" s="161">
        <v>-2.2161861137526415</v>
      </c>
      <c r="N46" s="161">
        <v>-1.4687315779900274</v>
      </c>
      <c r="O46" s="161">
        <v>2.8020377896401669</v>
      </c>
      <c r="P46" s="161">
        <v>2.0525819942798904</v>
      </c>
      <c r="Q46" s="161">
        <v>0.60073301893524444</v>
      </c>
      <c r="R46" s="161">
        <v>2.5878771576582977</v>
      </c>
      <c r="S46" s="161">
        <v>6.927344416859583</v>
      </c>
      <c r="T46" s="161">
        <v>3.9203811394799004</v>
      </c>
      <c r="U46" s="161">
        <v>3.8071646528611751</v>
      </c>
      <c r="V46" s="161">
        <v>7.6374153203664434</v>
      </c>
      <c r="W46" s="161">
        <v>7.7637637795220371</v>
      </c>
      <c r="X46" s="161">
        <v>-0.60626577884794131</v>
      </c>
      <c r="Y46" s="161">
        <v>6.6387202831617458</v>
      </c>
      <c r="Z46" s="161">
        <v>7.804668852083978</v>
      </c>
      <c r="AA46" s="162">
        <v>1.9951582831654946</v>
      </c>
      <c r="AB46" s="162">
        <v>1.703063225832409</v>
      </c>
    </row>
    <row r="47" spans="1:28">
      <c r="A47" s="160" t="s">
        <v>122</v>
      </c>
      <c r="B47" s="160" t="s">
        <v>123</v>
      </c>
      <c r="C47" s="160" t="s">
        <v>72</v>
      </c>
      <c r="D47" s="160" t="s">
        <v>203</v>
      </c>
      <c r="E47" s="161">
        <v>26.105139222294696</v>
      </c>
      <c r="F47" s="161">
        <v>26.187814086988354</v>
      </c>
      <c r="G47" s="161">
        <v>22.225954591817725</v>
      </c>
      <c r="H47" s="161">
        <v>27.953540011373576</v>
      </c>
      <c r="I47" s="161">
        <v>45.35706146269078</v>
      </c>
      <c r="J47" s="161">
        <v>18.850957257864948</v>
      </c>
      <c r="K47" s="161">
        <v>16.868378789801625</v>
      </c>
      <c r="L47" s="161">
        <v>16.839852933651002</v>
      </c>
      <c r="M47" s="161">
        <v>14.773045408734234</v>
      </c>
      <c r="N47" s="161">
        <v>12.622940834170748</v>
      </c>
      <c r="O47" s="161">
        <v>31.761347592457298</v>
      </c>
      <c r="P47" s="161">
        <v>6.518448292022768</v>
      </c>
      <c r="Q47" s="161">
        <v>5.9681905729737821</v>
      </c>
      <c r="R47" s="161">
        <v>6.8290148418355727</v>
      </c>
      <c r="S47" s="161">
        <v>7.2830334069626304</v>
      </c>
      <c r="T47" s="161">
        <v>5.557541216914359</v>
      </c>
      <c r="U47" s="161">
        <v>5.7750910623853144</v>
      </c>
      <c r="V47" s="161">
        <v>5.0397573321594678</v>
      </c>
      <c r="W47" s="161">
        <v>7.5556995074566942</v>
      </c>
      <c r="X47" s="161">
        <v>3.4079069323808824</v>
      </c>
      <c r="Y47" s="161">
        <v>3.8562588952047321</v>
      </c>
      <c r="Z47" s="161">
        <v>6.7252117169564372</v>
      </c>
      <c r="AA47" s="162">
        <v>3.1701601117980687</v>
      </c>
      <c r="AB47" s="162">
        <v>1.8604508026870832</v>
      </c>
    </row>
    <row r="48" spans="1:28">
      <c r="A48" s="160" t="s">
        <v>122</v>
      </c>
      <c r="B48" s="160" t="s">
        <v>123</v>
      </c>
      <c r="C48" s="160" t="s">
        <v>204</v>
      </c>
      <c r="D48" s="160" t="s">
        <v>205</v>
      </c>
      <c r="E48" s="161">
        <v>2.1751823242385626</v>
      </c>
      <c r="F48" s="161">
        <v>8.1194391391437932</v>
      </c>
      <c r="G48" s="161">
        <v>-6.7646902741630157</v>
      </c>
      <c r="H48" s="161">
        <v>2.8330009111639356</v>
      </c>
      <c r="I48" s="161">
        <v>9.4167851981874264</v>
      </c>
      <c r="J48" s="161">
        <v>8.3207385996511647</v>
      </c>
      <c r="K48" s="161">
        <v>3.1990915318549327</v>
      </c>
      <c r="L48" s="161">
        <v>0.92383158413377942</v>
      </c>
      <c r="M48" s="161">
        <v>1.3463855337996051</v>
      </c>
      <c r="N48" s="161">
        <v>5.8116547680790092</v>
      </c>
      <c r="O48" s="161">
        <v>3.4264454672393612</v>
      </c>
      <c r="P48" s="161">
        <v>8.6308124823148802</v>
      </c>
      <c r="Q48" s="161">
        <v>4.1706882597640771</v>
      </c>
      <c r="R48" s="161">
        <v>5.1247938498404579</v>
      </c>
      <c r="S48" s="161">
        <v>1.7706572030496943</v>
      </c>
      <c r="T48" s="161">
        <v>2.2997626060009964</v>
      </c>
      <c r="U48" s="161">
        <v>1.9998974037534083</v>
      </c>
      <c r="V48" s="161">
        <v>5.1832448349319122</v>
      </c>
      <c r="W48" s="161">
        <v>5.5059841113695143</v>
      </c>
      <c r="X48" s="161">
        <v>4.5597843171305499</v>
      </c>
      <c r="Y48" s="161">
        <v>4.3521331060125874</v>
      </c>
      <c r="Z48" s="161">
        <v>4.6884124653373362</v>
      </c>
      <c r="AA48" s="162">
        <v>2.5897774749662261</v>
      </c>
      <c r="AB48" s="162">
        <v>3.114111879570288</v>
      </c>
    </row>
    <row r="49" spans="1:28">
      <c r="A49" s="160" t="s">
        <v>122</v>
      </c>
      <c r="B49" s="160" t="s">
        <v>123</v>
      </c>
      <c r="C49" s="160" t="s">
        <v>206</v>
      </c>
      <c r="D49" s="160" t="s">
        <v>207</v>
      </c>
      <c r="E49" s="161">
        <v>108.95530711041746</v>
      </c>
      <c r="F49" s="161">
        <v>2202.2898842667141</v>
      </c>
      <c r="G49" s="161">
        <v>4078.4762784269869</v>
      </c>
      <c r="H49" s="161">
        <v>1662.4166824430285</v>
      </c>
      <c r="I49" s="161">
        <v>26762.018330321724</v>
      </c>
      <c r="J49" s="161">
        <v>466.40724431113767</v>
      </c>
      <c r="K49" s="161">
        <v>638.18883210856336</v>
      </c>
      <c r="L49" s="161">
        <v>192.64283633883161</v>
      </c>
      <c r="M49" s="161">
        <v>26.93537685657175</v>
      </c>
      <c r="N49" s="161">
        <v>441.90249164602835</v>
      </c>
      <c r="O49" s="161">
        <v>2630.12267436303</v>
      </c>
      <c r="P49" s="161">
        <v>73.059711364461606</v>
      </c>
      <c r="Q49" s="161">
        <v>31.719461230546358</v>
      </c>
      <c r="R49" s="161">
        <v>13.415453521789374</v>
      </c>
      <c r="S49" s="161">
        <v>6.3654582637846318</v>
      </c>
      <c r="T49" s="161">
        <v>29.869546620374706</v>
      </c>
      <c r="U49" s="161">
        <v>12.106682644067888</v>
      </c>
      <c r="V49" s="161">
        <v>18.868968170339585</v>
      </c>
      <c r="W49" s="161">
        <v>19.584885014638573</v>
      </c>
      <c r="X49" s="161">
        <v>33.854800231207207</v>
      </c>
      <c r="Y49" s="161">
        <v>17.406682641141956</v>
      </c>
      <c r="Z49" s="161">
        <v>10.28940223478898</v>
      </c>
      <c r="AA49" s="162">
        <v>7.5309485866939383</v>
      </c>
      <c r="AB49" s="162">
        <v>2.8518866165421599</v>
      </c>
    </row>
    <row r="50" spans="1:28">
      <c r="A50" s="160" t="s">
        <v>122</v>
      </c>
      <c r="B50" s="160" t="s">
        <v>123</v>
      </c>
      <c r="C50" s="160" t="s">
        <v>208</v>
      </c>
      <c r="D50" s="160" t="s">
        <v>209</v>
      </c>
      <c r="E50" s="161">
        <v>-1.0290682709868264</v>
      </c>
      <c r="F50" s="161">
        <v>-1.4806356966146978</v>
      </c>
      <c r="G50" s="161">
        <v>-1.5692684096493537</v>
      </c>
      <c r="H50" s="161">
        <v>-1.1308286093239559</v>
      </c>
      <c r="I50" s="161">
        <v>36.752825640289245</v>
      </c>
      <c r="J50" s="161">
        <v>3.395929515850284</v>
      </c>
      <c r="K50" s="161">
        <v>17.991924030532118</v>
      </c>
      <c r="L50" s="161">
        <v>4.9645176768335233</v>
      </c>
      <c r="M50" s="161">
        <v>-18.222089661000581</v>
      </c>
      <c r="N50" s="161">
        <v>29.355341928963213</v>
      </c>
      <c r="O50" s="161">
        <v>47.040083080429469</v>
      </c>
      <c r="P50" s="161">
        <v>-13.925208169174013</v>
      </c>
      <c r="Q50" s="161">
        <v>-1.7389275606209367</v>
      </c>
      <c r="R50" s="161">
        <v>-4.2515369187954946</v>
      </c>
      <c r="S50" s="161">
        <v>16.807238303985457</v>
      </c>
      <c r="T50" s="161">
        <v>21.329453885851962</v>
      </c>
      <c r="U50" s="161">
        <v>18.519373078255526</v>
      </c>
      <c r="V50" s="161">
        <v>1.1224529198175901</v>
      </c>
      <c r="W50" s="161">
        <v>25.027646375646356</v>
      </c>
      <c r="X50" s="161">
        <v>-20.627220323085837</v>
      </c>
      <c r="Y50" s="161">
        <v>20.722029226884416</v>
      </c>
      <c r="Z50" s="161">
        <v>10.670333230556878</v>
      </c>
      <c r="AA50" s="162">
        <v>-1.1699615993461379</v>
      </c>
      <c r="AB50" s="162">
        <v>-3.5058045406319138</v>
      </c>
    </row>
    <row r="51" spans="1:28">
      <c r="A51" s="160" t="s">
        <v>122</v>
      </c>
      <c r="B51" s="160" t="s">
        <v>123</v>
      </c>
      <c r="C51" s="160" t="s">
        <v>210</v>
      </c>
      <c r="D51" s="160" t="s">
        <v>211</v>
      </c>
      <c r="E51" s="161">
        <v>17.113174378089454</v>
      </c>
      <c r="F51" s="161">
        <v>26.148284777720846</v>
      </c>
      <c r="G51" s="161">
        <v>20.481210356912129</v>
      </c>
      <c r="H51" s="161">
        <v>10.623454307485346</v>
      </c>
      <c r="I51" s="161">
        <v>15.548364348935323</v>
      </c>
      <c r="J51" s="161">
        <v>22.192482996841761</v>
      </c>
      <c r="K51" s="161">
        <v>15.797795308781431</v>
      </c>
      <c r="L51" s="161">
        <v>14.894697828953937</v>
      </c>
      <c r="M51" s="161">
        <v>12.125615282540593</v>
      </c>
      <c r="N51" s="161">
        <v>14.973828837206099</v>
      </c>
      <c r="O51" s="161">
        <v>6.9765332577147916</v>
      </c>
      <c r="P51" s="161">
        <v>8.6003904531318085</v>
      </c>
      <c r="Q51" s="161">
        <v>9.1822875250002483</v>
      </c>
      <c r="R51" s="161">
        <v>8.2876628689910916</v>
      </c>
      <c r="S51" s="161">
        <v>11.845629619255632</v>
      </c>
      <c r="T51" s="161">
        <v>10.623635115641264</v>
      </c>
      <c r="U51" s="161">
        <v>10.999480439519644</v>
      </c>
      <c r="V51" s="161">
        <v>9.3840216495224524</v>
      </c>
      <c r="W51" s="161">
        <v>12.397408973456152</v>
      </c>
      <c r="X51" s="161">
        <v>8.3801790319008092</v>
      </c>
      <c r="Y51" s="161">
        <v>7.9609136668944132</v>
      </c>
      <c r="Z51" s="161">
        <v>4.5351424934452638</v>
      </c>
      <c r="AA51" s="162">
        <v>4.0884589996128966</v>
      </c>
      <c r="AB51" s="162">
        <v>5.0043239864829161</v>
      </c>
    </row>
    <row r="52" spans="1:28">
      <c r="A52" s="160" t="s">
        <v>122</v>
      </c>
      <c r="B52" s="160" t="s">
        <v>123</v>
      </c>
      <c r="C52" s="160" t="s">
        <v>212</v>
      </c>
      <c r="D52" s="160" t="s">
        <v>213</v>
      </c>
      <c r="E52" s="161">
        <v>-4.5232735446245158</v>
      </c>
      <c r="F52" s="161">
        <v>0.66348927037114436</v>
      </c>
      <c r="G52" s="161">
        <v>-2.3837136051554353E-2</v>
      </c>
      <c r="H52" s="161">
        <v>6.1541942927935622</v>
      </c>
      <c r="I52" s="161">
        <v>46.386069426823298</v>
      </c>
      <c r="J52" s="161">
        <v>11.043789857802608</v>
      </c>
      <c r="K52" s="161">
        <v>4.9830845752141926</v>
      </c>
      <c r="L52" s="161">
        <v>4.2177760853008266</v>
      </c>
      <c r="M52" s="161">
        <v>5.2189283093986063</v>
      </c>
      <c r="N52" s="161">
        <v>0.91720175858247899</v>
      </c>
      <c r="O52" s="161">
        <v>-0.37928023545813971</v>
      </c>
      <c r="P52" s="161">
        <v>4.247731270227149</v>
      </c>
      <c r="Q52" s="161">
        <v>5.0734633508866267</v>
      </c>
      <c r="R52" s="161">
        <v>1.3028298607564466</v>
      </c>
      <c r="S52" s="161">
        <v>0.62715203034315437</v>
      </c>
      <c r="T52" s="161">
        <v>4.227040625064177</v>
      </c>
      <c r="U52" s="161">
        <v>4.4988979293164135</v>
      </c>
      <c r="V52" s="161">
        <v>2.7124295756095478</v>
      </c>
      <c r="W52" s="161">
        <v>8.1217855088692232</v>
      </c>
      <c r="X52" s="161">
        <v>0.11385566012079096</v>
      </c>
      <c r="Y52" s="161">
        <v>1.9319231661114173</v>
      </c>
      <c r="Z52" s="161">
        <v>5.0271498968334782</v>
      </c>
      <c r="AA52" s="162">
        <v>1.2966903243321894</v>
      </c>
      <c r="AB52" s="162">
        <v>11.480384816846083</v>
      </c>
    </row>
    <row r="53" spans="1:28">
      <c r="A53" s="160" t="s">
        <v>122</v>
      </c>
      <c r="B53" s="160" t="s">
        <v>123</v>
      </c>
      <c r="C53" s="160" t="s">
        <v>214</v>
      </c>
      <c r="D53" s="160" t="s">
        <v>215</v>
      </c>
      <c r="E53" s="161" t="s">
        <v>125</v>
      </c>
      <c r="F53" s="161" t="s">
        <v>125</v>
      </c>
      <c r="G53" s="161" t="s">
        <v>125</v>
      </c>
      <c r="H53" s="161" t="s">
        <v>125</v>
      </c>
      <c r="I53" s="161" t="s">
        <v>125</v>
      </c>
      <c r="J53" s="161" t="s">
        <v>125</v>
      </c>
      <c r="K53" s="161">
        <v>3.8469857879391185</v>
      </c>
      <c r="L53" s="161">
        <v>7.1350759680866247</v>
      </c>
      <c r="M53" s="161">
        <v>8.2041127257424193</v>
      </c>
      <c r="N53" s="161">
        <v>3.8128927376160675</v>
      </c>
      <c r="O53" s="161">
        <v>4.6049624435645455</v>
      </c>
      <c r="P53" s="161">
        <v>4.1482393541763827</v>
      </c>
      <c r="Q53" s="161">
        <v>3.5340312190187007</v>
      </c>
      <c r="R53" s="161">
        <v>4.0547841114233734</v>
      </c>
      <c r="S53" s="161">
        <v>3.7942838572234621</v>
      </c>
      <c r="T53" s="161">
        <v>3.3464131148479765</v>
      </c>
      <c r="U53" s="161">
        <v>4.0143330812155114</v>
      </c>
      <c r="V53" s="161">
        <v>4.1002140104290561</v>
      </c>
      <c r="W53" s="161">
        <v>5.6839714802758152</v>
      </c>
      <c r="X53" s="161">
        <v>2.8533050573537508</v>
      </c>
      <c r="Y53" s="161">
        <v>0.8104047956878162</v>
      </c>
      <c r="Z53" s="161">
        <v>1.761441741800823</v>
      </c>
      <c r="AA53" s="162">
        <v>1.8509811836795933</v>
      </c>
      <c r="AB53" s="162">
        <v>0.91478259575174548</v>
      </c>
    </row>
    <row r="54" spans="1:28">
      <c r="A54" s="160" t="s">
        <v>122</v>
      </c>
      <c r="B54" s="160" t="s">
        <v>123</v>
      </c>
      <c r="C54" s="160" t="s">
        <v>216</v>
      </c>
      <c r="D54" s="160" t="s">
        <v>217</v>
      </c>
      <c r="E54" s="161">
        <v>5.2612743784048632</v>
      </c>
      <c r="F54" s="161">
        <v>-7.3878430072567625</v>
      </c>
      <c r="G54" s="161">
        <v>3.7457209420465745</v>
      </c>
      <c r="H54" s="161">
        <v>18.975491561423468</v>
      </c>
      <c r="I54" s="161">
        <v>26.282032316634059</v>
      </c>
      <c r="J54" s="161">
        <v>10.508667435284494</v>
      </c>
      <c r="K54" s="161">
        <v>-2.6718846634900615</v>
      </c>
      <c r="L54" s="161">
        <v>-1.3526964485750312</v>
      </c>
      <c r="M54" s="161">
        <v>1.3024617576085546</v>
      </c>
      <c r="N54" s="161">
        <v>3.7881248983351838</v>
      </c>
      <c r="O54" s="161">
        <v>1.7369796957905237</v>
      </c>
      <c r="P54" s="161">
        <v>0.46117587620886979</v>
      </c>
      <c r="Q54" s="161">
        <v>4.5260103793175688</v>
      </c>
      <c r="R54" s="161">
        <v>2.9760423781596899</v>
      </c>
      <c r="S54" s="161">
        <v>0.60428706236832852</v>
      </c>
      <c r="T54" s="161">
        <v>0.38141169293845678</v>
      </c>
      <c r="U54" s="161">
        <v>10.363210881581921</v>
      </c>
      <c r="V54" s="161">
        <v>3.5904432590947692</v>
      </c>
      <c r="W54" s="161">
        <v>-0.3440162564961895</v>
      </c>
      <c r="X54" s="161">
        <v>0.6342583118340599</v>
      </c>
      <c r="Y54" s="161">
        <v>1.2067421486822809</v>
      </c>
      <c r="Z54" s="161">
        <v>3.2724536999816394</v>
      </c>
      <c r="AA54" s="162" t="s">
        <v>125</v>
      </c>
      <c r="AB54" s="162" t="s">
        <v>125</v>
      </c>
    </row>
    <row r="55" spans="1:28">
      <c r="A55" s="160" t="s">
        <v>122</v>
      </c>
      <c r="B55" s="160" t="s">
        <v>123</v>
      </c>
      <c r="C55" s="160" t="s">
        <v>218</v>
      </c>
      <c r="D55" s="160" t="s">
        <v>219</v>
      </c>
      <c r="E55" s="161" t="s">
        <v>125</v>
      </c>
      <c r="F55" s="161" t="s">
        <v>125</v>
      </c>
      <c r="G55" s="161" t="s">
        <v>125</v>
      </c>
      <c r="H55" s="161" t="s">
        <v>125</v>
      </c>
      <c r="I55" s="161" t="s">
        <v>125</v>
      </c>
      <c r="J55" s="161" t="s">
        <v>125</v>
      </c>
      <c r="K55" s="161" t="s">
        <v>125</v>
      </c>
      <c r="L55" s="161" t="s">
        <v>125</v>
      </c>
      <c r="M55" s="161" t="s">
        <v>125</v>
      </c>
      <c r="N55" s="161" t="s">
        <v>125</v>
      </c>
      <c r="O55" s="161" t="s">
        <v>125</v>
      </c>
      <c r="P55" s="161" t="s">
        <v>125</v>
      </c>
      <c r="Q55" s="161" t="s">
        <v>125</v>
      </c>
      <c r="R55" s="161" t="s">
        <v>125</v>
      </c>
      <c r="S55" s="161" t="s">
        <v>125</v>
      </c>
      <c r="T55" s="161" t="s">
        <v>125</v>
      </c>
      <c r="U55" s="161" t="s">
        <v>125</v>
      </c>
      <c r="V55" s="161" t="s">
        <v>125</v>
      </c>
      <c r="W55" s="161" t="s">
        <v>125</v>
      </c>
      <c r="X55" s="161" t="s">
        <v>125</v>
      </c>
      <c r="Y55" s="161" t="s">
        <v>125</v>
      </c>
      <c r="Z55" s="161" t="s">
        <v>125</v>
      </c>
      <c r="AA55" s="162" t="s">
        <v>125</v>
      </c>
      <c r="AB55" s="162" t="s">
        <v>125</v>
      </c>
    </row>
    <row r="56" spans="1:28">
      <c r="A56" s="160" t="s">
        <v>122</v>
      </c>
      <c r="B56" s="160" t="s">
        <v>123</v>
      </c>
      <c r="C56" s="160" t="s">
        <v>220</v>
      </c>
      <c r="D56" s="160" t="s">
        <v>221</v>
      </c>
      <c r="E56" s="161">
        <v>5.4331257300329412</v>
      </c>
      <c r="F56" s="161">
        <v>3.8880067493872303</v>
      </c>
      <c r="G56" s="161">
        <v>6.0413821461567494</v>
      </c>
      <c r="H56" s="161">
        <v>4.8031339999934346</v>
      </c>
      <c r="I56" s="161">
        <v>5.270979994188508</v>
      </c>
      <c r="J56" s="161">
        <v>8.042750222563285</v>
      </c>
      <c r="K56" s="161">
        <v>2.2897929489376025</v>
      </c>
      <c r="L56" s="161">
        <v>2.4383759724698706</v>
      </c>
      <c r="M56" s="161">
        <v>2.940215273188258</v>
      </c>
      <c r="N56" s="161">
        <v>2.3485635496913915</v>
      </c>
      <c r="O56" s="161">
        <v>3.8193239920965851</v>
      </c>
      <c r="P56" s="161">
        <v>3.3739602925483894</v>
      </c>
      <c r="Q56" s="161">
        <v>1.1938098964929367</v>
      </c>
      <c r="R56" s="161">
        <v>5.0852582539961872</v>
      </c>
      <c r="S56" s="161">
        <v>3.2268371277991008</v>
      </c>
      <c r="T56" s="161">
        <v>2.3876102873123557</v>
      </c>
      <c r="U56" s="161">
        <v>2.9790060408831494</v>
      </c>
      <c r="V56" s="161">
        <v>4.6336305349054925</v>
      </c>
      <c r="W56" s="161">
        <v>5.0570414259971415</v>
      </c>
      <c r="X56" s="161">
        <v>-0.31161305792223004</v>
      </c>
      <c r="Y56" s="161">
        <v>1.7400490193051326</v>
      </c>
      <c r="Z56" s="161">
        <v>1.9569018515117875</v>
      </c>
      <c r="AA56" s="162">
        <v>1.5546628423247739</v>
      </c>
      <c r="AB56" s="162" t="s">
        <v>125</v>
      </c>
    </row>
    <row r="57" spans="1:28">
      <c r="A57" s="160" t="s">
        <v>122</v>
      </c>
      <c r="B57" s="160" t="s">
        <v>123</v>
      </c>
      <c r="C57" s="160" t="s">
        <v>222</v>
      </c>
      <c r="D57" s="160" t="s">
        <v>223</v>
      </c>
      <c r="E57" s="161" t="s">
        <v>125</v>
      </c>
      <c r="F57" s="161">
        <v>36.192388447592435</v>
      </c>
      <c r="G57" s="161">
        <v>12.357262627703207</v>
      </c>
      <c r="H57" s="161">
        <v>21.008802914971241</v>
      </c>
      <c r="I57" s="161">
        <v>12.341966607275552</v>
      </c>
      <c r="J57" s="161">
        <v>9.1073666648483993</v>
      </c>
      <c r="K57" s="161">
        <v>9.8718290180855632</v>
      </c>
      <c r="L57" s="161">
        <v>7.9222634916697388</v>
      </c>
      <c r="M57" s="161">
        <v>9.6309099153120314</v>
      </c>
      <c r="N57" s="161">
        <v>2.5197987804545789</v>
      </c>
      <c r="O57" s="161">
        <v>1.3721201555712241</v>
      </c>
      <c r="P57" s="161">
        <v>4.6393941826104594</v>
      </c>
      <c r="Q57" s="161">
        <v>2.6525904283084571</v>
      </c>
      <c r="R57" s="161">
        <v>0.89629508693091964</v>
      </c>
      <c r="S57" s="161">
        <v>4.0339312843337325</v>
      </c>
      <c r="T57" s="161">
        <v>-0.34880164087324772</v>
      </c>
      <c r="U57" s="161">
        <v>0.53328295572619311</v>
      </c>
      <c r="V57" s="161">
        <v>3.3202317849507068</v>
      </c>
      <c r="W57" s="161">
        <v>1.9156075484405051</v>
      </c>
      <c r="X57" s="161">
        <v>2.2863181180498628</v>
      </c>
      <c r="Y57" s="161">
        <v>-1.5815956617372677</v>
      </c>
      <c r="Z57" s="161">
        <v>-0.9435784761144248</v>
      </c>
      <c r="AA57" s="162">
        <v>1.6268666747444911</v>
      </c>
      <c r="AB57" s="162">
        <v>1.9364858522484667</v>
      </c>
    </row>
    <row r="58" spans="1:28">
      <c r="A58" s="160" t="s">
        <v>122</v>
      </c>
      <c r="B58" s="160" t="s">
        <v>123</v>
      </c>
      <c r="C58" s="160" t="s">
        <v>224</v>
      </c>
      <c r="D58" s="160" t="s">
        <v>225</v>
      </c>
      <c r="E58" s="161">
        <v>2.8338651631718506</v>
      </c>
      <c r="F58" s="161">
        <v>2.675378208039632</v>
      </c>
      <c r="G58" s="161">
        <v>1.6777372620378372</v>
      </c>
      <c r="H58" s="161">
        <v>0.66532018954521277</v>
      </c>
      <c r="I58" s="161">
        <v>1.533473903858777</v>
      </c>
      <c r="J58" s="161">
        <v>1.2568325157716487</v>
      </c>
      <c r="K58" s="161">
        <v>2.0071198205836538</v>
      </c>
      <c r="L58" s="161">
        <v>1.9884038985662897</v>
      </c>
      <c r="M58" s="161">
        <v>1.1874342593338127</v>
      </c>
      <c r="N58" s="161">
        <v>1.6812514659920339</v>
      </c>
      <c r="O58" s="161">
        <v>2.9985628288375921</v>
      </c>
      <c r="P58" s="161">
        <v>2.4962109243762427</v>
      </c>
      <c r="Q58" s="161">
        <v>2.3031242299285282</v>
      </c>
      <c r="R58" s="161">
        <v>1.6460746708608269</v>
      </c>
      <c r="S58" s="161">
        <v>2.3257303549665949</v>
      </c>
      <c r="T58" s="161">
        <v>2.8778867533317793</v>
      </c>
      <c r="U58" s="161">
        <v>2.1245980194202474</v>
      </c>
      <c r="V58" s="161">
        <v>2.2788376472719278</v>
      </c>
      <c r="W58" s="161">
        <v>4.2317119872726607</v>
      </c>
      <c r="X58" s="161">
        <v>0.66374650192950924</v>
      </c>
      <c r="Y58" s="161">
        <v>4.2759426842124242</v>
      </c>
      <c r="Z58" s="161">
        <v>0.72329911148479198</v>
      </c>
      <c r="AA58" s="162">
        <v>2.2537149425523921</v>
      </c>
      <c r="AB58" s="162">
        <v>1.3715100327390246</v>
      </c>
    </row>
    <row r="59" spans="1:28">
      <c r="A59" s="160" t="s">
        <v>122</v>
      </c>
      <c r="B59" s="160" t="s">
        <v>123</v>
      </c>
      <c r="C59" s="160" t="s">
        <v>226</v>
      </c>
      <c r="D59" s="160" t="s">
        <v>227</v>
      </c>
      <c r="E59" s="161" t="s">
        <v>125</v>
      </c>
      <c r="F59" s="161">
        <v>6.8000428633242791</v>
      </c>
      <c r="G59" s="161">
        <v>3.3999711626945555</v>
      </c>
      <c r="H59" s="161">
        <v>4.399987766928092</v>
      </c>
      <c r="I59" s="161">
        <v>6.5000047124740661</v>
      </c>
      <c r="J59" s="161">
        <v>4.8860477741584702</v>
      </c>
      <c r="K59" s="161">
        <v>3.512804009674781</v>
      </c>
      <c r="L59" s="161">
        <v>2.5198926182847998</v>
      </c>
      <c r="M59" s="161">
        <v>2.2045557815838066</v>
      </c>
      <c r="N59" s="161">
        <v>2.0184355681502382</v>
      </c>
      <c r="O59" s="161">
        <v>2.4000000000000483</v>
      </c>
      <c r="P59" s="161">
        <v>1.7597047885583805</v>
      </c>
      <c r="Q59" s="161">
        <v>0.63252459902788871</v>
      </c>
      <c r="R59" s="161">
        <v>1.9682326162773052</v>
      </c>
      <c r="S59" s="161">
        <v>3.1315534685603978</v>
      </c>
      <c r="T59" s="161">
        <v>3.1213279224735686</v>
      </c>
      <c r="U59" s="161">
        <v>3.5315658662880622</v>
      </c>
      <c r="V59" s="161">
        <v>4.9292006059029347</v>
      </c>
      <c r="W59" s="161">
        <v>11.370824532638622</v>
      </c>
      <c r="X59" s="161">
        <v>14.293013321659757</v>
      </c>
      <c r="Y59" s="161">
        <v>-9.880848339008935</v>
      </c>
      <c r="Z59" s="161">
        <v>4.1832863794759874</v>
      </c>
      <c r="AA59" s="162">
        <v>6.0539853848219565</v>
      </c>
      <c r="AB59" s="162">
        <v>2.4647036682166288</v>
      </c>
    </row>
    <row r="60" spans="1:28">
      <c r="A60" s="160" t="s">
        <v>122</v>
      </c>
      <c r="B60" s="160" t="s">
        <v>123</v>
      </c>
      <c r="C60" s="160" t="s">
        <v>228</v>
      </c>
      <c r="D60" s="160" t="s">
        <v>229</v>
      </c>
      <c r="E60" s="161">
        <v>3.0281730736983548</v>
      </c>
      <c r="F60" s="161">
        <v>7.8308986277113348</v>
      </c>
      <c r="G60" s="161">
        <v>4.1427125213939746</v>
      </c>
      <c r="H60" s="161">
        <v>2.7878746294956329</v>
      </c>
      <c r="I60" s="161">
        <v>5.9876554923490346</v>
      </c>
      <c r="J60" s="161">
        <v>1.9675762112026973</v>
      </c>
      <c r="K60" s="161">
        <v>2.8217805659142243</v>
      </c>
      <c r="L60" s="161">
        <v>2.4220055425424221</v>
      </c>
      <c r="M60" s="161">
        <v>0.16434834047605307</v>
      </c>
      <c r="N60" s="161">
        <v>2.8954245770050733</v>
      </c>
      <c r="O60" s="161">
        <v>28.383460451089888</v>
      </c>
      <c r="P60" s="161">
        <v>2.0661734853863152</v>
      </c>
      <c r="Q60" s="161">
        <v>0.95785953552309877</v>
      </c>
      <c r="R60" s="161">
        <v>-2.9520985804108619</v>
      </c>
      <c r="S60" s="161">
        <v>4.5134087062557171</v>
      </c>
      <c r="T60" s="161">
        <v>-0.64868039757575957</v>
      </c>
      <c r="U60" s="161">
        <v>-3.4633604053596088</v>
      </c>
      <c r="V60" s="161">
        <v>1.9213174748398956</v>
      </c>
      <c r="W60" s="161">
        <v>1.6100885788552688</v>
      </c>
      <c r="X60" s="161">
        <v>7.9982284274129967</v>
      </c>
      <c r="Y60" s="161">
        <v>-2.7041400513072062</v>
      </c>
      <c r="Z60" s="161">
        <v>3.1669508725979512</v>
      </c>
      <c r="AA60" s="162">
        <v>2.0375034840148345</v>
      </c>
      <c r="AB60" s="162">
        <v>2.6595010646516215</v>
      </c>
    </row>
    <row r="61" spans="1:28">
      <c r="A61" s="160" t="s">
        <v>122</v>
      </c>
      <c r="B61" s="160" t="s">
        <v>123</v>
      </c>
      <c r="C61" s="160" t="s">
        <v>230</v>
      </c>
      <c r="D61" s="160" t="s">
        <v>231</v>
      </c>
      <c r="E61" s="161">
        <v>50.459253170627079</v>
      </c>
      <c r="F61" s="161">
        <v>102.75463506341995</v>
      </c>
      <c r="G61" s="161">
        <v>5.6167064999046943</v>
      </c>
      <c r="H61" s="161">
        <v>5.0085654868537546</v>
      </c>
      <c r="I61" s="161">
        <v>10.183854831817456</v>
      </c>
      <c r="J61" s="161">
        <v>9.4044348191903708</v>
      </c>
      <c r="K61" s="161">
        <v>3.4324054786263076</v>
      </c>
      <c r="L61" s="161">
        <v>8.6612332195379054</v>
      </c>
      <c r="M61" s="161">
        <v>6.0001310899053095</v>
      </c>
      <c r="N61" s="161">
        <v>3.47959844689953</v>
      </c>
      <c r="O61" s="161">
        <v>6.9143735488675304</v>
      </c>
      <c r="P61" s="161">
        <v>5.1081051196190401</v>
      </c>
      <c r="Q61" s="161">
        <v>5.4717276812103535</v>
      </c>
      <c r="R61" s="161">
        <v>33.633764728024289</v>
      </c>
      <c r="S61" s="161">
        <v>45.191128408341172</v>
      </c>
      <c r="T61" s="161">
        <v>2.694558283250899</v>
      </c>
      <c r="U61" s="161">
        <v>5.3996558907285532</v>
      </c>
      <c r="V61" s="161">
        <v>5.7008572546108525</v>
      </c>
      <c r="W61" s="161">
        <v>9.7676417153538182</v>
      </c>
      <c r="X61" s="161">
        <v>2.9534006437342555</v>
      </c>
      <c r="Y61" s="161">
        <v>5.1418078036241184</v>
      </c>
      <c r="Z61" s="161">
        <v>6.6499369476047576</v>
      </c>
      <c r="AA61" s="162">
        <v>5.227347550385403</v>
      </c>
      <c r="AB61" s="162">
        <v>5.1066438378195613</v>
      </c>
    </row>
    <row r="62" spans="1:28">
      <c r="A62" s="160" t="s">
        <v>122</v>
      </c>
      <c r="B62" s="160" t="s">
        <v>123</v>
      </c>
      <c r="C62" s="160" t="s">
        <v>232</v>
      </c>
      <c r="D62" s="160" t="s">
        <v>233</v>
      </c>
      <c r="E62" s="161">
        <v>5.8136292025555747</v>
      </c>
      <c r="F62" s="161">
        <v>6.8893203828777274</v>
      </c>
      <c r="G62" s="161">
        <v>4.3032294283623003</v>
      </c>
      <c r="H62" s="161">
        <v>2.6417708897191687</v>
      </c>
      <c r="I62" s="161">
        <v>15.008719347712614</v>
      </c>
      <c r="J62" s="161">
        <v>5.2225532283900264</v>
      </c>
      <c r="K62" s="161">
        <v>1.4901548145117403</v>
      </c>
      <c r="L62" s="161">
        <v>7.006173042026262</v>
      </c>
      <c r="M62" s="161">
        <v>-3.7826792354183993</v>
      </c>
      <c r="N62" s="161">
        <v>-26.299992832085366</v>
      </c>
      <c r="O62" s="161">
        <v>-7.7140667636792273</v>
      </c>
      <c r="P62" s="161">
        <v>28.414278456746331</v>
      </c>
      <c r="Q62" s="161">
        <v>12.085274421131317</v>
      </c>
      <c r="R62" s="161">
        <v>10.59309045002459</v>
      </c>
      <c r="S62" s="161">
        <v>4.2618424860659871</v>
      </c>
      <c r="T62" s="161">
        <v>7.7327110110730501</v>
      </c>
      <c r="U62" s="161">
        <v>8.0009108217188327</v>
      </c>
      <c r="V62" s="161">
        <v>6.6505022729349292</v>
      </c>
      <c r="W62" s="161">
        <v>13.847318899426526</v>
      </c>
      <c r="X62" s="161">
        <v>0.65553755919384571</v>
      </c>
      <c r="Y62" s="161">
        <v>4.8904083612519145</v>
      </c>
      <c r="Z62" s="161">
        <v>5.4483646246657145</v>
      </c>
      <c r="AA62" s="162">
        <v>4.1349325137099981</v>
      </c>
      <c r="AB62" s="162">
        <v>2.9999999999999858</v>
      </c>
    </row>
    <row r="63" spans="1:28">
      <c r="A63" s="160" t="s">
        <v>122</v>
      </c>
      <c r="B63" s="160" t="s">
        <v>123</v>
      </c>
      <c r="C63" s="160" t="s">
        <v>234</v>
      </c>
      <c r="D63" s="160" t="s">
        <v>235</v>
      </c>
      <c r="E63" s="161">
        <v>18.440607229296546</v>
      </c>
      <c r="F63" s="161">
        <v>14.478571922811057</v>
      </c>
      <c r="G63" s="161">
        <v>19.73341853932935</v>
      </c>
      <c r="H63" s="161">
        <v>8.4291053900164172</v>
      </c>
      <c r="I63" s="161">
        <v>8.4488715641338246</v>
      </c>
      <c r="J63" s="161">
        <v>11.399741495637628</v>
      </c>
      <c r="K63" s="161">
        <v>7.1076674461833704</v>
      </c>
      <c r="L63" s="161">
        <v>9.8775515213478542</v>
      </c>
      <c r="M63" s="161">
        <v>3.8922730393042855</v>
      </c>
      <c r="N63" s="161">
        <v>0.86995640204304436</v>
      </c>
      <c r="O63" s="161">
        <v>4.9328671137663918</v>
      </c>
      <c r="P63" s="161">
        <v>1.8677257208251632</v>
      </c>
      <c r="Q63" s="161">
        <v>3.1854479637311499</v>
      </c>
      <c r="R63" s="161">
        <v>6.777427527634444</v>
      </c>
      <c r="S63" s="161">
        <v>11.669908998105498</v>
      </c>
      <c r="T63" s="161">
        <v>6.2127285419584695</v>
      </c>
      <c r="U63" s="161">
        <v>7.3599779164281927</v>
      </c>
      <c r="V63" s="161">
        <v>12.595740057197816</v>
      </c>
      <c r="W63" s="161">
        <v>12.203984463100028</v>
      </c>
      <c r="X63" s="161">
        <v>11.172234602094662</v>
      </c>
      <c r="Y63" s="161">
        <v>10.107509758646245</v>
      </c>
      <c r="Z63" s="161">
        <v>11.665332630983656</v>
      </c>
      <c r="AA63" s="162">
        <v>12.42312963251004</v>
      </c>
      <c r="AB63" s="162">
        <v>8.9953997264701684</v>
      </c>
    </row>
    <row r="64" spans="1:28">
      <c r="A64" s="160" t="s">
        <v>122</v>
      </c>
      <c r="B64" s="160" t="s">
        <v>123</v>
      </c>
      <c r="C64" s="160" t="s">
        <v>236</v>
      </c>
      <c r="D64" s="160" t="s">
        <v>237</v>
      </c>
      <c r="E64" s="161">
        <v>4.7439792923274382</v>
      </c>
      <c r="F64" s="161">
        <v>6.805293005671075</v>
      </c>
      <c r="G64" s="161">
        <v>4.2557639120680761</v>
      </c>
      <c r="H64" s="161">
        <v>8.5159018138351001</v>
      </c>
      <c r="I64" s="161">
        <v>9.891924584159014</v>
      </c>
      <c r="J64" s="161">
        <v>10.434959986520127</v>
      </c>
      <c r="K64" s="161">
        <v>6.7576490596958934</v>
      </c>
      <c r="L64" s="161">
        <v>3.5445894293025617</v>
      </c>
      <c r="M64" s="161">
        <v>3.9498464902140569</v>
      </c>
      <c r="N64" s="161">
        <v>0.33904759133642415</v>
      </c>
      <c r="O64" s="161">
        <v>3.1499068680004143</v>
      </c>
      <c r="P64" s="161">
        <v>3.3996688912855575</v>
      </c>
      <c r="Q64" s="161">
        <v>1.2073344948627494</v>
      </c>
      <c r="R64" s="161">
        <v>2.8077833793839204</v>
      </c>
      <c r="S64" s="161">
        <v>3.0874453502700305</v>
      </c>
      <c r="T64" s="161">
        <v>4.4778957729601387</v>
      </c>
      <c r="U64" s="161">
        <v>4.4374344407113568</v>
      </c>
      <c r="V64" s="161">
        <v>4.3705369685946778</v>
      </c>
      <c r="W64" s="161">
        <v>5.2547201017492711</v>
      </c>
      <c r="X64" s="161">
        <v>-0.47475411965987746</v>
      </c>
      <c r="Y64" s="161">
        <v>2.2696010450895727</v>
      </c>
      <c r="Z64" s="161">
        <v>5.690793056498535</v>
      </c>
      <c r="AA64" s="162">
        <v>1.0153700564124506</v>
      </c>
      <c r="AB64" s="162">
        <v>0.19167841159426757</v>
      </c>
    </row>
    <row r="65" spans="1:28">
      <c r="A65" s="160" t="s">
        <v>122</v>
      </c>
      <c r="B65" s="160" t="s">
        <v>123</v>
      </c>
      <c r="C65" s="160" t="s">
        <v>238</v>
      </c>
      <c r="D65" s="160" t="s">
        <v>239</v>
      </c>
      <c r="E65" s="161">
        <v>10.352526838745717</v>
      </c>
      <c r="F65" s="161">
        <v>3.5521123680603068</v>
      </c>
      <c r="G65" s="161">
        <v>-15.423700509744592</v>
      </c>
      <c r="H65" s="161">
        <v>-2.6931153685925722</v>
      </c>
      <c r="I65" s="161">
        <v>24.526346778797617</v>
      </c>
      <c r="J65" s="161">
        <v>7.6808340729587883</v>
      </c>
      <c r="K65" s="161">
        <v>0.82119633360970568</v>
      </c>
      <c r="L65" s="161">
        <v>-13.147173674666817</v>
      </c>
      <c r="M65" s="161">
        <v>-31.565914961116803</v>
      </c>
      <c r="N65" s="161">
        <v>39.157625643468975</v>
      </c>
      <c r="O65" s="161">
        <v>64.735022309709677</v>
      </c>
      <c r="P65" s="161">
        <v>-11.971527429286937</v>
      </c>
      <c r="Q65" s="161">
        <v>-1.5828902712352573</v>
      </c>
      <c r="R65" s="161">
        <v>0.63562189940731173</v>
      </c>
      <c r="S65" s="161">
        <v>16.922763506621209</v>
      </c>
      <c r="T65" s="161">
        <v>42.646226906524703</v>
      </c>
      <c r="U65" s="161">
        <v>14.406246818823149</v>
      </c>
      <c r="V65" s="161">
        <v>2.2254727535039791</v>
      </c>
      <c r="W65" s="161">
        <v>25.830797486337559</v>
      </c>
      <c r="X65" s="161">
        <v>-30.225505738489858</v>
      </c>
      <c r="Y65" s="161">
        <v>31.264000712919426</v>
      </c>
      <c r="Z65" s="161">
        <v>23.077391886908401</v>
      </c>
      <c r="AA65" s="162">
        <v>9.9626692309591647</v>
      </c>
      <c r="AB65" s="162">
        <v>-3.8891682843176056</v>
      </c>
    </row>
    <row r="66" spans="1:28">
      <c r="A66" s="160" t="s">
        <v>122</v>
      </c>
      <c r="B66" s="160" t="s">
        <v>123</v>
      </c>
      <c r="C66" s="160" t="s">
        <v>240</v>
      </c>
      <c r="D66" s="160" t="s">
        <v>241</v>
      </c>
      <c r="E66" s="161" t="s">
        <v>125</v>
      </c>
      <c r="F66" s="161" t="s">
        <v>125</v>
      </c>
      <c r="G66" s="161" t="s">
        <v>125</v>
      </c>
      <c r="H66" s="161">
        <v>-1.3831700146348425</v>
      </c>
      <c r="I66" s="161">
        <v>10.432147861878377</v>
      </c>
      <c r="J66" s="161">
        <v>9.8100406201095041</v>
      </c>
      <c r="K66" s="161">
        <v>9.0748335592534488</v>
      </c>
      <c r="L66" s="161">
        <v>3.897151912293026</v>
      </c>
      <c r="M66" s="161">
        <v>9.1091726783035085</v>
      </c>
      <c r="N66" s="161">
        <v>2.3185615968127564</v>
      </c>
      <c r="O66" s="161">
        <v>24.977595258725898</v>
      </c>
      <c r="P66" s="161">
        <v>15.077269124004971</v>
      </c>
      <c r="Q66" s="161">
        <v>16.148667726942477</v>
      </c>
      <c r="R66" s="161">
        <v>21.872841277710293</v>
      </c>
      <c r="S66" s="161">
        <v>24.79928703064887</v>
      </c>
      <c r="T66" s="161">
        <v>7.6236895167562295</v>
      </c>
      <c r="U66" s="161">
        <v>11.394003193597939</v>
      </c>
      <c r="V66" s="161">
        <v>7.288208954364535</v>
      </c>
      <c r="W66" s="161">
        <v>16.076219541972534</v>
      </c>
      <c r="X66" s="161">
        <v>29.504506597168785</v>
      </c>
      <c r="Y66" s="161">
        <v>11.573758226025561</v>
      </c>
      <c r="Z66" s="161">
        <v>13.340850208569833</v>
      </c>
      <c r="AA66" s="162">
        <v>10.794306110020486</v>
      </c>
      <c r="AB66" s="162">
        <v>9.9240783171167237</v>
      </c>
    </row>
    <row r="67" spans="1:28">
      <c r="A67" s="160" t="s">
        <v>122</v>
      </c>
      <c r="B67" s="160" t="s">
        <v>123</v>
      </c>
      <c r="C67" s="160" t="s">
        <v>242</v>
      </c>
      <c r="D67" s="160" t="s">
        <v>243</v>
      </c>
      <c r="E67" s="161" t="s">
        <v>125</v>
      </c>
      <c r="F67" s="161" t="s">
        <v>125</v>
      </c>
      <c r="G67" s="161" t="s">
        <v>125</v>
      </c>
      <c r="H67" s="161" t="s">
        <v>125</v>
      </c>
      <c r="I67" s="161">
        <v>39.669014331430901</v>
      </c>
      <c r="J67" s="161">
        <v>31.517058192606186</v>
      </c>
      <c r="K67" s="161">
        <v>24.136190338375528</v>
      </c>
      <c r="L67" s="161">
        <v>10.237948133288711</v>
      </c>
      <c r="M67" s="161">
        <v>5.1502902525992766</v>
      </c>
      <c r="N67" s="161">
        <v>6.7714638658681281</v>
      </c>
      <c r="O67" s="161">
        <v>4.792985992449502</v>
      </c>
      <c r="P67" s="161">
        <v>6.4779335825312643</v>
      </c>
      <c r="Q67" s="161">
        <v>4.6864351032234168</v>
      </c>
      <c r="R67" s="161">
        <v>4.0420794500816584</v>
      </c>
      <c r="S67" s="161">
        <v>4.4580857884091643</v>
      </c>
      <c r="T67" s="161">
        <v>6.0608444174639118</v>
      </c>
      <c r="U67" s="161">
        <v>8.7725494887862538</v>
      </c>
      <c r="V67" s="161">
        <v>11.639335946628023</v>
      </c>
      <c r="W67" s="161">
        <v>5.4067078645373812</v>
      </c>
      <c r="X67" s="161">
        <v>0.16876250110252045</v>
      </c>
      <c r="Y67" s="161">
        <v>0.30069229772409756</v>
      </c>
      <c r="Z67" s="161">
        <v>2.9958669009388075</v>
      </c>
      <c r="AA67" s="162">
        <v>3.3223041982914054</v>
      </c>
      <c r="AB67" s="162">
        <v>4.9826367092589123</v>
      </c>
    </row>
    <row r="68" spans="1:28">
      <c r="A68" s="160" t="s">
        <v>122</v>
      </c>
      <c r="B68" s="160" t="s">
        <v>123</v>
      </c>
      <c r="C68" s="160" t="s">
        <v>244</v>
      </c>
      <c r="D68" s="160" t="s">
        <v>245</v>
      </c>
      <c r="E68" s="161">
        <v>3.2717333764928185</v>
      </c>
      <c r="F68" s="161">
        <v>19.083769728052417</v>
      </c>
      <c r="G68" s="161">
        <v>15.532492976361098</v>
      </c>
      <c r="H68" s="161">
        <v>13.376352765073335</v>
      </c>
      <c r="I68" s="161">
        <v>2.9308208507257376</v>
      </c>
      <c r="J68" s="161">
        <v>12.706720166940229</v>
      </c>
      <c r="K68" s="161">
        <v>0.23899344916611653</v>
      </c>
      <c r="L68" s="161">
        <v>0.20664976123975975</v>
      </c>
      <c r="M68" s="161">
        <v>-0.15063523215516739</v>
      </c>
      <c r="N68" s="161">
        <v>2.2230835033320488</v>
      </c>
      <c r="O68" s="161">
        <v>9.4645617164298415</v>
      </c>
      <c r="P68" s="161">
        <v>-5.7553719862626593</v>
      </c>
      <c r="Q68" s="161">
        <v>-3.6210169747425027</v>
      </c>
      <c r="R68" s="161">
        <v>12.767404354559318</v>
      </c>
      <c r="S68" s="161">
        <v>3.9116260165696985</v>
      </c>
      <c r="T68" s="161">
        <v>9.8752907682100073</v>
      </c>
      <c r="U68" s="161">
        <v>11.552090316787172</v>
      </c>
      <c r="V68" s="161">
        <v>17.220834739367064</v>
      </c>
      <c r="W68" s="161">
        <v>30.312486695414293</v>
      </c>
      <c r="X68" s="161">
        <v>24.146079335620854</v>
      </c>
      <c r="Y68" s="161">
        <v>1.4445810046824477</v>
      </c>
      <c r="Z68" s="161">
        <v>20.061867025808283</v>
      </c>
      <c r="AA68" s="162">
        <v>34.349040044382605</v>
      </c>
      <c r="AB68" s="162">
        <v>4.6125371348358044</v>
      </c>
    </row>
    <row r="69" spans="1:28">
      <c r="A69" s="160" t="s">
        <v>122</v>
      </c>
      <c r="B69" s="160" t="s">
        <v>123</v>
      </c>
      <c r="C69" s="160" t="s">
        <v>246</v>
      </c>
      <c r="D69" s="160" t="s">
        <v>247</v>
      </c>
      <c r="E69" s="161" t="s">
        <v>125</v>
      </c>
      <c r="F69" s="161" t="s">
        <v>125</v>
      </c>
      <c r="G69" s="161" t="s">
        <v>125</v>
      </c>
      <c r="H69" s="161" t="s">
        <v>125</v>
      </c>
      <c r="I69" s="161" t="s">
        <v>125</v>
      </c>
      <c r="J69" s="161" t="s">
        <v>125</v>
      </c>
      <c r="K69" s="161" t="s">
        <v>125</v>
      </c>
      <c r="L69" s="161" t="s">
        <v>125</v>
      </c>
      <c r="M69" s="161" t="s">
        <v>125</v>
      </c>
      <c r="N69" s="161" t="s">
        <v>125</v>
      </c>
      <c r="O69" s="161" t="s">
        <v>125</v>
      </c>
      <c r="P69" s="161" t="s">
        <v>125</v>
      </c>
      <c r="Q69" s="161" t="s">
        <v>125</v>
      </c>
      <c r="R69" s="161" t="s">
        <v>125</v>
      </c>
      <c r="S69" s="161" t="s">
        <v>125</v>
      </c>
      <c r="T69" s="161" t="s">
        <v>125</v>
      </c>
      <c r="U69" s="161" t="s">
        <v>125</v>
      </c>
      <c r="V69" s="161" t="s">
        <v>125</v>
      </c>
      <c r="W69" s="161" t="s">
        <v>125</v>
      </c>
      <c r="X69" s="161" t="s">
        <v>125</v>
      </c>
      <c r="Y69" s="161" t="s">
        <v>125</v>
      </c>
      <c r="Z69" s="161" t="s">
        <v>125</v>
      </c>
      <c r="AA69" s="162" t="s">
        <v>125</v>
      </c>
      <c r="AB69" s="162" t="s">
        <v>125</v>
      </c>
    </row>
    <row r="70" spans="1:28">
      <c r="A70" s="160" t="s">
        <v>122</v>
      </c>
      <c r="B70" s="160" t="s">
        <v>123</v>
      </c>
      <c r="C70" s="160" t="s">
        <v>248</v>
      </c>
      <c r="D70" s="160" t="s">
        <v>249</v>
      </c>
      <c r="E70" s="161">
        <v>6.6794721113089253</v>
      </c>
      <c r="F70" s="161">
        <v>5.9931275758614504</v>
      </c>
      <c r="G70" s="161">
        <v>6.2651334233683826</v>
      </c>
      <c r="H70" s="161">
        <v>7.2367370737931793</v>
      </c>
      <c r="I70" s="161">
        <v>0.84161086209503821</v>
      </c>
      <c r="J70" s="161">
        <v>1.1569029026616988</v>
      </c>
      <c r="K70" s="161">
        <v>2.8959918498662915</v>
      </c>
      <c r="L70" s="161">
        <v>3.4506122650109035</v>
      </c>
      <c r="M70" s="161">
        <v>7.487580901817509</v>
      </c>
      <c r="N70" s="161">
        <v>6.8110926054656034</v>
      </c>
      <c r="O70" s="161">
        <v>-4.6665240705194577</v>
      </c>
      <c r="P70" s="161">
        <v>3.3610652693580505</v>
      </c>
      <c r="Q70" s="161">
        <v>3.3190158350951009</v>
      </c>
      <c r="R70" s="161">
        <v>7.8738303466490294</v>
      </c>
      <c r="S70" s="161">
        <v>2.239113014753741</v>
      </c>
      <c r="T70" s="161">
        <v>6.817738083535275</v>
      </c>
      <c r="U70" s="161">
        <v>3.7251067498803394</v>
      </c>
      <c r="V70" s="161">
        <v>2.9550565421333204</v>
      </c>
      <c r="W70" s="161">
        <v>4.4270198670661074</v>
      </c>
      <c r="X70" s="161">
        <v>0.1746823066609835</v>
      </c>
      <c r="Y70" s="161">
        <v>8.0125829441605418</v>
      </c>
      <c r="Z70" s="161">
        <v>6.799211775395662</v>
      </c>
      <c r="AA70" s="162">
        <v>5.001188861854942</v>
      </c>
      <c r="AB70" s="162">
        <v>-4.7931212524858324E-2</v>
      </c>
    </row>
    <row r="71" spans="1:28">
      <c r="A71" s="160" t="s">
        <v>122</v>
      </c>
      <c r="B71" s="160" t="s">
        <v>123</v>
      </c>
      <c r="C71" s="160" t="s">
        <v>250</v>
      </c>
      <c r="D71" s="160" t="s">
        <v>251</v>
      </c>
      <c r="E71" s="161">
        <v>5.4288232048952665</v>
      </c>
      <c r="F71" s="161">
        <v>1.5006397722219873</v>
      </c>
      <c r="G71" s="161">
        <v>0.91893928328339314</v>
      </c>
      <c r="H71" s="161">
        <v>1.9238447800085794</v>
      </c>
      <c r="I71" s="161">
        <v>1.6371634351141466</v>
      </c>
      <c r="J71" s="161">
        <v>4.5230874193387081</v>
      </c>
      <c r="K71" s="161">
        <v>-0.36379854481563711</v>
      </c>
      <c r="L71" s="161">
        <v>1.9919101022461092</v>
      </c>
      <c r="M71" s="161">
        <v>3.4124735305377243</v>
      </c>
      <c r="N71" s="161">
        <v>0.93376779638556684</v>
      </c>
      <c r="O71" s="161">
        <v>2.6095273910446508</v>
      </c>
      <c r="P71" s="161">
        <v>3.013001612259302</v>
      </c>
      <c r="Q71" s="161">
        <v>1.2713218760863896</v>
      </c>
      <c r="R71" s="161">
        <v>-0.6863669542586166</v>
      </c>
      <c r="S71" s="161">
        <v>0.48308247744685673</v>
      </c>
      <c r="T71" s="161">
        <v>0.46126600781593652</v>
      </c>
      <c r="U71" s="161">
        <v>0.84712963794468976</v>
      </c>
      <c r="V71" s="161">
        <v>2.9901470363948448</v>
      </c>
      <c r="W71" s="161">
        <v>2.9452945794514278</v>
      </c>
      <c r="X71" s="161">
        <v>1.4731454577431293</v>
      </c>
      <c r="Y71" s="161">
        <v>0.34297865863462107</v>
      </c>
      <c r="Z71" s="161">
        <v>2.7051420769605272</v>
      </c>
      <c r="AA71" s="162">
        <v>2.9483122861585969</v>
      </c>
      <c r="AB71" s="162">
        <v>1.9749533361438409</v>
      </c>
    </row>
    <row r="72" spans="1:28">
      <c r="A72" s="160" t="s">
        <v>122</v>
      </c>
      <c r="B72" s="160" t="s">
        <v>123</v>
      </c>
      <c r="C72" s="160" t="s">
        <v>87</v>
      </c>
      <c r="D72" s="160" t="s">
        <v>252</v>
      </c>
      <c r="E72" s="161">
        <v>2.7560425363660102</v>
      </c>
      <c r="F72" s="161">
        <v>2.6505729678416117</v>
      </c>
      <c r="G72" s="161">
        <v>1.9300943209851198</v>
      </c>
      <c r="H72" s="161">
        <v>1.7483338719337098</v>
      </c>
      <c r="I72" s="161">
        <v>1.1250317456870533</v>
      </c>
      <c r="J72" s="161">
        <v>1.2351104862116102</v>
      </c>
      <c r="K72" s="161">
        <v>1.4604478211940375</v>
      </c>
      <c r="L72" s="161">
        <v>0.91343163123327997</v>
      </c>
      <c r="M72" s="161">
        <v>1.0347874294226216</v>
      </c>
      <c r="N72" s="161">
        <v>0.17666794493929672</v>
      </c>
      <c r="O72" s="161">
        <v>1.5727941343103282</v>
      </c>
      <c r="P72" s="161">
        <v>2.013867795399932</v>
      </c>
      <c r="Q72" s="161">
        <v>2.2182463093154468</v>
      </c>
      <c r="R72" s="161">
        <v>1.9974018486700089</v>
      </c>
      <c r="S72" s="161">
        <v>1.6742578729255655</v>
      </c>
      <c r="T72" s="161">
        <v>1.9122259807428605</v>
      </c>
      <c r="U72" s="161">
        <v>2.1407583037997995</v>
      </c>
      <c r="V72" s="161">
        <v>2.5872997498961752</v>
      </c>
      <c r="W72" s="161">
        <v>2.5420740256417247</v>
      </c>
      <c r="X72" s="161">
        <v>0.71604918767161507</v>
      </c>
      <c r="Y72" s="161">
        <v>0.96084729044463302</v>
      </c>
      <c r="Z72" s="161">
        <v>1.2866109852154466</v>
      </c>
      <c r="AA72" s="162">
        <v>1.5297712199578797</v>
      </c>
      <c r="AB72" s="162">
        <v>1.1396177977618436</v>
      </c>
    </row>
    <row r="73" spans="1:28">
      <c r="A73" s="160" t="s">
        <v>122</v>
      </c>
      <c r="B73" s="160" t="s">
        <v>123</v>
      </c>
      <c r="C73" s="160" t="s">
        <v>253</v>
      </c>
      <c r="D73" s="160" t="s">
        <v>254</v>
      </c>
      <c r="E73" s="161">
        <v>0.76436396354293379</v>
      </c>
      <c r="F73" s="161">
        <v>1.4501747457204175</v>
      </c>
      <c r="G73" s="161">
        <v>1.271569883610681</v>
      </c>
      <c r="H73" s="161">
        <v>2.0028435025181324</v>
      </c>
      <c r="I73" s="161">
        <v>0.86732343833875802</v>
      </c>
      <c r="J73" s="161">
        <v>1.1415640302496968</v>
      </c>
      <c r="K73" s="161">
        <v>1.4683379835990706</v>
      </c>
      <c r="L73" s="161">
        <v>0.98404423219349724</v>
      </c>
      <c r="M73" s="161">
        <v>0.72591437929460767</v>
      </c>
      <c r="N73" s="161">
        <v>0.93059324954165845</v>
      </c>
      <c r="O73" s="161">
        <v>0.96153405067023812</v>
      </c>
      <c r="P73" s="161" t="s">
        <v>125</v>
      </c>
      <c r="Q73" s="161" t="s">
        <v>125</v>
      </c>
      <c r="R73" s="161" t="s">
        <v>125</v>
      </c>
      <c r="S73" s="161" t="s">
        <v>125</v>
      </c>
      <c r="T73" s="161" t="s">
        <v>125</v>
      </c>
      <c r="U73" s="161" t="s">
        <v>125</v>
      </c>
      <c r="V73" s="161" t="s">
        <v>125</v>
      </c>
      <c r="W73" s="161" t="s">
        <v>125</v>
      </c>
      <c r="X73" s="161" t="s">
        <v>125</v>
      </c>
      <c r="Y73" s="161" t="s">
        <v>125</v>
      </c>
      <c r="Z73" s="161" t="s">
        <v>125</v>
      </c>
      <c r="AA73" s="162" t="s">
        <v>125</v>
      </c>
      <c r="AB73" s="162" t="s">
        <v>125</v>
      </c>
    </row>
    <row r="74" spans="1:28">
      <c r="A74" s="160" t="s">
        <v>122</v>
      </c>
      <c r="B74" s="160" t="s">
        <v>123</v>
      </c>
      <c r="C74" s="160" t="s">
        <v>255</v>
      </c>
      <c r="D74" s="160" t="s">
        <v>256</v>
      </c>
      <c r="E74" s="161">
        <v>15.358141391166669</v>
      </c>
      <c r="F74" s="161">
        <v>-11.366102530173322</v>
      </c>
      <c r="G74" s="161">
        <v>0.21386695747578699</v>
      </c>
      <c r="H74" s="161">
        <v>-0.50948077985927398</v>
      </c>
      <c r="I74" s="161">
        <v>46.551442947829855</v>
      </c>
      <c r="J74" s="161">
        <v>1.3391154884011058</v>
      </c>
      <c r="K74" s="161">
        <v>13.562676740281532</v>
      </c>
      <c r="L74" s="161">
        <v>0.94653683909425013</v>
      </c>
      <c r="M74" s="161">
        <v>-17.786401479179631</v>
      </c>
      <c r="N74" s="161">
        <v>19.191335890319763</v>
      </c>
      <c r="O74" s="161">
        <v>28.089343595284134</v>
      </c>
      <c r="P74" s="161">
        <v>-6.2525934413139765</v>
      </c>
      <c r="Q74" s="161">
        <v>-0.24004331625468467</v>
      </c>
      <c r="R74" s="161">
        <v>-9.0206007485875261E-2</v>
      </c>
      <c r="S74" s="161">
        <v>6.3264941139725721</v>
      </c>
      <c r="T74" s="161">
        <v>17.002102405905603</v>
      </c>
      <c r="U74" s="161">
        <v>7.9268700425279661</v>
      </c>
      <c r="V74" s="161">
        <v>5.2543099972878053</v>
      </c>
      <c r="W74" s="161">
        <v>25.406762509219249</v>
      </c>
      <c r="X74" s="161">
        <v>-16.704592639859058</v>
      </c>
      <c r="Y74" s="161">
        <v>19.043154585394362</v>
      </c>
      <c r="Z74" s="161">
        <v>14.763967273942242</v>
      </c>
      <c r="AA74" s="162">
        <v>-2.7355855825475999</v>
      </c>
      <c r="AB74" s="162">
        <v>-0.92864088734741301</v>
      </c>
    </row>
    <row r="75" spans="1:28">
      <c r="A75" s="160" t="s">
        <v>122</v>
      </c>
      <c r="B75" s="160" t="s">
        <v>123</v>
      </c>
      <c r="C75" s="160" t="s">
        <v>257</v>
      </c>
      <c r="D75" s="160" t="s">
        <v>258</v>
      </c>
      <c r="E75" s="161">
        <v>11.964533393537778</v>
      </c>
      <c r="F75" s="161">
        <v>134.0358728854147</v>
      </c>
      <c r="G75" s="161">
        <v>1.9500299110375181</v>
      </c>
      <c r="H75" s="161">
        <v>5.1423238262629383</v>
      </c>
      <c r="I75" s="161">
        <v>3.7773963505572254</v>
      </c>
      <c r="J75" s="161">
        <v>3.9632498812152335</v>
      </c>
      <c r="K75" s="161">
        <v>8.3685691552662433</v>
      </c>
      <c r="L75" s="161">
        <v>-5.9691190633086535</v>
      </c>
      <c r="M75" s="161">
        <v>5.4118222954379007</v>
      </c>
      <c r="N75" s="161">
        <v>-2.4354952624347277</v>
      </c>
      <c r="O75" s="161">
        <v>2.2169823481762165</v>
      </c>
      <c r="P75" s="161">
        <v>1.8054376031424226</v>
      </c>
      <c r="Q75" s="161">
        <v>10.39134522511344</v>
      </c>
      <c r="R75" s="161">
        <v>12.893940440126883</v>
      </c>
      <c r="S75" s="161">
        <v>16.846207754633411</v>
      </c>
      <c r="T75" s="161">
        <v>3.5936812416442336</v>
      </c>
      <c r="U75" s="161">
        <v>1.9317687471338587</v>
      </c>
      <c r="V75" s="161">
        <v>4.2939750850902669</v>
      </c>
      <c r="W75" s="161">
        <v>2.0113625098572925</v>
      </c>
      <c r="X75" s="161">
        <v>5.1790889776919187</v>
      </c>
      <c r="Y75" s="161">
        <v>4.2998046414123507</v>
      </c>
      <c r="Z75" s="161">
        <v>3.7152083256657846</v>
      </c>
      <c r="AA75" s="162">
        <v>4.4707877884394804</v>
      </c>
      <c r="AB75" s="162">
        <v>4.687684933219515</v>
      </c>
    </row>
    <row r="76" spans="1:28">
      <c r="A76" s="160" t="s">
        <v>122</v>
      </c>
      <c r="B76" s="160" t="s">
        <v>123</v>
      </c>
      <c r="C76" s="160" t="s">
        <v>259</v>
      </c>
      <c r="D76" s="160" t="s">
        <v>260</v>
      </c>
      <c r="E76" s="161">
        <v>22.425050544150139</v>
      </c>
      <c r="F76" s="161">
        <v>62.132461448365945</v>
      </c>
      <c r="G76" s="161">
        <v>1314.1863994943667</v>
      </c>
      <c r="H76" s="161">
        <v>15442.30071782632</v>
      </c>
      <c r="I76" s="161">
        <v>6041.5952527611962</v>
      </c>
      <c r="J76" s="161">
        <v>162.72511497928451</v>
      </c>
      <c r="K76" s="161">
        <v>43.032632305525567</v>
      </c>
      <c r="L76" s="161">
        <v>6.5379790367587844</v>
      </c>
      <c r="M76" s="161">
        <v>6.9362303627810178</v>
      </c>
      <c r="N76" s="161">
        <v>9.7266121053709327</v>
      </c>
      <c r="O76" s="161">
        <v>4.6796354621689034</v>
      </c>
      <c r="P76" s="161">
        <v>5.3769255890828305</v>
      </c>
      <c r="Q76" s="161">
        <v>5.9196597309206567</v>
      </c>
      <c r="R76" s="161">
        <v>3.4245664567771286</v>
      </c>
      <c r="S76" s="161">
        <v>8.3675189045572438</v>
      </c>
      <c r="T76" s="161">
        <v>7.9272633723333001</v>
      </c>
      <c r="U76" s="161">
        <v>8.4848595013608161</v>
      </c>
      <c r="V76" s="161">
        <v>9.692843007879091</v>
      </c>
      <c r="W76" s="161">
        <v>9.70740928690266</v>
      </c>
      <c r="X76" s="161">
        <v>-2.0083707346244069</v>
      </c>
      <c r="Y76" s="161">
        <v>8.54336738267871</v>
      </c>
      <c r="Z76" s="161">
        <v>9.7280108608029252</v>
      </c>
      <c r="AA76" s="162">
        <v>1.2335464640434566</v>
      </c>
      <c r="AB76" s="162">
        <v>-0.6429389343410179</v>
      </c>
    </row>
    <row r="77" spans="1:28">
      <c r="A77" s="160" t="s">
        <v>122</v>
      </c>
      <c r="B77" s="160" t="s">
        <v>123</v>
      </c>
      <c r="C77" s="160" t="s">
        <v>261</v>
      </c>
      <c r="D77" s="160" t="s">
        <v>262</v>
      </c>
      <c r="E77" s="161">
        <v>3.3966435130849248</v>
      </c>
      <c r="F77" s="161">
        <v>3.0850797440840267</v>
      </c>
      <c r="G77" s="161">
        <v>5.40047525815082</v>
      </c>
      <c r="H77" s="161">
        <v>3.9842707143741904</v>
      </c>
      <c r="I77" s="161">
        <v>2.4934307783614429</v>
      </c>
      <c r="J77" s="161">
        <v>2.0094187928494875</v>
      </c>
      <c r="K77" s="161">
        <v>0.63776969603483735</v>
      </c>
      <c r="L77" s="161">
        <v>0.2634773603613354</v>
      </c>
      <c r="M77" s="161">
        <v>0.58978676852474621</v>
      </c>
      <c r="N77" s="161">
        <v>0.19197152812850504</v>
      </c>
      <c r="O77" s="161">
        <v>-0.67232846098310972</v>
      </c>
      <c r="P77" s="161">
        <v>1.1254835866161557</v>
      </c>
      <c r="Q77" s="161">
        <v>1.4312594709977873</v>
      </c>
      <c r="R77" s="161">
        <v>1.097131760139419</v>
      </c>
      <c r="S77" s="161">
        <v>1.0709030956487737</v>
      </c>
      <c r="T77" s="161">
        <v>0.61821195973949727</v>
      </c>
      <c r="U77" s="161">
        <v>0.31201245344654183</v>
      </c>
      <c r="V77" s="161">
        <v>1.6303355664363721</v>
      </c>
      <c r="W77" s="161">
        <v>0.77376648830929184</v>
      </c>
      <c r="X77" s="161">
        <v>1.1800199003358216</v>
      </c>
      <c r="Y77" s="161">
        <v>1.0340719539039469</v>
      </c>
      <c r="Z77" s="161">
        <v>1.2308487943629274</v>
      </c>
      <c r="AA77" s="162">
        <v>1.4660823379196444</v>
      </c>
      <c r="AB77" s="162">
        <v>2.2286744803512732</v>
      </c>
    </row>
    <row r="78" spans="1:28">
      <c r="A78" s="160" t="s">
        <v>122</v>
      </c>
      <c r="B78" s="160" t="s">
        <v>123</v>
      </c>
      <c r="C78" s="160" t="s">
        <v>263</v>
      </c>
      <c r="D78" s="160" t="s">
        <v>264</v>
      </c>
      <c r="E78" s="161">
        <v>31.166606865575517</v>
      </c>
      <c r="F78" s="161">
        <v>20.04136066983402</v>
      </c>
      <c r="G78" s="161">
        <v>11.150065805123049</v>
      </c>
      <c r="H78" s="161">
        <v>31.757208115947833</v>
      </c>
      <c r="I78" s="161">
        <v>30.128926640360362</v>
      </c>
      <c r="J78" s="161">
        <v>43.045330623333712</v>
      </c>
      <c r="K78" s="161">
        <v>39.8377430763978</v>
      </c>
      <c r="L78" s="161">
        <v>19.458167086962291</v>
      </c>
      <c r="M78" s="161">
        <v>17.048465233578128</v>
      </c>
      <c r="N78" s="161">
        <v>13.971165363642754</v>
      </c>
      <c r="O78" s="161">
        <v>27.230113943733841</v>
      </c>
      <c r="P78" s="161">
        <v>34.817944232362692</v>
      </c>
      <c r="Q78" s="161">
        <v>22.818584204760839</v>
      </c>
      <c r="R78" s="161">
        <v>28.704407368746899</v>
      </c>
      <c r="S78" s="161">
        <v>14.350151115037946</v>
      </c>
      <c r="T78" s="161">
        <v>14.963718372062317</v>
      </c>
      <c r="U78" s="161">
        <v>80.749975509610181</v>
      </c>
      <c r="V78" s="161">
        <v>16.276596602073397</v>
      </c>
      <c r="W78" s="161">
        <v>20.202141419937107</v>
      </c>
      <c r="X78" s="161">
        <v>16.618797759269683</v>
      </c>
      <c r="Y78" s="161">
        <v>16.476577374163654</v>
      </c>
      <c r="Z78" s="161">
        <v>12.963951774922251</v>
      </c>
      <c r="AA78" s="162">
        <v>15.190333424920951</v>
      </c>
      <c r="AB78" s="162">
        <v>16.382656285855674</v>
      </c>
    </row>
    <row r="79" spans="1:28">
      <c r="A79" s="160" t="s">
        <v>122</v>
      </c>
      <c r="B79" s="160" t="s">
        <v>123</v>
      </c>
      <c r="C79" s="160" t="s">
        <v>265</v>
      </c>
      <c r="D79" s="160" t="s">
        <v>266</v>
      </c>
      <c r="E79" s="161">
        <v>20.690597631004778</v>
      </c>
      <c r="F79" s="161">
        <v>19.787743017004459</v>
      </c>
      <c r="G79" s="161">
        <v>14.798814278663272</v>
      </c>
      <c r="H79" s="161">
        <v>14.428747167413732</v>
      </c>
      <c r="I79" s="161">
        <v>11.181888736737648</v>
      </c>
      <c r="J79" s="161">
        <v>9.7918360470859938</v>
      </c>
      <c r="K79" s="161">
        <v>7.3412295612525611</v>
      </c>
      <c r="L79" s="161">
        <v>6.7761836267649045</v>
      </c>
      <c r="M79" s="161">
        <v>5.1973080843020938</v>
      </c>
      <c r="N79" s="161">
        <v>3.0286005309245354</v>
      </c>
      <c r="O79" s="161">
        <v>3.3968484088858588</v>
      </c>
      <c r="P79" s="161">
        <v>3.1175389816614683</v>
      </c>
      <c r="Q79" s="161">
        <v>3.4004534122714034</v>
      </c>
      <c r="R79" s="161">
        <v>3.9220994712598269</v>
      </c>
      <c r="S79" s="161">
        <v>2.9469442764160476</v>
      </c>
      <c r="T79" s="161">
        <v>2.8119697081103254</v>
      </c>
      <c r="U79" s="161">
        <v>2.4253014108350328</v>
      </c>
      <c r="V79" s="161">
        <v>3.3152964469655757</v>
      </c>
      <c r="W79" s="161">
        <v>4.7232104821609369</v>
      </c>
      <c r="X79" s="161">
        <v>2.3012459782453476</v>
      </c>
      <c r="Y79" s="161">
        <v>1.1355088104027828</v>
      </c>
      <c r="Z79" s="161">
        <v>1.0495374769828487</v>
      </c>
      <c r="AA79" s="162">
        <v>-0.33222983213947543</v>
      </c>
      <c r="AB79" s="162">
        <v>-2.0652054738849159</v>
      </c>
    </row>
    <row r="80" spans="1:28">
      <c r="A80" s="160" t="s">
        <v>122</v>
      </c>
      <c r="B80" s="160" t="s">
        <v>123</v>
      </c>
      <c r="C80" s="160" t="s">
        <v>267</v>
      </c>
      <c r="D80" s="160" t="s">
        <v>268</v>
      </c>
      <c r="E80" s="161">
        <v>5.0925844520264718</v>
      </c>
      <c r="F80" s="161">
        <v>3.225274955557623</v>
      </c>
      <c r="G80" s="161">
        <v>1.5456782528453061</v>
      </c>
      <c r="H80" s="161">
        <v>1.0420168067225859</v>
      </c>
      <c r="I80" s="161">
        <v>0.46837437118372804</v>
      </c>
      <c r="J80" s="161">
        <v>2.0558707100748848</v>
      </c>
      <c r="K80" s="161">
        <v>0.98010183894554359</v>
      </c>
      <c r="L80" s="161">
        <v>0.49670350394634966</v>
      </c>
      <c r="M80" s="161">
        <v>0.97842771379824001</v>
      </c>
      <c r="N80" s="161">
        <v>1.0604558204413195</v>
      </c>
      <c r="O80" s="161">
        <v>2.1100930926141643</v>
      </c>
      <c r="P80" s="161">
        <v>3.4022563648784114</v>
      </c>
      <c r="Q80" s="161">
        <v>3.1030843269605413</v>
      </c>
      <c r="R80" s="161">
        <v>2.1972856264537768</v>
      </c>
      <c r="S80" s="161">
        <v>2.1490560672452688</v>
      </c>
      <c r="T80" s="161">
        <v>1.5911486958225538</v>
      </c>
      <c r="U80" s="161">
        <v>-3.0771029290386167</v>
      </c>
      <c r="V80" s="161">
        <v>5.8875188558798328</v>
      </c>
      <c r="W80" s="161">
        <v>-23.481731737474547</v>
      </c>
      <c r="X80" s="161">
        <v>-18.985238572181814</v>
      </c>
      <c r="Y80" s="161" t="s">
        <v>125</v>
      </c>
      <c r="Z80" s="161" t="s">
        <v>125</v>
      </c>
      <c r="AA80" s="162" t="s">
        <v>125</v>
      </c>
      <c r="AB80" s="162" t="s">
        <v>125</v>
      </c>
    </row>
    <row r="81" spans="1:28">
      <c r="A81" s="160" t="s">
        <v>122</v>
      </c>
      <c r="B81" s="160" t="s">
        <v>123</v>
      </c>
      <c r="C81" s="160" t="s">
        <v>269</v>
      </c>
      <c r="D81" s="160" t="s">
        <v>270</v>
      </c>
      <c r="E81" s="161">
        <v>-1.3715032679739352</v>
      </c>
      <c r="F81" s="161">
        <v>6.8195217818540073</v>
      </c>
      <c r="G81" s="161">
        <v>4.1770194139231478</v>
      </c>
      <c r="H81" s="161">
        <v>2.4428752995248715</v>
      </c>
      <c r="I81" s="161">
        <v>1.7996787428987915</v>
      </c>
      <c r="J81" s="161">
        <v>2.9678717047307828</v>
      </c>
      <c r="K81" s="161">
        <v>2.4851905866326405</v>
      </c>
      <c r="L81" s="161">
        <v>-1.0677580438406977</v>
      </c>
      <c r="M81" s="161">
        <v>4.9016998648991716</v>
      </c>
      <c r="N81" s="161">
        <v>1.1958164755783827</v>
      </c>
      <c r="O81" s="161">
        <v>34.467417123627939</v>
      </c>
      <c r="P81" s="161">
        <v>2.144395248794325</v>
      </c>
      <c r="Q81" s="161">
        <v>0.37163448929196363</v>
      </c>
      <c r="R81" s="161">
        <v>-8.7263993638515558E-2</v>
      </c>
      <c r="S81" s="161">
        <v>1.6619624075569988</v>
      </c>
      <c r="T81" s="161">
        <v>2.836929215512157</v>
      </c>
      <c r="U81" s="161">
        <v>4.6593266718609243</v>
      </c>
      <c r="V81" s="161">
        <v>2.3582644963875623</v>
      </c>
      <c r="W81" s="161">
        <v>7.8104017141632909</v>
      </c>
      <c r="X81" s="161">
        <v>4.118336220683716E-2</v>
      </c>
      <c r="Y81" s="161">
        <v>0.43099547684819584</v>
      </c>
      <c r="Z81" s="161">
        <v>0.2135489334738736</v>
      </c>
      <c r="AA81" s="162">
        <v>4.8334714286153257</v>
      </c>
      <c r="AB81" s="162">
        <v>2.1964258498669267</v>
      </c>
    </row>
    <row r="82" spans="1:28">
      <c r="A82" s="160" t="s">
        <v>122</v>
      </c>
      <c r="B82" s="160" t="s">
        <v>123</v>
      </c>
      <c r="C82" s="160" t="s">
        <v>271</v>
      </c>
      <c r="D82" s="160" t="s">
        <v>272</v>
      </c>
      <c r="E82" s="161" t="s">
        <v>125</v>
      </c>
      <c r="F82" s="161" t="s">
        <v>125</v>
      </c>
      <c r="G82" s="161" t="s">
        <v>125</v>
      </c>
      <c r="H82" s="161" t="s">
        <v>125</v>
      </c>
      <c r="I82" s="161" t="s">
        <v>125</v>
      </c>
      <c r="J82" s="161" t="s">
        <v>125</v>
      </c>
      <c r="K82" s="161" t="s">
        <v>125</v>
      </c>
      <c r="L82" s="161" t="s">
        <v>125</v>
      </c>
      <c r="M82" s="161" t="s">
        <v>125</v>
      </c>
      <c r="N82" s="161" t="s">
        <v>125</v>
      </c>
      <c r="O82" s="161" t="s">
        <v>125</v>
      </c>
      <c r="P82" s="161" t="s">
        <v>125</v>
      </c>
      <c r="Q82" s="161" t="s">
        <v>125</v>
      </c>
      <c r="R82" s="161" t="s">
        <v>125</v>
      </c>
      <c r="S82" s="161" t="s">
        <v>125</v>
      </c>
      <c r="T82" s="161" t="s">
        <v>125</v>
      </c>
      <c r="U82" s="161" t="s">
        <v>125</v>
      </c>
      <c r="V82" s="161" t="s">
        <v>125</v>
      </c>
      <c r="W82" s="161" t="s">
        <v>125</v>
      </c>
      <c r="X82" s="161" t="s">
        <v>125</v>
      </c>
      <c r="Y82" s="161" t="s">
        <v>125</v>
      </c>
      <c r="Z82" s="161" t="s">
        <v>125</v>
      </c>
      <c r="AA82" s="162" t="s">
        <v>125</v>
      </c>
      <c r="AB82" s="162" t="s">
        <v>125</v>
      </c>
    </row>
    <row r="83" spans="1:28">
      <c r="A83" s="160" t="s">
        <v>122</v>
      </c>
      <c r="B83" s="160" t="s">
        <v>123</v>
      </c>
      <c r="C83" s="160" t="s">
        <v>273</v>
      </c>
      <c r="D83" s="160" t="s">
        <v>274</v>
      </c>
      <c r="E83" s="161">
        <v>40.531259001744303</v>
      </c>
      <c r="F83" s="161">
        <v>32.975052041675553</v>
      </c>
      <c r="G83" s="161">
        <v>8.861384879049794</v>
      </c>
      <c r="H83" s="161">
        <v>14.504351607339245</v>
      </c>
      <c r="I83" s="161">
        <v>11.722278206350083</v>
      </c>
      <c r="J83" s="161">
        <v>8.6678182579748722</v>
      </c>
      <c r="K83" s="161">
        <v>8.900004478992841</v>
      </c>
      <c r="L83" s="161">
        <v>8.2573395092741038</v>
      </c>
      <c r="M83" s="161">
        <v>9.5024352099367917</v>
      </c>
      <c r="N83" s="161">
        <v>5.0415579401903159</v>
      </c>
      <c r="O83" s="161">
        <v>6.8301146858154738</v>
      </c>
      <c r="P83" s="161">
        <v>-4.0839304501766378</v>
      </c>
      <c r="Q83" s="161">
        <v>6.4495230933395504</v>
      </c>
      <c r="R83" s="161">
        <v>4.4559685347826701</v>
      </c>
      <c r="S83" s="161">
        <v>6.0770208077738204</v>
      </c>
      <c r="T83" s="161">
        <v>5.6344840784048813</v>
      </c>
      <c r="U83" s="161">
        <v>4.9939378869073892</v>
      </c>
      <c r="V83" s="161">
        <v>7.1359692665841266</v>
      </c>
      <c r="W83" s="161">
        <v>9.4406970643941435</v>
      </c>
      <c r="X83" s="161">
        <v>3.5432803563480064</v>
      </c>
      <c r="Y83" s="161">
        <v>5.1419091379350448</v>
      </c>
      <c r="Z83" s="161">
        <v>6.9330467046847275</v>
      </c>
      <c r="AA83" s="162">
        <v>3.322507299431777</v>
      </c>
      <c r="AB83" s="162">
        <v>3.2690117158152248</v>
      </c>
    </row>
    <row r="84" spans="1:28">
      <c r="A84" s="160" t="s">
        <v>122</v>
      </c>
      <c r="B84" s="160" t="s">
        <v>123</v>
      </c>
      <c r="C84" s="160" t="s">
        <v>275</v>
      </c>
      <c r="D84" s="160" t="s">
        <v>276</v>
      </c>
      <c r="E84" s="161">
        <v>17.279181172140554</v>
      </c>
      <c r="F84" s="161">
        <v>25.818670565656873</v>
      </c>
      <c r="G84" s="161">
        <v>26.220213628099117</v>
      </c>
      <c r="H84" s="161">
        <v>0.67375727613449499</v>
      </c>
      <c r="I84" s="161">
        <v>1.4280016393250605</v>
      </c>
      <c r="J84" s="161">
        <v>5.951338301675932</v>
      </c>
      <c r="K84" s="161">
        <v>1.5459682373106745</v>
      </c>
      <c r="L84" s="161">
        <v>1.434126664413867</v>
      </c>
      <c r="M84" s="161">
        <v>3.3246404439863682</v>
      </c>
      <c r="N84" s="161">
        <v>4.2276753077974405</v>
      </c>
      <c r="O84" s="161">
        <v>6.3001239602456138</v>
      </c>
      <c r="P84" s="161">
        <v>1.7524263157754945</v>
      </c>
      <c r="Q84" s="161">
        <v>0.43277237845668992</v>
      </c>
      <c r="R84" s="161">
        <v>15.910696556266004</v>
      </c>
      <c r="S84" s="161">
        <v>16.521583323138202</v>
      </c>
      <c r="T84" s="161">
        <v>27.39084537327652</v>
      </c>
      <c r="U84" s="161">
        <v>37.583890171308241</v>
      </c>
      <c r="V84" s="161">
        <v>12.986877990829299</v>
      </c>
      <c r="W84" s="161">
        <v>14.109211475529321</v>
      </c>
      <c r="X84" s="161">
        <v>6.8063367675374735</v>
      </c>
      <c r="Y84" s="161">
        <v>20.199578297532028</v>
      </c>
      <c r="Z84" s="161">
        <v>19.732207918943033</v>
      </c>
      <c r="AA84" s="162">
        <v>12.891510809959314</v>
      </c>
      <c r="AB84" s="162">
        <v>6.9222831768303195</v>
      </c>
    </row>
    <row r="85" spans="1:28">
      <c r="A85" s="160" t="s">
        <v>122</v>
      </c>
      <c r="B85" s="160" t="s">
        <v>123</v>
      </c>
      <c r="C85" s="160" t="s">
        <v>277</v>
      </c>
      <c r="D85" s="160" t="s">
        <v>278</v>
      </c>
      <c r="E85" s="161">
        <v>30.246036761042063</v>
      </c>
      <c r="F85" s="161">
        <v>67.894366859902817</v>
      </c>
      <c r="G85" s="161">
        <v>64.981189988245774</v>
      </c>
      <c r="H85" s="161">
        <v>49.058885430135064</v>
      </c>
      <c r="I85" s="161">
        <v>23.249480693305927</v>
      </c>
      <c r="J85" s="161">
        <v>44.730038103218504</v>
      </c>
      <c r="K85" s="161">
        <v>39.233713566159082</v>
      </c>
      <c r="L85" s="161">
        <v>34.138194820921882</v>
      </c>
      <c r="M85" s="161">
        <v>8.0748345421682188</v>
      </c>
      <c r="N85" s="161">
        <v>12.306066243809568</v>
      </c>
      <c r="O85" s="161">
        <v>79.882497035929759</v>
      </c>
      <c r="P85" s="161">
        <v>1.9678573059814966</v>
      </c>
      <c r="Q85" s="161">
        <v>-1.3479475342298457</v>
      </c>
      <c r="R85" s="161">
        <v>0.3905915894508496</v>
      </c>
      <c r="S85" s="161">
        <v>2.8427808701579522</v>
      </c>
      <c r="T85" s="161">
        <v>4.3002512909727528</v>
      </c>
      <c r="U85" s="161">
        <v>2.13637045341261</v>
      </c>
      <c r="V85" s="161">
        <v>3.2021543836789306</v>
      </c>
      <c r="W85" s="161">
        <v>10.461781924932438</v>
      </c>
      <c r="X85" s="161">
        <v>1.1189168261394542</v>
      </c>
      <c r="Y85" s="161">
        <v>1.7189162674772263</v>
      </c>
      <c r="Z85" s="161">
        <v>4.7756816710604539</v>
      </c>
      <c r="AA85" s="162">
        <v>-6.7141463281405009</v>
      </c>
      <c r="AB85" s="162">
        <v>0.78892017151730442</v>
      </c>
    </row>
    <row r="86" spans="1:28">
      <c r="A86" s="160" t="s">
        <v>122</v>
      </c>
      <c r="B86" s="160" t="s">
        <v>123</v>
      </c>
      <c r="C86" s="160" t="s">
        <v>279</v>
      </c>
      <c r="D86" s="160" t="s">
        <v>280</v>
      </c>
      <c r="E86" s="161">
        <v>56.397174876287181</v>
      </c>
      <c r="F86" s="161">
        <v>126.73710149432139</v>
      </c>
      <c r="G86" s="161">
        <v>13.499999366593428</v>
      </c>
      <c r="H86" s="161">
        <v>15.499995194689504</v>
      </c>
      <c r="I86" s="161">
        <v>19.700005327579561</v>
      </c>
      <c r="J86" s="161">
        <v>12.400008073277917</v>
      </c>
      <c r="K86" s="161">
        <v>3.9999906027974816</v>
      </c>
      <c r="L86" s="161">
        <v>1.3990551022022828</v>
      </c>
      <c r="M86" s="161">
        <v>3.0009579348389934</v>
      </c>
      <c r="N86" s="161">
        <v>11.199999139763193</v>
      </c>
      <c r="O86" s="161">
        <v>6.6000107268109076</v>
      </c>
      <c r="P86" s="161">
        <v>-1.8875603199076494</v>
      </c>
      <c r="Q86" s="161">
        <v>4.5138523084225</v>
      </c>
      <c r="R86" s="161">
        <v>5.4858710192597187</v>
      </c>
      <c r="S86" s="161">
        <v>4.893909082315858</v>
      </c>
      <c r="T86" s="161">
        <v>7.8985862902406438</v>
      </c>
      <c r="U86" s="161">
        <v>68.4436773287579</v>
      </c>
      <c r="V86" s="161">
        <v>25.171414861286351</v>
      </c>
      <c r="W86" s="161">
        <v>9.0203717084523731</v>
      </c>
      <c r="X86" s="161">
        <v>2.1301537702548217</v>
      </c>
      <c r="Y86" s="161">
        <v>6.7029898584828089</v>
      </c>
      <c r="Z86" s="161">
        <v>8.3666086605752099</v>
      </c>
      <c r="AA86" s="162">
        <v>5.7471423234953818</v>
      </c>
      <c r="AB86" s="162">
        <v>2.9344506296220771</v>
      </c>
    </row>
    <row r="87" spans="1:28">
      <c r="A87" s="160" t="s">
        <v>122</v>
      </c>
      <c r="B87" s="160" t="s">
        <v>123</v>
      </c>
      <c r="C87" s="160" t="s">
        <v>281</v>
      </c>
      <c r="D87" s="160" t="s">
        <v>282</v>
      </c>
      <c r="E87" s="161" t="s">
        <v>125</v>
      </c>
      <c r="F87" s="161" t="s">
        <v>125</v>
      </c>
      <c r="G87" s="161" t="s">
        <v>125</v>
      </c>
      <c r="H87" s="161" t="s">
        <v>125</v>
      </c>
      <c r="I87" s="161" t="s">
        <v>125</v>
      </c>
      <c r="J87" s="161" t="s">
        <v>125</v>
      </c>
      <c r="K87" s="161" t="s">
        <v>125</v>
      </c>
      <c r="L87" s="161" t="s">
        <v>125</v>
      </c>
      <c r="M87" s="161" t="s">
        <v>125</v>
      </c>
      <c r="N87" s="161">
        <v>7.0457069871742561</v>
      </c>
      <c r="O87" s="161">
        <v>11.050452363881092</v>
      </c>
      <c r="P87" s="161">
        <v>11.630584209405725</v>
      </c>
      <c r="Q87" s="161">
        <v>10.005281468359058</v>
      </c>
      <c r="R87" s="161">
        <v>26.904249559326459</v>
      </c>
      <c r="S87" s="161">
        <v>21.491544352193742</v>
      </c>
      <c r="T87" s="161">
        <v>17.587334733484994</v>
      </c>
      <c r="U87" s="161">
        <v>14.760833479101237</v>
      </c>
      <c r="V87" s="161">
        <v>8.0159940382436474</v>
      </c>
      <c r="W87" s="161">
        <v>12.894851942696988</v>
      </c>
      <c r="X87" s="161">
        <v>3.702317366508538</v>
      </c>
      <c r="Y87" s="161">
        <v>5.4510563222192019</v>
      </c>
      <c r="Z87" s="161">
        <v>7.5102741188116937</v>
      </c>
      <c r="AA87" s="162">
        <v>5.285562795741015</v>
      </c>
      <c r="AB87" s="162">
        <v>6.6211818655384889</v>
      </c>
    </row>
    <row r="88" spans="1:28">
      <c r="A88" s="160" t="s">
        <v>122</v>
      </c>
      <c r="B88" s="160" t="s">
        <v>123</v>
      </c>
      <c r="C88" s="160" t="s">
        <v>283</v>
      </c>
      <c r="D88" s="160" t="s">
        <v>284</v>
      </c>
      <c r="E88" s="161">
        <v>21.200558335315449</v>
      </c>
      <c r="F88" s="161">
        <v>26.028340373318315</v>
      </c>
      <c r="G88" s="161">
        <v>9.1022142911764803</v>
      </c>
      <c r="H88" s="161">
        <v>13.608334590767157</v>
      </c>
      <c r="I88" s="161">
        <v>28.88674222200774</v>
      </c>
      <c r="J88" s="161">
        <v>24.879072318657805</v>
      </c>
      <c r="K88" s="161">
        <v>22.924776403547014</v>
      </c>
      <c r="L88" s="161">
        <v>22.279685751970035</v>
      </c>
      <c r="M88" s="161">
        <v>11.62866262667292</v>
      </c>
      <c r="N88" s="161">
        <v>11.560254197808234</v>
      </c>
      <c r="O88" s="161">
        <v>30.81951397802419</v>
      </c>
      <c r="P88" s="161">
        <v>8.0848258889481883</v>
      </c>
      <c r="Q88" s="161">
        <v>5.1319991451557883</v>
      </c>
      <c r="R88" s="161">
        <v>5.7595613573324016</v>
      </c>
      <c r="S88" s="161">
        <v>6.4521643349234097</v>
      </c>
      <c r="T88" s="161">
        <v>7.2782779987060167</v>
      </c>
      <c r="U88" s="161">
        <v>5.3491337053307859</v>
      </c>
      <c r="V88" s="161">
        <v>6.6254905978519076</v>
      </c>
      <c r="W88" s="161">
        <v>7.7903739876252303</v>
      </c>
      <c r="X88" s="161">
        <v>7.653885966053366</v>
      </c>
      <c r="Y88" s="161">
        <v>4.6759882625077296</v>
      </c>
      <c r="Z88" s="161">
        <v>7.8074044980904347</v>
      </c>
      <c r="AA88" s="162">
        <v>4.044422828311582</v>
      </c>
      <c r="AB88" s="162">
        <v>1.6977394110172526</v>
      </c>
    </row>
    <row r="89" spans="1:28">
      <c r="A89" s="160" t="s">
        <v>122</v>
      </c>
      <c r="B89" s="160" t="s">
        <v>123</v>
      </c>
      <c r="C89" s="160" t="s">
        <v>285</v>
      </c>
      <c r="D89" s="160" t="s">
        <v>286</v>
      </c>
      <c r="E89" s="161">
        <v>7.5648052201004532</v>
      </c>
      <c r="F89" s="161">
        <v>9.1405178158279483</v>
      </c>
      <c r="G89" s="161">
        <v>9.8994769524769737</v>
      </c>
      <c r="H89" s="161">
        <v>8.6128914463472057</v>
      </c>
      <c r="I89" s="161">
        <v>6.3212779619054658</v>
      </c>
      <c r="J89" s="161">
        <v>4.139663003759253</v>
      </c>
      <c r="K89" s="161">
        <v>5.8836965992258285</v>
      </c>
      <c r="L89" s="161">
        <v>5.7602015676967824</v>
      </c>
      <c r="M89" s="161">
        <v>1.219891352484197</v>
      </c>
      <c r="N89" s="161">
        <v>-4.0956346583156602</v>
      </c>
      <c r="O89" s="161">
        <v>-3.3941696997941335</v>
      </c>
      <c r="P89" s="161">
        <v>-1.7740270989780811</v>
      </c>
      <c r="Q89" s="161">
        <v>-3.4019360833807184</v>
      </c>
      <c r="R89" s="161">
        <v>-6.007717258911768</v>
      </c>
      <c r="S89" s="161">
        <v>-3.5908979477631675</v>
      </c>
      <c r="T89" s="161">
        <v>-0.150067673406312</v>
      </c>
      <c r="U89" s="161">
        <v>-0.53488493770352363</v>
      </c>
      <c r="V89" s="161">
        <v>3.1374208346325361</v>
      </c>
      <c r="W89" s="161">
        <v>1.2814863576818141</v>
      </c>
      <c r="X89" s="161">
        <v>-0.37539957840981231</v>
      </c>
      <c r="Y89" s="161">
        <v>0.27067108491900171</v>
      </c>
      <c r="Z89" s="161">
        <v>3.926393089563291</v>
      </c>
      <c r="AA89" s="162">
        <v>3.6995853565359766</v>
      </c>
      <c r="AB89" s="162">
        <v>1.3619350666445484</v>
      </c>
    </row>
    <row r="90" spans="1:28">
      <c r="A90" s="160" t="s">
        <v>122</v>
      </c>
      <c r="B90" s="160" t="s">
        <v>123</v>
      </c>
      <c r="C90" s="160" t="s">
        <v>287</v>
      </c>
      <c r="D90" s="160" t="s">
        <v>288</v>
      </c>
      <c r="E90" s="161">
        <v>25.666054233048484</v>
      </c>
      <c r="F90" s="161">
        <v>38.466153898997334</v>
      </c>
      <c r="G90" s="161">
        <v>21.509179664756743</v>
      </c>
      <c r="H90" s="161">
        <v>21.278455091980746</v>
      </c>
      <c r="I90" s="161">
        <v>19.491060520844613</v>
      </c>
      <c r="J90" s="161">
        <v>26.73278895687632</v>
      </c>
      <c r="K90" s="161">
        <v>22.208701902927103</v>
      </c>
      <c r="L90" s="161">
        <v>20.212936484046025</v>
      </c>
      <c r="M90" s="161">
        <v>13.651884377112708</v>
      </c>
      <c r="N90" s="161">
        <v>7.8590578243069871</v>
      </c>
      <c r="O90" s="161">
        <v>9.7430960991036812</v>
      </c>
      <c r="P90" s="161">
        <v>11.26310033511399</v>
      </c>
      <c r="Q90" s="161">
        <v>8.4571531457196443</v>
      </c>
      <c r="R90" s="161">
        <v>5.3976680371344798</v>
      </c>
      <c r="S90" s="161">
        <v>5.2344587579787429</v>
      </c>
      <c r="T90" s="161">
        <v>2.4856046998846182</v>
      </c>
      <c r="U90" s="161">
        <v>3.4947807062579983</v>
      </c>
      <c r="V90" s="161">
        <v>5.4374580169322257</v>
      </c>
      <c r="W90" s="161">
        <v>5.2759093363563068</v>
      </c>
      <c r="X90" s="161">
        <v>3.5647678278635908</v>
      </c>
      <c r="Y90" s="161">
        <v>2.188421292564243</v>
      </c>
      <c r="Z90" s="161">
        <v>2.5919302598532425</v>
      </c>
      <c r="AA90" s="162">
        <v>3.2483520918912774</v>
      </c>
      <c r="AB90" s="162" t="s">
        <v>125</v>
      </c>
    </row>
    <row r="91" spans="1:28">
      <c r="A91" s="160" t="s">
        <v>122</v>
      </c>
      <c r="B91" s="160" t="s">
        <v>123</v>
      </c>
      <c r="C91" s="160" t="s">
        <v>289</v>
      </c>
      <c r="D91" s="160" t="s">
        <v>290</v>
      </c>
      <c r="E91" s="161">
        <v>15.171552199273904</v>
      </c>
      <c r="F91" s="161">
        <v>8.3653421873125069</v>
      </c>
      <c r="G91" s="161">
        <v>3.4492895054802233</v>
      </c>
      <c r="H91" s="161">
        <v>1.8318475032074559</v>
      </c>
      <c r="I91" s="161">
        <v>2.6033769762395167</v>
      </c>
      <c r="J91" s="161">
        <v>2.9975697119085396</v>
      </c>
      <c r="K91" s="161">
        <v>2.4743809817383067</v>
      </c>
      <c r="L91" s="161">
        <v>2.9055571347777089</v>
      </c>
      <c r="M91" s="161">
        <v>5.1464299459164522</v>
      </c>
      <c r="N91" s="161">
        <v>3.2562657328558515</v>
      </c>
      <c r="O91" s="161">
        <v>3.637614684559054</v>
      </c>
      <c r="P91" s="161">
        <v>8.6316108428773362</v>
      </c>
      <c r="Q91" s="161">
        <v>5.6255692801798745</v>
      </c>
      <c r="R91" s="161">
        <v>0.61751014816921668</v>
      </c>
      <c r="S91" s="161">
        <v>2.5030371301082681</v>
      </c>
      <c r="T91" s="161">
        <v>2.8424817297057814</v>
      </c>
      <c r="U91" s="161">
        <v>8.804089878946769</v>
      </c>
      <c r="V91" s="161">
        <v>5.6508241293589379</v>
      </c>
      <c r="W91" s="161">
        <v>11.802145166719285</v>
      </c>
      <c r="X91" s="161">
        <v>8.2940680613404822</v>
      </c>
      <c r="Y91" s="161">
        <v>6.9191234111826105</v>
      </c>
      <c r="Z91" s="161">
        <v>3.2729377491602207</v>
      </c>
      <c r="AA91" s="162">
        <v>2.8605380914484186</v>
      </c>
      <c r="AB91" s="162">
        <v>1.7888924906056047</v>
      </c>
    </row>
    <row r="92" spans="1:28">
      <c r="A92" s="160" t="s">
        <v>122</v>
      </c>
      <c r="B92" s="160" t="s">
        <v>123</v>
      </c>
      <c r="C92" s="160" t="s">
        <v>67</v>
      </c>
      <c r="D92" s="160" t="s">
        <v>291</v>
      </c>
      <c r="E92" s="161">
        <v>10.668303847581868</v>
      </c>
      <c r="F92" s="161">
        <v>13.751818943089347</v>
      </c>
      <c r="G92" s="161">
        <v>8.9651523601259413</v>
      </c>
      <c r="H92" s="161">
        <v>9.8617828528340539</v>
      </c>
      <c r="I92" s="161">
        <v>9.9800447750598522</v>
      </c>
      <c r="J92" s="161">
        <v>9.0627022209675943</v>
      </c>
      <c r="K92" s="161">
        <v>7.5750182881108259</v>
      </c>
      <c r="L92" s="161">
        <v>6.476271263268174</v>
      </c>
      <c r="M92" s="161">
        <v>8.0101675234495247</v>
      </c>
      <c r="N92" s="161">
        <v>3.0683955203686111</v>
      </c>
      <c r="O92" s="161">
        <v>3.6449701612094429</v>
      </c>
      <c r="P92" s="161">
        <v>3.2156160173579309</v>
      </c>
      <c r="Q92" s="161">
        <v>3.7156837766602564</v>
      </c>
      <c r="R92" s="161">
        <v>3.8677980861705095</v>
      </c>
      <c r="S92" s="161">
        <v>5.7254132271939824</v>
      </c>
      <c r="T92" s="161">
        <v>4.2369251188449226</v>
      </c>
      <c r="U92" s="161">
        <v>6.4225843404077239</v>
      </c>
      <c r="V92" s="161">
        <v>5.7562434662451949</v>
      </c>
      <c r="W92" s="161">
        <v>8.6646653468187509</v>
      </c>
      <c r="X92" s="161">
        <v>6.0638293037938098</v>
      </c>
      <c r="Y92" s="161">
        <v>8.9838126105917411</v>
      </c>
      <c r="Z92" s="161">
        <v>8.5397200084511837</v>
      </c>
      <c r="AA92" s="162">
        <v>7.172549835357799</v>
      </c>
      <c r="AB92" s="162">
        <v>6.9149093161716024</v>
      </c>
    </row>
    <row r="93" spans="1:28">
      <c r="A93" s="160" t="s">
        <v>122</v>
      </c>
      <c r="B93" s="160" t="s">
        <v>123</v>
      </c>
      <c r="C93" s="160" t="s">
        <v>76</v>
      </c>
      <c r="D93" s="160" t="s">
        <v>292</v>
      </c>
      <c r="E93" s="161">
        <v>7.7239105364031531</v>
      </c>
      <c r="F93" s="161">
        <v>8.8277302355620009</v>
      </c>
      <c r="G93" s="161">
        <v>5.364316196685607</v>
      </c>
      <c r="H93" s="161">
        <v>8.8801054815495633</v>
      </c>
      <c r="I93" s="161">
        <v>7.7763777300759358</v>
      </c>
      <c r="J93" s="161">
        <v>9.7032768606375868</v>
      </c>
      <c r="K93" s="161">
        <v>8.8535912912451664</v>
      </c>
      <c r="L93" s="161">
        <v>12.571308928007213</v>
      </c>
      <c r="M93" s="161">
        <v>75.271284049277483</v>
      </c>
      <c r="N93" s="161">
        <v>14.161192558066318</v>
      </c>
      <c r="O93" s="161">
        <v>20.447459303491613</v>
      </c>
      <c r="P93" s="161">
        <v>14.29571543628299</v>
      </c>
      <c r="Q93" s="161">
        <v>5.8960516931855835</v>
      </c>
      <c r="R93" s="161">
        <v>5.4874270424806468</v>
      </c>
      <c r="S93" s="161">
        <v>8.5507326869851568</v>
      </c>
      <c r="T93" s="161">
        <v>14.331785859809855</v>
      </c>
      <c r="U93" s="161">
        <v>14.08742196132529</v>
      </c>
      <c r="V93" s="161">
        <v>11.258578512194163</v>
      </c>
      <c r="W93" s="161">
        <v>18.149752472558148</v>
      </c>
      <c r="X93" s="161">
        <v>8.274751329064884</v>
      </c>
      <c r="Y93" s="161">
        <v>8.2572001071699077</v>
      </c>
      <c r="Z93" s="161">
        <v>8.0731011461041504</v>
      </c>
      <c r="AA93" s="162">
        <v>4.3828415140609422</v>
      </c>
      <c r="AB93" s="162">
        <v>4.3510819272495525</v>
      </c>
    </row>
    <row r="94" spans="1:28">
      <c r="A94" s="160" t="s">
        <v>122</v>
      </c>
      <c r="B94" s="160" t="s">
        <v>123</v>
      </c>
      <c r="C94" s="160" t="s">
        <v>293</v>
      </c>
      <c r="D94" s="160" t="s">
        <v>294</v>
      </c>
      <c r="E94" s="161">
        <v>20.564471873808273</v>
      </c>
      <c r="F94" s="161">
        <v>25.170583192675394</v>
      </c>
      <c r="G94" s="161">
        <v>28.076456342980038</v>
      </c>
      <c r="H94" s="161">
        <v>52.959141059927617</v>
      </c>
      <c r="I94" s="161">
        <v>30.962089356339561</v>
      </c>
      <c r="J94" s="161">
        <v>38.723396944350526</v>
      </c>
      <c r="K94" s="161">
        <v>24.716344946170608</v>
      </c>
      <c r="L94" s="161">
        <v>13.991504186364125</v>
      </c>
      <c r="M94" s="161">
        <v>9.4563487798660475</v>
      </c>
      <c r="N94" s="161">
        <v>30.142013715130958</v>
      </c>
      <c r="O94" s="161">
        <v>26.442304583875881</v>
      </c>
      <c r="P94" s="161">
        <v>11.625866905505561</v>
      </c>
      <c r="Q94" s="161">
        <v>28.28165590820376</v>
      </c>
      <c r="R94" s="161">
        <v>11.803703358006643</v>
      </c>
      <c r="S94" s="161">
        <v>20.592019687709524</v>
      </c>
      <c r="T94" s="161">
        <v>17.006725513535571</v>
      </c>
      <c r="U94" s="161">
        <v>12.145026268106633</v>
      </c>
      <c r="V94" s="161">
        <v>20.462334957984794</v>
      </c>
      <c r="W94" s="161">
        <v>25.693344012556992</v>
      </c>
      <c r="X94" s="161">
        <v>2.5427011993885742</v>
      </c>
      <c r="Y94" s="161">
        <v>14.386639418811427</v>
      </c>
      <c r="Z94" s="161">
        <v>25.696362053632996</v>
      </c>
      <c r="AA94" s="162">
        <v>5.932201148124804</v>
      </c>
      <c r="AB94" s="162">
        <v>17.814546706906583</v>
      </c>
    </row>
    <row r="95" spans="1:28">
      <c r="A95" s="160" t="s">
        <v>122</v>
      </c>
      <c r="B95" s="160" t="s">
        <v>123</v>
      </c>
      <c r="C95" s="160" t="s">
        <v>295</v>
      </c>
      <c r="D95" s="160" t="s">
        <v>296</v>
      </c>
      <c r="E95" s="161" t="s">
        <v>125</v>
      </c>
      <c r="F95" s="161" t="s">
        <v>125</v>
      </c>
      <c r="G95" s="161" t="s">
        <v>125</v>
      </c>
      <c r="H95" s="161" t="s">
        <v>125</v>
      </c>
      <c r="I95" s="161" t="s">
        <v>125</v>
      </c>
      <c r="J95" s="161" t="s">
        <v>125</v>
      </c>
      <c r="K95" s="161" t="s">
        <v>125</v>
      </c>
      <c r="L95" s="161" t="s">
        <v>125</v>
      </c>
      <c r="M95" s="161" t="s">
        <v>125</v>
      </c>
      <c r="N95" s="161" t="s">
        <v>125</v>
      </c>
      <c r="O95" s="161" t="s">
        <v>125</v>
      </c>
      <c r="P95" s="161">
        <v>-19.576532650604122</v>
      </c>
      <c r="Q95" s="161">
        <v>6.65337103773021</v>
      </c>
      <c r="R95" s="161">
        <v>7.8042354214827014</v>
      </c>
      <c r="S95" s="161">
        <v>16.721699563565579</v>
      </c>
      <c r="T95" s="161">
        <v>32.306922965254643</v>
      </c>
      <c r="U95" s="161">
        <v>18.005030165455494</v>
      </c>
      <c r="V95" s="161">
        <v>15.01581428935215</v>
      </c>
      <c r="W95" s="161">
        <v>32.152594341066333</v>
      </c>
      <c r="X95" s="161">
        <v>-21.369826997806811</v>
      </c>
      <c r="Y95" s="161">
        <v>19.647149509098696</v>
      </c>
      <c r="Z95" s="161">
        <v>22.046020646323683</v>
      </c>
      <c r="AA95" s="162">
        <v>3.0756337859113074</v>
      </c>
      <c r="AB95" s="162">
        <v>-0.66385251529278833</v>
      </c>
    </row>
    <row r="96" spans="1:28">
      <c r="A96" s="160" t="s">
        <v>122</v>
      </c>
      <c r="B96" s="160" t="s">
        <v>123</v>
      </c>
      <c r="C96" s="160" t="s">
        <v>297</v>
      </c>
      <c r="D96" s="160" t="s">
        <v>298</v>
      </c>
      <c r="E96" s="161">
        <v>-0.72918459636667876</v>
      </c>
      <c r="F96" s="161">
        <v>1.8013963306087675</v>
      </c>
      <c r="G96" s="161">
        <v>2.8122194577246233</v>
      </c>
      <c r="H96" s="161">
        <v>5.1757526158033613</v>
      </c>
      <c r="I96" s="161">
        <v>1.69453171824658</v>
      </c>
      <c r="J96" s="161">
        <v>3.0339961997126466</v>
      </c>
      <c r="K96" s="161">
        <v>3.9945253161533856E-2</v>
      </c>
      <c r="L96" s="161">
        <v>3.6627537385695916</v>
      </c>
      <c r="M96" s="161">
        <v>6.0319576945080655</v>
      </c>
      <c r="N96" s="161">
        <v>3.8991848239844558</v>
      </c>
      <c r="O96" s="161">
        <v>5.3195629651589798</v>
      </c>
      <c r="P96" s="161">
        <v>5.9630514819495772</v>
      </c>
      <c r="Q96" s="161">
        <v>5.5105284507200452</v>
      </c>
      <c r="R96" s="161">
        <v>3.7189565244426888</v>
      </c>
      <c r="S96" s="161">
        <v>2.3767801416794327</v>
      </c>
      <c r="T96" s="161">
        <v>2.3564123971821829</v>
      </c>
      <c r="U96" s="161">
        <v>3.3217297245820419</v>
      </c>
      <c r="V96" s="161">
        <v>1.7465488637361375</v>
      </c>
      <c r="W96" s="161">
        <v>-2.8605635900607496</v>
      </c>
      <c r="X96" s="161">
        <v>-3.8271580054443177</v>
      </c>
      <c r="Y96" s="161">
        <v>-1.5330639759842342</v>
      </c>
      <c r="Z96" s="161">
        <v>0.66513246588687025</v>
      </c>
      <c r="AA96" s="162">
        <v>0.66513150185618031</v>
      </c>
      <c r="AB96" s="162">
        <v>0.40915169768200599</v>
      </c>
    </row>
    <row r="97" spans="1:28">
      <c r="A97" s="160" t="s">
        <v>122</v>
      </c>
      <c r="B97" s="160" t="s">
        <v>123</v>
      </c>
      <c r="C97" s="160" t="s">
        <v>299</v>
      </c>
      <c r="D97" s="160" t="s">
        <v>300</v>
      </c>
      <c r="E97" s="161">
        <v>9.0493597615564454</v>
      </c>
      <c r="F97" s="161">
        <v>6.8904576846751127</v>
      </c>
      <c r="G97" s="161">
        <v>3.7555344478753909</v>
      </c>
      <c r="H97" s="161">
        <v>2.1879591645805618</v>
      </c>
      <c r="I97" s="161">
        <v>2.5377756747484881</v>
      </c>
      <c r="J97" s="161">
        <v>2.9388805719173945</v>
      </c>
      <c r="K97" s="161">
        <v>2.554490458018094</v>
      </c>
      <c r="L97" s="161">
        <v>2.6616850324905386</v>
      </c>
      <c r="M97" s="161">
        <v>2.3787686215520125</v>
      </c>
      <c r="N97" s="161">
        <v>2.3000693216711028</v>
      </c>
      <c r="O97" s="161">
        <v>3.2670543120495239</v>
      </c>
      <c r="P97" s="161">
        <v>1.1673282930659212</v>
      </c>
      <c r="Q97" s="161">
        <v>2.9450325064507581</v>
      </c>
      <c r="R97" s="161">
        <v>2.6499660000064864</v>
      </c>
      <c r="S97" s="161">
        <v>5.9628493851648869</v>
      </c>
      <c r="T97" s="161">
        <v>3.1620908670919619</v>
      </c>
      <c r="U97" s="161">
        <v>3.2769079504294467</v>
      </c>
      <c r="V97" s="161">
        <v>3.9046406687216972</v>
      </c>
      <c r="W97" s="161" t="s">
        <v>125</v>
      </c>
      <c r="X97" s="161" t="s">
        <v>125</v>
      </c>
      <c r="Y97" s="161" t="s">
        <v>125</v>
      </c>
      <c r="Z97" s="161" t="s">
        <v>125</v>
      </c>
      <c r="AA97" s="162" t="s">
        <v>125</v>
      </c>
      <c r="AB97" s="162" t="s">
        <v>125</v>
      </c>
    </row>
    <row r="98" spans="1:28">
      <c r="A98" s="160" t="s">
        <v>122</v>
      </c>
      <c r="B98" s="160" t="s">
        <v>123</v>
      </c>
      <c r="C98" s="160" t="s">
        <v>301</v>
      </c>
      <c r="D98" s="160" t="s">
        <v>302</v>
      </c>
      <c r="E98" s="161">
        <v>15.898717171796221</v>
      </c>
      <c r="F98" s="161">
        <v>18.315314542952194</v>
      </c>
      <c r="G98" s="161">
        <v>13.544681424776783</v>
      </c>
      <c r="H98" s="161">
        <v>9.2841526652184996</v>
      </c>
      <c r="I98" s="161">
        <v>12.695597454197198</v>
      </c>
      <c r="J98" s="161">
        <v>20.676290730459868</v>
      </c>
      <c r="K98" s="161">
        <v>10.01674638633132</v>
      </c>
      <c r="L98" s="161">
        <v>7.9035877054991204</v>
      </c>
      <c r="M98" s="161">
        <v>7.1245587749154282</v>
      </c>
      <c r="N98" s="161">
        <v>6.3357797609163242</v>
      </c>
      <c r="O98" s="161">
        <v>1.6221632269753883</v>
      </c>
      <c r="P98" s="161">
        <v>1.7621471347740254</v>
      </c>
      <c r="Q98" s="161">
        <v>4.1190094060952873</v>
      </c>
      <c r="R98" s="161">
        <v>-0.53262192267928299</v>
      </c>
      <c r="S98" s="161">
        <v>0.11663390231264259</v>
      </c>
      <c r="T98" s="161">
        <v>0.98926956108498132</v>
      </c>
      <c r="U98" s="161">
        <v>5.9732400055829231</v>
      </c>
      <c r="V98" s="161">
        <v>-7.4928032285470181E-2</v>
      </c>
      <c r="W98" s="161">
        <v>1.8513537587582931</v>
      </c>
      <c r="X98" s="161">
        <v>4.5192673764302924</v>
      </c>
      <c r="Y98" s="161">
        <v>1.3054266226232585</v>
      </c>
      <c r="Z98" s="161">
        <v>1.9928027786627638</v>
      </c>
      <c r="AA98" s="162">
        <v>4.0316722062927965</v>
      </c>
      <c r="AB98" s="162">
        <v>2.5115965583088808</v>
      </c>
    </row>
    <row r="99" spans="1:28">
      <c r="A99" s="160" t="s">
        <v>122</v>
      </c>
      <c r="B99" s="160" t="s">
        <v>123</v>
      </c>
      <c r="C99" s="160" t="s">
        <v>303</v>
      </c>
      <c r="D99" s="160" t="s">
        <v>304</v>
      </c>
      <c r="E99" s="161">
        <v>8.9140634013002966</v>
      </c>
      <c r="F99" s="161">
        <v>7.5813286984685675</v>
      </c>
      <c r="G99" s="161">
        <v>4.3681155903597926</v>
      </c>
      <c r="H99" s="161">
        <v>3.885951827308574</v>
      </c>
      <c r="I99" s="161">
        <v>3.5424735661276401</v>
      </c>
      <c r="J99" s="161">
        <v>4.9252444782950562</v>
      </c>
      <c r="K99" s="161">
        <v>4.7972207663356841</v>
      </c>
      <c r="L99" s="161">
        <v>2.5630450295816161</v>
      </c>
      <c r="M99" s="161">
        <v>2.6622743767421326</v>
      </c>
      <c r="N99" s="161">
        <v>1.793794483197118</v>
      </c>
      <c r="O99" s="161">
        <v>1.9449975315986023</v>
      </c>
      <c r="P99" s="161">
        <v>2.8777519169154147</v>
      </c>
      <c r="Q99" s="161">
        <v>3.2080396715753494</v>
      </c>
      <c r="R99" s="161">
        <v>3.1187678866349415</v>
      </c>
      <c r="S99" s="161">
        <v>2.3921949009361896</v>
      </c>
      <c r="T99" s="161">
        <v>1.8170971251110046</v>
      </c>
      <c r="U99" s="161">
        <v>1.7075993782129473</v>
      </c>
      <c r="V99" s="161">
        <v>2.37385694689263</v>
      </c>
      <c r="W99" s="161">
        <v>2.5331583320315332</v>
      </c>
      <c r="X99" s="161">
        <v>2.0889480836449508</v>
      </c>
      <c r="Y99" s="161">
        <v>0.38824143933511834</v>
      </c>
      <c r="Z99" s="161">
        <v>1.35258792047253</v>
      </c>
      <c r="AA99" s="162">
        <v>1.5800748078934106</v>
      </c>
      <c r="AB99" s="162">
        <v>1.4412693399870733</v>
      </c>
    </row>
    <row r="100" spans="1:28">
      <c r="A100" s="160" t="s">
        <v>122</v>
      </c>
      <c r="B100" s="160" t="s">
        <v>123</v>
      </c>
      <c r="C100" s="160" t="s">
        <v>305</v>
      </c>
      <c r="D100" s="160" t="s">
        <v>306</v>
      </c>
      <c r="E100" s="161">
        <v>25.117105786787448</v>
      </c>
      <c r="F100" s="161">
        <v>43.84228760217519</v>
      </c>
      <c r="G100" s="161">
        <v>60.035733845756141</v>
      </c>
      <c r="H100" s="161">
        <v>37.389447735298376</v>
      </c>
      <c r="I100" s="161">
        <v>32.061793720963522</v>
      </c>
      <c r="J100" s="161">
        <v>22.171468925655219</v>
      </c>
      <c r="K100" s="161">
        <v>18.731851491145065</v>
      </c>
      <c r="L100" s="161">
        <v>10.451270490398684</v>
      </c>
      <c r="M100" s="161">
        <v>23.662771976448525</v>
      </c>
      <c r="N100" s="161">
        <v>6.7892617917898974</v>
      </c>
      <c r="O100" s="161">
        <v>10.595534772853739</v>
      </c>
      <c r="P100" s="161">
        <v>7.4182567493782159</v>
      </c>
      <c r="Q100" s="161" t="s">
        <v>125</v>
      </c>
      <c r="R100" s="161" t="s">
        <v>125</v>
      </c>
      <c r="S100" s="161" t="s">
        <v>125</v>
      </c>
      <c r="T100" s="161" t="s">
        <v>125</v>
      </c>
      <c r="U100" s="161" t="s">
        <v>125</v>
      </c>
      <c r="V100" s="161">
        <v>11.344233760429674</v>
      </c>
      <c r="W100" s="161">
        <v>13.456180726277012</v>
      </c>
      <c r="X100" s="161">
        <v>11.790020503150942</v>
      </c>
      <c r="Y100" s="161">
        <v>9.8798417489057897</v>
      </c>
      <c r="Z100" s="161">
        <v>5.6624572390451959</v>
      </c>
      <c r="AA100" s="162">
        <v>5.1496791870680312</v>
      </c>
      <c r="AB100" s="162">
        <v>8.2642615193561113</v>
      </c>
    </row>
    <row r="101" spans="1:28">
      <c r="A101" s="160" t="s">
        <v>122</v>
      </c>
      <c r="B101" s="160" t="s">
        <v>123</v>
      </c>
      <c r="C101" s="160" t="s">
        <v>307</v>
      </c>
      <c r="D101" s="160" t="s">
        <v>308</v>
      </c>
      <c r="E101" s="161">
        <v>2.2645968987006455</v>
      </c>
      <c r="F101" s="161">
        <v>2.6057347234609978</v>
      </c>
      <c r="G101" s="161">
        <v>1.5881739399385566</v>
      </c>
      <c r="H101" s="161">
        <v>0.43740385096269563</v>
      </c>
      <c r="I101" s="161">
        <v>0.11504053142239457</v>
      </c>
      <c r="J101" s="161">
        <v>-0.72531444859149019</v>
      </c>
      <c r="K101" s="161">
        <v>-0.55689871081948183</v>
      </c>
      <c r="L101" s="161">
        <v>0.59505900331760131</v>
      </c>
      <c r="M101" s="161">
        <v>-5.4467496886900335E-2</v>
      </c>
      <c r="N101" s="161">
        <v>-1.2736997640954684</v>
      </c>
      <c r="O101" s="161">
        <v>-1.2475980976377627</v>
      </c>
      <c r="P101" s="161">
        <v>-1.1978675443872078</v>
      </c>
      <c r="Q101" s="161">
        <v>-1.5502729982797661</v>
      </c>
      <c r="R101" s="161">
        <v>-1.7147560358300495</v>
      </c>
      <c r="S101" s="161">
        <v>-1.352465844565927</v>
      </c>
      <c r="T101" s="161">
        <v>-1.2511518727431508</v>
      </c>
      <c r="U101" s="161">
        <v>-1.1214321875455937</v>
      </c>
      <c r="V101" s="161">
        <v>-0.93074036997597887</v>
      </c>
      <c r="W101" s="161">
        <v>-1.2652014000673262</v>
      </c>
      <c r="X101" s="161">
        <v>-0.50028340218875655</v>
      </c>
      <c r="Y101" s="161">
        <v>-2.1644214353462132</v>
      </c>
      <c r="Z101" s="161">
        <v>-1.8512528662420777</v>
      </c>
      <c r="AA101" s="162">
        <v>-0.91049223770285437</v>
      </c>
      <c r="AB101" s="162">
        <v>-0.5617645492150416</v>
      </c>
    </row>
    <row r="102" spans="1:28">
      <c r="A102" s="160" t="s">
        <v>122</v>
      </c>
      <c r="B102" s="160" t="s">
        <v>123</v>
      </c>
      <c r="C102" s="160" t="s">
        <v>309</v>
      </c>
      <c r="D102" s="160" t="s">
        <v>310</v>
      </c>
      <c r="E102" s="161">
        <v>12.740962279298216</v>
      </c>
      <c r="F102" s="161">
        <v>5.2162669588980037</v>
      </c>
      <c r="G102" s="161">
        <v>2.857587605603328</v>
      </c>
      <c r="H102" s="161">
        <v>2.8158946118222303</v>
      </c>
      <c r="I102" s="161">
        <v>6.8766893432111544</v>
      </c>
      <c r="J102" s="161">
        <v>1.8785288974822834</v>
      </c>
      <c r="K102" s="161">
        <v>2.0629818837343947</v>
      </c>
      <c r="L102" s="161">
        <v>1.2323272054643581</v>
      </c>
      <c r="M102" s="161">
        <v>6.0198409848550654</v>
      </c>
      <c r="N102" s="161">
        <v>-0.40049713982664059</v>
      </c>
      <c r="O102" s="161">
        <v>-0.41221772712914628</v>
      </c>
      <c r="P102" s="161">
        <v>0.77977781469652996</v>
      </c>
      <c r="Q102" s="161">
        <v>0.92121358539267817</v>
      </c>
      <c r="R102" s="161">
        <v>2.1441674889455697</v>
      </c>
      <c r="S102" s="161">
        <v>3.0855327245717206</v>
      </c>
      <c r="T102" s="161">
        <v>2.0029395212616095</v>
      </c>
      <c r="U102" s="161">
        <v>10.675165100779722</v>
      </c>
      <c r="V102" s="161">
        <v>5.0507279218117418</v>
      </c>
      <c r="W102" s="161">
        <v>19.868026562443447</v>
      </c>
      <c r="X102" s="161">
        <v>2.8187551885079216</v>
      </c>
      <c r="Y102" s="161">
        <v>8.4121837552711582</v>
      </c>
      <c r="Z102" s="161">
        <v>6.4132124916269362</v>
      </c>
      <c r="AA102" s="162">
        <v>4.5004526716451636</v>
      </c>
      <c r="AB102" s="162">
        <v>5.5995888297787388</v>
      </c>
    </row>
    <row r="103" spans="1:28">
      <c r="A103" s="160" t="s">
        <v>122</v>
      </c>
      <c r="B103" s="160" t="s">
        <v>123</v>
      </c>
      <c r="C103" s="160" t="s">
        <v>311</v>
      </c>
      <c r="D103" s="160" t="s">
        <v>312</v>
      </c>
      <c r="E103" s="161" t="s">
        <v>125</v>
      </c>
      <c r="F103" s="161">
        <v>96.356496127413607</v>
      </c>
      <c r="G103" s="161">
        <v>1472.216355743283</v>
      </c>
      <c r="H103" s="161">
        <v>1243.4616564753355</v>
      </c>
      <c r="I103" s="161">
        <v>1546.7268160159954</v>
      </c>
      <c r="J103" s="161">
        <v>160.88867351650345</v>
      </c>
      <c r="K103" s="161">
        <v>38.899631149412414</v>
      </c>
      <c r="L103" s="161">
        <v>16.135729979027857</v>
      </c>
      <c r="M103" s="161">
        <v>5.6628447236605837</v>
      </c>
      <c r="N103" s="161">
        <v>13.280140618413185</v>
      </c>
      <c r="O103" s="161">
        <v>17.42640268066657</v>
      </c>
      <c r="P103" s="161">
        <v>10.156432636740973</v>
      </c>
      <c r="Q103" s="161">
        <v>5.8032240963888739</v>
      </c>
      <c r="R103" s="161">
        <v>11.73852464776752</v>
      </c>
      <c r="S103" s="161">
        <v>16.131626996240513</v>
      </c>
      <c r="T103" s="161">
        <v>17.874827249714301</v>
      </c>
      <c r="U103" s="161">
        <v>21.551708909657293</v>
      </c>
      <c r="V103" s="161">
        <v>15.527097296183172</v>
      </c>
      <c r="W103" s="161">
        <v>20.936538211017421</v>
      </c>
      <c r="X103" s="161">
        <v>4.6910850732065228</v>
      </c>
      <c r="Y103" s="161">
        <v>19.542285398390206</v>
      </c>
      <c r="Z103" s="161">
        <v>17.568925078082856</v>
      </c>
      <c r="AA103" s="162">
        <v>4.823666424480578</v>
      </c>
      <c r="AB103" s="162">
        <v>6.1311782267867301</v>
      </c>
    </row>
    <row r="104" spans="1:28">
      <c r="A104" s="160" t="s">
        <v>122</v>
      </c>
      <c r="B104" s="160" t="s">
        <v>123</v>
      </c>
      <c r="C104" s="160" t="s">
        <v>68</v>
      </c>
      <c r="D104" s="160" t="s">
        <v>313</v>
      </c>
      <c r="E104" s="161">
        <v>10.637198740830357</v>
      </c>
      <c r="F104" s="161">
        <v>12.531961891149138</v>
      </c>
      <c r="G104" s="161">
        <v>18.897234103331527</v>
      </c>
      <c r="H104" s="161">
        <v>25.698483595967218</v>
      </c>
      <c r="I104" s="161">
        <v>17.016414783434783</v>
      </c>
      <c r="J104" s="161">
        <v>11.221070845104265</v>
      </c>
      <c r="K104" s="161">
        <v>41.98877391472891</v>
      </c>
      <c r="L104" s="161">
        <v>11.4352163305701</v>
      </c>
      <c r="M104" s="161">
        <v>6.9314026680671077</v>
      </c>
      <c r="N104" s="161">
        <v>4.1939390497758069</v>
      </c>
      <c r="O104" s="161">
        <v>6.0798484871202874</v>
      </c>
      <c r="P104" s="161">
        <v>1.5731202980676215</v>
      </c>
      <c r="Q104" s="161">
        <v>0.93320555780114489</v>
      </c>
      <c r="R104" s="161">
        <v>6.1973132390808416</v>
      </c>
      <c r="S104" s="161">
        <v>7.1268415526848798</v>
      </c>
      <c r="T104" s="161">
        <v>4.8996497225358269</v>
      </c>
      <c r="U104" s="161">
        <v>7.7867405713095508</v>
      </c>
      <c r="V104" s="161">
        <v>5.6148124438531539</v>
      </c>
      <c r="W104" s="161">
        <v>13.212403945086777</v>
      </c>
      <c r="X104" s="161">
        <v>9.7392935525419091</v>
      </c>
      <c r="Y104" s="161">
        <v>2.2470577122689832</v>
      </c>
      <c r="Z104" s="161">
        <v>13.540905187965507</v>
      </c>
      <c r="AA104" s="162">
        <v>6.8235792485375981</v>
      </c>
      <c r="AB104" s="162">
        <v>6.5932076445646999</v>
      </c>
    </row>
    <row r="105" spans="1:28">
      <c r="A105" s="160" t="s">
        <v>122</v>
      </c>
      <c r="B105" s="160" t="s">
        <v>123</v>
      </c>
      <c r="C105" s="160" t="s">
        <v>314</v>
      </c>
      <c r="D105" s="160" t="s">
        <v>315</v>
      </c>
      <c r="E105" s="161">
        <v>-4.6530582119925157</v>
      </c>
      <c r="F105" s="161">
        <v>76.179573869767495</v>
      </c>
      <c r="G105" s="161">
        <v>6.9324356865718499</v>
      </c>
      <c r="H105" s="161">
        <v>2.045167312737604</v>
      </c>
      <c r="I105" s="161">
        <v>2.5067976518916169</v>
      </c>
      <c r="J105" s="161">
        <v>2.0910938570705184</v>
      </c>
      <c r="K105" s="161">
        <v>5.161006029789533</v>
      </c>
      <c r="L105" s="161">
        <v>1.7675254256299837</v>
      </c>
      <c r="M105" s="161">
        <v>3.2855352135029818</v>
      </c>
      <c r="N105" s="161">
        <v>2.2985055958012452</v>
      </c>
      <c r="O105" s="161">
        <v>-2.8211680783067123</v>
      </c>
      <c r="P105" s="161">
        <v>4.0379982069724747</v>
      </c>
      <c r="Q105" s="161">
        <v>8.3903212699920431</v>
      </c>
      <c r="R105" s="161">
        <v>0.46240438390947247</v>
      </c>
      <c r="S105" s="161">
        <v>-3.0749692517581053</v>
      </c>
      <c r="T105" s="161">
        <v>0.17442234430362191</v>
      </c>
      <c r="U105" s="161">
        <v>4.7206775220642214</v>
      </c>
      <c r="V105" s="161">
        <v>-1.6378760151572749</v>
      </c>
      <c r="W105" s="161">
        <v>6.5881095411682793</v>
      </c>
      <c r="X105" s="161">
        <v>1.920006403994563</v>
      </c>
      <c r="Y105" s="161">
        <v>1.1194029194407875</v>
      </c>
      <c r="Z105" s="161">
        <v>-0.88644316460680272</v>
      </c>
      <c r="AA105" s="162">
        <v>-1.5683252695074827</v>
      </c>
      <c r="AB105" s="162">
        <v>0.56082447303971605</v>
      </c>
    </row>
    <row r="106" spans="1:28">
      <c r="A106" s="160" t="s">
        <v>122</v>
      </c>
      <c r="B106" s="160" t="s">
        <v>123</v>
      </c>
      <c r="C106" s="160" t="s">
        <v>316</v>
      </c>
      <c r="D106" s="160" t="s">
        <v>317</v>
      </c>
      <c r="E106" s="161" t="s">
        <v>125</v>
      </c>
      <c r="F106" s="161" t="s">
        <v>125</v>
      </c>
      <c r="G106" s="161" t="s">
        <v>125</v>
      </c>
      <c r="H106" s="161" t="s">
        <v>125</v>
      </c>
      <c r="I106" s="161" t="s">
        <v>125</v>
      </c>
      <c r="J106" s="161" t="s">
        <v>125</v>
      </c>
      <c r="K106" s="161" t="s">
        <v>125</v>
      </c>
      <c r="L106" s="161" t="s">
        <v>125</v>
      </c>
      <c r="M106" s="161" t="s">
        <v>125</v>
      </c>
      <c r="N106" s="161" t="s">
        <v>125</v>
      </c>
      <c r="O106" s="161" t="s">
        <v>125</v>
      </c>
      <c r="P106" s="161" t="s">
        <v>125</v>
      </c>
      <c r="Q106" s="161" t="s">
        <v>125</v>
      </c>
      <c r="R106" s="161" t="s">
        <v>125</v>
      </c>
      <c r="S106" s="161" t="s">
        <v>125</v>
      </c>
      <c r="T106" s="161" t="s">
        <v>125</v>
      </c>
      <c r="U106" s="161" t="s">
        <v>125</v>
      </c>
      <c r="V106" s="161" t="s">
        <v>125</v>
      </c>
      <c r="W106" s="161" t="s">
        <v>125</v>
      </c>
      <c r="X106" s="161" t="s">
        <v>125</v>
      </c>
      <c r="Y106" s="161" t="s">
        <v>125</v>
      </c>
      <c r="Z106" s="161" t="s">
        <v>125</v>
      </c>
      <c r="AA106" s="162" t="s">
        <v>125</v>
      </c>
      <c r="AB106" s="162" t="s">
        <v>125</v>
      </c>
    </row>
    <row r="107" spans="1:28">
      <c r="A107" s="160" t="s">
        <v>122</v>
      </c>
      <c r="B107" s="160" t="s">
        <v>123</v>
      </c>
      <c r="C107" s="160" t="s">
        <v>318</v>
      </c>
      <c r="D107" s="160" t="s">
        <v>319</v>
      </c>
      <c r="E107" s="161">
        <v>10.391468648735696</v>
      </c>
      <c r="F107" s="161">
        <v>10.218741652913209</v>
      </c>
      <c r="G107" s="161">
        <v>7.8533425921524866</v>
      </c>
      <c r="H107" s="161">
        <v>6.4335584407668733</v>
      </c>
      <c r="I107" s="161">
        <v>7.6942985513337732</v>
      </c>
      <c r="J107" s="161">
        <v>7.4564835883216034</v>
      </c>
      <c r="K107" s="161">
        <v>4.9788695009604425</v>
      </c>
      <c r="L107" s="161">
        <v>3.851833429440461</v>
      </c>
      <c r="M107" s="161">
        <v>4.9527703630670743</v>
      </c>
      <c r="N107" s="161">
        <v>-1.042786264065569</v>
      </c>
      <c r="O107" s="161">
        <v>0.95141077829606502</v>
      </c>
      <c r="P107" s="161">
        <v>3.6504182759266968</v>
      </c>
      <c r="Q107" s="161">
        <v>3.0605079064933705</v>
      </c>
      <c r="R107" s="161">
        <v>3.3950856705273793</v>
      </c>
      <c r="S107" s="161">
        <v>2.9840801612553918</v>
      </c>
      <c r="T107" s="161">
        <v>1.0315617770452263</v>
      </c>
      <c r="U107" s="161">
        <v>-0.1398212202761755</v>
      </c>
      <c r="V107" s="161">
        <v>2.3972219337400986</v>
      </c>
      <c r="W107" s="161">
        <v>2.9566717121246882</v>
      </c>
      <c r="X107" s="161">
        <v>3.5422886534694555</v>
      </c>
      <c r="Y107" s="161">
        <v>3.1614524013424443</v>
      </c>
      <c r="Z107" s="161">
        <v>1.5845879080491585</v>
      </c>
      <c r="AA107" s="162">
        <v>1.0435101199207821</v>
      </c>
      <c r="AB107" s="162">
        <v>0.69884873023882221</v>
      </c>
    </row>
    <row r="108" spans="1:28">
      <c r="A108" s="160" t="s">
        <v>122</v>
      </c>
      <c r="B108" s="160" t="s">
        <v>123</v>
      </c>
      <c r="C108" s="160" t="s">
        <v>320</v>
      </c>
      <c r="D108" s="160" t="s">
        <v>321</v>
      </c>
      <c r="E108" s="161" t="s">
        <v>125</v>
      </c>
      <c r="F108" s="161" t="s">
        <v>125</v>
      </c>
      <c r="G108" s="161" t="s">
        <v>125</v>
      </c>
      <c r="H108" s="161" t="s">
        <v>125</v>
      </c>
      <c r="I108" s="161" t="s">
        <v>125</v>
      </c>
      <c r="J108" s="161" t="s">
        <v>125</v>
      </c>
      <c r="K108" s="161" t="s">
        <v>125</v>
      </c>
      <c r="L108" s="161" t="s">
        <v>125</v>
      </c>
      <c r="M108" s="161" t="s">
        <v>125</v>
      </c>
      <c r="N108" s="161" t="s">
        <v>125</v>
      </c>
      <c r="O108" s="161" t="s">
        <v>125</v>
      </c>
      <c r="P108" s="161">
        <v>11.400935134664664</v>
      </c>
      <c r="Q108" s="161">
        <v>1.8052071925674653</v>
      </c>
      <c r="R108" s="161">
        <v>-2.1705839744190882</v>
      </c>
      <c r="S108" s="161">
        <v>-3.8365258675215017</v>
      </c>
      <c r="T108" s="161">
        <v>-3.2094557895908338</v>
      </c>
      <c r="U108" s="161">
        <v>0.44030525406041932</v>
      </c>
      <c r="V108" s="161">
        <v>2.4081081047685444</v>
      </c>
      <c r="W108" s="161">
        <v>6.2047084822140874</v>
      </c>
      <c r="X108" s="161">
        <v>-0.31297813940206254</v>
      </c>
      <c r="Y108" s="161">
        <v>3.8053820802822429</v>
      </c>
      <c r="Z108" s="161">
        <v>5.3148762943234402</v>
      </c>
      <c r="AA108" s="162">
        <v>2.4076855758812314</v>
      </c>
      <c r="AB108" s="162">
        <v>1.4460775382229514</v>
      </c>
    </row>
    <row r="109" spans="1:28">
      <c r="A109" s="160" t="s">
        <v>122</v>
      </c>
      <c r="B109" s="160" t="s">
        <v>123</v>
      </c>
      <c r="C109" s="160" t="s">
        <v>322</v>
      </c>
      <c r="D109" s="160" t="s">
        <v>323</v>
      </c>
      <c r="E109" s="161" t="s">
        <v>125</v>
      </c>
      <c r="F109" s="161" t="s">
        <v>125</v>
      </c>
      <c r="G109" s="161" t="s">
        <v>125</v>
      </c>
      <c r="H109" s="161">
        <v>-7.3864214287060008</v>
      </c>
      <c r="I109" s="161">
        <v>-5.8704749646449272</v>
      </c>
      <c r="J109" s="161">
        <v>4.8517977937536898</v>
      </c>
      <c r="K109" s="161">
        <v>15.511262535066336</v>
      </c>
      <c r="L109" s="161">
        <v>-4.7194442795491511</v>
      </c>
      <c r="M109" s="161">
        <v>-17.148025513722089</v>
      </c>
      <c r="N109" s="161">
        <v>18.072671109419929</v>
      </c>
      <c r="O109" s="161">
        <v>20.526469697460413</v>
      </c>
      <c r="P109" s="161">
        <v>-8.1801944891438296</v>
      </c>
      <c r="Q109" s="161">
        <v>5.1530434956174105</v>
      </c>
      <c r="R109" s="161">
        <v>4.9245634529219586</v>
      </c>
      <c r="S109" s="161">
        <v>10.849954194096071</v>
      </c>
      <c r="T109" s="161">
        <v>22.357611369550085</v>
      </c>
      <c r="U109" s="161">
        <v>16.173401741467913</v>
      </c>
      <c r="V109" s="161">
        <v>4.3067886310207797</v>
      </c>
      <c r="W109" s="161">
        <v>18.661984226030754</v>
      </c>
      <c r="X109" s="161">
        <v>-17.216348671888611</v>
      </c>
      <c r="Y109" s="161">
        <v>15.505417592594981</v>
      </c>
      <c r="Z109" s="161">
        <v>21.314334825802845</v>
      </c>
      <c r="AA109" s="162">
        <v>8.9763340769955562</v>
      </c>
      <c r="AB109" s="162" t="s">
        <v>125</v>
      </c>
    </row>
    <row r="110" spans="1:28">
      <c r="A110" s="160" t="s">
        <v>122</v>
      </c>
      <c r="B110" s="160" t="s">
        <v>123</v>
      </c>
      <c r="C110" s="160" t="s">
        <v>324</v>
      </c>
      <c r="D110" s="160" t="s">
        <v>325</v>
      </c>
      <c r="E110" s="161">
        <v>7.935334032807134</v>
      </c>
      <c r="F110" s="161">
        <v>134.7495244134434</v>
      </c>
      <c r="G110" s="161">
        <v>830.1595663521382</v>
      </c>
      <c r="H110" s="161">
        <v>754.42795595978964</v>
      </c>
      <c r="I110" s="161">
        <v>180.87492989343718</v>
      </c>
      <c r="J110" s="161">
        <v>42.031089176849548</v>
      </c>
      <c r="K110" s="161">
        <v>35.342907877308562</v>
      </c>
      <c r="L110" s="161">
        <v>19.309641212190698</v>
      </c>
      <c r="M110" s="161">
        <v>9.0775063184501192</v>
      </c>
      <c r="N110" s="161">
        <v>37.574499731872891</v>
      </c>
      <c r="O110" s="161">
        <v>27.182215329291481</v>
      </c>
      <c r="P110" s="161">
        <v>7.3323551629957109</v>
      </c>
      <c r="Q110" s="161">
        <v>2.0254437499994822</v>
      </c>
      <c r="R110" s="161">
        <v>3.9749738378459796</v>
      </c>
      <c r="S110" s="161">
        <v>5.1084259931847953</v>
      </c>
      <c r="T110" s="161">
        <v>7.1286222555368823</v>
      </c>
      <c r="U110" s="161">
        <v>9.3916178024941956</v>
      </c>
      <c r="V110" s="161">
        <v>14.876552255173053</v>
      </c>
      <c r="W110" s="161">
        <v>22.215988360625332</v>
      </c>
      <c r="X110" s="161">
        <v>4.0353038689946175</v>
      </c>
      <c r="Y110" s="161">
        <v>10.033903549255115</v>
      </c>
      <c r="Z110" s="161">
        <v>22.481842233097481</v>
      </c>
      <c r="AA110" s="162">
        <v>8.6569534342245902</v>
      </c>
      <c r="AB110" s="162">
        <v>1.9956308279171822</v>
      </c>
    </row>
    <row r="111" spans="1:28">
      <c r="A111" s="160" t="s">
        <v>122</v>
      </c>
      <c r="B111" s="160" t="s">
        <v>123</v>
      </c>
      <c r="C111" s="160" t="s">
        <v>326</v>
      </c>
      <c r="D111" s="160" t="s">
        <v>327</v>
      </c>
      <c r="E111" s="161">
        <v>37.907380762736551</v>
      </c>
      <c r="F111" s="161">
        <v>12.971760385852591</v>
      </c>
      <c r="G111" s="161">
        <v>5.9938414832580094</v>
      </c>
      <c r="H111" s="161">
        <v>11.182579337473243</v>
      </c>
      <c r="I111" s="161">
        <v>7.7005955118051332</v>
      </c>
      <c r="J111" s="161">
        <v>19.685364418373979</v>
      </c>
      <c r="K111" s="161">
        <v>13.725212254706904</v>
      </c>
      <c r="L111" s="161">
        <v>19.3528167281587</v>
      </c>
      <c r="M111" s="161">
        <v>84.504458900363403</v>
      </c>
      <c r="N111" s="161">
        <v>127.97396640181802</v>
      </c>
      <c r="O111" s="161">
        <v>24.797776607162064</v>
      </c>
      <c r="P111" s="161">
        <v>8.8680738028482011</v>
      </c>
      <c r="Q111" s="161">
        <v>6.318459331191832</v>
      </c>
      <c r="R111" s="161">
        <v>13.450095616098352</v>
      </c>
      <c r="S111" s="161">
        <v>10.690428543735521</v>
      </c>
      <c r="T111" s="161">
        <v>8.6403224785297539</v>
      </c>
      <c r="U111" s="161">
        <v>10.805101226026807</v>
      </c>
      <c r="V111" s="161">
        <v>7.438286005806674</v>
      </c>
      <c r="W111" s="161">
        <v>8.8634506383844354</v>
      </c>
      <c r="X111" s="161">
        <v>-2.9320735328946768</v>
      </c>
      <c r="Y111" s="161">
        <v>10.018457168479074</v>
      </c>
      <c r="Z111" s="161">
        <v>3.8033831133692786</v>
      </c>
      <c r="AA111" s="162">
        <v>4.4478721835424153</v>
      </c>
      <c r="AB111" s="162">
        <v>7.2170274179966611</v>
      </c>
    </row>
    <row r="112" spans="1:28">
      <c r="A112" s="160" t="s">
        <v>122</v>
      </c>
      <c r="B112" s="160" t="s">
        <v>123</v>
      </c>
      <c r="C112" s="160" t="s">
        <v>328</v>
      </c>
      <c r="D112" s="160" t="s">
        <v>329</v>
      </c>
      <c r="E112" s="161">
        <v>24.136073398954665</v>
      </c>
      <c r="F112" s="161">
        <v>162.61763195263848</v>
      </c>
      <c r="G112" s="161">
        <v>932.522424506059</v>
      </c>
      <c r="H112" s="161">
        <v>53.693777506515829</v>
      </c>
      <c r="I112" s="161">
        <v>36.246052163064405</v>
      </c>
      <c r="J112" s="161">
        <v>27.525496120636689</v>
      </c>
      <c r="K112" s="161">
        <v>14.869469705012676</v>
      </c>
      <c r="L112" s="161">
        <v>6.9655045980160395</v>
      </c>
      <c r="M112" s="161">
        <v>4.6026384038235335</v>
      </c>
      <c r="N112" s="161">
        <v>4.3732290250195547</v>
      </c>
      <c r="O112" s="161">
        <v>4.1859280788482351</v>
      </c>
      <c r="P112" s="161">
        <v>1.6953630152878958</v>
      </c>
      <c r="Q112" s="161">
        <v>3.6086736685820568</v>
      </c>
      <c r="R112" s="161">
        <v>3.5655023343239947</v>
      </c>
      <c r="S112" s="161">
        <v>7.0085865700607428</v>
      </c>
      <c r="T112" s="161">
        <v>10.17353041605007</v>
      </c>
      <c r="U112" s="161">
        <v>9.8775218230681787</v>
      </c>
      <c r="V112" s="161">
        <v>20.295447172186527</v>
      </c>
      <c r="W112" s="161">
        <v>14.383279410473946</v>
      </c>
      <c r="X112" s="161">
        <v>-1.4971117893721981</v>
      </c>
      <c r="Y112" s="161">
        <v>-2.3157193409885366</v>
      </c>
      <c r="Z112" s="161">
        <v>6.4444436682124859</v>
      </c>
      <c r="AA112" s="162">
        <v>3.5415399067046707</v>
      </c>
      <c r="AB112" s="162" t="s">
        <v>125</v>
      </c>
    </row>
    <row r="113" spans="1:28">
      <c r="A113" s="160" t="s">
        <v>122</v>
      </c>
      <c r="B113" s="160" t="s">
        <v>123</v>
      </c>
      <c r="C113" s="160" t="s">
        <v>330</v>
      </c>
      <c r="D113" s="160" t="s">
        <v>331</v>
      </c>
      <c r="E113" s="161">
        <v>15.501848390016008</v>
      </c>
      <c r="F113" s="161">
        <v>51.538493425815744</v>
      </c>
      <c r="G113" s="161">
        <v>119.98928758404136</v>
      </c>
      <c r="H113" s="161">
        <v>29.102128780263314</v>
      </c>
      <c r="I113" s="161">
        <v>13.800366210193715</v>
      </c>
      <c r="J113" s="161">
        <v>10.589573999004173</v>
      </c>
      <c r="K113" s="161">
        <v>7.6887695747741844</v>
      </c>
      <c r="L113" s="161">
        <v>15.361621963521969</v>
      </c>
      <c r="M113" s="161">
        <v>4.0912987651553294</v>
      </c>
      <c r="N113" s="161">
        <v>0.73941799215400295</v>
      </c>
      <c r="O113" s="161">
        <v>-2.0901037259836528</v>
      </c>
      <c r="P113" s="161">
        <v>-1.6329983179461465</v>
      </c>
      <c r="Q113" s="161">
        <v>4.9711987281660441</v>
      </c>
      <c r="R113" s="161">
        <v>1.5711254839517466</v>
      </c>
      <c r="S113" s="161">
        <v>-2.9171189991383528</v>
      </c>
      <c r="T113" s="161">
        <v>-1.0870210110075931</v>
      </c>
      <c r="U113" s="161">
        <v>0.77488539500450315</v>
      </c>
      <c r="V113" s="161">
        <v>3.0655540919343167</v>
      </c>
      <c r="W113" s="161">
        <v>7.5212756275645916</v>
      </c>
      <c r="X113" s="161">
        <v>10.503427329003287</v>
      </c>
      <c r="Y113" s="161">
        <v>0.15947418686108961</v>
      </c>
      <c r="Z113" s="161">
        <v>3.3711177101120882</v>
      </c>
      <c r="AA113" s="162">
        <v>5.4794520547944074</v>
      </c>
      <c r="AB113" s="162">
        <v>1.7396526469711375</v>
      </c>
    </row>
    <row r="114" spans="1:28">
      <c r="A114" s="160" t="s">
        <v>122</v>
      </c>
      <c r="B114" s="160" t="s">
        <v>123</v>
      </c>
      <c r="C114" s="160" t="s">
        <v>332</v>
      </c>
      <c r="D114" s="160" t="s">
        <v>333</v>
      </c>
      <c r="E114" s="161">
        <v>12.645459840418624</v>
      </c>
      <c r="F114" s="161">
        <v>14.8210509975913</v>
      </c>
      <c r="G114" s="161">
        <v>13.979006941527942</v>
      </c>
      <c r="H114" s="161">
        <v>11.046029994153898</v>
      </c>
      <c r="I114" s="161">
        <v>7.9286240233052041</v>
      </c>
      <c r="J114" s="161">
        <v>13.94907725498868</v>
      </c>
      <c r="K114" s="161">
        <v>7.0015184364801399</v>
      </c>
      <c r="L114" s="161">
        <v>8.5087361605376373</v>
      </c>
      <c r="M114" s="161">
        <v>12.376361084009659</v>
      </c>
      <c r="N114" s="161">
        <v>7.6686824581038167</v>
      </c>
      <c r="O114" s="161">
        <v>3.948117944418243</v>
      </c>
      <c r="P114" s="161">
        <v>9.0249786666551017</v>
      </c>
      <c r="Q114" s="161">
        <v>13.231901997969103</v>
      </c>
      <c r="R114" s="161">
        <v>1.1540777597846272</v>
      </c>
      <c r="S114" s="161">
        <v>6.3056104770681429</v>
      </c>
      <c r="T114" s="161">
        <v>6.2771614128583053</v>
      </c>
      <c r="U114" s="161">
        <v>6.5935971423334507</v>
      </c>
      <c r="V114" s="161">
        <v>11.066303313786662</v>
      </c>
      <c r="W114" s="161">
        <v>13.202785155012805</v>
      </c>
      <c r="X114" s="161">
        <v>3.9926005204183213</v>
      </c>
      <c r="Y114" s="161">
        <v>2.7234514504211376</v>
      </c>
      <c r="Z114" s="161">
        <v>10.258709497175687</v>
      </c>
      <c r="AA114" s="162">
        <v>-0.63737020936291344</v>
      </c>
      <c r="AB114" s="162">
        <v>6.4078070980448985</v>
      </c>
    </row>
    <row r="115" spans="1:28">
      <c r="A115" s="160" t="s">
        <v>122</v>
      </c>
      <c r="B115" s="160" t="s">
        <v>123</v>
      </c>
      <c r="C115" s="160" t="s">
        <v>334</v>
      </c>
      <c r="D115" s="160" t="s">
        <v>335</v>
      </c>
      <c r="E115" s="161">
        <v>-0.16733759857817176</v>
      </c>
      <c r="F115" s="161">
        <v>5.5446466809098638</v>
      </c>
      <c r="G115" s="161">
        <v>-1.0632183908043373</v>
      </c>
      <c r="H115" s="161">
        <v>7.0761014686248984</v>
      </c>
      <c r="I115" s="161">
        <v>5.3443609406517538</v>
      </c>
      <c r="J115" s="161">
        <v>6.510688445368416</v>
      </c>
      <c r="K115" s="161">
        <v>5.4655545753468999</v>
      </c>
      <c r="L115" s="161">
        <v>-10.008824034251717</v>
      </c>
      <c r="M115" s="161">
        <v>3789.2094534244393</v>
      </c>
      <c r="N115" s="161">
        <v>0.91773956104239574</v>
      </c>
      <c r="O115" s="161">
        <v>-6.8917375842564894</v>
      </c>
      <c r="P115" s="161">
        <v>-5.4188777155907815</v>
      </c>
      <c r="Q115" s="161">
        <v>0.30351939284689422</v>
      </c>
      <c r="R115" s="161">
        <v>9.2351016623075708</v>
      </c>
      <c r="S115" s="161">
        <v>11.265109435349217</v>
      </c>
      <c r="T115" s="161">
        <v>10.237238519753689</v>
      </c>
      <c r="U115" s="161">
        <v>3.1480423377418134</v>
      </c>
      <c r="V115" s="161">
        <v>11.699210231199402</v>
      </c>
      <c r="W115" s="161">
        <v>7.3493650126595753</v>
      </c>
      <c r="X115" s="161">
        <v>29.053265070528511</v>
      </c>
      <c r="Y115" s="161">
        <v>5.4737084359887547</v>
      </c>
      <c r="Z115" s="161">
        <v>10.260154476045983</v>
      </c>
      <c r="AA115" s="162">
        <v>4.1028139713563263</v>
      </c>
      <c r="AB115" s="162">
        <v>3.8366466917210857</v>
      </c>
    </row>
    <row r="116" spans="1:28">
      <c r="A116" s="160" t="s">
        <v>122</v>
      </c>
      <c r="B116" s="160" t="s">
        <v>123</v>
      </c>
      <c r="C116" s="160" t="s">
        <v>336</v>
      </c>
      <c r="D116" s="160" t="s">
        <v>337</v>
      </c>
      <c r="E116" s="161" t="s">
        <v>125</v>
      </c>
      <c r="F116" s="161" t="s">
        <v>125</v>
      </c>
      <c r="G116" s="161" t="s">
        <v>125</v>
      </c>
      <c r="H116" s="161" t="s">
        <v>125</v>
      </c>
      <c r="I116" s="161" t="s">
        <v>125</v>
      </c>
      <c r="J116" s="161" t="s">
        <v>125</v>
      </c>
      <c r="K116" s="161" t="s">
        <v>125</v>
      </c>
      <c r="L116" s="161" t="s">
        <v>125</v>
      </c>
      <c r="M116" s="161" t="s">
        <v>125</v>
      </c>
      <c r="N116" s="161" t="s">
        <v>125</v>
      </c>
      <c r="O116" s="161">
        <v>18.410385166752221</v>
      </c>
      <c r="P116" s="161">
        <v>3.4971174012473369</v>
      </c>
      <c r="Q116" s="161">
        <v>48.475894938456747</v>
      </c>
      <c r="R116" s="161">
        <v>8.1612586037363286</v>
      </c>
      <c r="S116" s="161">
        <v>34.970393591083166</v>
      </c>
      <c r="T116" s="161">
        <v>24.537178750687232</v>
      </c>
      <c r="U116" s="161">
        <v>14.935950630001486</v>
      </c>
      <c r="V116" s="161">
        <v>14.303609175604805</v>
      </c>
      <c r="W116" s="161">
        <v>25.372819172803091</v>
      </c>
      <c r="X116" s="161">
        <v>-32.814406240871534</v>
      </c>
      <c r="Y116" s="161">
        <v>15.330096815605685</v>
      </c>
      <c r="Z116" s="161">
        <v>18.2812704456734</v>
      </c>
      <c r="AA116" s="162">
        <v>18.922962976832508</v>
      </c>
      <c r="AB116" s="162">
        <v>2.6021191441404738</v>
      </c>
    </row>
    <row r="117" spans="1:28">
      <c r="A117" s="160" t="s">
        <v>122</v>
      </c>
      <c r="B117" s="160" t="s">
        <v>123</v>
      </c>
      <c r="C117" s="160" t="s">
        <v>338</v>
      </c>
      <c r="D117" s="160" t="s">
        <v>339</v>
      </c>
      <c r="E117" s="161">
        <v>5.4024456667985277</v>
      </c>
      <c r="F117" s="161">
        <v>5.8701298852281667</v>
      </c>
      <c r="G117" s="161">
        <v>4.0235525079170884</v>
      </c>
      <c r="H117" s="161">
        <v>3.3018868256844485</v>
      </c>
      <c r="I117" s="161">
        <v>0.85235914772579235</v>
      </c>
      <c r="J117" s="161">
        <v>1.7959553661588217</v>
      </c>
      <c r="K117" s="161">
        <v>0.81541881879651612</v>
      </c>
      <c r="L117" s="161">
        <v>0.51470586489767811</v>
      </c>
      <c r="M117" s="161">
        <v>1.4630593712766427E-2</v>
      </c>
      <c r="N117" s="161">
        <v>0.81919250104967034</v>
      </c>
      <c r="O117" s="161">
        <v>1.552524675778912</v>
      </c>
      <c r="P117" s="161">
        <v>0.98585512701873768</v>
      </c>
      <c r="Q117" s="161">
        <v>0.65082060678793141</v>
      </c>
      <c r="R117" s="161">
        <v>0.63255552187082742</v>
      </c>
      <c r="S117" s="161">
        <v>0.81016901009043352</v>
      </c>
      <c r="T117" s="161">
        <v>1.1639185205886093</v>
      </c>
      <c r="U117" s="161">
        <v>1.0546500523382889</v>
      </c>
      <c r="V117" s="161">
        <v>6.905638898335198</v>
      </c>
      <c r="W117" s="161">
        <v>-5.0647897892498435</v>
      </c>
      <c r="X117" s="161">
        <v>-0.48601075841780528</v>
      </c>
      <c r="Y117" s="161" t="s">
        <v>125</v>
      </c>
      <c r="Z117" s="161" t="s">
        <v>125</v>
      </c>
      <c r="AA117" s="162" t="s">
        <v>125</v>
      </c>
      <c r="AB117" s="162" t="s">
        <v>125</v>
      </c>
    </row>
    <row r="118" spans="1:28">
      <c r="A118" s="160" t="s">
        <v>122</v>
      </c>
      <c r="B118" s="160" t="s">
        <v>123</v>
      </c>
      <c r="C118" s="160" t="s">
        <v>340</v>
      </c>
      <c r="D118" s="160" t="s">
        <v>341</v>
      </c>
      <c r="E118" s="161" t="s">
        <v>125</v>
      </c>
      <c r="F118" s="161">
        <v>228.33678176638307</v>
      </c>
      <c r="G118" s="161">
        <v>942.30652994474895</v>
      </c>
      <c r="H118" s="161">
        <v>306.1944738020527</v>
      </c>
      <c r="I118" s="161">
        <v>61.635253549947208</v>
      </c>
      <c r="J118" s="161">
        <v>54.204815261066983</v>
      </c>
      <c r="K118" s="161">
        <v>19.020602776499658</v>
      </c>
      <c r="L118" s="161">
        <v>11.845254423785235</v>
      </c>
      <c r="M118" s="161">
        <v>3.2349057464155777</v>
      </c>
      <c r="N118" s="161">
        <v>-1.4541353017140182</v>
      </c>
      <c r="O118" s="161">
        <v>0.93728680315821578</v>
      </c>
      <c r="P118" s="161">
        <v>-0.36994930096788892</v>
      </c>
      <c r="Q118" s="161">
        <v>0.18277119830921151</v>
      </c>
      <c r="R118" s="161">
        <v>-0.77720392231475444</v>
      </c>
      <c r="S118" s="161">
        <v>2.5372532237686585</v>
      </c>
      <c r="T118" s="161">
        <v>6.6145823720272574</v>
      </c>
      <c r="U118" s="161">
        <v>6.5360471177953627</v>
      </c>
      <c r="V118" s="161">
        <v>8.4997794239648954</v>
      </c>
      <c r="W118" s="161">
        <v>9.7728408086019272</v>
      </c>
      <c r="X118" s="161">
        <v>-3.7057803721868225</v>
      </c>
      <c r="Y118" s="161">
        <v>2.029189149385374</v>
      </c>
      <c r="Z118" s="161">
        <v>6.0487327490834417</v>
      </c>
      <c r="AA118" s="162">
        <v>3.1087398336053127</v>
      </c>
      <c r="AB118" s="162" t="s">
        <v>125</v>
      </c>
    </row>
    <row r="119" spans="1:28">
      <c r="A119" s="160" t="s">
        <v>122</v>
      </c>
      <c r="B119" s="160" t="s">
        <v>123</v>
      </c>
      <c r="C119" s="160" t="s">
        <v>342</v>
      </c>
      <c r="D119" s="160" t="s">
        <v>343</v>
      </c>
      <c r="E119" s="161">
        <v>2.5133871019915404</v>
      </c>
      <c r="F119" s="161">
        <v>1.822839723660195</v>
      </c>
      <c r="G119" s="161">
        <v>3.729075179205978</v>
      </c>
      <c r="H119" s="161">
        <v>5.9727702551091113</v>
      </c>
      <c r="I119" s="161">
        <v>3.542372221532645</v>
      </c>
      <c r="J119" s="161">
        <v>2.3320702940109044</v>
      </c>
      <c r="K119" s="161">
        <v>2.9829111141033877</v>
      </c>
      <c r="L119" s="161">
        <v>-1.8750587365686755</v>
      </c>
      <c r="M119" s="161">
        <v>-0.41111702153115459</v>
      </c>
      <c r="N119" s="161">
        <v>5.328253232753525</v>
      </c>
      <c r="O119" s="161">
        <v>2.0181181663503338</v>
      </c>
      <c r="P119" s="161">
        <v>7.8538002473621304E-2</v>
      </c>
      <c r="Q119" s="161">
        <v>2.0791203524030948</v>
      </c>
      <c r="R119" s="161">
        <v>5.9106995109722078</v>
      </c>
      <c r="S119" s="161">
        <v>1.8322966236094373</v>
      </c>
      <c r="T119" s="161">
        <v>4.7889376742152479</v>
      </c>
      <c r="U119" s="161">
        <v>6.7703283003186101</v>
      </c>
      <c r="V119" s="161">
        <v>3.730248114300764</v>
      </c>
      <c r="W119" s="161">
        <v>0.40337869896799816</v>
      </c>
      <c r="X119" s="161">
        <v>0.79369560734980382</v>
      </c>
      <c r="Y119" s="161">
        <v>7.1542111051794421</v>
      </c>
      <c r="Z119" s="161">
        <v>4.1905990653777536</v>
      </c>
      <c r="AA119" s="162">
        <v>3.0281767328044253</v>
      </c>
      <c r="AB119" s="162">
        <v>3.7490013281049244</v>
      </c>
    </row>
    <row r="120" spans="1:28">
      <c r="A120" s="160" t="s">
        <v>122</v>
      </c>
      <c r="B120" s="160" t="s">
        <v>123</v>
      </c>
      <c r="C120" s="160" t="s">
        <v>344</v>
      </c>
      <c r="D120" s="160" t="s">
        <v>345</v>
      </c>
      <c r="E120" s="161">
        <v>11.515011884231214</v>
      </c>
      <c r="F120" s="161">
        <v>11.509773375505958</v>
      </c>
      <c r="G120" s="161">
        <v>16.229600083129483</v>
      </c>
      <c r="H120" s="161">
        <v>9.4957106792324737</v>
      </c>
      <c r="I120" s="161">
        <v>6.4628454839653671</v>
      </c>
      <c r="J120" s="161">
        <v>8.3241111654235596</v>
      </c>
      <c r="K120" s="161">
        <v>1.4227117663775601</v>
      </c>
      <c r="L120" s="161">
        <v>1.1101006286134805</v>
      </c>
      <c r="M120" s="161">
        <v>-2.8009663413200485</v>
      </c>
      <c r="N120" s="161">
        <v>-1.8440013092503307</v>
      </c>
      <c r="O120" s="161">
        <v>-2.0215360959920616</v>
      </c>
      <c r="P120" s="161">
        <v>3.8493840163796875</v>
      </c>
      <c r="Q120" s="161">
        <v>-1.2163535249344335</v>
      </c>
      <c r="R120" s="161">
        <v>0.30794693093642422</v>
      </c>
      <c r="S120" s="161">
        <v>2.012231947276959</v>
      </c>
      <c r="T120" s="161">
        <v>5.746486988695338</v>
      </c>
      <c r="U120" s="161">
        <v>7.8398030444536602</v>
      </c>
      <c r="V120" s="161">
        <v>8.8624905054476102</v>
      </c>
      <c r="W120" s="161">
        <v>10.839997162934139</v>
      </c>
      <c r="X120" s="161">
        <v>0.62611275630615637</v>
      </c>
      <c r="Y120" s="161">
        <v>4.5970587484644625</v>
      </c>
      <c r="Z120" s="161">
        <v>6.7158522913140786</v>
      </c>
      <c r="AA120" s="162">
        <v>7.1195765034298404</v>
      </c>
      <c r="AB120" s="162">
        <v>7.6067847778421083</v>
      </c>
    </row>
    <row r="121" spans="1:28">
      <c r="A121" s="160" t="s">
        <v>122</v>
      </c>
      <c r="B121" s="160" t="s">
        <v>123</v>
      </c>
      <c r="C121" s="160" t="s">
        <v>346</v>
      </c>
      <c r="D121" s="160" t="s">
        <v>347</v>
      </c>
      <c r="E121" s="161" t="s">
        <v>125</v>
      </c>
      <c r="F121" s="161">
        <v>93.730426003378739</v>
      </c>
      <c r="G121" s="161">
        <v>1271.7657123324168</v>
      </c>
      <c r="H121" s="161">
        <v>442.14956070773144</v>
      </c>
      <c r="I121" s="161">
        <v>151.88909418383125</v>
      </c>
      <c r="J121" s="161">
        <v>17.091097608438162</v>
      </c>
      <c r="K121" s="161">
        <v>2.8650873707045719</v>
      </c>
      <c r="L121" s="161">
        <v>3.9295375692108223</v>
      </c>
      <c r="M121" s="161">
        <v>1.3911748757463442</v>
      </c>
      <c r="N121" s="161">
        <v>2.7382089469359983</v>
      </c>
      <c r="O121" s="161">
        <v>8.1787055324878111</v>
      </c>
      <c r="P121" s="161">
        <v>3.6104187507322933</v>
      </c>
      <c r="Q121" s="161">
        <v>3.4485668436520456</v>
      </c>
      <c r="R121" s="161">
        <v>3.0009135890097411</v>
      </c>
      <c r="S121" s="161">
        <v>0.79083337402725817</v>
      </c>
      <c r="T121" s="161">
        <v>3.7746201463141063</v>
      </c>
      <c r="U121" s="161">
        <v>3.2798205863926171</v>
      </c>
      <c r="V121" s="161">
        <v>7.4321758751122928</v>
      </c>
      <c r="W121" s="161">
        <v>7.4851718792421167</v>
      </c>
      <c r="X121" s="161">
        <v>0.68510266617141724</v>
      </c>
      <c r="Y121" s="161">
        <v>2.7130321807633919</v>
      </c>
      <c r="Z121" s="161">
        <v>3.0299932280918824</v>
      </c>
      <c r="AA121" s="162">
        <v>0.14647499104711414</v>
      </c>
      <c r="AB121" s="162">
        <v>0.28727363886467572</v>
      </c>
    </row>
    <row r="122" spans="1:28">
      <c r="A122" s="160" t="s">
        <v>122</v>
      </c>
      <c r="B122" s="160" t="s">
        <v>123</v>
      </c>
      <c r="C122" s="160" t="s">
        <v>70</v>
      </c>
      <c r="D122" s="160" t="s">
        <v>348</v>
      </c>
      <c r="E122" s="161">
        <v>11.45836895690681</v>
      </c>
      <c r="F122" s="161">
        <v>12.88436586827369</v>
      </c>
      <c r="G122" s="161">
        <v>14.41502326223744</v>
      </c>
      <c r="H122" s="161">
        <v>12.08151915364229</v>
      </c>
      <c r="I122" s="161">
        <v>41.653146731122604</v>
      </c>
      <c r="J122" s="161">
        <v>45.123455804657738</v>
      </c>
      <c r="K122" s="161">
        <v>17.839034500445152</v>
      </c>
      <c r="L122" s="161">
        <v>7.2935152081869887</v>
      </c>
      <c r="M122" s="161">
        <v>8.4366832823351956</v>
      </c>
      <c r="N122" s="161">
        <v>9.714659137693431</v>
      </c>
      <c r="O122" s="161">
        <v>7.2331688351847419</v>
      </c>
      <c r="P122" s="161">
        <v>7.2670821233298284</v>
      </c>
      <c r="Q122" s="161">
        <v>15.275870104385632</v>
      </c>
      <c r="R122" s="161">
        <v>2.7645959006162144</v>
      </c>
      <c r="S122" s="161">
        <v>14.303811001532225</v>
      </c>
      <c r="T122" s="161">
        <v>18.303167426653744</v>
      </c>
      <c r="U122" s="161">
        <v>11.47244344226155</v>
      </c>
      <c r="V122" s="161">
        <v>9.6158305469648155</v>
      </c>
      <c r="W122" s="161">
        <v>9.093027993367059</v>
      </c>
      <c r="X122" s="161">
        <v>8.3627280154795187</v>
      </c>
      <c r="Y122" s="161">
        <v>9.1738155148775888</v>
      </c>
      <c r="Z122" s="161">
        <v>8.5731324452554531</v>
      </c>
      <c r="AA122" s="162">
        <v>6.1752005408673085</v>
      </c>
      <c r="AB122" s="162">
        <v>7.6076683523898367</v>
      </c>
    </row>
    <row r="123" spans="1:28">
      <c r="A123" s="160" t="s">
        <v>122</v>
      </c>
      <c r="B123" s="160" t="s">
        <v>123</v>
      </c>
      <c r="C123" s="160" t="s">
        <v>75</v>
      </c>
      <c r="D123" s="160" t="s">
        <v>349</v>
      </c>
      <c r="E123" s="161">
        <v>10.660833465437051</v>
      </c>
      <c r="F123" s="161">
        <v>10.692370481661413</v>
      </c>
      <c r="G123" s="161">
        <v>13.276421252685282</v>
      </c>
      <c r="H123" s="161">
        <v>28.174666228901629</v>
      </c>
      <c r="I123" s="161">
        <v>26.171878246824605</v>
      </c>
      <c r="J123" s="161">
        <v>77.219584221297453</v>
      </c>
      <c r="K123" s="161">
        <v>52.345608510107354</v>
      </c>
      <c r="L123" s="161">
        <v>20.834840210920262</v>
      </c>
      <c r="M123" s="161">
        <v>19.548484883624752</v>
      </c>
      <c r="N123" s="161">
        <v>39.690778237293387</v>
      </c>
      <c r="O123" s="161">
        <v>30.53395148272341</v>
      </c>
      <c r="P123" s="161">
        <v>25.622467296338726</v>
      </c>
      <c r="Q123" s="161">
        <v>62.164655418959995</v>
      </c>
      <c r="R123" s="161">
        <v>9.5617299841977683</v>
      </c>
      <c r="S123" s="161">
        <v>15.408839571935133</v>
      </c>
      <c r="T123" s="161">
        <v>10.972572388826052</v>
      </c>
      <c r="U123" s="161">
        <v>27.315266891189637</v>
      </c>
      <c r="V123" s="161">
        <v>9.9914323739746607</v>
      </c>
      <c r="W123" s="161">
        <v>8.6548899356989466</v>
      </c>
      <c r="X123" s="161">
        <v>8.3738905061603504</v>
      </c>
      <c r="Y123" s="161">
        <v>26.448175586008361</v>
      </c>
      <c r="Z123" s="161">
        <v>3.9060657554863525</v>
      </c>
      <c r="AA123" s="162">
        <v>17.701779042284031</v>
      </c>
      <c r="AB123" s="162">
        <v>21.775778552720809</v>
      </c>
    </row>
    <row r="124" spans="1:28">
      <c r="A124" s="160" t="s">
        <v>122</v>
      </c>
      <c r="B124" s="160" t="s">
        <v>123</v>
      </c>
      <c r="C124" s="160" t="s">
        <v>350</v>
      </c>
      <c r="D124" s="160" t="s">
        <v>351</v>
      </c>
      <c r="E124" s="161">
        <v>3.8058762416379039</v>
      </c>
      <c r="F124" s="161">
        <v>3.5848043741945901</v>
      </c>
      <c r="G124" s="161">
        <v>2.4156820334098086</v>
      </c>
      <c r="H124" s="161">
        <v>3.9856739971910145</v>
      </c>
      <c r="I124" s="161">
        <v>3.9379371647872574</v>
      </c>
      <c r="J124" s="161">
        <v>3.6329566320937516</v>
      </c>
      <c r="K124" s="161">
        <v>3.6803690435382066</v>
      </c>
      <c r="L124" s="161">
        <v>3.4823485226988424</v>
      </c>
      <c r="M124" s="161">
        <v>8.4991032839912606</v>
      </c>
      <c r="N124" s="161">
        <v>4.4768977655593289E-2</v>
      </c>
      <c r="O124" s="161">
        <v>8.8552734190814704</v>
      </c>
      <c r="P124" s="161">
        <v>-1.5815977627383546</v>
      </c>
      <c r="Q124" s="161">
        <v>3.1288831904498551</v>
      </c>
      <c r="R124" s="161">
        <v>3.298932881741365</v>
      </c>
      <c r="S124" s="161">
        <v>6.0095062279617224</v>
      </c>
      <c r="T124" s="161">
        <v>8.8623568494282381</v>
      </c>
      <c r="U124" s="161">
        <v>3.9807505004904726</v>
      </c>
      <c r="V124" s="161">
        <v>4.8816780104464783</v>
      </c>
      <c r="W124" s="161">
        <v>10.388403482716456</v>
      </c>
      <c r="X124" s="161">
        <v>-5.9919324619567078</v>
      </c>
      <c r="Y124" s="161">
        <v>4.1186827715625043</v>
      </c>
      <c r="Z124" s="161">
        <v>5.5168888480835392</v>
      </c>
      <c r="AA124" s="162">
        <v>0.73851588924387102</v>
      </c>
      <c r="AB124" s="162">
        <v>-9.1899664680312299E-2</v>
      </c>
    </row>
    <row r="125" spans="1:28">
      <c r="A125" s="160" t="s">
        <v>122</v>
      </c>
      <c r="B125" s="160" t="s">
        <v>123</v>
      </c>
      <c r="C125" s="160" t="s">
        <v>352</v>
      </c>
      <c r="D125" s="160" t="s">
        <v>353</v>
      </c>
      <c r="E125" s="161" t="s">
        <v>125</v>
      </c>
      <c r="F125" s="161" t="s">
        <v>125</v>
      </c>
      <c r="G125" s="161" t="s">
        <v>125</v>
      </c>
      <c r="H125" s="161" t="s">
        <v>125</v>
      </c>
      <c r="I125" s="161" t="s">
        <v>125</v>
      </c>
      <c r="J125" s="161" t="s">
        <v>125</v>
      </c>
      <c r="K125" s="161" t="s">
        <v>125</v>
      </c>
      <c r="L125" s="161" t="s">
        <v>125</v>
      </c>
      <c r="M125" s="161" t="s">
        <v>125</v>
      </c>
      <c r="N125" s="161" t="s">
        <v>125</v>
      </c>
      <c r="O125" s="161" t="s">
        <v>125</v>
      </c>
      <c r="P125" s="161" t="s">
        <v>125</v>
      </c>
      <c r="Q125" s="161">
        <v>1.7335406986619546</v>
      </c>
      <c r="R125" s="161">
        <v>0.46565756706404215</v>
      </c>
      <c r="S125" s="161">
        <v>0.67241047389610742</v>
      </c>
      <c r="T125" s="161">
        <v>1.0360695552883641</v>
      </c>
      <c r="U125" s="161">
        <v>9.8175435014051544</v>
      </c>
      <c r="V125" s="161">
        <v>7.0101430650585144</v>
      </c>
      <c r="W125" s="161">
        <v>9.3380504206445494</v>
      </c>
      <c r="X125" s="161">
        <v>8.8743362654420537</v>
      </c>
      <c r="Y125" s="161">
        <v>0.44120139143434756</v>
      </c>
      <c r="Z125" s="161">
        <v>8.5898046072737628</v>
      </c>
      <c r="AA125" s="162">
        <v>1.4510985147623074</v>
      </c>
      <c r="AB125" s="162">
        <v>4.9471207140636864</v>
      </c>
    </row>
    <row r="126" spans="1:28">
      <c r="A126" s="160" t="s">
        <v>122</v>
      </c>
      <c r="B126" s="160" t="s">
        <v>123</v>
      </c>
      <c r="C126" s="160" t="s">
        <v>354</v>
      </c>
      <c r="D126" s="160" t="s">
        <v>355</v>
      </c>
      <c r="E126" s="161">
        <v>4.8623605584234895</v>
      </c>
      <c r="F126" s="161">
        <v>2.0372937965247928</v>
      </c>
      <c r="G126" s="161">
        <v>1.9713738364821864</v>
      </c>
      <c r="H126" s="161">
        <v>2.6253420956134192</v>
      </c>
      <c r="I126" s="161">
        <v>27.893276052649838</v>
      </c>
      <c r="J126" s="161">
        <v>18.428809910261634</v>
      </c>
      <c r="K126" s="161">
        <v>5.4464199633771102</v>
      </c>
      <c r="L126" s="161">
        <v>1.0000689140945695</v>
      </c>
      <c r="M126" s="161">
        <v>1.0032726137268355E-2</v>
      </c>
      <c r="N126" s="161">
        <v>-3.2149190899743303</v>
      </c>
      <c r="O126" s="161">
        <v>5.6020078621931617</v>
      </c>
      <c r="P126" s="161">
        <v>-0.29712138022584611</v>
      </c>
      <c r="Q126" s="161">
        <v>16.044994440746336</v>
      </c>
      <c r="R126" s="161">
        <v>1.2848954403309421</v>
      </c>
      <c r="S126" s="161">
        <v>-0.61407385720875141</v>
      </c>
      <c r="T126" s="161">
        <v>2.4484529956223469</v>
      </c>
      <c r="U126" s="161">
        <v>5.3655969913447734</v>
      </c>
      <c r="V126" s="161">
        <v>2.559844211041451</v>
      </c>
      <c r="W126" s="161">
        <v>8.8382855623180916</v>
      </c>
      <c r="X126" s="161">
        <v>3.5651202154069779</v>
      </c>
      <c r="Y126" s="161">
        <v>4.1837891873702375</v>
      </c>
      <c r="Z126" s="161">
        <v>4.8013668250316783</v>
      </c>
      <c r="AA126" s="162">
        <v>5.5070037432190588</v>
      </c>
      <c r="AB126" s="162">
        <v>0.24887100697370101</v>
      </c>
    </row>
    <row r="127" spans="1:28">
      <c r="A127" s="160" t="s">
        <v>122</v>
      </c>
      <c r="B127" s="160" t="s">
        <v>123</v>
      </c>
      <c r="C127" s="160" t="s">
        <v>356</v>
      </c>
      <c r="D127" s="160" t="s">
        <v>357</v>
      </c>
      <c r="E127" s="161">
        <v>3.1510508338370897</v>
      </c>
      <c r="F127" s="161">
        <v>3.3508740951337472</v>
      </c>
      <c r="G127" s="161">
        <v>3.5544126840833172</v>
      </c>
      <c r="H127" s="161">
        <v>2.8545107258565565</v>
      </c>
      <c r="I127" s="161">
        <v>3.5617440042441899</v>
      </c>
      <c r="J127" s="161">
        <v>5.4626378090509178</v>
      </c>
      <c r="K127" s="161">
        <v>0.35074737121298938</v>
      </c>
      <c r="L127" s="161">
        <v>0.66646716337011469</v>
      </c>
      <c r="M127" s="161">
        <v>0.38035516153756532</v>
      </c>
      <c r="N127" s="161">
        <v>0.58985187478745615</v>
      </c>
      <c r="O127" s="161">
        <v>4.1774331075124849</v>
      </c>
      <c r="P127" s="161">
        <v>3.2818629916507831</v>
      </c>
      <c r="Q127" s="161">
        <v>2.7716874998614287</v>
      </c>
      <c r="R127" s="161">
        <v>3.5342586418308599</v>
      </c>
      <c r="S127" s="161">
        <v>1.2251521432787911</v>
      </c>
      <c r="T127" s="161">
        <v>2.5594122667117034</v>
      </c>
      <c r="U127" s="161">
        <v>3.0434593179638085</v>
      </c>
      <c r="V127" s="161">
        <v>3.0949356049548555</v>
      </c>
      <c r="W127" s="161">
        <v>2.5761332172721865</v>
      </c>
      <c r="X127" s="161">
        <v>2.5577576155380939</v>
      </c>
      <c r="Y127" s="161">
        <v>2.9272760593724172</v>
      </c>
      <c r="Z127" s="161">
        <v>4.9270248941190431</v>
      </c>
      <c r="AA127" s="162">
        <v>2.3078248770836041</v>
      </c>
      <c r="AB127" s="162" t="s">
        <v>125</v>
      </c>
    </row>
    <row r="128" spans="1:28">
      <c r="A128" s="160" t="s">
        <v>122</v>
      </c>
      <c r="B128" s="160" t="s">
        <v>123</v>
      </c>
      <c r="C128" s="160" t="s">
        <v>358</v>
      </c>
      <c r="D128" s="160" t="s">
        <v>359</v>
      </c>
      <c r="E128" s="161">
        <v>4.9898401853373855</v>
      </c>
      <c r="F128" s="161">
        <v>5.0442969006495559</v>
      </c>
      <c r="G128" s="161">
        <v>3.0140479444734893</v>
      </c>
      <c r="H128" s="161">
        <v>3.0337089077762158</v>
      </c>
      <c r="I128" s="161">
        <v>2.6246402772732722</v>
      </c>
      <c r="J128" s="161">
        <v>2.8071809045301421</v>
      </c>
      <c r="K128" s="161">
        <v>2.7959325073267109</v>
      </c>
      <c r="L128" s="161">
        <v>2.4843681011226693</v>
      </c>
      <c r="M128" s="161">
        <v>5.2641765972413594</v>
      </c>
      <c r="N128" s="161">
        <v>1.7744019412940162</v>
      </c>
      <c r="O128" s="161">
        <v>-2.9752169055258406</v>
      </c>
      <c r="P128" s="161">
        <v>-1.4848423861828195</v>
      </c>
      <c r="Q128" s="161">
        <v>5.5606092739509876</v>
      </c>
      <c r="R128" s="161">
        <v>1.55296225772355</v>
      </c>
      <c r="S128" s="161">
        <v>3.3821036254532402</v>
      </c>
      <c r="T128" s="161">
        <v>2.2393279059867268</v>
      </c>
      <c r="U128" s="161">
        <v>2.2873160328759496</v>
      </c>
      <c r="V128" s="161">
        <v>1.3643587668184693</v>
      </c>
      <c r="W128" s="161">
        <v>3.8934347096425626</v>
      </c>
      <c r="X128" s="161">
        <v>0.85408899302001373</v>
      </c>
      <c r="Y128" s="161">
        <v>1.9692932405030774</v>
      </c>
      <c r="Z128" s="161">
        <v>3.7654645191410197</v>
      </c>
      <c r="AA128" s="162">
        <v>-1.8645453326391674</v>
      </c>
      <c r="AB128" s="162">
        <v>0.48616162002832652</v>
      </c>
    </row>
    <row r="129" spans="1:28">
      <c r="A129" s="160" t="s">
        <v>122</v>
      </c>
      <c r="B129" s="160" t="s">
        <v>123</v>
      </c>
      <c r="C129" s="160" t="s">
        <v>360</v>
      </c>
      <c r="D129" s="160" t="s">
        <v>361</v>
      </c>
      <c r="E129" s="161">
        <v>2.6424775326023138</v>
      </c>
      <c r="F129" s="161">
        <v>41.413105613477541</v>
      </c>
      <c r="G129" s="161">
        <v>5.7419417068348793</v>
      </c>
      <c r="H129" s="161">
        <v>11.912884768247807</v>
      </c>
      <c r="I129" s="161">
        <v>11.092601379574489</v>
      </c>
      <c r="J129" s="161">
        <v>2.8419200486518434</v>
      </c>
      <c r="K129" s="161">
        <v>1.8570637050901126</v>
      </c>
      <c r="L129" s="161">
        <v>12.0770633761732</v>
      </c>
      <c r="M129" s="161">
        <v>16.477463926248475</v>
      </c>
      <c r="N129" s="161">
        <v>5.4950169508798155</v>
      </c>
      <c r="O129" s="161">
        <v>5.4036479361982259</v>
      </c>
      <c r="P129" s="161">
        <v>5.0378970254531197</v>
      </c>
      <c r="Q129" s="161">
        <v>7.9547488648357216</v>
      </c>
      <c r="R129" s="161">
        <v>7.7919459361727661</v>
      </c>
      <c r="S129" s="161">
        <v>11.753317036982992</v>
      </c>
      <c r="T129" s="161">
        <v>9.5553431726232532</v>
      </c>
      <c r="U129" s="161">
        <v>18.457144908156437</v>
      </c>
      <c r="V129" s="161">
        <v>4.5896762979352701</v>
      </c>
      <c r="W129" s="161">
        <v>0.47932695316022489</v>
      </c>
      <c r="X129" s="161">
        <v>-10.948427743515026</v>
      </c>
      <c r="Y129" s="161">
        <v>17.471545536660372</v>
      </c>
      <c r="Z129" s="161">
        <v>14.895695847976583</v>
      </c>
      <c r="AA129" s="162">
        <v>-5.6176275853384965</v>
      </c>
      <c r="AB129" s="162">
        <v>-0.14465680159653971</v>
      </c>
    </row>
    <row r="130" spans="1:28">
      <c r="A130" s="160" t="s">
        <v>122</v>
      </c>
      <c r="B130" s="160" t="s">
        <v>123</v>
      </c>
      <c r="C130" s="160" t="s">
        <v>362</v>
      </c>
      <c r="D130" s="160" t="s">
        <v>363</v>
      </c>
      <c r="E130" s="161">
        <v>10.12099638447404</v>
      </c>
      <c r="F130" s="161">
        <v>8.564279105224486</v>
      </c>
      <c r="G130" s="161">
        <v>5.3553991585971801</v>
      </c>
      <c r="H130" s="161">
        <v>9.2202180478625451</v>
      </c>
      <c r="I130" s="161">
        <v>6.5554302632796464</v>
      </c>
      <c r="J130" s="161">
        <v>5.4032016017253426</v>
      </c>
      <c r="K130" s="161">
        <v>7.0020426762239936</v>
      </c>
      <c r="L130" s="161">
        <v>5.1207693629095701</v>
      </c>
      <c r="M130" s="161">
        <v>6.964902541284502</v>
      </c>
      <c r="N130" s="161">
        <v>5.2830735398392363</v>
      </c>
      <c r="O130" s="161">
        <v>2.0859812642278541</v>
      </c>
      <c r="P130" s="161">
        <v>7.0998250413459232</v>
      </c>
      <c r="Q130" s="161">
        <v>5.8538308627857276</v>
      </c>
      <c r="R130" s="161">
        <v>5.7147901294049746</v>
      </c>
      <c r="S130" s="161">
        <v>6.0905839067649623</v>
      </c>
      <c r="T130" s="161">
        <v>4.2589558291232379</v>
      </c>
      <c r="U130" s="161">
        <v>10.784911393963739</v>
      </c>
      <c r="V130" s="161">
        <v>7.9566793792736519</v>
      </c>
      <c r="W130" s="161">
        <v>6.5523455010363563</v>
      </c>
      <c r="X130" s="161">
        <v>-7.4099294844899077E-2</v>
      </c>
      <c r="Y130" s="161">
        <v>1.773808608695802</v>
      </c>
      <c r="Z130" s="161">
        <v>3.9651898915031154</v>
      </c>
      <c r="AA130" s="162">
        <v>3.1180991789858439</v>
      </c>
      <c r="AB130" s="162">
        <v>3.2894972488654872</v>
      </c>
    </row>
    <row r="131" spans="1:28">
      <c r="A131" s="160" t="s">
        <v>122</v>
      </c>
      <c r="B131" s="160" t="s">
        <v>123</v>
      </c>
      <c r="C131" s="160" t="s">
        <v>88</v>
      </c>
      <c r="D131" s="160" t="s">
        <v>364</v>
      </c>
      <c r="E131" s="161">
        <v>28.130492909867741</v>
      </c>
      <c r="F131" s="161">
        <v>23.250619443514637</v>
      </c>
      <c r="G131" s="161">
        <v>14.411033669206091</v>
      </c>
      <c r="H131" s="161">
        <v>34.081506065175773</v>
      </c>
      <c r="I131" s="161">
        <v>8.2329571081884296</v>
      </c>
      <c r="J131" s="161">
        <v>31.58003385405442</v>
      </c>
      <c r="K131" s="161">
        <v>29.249246752600243</v>
      </c>
      <c r="L131" s="161">
        <v>17.798804788351703</v>
      </c>
      <c r="M131" s="161">
        <v>15.114134454019833</v>
      </c>
      <c r="N131" s="161">
        <v>17.652100137150001</v>
      </c>
      <c r="O131" s="161">
        <v>10.817539254619149</v>
      </c>
      <c r="P131" s="161">
        <v>5.373213810316372</v>
      </c>
      <c r="Q131" s="161">
        <v>5.6225149633676352</v>
      </c>
      <c r="R131" s="161">
        <v>5.9657474917274271</v>
      </c>
      <c r="S131" s="161">
        <v>8.3107066626797632</v>
      </c>
      <c r="T131" s="161">
        <v>5.4090469660983587</v>
      </c>
      <c r="U131" s="161">
        <v>6.3001264462448319</v>
      </c>
      <c r="V131" s="161">
        <v>4.907001938511101</v>
      </c>
      <c r="W131" s="161">
        <v>6.0012529513831225</v>
      </c>
      <c r="X131" s="161">
        <v>3.5369366367280719</v>
      </c>
      <c r="Y131" s="161">
        <v>4.4851575229089207</v>
      </c>
      <c r="Z131" s="161">
        <v>5.2878678858484136</v>
      </c>
      <c r="AA131" s="162">
        <v>3.2086724126812101</v>
      </c>
      <c r="AB131" s="162">
        <v>2.0418285228230673</v>
      </c>
    </row>
    <row r="132" spans="1:28">
      <c r="A132" s="160" t="s">
        <v>122</v>
      </c>
      <c r="B132" s="160" t="s">
        <v>123</v>
      </c>
      <c r="C132" s="160" t="s">
        <v>365</v>
      </c>
      <c r="D132" s="160" t="s">
        <v>366</v>
      </c>
      <c r="E132" s="161">
        <v>4.9496500022292906</v>
      </c>
      <c r="F132" s="161">
        <v>5.1013712207022905</v>
      </c>
      <c r="G132" s="161">
        <v>3.030566511086505</v>
      </c>
      <c r="H132" s="161">
        <v>3.0122213065656211</v>
      </c>
      <c r="I132" s="161">
        <v>2.6150313118472184</v>
      </c>
      <c r="J132" s="161">
        <v>2.4249971903302878</v>
      </c>
      <c r="K132" s="161">
        <v>1.697541517820639</v>
      </c>
      <c r="L132" s="161">
        <v>0.64661346351189763</v>
      </c>
      <c r="M132" s="161">
        <v>3.1126419472796272</v>
      </c>
      <c r="N132" s="161">
        <v>-0.90935909179836472</v>
      </c>
      <c r="O132" s="161">
        <v>1.0820345308979427</v>
      </c>
      <c r="P132" s="161">
        <v>1.1591500454571957</v>
      </c>
      <c r="Q132" s="161">
        <v>2.1279241949898164E-2</v>
      </c>
      <c r="R132" s="161">
        <v>-0.39139273108904149</v>
      </c>
      <c r="S132" s="161">
        <v>1.0497267463971838</v>
      </c>
      <c r="T132" s="161">
        <v>2.0864598489764603</v>
      </c>
      <c r="U132" s="161">
        <v>1.424749363045791</v>
      </c>
      <c r="V132" s="161">
        <v>3.2732460220223487</v>
      </c>
      <c r="W132" s="161">
        <v>4.8121430790893243</v>
      </c>
      <c r="X132" s="161">
        <v>5.1760912207531931</v>
      </c>
      <c r="Y132" s="161">
        <v>3.3682227729258756</v>
      </c>
      <c r="Z132" s="161">
        <v>3.3780489436813923</v>
      </c>
      <c r="AA132" s="162">
        <v>4.6618385251442191</v>
      </c>
      <c r="AB132" s="162">
        <v>2.0500395749873235</v>
      </c>
    </row>
    <row r="133" spans="1:28">
      <c r="A133" s="160" t="s">
        <v>122</v>
      </c>
      <c r="B133" s="160" t="s">
        <v>123</v>
      </c>
      <c r="C133" s="160" t="s">
        <v>367</v>
      </c>
      <c r="D133" s="160" t="s">
        <v>368</v>
      </c>
      <c r="E133" s="161">
        <v>13.515192149659327</v>
      </c>
      <c r="F133" s="161">
        <v>139.82680615512345</v>
      </c>
      <c r="G133" s="161">
        <v>945.03052316874664</v>
      </c>
      <c r="H133" s="161">
        <v>860.45723881997685</v>
      </c>
      <c r="I133" s="161">
        <v>276.44112184995242</v>
      </c>
      <c r="J133" s="161">
        <v>38.737196980119876</v>
      </c>
      <c r="K133" s="161">
        <v>26.939776312015411</v>
      </c>
      <c r="L133" s="161">
        <v>12.553935720542327</v>
      </c>
      <c r="M133" s="161">
        <v>5.5985623379599474</v>
      </c>
      <c r="N133" s="161">
        <v>44.87857541810169</v>
      </c>
      <c r="O133" s="161">
        <v>27.337241162423027</v>
      </c>
      <c r="P133" s="161">
        <v>12.088784105116375</v>
      </c>
      <c r="Q133" s="161">
        <v>9.8286411512467282</v>
      </c>
      <c r="R133" s="161">
        <v>14.865631382503366</v>
      </c>
      <c r="S133" s="161">
        <v>7.9765383514043293</v>
      </c>
      <c r="T133" s="161">
        <v>9.3431116253044166</v>
      </c>
      <c r="U133" s="161">
        <v>13.436075672011924</v>
      </c>
      <c r="V133" s="161">
        <v>15.830427016355813</v>
      </c>
      <c r="W133" s="161">
        <v>9.2799723584143123</v>
      </c>
      <c r="X133" s="161">
        <v>2.1588056642369651</v>
      </c>
      <c r="Y133" s="161">
        <v>11.077099661245413</v>
      </c>
      <c r="Z133" s="161">
        <v>7.2616244466275077</v>
      </c>
      <c r="AA133" s="162">
        <v>7.8944751641618609</v>
      </c>
      <c r="AB133" s="162">
        <v>3.9541223333464899</v>
      </c>
    </row>
    <row r="134" spans="1:28">
      <c r="A134" s="160" t="s">
        <v>122</v>
      </c>
      <c r="B134" s="160" t="s">
        <v>123</v>
      </c>
      <c r="C134" s="160" t="s">
        <v>369</v>
      </c>
      <c r="D134" s="160" t="s">
        <v>370</v>
      </c>
      <c r="E134" s="161">
        <v>2.6405612249304653</v>
      </c>
      <c r="F134" s="161">
        <v>2.5398161618988411</v>
      </c>
      <c r="G134" s="161">
        <v>2.135883892414455</v>
      </c>
      <c r="H134" s="161">
        <v>1.5500293436970765</v>
      </c>
      <c r="I134" s="161">
        <v>1.345661856975795</v>
      </c>
      <c r="J134" s="161">
        <v>1.3079134311838203</v>
      </c>
      <c r="K134" s="161">
        <v>1.6045794849021746</v>
      </c>
      <c r="L134" s="161">
        <v>1.0140521482431666</v>
      </c>
      <c r="M134" s="161">
        <v>0.90091815394130492</v>
      </c>
      <c r="N134" s="161">
        <v>4.6249311980204766E-2</v>
      </c>
      <c r="O134" s="161">
        <v>1.4006154946899017</v>
      </c>
      <c r="P134" s="161">
        <v>1.6489015866370238</v>
      </c>
      <c r="Q134" s="161">
        <v>2.3801650789677637</v>
      </c>
      <c r="R134" s="161">
        <v>1.8786788671602466</v>
      </c>
      <c r="S134" s="161">
        <v>1.5897862412683708</v>
      </c>
      <c r="T134" s="161">
        <v>2.0342492915484769</v>
      </c>
      <c r="U134" s="161">
        <v>2.8207097899324083</v>
      </c>
      <c r="V134" s="161">
        <v>2.4778885655023544</v>
      </c>
      <c r="W134" s="161">
        <v>-1.6248480613793959</v>
      </c>
      <c r="X134" s="161" t="s">
        <v>125</v>
      </c>
      <c r="Y134" s="161" t="s">
        <v>125</v>
      </c>
      <c r="Z134" s="161" t="s">
        <v>125</v>
      </c>
      <c r="AA134" s="162" t="s">
        <v>125</v>
      </c>
      <c r="AB134" s="162" t="s">
        <v>125</v>
      </c>
    </row>
    <row r="135" spans="1:28">
      <c r="A135" s="160" t="s">
        <v>122</v>
      </c>
      <c r="B135" s="160" t="s">
        <v>123</v>
      </c>
      <c r="C135" s="160" t="s">
        <v>371</v>
      </c>
      <c r="D135" s="160" t="s">
        <v>372</v>
      </c>
      <c r="E135" s="161">
        <v>23.242925635411254</v>
      </c>
      <c r="F135" s="161">
        <v>93.319950605922287</v>
      </c>
      <c r="G135" s="161">
        <v>173.69068265146871</v>
      </c>
      <c r="H135" s="161">
        <v>318.89722567055213</v>
      </c>
      <c r="I135" s="161">
        <v>64.319388335722323</v>
      </c>
      <c r="J135" s="161">
        <v>60.272425407656158</v>
      </c>
      <c r="K135" s="161">
        <v>10.807572707947187</v>
      </c>
      <c r="L135" s="161">
        <v>21.672134236073575</v>
      </c>
      <c r="M135" s="161">
        <v>-1.9317969910068342</v>
      </c>
      <c r="N135" s="161">
        <v>10.881756988083623</v>
      </c>
      <c r="O135" s="161">
        <v>11.999691382000805</v>
      </c>
      <c r="P135" s="161">
        <v>10.448544660292967</v>
      </c>
      <c r="Q135" s="161">
        <v>6.3696873485886556</v>
      </c>
      <c r="R135" s="161">
        <v>10.236574536562188</v>
      </c>
      <c r="S135" s="161">
        <v>16.691473012941699</v>
      </c>
      <c r="T135" s="161">
        <v>20.098438773778327</v>
      </c>
      <c r="U135" s="161">
        <v>21.986771578043431</v>
      </c>
      <c r="V135" s="161">
        <v>11.628567651499026</v>
      </c>
      <c r="W135" s="161">
        <v>21.448753751607967</v>
      </c>
      <c r="X135" s="161">
        <v>1.8267036890642174</v>
      </c>
      <c r="Y135" s="161">
        <v>20.03329975762675</v>
      </c>
      <c r="Z135" s="161">
        <v>12.130960572924224</v>
      </c>
      <c r="AA135" s="162">
        <v>12.438489283546801</v>
      </c>
      <c r="AB135" s="162">
        <v>12.081177514823764</v>
      </c>
    </row>
    <row r="136" spans="1:28">
      <c r="A136" s="160" t="s">
        <v>122</v>
      </c>
      <c r="B136" s="160" t="s">
        <v>123</v>
      </c>
      <c r="C136" s="160" t="s">
        <v>373</v>
      </c>
      <c r="D136" s="160" t="s">
        <v>374</v>
      </c>
      <c r="E136" s="161" t="s">
        <v>125</v>
      </c>
      <c r="F136" s="161" t="s">
        <v>125</v>
      </c>
      <c r="G136" s="161" t="s">
        <v>125</v>
      </c>
      <c r="H136" s="161" t="s">
        <v>125</v>
      </c>
      <c r="I136" s="161" t="s">
        <v>125</v>
      </c>
      <c r="J136" s="161" t="s">
        <v>125</v>
      </c>
      <c r="K136" s="161" t="s">
        <v>125</v>
      </c>
      <c r="L136" s="161" t="s">
        <v>125</v>
      </c>
      <c r="M136" s="161" t="s">
        <v>125</v>
      </c>
      <c r="N136" s="161" t="s">
        <v>125</v>
      </c>
      <c r="O136" s="161" t="s">
        <v>125</v>
      </c>
      <c r="P136" s="161">
        <v>20.203631801958281</v>
      </c>
      <c r="Q136" s="161">
        <v>3.0607629618364456</v>
      </c>
      <c r="R136" s="161">
        <v>8.3205861835845525</v>
      </c>
      <c r="S136" s="161">
        <v>5.9151902096757709</v>
      </c>
      <c r="T136" s="161">
        <v>4.3144454644082657</v>
      </c>
      <c r="U136" s="161">
        <v>9.0258689354621708</v>
      </c>
      <c r="V136" s="161">
        <v>12.674809552825764</v>
      </c>
      <c r="W136" s="161">
        <v>7.6848014151817807</v>
      </c>
      <c r="X136" s="161">
        <v>2.4478607105585297</v>
      </c>
      <c r="Y136" s="161">
        <v>1.5828494415468128</v>
      </c>
      <c r="Z136" s="161">
        <v>0.93475217828068935</v>
      </c>
      <c r="AA136" s="162">
        <v>-0.13800229195069846</v>
      </c>
      <c r="AB136" s="162">
        <v>2.3569937383259116</v>
      </c>
    </row>
    <row r="137" spans="1:28">
      <c r="A137" s="160" t="s">
        <v>122</v>
      </c>
      <c r="B137" s="160" t="s">
        <v>123</v>
      </c>
      <c r="C137" s="160" t="s">
        <v>81</v>
      </c>
      <c r="D137" s="160" t="s">
        <v>375</v>
      </c>
      <c r="E137" s="161">
        <v>5.4859922993070853</v>
      </c>
      <c r="F137" s="161">
        <v>6.5302400972530705</v>
      </c>
      <c r="G137" s="161">
        <v>4.4371852775884122</v>
      </c>
      <c r="H137" s="161">
        <v>3.6474986908894493</v>
      </c>
      <c r="I137" s="161">
        <v>1.5579634696780857</v>
      </c>
      <c r="J137" s="161">
        <v>7.9546316341795489</v>
      </c>
      <c r="K137" s="161">
        <v>1.0194259979561764</v>
      </c>
      <c r="L137" s="161">
        <v>1.959000275860717</v>
      </c>
      <c r="M137" s="161">
        <v>12.158852717044226</v>
      </c>
      <c r="N137" s="161">
        <v>0.81491641219398048</v>
      </c>
      <c r="O137" s="161">
        <v>-0.60442451850821044</v>
      </c>
      <c r="P137" s="161">
        <v>0.78306365421684632</v>
      </c>
      <c r="Q137" s="161">
        <v>1.108716193098374</v>
      </c>
      <c r="R137" s="161">
        <v>0.73012108899872885</v>
      </c>
      <c r="S137" s="161">
        <v>1.0177665409928807</v>
      </c>
      <c r="T137" s="161">
        <v>1.4656213668637292</v>
      </c>
      <c r="U137" s="161">
        <v>1.5331497426084013</v>
      </c>
      <c r="V137" s="161">
        <v>3.9274408032997172</v>
      </c>
      <c r="W137" s="161">
        <v>5.8643698996690716</v>
      </c>
      <c r="X137" s="161">
        <v>1.5005753019671886</v>
      </c>
      <c r="Y137" s="161">
        <v>0.64535129682361969</v>
      </c>
      <c r="Z137" s="161">
        <v>6.0353676870434469E-2</v>
      </c>
      <c r="AA137" s="162">
        <v>0.47734425883385256</v>
      </c>
      <c r="AB137" s="162">
        <v>1.4566947516122326</v>
      </c>
    </row>
    <row r="138" spans="1:28">
      <c r="A138" s="160" t="s">
        <v>122</v>
      </c>
      <c r="B138" s="160" t="s">
        <v>123</v>
      </c>
      <c r="C138" s="160" t="s">
        <v>376</v>
      </c>
      <c r="D138" s="160" t="s">
        <v>377</v>
      </c>
      <c r="E138" s="161">
        <v>34.055037846795557</v>
      </c>
      <c r="F138" s="161">
        <v>61.059777820308227</v>
      </c>
      <c r="G138" s="161">
        <v>35.038995500044251</v>
      </c>
      <c r="H138" s="161">
        <v>45.915474110855399</v>
      </c>
      <c r="I138" s="161">
        <v>55.716977698777384</v>
      </c>
      <c r="J138" s="161">
        <v>51.167365196528579</v>
      </c>
      <c r="K138" s="161">
        <v>64.853681683559188</v>
      </c>
      <c r="L138" s="161">
        <v>8.9736251459498106</v>
      </c>
      <c r="M138" s="161">
        <v>5.3933956054733017</v>
      </c>
      <c r="N138" s="161">
        <v>4.3796153504843858</v>
      </c>
      <c r="O138" s="161">
        <v>12.029145782717919</v>
      </c>
      <c r="P138" s="161">
        <v>14.880364826525877</v>
      </c>
      <c r="Q138" s="161">
        <v>8.3565366249402047</v>
      </c>
      <c r="R138" s="161">
        <v>5.2160402953687566</v>
      </c>
      <c r="S138" s="161">
        <v>6.5970864446095732</v>
      </c>
      <c r="T138" s="161">
        <v>8.4959459759091658</v>
      </c>
      <c r="U138" s="161">
        <v>11.745455985469562</v>
      </c>
      <c r="V138" s="161">
        <v>7.3832235890032791</v>
      </c>
      <c r="W138" s="161">
        <v>8.3547461645095353</v>
      </c>
      <c r="X138" s="161">
        <v>4.1595368439945872</v>
      </c>
      <c r="Y138" s="161">
        <v>10.484259955547955</v>
      </c>
      <c r="Z138" s="161">
        <v>7.9031424804320238</v>
      </c>
      <c r="AA138" s="162">
        <v>4.2830960193110883</v>
      </c>
      <c r="AB138" s="162">
        <v>5.4998957916543958</v>
      </c>
    </row>
    <row r="139" spans="1:28">
      <c r="A139" s="160" t="s">
        <v>122</v>
      </c>
      <c r="B139" s="160" t="s">
        <v>123</v>
      </c>
      <c r="C139" s="160" t="s">
        <v>378</v>
      </c>
      <c r="D139" s="160" t="s">
        <v>379</v>
      </c>
      <c r="E139" s="161">
        <v>18.539595416744831</v>
      </c>
      <c r="F139" s="161">
        <v>23.74884473639105</v>
      </c>
      <c r="G139" s="161">
        <v>21.745465393504929</v>
      </c>
      <c r="H139" s="161">
        <v>36.249428436516297</v>
      </c>
      <c r="I139" s="161">
        <v>22.08015049580834</v>
      </c>
      <c r="J139" s="161">
        <v>19.600843627929152</v>
      </c>
      <c r="K139" s="161">
        <v>23.037493088514836</v>
      </c>
      <c r="L139" s="161">
        <v>33.79422445751527</v>
      </c>
      <c r="M139" s="161">
        <v>35.825239761180427</v>
      </c>
      <c r="N139" s="161">
        <v>22.640490045310429</v>
      </c>
      <c r="O139" s="161">
        <v>2.4617940574483583</v>
      </c>
      <c r="P139" s="161">
        <v>24.844391321028141</v>
      </c>
      <c r="Q139" s="161">
        <v>41.508936943169118</v>
      </c>
      <c r="R139" s="161">
        <v>20.49653180227422</v>
      </c>
      <c r="S139" s="161">
        <v>3.5307169090946502</v>
      </c>
      <c r="T139" s="161" t="s">
        <v>125</v>
      </c>
      <c r="U139" s="161" t="s">
        <v>125</v>
      </c>
      <c r="V139" s="161" t="s">
        <v>125</v>
      </c>
      <c r="W139" s="161" t="s">
        <v>125</v>
      </c>
      <c r="X139" s="161" t="s">
        <v>125</v>
      </c>
      <c r="Y139" s="161" t="s">
        <v>125</v>
      </c>
      <c r="Z139" s="161" t="s">
        <v>125</v>
      </c>
      <c r="AA139" s="162" t="s">
        <v>125</v>
      </c>
      <c r="AB139" s="162" t="s">
        <v>125</v>
      </c>
    </row>
    <row r="140" spans="1:28">
      <c r="A140" s="160" t="s">
        <v>122</v>
      </c>
      <c r="B140" s="160" t="s">
        <v>123</v>
      </c>
      <c r="C140" s="160" t="s">
        <v>380</v>
      </c>
      <c r="D140" s="160" t="s">
        <v>381</v>
      </c>
      <c r="E140" s="161">
        <v>6.4255005093958744</v>
      </c>
      <c r="F140" s="161">
        <v>5.9992350601103368</v>
      </c>
      <c r="G140" s="161">
        <v>10.288643804553786</v>
      </c>
      <c r="H140" s="161">
        <v>8.6548454442042697</v>
      </c>
      <c r="I140" s="161">
        <v>20.694163445801664</v>
      </c>
      <c r="J140" s="161">
        <v>6.5835454794284374</v>
      </c>
      <c r="K140" s="161">
        <v>14.950339176650246</v>
      </c>
      <c r="L140" s="161">
        <v>6.9407053582164195</v>
      </c>
      <c r="M140" s="161">
        <v>8.3314882689210776</v>
      </c>
      <c r="N140" s="161">
        <v>6.6994560524599365</v>
      </c>
      <c r="O140" s="161">
        <v>12.335577356332635</v>
      </c>
      <c r="P140" s="161">
        <v>11.259374265382064</v>
      </c>
      <c r="Q140" s="161">
        <v>10.728299365326663</v>
      </c>
      <c r="R140" s="161">
        <v>1.0067119921840089</v>
      </c>
      <c r="S140" s="161">
        <v>1.9039914634001605</v>
      </c>
      <c r="T140" s="161">
        <v>5.5296278428433254</v>
      </c>
      <c r="U140" s="161">
        <v>9.2710071902194215</v>
      </c>
      <c r="V140" s="161">
        <v>9.3486549341434113</v>
      </c>
      <c r="W140" s="161">
        <v>8.5331666085036488</v>
      </c>
      <c r="X140" s="161">
        <v>6.9204757105759285</v>
      </c>
      <c r="Y140" s="161">
        <v>3.5121862067855005</v>
      </c>
      <c r="Z140" s="161">
        <v>4.5579262884376988</v>
      </c>
      <c r="AA140" s="162">
        <v>14.042396220584948</v>
      </c>
      <c r="AB140" s="162">
        <v>5.7480157640241885</v>
      </c>
    </row>
    <row r="141" spans="1:28">
      <c r="A141" s="160" t="s">
        <v>122</v>
      </c>
      <c r="B141" s="160" t="s">
        <v>123</v>
      </c>
      <c r="C141" s="160" t="s">
        <v>74</v>
      </c>
      <c r="D141" s="160" t="s">
        <v>382</v>
      </c>
      <c r="E141" s="161">
        <v>10.715885154807253</v>
      </c>
      <c r="F141" s="161">
        <v>12.544638205639288</v>
      </c>
      <c r="G141" s="161">
        <v>18.489094636997663</v>
      </c>
      <c r="H141" s="161">
        <v>10.774909298684349</v>
      </c>
      <c r="I141" s="161">
        <v>4.8159861866360814</v>
      </c>
      <c r="J141" s="161">
        <v>6.3008615363335991</v>
      </c>
      <c r="K141" s="161">
        <v>7.8230355611765816</v>
      </c>
      <c r="L141" s="161">
        <v>7.2790930056680025</v>
      </c>
      <c r="M141" s="161">
        <v>4.1078506600661626</v>
      </c>
      <c r="N141" s="161">
        <v>8.8870474468361067</v>
      </c>
      <c r="O141" s="161">
        <v>4.4724337009360653</v>
      </c>
      <c r="P141" s="161">
        <v>11.01739974013023</v>
      </c>
      <c r="Q141" s="161">
        <v>3.9346224974574397</v>
      </c>
      <c r="R141" s="161">
        <v>3.0703049605834849</v>
      </c>
      <c r="S141" s="161">
        <v>4.1664271568959919</v>
      </c>
      <c r="T141" s="161">
        <v>6.1193904099704639</v>
      </c>
      <c r="U141" s="161">
        <v>7.3600392712263272</v>
      </c>
      <c r="V141" s="161">
        <v>7.6032889448882486</v>
      </c>
      <c r="W141" s="161">
        <v>5.619854525232725</v>
      </c>
      <c r="X141" s="161">
        <v>15.908330214964451</v>
      </c>
      <c r="Y141" s="161">
        <v>15.146932445405369</v>
      </c>
      <c r="Z141" s="161">
        <v>10.811166221112131</v>
      </c>
      <c r="AA141" s="162">
        <v>6.5624682271985506</v>
      </c>
      <c r="AB141" s="162">
        <v>6.7842539481262065</v>
      </c>
    </row>
    <row r="142" spans="1:28">
      <c r="A142" s="160" t="s">
        <v>122</v>
      </c>
      <c r="B142" s="160" t="s">
        <v>123</v>
      </c>
      <c r="C142" s="160" t="s">
        <v>383</v>
      </c>
      <c r="D142" s="160" t="s">
        <v>384</v>
      </c>
      <c r="E142" s="161">
        <v>1.5598447558401745</v>
      </c>
      <c r="F142" s="161">
        <v>3.1171465150124931</v>
      </c>
      <c r="G142" s="161">
        <v>2.4957345611080086</v>
      </c>
      <c r="H142" s="161">
        <v>1.5974443179506324</v>
      </c>
      <c r="I142" s="161">
        <v>2.0627416261403511</v>
      </c>
      <c r="J142" s="161">
        <v>2.0646805217800335</v>
      </c>
      <c r="K142" s="161">
        <v>1.2973530562616702</v>
      </c>
      <c r="L142" s="161">
        <v>2.6396283827392608</v>
      </c>
      <c r="M142" s="161">
        <v>1.9117606784502641</v>
      </c>
      <c r="N142" s="161">
        <v>1.7788707656088576</v>
      </c>
      <c r="O142" s="161">
        <v>4.1221861810650324</v>
      </c>
      <c r="P142" s="161">
        <v>5.0988767685248462</v>
      </c>
      <c r="Q142" s="161">
        <v>3.8255672714081044</v>
      </c>
      <c r="R142" s="161">
        <v>2.1787193398485698</v>
      </c>
      <c r="S142" s="161">
        <v>0.73256113783379817</v>
      </c>
      <c r="T142" s="161">
        <v>2.4282142740805739</v>
      </c>
      <c r="U142" s="161">
        <v>1.7675992261219449</v>
      </c>
      <c r="V142" s="161">
        <v>1.8484509332442798</v>
      </c>
      <c r="W142" s="161">
        <v>2.1290383027626376</v>
      </c>
      <c r="X142" s="161">
        <v>9.7270355156339861E-2</v>
      </c>
      <c r="Y142" s="161">
        <v>0.82415799045183746</v>
      </c>
      <c r="Z142" s="161">
        <v>1.1337525561744286</v>
      </c>
      <c r="AA142" s="162">
        <v>1.3121166937698234</v>
      </c>
      <c r="AB142" s="162">
        <v>1.3881397151313166</v>
      </c>
    </row>
    <row r="143" spans="1:28">
      <c r="A143" s="160" t="s">
        <v>122</v>
      </c>
      <c r="B143" s="160" t="s">
        <v>123</v>
      </c>
      <c r="C143" s="160" t="s">
        <v>385</v>
      </c>
      <c r="D143" s="160" t="s">
        <v>386</v>
      </c>
      <c r="E143" s="161">
        <v>-4.6356039337372152</v>
      </c>
      <c r="F143" s="161">
        <v>3.6304090611509565</v>
      </c>
      <c r="G143" s="161">
        <v>2.8417159509142493</v>
      </c>
      <c r="H143" s="161">
        <v>2.7152829025746712</v>
      </c>
      <c r="I143" s="161">
        <v>2.8916937135101222</v>
      </c>
      <c r="J143" s="161">
        <v>1.3315309915207223</v>
      </c>
      <c r="K143" s="161">
        <v>1.4222780826239614</v>
      </c>
      <c r="L143" s="161">
        <v>2.0584562805159692</v>
      </c>
      <c r="M143" s="161">
        <v>0.20683929748179253</v>
      </c>
      <c r="N143" s="161">
        <v>9.8993835816528986E-2</v>
      </c>
      <c r="O143" s="161">
        <v>-0.6162601935602936</v>
      </c>
      <c r="P143" s="161" t="s">
        <v>125</v>
      </c>
      <c r="Q143" s="161" t="s">
        <v>125</v>
      </c>
      <c r="R143" s="161" t="s">
        <v>125</v>
      </c>
      <c r="S143" s="161" t="s">
        <v>125</v>
      </c>
      <c r="T143" s="161" t="s">
        <v>125</v>
      </c>
      <c r="U143" s="161" t="s">
        <v>125</v>
      </c>
      <c r="V143" s="161" t="s">
        <v>125</v>
      </c>
      <c r="W143" s="161" t="s">
        <v>125</v>
      </c>
      <c r="X143" s="161" t="s">
        <v>125</v>
      </c>
      <c r="Y143" s="161" t="s">
        <v>125</v>
      </c>
      <c r="Z143" s="161" t="s">
        <v>125</v>
      </c>
      <c r="AA143" s="162" t="s">
        <v>125</v>
      </c>
      <c r="AB143" s="162" t="s">
        <v>125</v>
      </c>
    </row>
    <row r="144" spans="1:28">
      <c r="A144" s="160" t="s">
        <v>122</v>
      </c>
      <c r="B144" s="160" t="s">
        <v>123</v>
      </c>
      <c r="C144" s="160" t="s">
        <v>387</v>
      </c>
      <c r="D144" s="160" t="s">
        <v>388</v>
      </c>
      <c r="E144" s="161">
        <v>2.285337558126983</v>
      </c>
      <c r="F144" s="161">
        <v>0.87140084779153426</v>
      </c>
      <c r="G144" s="161">
        <v>2.0475097019466943</v>
      </c>
      <c r="H144" s="161">
        <v>1.4669819136093878</v>
      </c>
      <c r="I144" s="161">
        <v>1.9332699334038352</v>
      </c>
      <c r="J144" s="161">
        <v>1.7971472792260244</v>
      </c>
      <c r="K144" s="161">
        <v>1.2940831809600439</v>
      </c>
      <c r="L144" s="161">
        <v>1.5540417072299704</v>
      </c>
      <c r="M144" s="161">
        <v>1.2198578946621268</v>
      </c>
      <c r="N144" s="161">
        <v>0.47050580479574933</v>
      </c>
      <c r="O144" s="161">
        <v>2.867311171682303</v>
      </c>
      <c r="P144" s="161">
        <v>3.8520350877195</v>
      </c>
      <c r="Q144" s="161">
        <v>0.35204426073400441</v>
      </c>
      <c r="R144" s="161">
        <v>2.3386818472202151</v>
      </c>
      <c r="S144" s="161">
        <v>3.2112098937030709</v>
      </c>
      <c r="T144" s="161">
        <v>1.9240593170023033</v>
      </c>
      <c r="U144" s="161">
        <v>2.2962977116085739</v>
      </c>
      <c r="V144" s="161">
        <v>5.2899260023453678</v>
      </c>
      <c r="W144" s="161">
        <v>2.7979836144454993</v>
      </c>
      <c r="X144" s="161">
        <v>2.7091134580577574</v>
      </c>
      <c r="Y144" s="161">
        <v>2.6931485402246693</v>
      </c>
      <c r="Z144" s="161">
        <v>1.8088295757886499</v>
      </c>
      <c r="AA144" s="162">
        <v>-0.34251750439553064</v>
      </c>
      <c r="AB144" s="162">
        <v>2.6348728827364738</v>
      </c>
    </row>
    <row r="145" spans="1:28">
      <c r="A145" s="160" t="s">
        <v>122</v>
      </c>
      <c r="B145" s="160" t="s">
        <v>123</v>
      </c>
      <c r="C145" s="160" t="s">
        <v>82</v>
      </c>
      <c r="D145" s="160" t="s">
        <v>389</v>
      </c>
      <c r="E145" s="161">
        <v>5018.1084229333928</v>
      </c>
      <c r="F145" s="161">
        <v>4523.6980519664858</v>
      </c>
      <c r="G145" s="161">
        <v>23.666395331974172</v>
      </c>
      <c r="H145" s="161">
        <v>20.389452752941949</v>
      </c>
      <c r="I145" s="161">
        <v>133.70505566286099</v>
      </c>
      <c r="J145" s="161">
        <v>13.392683868483402</v>
      </c>
      <c r="K145" s="161">
        <v>9.6068131172298621</v>
      </c>
      <c r="L145" s="161">
        <v>9.777993047238283</v>
      </c>
      <c r="M145" s="161">
        <v>14.028487837626997</v>
      </c>
      <c r="N145" s="161">
        <v>9.2262324537522034</v>
      </c>
      <c r="O145" s="161">
        <v>8.5662285692042843</v>
      </c>
      <c r="P145" s="161">
        <v>7.2415093021281649</v>
      </c>
      <c r="Q145" s="161">
        <v>3.248378671332631</v>
      </c>
      <c r="R145" s="161">
        <v>5.3310771911605315</v>
      </c>
      <c r="S145" s="161">
        <v>9.050902393909027</v>
      </c>
      <c r="T145" s="161">
        <v>9.8670941824175173</v>
      </c>
      <c r="U145" s="161">
        <v>8.2303468157555386</v>
      </c>
      <c r="V145" s="161">
        <v>9.599388753355214</v>
      </c>
      <c r="W145" s="161">
        <v>16.237292359725529</v>
      </c>
      <c r="X145" s="161">
        <v>6.5675569391172104</v>
      </c>
      <c r="Y145" s="161">
        <v>8.4035998057914441</v>
      </c>
      <c r="Z145" s="161">
        <v>8.3445715358008385</v>
      </c>
      <c r="AA145" s="162">
        <v>9.258156875406101</v>
      </c>
      <c r="AB145" s="162">
        <v>6.1295951234067871</v>
      </c>
    </row>
    <row r="146" spans="1:28">
      <c r="A146" s="160" t="s">
        <v>122</v>
      </c>
      <c r="B146" s="160" t="s">
        <v>123</v>
      </c>
      <c r="C146" s="160" t="s">
        <v>390</v>
      </c>
      <c r="D146" s="160" t="s">
        <v>391</v>
      </c>
      <c r="E146" s="161">
        <v>-1.598246644324135</v>
      </c>
      <c r="F146" s="161">
        <v>-5.1381941194350418</v>
      </c>
      <c r="G146" s="161">
        <v>1.1001281663140787</v>
      </c>
      <c r="H146" s="161">
        <v>-0.14222907455049949</v>
      </c>
      <c r="I146" s="161">
        <v>32.710335317794971</v>
      </c>
      <c r="J146" s="161">
        <v>5.4221002886929881</v>
      </c>
      <c r="K146" s="161">
        <v>4.7327854075743119</v>
      </c>
      <c r="L146" s="161">
        <v>3.0977929097410595</v>
      </c>
      <c r="M146" s="161">
        <v>2.999958481156014</v>
      </c>
      <c r="N146" s="161">
        <v>2.0024015868221738</v>
      </c>
      <c r="O146" s="161">
        <v>4.515155719624957</v>
      </c>
      <c r="P146" s="161">
        <v>3.9840643126304371</v>
      </c>
      <c r="Q146" s="161">
        <v>2.9979231146884473</v>
      </c>
      <c r="R146" s="161">
        <v>-0.34390924566203296</v>
      </c>
      <c r="S146" s="161">
        <v>1.4922085787587633</v>
      </c>
      <c r="T146" s="161">
        <v>6.5696912736386253</v>
      </c>
      <c r="U146" s="161">
        <v>0.34543443160681875</v>
      </c>
      <c r="V146" s="161">
        <v>4.5692629489566485</v>
      </c>
      <c r="W146" s="161">
        <v>7.354215922254312</v>
      </c>
      <c r="X146" s="161">
        <v>6.0787348565968955</v>
      </c>
      <c r="Y146" s="161">
        <v>2.5546773933214411</v>
      </c>
      <c r="Z146" s="161">
        <v>4.4096098894537619</v>
      </c>
      <c r="AA146" s="162">
        <v>3.1246435797080494</v>
      </c>
      <c r="AB146" s="162">
        <v>1.17263091710835</v>
      </c>
    </row>
    <row r="147" spans="1:28">
      <c r="A147" s="160" t="s">
        <v>122</v>
      </c>
      <c r="B147" s="160" t="s">
        <v>123</v>
      </c>
      <c r="C147" s="160" t="s">
        <v>392</v>
      </c>
      <c r="D147" s="160" t="s">
        <v>393</v>
      </c>
      <c r="E147" s="161">
        <v>9.2908489181904343</v>
      </c>
      <c r="F147" s="161">
        <v>17.604772883782346</v>
      </c>
      <c r="G147" s="161">
        <v>68.063191811799271</v>
      </c>
      <c r="H147" s="161">
        <v>26.132399745815718</v>
      </c>
      <c r="I147" s="161">
        <v>31.009142991729874</v>
      </c>
      <c r="J147" s="161">
        <v>113.07639046634193</v>
      </c>
      <c r="K147" s="161">
        <v>32.727086458120681</v>
      </c>
      <c r="L147" s="161">
        <v>1.0131322756781174</v>
      </c>
      <c r="M147" s="161">
        <v>-5.665685378809215</v>
      </c>
      <c r="N147" s="161">
        <v>17.050137963773906</v>
      </c>
      <c r="O147" s="161">
        <v>35.22953407253101</v>
      </c>
      <c r="P147" s="161">
        <v>-0.32261665180912757</v>
      </c>
      <c r="Q147" s="161">
        <v>39.896658436845769</v>
      </c>
      <c r="R147" s="161">
        <v>11.140937188537592</v>
      </c>
      <c r="S147" s="161">
        <v>-0.15774839562217835</v>
      </c>
      <c r="T147" s="161">
        <v>22.024403271110742</v>
      </c>
      <c r="U147" s="161">
        <v>17.337781529871251</v>
      </c>
      <c r="V147" s="161">
        <v>4.7707422068312724</v>
      </c>
      <c r="W147" s="161">
        <v>10.835298222085996</v>
      </c>
      <c r="X147" s="161">
        <v>-4.3205733259750332</v>
      </c>
      <c r="Y147" s="161">
        <v>102.32554933870435</v>
      </c>
      <c r="Z147" s="161">
        <v>11.049969597700994</v>
      </c>
      <c r="AA147" s="162">
        <v>5.5108323504823318</v>
      </c>
      <c r="AB147" s="162">
        <v>4.9144325094639498</v>
      </c>
    </row>
    <row r="148" spans="1:28">
      <c r="A148" s="160" t="s">
        <v>122</v>
      </c>
      <c r="B148" s="160" t="s">
        <v>123</v>
      </c>
      <c r="C148" s="160" t="s">
        <v>394</v>
      </c>
      <c r="D148" s="160" t="s">
        <v>395</v>
      </c>
      <c r="E148" s="161" t="s">
        <v>125</v>
      </c>
      <c r="F148" s="161" t="s">
        <v>125</v>
      </c>
      <c r="G148" s="161" t="s">
        <v>125</v>
      </c>
      <c r="H148" s="161" t="s">
        <v>125</v>
      </c>
      <c r="I148" s="161" t="s">
        <v>125</v>
      </c>
      <c r="J148" s="161" t="s">
        <v>125</v>
      </c>
      <c r="K148" s="161" t="s">
        <v>125</v>
      </c>
      <c r="L148" s="161" t="s">
        <v>125</v>
      </c>
      <c r="M148" s="161" t="s">
        <v>125</v>
      </c>
      <c r="N148" s="161" t="s">
        <v>125</v>
      </c>
      <c r="O148" s="161" t="s">
        <v>125</v>
      </c>
      <c r="P148" s="161" t="s">
        <v>125</v>
      </c>
      <c r="Q148" s="161" t="s">
        <v>125</v>
      </c>
      <c r="R148" s="161" t="s">
        <v>125</v>
      </c>
      <c r="S148" s="161" t="s">
        <v>125</v>
      </c>
      <c r="T148" s="161" t="s">
        <v>125</v>
      </c>
      <c r="U148" s="161" t="s">
        <v>125</v>
      </c>
      <c r="V148" s="161" t="s">
        <v>125</v>
      </c>
      <c r="W148" s="161" t="s">
        <v>125</v>
      </c>
      <c r="X148" s="161" t="s">
        <v>125</v>
      </c>
      <c r="Y148" s="161" t="s">
        <v>125</v>
      </c>
      <c r="Z148" s="161" t="s">
        <v>125</v>
      </c>
      <c r="AA148" s="162" t="s">
        <v>125</v>
      </c>
      <c r="AB148" s="162" t="s">
        <v>125</v>
      </c>
    </row>
    <row r="149" spans="1:28">
      <c r="A149" s="160" t="s">
        <v>122</v>
      </c>
      <c r="B149" s="160" t="s">
        <v>123</v>
      </c>
      <c r="C149" s="160" t="s">
        <v>396</v>
      </c>
      <c r="D149" s="160" t="s">
        <v>397</v>
      </c>
      <c r="E149" s="161">
        <v>3.8231381540732912</v>
      </c>
      <c r="F149" s="161">
        <v>2.1830746384435997</v>
      </c>
      <c r="G149" s="161">
        <v>-0.7151522173559357</v>
      </c>
      <c r="H149" s="161">
        <v>2.2898617359092839</v>
      </c>
      <c r="I149" s="161">
        <v>-0.20859803516820818</v>
      </c>
      <c r="J149" s="161">
        <v>3.0406544564463047</v>
      </c>
      <c r="K149" s="161">
        <v>4.1791991064274754</v>
      </c>
      <c r="L149" s="161">
        <v>2.7997576629337857</v>
      </c>
      <c r="M149" s="161">
        <v>-0.76919588900750568</v>
      </c>
      <c r="N149" s="161">
        <v>6.6151515627091726</v>
      </c>
      <c r="O149" s="161">
        <v>15.65116937903251</v>
      </c>
      <c r="P149" s="161">
        <v>1.7320734589223292</v>
      </c>
      <c r="Q149" s="161">
        <v>-1.7734084549063454</v>
      </c>
      <c r="R149" s="161">
        <v>2.8994274375802433</v>
      </c>
      <c r="S149" s="161">
        <v>5.8929067165477704</v>
      </c>
      <c r="T149" s="161">
        <v>8.9376384917492402</v>
      </c>
      <c r="U149" s="161">
        <v>8.8257720548240428</v>
      </c>
      <c r="V149" s="161">
        <v>3.0280092615113432</v>
      </c>
      <c r="W149" s="161">
        <v>10.914596796797113</v>
      </c>
      <c r="X149" s="161">
        <v>-5.3903027770808478</v>
      </c>
      <c r="Y149" s="161">
        <v>6.2891975359624439</v>
      </c>
      <c r="Z149" s="161">
        <v>6.6859668655998519</v>
      </c>
      <c r="AA149" s="162">
        <v>2.7724670913204221</v>
      </c>
      <c r="AB149" s="162">
        <v>2.8579705258842836</v>
      </c>
    </row>
    <row r="150" spans="1:28">
      <c r="A150" s="160" t="s">
        <v>122</v>
      </c>
      <c r="B150" s="160" t="s">
        <v>123</v>
      </c>
      <c r="C150" s="160" t="s">
        <v>398</v>
      </c>
      <c r="D150" s="160" t="s">
        <v>399</v>
      </c>
      <c r="E150" s="161">
        <v>24.840923615578347</v>
      </c>
      <c r="F150" s="161">
        <v>-8.4980919478515204</v>
      </c>
      <c r="G150" s="161">
        <v>1.2730759448702713</v>
      </c>
      <c r="H150" s="161">
        <v>-5.3893727321682547</v>
      </c>
      <c r="I150" s="161">
        <v>-0.45045527776950678</v>
      </c>
      <c r="J150" s="161">
        <v>1.7561665640477742</v>
      </c>
      <c r="K150" s="161">
        <v>7.4157504071687583</v>
      </c>
      <c r="L150" s="161">
        <v>-2.2352340641056117</v>
      </c>
      <c r="M150" s="161">
        <v>-13.352401780957237</v>
      </c>
      <c r="N150" s="161">
        <v>11.674571161266527</v>
      </c>
      <c r="O150" s="161">
        <v>19.984456165798676</v>
      </c>
      <c r="P150" s="161">
        <v>-6.5796082842716714</v>
      </c>
      <c r="Q150" s="161">
        <v>-2.0146582452008488</v>
      </c>
      <c r="R150" s="161">
        <v>7.1244691143847092</v>
      </c>
      <c r="S150" s="161">
        <v>10.769628828919693</v>
      </c>
      <c r="T150" s="161">
        <v>20.445038121457642</v>
      </c>
      <c r="U150" s="161">
        <v>12.877809830683333</v>
      </c>
      <c r="V150" s="161">
        <v>6.6016959402823971</v>
      </c>
      <c r="W150" s="161">
        <v>28.518861392000815</v>
      </c>
      <c r="X150" s="161">
        <v>-21.443840311802205</v>
      </c>
      <c r="Y150" s="161">
        <v>15.445210839131903</v>
      </c>
      <c r="Z150" s="161">
        <v>13.858883157578703</v>
      </c>
      <c r="AA150" s="162">
        <v>6.5732494067075322</v>
      </c>
      <c r="AB150" s="162">
        <v>-2.0533399448620315</v>
      </c>
    </row>
    <row r="151" spans="1:28">
      <c r="A151" s="160" t="s">
        <v>122</v>
      </c>
      <c r="B151" s="160" t="s">
        <v>123</v>
      </c>
      <c r="C151" s="160" t="s">
        <v>79</v>
      </c>
      <c r="D151" s="160" t="s">
        <v>400</v>
      </c>
      <c r="E151" s="161">
        <v>6.4519979782674142</v>
      </c>
      <c r="F151" s="161">
        <v>13.061395904498525</v>
      </c>
      <c r="G151" s="161">
        <v>10.057084494726027</v>
      </c>
      <c r="H151" s="161">
        <v>8.6964741743972951</v>
      </c>
      <c r="I151" s="161">
        <v>12.889332559316614</v>
      </c>
      <c r="J151" s="161">
        <v>13.8746436447164</v>
      </c>
      <c r="K151" s="161">
        <v>8.3736099979475824</v>
      </c>
      <c r="L151" s="161">
        <v>13.383514633278622</v>
      </c>
      <c r="M151" s="161">
        <v>7.526036899656745</v>
      </c>
      <c r="N151" s="161">
        <v>5.862286179442421</v>
      </c>
      <c r="O151" s="161">
        <v>24.891150552165115</v>
      </c>
      <c r="P151" s="161">
        <v>7.8911552267793468</v>
      </c>
      <c r="Q151" s="161">
        <v>2.4630928856071534</v>
      </c>
      <c r="R151" s="161">
        <v>4.4383974896680627</v>
      </c>
      <c r="S151" s="161">
        <v>7.7492472423175798</v>
      </c>
      <c r="T151" s="161">
        <v>7.0264666964713172</v>
      </c>
      <c r="U151" s="161">
        <v>19.052201248141714</v>
      </c>
      <c r="V151" s="161">
        <v>7.2743193263574</v>
      </c>
      <c r="W151" s="161">
        <v>13.204009819557314</v>
      </c>
      <c r="X151" s="161">
        <v>20.666515814725543</v>
      </c>
      <c r="Y151" s="161">
        <v>10.850247933738387</v>
      </c>
      <c r="Z151" s="161">
        <v>19.656115142571039</v>
      </c>
      <c r="AA151" s="162">
        <v>5.6347853499038223</v>
      </c>
      <c r="AB151" s="162">
        <v>7.50244072986699</v>
      </c>
    </row>
    <row r="152" spans="1:28">
      <c r="A152" s="160" t="s">
        <v>122</v>
      </c>
      <c r="B152" s="160" t="s">
        <v>123</v>
      </c>
      <c r="C152" s="160" t="s">
        <v>401</v>
      </c>
      <c r="D152" s="160" t="s">
        <v>402</v>
      </c>
      <c r="E152" s="161" t="s">
        <v>125</v>
      </c>
      <c r="F152" s="161" t="s">
        <v>125</v>
      </c>
      <c r="G152" s="161">
        <v>5.0488047387460995</v>
      </c>
      <c r="H152" s="161">
        <v>4.9751023817372868</v>
      </c>
      <c r="I152" s="161">
        <v>2.5522831925674154</v>
      </c>
      <c r="J152" s="161">
        <v>2.8128213440441669</v>
      </c>
      <c r="K152" s="161">
        <v>2.9116454404440475</v>
      </c>
      <c r="L152" s="161">
        <v>2.2777983445801908</v>
      </c>
      <c r="M152" s="161">
        <v>1.5957582876839069</v>
      </c>
      <c r="N152" s="161">
        <v>2.2528146216882448</v>
      </c>
      <c r="O152" s="161">
        <v>38.436343095286787</v>
      </c>
      <c r="P152" s="161">
        <v>2.3788308694094269</v>
      </c>
      <c r="Q152" s="161">
        <v>-3.6758154088707755</v>
      </c>
      <c r="R152" s="161">
        <v>2.9411506894059443</v>
      </c>
      <c r="S152" s="161">
        <v>1.7519467513587017</v>
      </c>
      <c r="T152" s="161">
        <v>7.0247665272487012</v>
      </c>
      <c r="U152" s="161">
        <v>2.7308995308854378</v>
      </c>
      <c r="V152" s="161">
        <v>-0.45477670793823677</v>
      </c>
      <c r="W152" s="161">
        <v>6.7499286356418366</v>
      </c>
      <c r="X152" s="161">
        <v>4.0890067012316251</v>
      </c>
      <c r="Y152" s="161">
        <v>-3.5089625564641835</v>
      </c>
      <c r="Z152" s="161">
        <v>4.4650060874474207</v>
      </c>
      <c r="AA152" s="162">
        <v>1.1817902928285662</v>
      </c>
      <c r="AB152" s="162">
        <v>6.617691225633223</v>
      </c>
    </row>
    <row r="153" spans="1:28">
      <c r="A153" s="160" t="s">
        <v>122</v>
      </c>
      <c r="B153" s="160" t="s">
        <v>123</v>
      </c>
      <c r="C153" s="160" t="s">
        <v>403</v>
      </c>
      <c r="D153" s="160" t="s">
        <v>404</v>
      </c>
      <c r="E153" s="161">
        <v>0.5652057023824284</v>
      </c>
      <c r="F153" s="161">
        <v>0.49279428230892108</v>
      </c>
      <c r="G153" s="161">
        <v>5.0610603593528083</v>
      </c>
      <c r="H153" s="161">
        <v>3.5547056904129448</v>
      </c>
      <c r="I153" s="161">
        <v>3.6797445999839482</v>
      </c>
      <c r="J153" s="161">
        <v>0.46670715173269173</v>
      </c>
      <c r="K153" s="161">
        <v>14.68685087276107</v>
      </c>
      <c r="L153" s="161">
        <v>1.6081576720002033</v>
      </c>
      <c r="M153" s="161">
        <v>0.99944377861473299</v>
      </c>
      <c r="N153" s="161">
        <v>0.84106612588688279</v>
      </c>
      <c r="O153" s="161">
        <v>-1.2482075467816713</v>
      </c>
      <c r="P153" s="161">
        <v>1.029042638370754</v>
      </c>
      <c r="Q153" s="161">
        <v>1.6711917719399878</v>
      </c>
      <c r="R153" s="161">
        <v>1.131104926368252</v>
      </c>
      <c r="S153" s="161">
        <v>1.965003678493332</v>
      </c>
      <c r="T153" s="161">
        <v>1.7483220545054508</v>
      </c>
      <c r="U153" s="161">
        <v>2.1062798228286681</v>
      </c>
      <c r="V153" s="161">
        <v>9.9369093976238361</v>
      </c>
      <c r="W153" s="161">
        <v>7.9383531636729572</v>
      </c>
      <c r="X153" s="161">
        <v>0.2016347043476685</v>
      </c>
      <c r="Y153" s="161">
        <v>4.9992189429100193</v>
      </c>
      <c r="Z153" s="161">
        <v>4.2392670229849188</v>
      </c>
      <c r="AA153" s="162">
        <v>3.4799490004723737</v>
      </c>
      <c r="AB153" s="162">
        <v>3.7000227622210531</v>
      </c>
    </row>
    <row r="154" spans="1:28">
      <c r="A154" s="160" t="s">
        <v>122</v>
      </c>
      <c r="B154" s="160" t="s">
        <v>123</v>
      </c>
      <c r="C154" s="160" t="s">
        <v>405</v>
      </c>
      <c r="D154" s="160" t="s">
        <v>406</v>
      </c>
      <c r="E154" s="161">
        <v>4.138232204348256</v>
      </c>
      <c r="F154" s="161">
        <v>6.9948535550434769</v>
      </c>
      <c r="G154" s="161">
        <v>2.8759822750233894</v>
      </c>
      <c r="H154" s="161">
        <v>-2.4958019438283401</v>
      </c>
      <c r="I154" s="161">
        <v>7.2530882173826257</v>
      </c>
      <c r="J154" s="161">
        <v>15.851330898989247</v>
      </c>
      <c r="K154" s="161">
        <v>1.8118771558637121</v>
      </c>
      <c r="L154" s="161">
        <v>8.426362044570368</v>
      </c>
      <c r="M154" s="161">
        <v>14.543854277256614</v>
      </c>
      <c r="N154" s="161">
        <v>11.068894368677974</v>
      </c>
      <c r="O154" s="161">
        <v>13.102417735008615</v>
      </c>
      <c r="P154" s="161">
        <v>6.9139141686683274</v>
      </c>
      <c r="Q154" s="161">
        <v>12.290431282245606</v>
      </c>
      <c r="R154" s="161">
        <v>5.5393380961522354</v>
      </c>
      <c r="S154" s="161">
        <v>-1.9923720978777908</v>
      </c>
      <c r="T154" s="161">
        <v>15.928791762150581</v>
      </c>
      <c r="U154" s="161">
        <v>9.90785204850377</v>
      </c>
      <c r="V154" s="161">
        <v>2.3547971697023087</v>
      </c>
      <c r="W154" s="161">
        <v>7.8301715680336059</v>
      </c>
      <c r="X154" s="161">
        <v>-4.2654028436017484</v>
      </c>
      <c r="Y154" s="161">
        <v>9.2592592592588545</v>
      </c>
      <c r="Z154" s="161">
        <v>4.5871559633029051</v>
      </c>
      <c r="AA154" s="162">
        <v>2.7777777777779278</v>
      </c>
      <c r="AB154" s="162">
        <v>-0.17943524748491768</v>
      </c>
    </row>
    <row r="155" spans="1:28">
      <c r="A155" s="160" t="s">
        <v>122</v>
      </c>
      <c r="B155" s="160" t="s">
        <v>123</v>
      </c>
      <c r="C155" s="160" t="s">
        <v>407</v>
      </c>
      <c r="D155" s="160" t="s">
        <v>408</v>
      </c>
      <c r="E155" s="161">
        <v>38.450495561249568</v>
      </c>
      <c r="F155" s="161">
        <v>27.688337936657419</v>
      </c>
      <c r="G155" s="161">
        <v>14.082920634904909</v>
      </c>
      <c r="H155" s="161">
        <v>12.220034958649251</v>
      </c>
      <c r="I155" s="161">
        <v>12.573370442037032</v>
      </c>
      <c r="J155" s="161">
        <v>11.076425377593708</v>
      </c>
      <c r="K155" s="161">
        <v>11.421445012201019</v>
      </c>
      <c r="L155" s="161">
        <v>3.4109927630896664</v>
      </c>
      <c r="M155" s="161">
        <v>13.296852459253984</v>
      </c>
      <c r="N155" s="161">
        <v>7.8604940597002013</v>
      </c>
      <c r="O155" s="161">
        <v>11.743393086776237</v>
      </c>
      <c r="P155" s="161">
        <v>11.033057641489918</v>
      </c>
      <c r="Q155" s="161">
        <v>14.94457120870014</v>
      </c>
      <c r="R155" s="161">
        <v>12.210973034873291</v>
      </c>
      <c r="S155" s="161">
        <v>8.9859653397911643</v>
      </c>
      <c r="T155" s="161">
        <v>10.075314425730156</v>
      </c>
      <c r="U155" s="161">
        <v>6.0826902090429797</v>
      </c>
      <c r="V155" s="161">
        <v>9.7660728833320718</v>
      </c>
      <c r="W155" s="161">
        <v>9.3357007961427172</v>
      </c>
      <c r="X155" s="161">
        <v>2.0431436787557118</v>
      </c>
      <c r="Y155" s="161">
        <v>6.1002637587343997</v>
      </c>
      <c r="Z155" s="161">
        <v>6.2050603358988781</v>
      </c>
      <c r="AA155" s="162">
        <v>4.7473447212132527</v>
      </c>
      <c r="AB155" s="162">
        <v>4.3013012625993809</v>
      </c>
    </row>
    <row r="156" spans="1:28">
      <c r="A156" s="160" t="s">
        <v>122</v>
      </c>
      <c r="B156" s="160" t="s">
        <v>123</v>
      </c>
      <c r="C156" s="160" t="s">
        <v>80</v>
      </c>
      <c r="D156" s="160" t="s">
        <v>409</v>
      </c>
      <c r="E156" s="161">
        <v>5048.7763158438775</v>
      </c>
      <c r="F156" s="161">
        <v>379.83329298967402</v>
      </c>
      <c r="G156" s="161">
        <v>69.183577604202469</v>
      </c>
      <c r="H156" s="161">
        <v>47.06349195654721</v>
      </c>
      <c r="I156" s="161">
        <v>26.152493206314546</v>
      </c>
      <c r="J156" s="161">
        <v>12.949133758171172</v>
      </c>
      <c r="K156" s="161">
        <v>10.573824400496008</v>
      </c>
      <c r="L156" s="161">
        <v>7.5383458104012959</v>
      </c>
      <c r="M156" s="161">
        <v>6.2510384767141574</v>
      </c>
      <c r="N156" s="161">
        <v>3.9454950444060159</v>
      </c>
      <c r="O156" s="161">
        <v>3.6606702385718819</v>
      </c>
      <c r="P156" s="161">
        <v>1.4326223025136926</v>
      </c>
      <c r="Q156" s="161">
        <v>0.47212270526486577</v>
      </c>
      <c r="R156" s="161">
        <v>0.77764697902071589</v>
      </c>
      <c r="S156" s="161">
        <v>6.1424911972150227</v>
      </c>
      <c r="T156" s="161">
        <v>2.5707702539031487</v>
      </c>
      <c r="U156" s="161">
        <v>8.9466734636297218</v>
      </c>
      <c r="V156" s="161">
        <v>2.8976395554344663</v>
      </c>
      <c r="W156" s="161">
        <v>1.786354009337316</v>
      </c>
      <c r="X156" s="161">
        <v>1.7227374780520108</v>
      </c>
      <c r="Y156" s="161">
        <v>5.996544042444981</v>
      </c>
      <c r="Z156" s="161">
        <v>5.1752935278323946</v>
      </c>
      <c r="AA156" s="162">
        <v>2.0887176321573264</v>
      </c>
      <c r="AB156" s="162">
        <v>1.666808249059514</v>
      </c>
    </row>
    <row r="157" spans="1:28">
      <c r="A157" s="160" t="s">
        <v>122</v>
      </c>
      <c r="B157" s="160" t="s">
        <v>123</v>
      </c>
      <c r="C157" s="160" t="s">
        <v>69</v>
      </c>
      <c r="D157" s="160" t="s">
        <v>410</v>
      </c>
      <c r="E157" s="161">
        <v>12.971281273645175</v>
      </c>
      <c r="F157" s="161">
        <v>16.526879899901999</v>
      </c>
      <c r="G157" s="161">
        <v>7.93265832614685</v>
      </c>
      <c r="H157" s="161">
        <v>6.8321581286208755</v>
      </c>
      <c r="I157" s="161">
        <v>9.9913145992404964</v>
      </c>
      <c r="J157" s="161">
        <v>7.5508702384999253</v>
      </c>
      <c r="K157" s="161">
        <v>7.661037838136096</v>
      </c>
      <c r="L157" s="161">
        <v>6.2243920223140634</v>
      </c>
      <c r="M157" s="161">
        <v>22.381723006534088</v>
      </c>
      <c r="N157" s="161">
        <v>6.5850530486071079</v>
      </c>
      <c r="O157" s="161">
        <v>5.7097999464549503</v>
      </c>
      <c r="P157" s="161">
        <v>5.5494778196927967</v>
      </c>
      <c r="Q157" s="161">
        <v>4.1622298175953318</v>
      </c>
      <c r="R157" s="161">
        <v>3.2013359836804227</v>
      </c>
      <c r="S157" s="161">
        <v>5.5168709998129088</v>
      </c>
      <c r="T157" s="161">
        <v>5.828020679023723</v>
      </c>
      <c r="U157" s="161">
        <v>4.9490305242929225</v>
      </c>
      <c r="V157" s="161">
        <v>3.0903238394170529</v>
      </c>
      <c r="W157" s="161">
        <v>7.5490596343113623</v>
      </c>
      <c r="X157" s="161">
        <v>2.7732467105859229</v>
      </c>
      <c r="Y157" s="161">
        <v>4.2223888653702346</v>
      </c>
      <c r="Z157" s="161">
        <v>4.0207523988069056</v>
      </c>
      <c r="AA157" s="162">
        <v>1.9018778260806641</v>
      </c>
      <c r="AB157" s="162">
        <v>1.9826470143123913</v>
      </c>
    </row>
    <row r="158" spans="1:28">
      <c r="A158" s="160" t="s">
        <v>122</v>
      </c>
      <c r="B158" s="160" t="s">
        <v>123</v>
      </c>
      <c r="C158" s="160" t="s">
        <v>411</v>
      </c>
      <c r="D158" s="160" t="s">
        <v>412</v>
      </c>
      <c r="E158" s="161" t="s">
        <v>125</v>
      </c>
      <c r="F158" s="161">
        <v>55.255994867131363</v>
      </c>
      <c r="G158" s="161">
        <v>38.625467032832859</v>
      </c>
      <c r="H158" s="161">
        <v>30.642796311906807</v>
      </c>
      <c r="I158" s="161">
        <v>37.23403484750898</v>
      </c>
      <c r="J158" s="161">
        <v>27.978309920599159</v>
      </c>
      <c r="K158" s="161">
        <v>17.912918235598283</v>
      </c>
      <c r="L158" s="161">
        <v>13.922643140261059</v>
      </c>
      <c r="M158" s="161">
        <v>11.067120619054592</v>
      </c>
      <c r="N158" s="161">
        <v>5.9864222847677127</v>
      </c>
      <c r="O158" s="161">
        <v>7.2521234213324561</v>
      </c>
      <c r="P158" s="161">
        <v>3.4796575297007024</v>
      </c>
      <c r="Q158" s="161">
        <v>2.2459051841581044</v>
      </c>
      <c r="R158" s="161">
        <v>0.39400033570231585</v>
      </c>
      <c r="S158" s="161">
        <v>4.0887346730351624</v>
      </c>
      <c r="T158" s="161">
        <v>2.6433773600574426</v>
      </c>
      <c r="U158" s="161">
        <v>1.4833366362321243</v>
      </c>
      <c r="V158" s="161">
        <v>3.9559806600389891</v>
      </c>
      <c r="W158" s="161">
        <v>3.1077883664943187</v>
      </c>
      <c r="X158" s="161">
        <v>3.554456050632453</v>
      </c>
      <c r="Y158" s="161">
        <v>1.4302573761929125</v>
      </c>
      <c r="Z158" s="161">
        <v>3.2753804076807569</v>
      </c>
      <c r="AA158" s="162">
        <v>2.5133647874819189</v>
      </c>
      <c r="AB158" s="162">
        <v>0.87841211353338622</v>
      </c>
    </row>
    <row r="159" spans="1:28">
      <c r="A159" s="160" t="s">
        <v>122</v>
      </c>
      <c r="B159" s="160" t="s">
        <v>123</v>
      </c>
      <c r="C159" s="160" t="s">
        <v>413</v>
      </c>
      <c r="D159" s="160" t="s">
        <v>414</v>
      </c>
      <c r="E159" s="161">
        <v>13.144650474653162</v>
      </c>
      <c r="F159" s="161">
        <v>10.086186545116121</v>
      </c>
      <c r="G159" s="161">
        <v>11.446031661582552</v>
      </c>
      <c r="H159" s="161">
        <v>7.3764300222639179</v>
      </c>
      <c r="I159" s="161">
        <v>7.2776269083425689</v>
      </c>
      <c r="J159" s="161">
        <v>3.4286176515755784</v>
      </c>
      <c r="K159" s="161">
        <v>2.3447152853221809</v>
      </c>
      <c r="L159" s="161">
        <v>3.9265179410836737</v>
      </c>
      <c r="M159" s="161">
        <v>3.7927397823697788</v>
      </c>
      <c r="N159" s="161">
        <v>3.2985293195831389</v>
      </c>
      <c r="O159" s="161">
        <v>3.2513894521485156</v>
      </c>
      <c r="P159" s="161">
        <v>3.5738807378307627</v>
      </c>
      <c r="Q159" s="161">
        <v>3.7400688808816795</v>
      </c>
      <c r="R159" s="161">
        <v>3.005057641058869</v>
      </c>
      <c r="S159" s="161">
        <v>2.4721415853636586</v>
      </c>
      <c r="T159" s="161">
        <v>2.5247030974345535</v>
      </c>
      <c r="U159" s="161">
        <v>2.781056688751832</v>
      </c>
      <c r="V159" s="161">
        <v>2.8294633432966947</v>
      </c>
      <c r="W159" s="161">
        <v>1.5819374663718122</v>
      </c>
      <c r="X159" s="161">
        <v>0.92704036242142251</v>
      </c>
      <c r="Y159" s="161">
        <v>0.62103032111784273</v>
      </c>
      <c r="Z159" s="161">
        <v>0.25089729453316068</v>
      </c>
      <c r="AA159" s="162">
        <v>-0.29622455410012094</v>
      </c>
      <c r="AB159" s="162">
        <v>1.7279834151122202</v>
      </c>
    </row>
    <row r="160" spans="1:28">
      <c r="A160" s="160" t="s">
        <v>122</v>
      </c>
      <c r="B160" s="160" t="s">
        <v>123</v>
      </c>
      <c r="C160" s="160" t="s">
        <v>415</v>
      </c>
      <c r="D160" s="160" t="s">
        <v>416</v>
      </c>
      <c r="E160" s="161">
        <v>4.3249363827123801</v>
      </c>
      <c r="F160" s="161">
        <v>3.1306119029051587</v>
      </c>
      <c r="G160" s="161">
        <v>2.5750067467064071</v>
      </c>
      <c r="H160" s="161">
        <v>1.8862146673659339</v>
      </c>
      <c r="I160" s="161">
        <v>3.1789870906275439</v>
      </c>
      <c r="J160" s="161">
        <v>2.7735845101763346</v>
      </c>
      <c r="K160" s="161">
        <v>3.9088741599279757</v>
      </c>
      <c r="L160" s="161">
        <v>1.3306292126162447</v>
      </c>
      <c r="M160" s="161">
        <v>6.5074142940143389</v>
      </c>
      <c r="N160" s="161">
        <v>3.5553232383555837</v>
      </c>
      <c r="O160" s="161">
        <v>0.33905440130112652</v>
      </c>
      <c r="P160" s="161">
        <v>10.507312039928408</v>
      </c>
      <c r="Q160" s="161">
        <v>1.2923961704265849</v>
      </c>
      <c r="R160" s="161">
        <v>2.082188128492902</v>
      </c>
      <c r="S160" s="161">
        <v>3.7937396811687876</v>
      </c>
      <c r="T160" s="161">
        <v>6.6644646863999242</v>
      </c>
      <c r="U160" s="161">
        <v>5.5305867931012358</v>
      </c>
      <c r="V160" s="161">
        <v>3.8158781255875169</v>
      </c>
      <c r="W160" s="161">
        <v>6.7198562777928856</v>
      </c>
      <c r="X160" s="161">
        <v>5.0355458763739591</v>
      </c>
      <c r="Y160" s="161">
        <v>2.2865007312882142</v>
      </c>
      <c r="Z160" s="161">
        <v>1.9216675560743965</v>
      </c>
      <c r="AA160" s="162">
        <v>2.2456421459053644</v>
      </c>
      <c r="AB160" s="162" t="s">
        <v>125</v>
      </c>
    </row>
    <row r="161" spans="1:28">
      <c r="A161" s="160" t="s">
        <v>122</v>
      </c>
      <c r="B161" s="160" t="s">
        <v>123</v>
      </c>
      <c r="C161" s="160" t="s">
        <v>417</v>
      </c>
      <c r="D161" s="160" t="s">
        <v>418</v>
      </c>
      <c r="E161" s="161" t="s">
        <v>125</v>
      </c>
      <c r="F161" s="161" t="s">
        <v>125</v>
      </c>
      <c r="G161" s="161" t="s">
        <v>125</v>
      </c>
      <c r="H161" s="161" t="s">
        <v>125</v>
      </c>
      <c r="I161" s="161" t="s">
        <v>125</v>
      </c>
      <c r="J161" s="161" t="s">
        <v>125</v>
      </c>
      <c r="K161" s="161" t="s">
        <v>125</v>
      </c>
      <c r="L161" s="161" t="s">
        <v>125</v>
      </c>
      <c r="M161" s="161" t="s">
        <v>125</v>
      </c>
      <c r="N161" s="161" t="s">
        <v>125</v>
      </c>
      <c r="O161" s="161" t="s">
        <v>125</v>
      </c>
      <c r="P161" s="161">
        <v>-4.4271880704142603</v>
      </c>
      <c r="Q161" s="161">
        <v>3.0558236102582015</v>
      </c>
      <c r="R161" s="161">
        <v>17.436756299199558</v>
      </c>
      <c r="S161" s="161">
        <v>13.107175793516433</v>
      </c>
      <c r="T161" s="161">
        <v>30.542736798022105</v>
      </c>
      <c r="U161" s="161">
        <v>8.3614813821061915</v>
      </c>
      <c r="V161" s="161">
        <v>10.970274654209788</v>
      </c>
      <c r="W161" s="161">
        <v>22.900109611616145</v>
      </c>
      <c r="X161" s="161">
        <v>-24.218771097926819</v>
      </c>
      <c r="Y161" s="161">
        <v>9.6035277359149802</v>
      </c>
      <c r="Z161" s="161">
        <v>18.225457147092655</v>
      </c>
      <c r="AA161" s="162">
        <v>9.0684585019509427</v>
      </c>
      <c r="AB161" s="162">
        <v>0.97935677757806161</v>
      </c>
    </row>
    <row r="162" spans="1:28">
      <c r="A162" s="160" t="s">
        <v>122</v>
      </c>
      <c r="B162" s="160" t="s">
        <v>123</v>
      </c>
      <c r="C162" s="160" t="s">
        <v>419</v>
      </c>
      <c r="D162" s="160" t="s">
        <v>420</v>
      </c>
      <c r="E162" s="161">
        <v>13.599050228224783</v>
      </c>
      <c r="F162" s="161">
        <v>194.94231308903517</v>
      </c>
      <c r="G162" s="161">
        <v>200.09961996878457</v>
      </c>
      <c r="H162" s="161">
        <v>227.36516519582955</v>
      </c>
      <c r="I162" s="161">
        <v>138.93506234415494</v>
      </c>
      <c r="J162" s="161">
        <v>35.244986052066565</v>
      </c>
      <c r="K162" s="161">
        <v>45.173212702899406</v>
      </c>
      <c r="L162" s="161">
        <v>147.30571953355351</v>
      </c>
      <c r="M162" s="161">
        <v>55.223458831914286</v>
      </c>
      <c r="N162" s="161">
        <v>47.769184810232296</v>
      </c>
      <c r="O162" s="161">
        <v>45.344536452496129</v>
      </c>
      <c r="P162" s="161">
        <v>37.8121038272117</v>
      </c>
      <c r="Q162" s="161">
        <v>22.710799473984196</v>
      </c>
      <c r="R162" s="161">
        <v>23.506192859211538</v>
      </c>
      <c r="S162" s="161">
        <v>14.818432433912832</v>
      </c>
      <c r="T162" s="161">
        <v>12.007981998548487</v>
      </c>
      <c r="U162" s="161">
        <v>9.7121908466487383</v>
      </c>
      <c r="V162" s="161">
        <v>13.593318000435801</v>
      </c>
      <c r="W162" s="161">
        <v>14.706083420964916</v>
      </c>
      <c r="X162" s="161">
        <v>4.4678687767761858</v>
      </c>
      <c r="Y162" s="161">
        <v>5.4917840625513463</v>
      </c>
      <c r="Z162" s="161">
        <v>3.9051931822181984</v>
      </c>
      <c r="AA162" s="162">
        <v>5.1589781245033066</v>
      </c>
      <c r="AB162" s="162">
        <v>3.7888579590447335</v>
      </c>
    </row>
    <row r="163" spans="1:28">
      <c r="A163" s="160" t="s">
        <v>122</v>
      </c>
      <c r="B163" s="160" t="s">
        <v>123</v>
      </c>
      <c r="C163" s="160" t="s">
        <v>421</v>
      </c>
      <c r="D163" s="160" t="s">
        <v>422</v>
      </c>
      <c r="E163" s="161">
        <v>15.902913017519097</v>
      </c>
      <c r="F163" s="161">
        <v>128.62977168518276</v>
      </c>
      <c r="G163" s="161">
        <v>1490.4184248497479</v>
      </c>
      <c r="H163" s="161">
        <v>887.84073622693143</v>
      </c>
      <c r="I163" s="161">
        <v>307.29805689023266</v>
      </c>
      <c r="J163" s="161">
        <v>144.00309225018498</v>
      </c>
      <c r="K163" s="161">
        <v>45.801895903923906</v>
      </c>
      <c r="L163" s="161">
        <v>15.059158826926151</v>
      </c>
      <c r="M163" s="161">
        <v>18.538687018151904</v>
      </c>
      <c r="N163" s="161">
        <v>72.386777713983889</v>
      </c>
      <c r="O163" s="161">
        <v>37.698095568389022</v>
      </c>
      <c r="P163" s="161">
        <v>16.489527977492969</v>
      </c>
      <c r="Q163" s="161">
        <v>15.492953442395233</v>
      </c>
      <c r="R163" s="161">
        <v>13.780061468852267</v>
      </c>
      <c r="S163" s="161">
        <v>20.282076928217236</v>
      </c>
      <c r="T163" s="161">
        <v>19.306094835868976</v>
      </c>
      <c r="U163" s="161">
        <v>15.170047105095577</v>
      </c>
      <c r="V163" s="161">
        <v>13.804375398206176</v>
      </c>
      <c r="W163" s="161">
        <v>17.959620406974892</v>
      </c>
      <c r="X163" s="161">
        <v>1.9944854581365234</v>
      </c>
      <c r="Y163" s="161">
        <v>14.186994345415172</v>
      </c>
      <c r="Z163" s="161">
        <v>15.914491651772494</v>
      </c>
      <c r="AA163" s="162">
        <v>7.4769787767289273</v>
      </c>
      <c r="AB163" s="162">
        <v>5.8954597465412917</v>
      </c>
    </row>
    <row r="164" spans="1:28">
      <c r="A164" s="160" t="s">
        <v>122</v>
      </c>
      <c r="B164" s="160" t="s">
        <v>123</v>
      </c>
      <c r="C164" s="160" t="s">
        <v>423</v>
      </c>
      <c r="D164" s="160" t="s">
        <v>424</v>
      </c>
      <c r="E164" s="161">
        <v>13.461468903538304</v>
      </c>
      <c r="F164" s="161">
        <v>14.978936447950161</v>
      </c>
      <c r="G164" s="161">
        <v>7.2832831502220188</v>
      </c>
      <c r="H164" s="161">
        <v>13.870502559666136</v>
      </c>
      <c r="I164" s="161">
        <v>17.191302955730478</v>
      </c>
      <c r="J164" s="161">
        <v>51.266582994297465</v>
      </c>
      <c r="K164" s="161">
        <v>10.921415774947718</v>
      </c>
      <c r="L164" s="161">
        <v>15.621502432191363</v>
      </c>
      <c r="M164" s="161">
        <v>2.2282006588114172</v>
      </c>
      <c r="N164" s="161">
        <v>-9.1876087751771536</v>
      </c>
      <c r="O164" s="161">
        <v>2.8310546344446692</v>
      </c>
      <c r="P164" s="161">
        <v>0.97485915347404273</v>
      </c>
      <c r="Q164" s="161">
        <v>-5.3084686241374754</v>
      </c>
      <c r="R164" s="161">
        <v>22.686426298788547</v>
      </c>
      <c r="S164" s="161">
        <v>13.656605746991119</v>
      </c>
      <c r="T164" s="161">
        <v>9.4742666190136049</v>
      </c>
      <c r="U164" s="161">
        <v>9.7863106955903021</v>
      </c>
      <c r="V164" s="161">
        <v>9.8083607027837303</v>
      </c>
      <c r="W164" s="161">
        <v>13.352434995240145</v>
      </c>
      <c r="X164" s="161">
        <v>8.9978774733383062</v>
      </c>
      <c r="Y164" s="161">
        <v>4.2779577565830635</v>
      </c>
      <c r="Z164" s="161">
        <v>9.1158536585365795</v>
      </c>
      <c r="AA164" s="162">
        <v>6.1788223891446705</v>
      </c>
      <c r="AB164" s="162">
        <v>5.1568542893266596</v>
      </c>
    </row>
    <row r="165" spans="1:28">
      <c r="A165" s="160" t="s">
        <v>122</v>
      </c>
      <c r="B165" s="160" t="s">
        <v>123</v>
      </c>
      <c r="C165" s="160" t="s">
        <v>425</v>
      </c>
      <c r="D165" s="160" t="s">
        <v>426</v>
      </c>
      <c r="E165" s="161">
        <v>9.0064588976837001</v>
      </c>
      <c r="F165" s="161">
        <v>6.111346264836186</v>
      </c>
      <c r="G165" s="161">
        <v>8.5659974475936309</v>
      </c>
      <c r="H165" s="161">
        <v>0.654718762460476</v>
      </c>
      <c r="I165" s="161">
        <v>68.227939592908854</v>
      </c>
      <c r="J165" s="161">
        <v>-6.8733621143406367</v>
      </c>
      <c r="K165" s="161">
        <v>4.4970791394006966</v>
      </c>
      <c r="L165" s="161">
        <v>11.658836497436241</v>
      </c>
      <c r="M165" s="161">
        <v>3.2119399569599807</v>
      </c>
      <c r="N165" s="161">
        <v>2.3855043299280823</v>
      </c>
      <c r="O165" s="161">
        <v>2.7895188413638721</v>
      </c>
      <c r="P165" s="161">
        <v>2.281591463074875</v>
      </c>
      <c r="Q165" s="161">
        <v>2.3709189170169935</v>
      </c>
      <c r="R165" s="161">
        <v>2.3743429592216927</v>
      </c>
      <c r="S165" s="161">
        <v>6.8445599351989443</v>
      </c>
      <c r="T165" s="161">
        <v>0.86650454207075711</v>
      </c>
      <c r="U165" s="161">
        <v>9.243203385359692</v>
      </c>
      <c r="V165" s="161">
        <v>4.2988854357610222</v>
      </c>
      <c r="W165" s="161">
        <v>5.0355736793463706</v>
      </c>
      <c r="X165" s="161">
        <v>3.0350457175671153</v>
      </c>
      <c r="Y165" s="161">
        <v>1.4124512426276112</v>
      </c>
      <c r="Z165" s="161">
        <v>2.2649817252083722</v>
      </c>
      <c r="AA165" s="162">
        <v>1.4073099562944265</v>
      </c>
      <c r="AB165" s="162">
        <v>1.1519860233627952</v>
      </c>
    </row>
    <row r="166" spans="1:28">
      <c r="A166" s="160" t="s">
        <v>122</v>
      </c>
      <c r="B166" s="160" t="s">
        <v>123</v>
      </c>
      <c r="C166" s="160" t="s">
        <v>427</v>
      </c>
      <c r="D166" s="160" t="s">
        <v>428</v>
      </c>
      <c r="E166" s="161">
        <v>8.3943945739197545</v>
      </c>
      <c r="F166" s="161">
        <v>7.5414473117140233</v>
      </c>
      <c r="G166" s="161">
        <v>4.3997673397721684</v>
      </c>
      <c r="H166" s="161">
        <v>4.2603550854032335</v>
      </c>
      <c r="I166" s="161">
        <v>3.8711791351397409</v>
      </c>
      <c r="J166" s="161">
        <v>5.3301517958149702</v>
      </c>
      <c r="K166" s="161">
        <v>3.9980403277561436</v>
      </c>
      <c r="L166" s="161">
        <v>1.6942239168074025</v>
      </c>
      <c r="M166" s="161">
        <v>1.729657445429055</v>
      </c>
      <c r="N166" s="161">
        <v>1.5686119114874089</v>
      </c>
      <c r="O166" s="161">
        <v>2.6287234414925678</v>
      </c>
      <c r="P166" s="161">
        <v>2.6938474504846681</v>
      </c>
      <c r="Q166" s="161">
        <v>2.3756165016894641</v>
      </c>
      <c r="R166" s="161">
        <v>2.4135558901405574</v>
      </c>
      <c r="S166" s="161">
        <v>1.9323998181161528</v>
      </c>
      <c r="T166" s="161">
        <v>1.8775339227743046</v>
      </c>
      <c r="U166" s="161">
        <v>1.94710076833789</v>
      </c>
      <c r="V166" s="161">
        <v>1.7403712071257189</v>
      </c>
      <c r="W166" s="161">
        <v>3.2305189080815921</v>
      </c>
      <c r="X166" s="161" t="s">
        <v>125</v>
      </c>
      <c r="Y166" s="161" t="s">
        <v>125</v>
      </c>
      <c r="Z166" s="161" t="s">
        <v>125</v>
      </c>
      <c r="AA166" s="162" t="s">
        <v>125</v>
      </c>
      <c r="AB166" s="162" t="s">
        <v>125</v>
      </c>
    </row>
    <row r="167" spans="1:28">
      <c r="A167" s="160" t="s">
        <v>122</v>
      </c>
      <c r="B167" s="160" t="s">
        <v>123</v>
      </c>
      <c r="C167" s="160" t="s">
        <v>429</v>
      </c>
      <c r="D167" s="160" t="s">
        <v>430</v>
      </c>
      <c r="E167" s="161" t="s">
        <v>125</v>
      </c>
      <c r="F167" s="161" t="s">
        <v>125</v>
      </c>
      <c r="G167" s="161" t="s">
        <v>125</v>
      </c>
      <c r="H167" s="161" t="s">
        <v>125</v>
      </c>
      <c r="I167" s="161" t="s">
        <v>125</v>
      </c>
      <c r="J167" s="161" t="s">
        <v>125</v>
      </c>
      <c r="K167" s="161" t="s">
        <v>125</v>
      </c>
      <c r="L167" s="161" t="s">
        <v>125</v>
      </c>
      <c r="M167" s="161" t="s">
        <v>125</v>
      </c>
      <c r="N167" s="161" t="s">
        <v>125</v>
      </c>
      <c r="O167" s="161" t="s">
        <v>125</v>
      </c>
      <c r="P167" s="161">
        <v>7.1844660194175276</v>
      </c>
      <c r="Q167" s="161">
        <v>11.395947987372452</v>
      </c>
      <c r="R167" s="161">
        <v>15.377161209290918</v>
      </c>
      <c r="S167" s="161">
        <v>10.735027049182918</v>
      </c>
      <c r="T167" s="161">
        <v>16.785508936050292</v>
      </c>
      <c r="U167" s="161">
        <v>14.799380505812195</v>
      </c>
      <c r="V167" s="161">
        <v>13.77211349905383</v>
      </c>
      <c r="W167" s="161">
        <v>26.574724155616209</v>
      </c>
      <c r="X167" s="161">
        <v>13.550388805064145</v>
      </c>
      <c r="Y167" s="161">
        <v>11.739547121927103</v>
      </c>
      <c r="Z167" s="161">
        <v>12.113943909572654</v>
      </c>
      <c r="AA167" s="162">
        <v>10.343625139960807</v>
      </c>
      <c r="AB167" s="162">
        <v>9.7663469852294469</v>
      </c>
    </row>
    <row r="168" spans="1:28">
      <c r="A168" s="160" t="s">
        <v>122</v>
      </c>
      <c r="B168" s="160" t="s">
        <v>123</v>
      </c>
      <c r="C168" s="160" t="s">
        <v>431</v>
      </c>
      <c r="D168" s="160" t="s">
        <v>432</v>
      </c>
      <c r="E168" s="161">
        <v>13.063708380824934</v>
      </c>
      <c r="F168" s="161">
        <v>3.0818569567362601</v>
      </c>
      <c r="G168" s="161">
        <v>-0.80830198867755598</v>
      </c>
      <c r="H168" s="161">
        <v>-3.0719328632359293</v>
      </c>
      <c r="I168" s="161">
        <v>0.97432646121531263</v>
      </c>
      <c r="J168" s="161">
        <v>5.8401720229560112</v>
      </c>
      <c r="K168" s="161">
        <v>7.1055561060594812</v>
      </c>
      <c r="L168" s="161">
        <v>1.9532407013229829</v>
      </c>
      <c r="M168" s="161">
        <v>-13.970171311288567</v>
      </c>
      <c r="N168" s="161">
        <v>11.249101072131637</v>
      </c>
      <c r="O168" s="161">
        <v>11.64481584615389</v>
      </c>
      <c r="P168" s="161">
        <v>-3.4100818165247802</v>
      </c>
      <c r="Q168" s="161">
        <v>2.8947754033386701</v>
      </c>
      <c r="R168" s="161">
        <v>5.091443367464052</v>
      </c>
      <c r="S168" s="161">
        <v>11.015044763855059</v>
      </c>
      <c r="T168" s="161">
        <v>18.265193040036991</v>
      </c>
      <c r="U168" s="161">
        <v>8.6257019406002797</v>
      </c>
      <c r="V168" s="161">
        <v>4.194686043322335</v>
      </c>
      <c r="W168" s="161">
        <v>15.326413202901861</v>
      </c>
      <c r="X168" s="161">
        <v>-18.931800923434494</v>
      </c>
      <c r="Y168" s="161">
        <v>14.276067712223096</v>
      </c>
      <c r="Z168" s="161">
        <v>17.054989017046537</v>
      </c>
      <c r="AA168" s="162">
        <v>3.6048385264250413</v>
      </c>
      <c r="AB168" s="162">
        <v>-2.1735569522000162</v>
      </c>
    </row>
    <row r="169" spans="1:28">
      <c r="A169" s="160" t="s">
        <v>122</v>
      </c>
      <c r="B169" s="160" t="s">
        <v>123</v>
      </c>
      <c r="C169" s="160" t="s">
        <v>433</v>
      </c>
      <c r="D169" s="160" t="s">
        <v>434</v>
      </c>
      <c r="E169" s="161">
        <v>-1.7871231774520879E-2</v>
      </c>
      <c r="F169" s="161">
        <v>-0.72420305699772314</v>
      </c>
      <c r="G169" s="161">
        <v>-0.92927727841642138</v>
      </c>
      <c r="H169" s="161">
        <v>-0.12964123525387095</v>
      </c>
      <c r="I169" s="161">
        <v>33.891081647005905</v>
      </c>
      <c r="J169" s="161">
        <v>7.3678929984048409</v>
      </c>
      <c r="K169" s="161">
        <v>4.3166132829325647</v>
      </c>
      <c r="L169" s="161">
        <v>2.0506876482067469</v>
      </c>
      <c r="M169" s="161">
        <v>2.7559802385875116</v>
      </c>
      <c r="N169" s="161">
        <v>0.35369553123325659</v>
      </c>
      <c r="O169" s="161">
        <v>1.9356187862264278</v>
      </c>
      <c r="P169" s="161">
        <v>2.6138533263429196</v>
      </c>
      <c r="Q169" s="161">
        <v>3.2998223400648783</v>
      </c>
      <c r="R169" s="161">
        <v>0.51254499649941465</v>
      </c>
      <c r="S169" s="161">
        <v>0.53022022783576972</v>
      </c>
      <c r="T169" s="161">
        <v>2.4831073107552442</v>
      </c>
      <c r="U169" s="161">
        <v>3.9919961307220291</v>
      </c>
      <c r="V169" s="161">
        <v>5.3179483013324074</v>
      </c>
      <c r="W169" s="161">
        <v>6.9010705405260069</v>
      </c>
      <c r="X169" s="161">
        <v>-1.4595523002331703</v>
      </c>
      <c r="Y169" s="161">
        <v>1.5360994260440037</v>
      </c>
      <c r="Z169" s="161">
        <v>4.2303628597783387</v>
      </c>
      <c r="AA169" s="162">
        <v>1.7214644802830747</v>
      </c>
      <c r="AB169" s="162">
        <v>0.31619240437153451</v>
      </c>
    </row>
    <row r="170" spans="1:28">
      <c r="A170" s="160" t="s">
        <v>122</v>
      </c>
      <c r="B170" s="160" t="s">
        <v>123</v>
      </c>
      <c r="C170" s="160" t="s">
        <v>435</v>
      </c>
      <c r="D170" s="160" t="s">
        <v>436</v>
      </c>
      <c r="E170" s="161" t="s">
        <v>125</v>
      </c>
      <c r="F170" s="161" t="s">
        <v>125</v>
      </c>
      <c r="G170" s="161" t="s">
        <v>125</v>
      </c>
      <c r="H170" s="161" t="s">
        <v>125</v>
      </c>
      <c r="I170" s="161" t="s">
        <v>125</v>
      </c>
      <c r="J170" s="161" t="s">
        <v>125</v>
      </c>
      <c r="K170" s="161" t="s">
        <v>125</v>
      </c>
      <c r="L170" s="161" t="s">
        <v>125</v>
      </c>
      <c r="M170" s="161">
        <v>27.687728901205588</v>
      </c>
      <c r="N170" s="161">
        <v>42.461754707180006</v>
      </c>
      <c r="O170" s="161">
        <v>77.386895761494344</v>
      </c>
      <c r="P170" s="161">
        <v>88.383406688653167</v>
      </c>
      <c r="Q170" s="161">
        <v>22.552766117385232</v>
      </c>
      <c r="R170" s="161">
        <v>12.742741648654189</v>
      </c>
      <c r="S170" s="161">
        <v>12.203470818119627</v>
      </c>
      <c r="T170" s="161">
        <v>15.68185075346787</v>
      </c>
      <c r="U170" s="161">
        <v>12.498458440020684</v>
      </c>
      <c r="V170" s="161">
        <v>10.099557785939623</v>
      </c>
      <c r="W170" s="161">
        <v>12.608015208731544</v>
      </c>
      <c r="X170" s="161">
        <v>5.918762493713345</v>
      </c>
      <c r="Y170" s="161">
        <v>4.8926653028986493</v>
      </c>
      <c r="Z170" s="161">
        <v>9.6193557190358234</v>
      </c>
      <c r="AA170" s="162">
        <v>5.9794639254137678</v>
      </c>
      <c r="AB170" s="162">
        <v>5.5398048540719458</v>
      </c>
    </row>
    <row r="171" spans="1:28">
      <c r="A171" s="160" t="s">
        <v>122</v>
      </c>
      <c r="B171" s="160" t="s">
        <v>123</v>
      </c>
      <c r="C171" s="160" t="s">
        <v>437</v>
      </c>
      <c r="D171" s="160" t="s">
        <v>438</v>
      </c>
      <c r="E171" s="161">
        <v>6.3643210975940576</v>
      </c>
      <c r="F171" s="161">
        <v>-2.0481019174262229</v>
      </c>
      <c r="G171" s="161">
        <v>4.6735385401114513</v>
      </c>
      <c r="H171" s="161">
        <v>3.0914654174302569</v>
      </c>
      <c r="I171" s="161">
        <v>1.1741044095392681</v>
      </c>
      <c r="J171" s="161">
        <v>-0.20861718449759792</v>
      </c>
      <c r="K171" s="161">
        <v>-2.0441750231407099</v>
      </c>
      <c r="L171" s="161">
        <v>1.8092636045288941</v>
      </c>
      <c r="M171" s="161">
        <v>4.3747602904205252</v>
      </c>
      <c r="N171" s="161">
        <v>2.007838918212542</v>
      </c>
      <c r="O171" s="161">
        <v>1.3003789197255173</v>
      </c>
      <c r="P171" s="161">
        <v>5.5043651027504552</v>
      </c>
      <c r="Q171" s="161">
        <v>4.2503048976493716</v>
      </c>
      <c r="R171" s="161">
        <v>5.9639355423922069</v>
      </c>
      <c r="S171" s="161">
        <v>24.658258233301609</v>
      </c>
      <c r="T171" s="161">
        <v>0.45864525056489924</v>
      </c>
      <c r="U171" s="161">
        <v>1.4423438898134151</v>
      </c>
      <c r="V171" s="161">
        <v>11.810986988873353</v>
      </c>
      <c r="W171" s="161">
        <v>34.949814874793617</v>
      </c>
      <c r="X171" s="161">
        <v>27.498900257502896</v>
      </c>
      <c r="Y171" s="161">
        <v>-3.5949042272315523</v>
      </c>
      <c r="Z171" s="161">
        <v>6.3613107325247995</v>
      </c>
      <c r="AA171" s="162">
        <v>4.78688731774497</v>
      </c>
      <c r="AB171" s="162">
        <v>4.4529506131991212</v>
      </c>
    </row>
    <row r="172" spans="1:28">
      <c r="A172" s="160" t="s">
        <v>122</v>
      </c>
      <c r="B172" s="160" t="s">
        <v>123</v>
      </c>
      <c r="C172" s="160" t="s">
        <v>83</v>
      </c>
      <c r="D172" s="160" t="s">
        <v>439</v>
      </c>
      <c r="E172" s="161">
        <v>70.591549161490519</v>
      </c>
      <c r="F172" s="161">
        <v>128.76166832174783</v>
      </c>
      <c r="G172" s="161">
        <v>82.023579223276158</v>
      </c>
      <c r="H172" s="161">
        <v>26.736322129590206</v>
      </c>
      <c r="I172" s="161">
        <v>25.062042741413549</v>
      </c>
      <c r="J172" s="161">
        <v>33.597989128592758</v>
      </c>
      <c r="K172" s="161">
        <v>29.580485158151959</v>
      </c>
      <c r="L172" s="161">
        <v>2.252769698969729</v>
      </c>
      <c r="M172" s="161">
        <v>23.775121074786028</v>
      </c>
      <c r="N172" s="161">
        <v>17.193850390106391</v>
      </c>
      <c r="O172" s="161">
        <v>3.2811430828105159</v>
      </c>
      <c r="P172" s="161">
        <v>73.558266486334134</v>
      </c>
      <c r="Q172" s="161">
        <v>-3.9352699463754703</v>
      </c>
      <c r="R172" s="161">
        <v>13.194306762398938</v>
      </c>
      <c r="S172" s="161">
        <v>12.825003844691281</v>
      </c>
      <c r="T172" s="161">
        <v>16.615453269305135</v>
      </c>
      <c r="U172" s="161">
        <v>12.486064541475585</v>
      </c>
      <c r="V172" s="161">
        <v>6.6883510747495052</v>
      </c>
      <c r="W172" s="161">
        <v>10.069718604799974</v>
      </c>
      <c r="X172" s="161">
        <v>7.7134091278660435</v>
      </c>
      <c r="Y172" s="161">
        <v>17.074355130382074</v>
      </c>
      <c r="Z172" s="161">
        <v>17.273096750057306</v>
      </c>
      <c r="AA172" s="162">
        <v>11.964768613777935</v>
      </c>
      <c r="AB172" s="162">
        <v>8.0785074903343457</v>
      </c>
    </row>
    <row r="173" spans="1:28">
      <c r="A173" s="160" t="s">
        <v>122</v>
      </c>
      <c r="B173" s="160" t="s">
        <v>123</v>
      </c>
      <c r="C173" s="160" t="s">
        <v>440</v>
      </c>
      <c r="D173" s="160" t="s">
        <v>441</v>
      </c>
      <c r="E173" s="161">
        <v>4.650750579518629</v>
      </c>
      <c r="F173" s="161">
        <v>4.4334307350955697</v>
      </c>
      <c r="G173" s="161">
        <v>0.99600249250259765</v>
      </c>
      <c r="H173" s="161">
        <v>3.4023139412767875</v>
      </c>
      <c r="I173" s="161">
        <v>3.6734800777716003</v>
      </c>
      <c r="J173" s="161">
        <v>3.2894354837592203</v>
      </c>
      <c r="K173" s="161">
        <v>1.4714069795409159</v>
      </c>
      <c r="L173" s="161">
        <v>1.0354268900971846</v>
      </c>
      <c r="M173" s="161">
        <v>-1.3573380989733863</v>
      </c>
      <c r="N173" s="161">
        <v>-3.8988380498317952</v>
      </c>
      <c r="O173" s="161">
        <v>3.7392030918222048</v>
      </c>
      <c r="P173" s="161">
        <v>-2.2428200514494421</v>
      </c>
      <c r="Q173" s="161">
        <v>-1.2487471250255027</v>
      </c>
      <c r="R173" s="161">
        <v>-1.7076402957679591</v>
      </c>
      <c r="S173" s="161">
        <v>4.2499030574393259</v>
      </c>
      <c r="T173" s="161">
        <v>2.2261688030733353</v>
      </c>
      <c r="U173" s="161">
        <v>1.7199843756695117</v>
      </c>
      <c r="V173" s="161">
        <v>5.8609939478857456</v>
      </c>
      <c r="W173" s="161">
        <v>-1.4916100837870516</v>
      </c>
      <c r="X173" s="161">
        <v>3.521018895060493</v>
      </c>
      <c r="Y173" s="161">
        <v>-4.5987608001212266E-2</v>
      </c>
      <c r="Z173" s="161">
        <v>0.82667882666184767</v>
      </c>
      <c r="AA173" s="162">
        <v>1.4715265885577651</v>
      </c>
      <c r="AB173" s="162">
        <v>0.12450499966124084</v>
      </c>
    </row>
    <row r="174" spans="1:28">
      <c r="A174" s="160" t="s">
        <v>122</v>
      </c>
      <c r="B174" s="160" t="s">
        <v>123</v>
      </c>
      <c r="C174" s="160" t="s">
        <v>442</v>
      </c>
      <c r="D174" s="160" t="s">
        <v>443</v>
      </c>
      <c r="E174" s="161" t="s">
        <v>125</v>
      </c>
      <c r="F174" s="161" t="s">
        <v>125</v>
      </c>
      <c r="G174" s="161" t="s">
        <v>125</v>
      </c>
      <c r="H174" s="161" t="s">
        <v>125</v>
      </c>
      <c r="I174" s="161" t="s">
        <v>125</v>
      </c>
      <c r="J174" s="161" t="s">
        <v>125</v>
      </c>
      <c r="K174" s="161" t="s">
        <v>125</v>
      </c>
      <c r="L174" s="161" t="s">
        <v>125</v>
      </c>
      <c r="M174" s="161" t="s">
        <v>125</v>
      </c>
      <c r="N174" s="161" t="s">
        <v>125</v>
      </c>
      <c r="O174" s="161" t="s">
        <v>125</v>
      </c>
      <c r="P174" s="161" t="s">
        <v>125</v>
      </c>
      <c r="Q174" s="161" t="s">
        <v>125</v>
      </c>
      <c r="R174" s="161" t="s">
        <v>125</v>
      </c>
      <c r="S174" s="161" t="s">
        <v>125</v>
      </c>
      <c r="T174" s="161" t="s">
        <v>125</v>
      </c>
      <c r="U174" s="161" t="s">
        <v>125</v>
      </c>
      <c r="V174" s="161" t="s">
        <v>125</v>
      </c>
      <c r="W174" s="161" t="s">
        <v>125</v>
      </c>
      <c r="X174" s="161" t="s">
        <v>125</v>
      </c>
      <c r="Y174" s="161" t="s">
        <v>125</v>
      </c>
      <c r="Z174" s="161" t="s">
        <v>125</v>
      </c>
      <c r="AA174" s="162" t="s">
        <v>125</v>
      </c>
      <c r="AB174" s="162" t="s">
        <v>125</v>
      </c>
    </row>
    <row r="175" spans="1:28">
      <c r="A175" s="160" t="s">
        <v>122</v>
      </c>
      <c r="B175" s="160" t="s">
        <v>123</v>
      </c>
      <c r="C175" s="160" t="s">
        <v>444</v>
      </c>
      <c r="D175" s="160" t="s">
        <v>445</v>
      </c>
      <c r="E175" s="161">
        <v>6.8571341553357286</v>
      </c>
      <c r="F175" s="161">
        <v>34.6191257418688</v>
      </c>
      <c r="G175" s="161">
        <v>11.43101365038612</v>
      </c>
      <c r="H175" s="161">
        <v>29.77681345944805</v>
      </c>
      <c r="I175" s="161">
        <v>13.448487134034764</v>
      </c>
      <c r="J175" s="161">
        <v>9.8910721094971734</v>
      </c>
      <c r="K175" s="161">
        <v>4.1984950868738196</v>
      </c>
      <c r="L175" s="161">
        <v>6.1546572415703622</v>
      </c>
      <c r="M175" s="161">
        <v>5.073257093043452</v>
      </c>
      <c r="N175" s="161">
        <v>7.3616093425665525</v>
      </c>
      <c r="O175" s="161">
        <v>9.4171481383634301</v>
      </c>
      <c r="P175" s="161">
        <v>5.0167143919932045</v>
      </c>
      <c r="Q175" s="161">
        <v>3.8740923503718392</v>
      </c>
      <c r="R175" s="161">
        <v>5.3100006251197982</v>
      </c>
      <c r="S175" s="161">
        <v>5.8485694080361981</v>
      </c>
      <c r="T175" s="161">
        <v>2.3818406241651928</v>
      </c>
      <c r="U175" s="161">
        <v>2.9419463112433561</v>
      </c>
      <c r="V175" s="161">
        <v>1.1128465197641617</v>
      </c>
      <c r="W175" s="161">
        <v>2.860784377857172</v>
      </c>
      <c r="X175" s="161">
        <v>-1.181570285646103</v>
      </c>
      <c r="Y175" s="161">
        <v>0.49164130320346544</v>
      </c>
      <c r="Z175" s="161">
        <v>1.8585417012902496</v>
      </c>
      <c r="AA175" s="162">
        <v>1.2535100806189519</v>
      </c>
      <c r="AB175" s="162" t="s">
        <v>125</v>
      </c>
    </row>
    <row r="176" spans="1:28">
      <c r="A176" s="160" t="s">
        <v>122</v>
      </c>
      <c r="B176" s="160" t="s">
        <v>123</v>
      </c>
      <c r="C176" s="160" t="s">
        <v>446</v>
      </c>
      <c r="D176" s="160" t="s">
        <v>447</v>
      </c>
      <c r="E176" s="161" t="s">
        <v>125</v>
      </c>
      <c r="F176" s="161">
        <v>94.927777216273199</v>
      </c>
      <c r="G176" s="161">
        <v>208.17541329700941</v>
      </c>
      <c r="H176" s="161">
        <v>37.080195274297068</v>
      </c>
      <c r="I176" s="161">
        <v>22.58923873870377</v>
      </c>
      <c r="J176" s="161">
        <v>29.233002066442793</v>
      </c>
      <c r="K176" s="161">
        <v>11.289144880627504</v>
      </c>
      <c r="L176" s="161">
        <v>8.5242764569044311</v>
      </c>
      <c r="M176" s="161">
        <v>7.0319033504244572</v>
      </c>
      <c r="N176" s="161">
        <v>6.5682860113148536</v>
      </c>
      <c r="O176" s="161">
        <v>5.2233796582999474</v>
      </c>
      <c r="P176" s="161">
        <v>8.6515560340193929</v>
      </c>
      <c r="Q176" s="161">
        <v>7.5847537147824937</v>
      </c>
      <c r="R176" s="161">
        <v>5.5327897385900116</v>
      </c>
      <c r="S176" s="161">
        <v>3.2708163209053964</v>
      </c>
      <c r="T176" s="161">
        <v>1.6600589411145563</v>
      </c>
      <c r="U176" s="161">
        <v>2.1136444004408332</v>
      </c>
      <c r="V176" s="161">
        <v>4.1729694252281604</v>
      </c>
      <c r="W176" s="161">
        <v>4.1243575846084894</v>
      </c>
      <c r="X176" s="161">
        <v>2.963710892072811</v>
      </c>
      <c r="Y176" s="161">
        <v>-1.0669803906118034</v>
      </c>
      <c r="Z176" s="161">
        <v>1.3635764574209333</v>
      </c>
      <c r="AA176" s="162">
        <v>0.20356775545262451</v>
      </c>
      <c r="AB176" s="162" t="s">
        <v>125</v>
      </c>
    </row>
    <row r="177" spans="1:28">
      <c r="A177" s="160" t="s">
        <v>122</v>
      </c>
      <c r="B177" s="160" t="s">
        <v>123</v>
      </c>
      <c r="C177" s="160" t="s">
        <v>448</v>
      </c>
      <c r="D177" s="160" t="s">
        <v>449</v>
      </c>
      <c r="E177" s="161" t="s">
        <v>125</v>
      </c>
      <c r="F177" s="161">
        <v>7.2469730677718189</v>
      </c>
      <c r="G177" s="161">
        <v>13.165523364874204</v>
      </c>
      <c r="H177" s="161">
        <v>13.587989396190082</v>
      </c>
      <c r="I177" s="161">
        <v>6.9473593673594678</v>
      </c>
      <c r="J177" s="161">
        <v>6.8440934227221391</v>
      </c>
      <c r="K177" s="161">
        <v>12.152711811285897</v>
      </c>
      <c r="L177" s="161">
        <v>6.2578876746897976</v>
      </c>
      <c r="M177" s="161">
        <v>5.6058281522978177</v>
      </c>
      <c r="N177" s="161">
        <v>3.3192455023890233</v>
      </c>
      <c r="O177" s="161">
        <v>10.702272314579474</v>
      </c>
      <c r="P177" s="161">
        <v>3.7352658305525921</v>
      </c>
      <c r="Q177" s="161">
        <v>12.233949072356239</v>
      </c>
      <c r="R177" s="161">
        <v>1.7028464386573177</v>
      </c>
      <c r="S177" s="161">
        <v>7.1669801947985263</v>
      </c>
      <c r="T177" s="161">
        <v>5.3008409837805033</v>
      </c>
      <c r="U177" s="161">
        <v>4.2629753231666427</v>
      </c>
      <c r="V177" s="161">
        <v>5.8800564725497253</v>
      </c>
      <c r="W177" s="161">
        <v>11.440527250202592</v>
      </c>
      <c r="X177" s="161">
        <v>7.2341189836119923</v>
      </c>
      <c r="Y177" s="161">
        <v>5.8851133913593543</v>
      </c>
      <c r="Z177" s="161">
        <v>9.0645615080262871</v>
      </c>
      <c r="AA177" s="162">
        <v>5.6834135971462985</v>
      </c>
      <c r="AB177" s="162">
        <v>5.731340320993155</v>
      </c>
    </row>
    <row r="178" spans="1:28">
      <c r="A178" s="160" t="s">
        <v>122</v>
      </c>
      <c r="B178" s="160" t="s">
        <v>123</v>
      </c>
      <c r="C178" s="160" t="s">
        <v>450</v>
      </c>
      <c r="D178" s="160" t="s">
        <v>451</v>
      </c>
      <c r="E178" s="161">
        <v>215.46680065998191</v>
      </c>
      <c r="F178" s="161" t="s">
        <v>125</v>
      </c>
      <c r="G178" s="161" t="s">
        <v>125</v>
      </c>
      <c r="H178" s="161" t="s">
        <v>125</v>
      </c>
      <c r="I178" s="161" t="s">
        <v>125</v>
      </c>
      <c r="J178" s="161" t="s">
        <v>125</v>
      </c>
      <c r="K178" s="161" t="s">
        <v>125</v>
      </c>
      <c r="L178" s="161" t="s">
        <v>125</v>
      </c>
      <c r="M178" s="161" t="s">
        <v>125</v>
      </c>
      <c r="N178" s="161" t="s">
        <v>125</v>
      </c>
      <c r="O178" s="161" t="s">
        <v>125</v>
      </c>
      <c r="P178" s="161" t="s">
        <v>125</v>
      </c>
      <c r="Q178" s="161" t="s">
        <v>125</v>
      </c>
      <c r="R178" s="161" t="s">
        <v>125</v>
      </c>
      <c r="S178" s="161" t="s">
        <v>125</v>
      </c>
      <c r="T178" s="161" t="s">
        <v>125</v>
      </c>
      <c r="U178" s="161" t="s">
        <v>125</v>
      </c>
      <c r="V178" s="161" t="s">
        <v>125</v>
      </c>
      <c r="W178" s="161" t="s">
        <v>125</v>
      </c>
      <c r="X178" s="161" t="s">
        <v>125</v>
      </c>
      <c r="Y178" s="161" t="s">
        <v>125</v>
      </c>
      <c r="Z178" s="161" t="s">
        <v>125</v>
      </c>
      <c r="AA178" s="162" t="s">
        <v>125</v>
      </c>
      <c r="AB178" s="162" t="s">
        <v>125</v>
      </c>
    </row>
    <row r="179" spans="1:28">
      <c r="A179" s="160" t="s">
        <v>122</v>
      </c>
      <c r="B179" s="160" t="s">
        <v>123</v>
      </c>
      <c r="C179" s="160" t="s">
        <v>452</v>
      </c>
      <c r="D179" s="160" t="s">
        <v>453</v>
      </c>
      <c r="E179" s="161">
        <v>15.521507205678304</v>
      </c>
      <c r="F179" s="161">
        <v>15.727008694066996</v>
      </c>
      <c r="G179" s="161">
        <v>14.571151721637506</v>
      </c>
      <c r="H179" s="161">
        <v>13.087568874345081</v>
      </c>
      <c r="I179" s="161">
        <v>9.594010154378978</v>
      </c>
      <c r="J179" s="161">
        <v>10.250325952765692</v>
      </c>
      <c r="K179" s="161">
        <v>8.0896615070995495</v>
      </c>
      <c r="L179" s="161">
        <v>8.106475448218518</v>
      </c>
      <c r="M179" s="161">
        <v>7.7104128133594685</v>
      </c>
      <c r="N179" s="161">
        <v>7.0732294482553897</v>
      </c>
      <c r="O179" s="161">
        <v>8.8095447928848074</v>
      </c>
      <c r="P179" s="161">
        <v>7.6669259373051517</v>
      </c>
      <c r="Q179" s="161">
        <v>10.749452406286991</v>
      </c>
      <c r="R179" s="161">
        <v>5.5502297825584179</v>
      </c>
      <c r="S179" s="161">
        <v>6.3718942256896725</v>
      </c>
      <c r="T179" s="161">
        <v>5.4446739251013696</v>
      </c>
      <c r="U179" s="161">
        <v>6.5276131156196442</v>
      </c>
      <c r="V179" s="161">
        <v>8.0789494503003851</v>
      </c>
      <c r="W179" s="161">
        <v>8.0064444755312252</v>
      </c>
      <c r="X179" s="161">
        <v>8.3721049573225912</v>
      </c>
      <c r="Y179" s="161">
        <v>7.653129985421117</v>
      </c>
      <c r="Z179" s="161">
        <v>5.8744038125849016</v>
      </c>
      <c r="AA179" s="162">
        <v>4.4559056273542694</v>
      </c>
      <c r="AB179" s="162">
        <v>5.848142820918369</v>
      </c>
    </row>
    <row r="180" spans="1:28">
      <c r="A180" s="160" t="s">
        <v>122</v>
      </c>
      <c r="B180" s="160" t="s">
        <v>123</v>
      </c>
      <c r="C180" s="160" t="s">
        <v>454</v>
      </c>
      <c r="D180" s="160" t="s">
        <v>455</v>
      </c>
      <c r="E180" s="161" t="s">
        <v>125</v>
      </c>
      <c r="F180" s="161" t="s">
        <v>125</v>
      </c>
      <c r="G180" s="161" t="s">
        <v>125</v>
      </c>
      <c r="H180" s="161" t="s">
        <v>125</v>
      </c>
      <c r="I180" s="161" t="s">
        <v>125</v>
      </c>
      <c r="J180" s="161" t="s">
        <v>125</v>
      </c>
      <c r="K180" s="161" t="s">
        <v>125</v>
      </c>
      <c r="L180" s="161" t="s">
        <v>125</v>
      </c>
      <c r="M180" s="161" t="s">
        <v>125</v>
      </c>
      <c r="N180" s="161" t="s">
        <v>125</v>
      </c>
      <c r="O180" s="161" t="s">
        <v>125</v>
      </c>
      <c r="P180" s="161" t="s">
        <v>125</v>
      </c>
      <c r="Q180" s="161" t="s">
        <v>125</v>
      </c>
      <c r="R180" s="161" t="s">
        <v>125</v>
      </c>
      <c r="S180" s="161" t="s">
        <v>125</v>
      </c>
      <c r="T180" s="161" t="s">
        <v>125</v>
      </c>
      <c r="U180" s="161" t="s">
        <v>125</v>
      </c>
      <c r="V180" s="161" t="s">
        <v>125</v>
      </c>
      <c r="W180" s="161" t="s">
        <v>125</v>
      </c>
      <c r="X180" s="161">
        <v>-16.219177115720512</v>
      </c>
      <c r="Y180" s="161">
        <v>18.876526601290905</v>
      </c>
      <c r="Z180" s="161">
        <v>52.151511647377703</v>
      </c>
      <c r="AA180" s="162">
        <v>3.8416044210105298</v>
      </c>
      <c r="AB180" s="162">
        <v>5.0252941556762352</v>
      </c>
    </row>
    <row r="181" spans="1:28">
      <c r="A181" s="160" t="s">
        <v>122</v>
      </c>
      <c r="B181" s="160" t="s">
        <v>123</v>
      </c>
      <c r="C181" s="160" t="s">
        <v>456</v>
      </c>
      <c r="D181" s="160" t="s">
        <v>457</v>
      </c>
      <c r="E181" s="161">
        <v>7.3262511672532753</v>
      </c>
      <c r="F181" s="161">
        <v>6.9351394977320808</v>
      </c>
      <c r="G181" s="161">
        <v>6.7107711959334466</v>
      </c>
      <c r="H181" s="161">
        <v>4.5372412403735325</v>
      </c>
      <c r="I181" s="161">
        <v>3.8798420092190327</v>
      </c>
      <c r="J181" s="161">
        <v>4.933129725868767</v>
      </c>
      <c r="K181" s="161">
        <v>3.4586942511659657</v>
      </c>
      <c r="L181" s="161">
        <v>2.4065551643670062</v>
      </c>
      <c r="M181" s="161">
        <v>2.4756030826758746</v>
      </c>
      <c r="N181" s="161">
        <v>2.621744064384913</v>
      </c>
      <c r="O181" s="161">
        <v>3.4464240845692302</v>
      </c>
      <c r="P181" s="161">
        <v>4.1922082138247276</v>
      </c>
      <c r="Q181" s="161">
        <v>4.3530894901099515</v>
      </c>
      <c r="R181" s="161">
        <v>4.1626096718756003</v>
      </c>
      <c r="S181" s="161">
        <v>4.0426413390963774</v>
      </c>
      <c r="T181" s="161">
        <v>4.3439444691161384</v>
      </c>
      <c r="U181" s="161">
        <v>4.1404830915832633</v>
      </c>
      <c r="V181" s="161">
        <v>3.2676822547939253</v>
      </c>
      <c r="W181" s="161">
        <v>2.3750367040860283</v>
      </c>
      <c r="X181" s="161">
        <v>7.590096549083114E-2</v>
      </c>
      <c r="Y181" s="161">
        <v>7.9729169677690948E-2</v>
      </c>
      <c r="Z181" s="161">
        <v>1.7301600350180024E-2</v>
      </c>
      <c r="AA181" s="162">
        <v>1.2340256832814589E-2</v>
      </c>
      <c r="AB181" s="162">
        <v>0.61906532348972121</v>
      </c>
    </row>
    <row r="182" spans="1:28">
      <c r="A182" s="160" t="s">
        <v>122</v>
      </c>
      <c r="B182" s="160" t="s">
        <v>123</v>
      </c>
      <c r="C182" s="160" t="s">
        <v>458</v>
      </c>
      <c r="D182" s="160" t="s">
        <v>459</v>
      </c>
      <c r="E182" s="161">
        <v>20.06326999716994</v>
      </c>
      <c r="F182" s="161">
        <v>10.624009673792983</v>
      </c>
      <c r="G182" s="161">
        <v>9.4036969483408939</v>
      </c>
      <c r="H182" s="161">
        <v>9.8844593279547865</v>
      </c>
      <c r="I182" s="161">
        <v>9.7705003352917146</v>
      </c>
      <c r="J182" s="161">
        <v>9.3035279348344204</v>
      </c>
      <c r="K182" s="161">
        <v>10.817420785701898</v>
      </c>
      <c r="L182" s="161">
        <v>8.9245745184087184</v>
      </c>
      <c r="M182" s="161">
        <v>9.214064453883438</v>
      </c>
      <c r="N182" s="161">
        <v>4.1627632516410245</v>
      </c>
      <c r="O182" s="161">
        <v>7.2773413062537742</v>
      </c>
      <c r="P182" s="161">
        <v>13.664749091822472</v>
      </c>
      <c r="Q182" s="161">
        <v>11.812565268042789</v>
      </c>
      <c r="R182" s="161">
        <v>5.1491384254296406</v>
      </c>
      <c r="S182" s="161">
        <v>8.8014924612304952</v>
      </c>
      <c r="T182" s="161">
        <v>10.418726751389883</v>
      </c>
      <c r="U182" s="161">
        <v>11.277029449314881</v>
      </c>
      <c r="V182" s="161">
        <v>14.02844282394102</v>
      </c>
      <c r="W182" s="161">
        <v>16.327016023293936</v>
      </c>
      <c r="X182" s="161">
        <v>5.8798826361713026</v>
      </c>
      <c r="Y182" s="161">
        <v>7.2989477644934482</v>
      </c>
      <c r="Z182" s="161">
        <v>7.8648676985609143</v>
      </c>
      <c r="AA182" s="162">
        <v>8.9146844619208139</v>
      </c>
      <c r="AB182" s="162">
        <v>6.7150287877449415</v>
      </c>
    </row>
    <row r="183" spans="1:28">
      <c r="A183" s="160" t="s">
        <v>122</v>
      </c>
      <c r="B183" s="160" t="s">
        <v>123</v>
      </c>
      <c r="C183" s="160" t="s">
        <v>460</v>
      </c>
      <c r="D183" s="160" t="s">
        <v>461</v>
      </c>
      <c r="E183" s="161">
        <v>8.6609918275166535</v>
      </c>
      <c r="F183" s="161">
        <v>2.9708151386714405</v>
      </c>
      <c r="G183" s="161">
        <v>6.9373729486645175</v>
      </c>
      <c r="H183" s="161">
        <v>2.2797114145841562</v>
      </c>
      <c r="I183" s="161">
        <v>6.3683002161341875</v>
      </c>
      <c r="J183" s="161">
        <v>0.37712556706136979</v>
      </c>
      <c r="K183" s="161">
        <v>-0.11530645317104415</v>
      </c>
      <c r="L183" s="161">
        <v>4.8191043676817316</v>
      </c>
      <c r="M183" s="161">
        <v>3.2664559146629983</v>
      </c>
      <c r="N183" s="161">
        <v>0.8974544674309044</v>
      </c>
      <c r="O183" s="161">
        <v>35.674957010789569</v>
      </c>
      <c r="P183" s="161">
        <v>3.9976596037503356</v>
      </c>
      <c r="Q183" s="161">
        <v>2.8932416528918878</v>
      </c>
      <c r="R183" s="161">
        <v>-2.0301848612904081</v>
      </c>
      <c r="S183" s="161">
        <v>3.3951142494128987</v>
      </c>
      <c r="T183" s="161">
        <v>-1.8684224680419703</v>
      </c>
      <c r="U183" s="161">
        <v>12.117429270563946</v>
      </c>
      <c r="V183" s="161">
        <v>4.5867071865454534</v>
      </c>
      <c r="W183" s="161">
        <v>3.1534463688010987</v>
      </c>
      <c r="X183" s="161">
        <v>2.1956179389029273</v>
      </c>
      <c r="Y183" s="161">
        <v>0.9639638462213469</v>
      </c>
      <c r="Z183" s="161">
        <v>3.3434237463139311</v>
      </c>
      <c r="AA183" s="162">
        <v>1.7590507827378161</v>
      </c>
      <c r="AB183" s="162">
        <v>-0.42838289573664667</v>
      </c>
    </row>
    <row r="184" spans="1:28">
      <c r="A184" s="160" t="s">
        <v>122</v>
      </c>
      <c r="B184" s="160" t="s">
        <v>123</v>
      </c>
      <c r="C184" s="160" t="s">
        <v>462</v>
      </c>
      <c r="D184" s="160" t="s">
        <v>463</v>
      </c>
      <c r="E184" s="161">
        <v>3.205486929809183</v>
      </c>
      <c r="F184" s="161">
        <v>5.7968381478305417</v>
      </c>
      <c r="G184" s="161">
        <v>3.5146043805876133</v>
      </c>
      <c r="H184" s="161">
        <v>0.35380687421171331</v>
      </c>
      <c r="I184" s="161">
        <v>3.7161468990288995</v>
      </c>
      <c r="J184" s="161">
        <v>4.9061815440435623</v>
      </c>
      <c r="K184" s="161">
        <v>-4.1984998769508195</v>
      </c>
      <c r="L184" s="161">
        <v>6.2875496803299171</v>
      </c>
      <c r="M184" s="161">
        <v>2.2898456472617568</v>
      </c>
      <c r="N184" s="161">
        <v>2.892763327692478</v>
      </c>
      <c r="O184" s="161">
        <v>9.6609261210491013</v>
      </c>
      <c r="P184" s="161">
        <v>-2.6794668196004494</v>
      </c>
      <c r="Q184" s="161">
        <v>1.9673621103211758</v>
      </c>
      <c r="R184" s="161">
        <v>3.4617567295359635</v>
      </c>
      <c r="S184" s="161">
        <v>1.3355183320983031</v>
      </c>
      <c r="T184" s="161">
        <v>7.9040566169612703</v>
      </c>
      <c r="U184" s="161">
        <v>2.5270006625148085</v>
      </c>
      <c r="V184" s="161">
        <v>7.0575277439599802</v>
      </c>
      <c r="W184" s="161">
        <v>-1.2565452758591533</v>
      </c>
      <c r="X184" s="161">
        <v>-0.27805340444726312</v>
      </c>
      <c r="Y184" s="161">
        <v>6.8995235034155371</v>
      </c>
      <c r="Z184" s="161">
        <v>2.0598238866343763</v>
      </c>
      <c r="AA184" s="162">
        <v>3.0370677336381675</v>
      </c>
      <c r="AB184" s="162">
        <v>1.6096336968468137</v>
      </c>
    </row>
    <row r="185" spans="1:28">
      <c r="A185" s="160" t="s">
        <v>122</v>
      </c>
      <c r="B185" s="160" t="s">
        <v>123</v>
      </c>
      <c r="C185" s="160" t="s">
        <v>464</v>
      </c>
      <c r="D185" s="160" t="s">
        <v>465</v>
      </c>
      <c r="E185" s="161" t="s">
        <v>125</v>
      </c>
      <c r="F185" s="161" t="s">
        <v>125</v>
      </c>
      <c r="G185" s="161" t="s">
        <v>125</v>
      </c>
      <c r="H185" s="161" t="s">
        <v>125</v>
      </c>
      <c r="I185" s="161" t="s">
        <v>125</v>
      </c>
      <c r="J185" s="161" t="s">
        <v>125</v>
      </c>
      <c r="K185" s="161" t="s">
        <v>125</v>
      </c>
      <c r="L185" s="161" t="s">
        <v>125</v>
      </c>
      <c r="M185" s="161" t="s">
        <v>125</v>
      </c>
      <c r="N185" s="161" t="s">
        <v>125</v>
      </c>
      <c r="O185" s="161" t="s">
        <v>125</v>
      </c>
      <c r="P185" s="161" t="s">
        <v>125</v>
      </c>
      <c r="Q185" s="161" t="s">
        <v>125</v>
      </c>
      <c r="R185" s="161" t="s">
        <v>125</v>
      </c>
      <c r="S185" s="161" t="s">
        <v>125</v>
      </c>
      <c r="T185" s="161" t="s">
        <v>125</v>
      </c>
      <c r="U185" s="161" t="s">
        <v>125</v>
      </c>
      <c r="V185" s="161" t="s">
        <v>125</v>
      </c>
      <c r="W185" s="161" t="s">
        <v>125</v>
      </c>
      <c r="X185" s="161" t="s">
        <v>125</v>
      </c>
      <c r="Y185" s="161" t="s">
        <v>125</v>
      </c>
      <c r="Z185" s="161" t="s">
        <v>125</v>
      </c>
      <c r="AA185" s="162" t="s">
        <v>125</v>
      </c>
      <c r="AB185" s="162" t="s">
        <v>125</v>
      </c>
    </row>
    <row r="186" spans="1:28">
      <c r="A186" s="160" t="s">
        <v>122</v>
      </c>
      <c r="B186" s="160" t="s">
        <v>123</v>
      </c>
      <c r="C186" s="160" t="s">
        <v>466</v>
      </c>
      <c r="D186" s="160" t="s">
        <v>467</v>
      </c>
      <c r="E186" s="161">
        <v>6.4246603954495924</v>
      </c>
      <c r="F186" s="161">
        <v>6.5509887054081588</v>
      </c>
      <c r="G186" s="161">
        <v>2.0611223954998223</v>
      </c>
      <c r="H186" s="161">
        <v>2.2341599102335294</v>
      </c>
      <c r="I186" s="161">
        <v>5.0312312507601291</v>
      </c>
      <c r="J186" s="161">
        <v>8.4614310993240878</v>
      </c>
      <c r="K186" s="161">
        <v>4.2457473363441096</v>
      </c>
      <c r="L186" s="161">
        <v>-8.0965389491375817</v>
      </c>
      <c r="M186" s="161">
        <v>3.1191811045966062</v>
      </c>
      <c r="N186" s="161">
        <v>4.0838822790334461E-3</v>
      </c>
      <c r="O186" s="161">
        <v>20.439496182662026</v>
      </c>
      <c r="P186" s="161">
        <v>6.6870847442318961</v>
      </c>
      <c r="Q186" s="161">
        <v>1.0132392188085078</v>
      </c>
      <c r="R186" s="161">
        <v>-3.0811036341633127</v>
      </c>
      <c r="S186" s="161">
        <v>3.9952689969286297</v>
      </c>
      <c r="T186" s="161">
        <v>2.9921501737399296</v>
      </c>
      <c r="U186" s="161">
        <v>2.9144964204886605</v>
      </c>
      <c r="V186" s="161">
        <v>8.3922128750360798</v>
      </c>
      <c r="W186" s="161">
        <v>3.4635780386651049E-2</v>
      </c>
      <c r="X186" s="161">
        <v>-0.86409630530188508</v>
      </c>
      <c r="Y186" s="161">
        <v>4.4383974860845825</v>
      </c>
      <c r="Z186" s="161">
        <v>-0.28714822013365904</v>
      </c>
      <c r="AA186" s="162">
        <v>0.96361204648604826</v>
      </c>
      <c r="AB186" s="162">
        <v>1.6015943728018698</v>
      </c>
    </row>
    <row r="187" spans="1:28">
      <c r="A187" s="160" t="s">
        <v>122</v>
      </c>
      <c r="B187" s="160" t="s">
        <v>123</v>
      </c>
      <c r="C187" s="160" t="s">
        <v>468</v>
      </c>
      <c r="D187" s="160" t="s">
        <v>469</v>
      </c>
      <c r="E187" s="161">
        <v>66.235600527310112</v>
      </c>
      <c r="F187" s="161">
        <v>88.772845134813878</v>
      </c>
      <c r="G187" s="161">
        <v>109.23364583404407</v>
      </c>
      <c r="H187" s="161">
        <v>97.487349552287782</v>
      </c>
      <c r="I187" s="161">
        <v>159.26697597846419</v>
      </c>
      <c r="J187" s="161">
        <v>104.55502996710396</v>
      </c>
      <c r="K187" s="161">
        <v>32.562253924556416</v>
      </c>
      <c r="L187" s="161">
        <v>47.583447530570936</v>
      </c>
      <c r="M187" s="161">
        <v>17.662270730243065</v>
      </c>
      <c r="N187" s="161">
        <v>15.823578282854882</v>
      </c>
      <c r="O187" s="161">
        <v>9.8531365030365379</v>
      </c>
      <c r="P187" s="161">
        <v>1.607103086993348</v>
      </c>
      <c r="Q187" s="161">
        <v>7.3889724946081685</v>
      </c>
      <c r="R187" s="161">
        <v>9.6700608300526625</v>
      </c>
      <c r="S187" s="161">
        <v>15.673809108187768</v>
      </c>
      <c r="T187" s="161">
        <v>8.6248639455396727</v>
      </c>
      <c r="U187" s="161">
        <v>7.3536112828231524</v>
      </c>
      <c r="V187" s="161">
        <v>7.6379510242701372</v>
      </c>
      <c r="W187" s="161">
        <v>19.74927553487791</v>
      </c>
      <c r="X187" s="161">
        <v>4.2147232554806493</v>
      </c>
      <c r="Y187" s="161">
        <v>20.268511952114565</v>
      </c>
      <c r="Z187" s="161">
        <v>22.654022264478343</v>
      </c>
      <c r="AA187" s="162">
        <v>39.541096411872985</v>
      </c>
      <c r="AB187" s="162">
        <v>49.329505841918774</v>
      </c>
    </row>
    <row r="188" spans="1:28">
      <c r="A188" s="160" t="s">
        <v>122</v>
      </c>
      <c r="B188" s="160" t="s">
        <v>123</v>
      </c>
      <c r="C188" s="160" t="s">
        <v>470</v>
      </c>
      <c r="D188" s="160" t="s">
        <v>471</v>
      </c>
      <c r="E188" s="161">
        <v>43.849699806099949</v>
      </c>
      <c r="F188" s="161">
        <v>12.326911616312458</v>
      </c>
      <c r="G188" s="161">
        <v>35.651337453154838</v>
      </c>
      <c r="H188" s="161">
        <v>159.01106572190702</v>
      </c>
      <c r="I188" s="161">
        <v>439.02346835550907</v>
      </c>
      <c r="J188" s="161">
        <v>273.95012954535554</v>
      </c>
      <c r="K188" s="161">
        <v>11.095988724899115</v>
      </c>
      <c r="L188" s="161">
        <v>1.8998185192470345</v>
      </c>
      <c r="M188" s="161">
        <v>9.0192777915419242E-2</v>
      </c>
      <c r="N188" s="161">
        <v>103.22042665482192</v>
      </c>
      <c r="O188" s="161">
        <v>54.759593475793082</v>
      </c>
      <c r="P188" s="161">
        <v>35.173115217586144</v>
      </c>
      <c r="Q188" s="161">
        <v>45.988476796523429</v>
      </c>
      <c r="R188" s="161">
        <v>23.071311438914478</v>
      </c>
      <c r="S188" s="161">
        <v>12.321053910671836</v>
      </c>
      <c r="T188" s="161">
        <v>15.485248790330445</v>
      </c>
      <c r="U188" s="161">
        <v>41.619989152658547</v>
      </c>
      <c r="V188" s="161">
        <v>6.4252012212045599</v>
      </c>
      <c r="W188" s="161">
        <v>15.521143537820123</v>
      </c>
      <c r="X188" s="161">
        <v>6.483624612225384</v>
      </c>
      <c r="Y188" s="161">
        <v>8.162805591730887</v>
      </c>
      <c r="Z188" s="161">
        <v>12.927732467939634</v>
      </c>
      <c r="AA188" s="162">
        <v>11.666739301987519</v>
      </c>
      <c r="AB188" s="162">
        <v>-7.4601939777267035E-2</v>
      </c>
    </row>
    <row r="189" spans="1:28">
      <c r="A189" s="160" t="s">
        <v>122</v>
      </c>
      <c r="B189" s="160" t="s">
        <v>123</v>
      </c>
      <c r="C189" s="160" t="s">
        <v>472</v>
      </c>
      <c r="D189" s="160" t="s">
        <v>473</v>
      </c>
      <c r="E189" s="161">
        <v>30.384909438233734</v>
      </c>
      <c r="F189" s="161">
        <v>8.7777527296663465</v>
      </c>
      <c r="G189" s="161">
        <v>11.188247536204912</v>
      </c>
      <c r="H189" s="161">
        <v>17.389760576382955</v>
      </c>
      <c r="I189" s="161">
        <v>10.970427457013173</v>
      </c>
      <c r="J189" s="161">
        <v>16.649380957856991</v>
      </c>
      <c r="K189" s="161">
        <v>7.6823638851547713</v>
      </c>
      <c r="L189" s="161">
        <v>11.344842610721969</v>
      </c>
      <c r="M189" s="161">
        <v>7.4052770558233902</v>
      </c>
      <c r="N189" s="161">
        <v>5.3700594012561282</v>
      </c>
      <c r="O189" s="161">
        <v>9.9388799593943133</v>
      </c>
      <c r="P189" s="161">
        <v>8.5440376744968347</v>
      </c>
      <c r="Q189" s="161">
        <v>9.1444184950321841</v>
      </c>
      <c r="R189" s="161">
        <v>6.3057454869208271</v>
      </c>
      <c r="S189" s="161">
        <v>8.3388254957485373</v>
      </c>
      <c r="T189" s="161">
        <v>2.5679370013611305</v>
      </c>
      <c r="U189" s="161">
        <v>17.591547278269431</v>
      </c>
      <c r="V189" s="161">
        <v>4.1328323339641599</v>
      </c>
      <c r="W189" s="161">
        <v>13.279382713159762</v>
      </c>
      <c r="X189" s="161">
        <v>5.4790505913646825</v>
      </c>
      <c r="Y189" s="161">
        <v>4.961041573588659</v>
      </c>
      <c r="Z189" s="161">
        <v>6.362366733323995</v>
      </c>
      <c r="AA189" s="162">
        <v>8.3623083817135182</v>
      </c>
      <c r="AB189" s="162">
        <v>7.1710191559083825</v>
      </c>
    </row>
    <row r="190" spans="1:28">
      <c r="A190" s="160" t="s">
        <v>122</v>
      </c>
      <c r="B190" s="160" t="s">
        <v>123</v>
      </c>
      <c r="C190" s="160" t="s">
        <v>474</v>
      </c>
      <c r="D190" s="160" t="s">
        <v>475</v>
      </c>
      <c r="E190" s="161">
        <v>9.4738206880742268</v>
      </c>
      <c r="F190" s="161">
        <v>8.2467889046251344</v>
      </c>
      <c r="G190" s="161">
        <v>1.0153411981815026</v>
      </c>
      <c r="H190" s="161">
        <v>2.2122711160820359</v>
      </c>
      <c r="I190" s="161">
        <v>2.6256900627891184</v>
      </c>
      <c r="J190" s="161">
        <v>3.7184169054993248</v>
      </c>
      <c r="K190" s="161">
        <v>0.82478489799025567</v>
      </c>
      <c r="L190" s="161">
        <v>1.515720148958863</v>
      </c>
      <c r="M190" s="161">
        <v>0.5339290763679827</v>
      </c>
      <c r="N190" s="161">
        <v>0.89809775159004346</v>
      </c>
      <c r="O190" s="161">
        <v>1.4245606086940938</v>
      </c>
      <c r="P190" s="161">
        <v>2.3702695661147715</v>
      </c>
      <c r="Q190" s="161">
        <v>1.5327771553663752</v>
      </c>
      <c r="R190" s="161">
        <v>1.7659449617413401</v>
      </c>
      <c r="S190" s="161">
        <v>0.31358971607538422</v>
      </c>
      <c r="T190" s="161">
        <v>0.88562122574697355</v>
      </c>
      <c r="U190" s="161">
        <v>1.9422652144108525</v>
      </c>
      <c r="V190" s="161">
        <v>2.7596598072019418</v>
      </c>
      <c r="W190" s="161">
        <v>3.1375101506678789</v>
      </c>
      <c r="X190" s="161">
        <v>2.0562144343733451</v>
      </c>
      <c r="Y190" s="161">
        <v>0.84906298745268316</v>
      </c>
      <c r="Z190" s="161">
        <v>1.3138459986329849</v>
      </c>
      <c r="AA190" s="162">
        <v>1.0493037222620671</v>
      </c>
      <c r="AB190" s="162">
        <v>0.84411432183533464</v>
      </c>
    </row>
    <row r="191" spans="1:28">
      <c r="A191" s="160" t="s">
        <v>122</v>
      </c>
      <c r="B191" s="160" t="s">
        <v>123</v>
      </c>
      <c r="C191" s="160" t="s">
        <v>476</v>
      </c>
      <c r="D191" s="160" t="s">
        <v>477</v>
      </c>
      <c r="E191" s="161">
        <v>4.6036212660981448</v>
      </c>
      <c r="F191" s="161">
        <v>5.4091048346493835</v>
      </c>
      <c r="G191" s="161">
        <v>2.1246350115843313</v>
      </c>
      <c r="H191" s="161">
        <v>2.3220240220896073</v>
      </c>
      <c r="I191" s="161">
        <v>1.1843870944721573</v>
      </c>
      <c r="J191" s="161">
        <v>0.73775772161108932</v>
      </c>
      <c r="K191" s="161">
        <v>0.18641869895550656</v>
      </c>
      <c r="L191" s="161">
        <v>0.40628225260748252</v>
      </c>
      <c r="M191" s="161">
        <v>-0.39284122758363083</v>
      </c>
      <c r="N191" s="161">
        <v>0.22528339358549943</v>
      </c>
      <c r="O191" s="161">
        <v>1.5012169616084492</v>
      </c>
      <c r="P191" s="161">
        <v>1.2477972810709446</v>
      </c>
      <c r="Q191" s="161">
        <v>0.61264792478242214</v>
      </c>
      <c r="R191" s="161">
        <v>0.82623738600045726</v>
      </c>
      <c r="S191" s="161">
        <v>0.83790223115003926</v>
      </c>
      <c r="T191" s="161">
        <v>0.25095172583759506</v>
      </c>
      <c r="U191" s="161">
        <v>2.2078968183828209</v>
      </c>
      <c r="V191" s="161">
        <v>2.5071397233717079</v>
      </c>
      <c r="W191" s="161">
        <v>2.7778333313572574</v>
      </c>
      <c r="X191" s="161">
        <v>-0.44579995206520096</v>
      </c>
      <c r="Y191" s="161">
        <v>0.33659802708744735</v>
      </c>
      <c r="Z191" s="161">
        <v>0.3748430809212806</v>
      </c>
      <c r="AA191" s="162">
        <v>0.10331082514201739</v>
      </c>
      <c r="AB191" s="162">
        <v>-3.7695814782196635E-2</v>
      </c>
    </row>
    <row r="192" spans="1:28">
      <c r="A192" s="160" t="s">
        <v>122</v>
      </c>
      <c r="B192" s="160" t="s">
        <v>123</v>
      </c>
      <c r="C192" s="160" t="s">
        <v>478</v>
      </c>
      <c r="D192" s="160" t="s">
        <v>479</v>
      </c>
      <c r="E192" s="161">
        <v>19.334870157115986</v>
      </c>
      <c r="F192" s="161">
        <v>7.6105170343653867</v>
      </c>
      <c r="G192" s="161">
        <v>5.1189858186402262</v>
      </c>
      <c r="H192" s="161">
        <v>5.8530815469422208</v>
      </c>
      <c r="I192" s="161">
        <v>13.623472319972365</v>
      </c>
      <c r="J192" s="161">
        <v>6.6840413277191431</v>
      </c>
      <c r="K192" s="161">
        <v>15.89656665457133</v>
      </c>
      <c r="L192" s="161">
        <v>6.011240628375532</v>
      </c>
      <c r="M192" s="161">
        <v>-0.29940104215233987</v>
      </c>
      <c r="N192" s="161">
        <v>7.4424275243679716</v>
      </c>
      <c r="O192" s="161">
        <v>9.7009859698300289</v>
      </c>
      <c r="P192" s="161">
        <v>4.5635715337418219</v>
      </c>
      <c r="Q192" s="161">
        <v>-1.3051787227628324</v>
      </c>
      <c r="R192" s="161">
        <v>0.5974535155998808</v>
      </c>
      <c r="S192" s="161">
        <v>10.329338444154018</v>
      </c>
      <c r="T192" s="161">
        <v>11.966431609984738</v>
      </c>
      <c r="U192" s="161">
        <v>7.7897473567258402</v>
      </c>
      <c r="V192" s="161">
        <v>11.967172478148669</v>
      </c>
      <c r="W192" s="161" t="s">
        <v>125</v>
      </c>
      <c r="X192" s="161" t="s">
        <v>125</v>
      </c>
      <c r="Y192" s="161" t="s">
        <v>125</v>
      </c>
      <c r="Z192" s="161" t="s">
        <v>125</v>
      </c>
      <c r="AA192" s="162" t="s">
        <v>125</v>
      </c>
      <c r="AB192" s="162" t="s">
        <v>125</v>
      </c>
    </row>
    <row r="193" spans="1:28">
      <c r="A193" s="160" t="s">
        <v>122</v>
      </c>
      <c r="B193" s="160" t="s">
        <v>123</v>
      </c>
      <c r="C193" s="160" t="s">
        <v>480</v>
      </c>
      <c r="D193" s="160" t="s">
        <v>481</v>
      </c>
      <c r="E193" s="161">
        <v>6.222177512091946</v>
      </c>
      <c r="F193" s="161">
        <v>99.698482519516745</v>
      </c>
      <c r="G193" s="161">
        <v>573.79521874079535</v>
      </c>
      <c r="H193" s="161">
        <v>1207.2112362541898</v>
      </c>
      <c r="I193" s="161">
        <v>221.04763737486934</v>
      </c>
      <c r="J193" s="161">
        <v>346.00039687735728</v>
      </c>
      <c r="K193" s="161">
        <v>430.55279031470297</v>
      </c>
      <c r="L193" s="161">
        <v>65.230664989360889</v>
      </c>
      <c r="M193" s="161">
        <v>87.827647074108967</v>
      </c>
      <c r="N193" s="161">
        <v>26.50724278810857</v>
      </c>
      <c r="O193" s="161">
        <v>22.667855863544446</v>
      </c>
      <c r="P193" s="161">
        <v>30.208170324185858</v>
      </c>
      <c r="Q193" s="161">
        <v>18.818464536372034</v>
      </c>
      <c r="R193" s="161">
        <v>26.991106986844684</v>
      </c>
      <c r="S193" s="161">
        <v>17.518523420617484</v>
      </c>
      <c r="T193" s="161">
        <v>9.5157265632326045</v>
      </c>
      <c r="U193" s="161">
        <v>21.063515316235765</v>
      </c>
      <c r="V193" s="161">
        <v>27.237012473081052</v>
      </c>
      <c r="W193" s="161">
        <v>28.163759838486783</v>
      </c>
      <c r="X193" s="161">
        <v>12.234249476933215</v>
      </c>
      <c r="Y193" s="161">
        <v>12.461666769651188</v>
      </c>
      <c r="Z193" s="161">
        <v>13.324356201954714</v>
      </c>
      <c r="AA193" s="162">
        <v>11.868515030231038</v>
      </c>
      <c r="AB193" s="162">
        <v>4.3469791606820536</v>
      </c>
    </row>
    <row r="194" spans="1:28">
      <c r="A194" s="160" t="s">
        <v>122</v>
      </c>
      <c r="B194" s="160" t="s">
        <v>123</v>
      </c>
      <c r="C194" s="160" t="s">
        <v>482</v>
      </c>
      <c r="D194" s="160" t="s">
        <v>483</v>
      </c>
      <c r="E194" s="161">
        <v>22.449185682932566</v>
      </c>
      <c r="F194" s="161">
        <v>28.112604363058296</v>
      </c>
      <c r="G194" s="161">
        <v>25.375481117545903</v>
      </c>
      <c r="H194" s="161">
        <v>24.461986330023905</v>
      </c>
      <c r="I194" s="161">
        <v>31.169954273954517</v>
      </c>
      <c r="J194" s="161">
        <v>26.861951354104391</v>
      </c>
      <c r="K194" s="161">
        <v>19.313655842318013</v>
      </c>
      <c r="L194" s="161">
        <v>20.587232146863116</v>
      </c>
      <c r="M194" s="161">
        <v>27.339312119781894</v>
      </c>
      <c r="N194" s="161">
        <v>10.909385425856357</v>
      </c>
      <c r="O194" s="161">
        <v>7.5720646445445254</v>
      </c>
      <c r="P194" s="161">
        <v>5.3055457088922964</v>
      </c>
      <c r="Q194" s="161">
        <v>7.0992353809821225</v>
      </c>
      <c r="R194" s="161">
        <v>8.4498800359500592</v>
      </c>
      <c r="S194" s="161">
        <v>7.0223237968405385</v>
      </c>
      <c r="T194" s="161">
        <v>6.4262025230791977</v>
      </c>
      <c r="U194" s="161">
        <v>5.2833435835800486</v>
      </c>
      <c r="V194" s="161">
        <v>8.9716003103201416</v>
      </c>
      <c r="W194" s="161">
        <v>10.109976740422752</v>
      </c>
      <c r="X194" s="161">
        <v>7.3784911657241707</v>
      </c>
      <c r="Y194" s="161">
        <v>6.9331692124163311</v>
      </c>
      <c r="Z194" s="161">
        <v>9.183560363645114</v>
      </c>
      <c r="AA194" s="162">
        <v>11.417793413772628</v>
      </c>
      <c r="AB194" s="162">
        <v>11.173512840496613</v>
      </c>
    </row>
    <row r="195" spans="1:28">
      <c r="A195" s="160" t="s">
        <v>122</v>
      </c>
      <c r="B195" s="160" t="s">
        <v>123</v>
      </c>
      <c r="C195" s="160" t="s">
        <v>484</v>
      </c>
      <c r="D195" s="160" t="s">
        <v>485</v>
      </c>
      <c r="E195" s="161">
        <v>5.7731868274409948</v>
      </c>
      <c r="F195" s="161">
        <v>5.746523518062773</v>
      </c>
      <c r="G195" s="161">
        <v>4.4904491139621854</v>
      </c>
      <c r="H195" s="161">
        <v>3.2869455578878615</v>
      </c>
      <c r="I195" s="161">
        <v>5.2078534640656926</v>
      </c>
      <c r="J195" s="161">
        <v>5.5897425314026776</v>
      </c>
      <c r="K195" s="161">
        <v>4.0102887717609974</v>
      </c>
      <c r="L195" s="161">
        <v>4.0635796048678685</v>
      </c>
      <c r="M195" s="161">
        <v>9.2376148497141202</v>
      </c>
      <c r="N195" s="161">
        <v>-4.0382190114130196</v>
      </c>
      <c r="O195" s="161">
        <v>1.3461606148449761</v>
      </c>
      <c r="P195" s="161">
        <v>2.0694715964116881</v>
      </c>
      <c r="Q195" s="161">
        <v>0.81685768042451912</v>
      </c>
      <c r="R195" s="161">
        <v>1.3279770126683417</v>
      </c>
      <c r="S195" s="161">
        <v>3.1258845135867261</v>
      </c>
      <c r="T195" s="161">
        <v>4.4870779009692114</v>
      </c>
      <c r="U195" s="161">
        <v>5.2428963340532846</v>
      </c>
      <c r="V195" s="161">
        <v>3.452810673332678</v>
      </c>
      <c r="W195" s="161">
        <v>3.9313030640710735</v>
      </c>
      <c r="X195" s="161">
        <v>1.9466451716869386</v>
      </c>
      <c r="Y195" s="161">
        <v>3.6631921686217908</v>
      </c>
      <c r="Z195" s="161">
        <v>4.2276275510102295</v>
      </c>
      <c r="AA195" s="162">
        <v>0.23866740010633691</v>
      </c>
      <c r="AB195" s="162">
        <v>2.7852831132159253</v>
      </c>
    </row>
    <row r="196" spans="1:28">
      <c r="A196" s="160" t="s">
        <v>122</v>
      </c>
      <c r="B196" s="160" t="s">
        <v>123</v>
      </c>
      <c r="C196" s="160" t="s">
        <v>486</v>
      </c>
      <c r="D196" s="160" t="s">
        <v>487</v>
      </c>
      <c r="E196" s="161" t="s">
        <v>125</v>
      </c>
      <c r="F196" s="161" t="s">
        <v>125</v>
      </c>
      <c r="G196" s="161" t="s">
        <v>125</v>
      </c>
      <c r="H196" s="161" t="s">
        <v>125</v>
      </c>
      <c r="I196" s="161" t="s">
        <v>125</v>
      </c>
      <c r="J196" s="161" t="s">
        <v>125</v>
      </c>
      <c r="K196" s="161" t="s">
        <v>125</v>
      </c>
      <c r="L196" s="161" t="s">
        <v>125</v>
      </c>
      <c r="M196" s="161" t="s">
        <v>125</v>
      </c>
      <c r="N196" s="161" t="s">
        <v>125</v>
      </c>
      <c r="O196" s="161" t="s">
        <v>125</v>
      </c>
      <c r="P196" s="161">
        <v>5.4940306331344715</v>
      </c>
      <c r="Q196" s="161">
        <v>6.4288460850057305</v>
      </c>
      <c r="R196" s="161">
        <v>4.5715476696733646</v>
      </c>
      <c r="S196" s="161">
        <v>3.9523595733708561</v>
      </c>
      <c r="T196" s="161">
        <v>-1.2764638267496764</v>
      </c>
      <c r="U196" s="161">
        <v>-0.27657962839946038</v>
      </c>
      <c r="V196" s="161">
        <v>8.2043275419824369</v>
      </c>
      <c r="W196" s="161">
        <v>8.3282239545449528</v>
      </c>
      <c r="X196" s="161">
        <v>5.666088318638927</v>
      </c>
      <c r="Y196" s="161">
        <v>3.2176121930567376</v>
      </c>
      <c r="Z196" s="161">
        <v>7.7959300659214819</v>
      </c>
      <c r="AA196" s="162">
        <v>10.846982888992969</v>
      </c>
      <c r="AB196" s="162">
        <v>10.24421663466228</v>
      </c>
    </row>
    <row r="197" spans="1:28">
      <c r="A197" s="160" t="s">
        <v>122</v>
      </c>
      <c r="B197" s="160" t="s">
        <v>123</v>
      </c>
      <c r="C197" s="160" t="s">
        <v>488</v>
      </c>
      <c r="D197" s="160" t="s">
        <v>489</v>
      </c>
      <c r="E197" s="161">
        <v>2.9759444596309805</v>
      </c>
      <c r="F197" s="161">
        <v>2.6710928072847082</v>
      </c>
      <c r="G197" s="161">
        <v>3.2454346236337983</v>
      </c>
      <c r="H197" s="161">
        <v>-8.1967735231872751</v>
      </c>
      <c r="I197" s="161">
        <v>35.842381363210251</v>
      </c>
      <c r="J197" s="161">
        <v>11.084210370895306</v>
      </c>
      <c r="K197" s="161">
        <v>5.3879278074891346</v>
      </c>
      <c r="L197" s="161">
        <v>2.0360345395718156</v>
      </c>
      <c r="M197" s="161">
        <v>9.5566324609131357</v>
      </c>
      <c r="N197" s="161">
        <v>1.1151272166784594</v>
      </c>
      <c r="O197" s="161">
        <v>-4.2918312513331358</v>
      </c>
      <c r="P197" s="161">
        <v>7.7401821092758496</v>
      </c>
      <c r="Q197" s="161">
        <v>6.2169231022874101</v>
      </c>
      <c r="R197" s="161">
        <v>-9.8238331735353626</v>
      </c>
      <c r="S197" s="161">
        <v>3.0164694197573994</v>
      </c>
      <c r="T197" s="161">
        <v>7.7525034934621004</v>
      </c>
      <c r="U197" s="161">
        <v>-0.7805282653676926</v>
      </c>
      <c r="V197" s="161">
        <v>2.6483076899000935</v>
      </c>
      <c r="W197" s="161">
        <v>14.580892179640273</v>
      </c>
      <c r="X197" s="161">
        <v>1.8552746109315308</v>
      </c>
      <c r="Y197" s="161">
        <v>1.1772455521642513</v>
      </c>
      <c r="Z197" s="161">
        <v>7.5295880683204075</v>
      </c>
      <c r="AA197" s="162">
        <v>6.4982495058835639</v>
      </c>
      <c r="AB197" s="162">
        <v>1.9992747595478022</v>
      </c>
    </row>
    <row r="198" spans="1:28">
      <c r="A198" s="160" t="s">
        <v>122</v>
      </c>
      <c r="B198" s="160" t="s">
        <v>123</v>
      </c>
      <c r="C198" s="160" t="s">
        <v>490</v>
      </c>
      <c r="D198" s="160" t="s">
        <v>491</v>
      </c>
      <c r="E198" s="161">
        <v>12.247748200344049</v>
      </c>
      <c r="F198" s="161">
        <v>9.461307441245296</v>
      </c>
      <c r="G198" s="161">
        <v>7.4474954866119845</v>
      </c>
      <c r="H198" s="161">
        <v>6.5788716204835396E-2</v>
      </c>
      <c r="I198" s="161">
        <v>27.172308078798537</v>
      </c>
      <c r="J198" s="161">
        <v>-2.9782422896515612</v>
      </c>
      <c r="K198" s="161">
        <v>5.0736223069459641</v>
      </c>
      <c r="L198" s="161">
        <v>-0.77403794978296503</v>
      </c>
      <c r="M198" s="161">
        <v>2.2426388593449644</v>
      </c>
      <c r="N198" s="161">
        <v>6.4446056267285314</v>
      </c>
      <c r="O198" s="161">
        <v>3.0789991369408511</v>
      </c>
      <c r="P198" s="161">
        <v>3.2276087081712461</v>
      </c>
      <c r="Q198" s="161">
        <v>8.7886905212919686</v>
      </c>
      <c r="R198" s="161">
        <v>9.3326067690590975</v>
      </c>
      <c r="S198" s="161">
        <v>5.463735488789041</v>
      </c>
      <c r="T198" s="161">
        <v>5.5981458672579691</v>
      </c>
      <c r="U198" s="161">
        <v>17.744435820487993</v>
      </c>
      <c r="V198" s="161">
        <v>5.7715468386772386</v>
      </c>
      <c r="W198" s="161">
        <v>8.3674095828382633</v>
      </c>
      <c r="X198" s="161">
        <v>-2.3925897743124267</v>
      </c>
      <c r="Y198" s="161">
        <v>3.7471739885316566</v>
      </c>
      <c r="Z198" s="161">
        <v>5.7765290884758116</v>
      </c>
      <c r="AA198" s="162">
        <v>2.2600698116815181</v>
      </c>
      <c r="AB198" s="162">
        <v>0.63868003602355827</v>
      </c>
    </row>
    <row r="199" spans="1:28">
      <c r="A199" s="160" t="s">
        <v>122</v>
      </c>
      <c r="B199" s="160" t="s">
        <v>123</v>
      </c>
      <c r="C199" s="160" t="s">
        <v>492</v>
      </c>
      <c r="D199" s="160" t="s">
        <v>493</v>
      </c>
      <c r="E199" s="161">
        <v>15.492411794123839</v>
      </c>
      <c r="F199" s="161">
        <v>3.0522065753856538</v>
      </c>
      <c r="G199" s="161">
        <v>4.8844823836204938</v>
      </c>
      <c r="H199" s="161">
        <v>5.8784082860289004</v>
      </c>
      <c r="I199" s="161">
        <v>15.369656561482429</v>
      </c>
      <c r="J199" s="161">
        <v>4.0240781920204256</v>
      </c>
      <c r="K199" s="161">
        <v>4.9730346599620816</v>
      </c>
      <c r="L199" s="161">
        <v>0.98169599328690538</v>
      </c>
      <c r="M199" s="161">
        <v>-1.5325736378892714</v>
      </c>
      <c r="N199" s="161">
        <v>7.9360542064949442</v>
      </c>
      <c r="O199" s="161">
        <v>12.853069278639367</v>
      </c>
      <c r="P199" s="161">
        <v>2.8671860685754069</v>
      </c>
      <c r="Q199" s="161">
        <v>-5.2600349042927377</v>
      </c>
      <c r="R199" s="161">
        <v>9.8065535976246565</v>
      </c>
      <c r="S199" s="161">
        <v>6.3437624955735146</v>
      </c>
      <c r="T199" s="161">
        <v>17.290957672657044</v>
      </c>
      <c r="U199" s="161">
        <v>1.250219730055278</v>
      </c>
      <c r="V199" s="161">
        <v>12.752611428889196</v>
      </c>
      <c r="W199" s="161">
        <v>23.790981653457905</v>
      </c>
      <c r="X199" s="161">
        <v>-27.631769003369982</v>
      </c>
      <c r="Y199" s="161">
        <v>7.9520846338959785</v>
      </c>
      <c r="Z199" s="161">
        <v>16.879214505651817</v>
      </c>
      <c r="AA199" s="162">
        <v>-2.5172540594055164</v>
      </c>
      <c r="AB199" s="162">
        <v>3.7581149774521521</v>
      </c>
    </row>
    <row r="200" spans="1:28">
      <c r="A200" s="160" t="s">
        <v>122</v>
      </c>
      <c r="B200" s="160" t="s">
        <v>123</v>
      </c>
      <c r="C200" s="160" t="s">
        <v>494</v>
      </c>
      <c r="D200" s="160" t="s">
        <v>495</v>
      </c>
      <c r="E200" s="161">
        <v>4.4765042767305232</v>
      </c>
      <c r="F200" s="161">
        <v>7.0368021062429165</v>
      </c>
      <c r="G200" s="161">
        <v>5.6915449128888298</v>
      </c>
      <c r="H200" s="161">
        <v>4.6913430029802612</v>
      </c>
      <c r="I200" s="161">
        <v>4.5260579554062303</v>
      </c>
      <c r="J200" s="161">
        <v>5.3510950841626652</v>
      </c>
      <c r="K200" s="161">
        <v>4.356595725665386</v>
      </c>
      <c r="L200" s="161">
        <v>14.125336619980231</v>
      </c>
      <c r="M200" s="161">
        <v>3.2716758973329689</v>
      </c>
      <c r="N200" s="161">
        <v>3.3614189379502619</v>
      </c>
      <c r="O200" s="161">
        <v>3.2833396988050794</v>
      </c>
      <c r="P200" s="161">
        <v>3.5066368916990314</v>
      </c>
      <c r="Q200" s="161">
        <v>1.8884134779274149</v>
      </c>
      <c r="R200" s="161">
        <v>2.024542627500054</v>
      </c>
      <c r="S200" s="161">
        <v>3.9584533366714254</v>
      </c>
      <c r="T200" s="161">
        <v>3.8417965632128812</v>
      </c>
      <c r="U200" s="161">
        <v>3.4338156281165766</v>
      </c>
      <c r="V200" s="161">
        <v>2.5758899821329777</v>
      </c>
      <c r="W200" s="161">
        <v>5.8358489515475611</v>
      </c>
      <c r="X200" s="161">
        <v>2.473024928172336</v>
      </c>
      <c r="Y200" s="161">
        <v>3.7252427818237095</v>
      </c>
      <c r="Z200" s="161">
        <v>2.8274003640672163</v>
      </c>
      <c r="AA200" s="162">
        <v>4.933589946488425</v>
      </c>
      <c r="AB200" s="162">
        <v>5.4065510863017892</v>
      </c>
    </row>
    <row r="201" spans="1:28">
      <c r="A201" s="160" t="s">
        <v>122</v>
      </c>
      <c r="B201" s="160" t="s">
        <v>123</v>
      </c>
      <c r="C201" s="160" t="s">
        <v>496</v>
      </c>
      <c r="D201" s="160" t="s">
        <v>497</v>
      </c>
      <c r="E201" s="161">
        <v>58.244398109443779</v>
      </c>
      <c r="F201" s="161">
        <v>59.164106872493704</v>
      </c>
      <c r="G201" s="161">
        <v>65.199438280317366</v>
      </c>
      <c r="H201" s="161">
        <v>68.379428375261909</v>
      </c>
      <c r="I201" s="161">
        <v>104.74913720457724</v>
      </c>
      <c r="J201" s="161">
        <v>86.007542441307407</v>
      </c>
      <c r="K201" s="161">
        <v>77.223512213108336</v>
      </c>
      <c r="L201" s="161">
        <v>81.454862576243784</v>
      </c>
      <c r="M201" s="161">
        <v>137.96485623162741</v>
      </c>
      <c r="N201" s="161">
        <v>54.179005066720094</v>
      </c>
      <c r="O201" s="161">
        <v>49.225874053343546</v>
      </c>
      <c r="P201" s="161">
        <v>52.8505508181332</v>
      </c>
      <c r="Q201" s="161">
        <v>37.424837735121855</v>
      </c>
      <c r="R201" s="161">
        <v>23.270314206010312</v>
      </c>
      <c r="S201" s="161">
        <v>12.399874782453054</v>
      </c>
      <c r="T201" s="161">
        <v>7.084291687680917</v>
      </c>
      <c r="U201" s="161">
        <v>9.3308679145367677</v>
      </c>
      <c r="V201" s="161">
        <v>6.2209316962892558</v>
      </c>
      <c r="W201" s="161">
        <v>11.994416686746703</v>
      </c>
      <c r="X201" s="161">
        <v>5.2943409141835645</v>
      </c>
      <c r="Y201" s="161">
        <v>5.6757397210572549</v>
      </c>
      <c r="Z201" s="161">
        <v>8.5775989382431419</v>
      </c>
      <c r="AA201" s="162">
        <v>6.902245153432915</v>
      </c>
      <c r="AB201" s="162">
        <v>5.9243750518333371</v>
      </c>
    </row>
    <row r="202" spans="1:28">
      <c r="A202" s="160" t="s">
        <v>122</v>
      </c>
      <c r="B202" s="160" t="s">
        <v>123</v>
      </c>
      <c r="C202" s="160" t="s">
        <v>498</v>
      </c>
      <c r="D202" s="160" t="s">
        <v>499</v>
      </c>
      <c r="E202" s="161">
        <v>-20.934665212874307</v>
      </c>
      <c r="F202" s="161">
        <v>102.75862068755669</v>
      </c>
      <c r="G202" s="161">
        <v>3099.999999976978</v>
      </c>
      <c r="H202" s="161">
        <v>1133.9901478437764</v>
      </c>
      <c r="I202" s="161">
        <v>952.30714678849517</v>
      </c>
      <c r="J202" s="161">
        <v>705.71848585808323</v>
      </c>
      <c r="K202" s="161">
        <v>1014.2559747150704</v>
      </c>
      <c r="L202" s="161">
        <v>61.747088570025056</v>
      </c>
      <c r="M202" s="161">
        <v>17.62950860009505</v>
      </c>
      <c r="N202" s="161">
        <v>23.011437519350309</v>
      </c>
      <c r="O202" s="161">
        <v>23.45839221816108</v>
      </c>
      <c r="P202" s="161">
        <v>32.31486297551541</v>
      </c>
      <c r="Q202" s="161">
        <v>25.153099616378015</v>
      </c>
      <c r="R202" s="161">
        <v>27.154329851901025</v>
      </c>
      <c r="S202" s="161">
        <v>18.347763979571852</v>
      </c>
      <c r="T202" s="161">
        <v>7.0267910233575037</v>
      </c>
      <c r="U202" s="161">
        <v>12.260049791936709</v>
      </c>
      <c r="V202" s="161">
        <v>9.259522974785142</v>
      </c>
      <c r="W202" s="161">
        <v>59.746149309956337</v>
      </c>
      <c r="X202" s="161">
        <v>9.7574434588782992</v>
      </c>
      <c r="Y202" s="161">
        <v>0.33707311809475016</v>
      </c>
      <c r="Z202" s="161">
        <v>15.075137386368368</v>
      </c>
      <c r="AA202" s="162">
        <v>8.268292032455733</v>
      </c>
      <c r="AB202" s="162">
        <v>8.0005240474499715</v>
      </c>
    </row>
    <row r="203" spans="1:28">
      <c r="A203" s="160" t="s">
        <v>122</v>
      </c>
      <c r="B203" s="160" t="s">
        <v>123</v>
      </c>
      <c r="C203" s="160" t="s">
        <v>500</v>
      </c>
      <c r="D203" s="160" t="s">
        <v>501</v>
      </c>
      <c r="E203" s="161" t="s">
        <v>125</v>
      </c>
      <c r="F203" s="161" t="s">
        <v>125</v>
      </c>
      <c r="G203" s="161" t="s">
        <v>125</v>
      </c>
      <c r="H203" s="161" t="s">
        <v>125</v>
      </c>
      <c r="I203" s="161" t="s">
        <v>125</v>
      </c>
      <c r="J203" s="161" t="s">
        <v>125</v>
      </c>
      <c r="K203" s="161" t="s">
        <v>125</v>
      </c>
      <c r="L203" s="161" t="s">
        <v>125</v>
      </c>
      <c r="M203" s="161" t="s">
        <v>125</v>
      </c>
      <c r="N203" s="161" t="s">
        <v>125</v>
      </c>
      <c r="O203" s="161" t="s">
        <v>125</v>
      </c>
      <c r="P203" s="161" t="s">
        <v>125</v>
      </c>
      <c r="Q203" s="161" t="s">
        <v>125</v>
      </c>
      <c r="R203" s="161" t="s">
        <v>125</v>
      </c>
      <c r="S203" s="161" t="s">
        <v>125</v>
      </c>
      <c r="T203" s="161" t="s">
        <v>125</v>
      </c>
      <c r="U203" s="161" t="s">
        <v>125</v>
      </c>
      <c r="V203" s="161" t="s">
        <v>125</v>
      </c>
      <c r="W203" s="161" t="s">
        <v>125</v>
      </c>
      <c r="X203" s="161" t="s">
        <v>125</v>
      </c>
      <c r="Y203" s="161" t="s">
        <v>125</v>
      </c>
      <c r="Z203" s="161" t="s">
        <v>125</v>
      </c>
      <c r="AA203" s="162" t="s">
        <v>125</v>
      </c>
      <c r="AB203" s="162" t="s">
        <v>125</v>
      </c>
    </row>
    <row r="204" spans="1:28">
      <c r="A204" s="160" t="s">
        <v>122</v>
      </c>
      <c r="B204" s="160" t="s">
        <v>123</v>
      </c>
      <c r="C204" s="160" t="s">
        <v>502</v>
      </c>
      <c r="D204" s="160" t="s">
        <v>503</v>
      </c>
      <c r="E204" s="161" t="s">
        <v>125</v>
      </c>
      <c r="F204" s="161">
        <v>2.64635657079711</v>
      </c>
      <c r="G204" s="161">
        <v>7.3449543258040393</v>
      </c>
      <c r="H204" s="161">
        <v>2.5462614896990914</v>
      </c>
      <c r="I204" s="161">
        <v>-4.6636698025924375</v>
      </c>
      <c r="J204" s="161">
        <v>5.147829672842235</v>
      </c>
      <c r="K204" s="161">
        <v>12.692845196328292</v>
      </c>
      <c r="L204" s="161">
        <v>-1.3048885422199135</v>
      </c>
      <c r="M204" s="161">
        <v>2.7403705907150311</v>
      </c>
      <c r="N204" s="161">
        <v>6.1212117803376458</v>
      </c>
      <c r="O204" s="161">
        <v>12.826283453588957</v>
      </c>
      <c r="P204" s="161">
        <v>5.9135189765854079</v>
      </c>
      <c r="Q204" s="161">
        <v>3.3162946249443621</v>
      </c>
      <c r="R204" s="161">
        <v>2.2530144444012308</v>
      </c>
      <c r="S204" s="161">
        <v>5.5999361615950249</v>
      </c>
      <c r="T204" s="161">
        <v>1.4973461263793553</v>
      </c>
      <c r="U204" s="161">
        <v>4.1252995549469347</v>
      </c>
      <c r="V204" s="161">
        <v>-0.13146484098569999</v>
      </c>
      <c r="W204" s="161">
        <v>3.5234655184747794</v>
      </c>
      <c r="X204" s="161">
        <v>0.68902627349139323</v>
      </c>
      <c r="Y204" s="161">
        <v>2.6432968580933931</v>
      </c>
      <c r="Z204" s="161">
        <v>1.2921743172518774</v>
      </c>
      <c r="AA204" s="162">
        <v>0.87090937182495054</v>
      </c>
      <c r="AB204" s="162">
        <v>1.449489763001651</v>
      </c>
    </row>
    <row r="205" spans="1:28">
      <c r="A205" s="160" t="s">
        <v>122</v>
      </c>
      <c r="B205" s="160" t="s">
        <v>123</v>
      </c>
      <c r="C205" s="160" t="s">
        <v>85</v>
      </c>
      <c r="D205" s="160" t="s">
        <v>504</v>
      </c>
      <c r="E205" s="161">
        <v>44.380089673681908</v>
      </c>
      <c r="F205" s="161">
        <v>26.019336700183842</v>
      </c>
      <c r="G205" s="161">
        <v>45.068029094752603</v>
      </c>
      <c r="H205" s="161">
        <v>30.13687144649947</v>
      </c>
      <c r="I205" s="161">
        <v>6.8484975506493129</v>
      </c>
      <c r="J205" s="161">
        <v>9.376437638925907</v>
      </c>
      <c r="K205" s="161">
        <v>4.5724812797224246</v>
      </c>
      <c r="L205" s="161">
        <v>3.095268520049018</v>
      </c>
      <c r="M205" s="161">
        <v>8.7857068528021358</v>
      </c>
      <c r="N205" s="161">
        <v>-0.1131305499233406</v>
      </c>
      <c r="O205" s="161">
        <v>11.11730588342779</v>
      </c>
      <c r="P205" s="161">
        <v>4.5344758108579981</v>
      </c>
      <c r="Q205" s="161">
        <v>-3.1695563422002948</v>
      </c>
      <c r="R205" s="161">
        <v>7.8067408742305702</v>
      </c>
      <c r="S205" s="161">
        <v>15.587549985551092</v>
      </c>
      <c r="T205" s="161">
        <v>-1.7411852939700765</v>
      </c>
      <c r="U205" s="161">
        <v>2.405620217653464</v>
      </c>
      <c r="V205" s="161">
        <v>7.3212473183045859</v>
      </c>
      <c r="W205" s="161">
        <v>6.3642765470227403</v>
      </c>
      <c r="X205" s="161">
        <v>14.566570601023798</v>
      </c>
      <c r="Y205" s="161">
        <v>9.5498861638169359</v>
      </c>
      <c r="Z205" s="161">
        <v>5.0141177403104393</v>
      </c>
      <c r="AA205" s="162">
        <v>24.130545623030457</v>
      </c>
      <c r="AB205" s="162">
        <v>4.7003881001802768</v>
      </c>
    </row>
    <row r="206" spans="1:28">
      <c r="A206" s="160" t="s">
        <v>122</v>
      </c>
      <c r="B206" s="160" t="s">
        <v>123</v>
      </c>
      <c r="C206" s="160" t="s">
        <v>505</v>
      </c>
      <c r="D206" s="160" t="s">
        <v>506</v>
      </c>
      <c r="E206" s="161">
        <v>16.34191679814316</v>
      </c>
      <c r="F206" s="161">
        <v>95.618575853415791</v>
      </c>
      <c r="G206" s="161">
        <v>1761.2564801191179</v>
      </c>
      <c r="H206" s="161">
        <v>3334.7983452813382</v>
      </c>
      <c r="I206" s="161">
        <v>953.46118051021176</v>
      </c>
      <c r="J206" s="161">
        <v>415.80987155618914</v>
      </c>
      <c r="K206" s="161">
        <v>66.145662965907718</v>
      </c>
      <c r="L206" s="161">
        <v>18.073795973558475</v>
      </c>
      <c r="M206" s="161">
        <v>12.012018921936303</v>
      </c>
      <c r="N206" s="161">
        <v>27.399924718083795</v>
      </c>
      <c r="O206" s="161">
        <v>23.115942607196246</v>
      </c>
      <c r="P206" s="161">
        <v>9.9471861511020876</v>
      </c>
      <c r="Q206" s="161">
        <v>5.1218418989100059</v>
      </c>
      <c r="R206" s="161">
        <v>8.2206028640180051</v>
      </c>
      <c r="S206" s="161">
        <v>15.155653613950818</v>
      </c>
      <c r="T206" s="161">
        <v>24.552292682731093</v>
      </c>
      <c r="U206" s="161">
        <v>14.878251596048386</v>
      </c>
      <c r="V206" s="161">
        <v>22.752607649009178</v>
      </c>
      <c r="W206" s="161">
        <v>28.583473996090731</v>
      </c>
      <c r="X206" s="161">
        <v>13.07361313138891</v>
      </c>
      <c r="Y206" s="161">
        <v>13.750420836597186</v>
      </c>
      <c r="Z206" s="161">
        <v>14.331528115839816</v>
      </c>
      <c r="AA206" s="162">
        <v>8.1671048903047279</v>
      </c>
      <c r="AB206" s="162">
        <v>1.1972977382056911</v>
      </c>
    </row>
    <row r="207" spans="1:28">
      <c r="A207" s="160" t="s">
        <v>122</v>
      </c>
      <c r="B207" s="160" t="s">
        <v>123</v>
      </c>
      <c r="C207" s="160" t="s">
        <v>507</v>
      </c>
      <c r="D207" s="160" t="s">
        <v>508</v>
      </c>
      <c r="E207" s="161">
        <v>3.3359005311683205</v>
      </c>
      <c r="F207" s="161">
        <v>0.81084872985368861</v>
      </c>
      <c r="G207" s="161">
        <v>1.8068260980138291</v>
      </c>
      <c r="H207" s="161">
        <v>1.2780363079901917</v>
      </c>
      <c r="I207" s="161">
        <v>-0.26247491212700425</v>
      </c>
      <c r="J207" s="161">
        <v>3.9074797405086201</v>
      </c>
      <c r="K207" s="161">
        <v>5.7730439215877283</v>
      </c>
      <c r="L207" s="161">
        <v>-0.95230072944259803</v>
      </c>
      <c r="M207" s="161">
        <v>-4.2544453118441083</v>
      </c>
      <c r="N207" s="161">
        <v>8.443377450697696</v>
      </c>
      <c r="O207" s="161">
        <v>11.459535801577331</v>
      </c>
      <c r="P207" s="161">
        <v>-2.3493076645904836</v>
      </c>
      <c r="Q207" s="161">
        <v>3.7708395451618344</v>
      </c>
      <c r="R207" s="161">
        <v>4.0724067940058006</v>
      </c>
      <c r="S207" s="161">
        <v>8.5014220540064969</v>
      </c>
      <c r="T207" s="161">
        <v>16.52601688107795</v>
      </c>
      <c r="U207" s="161">
        <v>11.957075012285003</v>
      </c>
      <c r="V207" s="161">
        <v>12.539341215470714</v>
      </c>
      <c r="W207" s="161">
        <v>18.533357887521348</v>
      </c>
      <c r="X207" s="161">
        <v>-15.155874174828369</v>
      </c>
      <c r="Y207" s="161">
        <v>10.94771994310338</v>
      </c>
      <c r="Z207" s="161">
        <v>16.75355807331556</v>
      </c>
      <c r="AA207" s="162">
        <v>5.4938600471972308</v>
      </c>
      <c r="AB207" s="162" t="s">
        <v>125</v>
      </c>
    </row>
    <row r="208" spans="1:28">
      <c r="A208" s="160" t="s">
        <v>122</v>
      </c>
      <c r="B208" s="160" t="s">
        <v>123</v>
      </c>
      <c r="C208" s="160" t="s">
        <v>509</v>
      </c>
      <c r="D208" s="160" t="s">
        <v>510</v>
      </c>
      <c r="E208" s="161">
        <v>8.4453117947491165</v>
      </c>
      <c r="F208" s="161">
        <v>6.7108908177464457</v>
      </c>
      <c r="G208" s="161">
        <v>2.9088473545289872</v>
      </c>
      <c r="H208" s="161">
        <v>1.8919088612676944</v>
      </c>
      <c r="I208" s="161">
        <v>1.1605753751748153</v>
      </c>
      <c r="J208" s="161">
        <v>2.40535950957252</v>
      </c>
      <c r="K208" s="161">
        <v>2.8014188489283072</v>
      </c>
      <c r="L208" s="161">
        <v>1.7788580783680601</v>
      </c>
      <c r="M208" s="161">
        <v>1.9066979446173491</v>
      </c>
      <c r="N208" s="161">
        <v>2.1659374834279959</v>
      </c>
      <c r="O208" s="161">
        <v>0.79863843793164335</v>
      </c>
      <c r="P208" s="161">
        <v>2.2826395319656285</v>
      </c>
      <c r="Q208" s="161">
        <v>2.4684872114942635</v>
      </c>
      <c r="R208" s="161">
        <v>2.1662897381572179</v>
      </c>
      <c r="S208" s="161">
        <v>2.3628970605781916</v>
      </c>
      <c r="T208" s="161">
        <v>1.9595768782779004</v>
      </c>
      <c r="U208" s="161">
        <v>2.8634214125796973</v>
      </c>
      <c r="V208" s="161">
        <v>2.3038753923370763</v>
      </c>
      <c r="W208" s="161">
        <v>3.187827220428872</v>
      </c>
      <c r="X208" s="161">
        <v>2.2275180055989949</v>
      </c>
      <c r="Y208" s="161">
        <v>3.1044369370478506</v>
      </c>
      <c r="Z208" s="161">
        <v>2.3113876130967554</v>
      </c>
      <c r="AA208" s="162">
        <v>1.1166306234626973</v>
      </c>
      <c r="AB208" s="162">
        <v>1.8349312143122916</v>
      </c>
    </row>
    <row r="209" spans="1:28">
      <c r="A209" s="160" t="s">
        <v>122</v>
      </c>
      <c r="B209" s="160" t="s">
        <v>123</v>
      </c>
      <c r="C209" s="160" t="s">
        <v>34</v>
      </c>
      <c r="D209" s="160" t="s">
        <v>86</v>
      </c>
      <c r="E209" s="161">
        <v>3.6999510091501975</v>
      </c>
      <c r="F209" s="161">
        <v>3.3261334967420453</v>
      </c>
      <c r="G209" s="161">
        <v>2.2804255924325787</v>
      </c>
      <c r="H209" s="161">
        <v>2.3797929997670479</v>
      </c>
      <c r="I209" s="161">
        <v>2.1287895530368104</v>
      </c>
      <c r="J209" s="161">
        <v>2.085992155447002</v>
      </c>
      <c r="K209" s="161">
        <v>1.8263571495784561</v>
      </c>
      <c r="L209" s="161">
        <v>1.7109593625256281</v>
      </c>
      <c r="M209" s="161">
        <v>1.0847571589375207</v>
      </c>
      <c r="N209" s="161">
        <v>1.4281214843104664</v>
      </c>
      <c r="O209" s="161">
        <v>2.2722090656732092</v>
      </c>
      <c r="P209" s="161">
        <v>2.2911272880888873</v>
      </c>
      <c r="Q209" s="161">
        <v>1.5366495194064811</v>
      </c>
      <c r="R209" s="161">
        <v>1.9983866692040237</v>
      </c>
      <c r="S209" s="161">
        <v>2.7412331708923432</v>
      </c>
      <c r="T209" s="161">
        <v>3.2073946372354953</v>
      </c>
      <c r="U209" s="161">
        <v>3.0741277269069656</v>
      </c>
      <c r="V209" s="161">
        <v>2.6538813616040784</v>
      </c>
      <c r="W209" s="161">
        <v>1.9534818725774272</v>
      </c>
      <c r="X209" s="161">
        <v>0.76968540043304756</v>
      </c>
      <c r="Y209" s="161">
        <v>1.2104686252489358</v>
      </c>
      <c r="Z209" s="161">
        <v>1.9639198319509035</v>
      </c>
      <c r="AA209" s="162">
        <v>1.748285229977256</v>
      </c>
      <c r="AB209" s="162">
        <v>1.5141202710397863</v>
      </c>
    </row>
    <row r="210" spans="1:28">
      <c r="A210" s="160" t="s">
        <v>122</v>
      </c>
      <c r="B210" s="160" t="s">
        <v>123</v>
      </c>
      <c r="C210" s="160" t="s">
        <v>511</v>
      </c>
      <c r="D210" s="160" t="s">
        <v>512</v>
      </c>
      <c r="E210" s="161">
        <v>106.83667651836132</v>
      </c>
      <c r="F210" s="161">
        <v>100.80816764130799</v>
      </c>
      <c r="G210" s="161">
        <v>59.623622709755637</v>
      </c>
      <c r="H210" s="161">
        <v>47.851928887436401</v>
      </c>
      <c r="I210" s="161">
        <v>38.957182343574402</v>
      </c>
      <c r="J210" s="161">
        <v>41.048326886455328</v>
      </c>
      <c r="K210" s="161">
        <v>26.431737771866764</v>
      </c>
      <c r="L210" s="161">
        <v>27.485166080589778</v>
      </c>
      <c r="M210" s="161">
        <v>12.383905490254406</v>
      </c>
      <c r="N210" s="161">
        <v>4.3260961827092217</v>
      </c>
      <c r="O210" s="161">
        <v>3.5393085073966972</v>
      </c>
      <c r="P210" s="161">
        <v>4.8266183286069548</v>
      </c>
      <c r="Q210" s="161">
        <v>12.616276621985833</v>
      </c>
      <c r="R210" s="161">
        <v>16.54163515433811</v>
      </c>
      <c r="S210" s="161">
        <v>10.105056003422774</v>
      </c>
      <c r="T210" s="161">
        <v>0.67786845807333407</v>
      </c>
      <c r="U210" s="161">
        <v>6.5333345538757754</v>
      </c>
      <c r="V210" s="161">
        <v>9.4174734367080077</v>
      </c>
      <c r="W210" s="161">
        <v>8.023536574399202</v>
      </c>
      <c r="X210" s="161">
        <v>5.5815244965001085</v>
      </c>
      <c r="Y210" s="161">
        <v>4.65646862567759</v>
      </c>
      <c r="Z210" s="161">
        <v>8.9775871812018551</v>
      </c>
      <c r="AA210" s="162">
        <v>7.3704852011143203</v>
      </c>
      <c r="AB210" s="162">
        <v>7.6152432126626053</v>
      </c>
    </row>
    <row r="211" spans="1:28">
      <c r="A211" s="160" t="s">
        <v>122</v>
      </c>
      <c r="B211" s="160" t="s">
        <v>123</v>
      </c>
      <c r="C211" s="160" t="s">
        <v>513</v>
      </c>
      <c r="D211" s="160" t="s">
        <v>514</v>
      </c>
      <c r="E211" s="161">
        <v>3.9796893588184474</v>
      </c>
      <c r="F211" s="161">
        <v>90.727279988722444</v>
      </c>
      <c r="G211" s="161">
        <v>712.14926032413587</v>
      </c>
      <c r="H211" s="161">
        <v>1078.8828545978793</v>
      </c>
      <c r="I211" s="161">
        <v>1238.5952706770504</v>
      </c>
      <c r="J211" s="161">
        <v>370.94395324098093</v>
      </c>
      <c r="K211" s="161">
        <v>81.555254691103528</v>
      </c>
      <c r="L211" s="161">
        <v>66.087067806060276</v>
      </c>
      <c r="M211" s="161">
        <v>38.997955593714209</v>
      </c>
      <c r="N211" s="161">
        <v>44.115363286060074</v>
      </c>
      <c r="O211" s="161">
        <v>47.34078683601814</v>
      </c>
      <c r="P211" s="161">
        <v>45.189653572980205</v>
      </c>
      <c r="Q211" s="161">
        <v>45.449372914790473</v>
      </c>
      <c r="R211" s="161">
        <v>26.723409436858731</v>
      </c>
      <c r="S211" s="161">
        <v>15.720527109228243</v>
      </c>
      <c r="T211" s="161">
        <v>21.374131335051104</v>
      </c>
      <c r="U211" s="161">
        <v>21.500251887411665</v>
      </c>
      <c r="V211" s="161">
        <v>24.013296389776585</v>
      </c>
      <c r="W211" s="161">
        <v>19.892212411844895</v>
      </c>
      <c r="X211" s="161">
        <v>20.775750907041271</v>
      </c>
      <c r="Y211" s="161">
        <v>19.551608888680732</v>
      </c>
      <c r="Z211" s="161">
        <v>15.07266136917103</v>
      </c>
      <c r="AA211" s="162">
        <v>14.974234750704852</v>
      </c>
      <c r="AB211" s="162">
        <v>13.905288109539299</v>
      </c>
    </row>
    <row r="212" spans="1:28">
      <c r="A212" s="160" t="s">
        <v>122</v>
      </c>
      <c r="B212" s="160" t="s">
        <v>123</v>
      </c>
      <c r="C212" s="160" t="s">
        <v>515</v>
      </c>
      <c r="D212" s="160" t="s">
        <v>516</v>
      </c>
      <c r="E212" s="161">
        <v>-0.99691448499484636</v>
      </c>
      <c r="F212" s="161">
        <v>10.295426625433208</v>
      </c>
      <c r="G212" s="161">
        <v>2.7785274036176162</v>
      </c>
      <c r="H212" s="161">
        <v>2.048502804626338</v>
      </c>
      <c r="I212" s="161">
        <v>2.3461290241847337</v>
      </c>
      <c r="J212" s="161">
        <v>1.7135274448774283</v>
      </c>
      <c r="K212" s="161">
        <v>2.0772813235406602</v>
      </c>
      <c r="L212" s="161">
        <v>3.1778589773207244</v>
      </c>
      <c r="M212" s="161">
        <v>8.157102377802957</v>
      </c>
      <c r="N212" s="161">
        <v>3.0751509352920863</v>
      </c>
      <c r="O212" s="161">
        <v>2.1845913159827006</v>
      </c>
      <c r="P212" s="161">
        <v>3.722532477532539</v>
      </c>
      <c r="Q212" s="161">
        <v>2.7828026822139549</v>
      </c>
      <c r="R212" s="161">
        <v>0.78843703093369299</v>
      </c>
      <c r="S212" s="161">
        <v>2.1221264795002099</v>
      </c>
      <c r="T212" s="161">
        <v>0.42190132315084838</v>
      </c>
      <c r="U212" s="161">
        <v>3.8748539306530745</v>
      </c>
      <c r="V212" s="161">
        <v>5.4703698721772156</v>
      </c>
      <c r="W212" s="161">
        <v>7.3208838897691919</v>
      </c>
      <c r="X212" s="161">
        <v>2.3183575168729504</v>
      </c>
      <c r="Y212" s="161">
        <v>2.6121246002598326</v>
      </c>
      <c r="Z212" s="161">
        <v>2.2883679333817355</v>
      </c>
      <c r="AA212" s="162">
        <v>1.8647638411278535</v>
      </c>
      <c r="AB212" s="162">
        <v>1.947246396403159</v>
      </c>
    </row>
    <row r="213" spans="1:28">
      <c r="A213" s="160" t="s">
        <v>122</v>
      </c>
      <c r="B213" s="160" t="s">
        <v>123</v>
      </c>
      <c r="C213" s="160" t="s">
        <v>517</v>
      </c>
      <c r="D213" s="160" t="s">
        <v>518</v>
      </c>
      <c r="E213" s="161">
        <v>41.740657256224722</v>
      </c>
      <c r="F213" s="161">
        <v>21.449616467291449</v>
      </c>
      <c r="G213" s="161">
        <v>28.244062348878231</v>
      </c>
      <c r="H213" s="161">
        <v>31.645824271266576</v>
      </c>
      <c r="I213" s="161">
        <v>62.890684511006725</v>
      </c>
      <c r="J213" s="161">
        <v>51.759901776989636</v>
      </c>
      <c r="K213" s="161">
        <v>115.52471819541793</v>
      </c>
      <c r="L213" s="161">
        <v>38.420081026576071</v>
      </c>
      <c r="M213" s="161">
        <v>18.890286702571586</v>
      </c>
      <c r="N213" s="161">
        <v>26.192710061555459</v>
      </c>
      <c r="O213" s="161">
        <v>29.4528251104893</v>
      </c>
      <c r="P213" s="161">
        <v>7.9969040562045848</v>
      </c>
      <c r="Q213" s="161">
        <v>33.022876078637097</v>
      </c>
      <c r="R213" s="161">
        <v>34.93375573873692</v>
      </c>
      <c r="S213" s="161">
        <v>33.953724338534613</v>
      </c>
      <c r="T213" s="161">
        <v>29.60405935129765</v>
      </c>
      <c r="U213" s="161">
        <v>17.904315549063583</v>
      </c>
      <c r="V213" s="161">
        <v>15.448708827359113</v>
      </c>
      <c r="W213" s="161">
        <v>30.132426650444444</v>
      </c>
      <c r="X213" s="161">
        <v>7.8313963483714844</v>
      </c>
      <c r="Y213" s="161">
        <v>45.942126195627765</v>
      </c>
      <c r="Z213" s="161">
        <v>28.150871549479376</v>
      </c>
      <c r="AA213" s="162">
        <v>14.059094572033388</v>
      </c>
      <c r="AB213" s="162">
        <v>59.931400714937723</v>
      </c>
    </row>
    <row r="214" spans="1:28">
      <c r="A214" s="160" t="s">
        <v>122</v>
      </c>
      <c r="B214" s="160" t="s">
        <v>123</v>
      </c>
      <c r="C214" s="160" t="s">
        <v>519</v>
      </c>
      <c r="D214" s="160" t="s">
        <v>520</v>
      </c>
      <c r="E214" s="161">
        <v>42.095094251042326</v>
      </c>
      <c r="F214" s="161">
        <v>72.546393481364362</v>
      </c>
      <c r="G214" s="161">
        <v>32.629182138126566</v>
      </c>
      <c r="H214" s="161">
        <v>17.414979620350152</v>
      </c>
      <c r="I214" s="161">
        <v>16.952316609925361</v>
      </c>
      <c r="J214" s="161">
        <v>17.040188554189783</v>
      </c>
      <c r="K214" s="161">
        <v>8.6967689451767285</v>
      </c>
      <c r="L214" s="161">
        <v>6.5974085457678626</v>
      </c>
      <c r="M214" s="161">
        <v>8.8378610433894664</v>
      </c>
      <c r="N214" s="161">
        <v>5.7346993138192204</v>
      </c>
      <c r="O214" s="161">
        <v>11.594511112582722</v>
      </c>
      <c r="P214" s="161">
        <v>2.6770831744455279</v>
      </c>
      <c r="Q214" s="161">
        <v>4.9421924637748589</v>
      </c>
      <c r="R214" s="161">
        <v>6.8884496833290427</v>
      </c>
      <c r="S214" s="161">
        <v>9.2325149573548657</v>
      </c>
      <c r="T214" s="161">
        <v>9.203934461672759</v>
      </c>
      <c r="U214" s="161">
        <v>8.5689479747524757</v>
      </c>
      <c r="V214" s="161">
        <v>9.6302256143011533</v>
      </c>
      <c r="W214" s="161">
        <v>22.673316175643123</v>
      </c>
      <c r="X214" s="161">
        <v>6.2155644382920912</v>
      </c>
      <c r="Y214" s="161">
        <v>12.074357653436849</v>
      </c>
      <c r="Z214" s="161">
        <v>21.260702914699905</v>
      </c>
      <c r="AA214" s="162">
        <v>10.925993905915533</v>
      </c>
      <c r="AB214" s="162">
        <v>4.7616007566263505</v>
      </c>
    </row>
    <row r="215" spans="1:28">
      <c r="A215" s="160" t="s">
        <v>122</v>
      </c>
      <c r="B215" s="160" t="s">
        <v>123</v>
      </c>
      <c r="C215" s="160" t="s">
        <v>521</v>
      </c>
      <c r="D215" s="160" t="s">
        <v>522</v>
      </c>
      <c r="E215" s="161" t="s">
        <v>125</v>
      </c>
      <c r="F215" s="161" t="s">
        <v>125</v>
      </c>
      <c r="G215" s="161" t="s">
        <v>125</v>
      </c>
      <c r="H215" s="161" t="s">
        <v>125</v>
      </c>
      <c r="I215" s="161" t="s">
        <v>125</v>
      </c>
      <c r="J215" s="161" t="s">
        <v>125</v>
      </c>
      <c r="K215" s="161" t="s">
        <v>125</v>
      </c>
      <c r="L215" s="161" t="s">
        <v>125</v>
      </c>
      <c r="M215" s="161" t="s">
        <v>125</v>
      </c>
      <c r="N215" s="161" t="s">
        <v>125</v>
      </c>
      <c r="O215" s="161" t="s">
        <v>125</v>
      </c>
      <c r="P215" s="161" t="s">
        <v>125</v>
      </c>
      <c r="Q215" s="161" t="s">
        <v>125</v>
      </c>
      <c r="R215" s="161" t="s">
        <v>125</v>
      </c>
      <c r="S215" s="161" t="s">
        <v>125</v>
      </c>
      <c r="T215" s="161" t="s">
        <v>125</v>
      </c>
      <c r="U215" s="161" t="s">
        <v>125</v>
      </c>
      <c r="V215" s="161" t="s">
        <v>125</v>
      </c>
      <c r="W215" s="161" t="s">
        <v>125</v>
      </c>
      <c r="X215" s="161" t="s">
        <v>125</v>
      </c>
      <c r="Y215" s="161" t="s">
        <v>125</v>
      </c>
      <c r="Z215" s="161" t="s">
        <v>125</v>
      </c>
      <c r="AA215" s="162" t="s">
        <v>125</v>
      </c>
      <c r="AB215" s="162" t="s">
        <v>125</v>
      </c>
    </row>
    <row r="216" spans="1:28">
      <c r="A216" s="160" t="s">
        <v>122</v>
      </c>
      <c r="B216" s="160" t="s">
        <v>123</v>
      </c>
      <c r="C216" s="160" t="s">
        <v>523</v>
      </c>
      <c r="D216" s="160" t="s">
        <v>524</v>
      </c>
      <c r="E216" s="161" t="s">
        <v>125</v>
      </c>
      <c r="F216" s="161" t="s">
        <v>125</v>
      </c>
      <c r="G216" s="161" t="s">
        <v>125</v>
      </c>
      <c r="H216" s="161" t="s">
        <v>125</v>
      </c>
      <c r="I216" s="161" t="s">
        <v>125</v>
      </c>
      <c r="J216" s="161">
        <v>7.6855293501787685</v>
      </c>
      <c r="K216" s="161">
        <v>1.9602785749504221</v>
      </c>
      <c r="L216" s="161">
        <v>-3.2681698532240659</v>
      </c>
      <c r="M216" s="161">
        <v>-4.9603352158346183</v>
      </c>
      <c r="N216" s="161">
        <v>-1.9394895861406809</v>
      </c>
      <c r="O216" s="161">
        <v>9.7856550752267282</v>
      </c>
      <c r="P216" s="161">
        <v>1.0969952738848434</v>
      </c>
      <c r="Q216" s="161">
        <v>1.6689910900361582</v>
      </c>
      <c r="R216" s="161">
        <v>-2.7997880020248544</v>
      </c>
      <c r="S216" s="161">
        <v>-1.0518368090812089</v>
      </c>
      <c r="T216" s="161">
        <v>1.6427239828928748</v>
      </c>
      <c r="U216" s="161">
        <v>5.1395616854017447</v>
      </c>
      <c r="V216" s="161">
        <v>6.4843809202151732</v>
      </c>
      <c r="W216" s="161">
        <v>12.537040299703023</v>
      </c>
      <c r="X216" s="161">
        <v>0.14892632918855497</v>
      </c>
      <c r="Y216" s="161">
        <v>13.466737429120585</v>
      </c>
      <c r="Z216" s="161">
        <v>4.6072171067257557</v>
      </c>
      <c r="AA216" s="162">
        <v>-0.89811489499703612</v>
      </c>
      <c r="AB216" s="162" t="s">
        <v>125</v>
      </c>
    </row>
    <row r="217" spans="1:28">
      <c r="A217" s="160" t="s">
        <v>122</v>
      </c>
      <c r="B217" s="160" t="s">
        <v>123</v>
      </c>
      <c r="C217" s="160" t="s">
        <v>525</v>
      </c>
      <c r="D217" s="160" t="s">
        <v>526</v>
      </c>
      <c r="E217" s="161" t="s">
        <v>125</v>
      </c>
      <c r="F217" s="161">
        <v>11.993581088359278</v>
      </c>
      <c r="G217" s="161">
        <v>13.171745349013946</v>
      </c>
      <c r="H217" s="161">
        <v>16.375907896300106</v>
      </c>
      <c r="I217" s="161">
        <v>20.784364414010241</v>
      </c>
      <c r="J217" s="161">
        <v>45.743342802861662</v>
      </c>
      <c r="K217" s="161">
        <v>36.770087852636522</v>
      </c>
      <c r="L217" s="161">
        <v>13.290492704468718</v>
      </c>
      <c r="M217" s="161">
        <v>-8.3429517418626773</v>
      </c>
      <c r="N217" s="161">
        <v>33.460905375387114</v>
      </c>
      <c r="O217" s="161">
        <v>23.346051904069824</v>
      </c>
      <c r="P217" s="161">
        <v>2.7482004474791211</v>
      </c>
      <c r="Q217" s="161">
        <v>8.7118804966258381</v>
      </c>
      <c r="R217" s="161">
        <v>10.89234282345204</v>
      </c>
      <c r="S217" s="161">
        <v>14.113320001360961</v>
      </c>
      <c r="T217" s="161">
        <v>18.533353561772032</v>
      </c>
      <c r="U217" s="161">
        <v>13.588647262172643</v>
      </c>
      <c r="V217" s="161">
        <v>31.25261821945395</v>
      </c>
      <c r="W217" s="161">
        <v>14.471061225812861</v>
      </c>
      <c r="X217" s="161">
        <v>-8.7048092281824836</v>
      </c>
      <c r="Y217" s="161">
        <v>13.78815126437722</v>
      </c>
      <c r="Z217" s="161">
        <v>15.30277421829058</v>
      </c>
      <c r="AA217" s="162">
        <v>0.97635727462829891</v>
      </c>
      <c r="AB217" s="162">
        <v>7.8941102642088481</v>
      </c>
    </row>
    <row r="218" spans="1:28">
      <c r="A218" s="160" t="s">
        <v>122</v>
      </c>
      <c r="B218" s="160" t="s">
        <v>123</v>
      </c>
      <c r="C218" s="160" t="s">
        <v>527</v>
      </c>
      <c r="D218" s="160" t="s">
        <v>528</v>
      </c>
      <c r="E218" s="161">
        <v>106.3889116856119</v>
      </c>
      <c r="F218" s="161">
        <v>92.654587639047406</v>
      </c>
      <c r="G218" s="161">
        <v>165.53394681061889</v>
      </c>
      <c r="H218" s="161">
        <v>143.65833462903765</v>
      </c>
      <c r="I218" s="161">
        <v>65.408614700751542</v>
      </c>
      <c r="J218" s="161">
        <v>38.044928873164338</v>
      </c>
      <c r="K218" s="161">
        <v>22.912762037898176</v>
      </c>
      <c r="L218" s="161">
        <v>25.969545225979147</v>
      </c>
      <c r="M218" s="161">
        <v>19.490744269600867</v>
      </c>
      <c r="N218" s="161">
        <v>21.352145378671878</v>
      </c>
      <c r="O218" s="161">
        <v>30.754436868161378</v>
      </c>
      <c r="P218" s="161">
        <v>24.273517333303403</v>
      </c>
      <c r="Q218" s="161">
        <v>19.756019946972643</v>
      </c>
      <c r="R218" s="161">
        <v>19.751457685532785</v>
      </c>
      <c r="S218" s="161">
        <v>19.996336342387949</v>
      </c>
      <c r="T218" s="161">
        <v>17.018661559107471</v>
      </c>
      <c r="U218" s="161">
        <v>13.270930009987197</v>
      </c>
      <c r="V218" s="161">
        <v>12.843002850738031</v>
      </c>
      <c r="W218" s="161">
        <v>11.942958739852401</v>
      </c>
      <c r="X218" s="161">
        <v>11.110602346694122</v>
      </c>
      <c r="Y218" s="161">
        <v>11.687188640315867</v>
      </c>
      <c r="Z218" s="161">
        <v>12.479399581533016</v>
      </c>
      <c r="AA218" s="162">
        <v>5.8897570973882978</v>
      </c>
      <c r="AB218" s="162">
        <v>7.1224115594956459</v>
      </c>
    </row>
    <row r="219" spans="1:28">
      <c r="A219" s="160" t="s">
        <v>122</v>
      </c>
      <c r="B219" s="160" t="s">
        <v>123</v>
      </c>
      <c r="C219" s="160" t="s">
        <v>529</v>
      </c>
      <c r="D219" s="160" t="s">
        <v>530</v>
      </c>
      <c r="E219" s="161">
        <v>-0.92043149695552984</v>
      </c>
      <c r="F219" s="161">
        <v>-6.777299399153506</v>
      </c>
      <c r="G219" s="161">
        <v>-14.129658785568822</v>
      </c>
      <c r="H219" s="161">
        <v>-3.7911218581406274</v>
      </c>
      <c r="I219" s="161">
        <v>-3.8956727096425112</v>
      </c>
      <c r="J219" s="161">
        <v>3.038538370317994</v>
      </c>
      <c r="K219" s="161">
        <v>8.9843831845906976</v>
      </c>
      <c r="L219" s="161">
        <v>-2.8790480620174179</v>
      </c>
      <c r="M219" s="161">
        <v>-27.048649512616464</v>
      </c>
      <c r="N219" s="161">
        <v>8.0068130842234382</v>
      </c>
      <c r="O219" s="161">
        <v>0.62790072121059382</v>
      </c>
      <c r="P219" s="161">
        <v>-0.1308899806791004</v>
      </c>
      <c r="Q219" s="161">
        <v>2.7129491211696859</v>
      </c>
      <c r="R219" s="161">
        <v>8.8012761215298099</v>
      </c>
      <c r="S219" s="161">
        <v>7.6115251978329042</v>
      </c>
      <c r="T219" s="161">
        <v>5.1366009243207174</v>
      </c>
      <c r="U219" s="161">
        <v>-2.0176793464728178</v>
      </c>
      <c r="V219" s="161">
        <v>0.89488782357747709</v>
      </c>
      <c r="W219" s="161">
        <v>1.3492224778895832</v>
      </c>
      <c r="X219" s="161">
        <v>74.298174899840603</v>
      </c>
      <c r="Y219" s="161">
        <v>4.0923193544513623</v>
      </c>
      <c r="Z219" s="161">
        <v>3.529794462678737</v>
      </c>
      <c r="AA219" s="162">
        <v>8.0910298006196655</v>
      </c>
      <c r="AB219" s="162">
        <v>0.81917496380499699</v>
      </c>
    </row>
    <row r="222" spans="1:28">
      <c r="C222" s="160" t="s">
        <v>531</v>
      </c>
    </row>
    <row r="223" spans="1:28">
      <c r="C223" s="166" t="s">
        <v>532</v>
      </c>
    </row>
    <row r="224" spans="1:28">
      <c r="C224" s="166" t="s">
        <v>533</v>
      </c>
    </row>
    <row r="226" spans="3:3">
      <c r="C226" s="160" t="s">
        <v>534</v>
      </c>
    </row>
  </sheetData>
  <pageMargins left="0.7" right="0.7" top="0.75" bottom="0.75" header="0.3" footer="0.3"/>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225"/>
  <sheetViews>
    <sheetView topLeftCell="A2" workbookViewId="0">
      <selection activeCell="AY41" sqref="AY41"/>
    </sheetView>
  </sheetViews>
  <sheetFormatPr baseColWidth="10" defaultColWidth="8.83203125" defaultRowHeight="15" outlineLevelRow="1"/>
  <cols>
    <col min="1" max="1" width="24.5" style="163" customWidth="1"/>
    <col min="2" max="2" width="8.1640625" style="163" hidden="1" customWidth="1"/>
    <col min="3" max="37" width="11.5" style="163" hidden="1" customWidth="1"/>
    <col min="38" max="39" width="9.5" style="165" customWidth="1"/>
    <col min="40" max="50" width="10.1640625" style="165" bestFit="1" customWidth="1"/>
    <col min="51" max="51" width="10" style="165" customWidth="1"/>
    <col min="52" max="54" width="10.1640625" style="165" bestFit="1" customWidth="1"/>
    <col min="55" max="56" width="9.33203125" style="165" customWidth="1"/>
    <col min="57" max="16384" width="8.83203125" style="163"/>
  </cols>
  <sheetData>
    <row r="1" spans="1:16384" s="154" customFormat="1" hidden="1" outlineLevel="1">
      <c r="A1" s="154" t="s">
        <v>1</v>
      </c>
      <c r="C1" s="154" t="str">
        <f>C2&amp;"y"</f>
        <v>1960y</v>
      </c>
      <c r="D1" s="154" t="str">
        <f t="shared" ref="D1:BO1" si="0">D2&amp;"y"</f>
        <v>1961y</v>
      </c>
      <c r="E1" s="154" t="str">
        <f t="shared" si="0"/>
        <v>1962y</v>
      </c>
      <c r="F1" s="154" t="str">
        <f t="shared" si="0"/>
        <v>1963y</v>
      </c>
      <c r="G1" s="154" t="str">
        <f t="shared" si="0"/>
        <v>1964y</v>
      </c>
      <c r="H1" s="154" t="str">
        <f t="shared" si="0"/>
        <v>1965y</v>
      </c>
      <c r="I1" s="154" t="str">
        <f t="shared" si="0"/>
        <v>1966y</v>
      </c>
      <c r="J1" s="154" t="str">
        <f t="shared" si="0"/>
        <v>1967y</v>
      </c>
      <c r="K1" s="154" t="str">
        <f t="shared" si="0"/>
        <v>1968y</v>
      </c>
      <c r="L1" s="154" t="str">
        <f t="shared" si="0"/>
        <v>1969y</v>
      </c>
      <c r="M1" s="154" t="str">
        <f t="shared" si="0"/>
        <v>1970y</v>
      </c>
      <c r="N1" s="154" t="str">
        <f t="shared" si="0"/>
        <v>1971y</v>
      </c>
      <c r="O1" s="154" t="str">
        <f t="shared" si="0"/>
        <v>1972y</v>
      </c>
      <c r="P1" s="154" t="str">
        <f t="shared" si="0"/>
        <v>1973y</v>
      </c>
      <c r="Q1" s="154" t="str">
        <f t="shared" si="0"/>
        <v>1974y</v>
      </c>
      <c r="R1" s="154" t="str">
        <f t="shared" si="0"/>
        <v>1975y</v>
      </c>
      <c r="S1" s="154" t="str">
        <f t="shared" si="0"/>
        <v>1976y</v>
      </c>
      <c r="T1" s="154" t="str">
        <f t="shared" si="0"/>
        <v>1977y</v>
      </c>
      <c r="U1" s="154" t="str">
        <f t="shared" si="0"/>
        <v>1978y</v>
      </c>
      <c r="V1" s="154" t="str">
        <f t="shared" si="0"/>
        <v>1979y</v>
      </c>
      <c r="W1" s="154" t="str">
        <f t="shared" si="0"/>
        <v>1980y</v>
      </c>
      <c r="X1" s="154" t="str">
        <f t="shared" si="0"/>
        <v>1981y</v>
      </c>
      <c r="Y1" s="154" t="str">
        <f t="shared" si="0"/>
        <v>1982y</v>
      </c>
      <c r="Z1" s="154" t="str">
        <f t="shared" si="0"/>
        <v>1983y</v>
      </c>
      <c r="AA1" s="154" t="str">
        <f t="shared" si="0"/>
        <v>1984y</v>
      </c>
      <c r="AB1" s="154" t="str">
        <f t="shared" si="0"/>
        <v>1985y</v>
      </c>
      <c r="AC1" s="154" t="str">
        <f t="shared" si="0"/>
        <v>1986y</v>
      </c>
      <c r="AD1" s="154" t="str">
        <f t="shared" si="0"/>
        <v>1987y</v>
      </c>
      <c r="AE1" s="154" t="str">
        <f t="shared" si="0"/>
        <v>1988y</v>
      </c>
      <c r="AF1" s="154" t="str">
        <f t="shared" si="0"/>
        <v>1989y</v>
      </c>
      <c r="AG1" s="154" t="str">
        <f t="shared" si="0"/>
        <v>1990y</v>
      </c>
      <c r="AH1" s="154" t="str">
        <f t="shared" si="0"/>
        <v>1991y</v>
      </c>
      <c r="AI1" s="154" t="str">
        <f t="shared" si="0"/>
        <v>1992y</v>
      </c>
      <c r="AJ1" s="154" t="str">
        <f t="shared" si="0"/>
        <v>1993y</v>
      </c>
      <c r="AK1" s="154" t="str">
        <f t="shared" si="0"/>
        <v>1994y</v>
      </c>
      <c r="AL1" s="155" t="str">
        <f t="shared" si="0"/>
        <v>1995y</v>
      </c>
      <c r="AM1" s="155" t="str">
        <f t="shared" si="0"/>
        <v>1996y</v>
      </c>
      <c r="AN1" s="155" t="str">
        <f t="shared" si="0"/>
        <v>1997y</v>
      </c>
      <c r="AO1" s="155" t="str">
        <f t="shared" si="0"/>
        <v>1998y</v>
      </c>
      <c r="AP1" s="155" t="str">
        <f t="shared" si="0"/>
        <v>1999y</v>
      </c>
      <c r="AQ1" s="155" t="str">
        <f t="shared" si="0"/>
        <v>2000y</v>
      </c>
      <c r="AR1" s="155" t="str">
        <f t="shared" si="0"/>
        <v>2001y</v>
      </c>
      <c r="AS1" s="155" t="str">
        <f t="shared" si="0"/>
        <v>2002y</v>
      </c>
      <c r="AT1" s="155" t="str">
        <f t="shared" si="0"/>
        <v>2003y</v>
      </c>
      <c r="AU1" s="155" t="str">
        <f t="shared" si="0"/>
        <v>2004y</v>
      </c>
      <c r="AV1" s="155" t="str">
        <f t="shared" si="0"/>
        <v>2005y</v>
      </c>
      <c r="AW1" s="155" t="str">
        <f t="shared" si="0"/>
        <v>2006y</v>
      </c>
      <c r="AX1" s="155" t="str">
        <f t="shared" si="0"/>
        <v>2007y</v>
      </c>
      <c r="AY1" s="155" t="str">
        <f t="shared" si="0"/>
        <v>2008y</v>
      </c>
      <c r="AZ1" s="155" t="str">
        <f t="shared" si="0"/>
        <v>2009y</v>
      </c>
      <c r="BA1" s="155" t="str">
        <f t="shared" si="0"/>
        <v>2010y</v>
      </c>
      <c r="BB1" s="155" t="str">
        <f t="shared" si="0"/>
        <v>2011y</v>
      </c>
      <c r="BC1" s="155" t="str">
        <f t="shared" si="0"/>
        <v>2012y</v>
      </c>
      <c r="BD1" s="155" t="str">
        <f t="shared" si="0"/>
        <v>2013y</v>
      </c>
      <c r="BE1" s="154" t="str">
        <f t="shared" si="0"/>
        <v>y</v>
      </c>
      <c r="BF1" s="154" t="str">
        <f t="shared" si="0"/>
        <v>y</v>
      </c>
      <c r="BG1" s="154" t="str">
        <f t="shared" si="0"/>
        <v>y</v>
      </c>
      <c r="BH1" s="154" t="str">
        <f t="shared" si="0"/>
        <v>y</v>
      </c>
      <c r="BI1" s="154" t="str">
        <f t="shared" si="0"/>
        <v>y</v>
      </c>
      <c r="BJ1" s="154" t="str">
        <f t="shared" si="0"/>
        <v>y</v>
      </c>
      <c r="BK1" s="154" t="str">
        <f t="shared" si="0"/>
        <v>y</v>
      </c>
      <c r="BL1" s="154" t="str">
        <f t="shared" si="0"/>
        <v>y</v>
      </c>
      <c r="BM1" s="154" t="str">
        <f t="shared" si="0"/>
        <v>y</v>
      </c>
      <c r="BN1" s="154" t="str">
        <f t="shared" si="0"/>
        <v>y</v>
      </c>
      <c r="BO1" s="154" t="str">
        <f t="shared" si="0"/>
        <v>y</v>
      </c>
      <c r="BP1" s="154" t="str">
        <f t="shared" ref="BP1:EA1" si="1">BP2&amp;"y"</f>
        <v>y</v>
      </c>
      <c r="BQ1" s="154" t="str">
        <f t="shared" si="1"/>
        <v>y</v>
      </c>
      <c r="BR1" s="154" t="str">
        <f t="shared" si="1"/>
        <v>y</v>
      </c>
      <c r="BS1" s="154" t="str">
        <f t="shared" si="1"/>
        <v>y</v>
      </c>
      <c r="BT1" s="154" t="str">
        <f t="shared" si="1"/>
        <v>y</v>
      </c>
      <c r="BU1" s="154" t="str">
        <f t="shared" si="1"/>
        <v>y</v>
      </c>
      <c r="BV1" s="154" t="str">
        <f t="shared" si="1"/>
        <v>y</v>
      </c>
      <c r="BW1" s="154" t="str">
        <f t="shared" si="1"/>
        <v>y</v>
      </c>
      <c r="BX1" s="154" t="str">
        <f t="shared" si="1"/>
        <v>y</v>
      </c>
      <c r="BY1" s="154" t="str">
        <f t="shared" si="1"/>
        <v>y</v>
      </c>
      <c r="BZ1" s="154" t="str">
        <f t="shared" si="1"/>
        <v>y</v>
      </c>
      <c r="CA1" s="154" t="str">
        <f t="shared" si="1"/>
        <v>y</v>
      </c>
      <c r="CB1" s="154" t="str">
        <f t="shared" si="1"/>
        <v>y</v>
      </c>
      <c r="CC1" s="154" t="str">
        <f t="shared" si="1"/>
        <v>y</v>
      </c>
      <c r="CD1" s="154" t="str">
        <f t="shared" si="1"/>
        <v>y</v>
      </c>
      <c r="CE1" s="154" t="str">
        <f t="shared" si="1"/>
        <v>y</v>
      </c>
      <c r="CF1" s="154" t="str">
        <f t="shared" si="1"/>
        <v>y</v>
      </c>
      <c r="CG1" s="154" t="str">
        <f t="shared" si="1"/>
        <v>y</v>
      </c>
      <c r="CH1" s="154" t="str">
        <f t="shared" si="1"/>
        <v>y</v>
      </c>
      <c r="CI1" s="154" t="str">
        <f t="shared" si="1"/>
        <v>y</v>
      </c>
      <c r="CJ1" s="154" t="str">
        <f t="shared" si="1"/>
        <v>y</v>
      </c>
      <c r="CK1" s="154" t="str">
        <f t="shared" si="1"/>
        <v>y</v>
      </c>
      <c r="CL1" s="154" t="str">
        <f t="shared" si="1"/>
        <v>y</v>
      </c>
      <c r="CM1" s="154" t="str">
        <f t="shared" si="1"/>
        <v>y</v>
      </c>
      <c r="CN1" s="154" t="str">
        <f t="shared" si="1"/>
        <v>y</v>
      </c>
      <c r="CO1" s="154" t="str">
        <f t="shared" si="1"/>
        <v>y</v>
      </c>
      <c r="CP1" s="154" t="str">
        <f t="shared" si="1"/>
        <v>y</v>
      </c>
      <c r="CQ1" s="154" t="str">
        <f t="shared" si="1"/>
        <v>y</v>
      </c>
      <c r="CR1" s="154" t="str">
        <f t="shared" si="1"/>
        <v>y</v>
      </c>
      <c r="CS1" s="154" t="str">
        <f t="shared" si="1"/>
        <v>y</v>
      </c>
      <c r="CT1" s="154" t="str">
        <f t="shared" si="1"/>
        <v>y</v>
      </c>
      <c r="CU1" s="154" t="str">
        <f t="shared" si="1"/>
        <v>y</v>
      </c>
      <c r="CV1" s="154" t="str">
        <f t="shared" si="1"/>
        <v>y</v>
      </c>
      <c r="CW1" s="154" t="str">
        <f t="shared" si="1"/>
        <v>y</v>
      </c>
      <c r="CX1" s="154" t="str">
        <f t="shared" si="1"/>
        <v>y</v>
      </c>
      <c r="CY1" s="154" t="str">
        <f t="shared" si="1"/>
        <v>y</v>
      </c>
      <c r="CZ1" s="154" t="str">
        <f t="shared" si="1"/>
        <v>y</v>
      </c>
      <c r="DA1" s="154" t="str">
        <f t="shared" si="1"/>
        <v>y</v>
      </c>
      <c r="DB1" s="154" t="str">
        <f t="shared" si="1"/>
        <v>y</v>
      </c>
      <c r="DC1" s="154" t="str">
        <f t="shared" si="1"/>
        <v>y</v>
      </c>
      <c r="DD1" s="154" t="str">
        <f t="shared" si="1"/>
        <v>y</v>
      </c>
      <c r="DE1" s="154" t="str">
        <f t="shared" si="1"/>
        <v>y</v>
      </c>
      <c r="DF1" s="154" t="str">
        <f t="shared" si="1"/>
        <v>y</v>
      </c>
      <c r="DG1" s="154" t="str">
        <f t="shared" si="1"/>
        <v>y</v>
      </c>
      <c r="DH1" s="154" t="str">
        <f t="shared" si="1"/>
        <v>y</v>
      </c>
      <c r="DI1" s="154" t="str">
        <f t="shared" si="1"/>
        <v>y</v>
      </c>
      <c r="DJ1" s="154" t="str">
        <f t="shared" si="1"/>
        <v>y</v>
      </c>
      <c r="DK1" s="154" t="str">
        <f t="shared" si="1"/>
        <v>y</v>
      </c>
      <c r="DL1" s="154" t="str">
        <f t="shared" si="1"/>
        <v>y</v>
      </c>
      <c r="DM1" s="154" t="str">
        <f t="shared" si="1"/>
        <v>y</v>
      </c>
      <c r="DN1" s="154" t="str">
        <f t="shared" si="1"/>
        <v>y</v>
      </c>
      <c r="DO1" s="154" t="str">
        <f t="shared" si="1"/>
        <v>y</v>
      </c>
      <c r="DP1" s="154" t="str">
        <f t="shared" si="1"/>
        <v>y</v>
      </c>
      <c r="DQ1" s="154" t="str">
        <f t="shared" si="1"/>
        <v>y</v>
      </c>
      <c r="DR1" s="154" t="str">
        <f t="shared" si="1"/>
        <v>y</v>
      </c>
      <c r="DS1" s="154" t="str">
        <f t="shared" si="1"/>
        <v>y</v>
      </c>
      <c r="DT1" s="154" t="str">
        <f t="shared" si="1"/>
        <v>y</v>
      </c>
      <c r="DU1" s="154" t="str">
        <f t="shared" si="1"/>
        <v>y</v>
      </c>
      <c r="DV1" s="154" t="str">
        <f t="shared" si="1"/>
        <v>y</v>
      </c>
      <c r="DW1" s="154" t="str">
        <f t="shared" si="1"/>
        <v>y</v>
      </c>
      <c r="DX1" s="154" t="str">
        <f t="shared" si="1"/>
        <v>y</v>
      </c>
      <c r="DY1" s="154" t="str">
        <f t="shared" si="1"/>
        <v>y</v>
      </c>
      <c r="DZ1" s="154" t="str">
        <f t="shared" si="1"/>
        <v>y</v>
      </c>
      <c r="EA1" s="154" t="str">
        <f t="shared" si="1"/>
        <v>y</v>
      </c>
      <c r="EB1" s="154" t="str">
        <f t="shared" ref="EB1:GM1" si="2">EB2&amp;"y"</f>
        <v>y</v>
      </c>
      <c r="EC1" s="154" t="str">
        <f t="shared" si="2"/>
        <v>y</v>
      </c>
      <c r="ED1" s="154" t="str">
        <f t="shared" si="2"/>
        <v>y</v>
      </c>
      <c r="EE1" s="154" t="str">
        <f t="shared" si="2"/>
        <v>y</v>
      </c>
      <c r="EF1" s="154" t="str">
        <f t="shared" si="2"/>
        <v>y</v>
      </c>
      <c r="EG1" s="154" t="str">
        <f t="shared" si="2"/>
        <v>y</v>
      </c>
      <c r="EH1" s="154" t="str">
        <f t="shared" si="2"/>
        <v>y</v>
      </c>
      <c r="EI1" s="154" t="str">
        <f t="shared" si="2"/>
        <v>y</v>
      </c>
      <c r="EJ1" s="154" t="str">
        <f t="shared" si="2"/>
        <v>y</v>
      </c>
      <c r="EK1" s="154" t="str">
        <f t="shared" si="2"/>
        <v>y</v>
      </c>
      <c r="EL1" s="154" t="str">
        <f t="shared" si="2"/>
        <v>y</v>
      </c>
      <c r="EM1" s="154" t="str">
        <f t="shared" si="2"/>
        <v>y</v>
      </c>
      <c r="EN1" s="154" t="str">
        <f t="shared" si="2"/>
        <v>y</v>
      </c>
      <c r="EO1" s="154" t="str">
        <f t="shared" si="2"/>
        <v>y</v>
      </c>
      <c r="EP1" s="154" t="str">
        <f t="shared" si="2"/>
        <v>y</v>
      </c>
      <c r="EQ1" s="154" t="str">
        <f t="shared" si="2"/>
        <v>y</v>
      </c>
      <c r="ER1" s="154" t="str">
        <f t="shared" si="2"/>
        <v>y</v>
      </c>
      <c r="ES1" s="154" t="str">
        <f t="shared" si="2"/>
        <v>y</v>
      </c>
      <c r="ET1" s="154" t="str">
        <f t="shared" si="2"/>
        <v>y</v>
      </c>
      <c r="EU1" s="154" t="str">
        <f t="shared" si="2"/>
        <v>y</v>
      </c>
      <c r="EV1" s="154" t="str">
        <f t="shared" si="2"/>
        <v>y</v>
      </c>
      <c r="EW1" s="154" t="str">
        <f t="shared" si="2"/>
        <v>y</v>
      </c>
      <c r="EX1" s="154" t="str">
        <f t="shared" si="2"/>
        <v>y</v>
      </c>
      <c r="EY1" s="154" t="str">
        <f t="shared" si="2"/>
        <v>y</v>
      </c>
      <c r="EZ1" s="154" t="str">
        <f t="shared" si="2"/>
        <v>y</v>
      </c>
      <c r="FA1" s="154" t="str">
        <f t="shared" si="2"/>
        <v>y</v>
      </c>
      <c r="FB1" s="154" t="str">
        <f t="shared" si="2"/>
        <v>y</v>
      </c>
      <c r="FC1" s="154" t="str">
        <f t="shared" si="2"/>
        <v>y</v>
      </c>
      <c r="FD1" s="154" t="str">
        <f t="shared" si="2"/>
        <v>y</v>
      </c>
      <c r="FE1" s="154" t="str">
        <f t="shared" si="2"/>
        <v>y</v>
      </c>
      <c r="FF1" s="154" t="str">
        <f t="shared" si="2"/>
        <v>y</v>
      </c>
      <c r="FG1" s="154" t="str">
        <f t="shared" si="2"/>
        <v>y</v>
      </c>
      <c r="FH1" s="154" t="str">
        <f t="shared" si="2"/>
        <v>y</v>
      </c>
      <c r="FI1" s="154" t="str">
        <f t="shared" si="2"/>
        <v>y</v>
      </c>
      <c r="FJ1" s="154" t="str">
        <f t="shared" si="2"/>
        <v>y</v>
      </c>
      <c r="FK1" s="154" t="str">
        <f t="shared" si="2"/>
        <v>y</v>
      </c>
      <c r="FL1" s="154" t="str">
        <f t="shared" si="2"/>
        <v>y</v>
      </c>
      <c r="FM1" s="154" t="str">
        <f t="shared" si="2"/>
        <v>y</v>
      </c>
      <c r="FN1" s="154" t="str">
        <f t="shared" si="2"/>
        <v>y</v>
      </c>
      <c r="FO1" s="154" t="str">
        <f t="shared" si="2"/>
        <v>y</v>
      </c>
      <c r="FP1" s="154" t="str">
        <f t="shared" si="2"/>
        <v>y</v>
      </c>
      <c r="FQ1" s="154" t="str">
        <f t="shared" si="2"/>
        <v>y</v>
      </c>
      <c r="FR1" s="154" t="str">
        <f t="shared" si="2"/>
        <v>y</v>
      </c>
      <c r="FS1" s="154" t="str">
        <f t="shared" si="2"/>
        <v>y</v>
      </c>
      <c r="FT1" s="154" t="str">
        <f t="shared" si="2"/>
        <v>y</v>
      </c>
      <c r="FU1" s="154" t="str">
        <f t="shared" si="2"/>
        <v>y</v>
      </c>
      <c r="FV1" s="154" t="str">
        <f t="shared" si="2"/>
        <v>y</v>
      </c>
      <c r="FW1" s="154" t="str">
        <f t="shared" si="2"/>
        <v>y</v>
      </c>
      <c r="FX1" s="154" t="str">
        <f t="shared" si="2"/>
        <v>y</v>
      </c>
      <c r="FY1" s="154" t="str">
        <f t="shared" si="2"/>
        <v>y</v>
      </c>
      <c r="FZ1" s="154" t="str">
        <f t="shared" si="2"/>
        <v>y</v>
      </c>
      <c r="GA1" s="154" t="str">
        <f t="shared" si="2"/>
        <v>y</v>
      </c>
      <c r="GB1" s="154" t="str">
        <f t="shared" si="2"/>
        <v>y</v>
      </c>
      <c r="GC1" s="154" t="str">
        <f t="shared" si="2"/>
        <v>y</v>
      </c>
      <c r="GD1" s="154" t="str">
        <f t="shared" si="2"/>
        <v>y</v>
      </c>
      <c r="GE1" s="154" t="str">
        <f t="shared" si="2"/>
        <v>y</v>
      </c>
      <c r="GF1" s="154" t="str">
        <f t="shared" si="2"/>
        <v>y</v>
      </c>
      <c r="GG1" s="154" t="str">
        <f t="shared" si="2"/>
        <v>y</v>
      </c>
      <c r="GH1" s="154" t="str">
        <f t="shared" si="2"/>
        <v>y</v>
      </c>
      <c r="GI1" s="154" t="str">
        <f t="shared" si="2"/>
        <v>y</v>
      </c>
      <c r="GJ1" s="154" t="str">
        <f t="shared" si="2"/>
        <v>y</v>
      </c>
      <c r="GK1" s="154" t="str">
        <f t="shared" si="2"/>
        <v>y</v>
      </c>
      <c r="GL1" s="154" t="str">
        <f t="shared" si="2"/>
        <v>y</v>
      </c>
      <c r="GM1" s="154" t="str">
        <f t="shared" si="2"/>
        <v>y</v>
      </c>
      <c r="GN1" s="154" t="str">
        <f t="shared" ref="GN1:IY1" si="3">GN2&amp;"y"</f>
        <v>y</v>
      </c>
      <c r="GO1" s="154" t="str">
        <f t="shared" si="3"/>
        <v>y</v>
      </c>
      <c r="GP1" s="154" t="str">
        <f t="shared" si="3"/>
        <v>y</v>
      </c>
      <c r="GQ1" s="154" t="str">
        <f t="shared" si="3"/>
        <v>y</v>
      </c>
      <c r="GR1" s="154" t="str">
        <f t="shared" si="3"/>
        <v>y</v>
      </c>
      <c r="GS1" s="154" t="str">
        <f t="shared" si="3"/>
        <v>y</v>
      </c>
      <c r="GT1" s="154" t="str">
        <f t="shared" si="3"/>
        <v>y</v>
      </c>
      <c r="GU1" s="154" t="str">
        <f t="shared" si="3"/>
        <v>y</v>
      </c>
      <c r="GV1" s="154" t="str">
        <f t="shared" si="3"/>
        <v>y</v>
      </c>
      <c r="GW1" s="154" t="str">
        <f t="shared" si="3"/>
        <v>y</v>
      </c>
      <c r="GX1" s="154" t="str">
        <f t="shared" si="3"/>
        <v>y</v>
      </c>
      <c r="GY1" s="154" t="str">
        <f t="shared" si="3"/>
        <v>y</v>
      </c>
      <c r="GZ1" s="154" t="str">
        <f t="shared" si="3"/>
        <v>y</v>
      </c>
      <c r="HA1" s="154" t="str">
        <f t="shared" si="3"/>
        <v>y</v>
      </c>
      <c r="HB1" s="154" t="str">
        <f t="shared" si="3"/>
        <v>y</v>
      </c>
      <c r="HC1" s="154" t="str">
        <f t="shared" si="3"/>
        <v>y</v>
      </c>
      <c r="HD1" s="154" t="str">
        <f t="shared" si="3"/>
        <v>y</v>
      </c>
      <c r="HE1" s="154" t="str">
        <f t="shared" si="3"/>
        <v>y</v>
      </c>
      <c r="HF1" s="154" t="str">
        <f t="shared" si="3"/>
        <v>y</v>
      </c>
      <c r="HG1" s="154" t="str">
        <f t="shared" si="3"/>
        <v>y</v>
      </c>
      <c r="HH1" s="154" t="str">
        <f t="shared" si="3"/>
        <v>y</v>
      </c>
      <c r="HI1" s="154" t="str">
        <f t="shared" si="3"/>
        <v>y</v>
      </c>
      <c r="HJ1" s="154" t="str">
        <f t="shared" si="3"/>
        <v>y</v>
      </c>
      <c r="HK1" s="154" t="str">
        <f t="shared" si="3"/>
        <v>y</v>
      </c>
      <c r="HL1" s="154" t="str">
        <f t="shared" si="3"/>
        <v>y</v>
      </c>
      <c r="HM1" s="154" t="str">
        <f t="shared" si="3"/>
        <v>y</v>
      </c>
      <c r="HN1" s="154" t="str">
        <f t="shared" si="3"/>
        <v>y</v>
      </c>
      <c r="HO1" s="154" t="str">
        <f t="shared" si="3"/>
        <v>y</v>
      </c>
      <c r="HP1" s="154" t="str">
        <f t="shared" si="3"/>
        <v>y</v>
      </c>
      <c r="HQ1" s="154" t="str">
        <f t="shared" si="3"/>
        <v>y</v>
      </c>
      <c r="HR1" s="154" t="str">
        <f t="shared" si="3"/>
        <v>y</v>
      </c>
      <c r="HS1" s="154" t="str">
        <f t="shared" si="3"/>
        <v>y</v>
      </c>
      <c r="HT1" s="154" t="str">
        <f t="shared" si="3"/>
        <v>y</v>
      </c>
      <c r="HU1" s="154" t="str">
        <f t="shared" si="3"/>
        <v>y</v>
      </c>
      <c r="HV1" s="154" t="str">
        <f t="shared" si="3"/>
        <v>y</v>
      </c>
      <c r="HW1" s="154" t="str">
        <f t="shared" si="3"/>
        <v>y</v>
      </c>
      <c r="HX1" s="154" t="str">
        <f t="shared" si="3"/>
        <v>y</v>
      </c>
      <c r="HY1" s="154" t="str">
        <f t="shared" si="3"/>
        <v>y</v>
      </c>
      <c r="HZ1" s="154" t="str">
        <f t="shared" si="3"/>
        <v>y</v>
      </c>
      <c r="IA1" s="154" t="str">
        <f t="shared" si="3"/>
        <v>y</v>
      </c>
      <c r="IB1" s="154" t="str">
        <f t="shared" si="3"/>
        <v>y</v>
      </c>
      <c r="IC1" s="154" t="str">
        <f t="shared" si="3"/>
        <v>y</v>
      </c>
      <c r="ID1" s="154" t="str">
        <f t="shared" si="3"/>
        <v>y</v>
      </c>
      <c r="IE1" s="154" t="str">
        <f t="shared" si="3"/>
        <v>y</v>
      </c>
      <c r="IF1" s="154" t="str">
        <f t="shared" si="3"/>
        <v>y</v>
      </c>
      <c r="IG1" s="154" t="str">
        <f t="shared" si="3"/>
        <v>y</v>
      </c>
      <c r="IH1" s="154" t="str">
        <f t="shared" si="3"/>
        <v>y</v>
      </c>
      <c r="II1" s="154" t="str">
        <f t="shared" si="3"/>
        <v>y</v>
      </c>
      <c r="IJ1" s="154" t="str">
        <f t="shared" si="3"/>
        <v>y</v>
      </c>
      <c r="IK1" s="154" t="str">
        <f t="shared" si="3"/>
        <v>y</v>
      </c>
      <c r="IL1" s="154" t="str">
        <f t="shared" si="3"/>
        <v>y</v>
      </c>
      <c r="IM1" s="154" t="str">
        <f t="shared" si="3"/>
        <v>y</v>
      </c>
      <c r="IN1" s="154" t="str">
        <f t="shared" si="3"/>
        <v>y</v>
      </c>
      <c r="IO1" s="154" t="str">
        <f t="shared" si="3"/>
        <v>y</v>
      </c>
      <c r="IP1" s="154" t="str">
        <f t="shared" si="3"/>
        <v>y</v>
      </c>
      <c r="IQ1" s="154" t="str">
        <f t="shared" si="3"/>
        <v>y</v>
      </c>
      <c r="IR1" s="154" t="str">
        <f t="shared" si="3"/>
        <v>y</v>
      </c>
      <c r="IS1" s="154" t="str">
        <f t="shared" si="3"/>
        <v>y</v>
      </c>
      <c r="IT1" s="154" t="str">
        <f t="shared" si="3"/>
        <v>y</v>
      </c>
      <c r="IU1" s="154" t="str">
        <f t="shared" si="3"/>
        <v>y</v>
      </c>
      <c r="IV1" s="154" t="str">
        <f t="shared" si="3"/>
        <v>y</v>
      </c>
      <c r="IW1" s="154" t="str">
        <f t="shared" si="3"/>
        <v>y</v>
      </c>
      <c r="IX1" s="154" t="str">
        <f t="shared" si="3"/>
        <v>y</v>
      </c>
      <c r="IY1" s="154" t="str">
        <f t="shared" si="3"/>
        <v>y</v>
      </c>
      <c r="IZ1" s="154" t="str">
        <f t="shared" ref="IZ1:LK1" si="4">IZ2&amp;"y"</f>
        <v>y</v>
      </c>
      <c r="JA1" s="154" t="str">
        <f t="shared" si="4"/>
        <v>y</v>
      </c>
      <c r="JB1" s="154" t="str">
        <f t="shared" si="4"/>
        <v>y</v>
      </c>
      <c r="JC1" s="154" t="str">
        <f t="shared" si="4"/>
        <v>y</v>
      </c>
      <c r="JD1" s="154" t="str">
        <f t="shared" si="4"/>
        <v>y</v>
      </c>
      <c r="JE1" s="154" t="str">
        <f t="shared" si="4"/>
        <v>y</v>
      </c>
      <c r="JF1" s="154" t="str">
        <f t="shared" si="4"/>
        <v>y</v>
      </c>
      <c r="JG1" s="154" t="str">
        <f t="shared" si="4"/>
        <v>y</v>
      </c>
      <c r="JH1" s="154" t="str">
        <f t="shared" si="4"/>
        <v>y</v>
      </c>
      <c r="JI1" s="154" t="str">
        <f t="shared" si="4"/>
        <v>y</v>
      </c>
      <c r="JJ1" s="154" t="str">
        <f t="shared" si="4"/>
        <v>y</v>
      </c>
      <c r="JK1" s="154" t="str">
        <f t="shared" si="4"/>
        <v>y</v>
      </c>
      <c r="JL1" s="154" t="str">
        <f t="shared" si="4"/>
        <v>y</v>
      </c>
      <c r="JM1" s="154" t="str">
        <f t="shared" si="4"/>
        <v>y</v>
      </c>
      <c r="JN1" s="154" t="str">
        <f t="shared" si="4"/>
        <v>y</v>
      </c>
      <c r="JO1" s="154" t="str">
        <f t="shared" si="4"/>
        <v>y</v>
      </c>
      <c r="JP1" s="154" t="str">
        <f t="shared" si="4"/>
        <v>y</v>
      </c>
      <c r="JQ1" s="154" t="str">
        <f t="shared" si="4"/>
        <v>y</v>
      </c>
      <c r="JR1" s="154" t="str">
        <f t="shared" si="4"/>
        <v>y</v>
      </c>
      <c r="JS1" s="154" t="str">
        <f t="shared" si="4"/>
        <v>y</v>
      </c>
      <c r="JT1" s="154" t="str">
        <f t="shared" si="4"/>
        <v>y</v>
      </c>
      <c r="JU1" s="154" t="str">
        <f t="shared" si="4"/>
        <v>y</v>
      </c>
      <c r="JV1" s="154" t="str">
        <f t="shared" si="4"/>
        <v>y</v>
      </c>
      <c r="JW1" s="154" t="str">
        <f t="shared" si="4"/>
        <v>y</v>
      </c>
      <c r="JX1" s="154" t="str">
        <f t="shared" si="4"/>
        <v>y</v>
      </c>
      <c r="JY1" s="154" t="str">
        <f t="shared" si="4"/>
        <v>y</v>
      </c>
      <c r="JZ1" s="154" t="str">
        <f t="shared" si="4"/>
        <v>y</v>
      </c>
      <c r="KA1" s="154" t="str">
        <f t="shared" si="4"/>
        <v>y</v>
      </c>
      <c r="KB1" s="154" t="str">
        <f t="shared" si="4"/>
        <v>y</v>
      </c>
      <c r="KC1" s="154" t="str">
        <f t="shared" si="4"/>
        <v>y</v>
      </c>
      <c r="KD1" s="154" t="str">
        <f t="shared" si="4"/>
        <v>y</v>
      </c>
      <c r="KE1" s="154" t="str">
        <f t="shared" si="4"/>
        <v>y</v>
      </c>
      <c r="KF1" s="154" t="str">
        <f t="shared" si="4"/>
        <v>y</v>
      </c>
      <c r="KG1" s="154" t="str">
        <f t="shared" si="4"/>
        <v>y</v>
      </c>
      <c r="KH1" s="154" t="str">
        <f t="shared" si="4"/>
        <v>y</v>
      </c>
      <c r="KI1" s="154" t="str">
        <f t="shared" si="4"/>
        <v>y</v>
      </c>
      <c r="KJ1" s="154" t="str">
        <f t="shared" si="4"/>
        <v>y</v>
      </c>
      <c r="KK1" s="154" t="str">
        <f t="shared" si="4"/>
        <v>y</v>
      </c>
      <c r="KL1" s="154" t="str">
        <f t="shared" si="4"/>
        <v>y</v>
      </c>
      <c r="KM1" s="154" t="str">
        <f t="shared" si="4"/>
        <v>y</v>
      </c>
      <c r="KN1" s="154" t="str">
        <f t="shared" si="4"/>
        <v>y</v>
      </c>
      <c r="KO1" s="154" t="str">
        <f t="shared" si="4"/>
        <v>y</v>
      </c>
      <c r="KP1" s="154" t="str">
        <f t="shared" si="4"/>
        <v>y</v>
      </c>
      <c r="KQ1" s="154" t="str">
        <f t="shared" si="4"/>
        <v>y</v>
      </c>
      <c r="KR1" s="154" t="str">
        <f t="shared" si="4"/>
        <v>y</v>
      </c>
      <c r="KS1" s="154" t="str">
        <f t="shared" si="4"/>
        <v>y</v>
      </c>
      <c r="KT1" s="154" t="str">
        <f t="shared" si="4"/>
        <v>y</v>
      </c>
      <c r="KU1" s="154" t="str">
        <f t="shared" si="4"/>
        <v>y</v>
      </c>
      <c r="KV1" s="154" t="str">
        <f t="shared" si="4"/>
        <v>y</v>
      </c>
      <c r="KW1" s="154" t="str">
        <f t="shared" si="4"/>
        <v>y</v>
      </c>
      <c r="KX1" s="154" t="str">
        <f t="shared" si="4"/>
        <v>y</v>
      </c>
      <c r="KY1" s="154" t="str">
        <f t="shared" si="4"/>
        <v>y</v>
      </c>
      <c r="KZ1" s="154" t="str">
        <f t="shared" si="4"/>
        <v>y</v>
      </c>
      <c r="LA1" s="154" t="str">
        <f t="shared" si="4"/>
        <v>y</v>
      </c>
      <c r="LB1" s="154" t="str">
        <f t="shared" si="4"/>
        <v>y</v>
      </c>
      <c r="LC1" s="154" t="str">
        <f t="shared" si="4"/>
        <v>y</v>
      </c>
      <c r="LD1" s="154" t="str">
        <f t="shared" si="4"/>
        <v>y</v>
      </c>
      <c r="LE1" s="154" t="str">
        <f t="shared" si="4"/>
        <v>y</v>
      </c>
      <c r="LF1" s="154" t="str">
        <f t="shared" si="4"/>
        <v>y</v>
      </c>
      <c r="LG1" s="154" t="str">
        <f t="shared" si="4"/>
        <v>y</v>
      </c>
      <c r="LH1" s="154" t="str">
        <f t="shared" si="4"/>
        <v>y</v>
      </c>
      <c r="LI1" s="154" t="str">
        <f t="shared" si="4"/>
        <v>y</v>
      </c>
      <c r="LJ1" s="154" t="str">
        <f t="shared" si="4"/>
        <v>y</v>
      </c>
      <c r="LK1" s="154" t="str">
        <f t="shared" si="4"/>
        <v>y</v>
      </c>
      <c r="LL1" s="154" t="str">
        <f t="shared" ref="LL1:NW1" si="5">LL2&amp;"y"</f>
        <v>y</v>
      </c>
      <c r="LM1" s="154" t="str">
        <f t="shared" si="5"/>
        <v>y</v>
      </c>
      <c r="LN1" s="154" t="str">
        <f t="shared" si="5"/>
        <v>y</v>
      </c>
      <c r="LO1" s="154" t="str">
        <f t="shared" si="5"/>
        <v>y</v>
      </c>
      <c r="LP1" s="154" t="str">
        <f t="shared" si="5"/>
        <v>y</v>
      </c>
      <c r="LQ1" s="154" t="str">
        <f t="shared" si="5"/>
        <v>y</v>
      </c>
      <c r="LR1" s="154" t="str">
        <f t="shared" si="5"/>
        <v>y</v>
      </c>
      <c r="LS1" s="154" t="str">
        <f t="shared" si="5"/>
        <v>y</v>
      </c>
      <c r="LT1" s="154" t="str">
        <f t="shared" si="5"/>
        <v>y</v>
      </c>
      <c r="LU1" s="154" t="str">
        <f t="shared" si="5"/>
        <v>y</v>
      </c>
      <c r="LV1" s="154" t="str">
        <f t="shared" si="5"/>
        <v>y</v>
      </c>
      <c r="LW1" s="154" t="str">
        <f t="shared" si="5"/>
        <v>y</v>
      </c>
      <c r="LX1" s="154" t="str">
        <f t="shared" si="5"/>
        <v>y</v>
      </c>
      <c r="LY1" s="154" t="str">
        <f t="shared" si="5"/>
        <v>y</v>
      </c>
      <c r="LZ1" s="154" t="str">
        <f t="shared" si="5"/>
        <v>y</v>
      </c>
      <c r="MA1" s="154" t="str">
        <f t="shared" si="5"/>
        <v>y</v>
      </c>
      <c r="MB1" s="154" t="str">
        <f t="shared" si="5"/>
        <v>y</v>
      </c>
      <c r="MC1" s="154" t="str">
        <f t="shared" si="5"/>
        <v>y</v>
      </c>
      <c r="MD1" s="154" t="str">
        <f t="shared" si="5"/>
        <v>y</v>
      </c>
      <c r="ME1" s="154" t="str">
        <f t="shared" si="5"/>
        <v>y</v>
      </c>
      <c r="MF1" s="154" t="str">
        <f t="shared" si="5"/>
        <v>y</v>
      </c>
      <c r="MG1" s="154" t="str">
        <f t="shared" si="5"/>
        <v>y</v>
      </c>
      <c r="MH1" s="154" t="str">
        <f t="shared" si="5"/>
        <v>y</v>
      </c>
      <c r="MI1" s="154" t="str">
        <f t="shared" si="5"/>
        <v>y</v>
      </c>
      <c r="MJ1" s="154" t="str">
        <f t="shared" si="5"/>
        <v>y</v>
      </c>
      <c r="MK1" s="154" t="str">
        <f t="shared" si="5"/>
        <v>y</v>
      </c>
      <c r="ML1" s="154" t="str">
        <f t="shared" si="5"/>
        <v>y</v>
      </c>
      <c r="MM1" s="154" t="str">
        <f t="shared" si="5"/>
        <v>y</v>
      </c>
      <c r="MN1" s="154" t="str">
        <f t="shared" si="5"/>
        <v>y</v>
      </c>
      <c r="MO1" s="154" t="str">
        <f t="shared" si="5"/>
        <v>y</v>
      </c>
      <c r="MP1" s="154" t="str">
        <f t="shared" si="5"/>
        <v>y</v>
      </c>
      <c r="MQ1" s="154" t="str">
        <f t="shared" si="5"/>
        <v>y</v>
      </c>
      <c r="MR1" s="154" t="str">
        <f t="shared" si="5"/>
        <v>y</v>
      </c>
      <c r="MS1" s="154" t="str">
        <f t="shared" si="5"/>
        <v>y</v>
      </c>
      <c r="MT1" s="154" t="str">
        <f t="shared" si="5"/>
        <v>y</v>
      </c>
      <c r="MU1" s="154" t="str">
        <f t="shared" si="5"/>
        <v>y</v>
      </c>
      <c r="MV1" s="154" t="str">
        <f t="shared" si="5"/>
        <v>y</v>
      </c>
      <c r="MW1" s="154" t="str">
        <f t="shared" si="5"/>
        <v>y</v>
      </c>
      <c r="MX1" s="154" t="str">
        <f t="shared" si="5"/>
        <v>y</v>
      </c>
      <c r="MY1" s="154" t="str">
        <f t="shared" si="5"/>
        <v>y</v>
      </c>
      <c r="MZ1" s="154" t="str">
        <f t="shared" si="5"/>
        <v>y</v>
      </c>
      <c r="NA1" s="154" t="str">
        <f t="shared" si="5"/>
        <v>y</v>
      </c>
      <c r="NB1" s="154" t="str">
        <f t="shared" si="5"/>
        <v>y</v>
      </c>
      <c r="NC1" s="154" t="str">
        <f t="shared" si="5"/>
        <v>y</v>
      </c>
      <c r="ND1" s="154" t="str">
        <f t="shared" si="5"/>
        <v>y</v>
      </c>
      <c r="NE1" s="154" t="str">
        <f t="shared" si="5"/>
        <v>y</v>
      </c>
      <c r="NF1" s="154" t="str">
        <f t="shared" si="5"/>
        <v>y</v>
      </c>
      <c r="NG1" s="154" t="str">
        <f t="shared" si="5"/>
        <v>y</v>
      </c>
      <c r="NH1" s="154" t="str">
        <f t="shared" si="5"/>
        <v>y</v>
      </c>
      <c r="NI1" s="154" t="str">
        <f t="shared" si="5"/>
        <v>y</v>
      </c>
      <c r="NJ1" s="154" t="str">
        <f t="shared" si="5"/>
        <v>y</v>
      </c>
      <c r="NK1" s="154" t="str">
        <f t="shared" si="5"/>
        <v>y</v>
      </c>
      <c r="NL1" s="154" t="str">
        <f t="shared" si="5"/>
        <v>y</v>
      </c>
      <c r="NM1" s="154" t="str">
        <f t="shared" si="5"/>
        <v>y</v>
      </c>
      <c r="NN1" s="154" t="str">
        <f t="shared" si="5"/>
        <v>y</v>
      </c>
      <c r="NO1" s="154" t="str">
        <f t="shared" si="5"/>
        <v>y</v>
      </c>
      <c r="NP1" s="154" t="str">
        <f t="shared" si="5"/>
        <v>y</v>
      </c>
      <c r="NQ1" s="154" t="str">
        <f t="shared" si="5"/>
        <v>y</v>
      </c>
      <c r="NR1" s="154" t="str">
        <f t="shared" si="5"/>
        <v>y</v>
      </c>
      <c r="NS1" s="154" t="str">
        <f t="shared" si="5"/>
        <v>y</v>
      </c>
      <c r="NT1" s="154" t="str">
        <f t="shared" si="5"/>
        <v>y</v>
      </c>
      <c r="NU1" s="154" t="str">
        <f t="shared" si="5"/>
        <v>y</v>
      </c>
      <c r="NV1" s="154" t="str">
        <f t="shared" si="5"/>
        <v>y</v>
      </c>
      <c r="NW1" s="154" t="str">
        <f t="shared" si="5"/>
        <v>y</v>
      </c>
      <c r="NX1" s="154" t="str">
        <f t="shared" ref="NX1:QI1" si="6">NX2&amp;"y"</f>
        <v>y</v>
      </c>
      <c r="NY1" s="154" t="str">
        <f t="shared" si="6"/>
        <v>y</v>
      </c>
      <c r="NZ1" s="154" t="str">
        <f t="shared" si="6"/>
        <v>y</v>
      </c>
      <c r="OA1" s="154" t="str">
        <f t="shared" si="6"/>
        <v>y</v>
      </c>
      <c r="OB1" s="154" t="str">
        <f t="shared" si="6"/>
        <v>y</v>
      </c>
      <c r="OC1" s="154" t="str">
        <f t="shared" si="6"/>
        <v>y</v>
      </c>
      <c r="OD1" s="154" t="str">
        <f t="shared" si="6"/>
        <v>y</v>
      </c>
      <c r="OE1" s="154" t="str">
        <f t="shared" si="6"/>
        <v>y</v>
      </c>
      <c r="OF1" s="154" t="str">
        <f t="shared" si="6"/>
        <v>y</v>
      </c>
      <c r="OG1" s="154" t="str">
        <f t="shared" si="6"/>
        <v>y</v>
      </c>
      <c r="OH1" s="154" t="str">
        <f t="shared" si="6"/>
        <v>y</v>
      </c>
      <c r="OI1" s="154" t="str">
        <f t="shared" si="6"/>
        <v>y</v>
      </c>
      <c r="OJ1" s="154" t="str">
        <f t="shared" si="6"/>
        <v>y</v>
      </c>
      <c r="OK1" s="154" t="str">
        <f t="shared" si="6"/>
        <v>y</v>
      </c>
      <c r="OL1" s="154" t="str">
        <f t="shared" si="6"/>
        <v>y</v>
      </c>
      <c r="OM1" s="154" t="str">
        <f t="shared" si="6"/>
        <v>y</v>
      </c>
      <c r="ON1" s="154" t="str">
        <f t="shared" si="6"/>
        <v>y</v>
      </c>
      <c r="OO1" s="154" t="str">
        <f t="shared" si="6"/>
        <v>y</v>
      </c>
      <c r="OP1" s="154" t="str">
        <f t="shared" si="6"/>
        <v>y</v>
      </c>
      <c r="OQ1" s="154" t="str">
        <f t="shared" si="6"/>
        <v>y</v>
      </c>
      <c r="OR1" s="154" t="str">
        <f t="shared" si="6"/>
        <v>y</v>
      </c>
      <c r="OS1" s="154" t="str">
        <f t="shared" si="6"/>
        <v>y</v>
      </c>
      <c r="OT1" s="154" t="str">
        <f t="shared" si="6"/>
        <v>y</v>
      </c>
      <c r="OU1" s="154" t="str">
        <f t="shared" si="6"/>
        <v>y</v>
      </c>
      <c r="OV1" s="154" t="str">
        <f t="shared" si="6"/>
        <v>y</v>
      </c>
      <c r="OW1" s="154" t="str">
        <f t="shared" si="6"/>
        <v>y</v>
      </c>
      <c r="OX1" s="154" t="str">
        <f t="shared" si="6"/>
        <v>y</v>
      </c>
      <c r="OY1" s="154" t="str">
        <f t="shared" si="6"/>
        <v>y</v>
      </c>
      <c r="OZ1" s="154" t="str">
        <f t="shared" si="6"/>
        <v>y</v>
      </c>
      <c r="PA1" s="154" t="str">
        <f t="shared" si="6"/>
        <v>y</v>
      </c>
      <c r="PB1" s="154" t="str">
        <f t="shared" si="6"/>
        <v>y</v>
      </c>
      <c r="PC1" s="154" t="str">
        <f t="shared" si="6"/>
        <v>y</v>
      </c>
      <c r="PD1" s="154" t="str">
        <f t="shared" si="6"/>
        <v>y</v>
      </c>
      <c r="PE1" s="154" t="str">
        <f t="shared" si="6"/>
        <v>y</v>
      </c>
      <c r="PF1" s="154" t="str">
        <f t="shared" si="6"/>
        <v>y</v>
      </c>
      <c r="PG1" s="154" t="str">
        <f t="shared" si="6"/>
        <v>y</v>
      </c>
      <c r="PH1" s="154" t="str">
        <f t="shared" si="6"/>
        <v>y</v>
      </c>
      <c r="PI1" s="154" t="str">
        <f t="shared" si="6"/>
        <v>y</v>
      </c>
      <c r="PJ1" s="154" t="str">
        <f t="shared" si="6"/>
        <v>y</v>
      </c>
      <c r="PK1" s="154" t="str">
        <f t="shared" si="6"/>
        <v>y</v>
      </c>
      <c r="PL1" s="154" t="str">
        <f t="shared" si="6"/>
        <v>y</v>
      </c>
      <c r="PM1" s="154" t="str">
        <f t="shared" si="6"/>
        <v>y</v>
      </c>
      <c r="PN1" s="154" t="str">
        <f t="shared" si="6"/>
        <v>y</v>
      </c>
      <c r="PO1" s="154" t="str">
        <f t="shared" si="6"/>
        <v>y</v>
      </c>
      <c r="PP1" s="154" t="str">
        <f t="shared" si="6"/>
        <v>y</v>
      </c>
      <c r="PQ1" s="154" t="str">
        <f t="shared" si="6"/>
        <v>y</v>
      </c>
      <c r="PR1" s="154" t="str">
        <f t="shared" si="6"/>
        <v>y</v>
      </c>
      <c r="PS1" s="154" t="str">
        <f t="shared" si="6"/>
        <v>y</v>
      </c>
      <c r="PT1" s="154" t="str">
        <f t="shared" si="6"/>
        <v>y</v>
      </c>
      <c r="PU1" s="154" t="str">
        <f t="shared" si="6"/>
        <v>y</v>
      </c>
      <c r="PV1" s="154" t="str">
        <f t="shared" si="6"/>
        <v>y</v>
      </c>
      <c r="PW1" s="154" t="str">
        <f t="shared" si="6"/>
        <v>y</v>
      </c>
      <c r="PX1" s="154" t="str">
        <f t="shared" si="6"/>
        <v>y</v>
      </c>
      <c r="PY1" s="154" t="str">
        <f t="shared" si="6"/>
        <v>y</v>
      </c>
      <c r="PZ1" s="154" t="str">
        <f t="shared" si="6"/>
        <v>y</v>
      </c>
      <c r="QA1" s="154" t="str">
        <f t="shared" si="6"/>
        <v>y</v>
      </c>
      <c r="QB1" s="154" t="str">
        <f t="shared" si="6"/>
        <v>y</v>
      </c>
      <c r="QC1" s="154" t="str">
        <f t="shared" si="6"/>
        <v>y</v>
      </c>
      <c r="QD1" s="154" t="str">
        <f t="shared" si="6"/>
        <v>y</v>
      </c>
      <c r="QE1" s="154" t="str">
        <f t="shared" si="6"/>
        <v>y</v>
      </c>
      <c r="QF1" s="154" t="str">
        <f t="shared" si="6"/>
        <v>y</v>
      </c>
      <c r="QG1" s="154" t="str">
        <f t="shared" si="6"/>
        <v>y</v>
      </c>
      <c r="QH1" s="154" t="str">
        <f t="shared" si="6"/>
        <v>y</v>
      </c>
      <c r="QI1" s="154" t="str">
        <f t="shared" si="6"/>
        <v>y</v>
      </c>
      <c r="QJ1" s="154" t="str">
        <f t="shared" ref="QJ1:SU1" si="7">QJ2&amp;"y"</f>
        <v>y</v>
      </c>
      <c r="QK1" s="154" t="str">
        <f t="shared" si="7"/>
        <v>y</v>
      </c>
      <c r="QL1" s="154" t="str">
        <f t="shared" si="7"/>
        <v>y</v>
      </c>
      <c r="QM1" s="154" t="str">
        <f t="shared" si="7"/>
        <v>y</v>
      </c>
      <c r="QN1" s="154" t="str">
        <f t="shared" si="7"/>
        <v>y</v>
      </c>
      <c r="QO1" s="154" t="str">
        <f t="shared" si="7"/>
        <v>y</v>
      </c>
      <c r="QP1" s="154" t="str">
        <f t="shared" si="7"/>
        <v>y</v>
      </c>
      <c r="QQ1" s="154" t="str">
        <f t="shared" si="7"/>
        <v>y</v>
      </c>
      <c r="QR1" s="154" t="str">
        <f t="shared" si="7"/>
        <v>y</v>
      </c>
      <c r="QS1" s="154" t="str">
        <f t="shared" si="7"/>
        <v>y</v>
      </c>
      <c r="QT1" s="154" t="str">
        <f t="shared" si="7"/>
        <v>y</v>
      </c>
      <c r="QU1" s="154" t="str">
        <f t="shared" si="7"/>
        <v>y</v>
      </c>
      <c r="QV1" s="154" t="str">
        <f t="shared" si="7"/>
        <v>y</v>
      </c>
      <c r="QW1" s="154" t="str">
        <f t="shared" si="7"/>
        <v>y</v>
      </c>
      <c r="QX1" s="154" t="str">
        <f t="shared" si="7"/>
        <v>y</v>
      </c>
      <c r="QY1" s="154" t="str">
        <f t="shared" si="7"/>
        <v>y</v>
      </c>
      <c r="QZ1" s="154" t="str">
        <f t="shared" si="7"/>
        <v>y</v>
      </c>
      <c r="RA1" s="154" t="str">
        <f t="shared" si="7"/>
        <v>y</v>
      </c>
      <c r="RB1" s="154" t="str">
        <f t="shared" si="7"/>
        <v>y</v>
      </c>
      <c r="RC1" s="154" t="str">
        <f t="shared" si="7"/>
        <v>y</v>
      </c>
      <c r="RD1" s="154" t="str">
        <f t="shared" si="7"/>
        <v>y</v>
      </c>
      <c r="RE1" s="154" t="str">
        <f t="shared" si="7"/>
        <v>y</v>
      </c>
      <c r="RF1" s="154" t="str">
        <f t="shared" si="7"/>
        <v>y</v>
      </c>
      <c r="RG1" s="154" t="str">
        <f t="shared" si="7"/>
        <v>y</v>
      </c>
      <c r="RH1" s="154" t="str">
        <f t="shared" si="7"/>
        <v>y</v>
      </c>
      <c r="RI1" s="154" t="str">
        <f t="shared" si="7"/>
        <v>y</v>
      </c>
      <c r="RJ1" s="154" t="str">
        <f t="shared" si="7"/>
        <v>y</v>
      </c>
      <c r="RK1" s="154" t="str">
        <f t="shared" si="7"/>
        <v>y</v>
      </c>
      <c r="RL1" s="154" t="str">
        <f t="shared" si="7"/>
        <v>y</v>
      </c>
      <c r="RM1" s="154" t="str">
        <f t="shared" si="7"/>
        <v>y</v>
      </c>
      <c r="RN1" s="154" t="str">
        <f t="shared" si="7"/>
        <v>y</v>
      </c>
      <c r="RO1" s="154" t="str">
        <f t="shared" si="7"/>
        <v>y</v>
      </c>
      <c r="RP1" s="154" t="str">
        <f t="shared" si="7"/>
        <v>y</v>
      </c>
      <c r="RQ1" s="154" t="str">
        <f t="shared" si="7"/>
        <v>y</v>
      </c>
      <c r="RR1" s="154" t="str">
        <f t="shared" si="7"/>
        <v>y</v>
      </c>
      <c r="RS1" s="154" t="str">
        <f t="shared" si="7"/>
        <v>y</v>
      </c>
      <c r="RT1" s="154" t="str">
        <f t="shared" si="7"/>
        <v>y</v>
      </c>
      <c r="RU1" s="154" t="str">
        <f t="shared" si="7"/>
        <v>y</v>
      </c>
      <c r="RV1" s="154" t="str">
        <f t="shared" si="7"/>
        <v>y</v>
      </c>
      <c r="RW1" s="154" t="str">
        <f t="shared" si="7"/>
        <v>y</v>
      </c>
      <c r="RX1" s="154" t="str">
        <f t="shared" si="7"/>
        <v>y</v>
      </c>
      <c r="RY1" s="154" t="str">
        <f t="shared" si="7"/>
        <v>y</v>
      </c>
      <c r="RZ1" s="154" t="str">
        <f t="shared" si="7"/>
        <v>y</v>
      </c>
      <c r="SA1" s="154" t="str">
        <f t="shared" si="7"/>
        <v>y</v>
      </c>
      <c r="SB1" s="154" t="str">
        <f t="shared" si="7"/>
        <v>y</v>
      </c>
      <c r="SC1" s="154" t="str">
        <f t="shared" si="7"/>
        <v>y</v>
      </c>
      <c r="SD1" s="154" t="str">
        <f t="shared" si="7"/>
        <v>y</v>
      </c>
      <c r="SE1" s="154" t="str">
        <f t="shared" si="7"/>
        <v>y</v>
      </c>
      <c r="SF1" s="154" t="str">
        <f t="shared" si="7"/>
        <v>y</v>
      </c>
      <c r="SG1" s="154" t="str">
        <f t="shared" si="7"/>
        <v>y</v>
      </c>
      <c r="SH1" s="154" t="str">
        <f t="shared" si="7"/>
        <v>y</v>
      </c>
      <c r="SI1" s="154" t="str">
        <f t="shared" si="7"/>
        <v>y</v>
      </c>
      <c r="SJ1" s="154" t="str">
        <f t="shared" si="7"/>
        <v>y</v>
      </c>
      <c r="SK1" s="154" t="str">
        <f t="shared" si="7"/>
        <v>y</v>
      </c>
      <c r="SL1" s="154" t="str">
        <f t="shared" si="7"/>
        <v>y</v>
      </c>
      <c r="SM1" s="154" t="str">
        <f t="shared" si="7"/>
        <v>y</v>
      </c>
      <c r="SN1" s="154" t="str">
        <f t="shared" si="7"/>
        <v>y</v>
      </c>
      <c r="SO1" s="154" t="str">
        <f t="shared" si="7"/>
        <v>y</v>
      </c>
      <c r="SP1" s="154" t="str">
        <f t="shared" si="7"/>
        <v>y</v>
      </c>
      <c r="SQ1" s="154" t="str">
        <f t="shared" si="7"/>
        <v>y</v>
      </c>
      <c r="SR1" s="154" t="str">
        <f t="shared" si="7"/>
        <v>y</v>
      </c>
      <c r="SS1" s="154" t="str">
        <f t="shared" si="7"/>
        <v>y</v>
      </c>
      <c r="ST1" s="154" t="str">
        <f t="shared" si="7"/>
        <v>y</v>
      </c>
      <c r="SU1" s="154" t="str">
        <f t="shared" si="7"/>
        <v>y</v>
      </c>
      <c r="SV1" s="154" t="str">
        <f t="shared" ref="SV1:VG1" si="8">SV2&amp;"y"</f>
        <v>y</v>
      </c>
      <c r="SW1" s="154" t="str">
        <f t="shared" si="8"/>
        <v>y</v>
      </c>
      <c r="SX1" s="154" t="str">
        <f t="shared" si="8"/>
        <v>y</v>
      </c>
      <c r="SY1" s="154" t="str">
        <f t="shared" si="8"/>
        <v>y</v>
      </c>
      <c r="SZ1" s="154" t="str">
        <f t="shared" si="8"/>
        <v>y</v>
      </c>
      <c r="TA1" s="154" t="str">
        <f t="shared" si="8"/>
        <v>y</v>
      </c>
      <c r="TB1" s="154" t="str">
        <f t="shared" si="8"/>
        <v>y</v>
      </c>
      <c r="TC1" s="154" t="str">
        <f t="shared" si="8"/>
        <v>y</v>
      </c>
      <c r="TD1" s="154" t="str">
        <f t="shared" si="8"/>
        <v>y</v>
      </c>
      <c r="TE1" s="154" t="str">
        <f t="shared" si="8"/>
        <v>y</v>
      </c>
      <c r="TF1" s="154" t="str">
        <f t="shared" si="8"/>
        <v>y</v>
      </c>
      <c r="TG1" s="154" t="str">
        <f t="shared" si="8"/>
        <v>y</v>
      </c>
      <c r="TH1" s="154" t="str">
        <f t="shared" si="8"/>
        <v>y</v>
      </c>
      <c r="TI1" s="154" t="str">
        <f t="shared" si="8"/>
        <v>y</v>
      </c>
      <c r="TJ1" s="154" t="str">
        <f t="shared" si="8"/>
        <v>y</v>
      </c>
      <c r="TK1" s="154" t="str">
        <f t="shared" si="8"/>
        <v>y</v>
      </c>
      <c r="TL1" s="154" t="str">
        <f t="shared" si="8"/>
        <v>y</v>
      </c>
      <c r="TM1" s="154" t="str">
        <f t="shared" si="8"/>
        <v>y</v>
      </c>
      <c r="TN1" s="154" t="str">
        <f t="shared" si="8"/>
        <v>y</v>
      </c>
      <c r="TO1" s="154" t="str">
        <f t="shared" si="8"/>
        <v>y</v>
      </c>
      <c r="TP1" s="154" t="str">
        <f t="shared" si="8"/>
        <v>y</v>
      </c>
      <c r="TQ1" s="154" t="str">
        <f t="shared" si="8"/>
        <v>y</v>
      </c>
      <c r="TR1" s="154" t="str">
        <f t="shared" si="8"/>
        <v>y</v>
      </c>
      <c r="TS1" s="154" t="str">
        <f t="shared" si="8"/>
        <v>y</v>
      </c>
      <c r="TT1" s="154" t="str">
        <f t="shared" si="8"/>
        <v>y</v>
      </c>
      <c r="TU1" s="154" t="str">
        <f t="shared" si="8"/>
        <v>y</v>
      </c>
      <c r="TV1" s="154" t="str">
        <f t="shared" si="8"/>
        <v>y</v>
      </c>
      <c r="TW1" s="154" t="str">
        <f t="shared" si="8"/>
        <v>y</v>
      </c>
      <c r="TX1" s="154" t="str">
        <f t="shared" si="8"/>
        <v>y</v>
      </c>
      <c r="TY1" s="154" t="str">
        <f t="shared" si="8"/>
        <v>y</v>
      </c>
      <c r="TZ1" s="154" t="str">
        <f t="shared" si="8"/>
        <v>y</v>
      </c>
      <c r="UA1" s="154" t="str">
        <f t="shared" si="8"/>
        <v>y</v>
      </c>
      <c r="UB1" s="154" t="str">
        <f t="shared" si="8"/>
        <v>y</v>
      </c>
      <c r="UC1" s="154" t="str">
        <f t="shared" si="8"/>
        <v>y</v>
      </c>
      <c r="UD1" s="154" t="str">
        <f t="shared" si="8"/>
        <v>y</v>
      </c>
      <c r="UE1" s="154" t="str">
        <f t="shared" si="8"/>
        <v>y</v>
      </c>
      <c r="UF1" s="154" t="str">
        <f t="shared" si="8"/>
        <v>y</v>
      </c>
      <c r="UG1" s="154" t="str">
        <f t="shared" si="8"/>
        <v>y</v>
      </c>
      <c r="UH1" s="154" t="str">
        <f t="shared" si="8"/>
        <v>y</v>
      </c>
      <c r="UI1" s="154" t="str">
        <f t="shared" si="8"/>
        <v>y</v>
      </c>
      <c r="UJ1" s="154" t="str">
        <f t="shared" si="8"/>
        <v>y</v>
      </c>
      <c r="UK1" s="154" t="str">
        <f t="shared" si="8"/>
        <v>y</v>
      </c>
      <c r="UL1" s="154" t="str">
        <f t="shared" si="8"/>
        <v>y</v>
      </c>
      <c r="UM1" s="154" t="str">
        <f t="shared" si="8"/>
        <v>y</v>
      </c>
      <c r="UN1" s="154" t="str">
        <f t="shared" si="8"/>
        <v>y</v>
      </c>
      <c r="UO1" s="154" t="str">
        <f t="shared" si="8"/>
        <v>y</v>
      </c>
      <c r="UP1" s="154" t="str">
        <f t="shared" si="8"/>
        <v>y</v>
      </c>
      <c r="UQ1" s="154" t="str">
        <f t="shared" si="8"/>
        <v>y</v>
      </c>
      <c r="UR1" s="154" t="str">
        <f t="shared" si="8"/>
        <v>y</v>
      </c>
      <c r="US1" s="154" t="str">
        <f t="shared" si="8"/>
        <v>y</v>
      </c>
      <c r="UT1" s="154" t="str">
        <f t="shared" si="8"/>
        <v>y</v>
      </c>
      <c r="UU1" s="154" t="str">
        <f t="shared" si="8"/>
        <v>y</v>
      </c>
      <c r="UV1" s="154" t="str">
        <f t="shared" si="8"/>
        <v>y</v>
      </c>
      <c r="UW1" s="154" t="str">
        <f t="shared" si="8"/>
        <v>y</v>
      </c>
      <c r="UX1" s="154" t="str">
        <f t="shared" si="8"/>
        <v>y</v>
      </c>
      <c r="UY1" s="154" t="str">
        <f t="shared" si="8"/>
        <v>y</v>
      </c>
      <c r="UZ1" s="154" t="str">
        <f t="shared" si="8"/>
        <v>y</v>
      </c>
      <c r="VA1" s="154" t="str">
        <f t="shared" si="8"/>
        <v>y</v>
      </c>
      <c r="VB1" s="154" t="str">
        <f t="shared" si="8"/>
        <v>y</v>
      </c>
      <c r="VC1" s="154" t="str">
        <f t="shared" si="8"/>
        <v>y</v>
      </c>
      <c r="VD1" s="154" t="str">
        <f t="shared" si="8"/>
        <v>y</v>
      </c>
      <c r="VE1" s="154" t="str">
        <f t="shared" si="8"/>
        <v>y</v>
      </c>
      <c r="VF1" s="154" t="str">
        <f t="shared" si="8"/>
        <v>y</v>
      </c>
      <c r="VG1" s="154" t="str">
        <f t="shared" si="8"/>
        <v>y</v>
      </c>
      <c r="VH1" s="154" t="str">
        <f t="shared" ref="VH1:XS1" si="9">VH2&amp;"y"</f>
        <v>y</v>
      </c>
      <c r="VI1" s="154" t="str">
        <f t="shared" si="9"/>
        <v>y</v>
      </c>
      <c r="VJ1" s="154" t="str">
        <f t="shared" si="9"/>
        <v>y</v>
      </c>
      <c r="VK1" s="154" t="str">
        <f t="shared" si="9"/>
        <v>y</v>
      </c>
      <c r="VL1" s="154" t="str">
        <f t="shared" si="9"/>
        <v>y</v>
      </c>
      <c r="VM1" s="154" t="str">
        <f t="shared" si="9"/>
        <v>y</v>
      </c>
      <c r="VN1" s="154" t="str">
        <f t="shared" si="9"/>
        <v>y</v>
      </c>
      <c r="VO1" s="154" t="str">
        <f t="shared" si="9"/>
        <v>y</v>
      </c>
      <c r="VP1" s="154" t="str">
        <f t="shared" si="9"/>
        <v>y</v>
      </c>
      <c r="VQ1" s="154" t="str">
        <f t="shared" si="9"/>
        <v>y</v>
      </c>
      <c r="VR1" s="154" t="str">
        <f t="shared" si="9"/>
        <v>y</v>
      </c>
      <c r="VS1" s="154" t="str">
        <f t="shared" si="9"/>
        <v>y</v>
      </c>
      <c r="VT1" s="154" t="str">
        <f t="shared" si="9"/>
        <v>y</v>
      </c>
      <c r="VU1" s="154" t="str">
        <f t="shared" si="9"/>
        <v>y</v>
      </c>
      <c r="VV1" s="154" t="str">
        <f t="shared" si="9"/>
        <v>y</v>
      </c>
      <c r="VW1" s="154" t="str">
        <f t="shared" si="9"/>
        <v>y</v>
      </c>
      <c r="VX1" s="154" t="str">
        <f t="shared" si="9"/>
        <v>y</v>
      </c>
      <c r="VY1" s="154" t="str">
        <f t="shared" si="9"/>
        <v>y</v>
      </c>
      <c r="VZ1" s="154" t="str">
        <f t="shared" si="9"/>
        <v>y</v>
      </c>
      <c r="WA1" s="154" t="str">
        <f t="shared" si="9"/>
        <v>y</v>
      </c>
      <c r="WB1" s="154" t="str">
        <f t="shared" si="9"/>
        <v>y</v>
      </c>
      <c r="WC1" s="154" t="str">
        <f t="shared" si="9"/>
        <v>y</v>
      </c>
      <c r="WD1" s="154" t="str">
        <f t="shared" si="9"/>
        <v>y</v>
      </c>
      <c r="WE1" s="154" t="str">
        <f t="shared" si="9"/>
        <v>y</v>
      </c>
      <c r="WF1" s="154" t="str">
        <f t="shared" si="9"/>
        <v>y</v>
      </c>
      <c r="WG1" s="154" t="str">
        <f t="shared" si="9"/>
        <v>y</v>
      </c>
      <c r="WH1" s="154" t="str">
        <f t="shared" si="9"/>
        <v>y</v>
      </c>
      <c r="WI1" s="154" t="str">
        <f t="shared" si="9"/>
        <v>y</v>
      </c>
      <c r="WJ1" s="154" t="str">
        <f t="shared" si="9"/>
        <v>y</v>
      </c>
      <c r="WK1" s="154" t="str">
        <f t="shared" si="9"/>
        <v>y</v>
      </c>
      <c r="WL1" s="154" t="str">
        <f t="shared" si="9"/>
        <v>y</v>
      </c>
      <c r="WM1" s="154" t="str">
        <f t="shared" si="9"/>
        <v>y</v>
      </c>
      <c r="WN1" s="154" t="str">
        <f t="shared" si="9"/>
        <v>y</v>
      </c>
      <c r="WO1" s="154" t="str">
        <f t="shared" si="9"/>
        <v>y</v>
      </c>
      <c r="WP1" s="154" t="str">
        <f t="shared" si="9"/>
        <v>y</v>
      </c>
      <c r="WQ1" s="154" t="str">
        <f t="shared" si="9"/>
        <v>y</v>
      </c>
      <c r="WR1" s="154" t="str">
        <f t="shared" si="9"/>
        <v>y</v>
      </c>
      <c r="WS1" s="154" t="str">
        <f t="shared" si="9"/>
        <v>y</v>
      </c>
      <c r="WT1" s="154" t="str">
        <f t="shared" si="9"/>
        <v>y</v>
      </c>
      <c r="WU1" s="154" t="str">
        <f t="shared" si="9"/>
        <v>y</v>
      </c>
      <c r="WV1" s="154" t="str">
        <f t="shared" si="9"/>
        <v>y</v>
      </c>
      <c r="WW1" s="154" t="str">
        <f t="shared" si="9"/>
        <v>y</v>
      </c>
      <c r="WX1" s="154" t="str">
        <f t="shared" si="9"/>
        <v>y</v>
      </c>
      <c r="WY1" s="154" t="str">
        <f t="shared" si="9"/>
        <v>y</v>
      </c>
      <c r="WZ1" s="154" t="str">
        <f t="shared" si="9"/>
        <v>y</v>
      </c>
      <c r="XA1" s="154" t="str">
        <f t="shared" si="9"/>
        <v>y</v>
      </c>
      <c r="XB1" s="154" t="str">
        <f t="shared" si="9"/>
        <v>y</v>
      </c>
      <c r="XC1" s="154" t="str">
        <f t="shared" si="9"/>
        <v>y</v>
      </c>
      <c r="XD1" s="154" t="str">
        <f t="shared" si="9"/>
        <v>y</v>
      </c>
      <c r="XE1" s="154" t="str">
        <f t="shared" si="9"/>
        <v>y</v>
      </c>
      <c r="XF1" s="154" t="str">
        <f t="shared" si="9"/>
        <v>y</v>
      </c>
      <c r="XG1" s="154" t="str">
        <f t="shared" si="9"/>
        <v>y</v>
      </c>
      <c r="XH1" s="154" t="str">
        <f t="shared" si="9"/>
        <v>y</v>
      </c>
      <c r="XI1" s="154" t="str">
        <f t="shared" si="9"/>
        <v>y</v>
      </c>
      <c r="XJ1" s="154" t="str">
        <f t="shared" si="9"/>
        <v>y</v>
      </c>
      <c r="XK1" s="154" t="str">
        <f t="shared" si="9"/>
        <v>y</v>
      </c>
      <c r="XL1" s="154" t="str">
        <f t="shared" si="9"/>
        <v>y</v>
      </c>
      <c r="XM1" s="154" t="str">
        <f t="shared" si="9"/>
        <v>y</v>
      </c>
      <c r="XN1" s="154" t="str">
        <f t="shared" si="9"/>
        <v>y</v>
      </c>
      <c r="XO1" s="154" t="str">
        <f t="shared" si="9"/>
        <v>y</v>
      </c>
      <c r="XP1" s="154" t="str">
        <f t="shared" si="9"/>
        <v>y</v>
      </c>
      <c r="XQ1" s="154" t="str">
        <f t="shared" si="9"/>
        <v>y</v>
      </c>
      <c r="XR1" s="154" t="str">
        <f t="shared" si="9"/>
        <v>y</v>
      </c>
      <c r="XS1" s="154" t="str">
        <f t="shared" si="9"/>
        <v>y</v>
      </c>
      <c r="XT1" s="154" t="str">
        <f t="shared" ref="XT1:AAE1" si="10">XT2&amp;"y"</f>
        <v>y</v>
      </c>
      <c r="XU1" s="154" t="str">
        <f t="shared" si="10"/>
        <v>y</v>
      </c>
      <c r="XV1" s="154" t="str">
        <f t="shared" si="10"/>
        <v>y</v>
      </c>
      <c r="XW1" s="154" t="str">
        <f t="shared" si="10"/>
        <v>y</v>
      </c>
      <c r="XX1" s="154" t="str">
        <f t="shared" si="10"/>
        <v>y</v>
      </c>
      <c r="XY1" s="154" t="str">
        <f t="shared" si="10"/>
        <v>y</v>
      </c>
      <c r="XZ1" s="154" t="str">
        <f t="shared" si="10"/>
        <v>y</v>
      </c>
      <c r="YA1" s="154" t="str">
        <f t="shared" si="10"/>
        <v>y</v>
      </c>
      <c r="YB1" s="154" t="str">
        <f t="shared" si="10"/>
        <v>y</v>
      </c>
      <c r="YC1" s="154" t="str">
        <f t="shared" si="10"/>
        <v>y</v>
      </c>
      <c r="YD1" s="154" t="str">
        <f t="shared" si="10"/>
        <v>y</v>
      </c>
      <c r="YE1" s="154" t="str">
        <f t="shared" si="10"/>
        <v>y</v>
      </c>
      <c r="YF1" s="154" t="str">
        <f t="shared" si="10"/>
        <v>y</v>
      </c>
      <c r="YG1" s="154" t="str">
        <f t="shared" si="10"/>
        <v>y</v>
      </c>
      <c r="YH1" s="154" t="str">
        <f t="shared" si="10"/>
        <v>y</v>
      </c>
      <c r="YI1" s="154" t="str">
        <f t="shared" si="10"/>
        <v>y</v>
      </c>
      <c r="YJ1" s="154" t="str">
        <f t="shared" si="10"/>
        <v>y</v>
      </c>
      <c r="YK1" s="154" t="str">
        <f t="shared" si="10"/>
        <v>y</v>
      </c>
      <c r="YL1" s="154" t="str">
        <f t="shared" si="10"/>
        <v>y</v>
      </c>
      <c r="YM1" s="154" t="str">
        <f t="shared" si="10"/>
        <v>y</v>
      </c>
      <c r="YN1" s="154" t="str">
        <f t="shared" si="10"/>
        <v>y</v>
      </c>
      <c r="YO1" s="154" t="str">
        <f t="shared" si="10"/>
        <v>y</v>
      </c>
      <c r="YP1" s="154" t="str">
        <f t="shared" si="10"/>
        <v>y</v>
      </c>
      <c r="YQ1" s="154" t="str">
        <f t="shared" si="10"/>
        <v>y</v>
      </c>
      <c r="YR1" s="154" t="str">
        <f t="shared" si="10"/>
        <v>y</v>
      </c>
      <c r="YS1" s="154" t="str">
        <f t="shared" si="10"/>
        <v>y</v>
      </c>
      <c r="YT1" s="154" t="str">
        <f t="shared" si="10"/>
        <v>y</v>
      </c>
      <c r="YU1" s="154" t="str">
        <f t="shared" si="10"/>
        <v>y</v>
      </c>
      <c r="YV1" s="154" t="str">
        <f t="shared" si="10"/>
        <v>y</v>
      </c>
      <c r="YW1" s="154" t="str">
        <f t="shared" si="10"/>
        <v>y</v>
      </c>
      <c r="YX1" s="154" t="str">
        <f t="shared" si="10"/>
        <v>y</v>
      </c>
      <c r="YY1" s="154" t="str">
        <f t="shared" si="10"/>
        <v>y</v>
      </c>
      <c r="YZ1" s="154" t="str">
        <f t="shared" si="10"/>
        <v>y</v>
      </c>
      <c r="ZA1" s="154" t="str">
        <f t="shared" si="10"/>
        <v>y</v>
      </c>
      <c r="ZB1" s="154" t="str">
        <f t="shared" si="10"/>
        <v>y</v>
      </c>
      <c r="ZC1" s="154" t="str">
        <f t="shared" si="10"/>
        <v>y</v>
      </c>
      <c r="ZD1" s="154" t="str">
        <f t="shared" si="10"/>
        <v>y</v>
      </c>
      <c r="ZE1" s="154" t="str">
        <f t="shared" si="10"/>
        <v>y</v>
      </c>
      <c r="ZF1" s="154" t="str">
        <f t="shared" si="10"/>
        <v>y</v>
      </c>
      <c r="ZG1" s="154" t="str">
        <f t="shared" si="10"/>
        <v>y</v>
      </c>
      <c r="ZH1" s="154" t="str">
        <f t="shared" si="10"/>
        <v>y</v>
      </c>
      <c r="ZI1" s="154" t="str">
        <f t="shared" si="10"/>
        <v>y</v>
      </c>
      <c r="ZJ1" s="154" t="str">
        <f t="shared" si="10"/>
        <v>y</v>
      </c>
      <c r="ZK1" s="154" t="str">
        <f t="shared" si="10"/>
        <v>y</v>
      </c>
      <c r="ZL1" s="154" t="str">
        <f t="shared" si="10"/>
        <v>y</v>
      </c>
      <c r="ZM1" s="154" t="str">
        <f t="shared" si="10"/>
        <v>y</v>
      </c>
      <c r="ZN1" s="154" t="str">
        <f t="shared" si="10"/>
        <v>y</v>
      </c>
      <c r="ZO1" s="154" t="str">
        <f t="shared" si="10"/>
        <v>y</v>
      </c>
      <c r="ZP1" s="154" t="str">
        <f t="shared" si="10"/>
        <v>y</v>
      </c>
      <c r="ZQ1" s="154" t="str">
        <f t="shared" si="10"/>
        <v>y</v>
      </c>
      <c r="ZR1" s="154" t="str">
        <f t="shared" si="10"/>
        <v>y</v>
      </c>
      <c r="ZS1" s="154" t="str">
        <f t="shared" si="10"/>
        <v>y</v>
      </c>
      <c r="ZT1" s="154" t="str">
        <f t="shared" si="10"/>
        <v>y</v>
      </c>
      <c r="ZU1" s="154" t="str">
        <f t="shared" si="10"/>
        <v>y</v>
      </c>
      <c r="ZV1" s="154" t="str">
        <f t="shared" si="10"/>
        <v>y</v>
      </c>
      <c r="ZW1" s="154" t="str">
        <f t="shared" si="10"/>
        <v>y</v>
      </c>
      <c r="ZX1" s="154" t="str">
        <f t="shared" si="10"/>
        <v>y</v>
      </c>
      <c r="ZY1" s="154" t="str">
        <f t="shared" si="10"/>
        <v>y</v>
      </c>
      <c r="ZZ1" s="154" t="str">
        <f t="shared" si="10"/>
        <v>y</v>
      </c>
      <c r="AAA1" s="154" t="str">
        <f t="shared" si="10"/>
        <v>y</v>
      </c>
      <c r="AAB1" s="154" t="str">
        <f t="shared" si="10"/>
        <v>y</v>
      </c>
      <c r="AAC1" s="154" t="str">
        <f t="shared" si="10"/>
        <v>y</v>
      </c>
      <c r="AAD1" s="154" t="str">
        <f t="shared" si="10"/>
        <v>y</v>
      </c>
      <c r="AAE1" s="154" t="str">
        <f t="shared" si="10"/>
        <v>y</v>
      </c>
      <c r="AAF1" s="154" t="str">
        <f t="shared" ref="AAF1:ACQ1" si="11">AAF2&amp;"y"</f>
        <v>y</v>
      </c>
      <c r="AAG1" s="154" t="str">
        <f t="shared" si="11"/>
        <v>y</v>
      </c>
      <c r="AAH1" s="154" t="str">
        <f t="shared" si="11"/>
        <v>y</v>
      </c>
      <c r="AAI1" s="154" t="str">
        <f t="shared" si="11"/>
        <v>y</v>
      </c>
      <c r="AAJ1" s="154" t="str">
        <f t="shared" si="11"/>
        <v>y</v>
      </c>
      <c r="AAK1" s="154" t="str">
        <f t="shared" si="11"/>
        <v>y</v>
      </c>
      <c r="AAL1" s="154" t="str">
        <f t="shared" si="11"/>
        <v>y</v>
      </c>
      <c r="AAM1" s="154" t="str">
        <f t="shared" si="11"/>
        <v>y</v>
      </c>
      <c r="AAN1" s="154" t="str">
        <f t="shared" si="11"/>
        <v>y</v>
      </c>
      <c r="AAO1" s="154" t="str">
        <f t="shared" si="11"/>
        <v>y</v>
      </c>
      <c r="AAP1" s="154" t="str">
        <f t="shared" si="11"/>
        <v>y</v>
      </c>
      <c r="AAQ1" s="154" t="str">
        <f t="shared" si="11"/>
        <v>y</v>
      </c>
      <c r="AAR1" s="154" t="str">
        <f t="shared" si="11"/>
        <v>y</v>
      </c>
      <c r="AAS1" s="154" t="str">
        <f t="shared" si="11"/>
        <v>y</v>
      </c>
      <c r="AAT1" s="154" t="str">
        <f t="shared" si="11"/>
        <v>y</v>
      </c>
      <c r="AAU1" s="154" t="str">
        <f t="shared" si="11"/>
        <v>y</v>
      </c>
      <c r="AAV1" s="154" t="str">
        <f t="shared" si="11"/>
        <v>y</v>
      </c>
      <c r="AAW1" s="154" t="str">
        <f t="shared" si="11"/>
        <v>y</v>
      </c>
      <c r="AAX1" s="154" t="str">
        <f t="shared" si="11"/>
        <v>y</v>
      </c>
      <c r="AAY1" s="154" t="str">
        <f t="shared" si="11"/>
        <v>y</v>
      </c>
      <c r="AAZ1" s="154" t="str">
        <f t="shared" si="11"/>
        <v>y</v>
      </c>
      <c r="ABA1" s="154" t="str">
        <f t="shared" si="11"/>
        <v>y</v>
      </c>
      <c r="ABB1" s="154" t="str">
        <f t="shared" si="11"/>
        <v>y</v>
      </c>
      <c r="ABC1" s="154" t="str">
        <f t="shared" si="11"/>
        <v>y</v>
      </c>
      <c r="ABD1" s="154" t="str">
        <f t="shared" si="11"/>
        <v>y</v>
      </c>
      <c r="ABE1" s="154" t="str">
        <f t="shared" si="11"/>
        <v>y</v>
      </c>
      <c r="ABF1" s="154" t="str">
        <f t="shared" si="11"/>
        <v>y</v>
      </c>
      <c r="ABG1" s="154" t="str">
        <f t="shared" si="11"/>
        <v>y</v>
      </c>
      <c r="ABH1" s="154" t="str">
        <f t="shared" si="11"/>
        <v>y</v>
      </c>
      <c r="ABI1" s="154" t="str">
        <f t="shared" si="11"/>
        <v>y</v>
      </c>
      <c r="ABJ1" s="154" t="str">
        <f t="shared" si="11"/>
        <v>y</v>
      </c>
      <c r="ABK1" s="154" t="str">
        <f t="shared" si="11"/>
        <v>y</v>
      </c>
      <c r="ABL1" s="154" t="str">
        <f t="shared" si="11"/>
        <v>y</v>
      </c>
      <c r="ABM1" s="154" t="str">
        <f t="shared" si="11"/>
        <v>y</v>
      </c>
      <c r="ABN1" s="154" t="str">
        <f t="shared" si="11"/>
        <v>y</v>
      </c>
      <c r="ABO1" s="154" t="str">
        <f t="shared" si="11"/>
        <v>y</v>
      </c>
      <c r="ABP1" s="154" t="str">
        <f t="shared" si="11"/>
        <v>y</v>
      </c>
      <c r="ABQ1" s="154" t="str">
        <f t="shared" si="11"/>
        <v>y</v>
      </c>
      <c r="ABR1" s="154" t="str">
        <f t="shared" si="11"/>
        <v>y</v>
      </c>
      <c r="ABS1" s="154" t="str">
        <f t="shared" si="11"/>
        <v>y</v>
      </c>
      <c r="ABT1" s="154" t="str">
        <f t="shared" si="11"/>
        <v>y</v>
      </c>
      <c r="ABU1" s="154" t="str">
        <f t="shared" si="11"/>
        <v>y</v>
      </c>
      <c r="ABV1" s="154" t="str">
        <f t="shared" si="11"/>
        <v>y</v>
      </c>
      <c r="ABW1" s="154" t="str">
        <f t="shared" si="11"/>
        <v>y</v>
      </c>
      <c r="ABX1" s="154" t="str">
        <f t="shared" si="11"/>
        <v>y</v>
      </c>
      <c r="ABY1" s="154" t="str">
        <f t="shared" si="11"/>
        <v>y</v>
      </c>
      <c r="ABZ1" s="154" t="str">
        <f t="shared" si="11"/>
        <v>y</v>
      </c>
      <c r="ACA1" s="154" t="str">
        <f t="shared" si="11"/>
        <v>y</v>
      </c>
      <c r="ACB1" s="154" t="str">
        <f t="shared" si="11"/>
        <v>y</v>
      </c>
      <c r="ACC1" s="154" t="str">
        <f t="shared" si="11"/>
        <v>y</v>
      </c>
      <c r="ACD1" s="154" t="str">
        <f t="shared" si="11"/>
        <v>y</v>
      </c>
      <c r="ACE1" s="154" t="str">
        <f t="shared" si="11"/>
        <v>y</v>
      </c>
      <c r="ACF1" s="154" t="str">
        <f t="shared" si="11"/>
        <v>y</v>
      </c>
      <c r="ACG1" s="154" t="str">
        <f t="shared" si="11"/>
        <v>y</v>
      </c>
      <c r="ACH1" s="154" t="str">
        <f t="shared" si="11"/>
        <v>y</v>
      </c>
      <c r="ACI1" s="154" t="str">
        <f t="shared" si="11"/>
        <v>y</v>
      </c>
      <c r="ACJ1" s="154" t="str">
        <f t="shared" si="11"/>
        <v>y</v>
      </c>
      <c r="ACK1" s="154" t="str">
        <f t="shared" si="11"/>
        <v>y</v>
      </c>
      <c r="ACL1" s="154" t="str">
        <f t="shared" si="11"/>
        <v>y</v>
      </c>
      <c r="ACM1" s="154" t="str">
        <f t="shared" si="11"/>
        <v>y</v>
      </c>
      <c r="ACN1" s="154" t="str">
        <f t="shared" si="11"/>
        <v>y</v>
      </c>
      <c r="ACO1" s="154" t="str">
        <f t="shared" si="11"/>
        <v>y</v>
      </c>
      <c r="ACP1" s="154" t="str">
        <f t="shared" si="11"/>
        <v>y</v>
      </c>
      <c r="ACQ1" s="154" t="str">
        <f t="shared" si="11"/>
        <v>y</v>
      </c>
      <c r="ACR1" s="154" t="str">
        <f t="shared" ref="ACR1:AFC1" si="12">ACR2&amp;"y"</f>
        <v>y</v>
      </c>
      <c r="ACS1" s="154" t="str">
        <f t="shared" si="12"/>
        <v>y</v>
      </c>
      <c r="ACT1" s="154" t="str">
        <f t="shared" si="12"/>
        <v>y</v>
      </c>
      <c r="ACU1" s="154" t="str">
        <f t="shared" si="12"/>
        <v>y</v>
      </c>
      <c r="ACV1" s="154" t="str">
        <f t="shared" si="12"/>
        <v>y</v>
      </c>
      <c r="ACW1" s="154" t="str">
        <f t="shared" si="12"/>
        <v>y</v>
      </c>
      <c r="ACX1" s="154" t="str">
        <f t="shared" si="12"/>
        <v>y</v>
      </c>
      <c r="ACY1" s="154" t="str">
        <f t="shared" si="12"/>
        <v>y</v>
      </c>
      <c r="ACZ1" s="154" t="str">
        <f t="shared" si="12"/>
        <v>y</v>
      </c>
      <c r="ADA1" s="154" t="str">
        <f t="shared" si="12"/>
        <v>y</v>
      </c>
      <c r="ADB1" s="154" t="str">
        <f t="shared" si="12"/>
        <v>y</v>
      </c>
      <c r="ADC1" s="154" t="str">
        <f t="shared" si="12"/>
        <v>y</v>
      </c>
      <c r="ADD1" s="154" t="str">
        <f t="shared" si="12"/>
        <v>y</v>
      </c>
      <c r="ADE1" s="154" t="str">
        <f t="shared" si="12"/>
        <v>y</v>
      </c>
      <c r="ADF1" s="154" t="str">
        <f t="shared" si="12"/>
        <v>y</v>
      </c>
      <c r="ADG1" s="154" t="str">
        <f t="shared" si="12"/>
        <v>y</v>
      </c>
      <c r="ADH1" s="154" t="str">
        <f t="shared" si="12"/>
        <v>y</v>
      </c>
      <c r="ADI1" s="154" t="str">
        <f t="shared" si="12"/>
        <v>y</v>
      </c>
      <c r="ADJ1" s="154" t="str">
        <f t="shared" si="12"/>
        <v>y</v>
      </c>
      <c r="ADK1" s="154" t="str">
        <f t="shared" si="12"/>
        <v>y</v>
      </c>
      <c r="ADL1" s="154" t="str">
        <f t="shared" si="12"/>
        <v>y</v>
      </c>
      <c r="ADM1" s="154" t="str">
        <f t="shared" si="12"/>
        <v>y</v>
      </c>
      <c r="ADN1" s="154" t="str">
        <f t="shared" si="12"/>
        <v>y</v>
      </c>
      <c r="ADO1" s="154" t="str">
        <f t="shared" si="12"/>
        <v>y</v>
      </c>
      <c r="ADP1" s="154" t="str">
        <f t="shared" si="12"/>
        <v>y</v>
      </c>
      <c r="ADQ1" s="154" t="str">
        <f t="shared" si="12"/>
        <v>y</v>
      </c>
      <c r="ADR1" s="154" t="str">
        <f t="shared" si="12"/>
        <v>y</v>
      </c>
      <c r="ADS1" s="154" t="str">
        <f t="shared" si="12"/>
        <v>y</v>
      </c>
      <c r="ADT1" s="154" t="str">
        <f t="shared" si="12"/>
        <v>y</v>
      </c>
      <c r="ADU1" s="154" t="str">
        <f t="shared" si="12"/>
        <v>y</v>
      </c>
      <c r="ADV1" s="154" t="str">
        <f t="shared" si="12"/>
        <v>y</v>
      </c>
      <c r="ADW1" s="154" t="str">
        <f t="shared" si="12"/>
        <v>y</v>
      </c>
      <c r="ADX1" s="154" t="str">
        <f t="shared" si="12"/>
        <v>y</v>
      </c>
      <c r="ADY1" s="154" t="str">
        <f t="shared" si="12"/>
        <v>y</v>
      </c>
      <c r="ADZ1" s="154" t="str">
        <f t="shared" si="12"/>
        <v>y</v>
      </c>
      <c r="AEA1" s="154" t="str">
        <f t="shared" si="12"/>
        <v>y</v>
      </c>
      <c r="AEB1" s="154" t="str">
        <f t="shared" si="12"/>
        <v>y</v>
      </c>
      <c r="AEC1" s="154" t="str">
        <f t="shared" si="12"/>
        <v>y</v>
      </c>
      <c r="AED1" s="154" t="str">
        <f t="shared" si="12"/>
        <v>y</v>
      </c>
      <c r="AEE1" s="154" t="str">
        <f t="shared" si="12"/>
        <v>y</v>
      </c>
      <c r="AEF1" s="154" t="str">
        <f t="shared" si="12"/>
        <v>y</v>
      </c>
      <c r="AEG1" s="154" t="str">
        <f t="shared" si="12"/>
        <v>y</v>
      </c>
      <c r="AEH1" s="154" t="str">
        <f t="shared" si="12"/>
        <v>y</v>
      </c>
      <c r="AEI1" s="154" t="str">
        <f t="shared" si="12"/>
        <v>y</v>
      </c>
      <c r="AEJ1" s="154" t="str">
        <f t="shared" si="12"/>
        <v>y</v>
      </c>
      <c r="AEK1" s="154" t="str">
        <f t="shared" si="12"/>
        <v>y</v>
      </c>
      <c r="AEL1" s="154" t="str">
        <f t="shared" si="12"/>
        <v>y</v>
      </c>
      <c r="AEM1" s="154" t="str">
        <f t="shared" si="12"/>
        <v>y</v>
      </c>
      <c r="AEN1" s="154" t="str">
        <f t="shared" si="12"/>
        <v>y</v>
      </c>
      <c r="AEO1" s="154" t="str">
        <f t="shared" si="12"/>
        <v>y</v>
      </c>
      <c r="AEP1" s="154" t="str">
        <f t="shared" si="12"/>
        <v>y</v>
      </c>
      <c r="AEQ1" s="154" t="str">
        <f t="shared" si="12"/>
        <v>y</v>
      </c>
      <c r="AER1" s="154" t="str">
        <f t="shared" si="12"/>
        <v>y</v>
      </c>
      <c r="AES1" s="154" t="str">
        <f t="shared" si="12"/>
        <v>y</v>
      </c>
      <c r="AET1" s="154" t="str">
        <f t="shared" si="12"/>
        <v>y</v>
      </c>
      <c r="AEU1" s="154" t="str">
        <f t="shared" si="12"/>
        <v>y</v>
      </c>
      <c r="AEV1" s="154" t="str">
        <f t="shared" si="12"/>
        <v>y</v>
      </c>
      <c r="AEW1" s="154" t="str">
        <f t="shared" si="12"/>
        <v>y</v>
      </c>
      <c r="AEX1" s="154" t="str">
        <f t="shared" si="12"/>
        <v>y</v>
      </c>
      <c r="AEY1" s="154" t="str">
        <f t="shared" si="12"/>
        <v>y</v>
      </c>
      <c r="AEZ1" s="154" t="str">
        <f t="shared" si="12"/>
        <v>y</v>
      </c>
      <c r="AFA1" s="154" t="str">
        <f t="shared" si="12"/>
        <v>y</v>
      </c>
      <c r="AFB1" s="154" t="str">
        <f t="shared" si="12"/>
        <v>y</v>
      </c>
      <c r="AFC1" s="154" t="str">
        <f t="shared" si="12"/>
        <v>y</v>
      </c>
      <c r="AFD1" s="154" t="str">
        <f t="shared" ref="AFD1:AHO1" si="13">AFD2&amp;"y"</f>
        <v>y</v>
      </c>
      <c r="AFE1" s="154" t="str">
        <f t="shared" si="13"/>
        <v>y</v>
      </c>
      <c r="AFF1" s="154" t="str">
        <f t="shared" si="13"/>
        <v>y</v>
      </c>
      <c r="AFG1" s="154" t="str">
        <f t="shared" si="13"/>
        <v>y</v>
      </c>
      <c r="AFH1" s="154" t="str">
        <f t="shared" si="13"/>
        <v>y</v>
      </c>
      <c r="AFI1" s="154" t="str">
        <f t="shared" si="13"/>
        <v>y</v>
      </c>
      <c r="AFJ1" s="154" t="str">
        <f t="shared" si="13"/>
        <v>y</v>
      </c>
      <c r="AFK1" s="154" t="str">
        <f t="shared" si="13"/>
        <v>y</v>
      </c>
      <c r="AFL1" s="154" t="str">
        <f t="shared" si="13"/>
        <v>y</v>
      </c>
      <c r="AFM1" s="154" t="str">
        <f t="shared" si="13"/>
        <v>y</v>
      </c>
      <c r="AFN1" s="154" t="str">
        <f t="shared" si="13"/>
        <v>y</v>
      </c>
      <c r="AFO1" s="154" t="str">
        <f t="shared" si="13"/>
        <v>y</v>
      </c>
      <c r="AFP1" s="154" t="str">
        <f t="shared" si="13"/>
        <v>y</v>
      </c>
      <c r="AFQ1" s="154" t="str">
        <f t="shared" si="13"/>
        <v>y</v>
      </c>
      <c r="AFR1" s="154" t="str">
        <f t="shared" si="13"/>
        <v>y</v>
      </c>
      <c r="AFS1" s="154" t="str">
        <f t="shared" si="13"/>
        <v>y</v>
      </c>
      <c r="AFT1" s="154" t="str">
        <f t="shared" si="13"/>
        <v>y</v>
      </c>
      <c r="AFU1" s="154" t="str">
        <f t="shared" si="13"/>
        <v>y</v>
      </c>
      <c r="AFV1" s="154" t="str">
        <f t="shared" si="13"/>
        <v>y</v>
      </c>
      <c r="AFW1" s="154" t="str">
        <f t="shared" si="13"/>
        <v>y</v>
      </c>
      <c r="AFX1" s="154" t="str">
        <f t="shared" si="13"/>
        <v>y</v>
      </c>
      <c r="AFY1" s="154" t="str">
        <f t="shared" si="13"/>
        <v>y</v>
      </c>
      <c r="AFZ1" s="154" t="str">
        <f t="shared" si="13"/>
        <v>y</v>
      </c>
      <c r="AGA1" s="154" t="str">
        <f t="shared" si="13"/>
        <v>y</v>
      </c>
      <c r="AGB1" s="154" t="str">
        <f t="shared" si="13"/>
        <v>y</v>
      </c>
      <c r="AGC1" s="154" t="str">
        <f t="shared" si="13"/>
        <v>y</v>
      </c>
      <c r="AGD1" s="154" t="str">
        <f t="shared" si="13"/>
        <v>y</v>
      </c>
      <c r="AGE1" s="154" t="str">
        <f t="shared" si="13"/>
        <v>y</v>
      </c>
      <c r="AGF1" s="154" t="str">
        <f t="shared" si="13"/>
        <v>y</v>
      </c>
      <c r="AGG1" s="154" t="str">
        <f t="shared" si="13"/>
        <v>y</v>
      </c>
      <c r="AGH1" s="154" t="str">
        <f t="shared" si="13"/>
        <v>y</v>
      </c>
      <c r="AGI1" s="154" t="str">
        <f t="shared" si="13"/>
        <v>y</v>
      </c>
      <c r="AGJ1" s="154" t="str">
        <f t="shared" si="13"/>
        <v>y</v>
      </c>
      <c r="AGK1" s="154" t="str">
        <f t="shared" si="13"/>
        <v>y</v>
      </c>
      <c r="AGL1" s="154" t="str">
        <f t="shared" si="13"/>
        <v>y</v>
      </c>
      <c r="AGM1" s="154" t="str">
        <f t="shared" si="13"/>
        <v>y</v>
      </c>
      <c r="AGN1" s="154" t="str">
        <f t="shared" si="13"/>
        <v>y</v>
      </c>
      <c r="AGO1" s="154" t="str">
        <f t="shared" si="13"/>
        <v>y</v>
      </c>
      <c r="AGP1" s="154" t="str">
        <f t="shared" si="13"/>
        <v>y</v>
      </c>
      <c r="AGQ1" s="154" t="str">
        <f t="shared" si="13"/>
        <v>y</v>
      </c>
      <c r="AGR1" s="154" t="str">
        <f t="shared" si="13"/>
        <v>y</v>
      </c>
      <c r="AGS1" s="154" t="str">
        <f t="shared" si="13"/>
        <v>y</v>
      </c>
      <c r="AGT1" s="154" t="str">
        <f t="shared" si="13"/>
        <v>y</v>
      </c>
      <c r="AGU1" s="154" t="str">
        <f t="shared" si="13"/>
        <v>y</v>
      </c>
      <c r="AGV1" s="154" t="str">
        <f t="shared" si="13"/>
        <v>y</v>
      </c>
      <c r="AGW1" s="154" t="str">
        <f t="shared" si="13"/>
        <v>y</v>
      </c>
      <c r="AGX1" s="154" t="str">
        <f t="shared" si="13"/>
        <v>y</v>
      </c>
      <c r="AGY1" s="154" t="str">
        <f t="shared" si="13"/>
        <v>y</v>
      </c>
      <c r="AGZ1" s="154" t="str">
        <f t="shared" si="13"/>
        <v>y</v>
      </c>
      <c r="AHA1" s="154" t="str">
        <f t="shared" si="13"/>
        <v>y</v>
      </c>
      <c r="AHB1" s="154" t="str">
        <f t="shared" si="13"/>
        <v>y</v>
      </c>
      <c r="AHC1" s="154" t="str">
        <f t="shared" si="13"/>
        <v>y</v>
      </c>
      <c r="AHD1" s="154" t="str">
        <f t="shared" si="13"/>
        <v>y</v>
      </c>
      <c r="AHE1" s="154" t="str">
        <f t="shared" si="13"/>
        <v>y</v>
      </c>
      <c r="AHF1" s="154" t="str">
        <f t="shared" si="13"/>
        <v>y</v>
      </c>
      <c r="AHG1" s="154" t="str">
        <f t="shared" si="13"/>
        <v>y</v>
      </c>
      <c r="AHH1" s="154" t="str">
        <f t="shared" si="13"/>
        <v>y</v>
      </c>
      <c r="AHI1" s="154" t="str">
        <f t="shared" si="13"/>
        <v>y</v>
      </c>
      <c r="AHJ1" s="154" t="str">
        <f t="shared" si="13"/>
        <v>y</v>
      </c>
      <c r="AHK1" s="154" t="str">
        <f t="shared" si="13"/>
        <v>y</v>
      </c>
      <c r="AHL1" s="154" t="str">
        <f t="shared" si="13"/>
        <v>y</v>
      </c>
      <c r="AHM1" s="154" t="str">
        <f t="shared" si="13"/>
        <v>y</v>
      </c>
      <c r="AHN1" s="154" t="str">
        <f t="shared" si="13"/>
        <v>y</v>
      </c>
      <c r="AHO1" s="154" t="str">
        <f t="shared" si="13"/>
        <v>y</v>
      </c>
      <c r="AHP1" s="154" t="str">
        <f t="shared" ref="AHP1:AKA1" si="14">AHP2&amp;"y"</f>
        <v>y</v>
      </c>
      <c r="AHQ1" s="154" t="str">
        <f t="shared" si="14"/>
        <v>y</v>
      </c>
      <c r="AHR1" s="154" t="str">
        <f t="shared" si="14"/>
        <v>y</v>
      </c>
      <c r="AHS1" s="154" t="str">
        <f t="shared" si="14"/>
        <v>y</v>
      </c>
      <c r="AHT1" s="154" t="str">
        <f t="shared" si="14"/>
        <v>y</v>
      </c>
      <c r="AHU1" s="154" t="str">
        <f t="shared" si="14"/>
        <v>y</v>
      </c>
      <c r="AHV1" s="154" t="str">
        <f t="shared" si="14"/>
        <v>y</v>
      </c>
      <c r="AHW1" s="154" t="str">
        <f t="shared" si="14"/>
        <v>y</v>
      </c>
      <c r="AHX1" s="154" t="str">
        <f t="shared" si="14"/>
        <v>y</v>
      </c>
      <c r="AHY1" s="154" t="str">
        <f t="shared" si="14"/>
        <v>y</v>
      </c>
      <c r="AHZ1" s="154" t="str">
        <f t="shared" si="14"/>
        <v>y</v>
      </c>
      <c r="AIA1" s="154" t="str">
        <f t="shared" si="14"/>
        <v>y</v>
      </c>
      <c r="AIB1" s="154" t="str">
        <f t="shared" si="14"/>
        <v>y</v>
      </c>
      <c r="AIC1" s="154" t="str">
        <f t="shared" si="14"/>
        <v>y</v>
      </c>
      <c r="AID1" s="154" t="str">
        <f t="shared" si="14"/>
        <v>y</v>
      </c>
      <c r="AIE1" s="154" t="str">
        <f t="shared" si="14"/>
        <v>y</v>
      </c>
      <c r="AIF1" s="154" t="str">
        <f t="shared" si="14"/>
        <v>y</v>
      </c>
      <c r="AIG1" s="154" t="str">
        <f t="shared" si="14"/>
        <v>y</v>
      </c>
      <c r="AIH1" s="154" t="str">
        <f t="shared" si="14"/>
        <v>y</v>
      </c>
      <c r="AII1" s="154" t="str">
        <f t="shared" si="14"/>
        <v>y</v>
      </c>
      <c r="AIJ1" s="154" t="str">
        <f t="shared" si="14"/>
        <v>y</v>
      </c>
      <c r="AIK1" s="154" t="str">
        <f t="shared" si="14"/>
        <v>y</v>
      </c>
      <c r="AIL1" s="154" t="str">
        <f t="shared" si="14"/>
        <v>y</v>
      </c>
      <c r="AIM1" s="154" t="str">
        <f t="shared" si="14"/>
        <v>y</v>
      </c>
      <c r="AIN1" s="154" t="str">
        <f t="shared" si="14"/>
        <v>y</v>
      </c>
      <c r="AIO1" s="154" t="str">
        <f t="shared" si="14"/>
        <v>y</v>
      </c>
      <c r="AIP1" s="154" t="str">
        <f t="shared" si="14"/>
        <v>y</v>
      </c>
      <c r="AIQ1" s="154" t="str">
        <f t="shared" si="14"/>
        <v>y</v>
      </c>
      <c r="AIR1" s="154" t="str">
        <f t="shared" si="14"/>
        <v>y</v>
      </c>
      <c r="AIS1" s="154" t="str">
        <f t="shared" si="14"/>
        <v>y</v>
      </c>
      <c r="AIT1" s="154" t="str">
        <f t="shared" si="14"/>
        <v>y</v>
      </c>
      <c r="AIU1" s="154" t="str">
        <f t="shared" si="14"/>
        <v>y</v>
      </c>
      <c r="AIV1" s="154" t="str">
        <f t="shared" si="14"/>
        <v>y</v>
      </c>
      <c r="AIW1" s="154" t="str">
        <f t="shared" si="14"/>
        <v>y</v>
      </c>
      <c r="AIX1" s="154" t="str">
        <f t="shared" si="14"/>
        <v>y</v>
      </c>
      <c r="AIY1" s="154" t="str">
        <f t="shared" si="14"/>
        <v>y</v>
      </c>
      <c r="AIZ1" s="154" t="str">
        <f t="shared" si="14"/>
        <v>y</v>
      </c>
      <c r="AJA1" s="154" t="str">
        <f t="shared" si="14"/>
        <v>y</v>
      </c>
      <c r="AJB1" s="154" t="str">
        <f t="shared" si="14"/>
        <v>y</v>
      </c>
      <c r="AJC1" s="154" t="str">
        <f t="shared" si="14"/>
        <v>y</v>
      </c>
      <c r="AJD1" s="154" t="str">
        <f t="shared" si="14"/>
        <v>y</v>
      </c>
      <c r="AJE1" s="154" t="str">
        <f t="shared" si="14"/>
        <v>y</v>
      </c>
      <c r="AJF1" s="154" t="str">
        <f t="shared" si="14"/>
        <v>y</v>
      </c>
      <c r="AJG1" s="154" t="str">
        <f t="shared" si="14"/>
        <v>y</v>
      </c>
      <c r="AJH1" s="154" t="str">
        <f t="shared" si="14"/>
        <v>y</v>
      </c>
      <c r="AJI1" s="154" t="str">
        <f t="shared" si="14"/>
        <v>y</v>
      </c>
      <c r="AJJ1" s="154" t="str">
        <f t="shared" si="14"/>
        <v>y</v>
      </c>
      <c r="AJK1" s="154" t="str">
        <f t="shared" si="14"/>
        <v>y</v>
      </c>
      <c r="AJL1" s="154" t="str">
        <f t="shared" si="14"/>
        <v>y</v>
      </c>
      <c r="AJM1" s="154" t="str">
        <f t="shared" si="14"/>
        <v>y</v>
      </c>
      <c r="AJN1" s="154" t="str">
        <f t="shared" si="14"/>
        <v>y</v>
      </c>
      <c r="AJO1" s="154" t="str">
        <f t="shared" si="14"/>
        <v>y</v>
      </c>
      <c r="AJP1" s="154" t="str">
        <f t="shared" si="14"/>
        <v>y</v>
      </c>
      <c r="AJQ1" s="154" t="str">
        <f t="shared" si="14"/>
        <v>y</v>
      </c>
      <c r="AJR1" s="154" t="str">
        <f t="shared" si="14"/>
        <v>y</v>
      </c>
      <c r="AJS1" s="154" t="str">
        <f t="shared" si="14"/>
        <v>y</v>
      </c>
      <c r="AJT1" s="154" t="str">
        <f t="shared" si="14"/>
        <v>y</v>
      </c>
      <c r="AJU1" s="154" t="str">
        <f t="shared" si="14"/>
        <v>y</v>
      </c>
      <c r="AJV1" s="154" t="str">
        <f t="shared" si="14"/>
        <v>y</v>
      </c>
      <c r="AJW1" s="154" t="str">
        <f t="shared" si="14"/>
        <v>y</v>
      </c>
      <c r="AJX1" s="154" t="str">
        <f t="shared" si="14"/>
        <v>y</v>
      </c>
      <c r="AJY1" s="154" t="str">
        <f t="shared" si="14"/>
        <v>y</v>
      </c>
      <c r="AJZ1" s="154" t="str">
        <f t="shared" si="14"/>
        <v>y</v>
      </c>
      <c r="AKA1" s="154" t="str">
        <f t="shared" si="14"/>
        <v>y</v>
      </c>
      <c r="AKB1" s="154" t="str">
        <f t="shared" ref="AKB1:AMM1" si="15">AKB2&amp;"y"</f>
        <v>y</v>
      </c>
      <c r="AKC1" s="154" t="str">
        <f t="shared" si="15"/>
        <v>y</v>
      </c>
      <c r="AKD1" s="154" t="str">
        <f t="shared" si="15"/>
        <v>y</v>
      </c>
      <c r="AKE1" s="154" t="str">
        <f t="shared" si="15"/>
        <v>y</v>
      </c>
      <c r="AKF1" s="154" t="str">
        <f t="shared" si="15"/>
        <v>y</v>
      </c>
      <c r="AKG1" s="154" t="str">
        <f t="shared" si="15"/>
        <v>y</v>
      </c>
      <c r="AKH1" s="154" t="str">
        <f t="shared" si="15"/>
        <v>y</v>
      </c>
      <c r="AKI1" s="154" t="str">
        <f t="shared" si="15"/>
        <v>y</v>
      </c>
      <c r="AKJ1" s="154" t="str">
        <f t="shared" si="15"/>
        <v>y</v>
      </c>
      <c r="AKK1" s="154" t="str">
        <f t="shared" si="15"/>
        <v>y</v>
      </c>
      <c r="AKL1" s="154" t="str">
        <f t="shared" si="15"/>
        <v>y</v>
      </c>
      <c r="AKM1" s="154" t="str">
        <f t="shared" si="15"/>
        <v>y</v>
      </c>
      <c r="AKN1" s="154" t="str">
        <f t="shared" si="15"/>
        <v>y</v>
      </c>
      <c r="AKO1" s="154" t="str">
        <f t="shared" si="15"/>
        <v>y</v>
      </c>
      <c r="AKP1" s="154" t="str">
        <f t="shared" si="15"/>
        <v>y</v>
      </c>
      <c r="AKQ1" s="154" t="str">
        <f t="shared" si="15"/>
        <v>y</v>
      </c>
      <c r="AKR1" s="154" t="str">
        <f t="shared" si="15"/>
        <v>y</v>
      </c>
      <c r="AKS1" s="154" t="str">
        <f t="shared" si="15"/>
        <v>y</v>
      </c>
      <c r="AKT1" s="154" t="str">
        <f t="shared" si="15"/>
        <v>y</v>
      </c>
      <c r="AKU1" s="154" t="str">
        <f t="shared" si="15"/>
        <v>y</v>
      </c>
      <c r="AKV1" s="154" t="str">
        <f t="shared" si="15"/>
        <v>y</v>
      </c>
      <c r="AKW1" s="154" t="str">
        <f t="shared" si="15"/>
        <v>y</v>
      </c>
      <c r="AKX1" s="154" t="str">
        <f t="shared" si="15"/>
        <v>y</v>
      </c>
      <c r="AKY1" s="154" t="str">
        <f t="shared" si="15"/>
        <v>y</v>
      </c>
      <c r="AKZ1" s="154" t="str">
        <f t="shared" si="15"/>
        <v>y</v>
      </c>
      <c r="ALA1" s="154" t="str">
        <f t="shared" si="15"/>
        <v>y</v>
      </c>
      <c r="ALB1" s="154" t="str">
        <f t="shared" si="15"/>
        <v>y</v>
      </c>
      <c r="ALC1" s="154" t="str">
        <f t="shared" si="15"/>
        <v>y</v>
      </c>
      <c r="ALD1" s="154" t="str">
        <f t="shared" si="15"/>
        <v>y</v>
      </c>
      <c r="ALE1" s="154" t="str">
        <f t="shared" si="15"/>
        <v>y</v>
      </c>
      <c r="ALF1" s="154" t="str">
        <f t="shared" si="15"/>
        <v>y</v>
      </c>
      <c r="ALG1" s="154" t="str">
        <f t="shared" si="15"/>
        <v>y</v>
      </c>
      <c r="ALH1" s="154" t="str">
        <f t="shared" si="15"/>
        <v>y</v>
      </c>
      <c r="ALI1" s="154" t="str">
        <f t="shared" si="15"/>
        <v>y</v>
      </c>
      <c r="ALJ1" s="154" t="str">
        <f t="shared" si="15"/>
        <v>y</v>
      </c>
      <c r="ALK1" s="154" t="str">
        <f t="shared" si="15"/>
        <v>y</v>
      </c>
      <c r="ALL1" s="154" t="str">
        <f t="shared" si="15"/>
        <v>y</v>
      </c>
      <c r="ALM1" s="154" t="str">
        <f t="shared" si="15"/>
        <v>y</v>
      </c>
      <c r="ALN1" s="154" t="str">
        <f t="shared" si="15"/>
        <v>y</v>
      </c>
      <c r="ALO1" s="154" t="str">
        <f t="shared" si="15"/>
        <v>y</v>
      </c>
      <c r="ALP1" s="154" t="str">
        <f t="shared" si="15"/>
        <v>y</v>
      </c>
      <c r="ALQ1" s="154" t="str">
        <f t="shared" si="15"/>
        <v>y</v>
      </c>
      <c r="ALR1" s="154" t="str">
        <f t="shared" si="15"/>
        <v>y</v>
      </c>
      <c r="ALS1" s="154" t="str">
        <f t="shared" si="15"/>
        <v>y</v>
      </c>
      <c r="ALT1" s="154" t="str">
        <f t="shared" si="15"/>
        <v>y</v>
      </c>
      <c r="ALU1" s="154" t="str">
        <f t="shared" si="15"/>
        <v>y</v>
      </c>
      <c r="ALV1" s="154" t="str">
        <f t="shared" si="15"/>
        <v>y</v>
      </c>
      <c r="ALW1" s="154" t="str">
        <f t="shared" si="15"/>
        <v>y</v>
      </c>
      <c r="ALX1" s="154" t="str">
        <f t="shared" si="15"/>
        <v>y</v>
      </c>
      <c r="ALY1" s="154" t="str">
        <f t="shared" si="15"/>
        <v>y</v>
      </c>
      <c r="ALZ1" s="154" t="str">
        <f t="shared" si="15"/>
        <v>y</v>
      </c>
      <c r="AMA1" s="154" t="str">
        <f t="shared" si="15"/>
        <v>y</v>
      </c>
      <c r="AMB1" s="154" t="str">
        <f t="shared" si="15"/>
        <v>y</v>
      </c>
      <c r="AMC1" s="154" t="str">
        <f t="shared" si="15"/>
        <v>y</v>
      </c>
      <c r="AMD1" s="154" t="str">
        <f t="shared" si="15"/>
        <v>y</v>
      </c>
      <c r="AME1" s="154" t="str">
        <f t="shared" si="15"/>
        <v>y</v>
      </c>
      <c r="AMF1" s="154" t="str">
        <f t="shared" si="15"/>
        <v>y</v>
      </c>
      <c r="AMG1" s="154" t="str">
        <f t="shared" si="15"/>
        <v>y</v>
      </c>
      <c r="AMH1" s="154" t="str">
        <f t="shared" si="15"/>
        <v>y</v>
      </c>
      <c r="AMI1" s="154" t="str">
        <f t="shared" si="15"/>
        <v>y</v>
      </c>
      <c r="AMJ1" s="154" t="str">
        <f t="shared" si="15"/>
        <v>y</v>
      </c>
      <c r="AMK1" s="154" t="str">
        <f t="shared" si="15"/>
        <v>y</v>
      </c>
      <c r="AML1" s="154" t="str">
        <f t="shared" si="15"/>
        <v>y</v>
      </c>
      <c r="AMM1" s="154" t="str">
        <f t="shared" si="15"/>
        <v>y</v>
      </c>
      <c r="AMN1" s="154" t="str">
        <f t="shared" ref="AMN1:AOY1" si="16">AMN2&amp;"y"</f>
        <v>y</v>
      </c>
      <c r="AMO1" s="154" t="str">
        <f t="shared" si="16"/>
        <v>y</v>
      </c>
      <c r="AMP1" s="154" t="str">
        <f t="shared" si="16"/>
        <v>y</v>
      </c>
      <c r="AMQ1" s="154" t="str">
        <f t="shared" si="16"/>
        <v>y</v>
      </c>
      <c r="AMR1" s="154" t="str">
        <f t="shared" si="16"/>
        <v>y</v>
      </c>
      <c r="AMS1" s="154" t="str">
        <f t="shared" si="16"/>
        <v>y</v>
      </c>
      <c r="AMT1" s="154" t="str">
        <f t="shared" si="16"/>
        <v>y</v>
      </c>
      <c r="AMU1" s="154" t="str">
        <f t="shared" si="16"/>
        <v>y</v>
      </c>
      <c r="AMV1" s="154" t="str">
        <f t="shared" si="16"/>
        <v>y</v>
      </c>
      <c r="AMW1" s="154" t="str">
        <f t="shared" si="16"/>
        <v>y</v>
      </c>
      <c r="AMX1" s="154" t="str">
        <f t="shared" si="16"/>
        <v>y</v>
      </c>
      <c r="AMY1" s="154" t="str">
        <f t="shared" si="16"/>
        <v>y</v>
      </c>
      <c r="AMZ1" s="154" t="str">
        <f t="shared" si="16"/>
        <v>y</v>
      </c>
      <c r="ANA1" s="154" t="str">
        <f t="shared" si="16"/>
        <v>y</v>
      </c>
      <c r="ANB1" s="154" t="str">
        <f t="shared" si="16"/>
        <v>y</v>
      </c>
      <c r="ANC1" s="154" t="str">
        <f t="shared" si="16"/>
        <v>y</v>
      </c>
      <c r="AND1" s="154" t="str">
        <f t="shared" si="16"/>
        <v>y</v>
      </c>
      <c r="ANE1" s="154" t="str">
        <f t="shared" si="16"/>
        <v>y</v>
      </c>
      <c r="ANF1" s="154" t="str">
        <f t="shared" si="16"/>
        <v>y</v>
      </c>
      <c r="ANG1" s="154" t="str">
        <f t="shared" si="16"/>
        <v>y</v>
      </c>
      <c r="ANH1" s="154" t="str">
        <f t="shared" si="16"/>
        <v>y</v>
      </c>
      <c r="ANI1" s="154" t="str">
        <f t="shared" si="16"/>
        <v>y</v>
      </c>
      <c r="ANJ1" s="154" t="str">
        <f t="shared" si="16"/>
        <v>y</v>
      </c>
      <c r="ANK1" s="154" t="str">
        <f t="shared" si="16"/>
        <v>y</v>
      </c>
      <c r="ANL1" s="154" t="str">
        <f t="shared" si="16"/>
        <v>y</v>
      </c>
      <c r="ANM1" s="154" t="str">
        <f t="shared" si="16"/>
        <v>y</v>
      </c>
      <c r="ANN1" s="154" t="str">
        <f t="shared" si="16"/>
        <v>y</v>
      </c>
      <c r="ANO1" s="154" t="str">
        <f t="shared" si="16"/>
        <v>y</v>
      </c>
      <c r="ANP1" s="154" t="str">
        <f t="shared" si="16"/>
        <v>y</v>
      </c>
      <c r="ANQ1" s="154" t="str">
        <f t="shared" si="16"/>
        <v>y</v>
      </c>
      <c r="ANR1" s="154" t="str">
        <f t="shared" si="16"/>
        <v>y</v>
      </c>
      <c r="ANS1" s="154" t="str">
        <f t="shared" si="16"/>
        <v>y</v>
      </c>
      <c r="ANT1" s="154" t="str">
        <f t="shared" si="16"/>
        <v>y</v>
      </c>
      <c r="ANU1" s="154" t="str">
        <f t="shared" si="16"/>
        <v>y</v>
      </c>
      <c r="ANV1" s="154" t="str">
        <f t="shared" si="16"/>
        <v>y</v>
      </c>
      <c r="ANW1" s="154" t="str">
        <f t="shared" si="16"/>
        <v>y</v>
      </c>
      <c r="ANX1" s="154" t="str">
        <f t="shared" si="16"/>
        <v>y</v>
      </c>
      <c r="ANY1" s="154" t="str">
        <f t="shared" si="16"/>
        <v>y</v>
      </c>
      <c r="ANZ1" s="154" t="str">
        <f t="shared" si="16"/>
        <v>y</v>
      </c>
      <c r="AOA1" s="154" t="str">
        <f t="shared" si="16"/>
        <v>y</v>
      </c>
      <c r="AOB1" s="154" t="str">
        <f t="shared" si="16"/>
        <v>y</v>
      </c>
      <c r="AOC1" s="154" t="str">
        <f t="shared" si="16"/>
        <v>y</v>
      </c>
      <c r="AOD1" s="154" t="str">
        <f t="shared" si="16"/>
        <v>y</v>
      </c>
      <c r="AOE1" s="154" t="str">
        <f t="shared" si="16"/>
        <v>y</v>
      </c>
      <c r="AOF1" s="154" t="str">
        <f t="shared" si="16"/>
        <v>y</v>
      </c>
      <c r="AOG1" s="154" t="str">
        <f t="shared" si="16"/>
        <v>y</v>
      </c>
      <c r="AOH1" s="154" t="str">
        <f t="shared" si="16"/>
        <v>y</v>
      </c>
      <c r="AOI1" s="154" t="str">
        <f t="shared" si="16"/>
        <v>y</v>
      </c>
      <c r="AOJ1" s="154" t="str">
        <f t="shared" si="16"/>
        <v>y</v>
      </c>
      <c r="AOK1" s="154" t="str">
        <f t="shared" si="16"/>
        <v>y</v>
      </c>
      <c r="AOL1" s="154" t="str">
        <f t="shared" si="16"/>
        <v>y</v>
      </c>
      <c r="AOM1" s="154" t="str">
        <f t="shared" si="16"/>
        <v>y</v>
      </c>
      <c r="AON1" s="154" t="str">
        <f t="shared" si="16"/>
        <v>y</v>
      </c>
      <c r="AOO1" s="154" t="str">
        <f t="shared" si="16"/>
        <v>y</v>
      </c>
      <c r="AOP1" s="154" t="str">
        <f t="shared" si="16"/>
        <v>y</v>
      </c>
      <c r="AOQ1" s="154" t="str">
        <f t="shared" si="16"/>
        <v>y</v>
      </c>
      <c r="AOR1" s="154" t="str">
        <f t="shared" si="16"/>
        <v>y</v>
      </c>
      <c r="AOS1" s="154" t="str">
        <f t="shared" si="16"/>
        <v>y</v>
      </c>
      <c r="AOT1" s="154" t="str">
        <f t="shared" si="16"/>
        <v>y</v>
      </c>
      <c r="AOU1" s="154" t="str">
        <f t="shared" si="16"/>
        <v>y</v>
      </c>
      <c r="AOV1" s="154" t="str">
        <f t="shared" si="16"/>
        <v>y</v>
      </c>
      <c r="AOW1" s="154" t="str">
        <f t="shared" si="16"/>
        <v>y</v>
      </c>
      <c r="AOX1" s="154" t="str">
        <f t="shared" si="16"/>
        <v>y</v>
      </c>
      <c r="AOY1" s="154" t="str">
        <f t="shared" si="16"/>
        <v>y</v>
      </c>
      <c r="AOZ1" s="154" t="str">
        <f t="shared" ref="AOZ1:ARK1" si="17">AOZ2&amp;"y"</f>
        <v>y</v>
      </c>
      <c r="APA1" s="154" t="str">
        <f t="shared" si="17"/>
        <v>y</v>
      </c>
      <c r="APB1" s="154" t="str">
        <f t="shared" si="17"/>
        <v>y</v>
      </c>
      <c r="APC1" s="154" t="str">
        <f t="shared" si="17"/>
        <v>y</v>
      </c>
      <c r="APD1" s="154" t="str">
        <f t="shared" si="17"/>
        <v>y</v>
      </c>
      <c r="APE1" s="154" t="str">
        <f t="shared" si="17"/>
        <v>y</v>
      </c>
      <c r="APF1" s="154" t="str">
        <f t="shared" si="17"/>
        <v>y</v>
      </c>
      <c r="APG1" s="154" t="str">
        <f t="shared" si="17"/>
        <v>y</v>
      </c>
      <c r="APH1" s="154" t="str">
        <f t="shared" si="17"/>
        <v>y</v>
      </c>
      <c r="API1" s="154" t="str">
        <f t="shared" si="17"/>
        <v>y</v>
      </c>
      <c r="APJ1" s="154" t="str">
        <f t="shared" si="17"/>
        <v>y</v>
      </c>
      <c r="APK1" s="154" t="str">
        <f t="shared" si="17"/>
        <v>y</v>
      </c>
      <c r="APL1" s="154" t="str">
        <f t="shared" si="17"/>
        <v>y</v>
      </c>
      <c r="APM1" s="154" t="str">
        <f t="shared" si="17"/>
        <v>y</v>
      </c>
      <c r="APN1" s="154" t="str">
        <f t="shared" si="17"/>
        <v>y</v>
      </c>
      <c r="APO1" s="154" t="str">
        <f t="shared" si="17"/>
        <v>y</v>
      </c>
      <c r="APP1" s="154" t="str">
        <f t="shared" si="17"/>
        <v>y</v>
      </c>
      <c r="APQ1" s="154" t="str">
        <f t="shared" si="17"/>
        <v>y</v>
      </c>
      <c r="APR1" s="154" t="str">
        <f t="shared" si="17"/>
        <v>y</v>
      </c>
      <c r="APS1" s="154" t="str">
        <f t="shared" si="17"/>
        <v>y</v>
      </c>
      <c r="APT1" s="154" t="str">
        <f t="shared" si="17"/>
        <v>y</v>
      </c>
      <c r="APU1" s="154" t="str">
        <f t="shared" si="17"/>
        <v>y</v>
      </c>
      <c r="APV1" s="154" t="str">
        <f t="shared" si="17"/>
        <v>y</v>
      </c>
      <c r="APW1" s="154" t="str">
        <f t="shared" si="17"/>
        <v>y</v>
      </c>
      <c r="APX1" s="154" t="str">
        <f t="shared" si="17"/>
        <v>y</v>
      </c>
      <c r="APY1" s="154" t="str">
        <f t="shared" si="17"/>
        <v>y</v>
      </c>
      <c r="APZ1" s="154" t="str">
        <f t="shared" si="17"/>
        <v>y</v>
      </c>
      <c r="AQA1" s="154" t="str">
        <f t="shared" si="17"/>
        <v>y</v>
      </c>
      <c r="AQB1" s="154" t="str">
        <f t="shared" si="17"/>
        <v>y</v>
      </c>
      <c r="AQC1" s="154" t="str">
        <f t="shared" si="17"/>
        <v>y</v>
      </c>
      <c r="AQD1" s="154" t="str">
        <f t="shared" si="17"/>
        <v>y</v>
      </c>
      <c r="AQE1" s="154" t="str">
        <f t="shared" si="17"/>
        <v>y</v>
      </c>
      <c r="AQF1" s="154" t="str">
        <f t="shared" si="17"/>
        <v>y</v>
      </c>
      <c r="AQG1" s="154" t="str">
        <f t="shared" si="17"/>
        <v>y</v>
      </c>
      <c r="AQH1" s="154" t="str">
        <f t="shared" si="17"/>
        <v>y</v>
      </c>
      <c r="AQI1" s="154" t="str">
        <f t="shared" si="17"/>
        <v>y</v>
      </c>
      <c r="AQJ1" s="154" t="str">
        <f t="shared" si="17"/>
        <v>y</v>
      </c>
      <c r="AQK1" s="154" t="str">
        <f t="shared" si="17"/>
        <v>y</v>
      </c>
      <c r="AQL1" s="154" t="str">
        <f t="shared" si="17"/>
        <v>y</v>
      </c>
      <c r="AQM1" s="154" t="str">
        <f t="shared" si="17"/>
        <v>y</v>
      </c>
      <c r="AQN1" s="154" t="str">
        <f t="shared" si="17"/>
        <v>y</v>
      </c>
      <c r="AQO1" s="154" t="str">
        <f t="shared" si="17"/>
        <v>y</v>
      </c>
      <c r="AQP1" s="154" t="str">
        <f t="shared" si="17"/>
        <v>y</v>
      </c>
      <c r="AQQ1" s="154" t="str">
        <f t="shared" si="17"/>
        <v>y</v>
      </c>
      <c r="AQR1" s="154" t="str">
        <f t="shared" si="17"/>
        <v>y</v>
      </c>
      <c r="AQS1" s="154" t="str">
        <f t="shared" si="17"/>
        <v>y</v>
      </c>
      <c r="AQT1" s="154" t="str">
        <f t="shared" si="17"/>
        <v>y</v>
      </c>
      <c r="AQU1" s="154" t="str">
        <f t="shared" si="17"/>
        <v>y</v>
      </c>
      <c r="AQV1" s="154" t="str">
        <f t="shared" si="17"/>
        <v>y</v>
      </c>
      <c r="AQW1" s="154" t="str">
        <f t="shared" si="17"/>
        <v>y</v>
      </c>
      <c r="AQX1" s="154" t="str">
        <f t="shared" si="17"/>
        <v>y</v>
      </c>
      <c r="AQY1" s="154" t="str">
        <f t="shared" si="17"/>
        <v>y</v>
      </c>
      <c r="AQZ1" s="154" t="str">
        <f t="shared" si="17"/>
        <v>y</v>
      </c>
      <c r="ARA1" s="154" t="str">
        <f t="shared" si="17"/>
        <v>y</v>
      </c>
      <c r="ARB1" s="154" t="str">
        <f t="shared" si="17"/>
        <v>y</v>
      </c>
      <c r="ARC1" s="154" t="str">
        <f t="shared" si="17"/>
        <v>y</v>
      </c>
      <c r="ARD1" s="154" t="str">
        <f t="shared" si="17"/>
        <v>y</v>
      </c>
      <c r="ARE1" s="154" t="str">
        <f t="shared" si="17"/>
        <v>y</v>
      </c>
      <c r="ARF1" s="154" t="str">
        <f t="shared" si="17"/>
        <v>y</v>
      </c>
      <c r="ARG1" s="154" t="str">
        <f t="shared" si="17"/>
        <v>y</v>
      </c>
      <c r="ARH1" s="154" t="str">
        <f t="shared" si="17"/>
        <v>y</v>
      </c>
      <c r="ARI1" s="154" t="str">
        <f t="shared" si="17"/>
        <v>y</v>
      </c>
      <c r="ARJ1" s="154" t="str">
        <f t="shared" si="17"/>
        <v>y</v>
      </c>
      <c r="ARK1" s="154" t="str">
        <f t="shared" si="17"/>
        <v>y</v>
      </c>
      <c r="ARL1" s="154" t="str">
        <f t="shared" ref="ARL1:ATW1" si="18">ARL2&amp;"y"</f>
        <v>y</v>
      </c>
      <c r="ARM1" s="154" t="str">
        <f t="shared" si="18"/>
        <v>y</v>
      </c>
      <c r="ARN1" s="154" t="str">
        <f t="shared" si="18"/>
        <v>y</v>
      </c>
      <c r="ARO1" s="154" t="str">
        <f t="shared" si="18"/>
        <v>y</v>
      </c>
      <c r="ARP1" s="154" t="str">
        <f t="shared" si="18"/>
        <v>y</v>
      </c>
      <c r="ARQ1" s="154" t="str">
        <f t="shared" si="18"/>
        <v>y</v>
      </c>
      <c r="ARR1" s="154" t="str">
        <f t="shared" si="18"/>
        <v>y</v>
      </c>
      <c r="ARS1" s="154" t="str">
        <f t="shared" si="18"/>
        <v>y</v>
      </c>
      <c r="ART1" s="154" t="str">
        <f t="shared" si="18"/>
        <v>y</v>
      </c>
      <c r="ARU1" s="154" t="str">
        <f t="shared" si="18"/>
        <v>y</v>
      </c>
      <c r="ARV1" s="154" t="str">
        <f t="shared" si="18"/>
        <v>y</v>
      </c>
      <c r="ARW1" s="154" t="str">
        <f t="shared" si="18"/>
        <v>y</v>
      </c>
      <c r="ARX1" s="154" t="str">
        <f t="shared" si="18"/>
        <v>y</v>
      </c>
      <c r="ARY1" s="154" t="str">
        <f t="shared" si="18"/>
        <v>y</v>
      </c>
      <c r="ARZ1" s="154" t="str">
        <f t="shared" si="18"/>
        <v>y</v>
      </c>
      <c r="ASA1" s="154" t="str">
        <f t="shared" si="18"/>
        <v>y</v>
      </c>
      <c r="ASB1" s="154" t="str">
        <f t="shared" si="18"/>
        <v>y</v>
      </c>
      <c r="ASC1" s="154" t="str">
        <f t="shared" si="18"/>
        <v>y</v>
      </c>
      <c r="ASD1" s="154" t="str">
        <f t="shared" si="18"/>
        <v>y</v>
      </c>
      <c r="ASE1" s="154" t="str">
        <f t="shared" si="18"/>
        <v>y</v>
      </c>
      <c r="ASF1" s="154" t="str">
        <f t="shared" si="18"/>
        <v>y</v>
      </c>
      <c r="ASG1" s="154" t="str">
        <f t="shared" si="18"/>
        <v>y</v>
      </c>
      <c r="ASH1" s="154" t="str">
        <f t="shared" si="18"/>
        <v>y</v>
      </c>
      <c r="ASI1" s="154" t="str">
        <f t="shared" si="18"/>
        <v>y</v>
      </c>
      <c r="ASJ1" s="154" t="str">
        <f t="shared" si="18"/>
        <v>y</v>
      </c>
      <c r="ASK1" s="154" t="str">
        <f t="shared" si="18"/>
        <v>y</v>
      </c>
      <c r="ASL1" s="154" t="str">
        <f t="shared" si="18"/>
        <v>y</v>
      </c>
      <c r="ASM1" s="154" t="str">
        <f t="shared" si="18"/>
        <v>y</v>
      </c>
      <c r="ASN1" s="154" t="str">
        <f t="shared" si="18"/>
        <v>y</v>
      </c>
      <c r="ASO1" s="154" t="str">
        <f t="shared" si="18"/>
        <v>y</v>
      </c>
      <c r="ASP1" s="154" t="str">
        <f t="shared" si="18"/>
        <v>y</v>
      </c>
      <c r="ASQ1" s="154" t="str">
        <f t="shared" si="18"/>
        <v>y</v>
      </c>
      <c r="ASR1" s="154" t="str">
        <f t="shared" si="18"/>
        <v>y</v>
      </c>
      <c r="ASS1" s="154" t="str">
        <f t="shared" si="18"/>
        <v>y</v>
      </c>
      <c r="AST1" s="154" t="str">
        <f t="shared" si="18"/>
        <v>y</v>
      </c>
      <c r="ASU1" s="154" t="str">
        <f t="shared" si="18"/>
        <v>y</v>
      </c>
      <c r="ASV1" s="154" t="str">
        <f t="shared" si="18"/>
        <v>y</v>
      </c>
      <c r="ASW1" s="154" t="str">
        <f t="shared" si="18"/>
        <v>y</v>
      </c>
      <c r="ASX1" s="154" t="str">
        <f t="shared" si="18"/>
        <v>y</v>
      </c>
      <c r="ASY1" s="154" t="str">
        <f t="shared" si="18"/>
        <v>y</v>
      </c>
      <c r="ASZ1" s="154" t="str">
        <f t="shared" si="18"/>
        <v>y</v>
      </c>
      <c r="ATA1" s="154" t="str">
        <f t="shared" si="18"/>
        <v>y</v>
      </c>
      <c r="ATB1" s="154" t="str">
        <f t="shared" si="18"/>
        <v>y</v>
      </c>
      <c r="ATC1" s="154" t="str">
        <f t="shared" si="18"/>
        <v>y</v>
      </c>
      <c r="ATD1" s="154" t="str">
        <f t="shared" si="18"/>
        <v>y</v>
      </c>
      <c r="ATE1" s="154" t="str">
        <f t="shared" si="18"/>
        <v>y</v>
      </c>
      <c r="ATF1" s="154" t="str">
        <f t="shared" si="18"/>
        <v>y</v>
      </c>
      <c r="ATG1" s="154" t="str">
        <f t="shared" si="18"/>
        <v>y</v>
      </c>
      <c r="ATH1" s="154" t="str">
        <f t="shared" si="18"/>
        <v>y</v>
      </c>
      <c r="ATI1" s="154" t="str">
        <f t="shared" si="18"/>
        <v>y</v>
      </c>
      <c r="ATJ1" s="154" t="str">
        <f t="shared" si="18"/>
        <v>y</v>
      </c>
      <c r="ATK1" s="154" t="str">
        <f t="shared" si="18"/>
        <v>y</v>
      </c>
      <c r="ATL1" s="154" t="str">
        <f t="shared" si="18"/>
        <v>y</v>
      </c>
      <c r="ATM1" s="154" t="str">
        <f t="shared" si="18"/>
        <v>y</v>
      </c>
      <c r="ATN1" s="154" t="str">
        <f t="shared" si="18"/>
        <v>y</v>
      </c>
      <c r="ATO1" s="154" t="str">
        <f t="shared" si="18"/>
        <v>y</v>
      </c>
      <c r="ATP1" s="154" t="str">
        <f t="shared" si="18"/>
        <v>y</v>
      </c>
      <c r="ATQ1" s="154" t="str">
        <f t="shared" si="18"/>
        <v>y</v>
      </c>
      <c r="ATR1" s="154" t="str">
        <f t="shared" si="18"/>
        <v>y</v>
      </c>
      <c r="ATS1" s="154" t="str">
        <f t="shared" si="18"/>
        <v>y</v>
      </c>
      <c r="ATT1" s="154" t="str">
        <f t="shared" si="18"/>
        <v>y</v>
      </c>
      <c r="ATU1" s="154" t="str">
        <f t="shared" si="18"/>
        <v>y</v>
      </c>
      <c r="ATV1" s="154" t="str">
        <f t="shared" si="18"/>
        <v>y</v>
      </c>
      <c r="ATW1" s="154" t="str">
        <f t="shared" si="18"/>
        <v>y</v>
      </c>
      <c r="ATX1" s="154" t="str">
        <f t="shared" ref="ATX1:AWI1" si="19">ATX2&amp;"y"</f>
        <v>y</v>
      </c>
      <c r="ATY1" s="154" t="str">
        <f t="shared" si="19"/>
        <v>y</v>
      </c>
      <c r="ATZ1" s="154" t="str">
        <f t="shared" si="19"/>
        <v>y</v>
      </c>
      <c r="AUA1" s="154" t="str">
        <f t="shared" si="19"/>
        <v>y</v>
      </c>
      <c r="AUB1" s="154" t="str">
        <f t="shared" si="19"/>
        <v>y</v>
      </c>
      <c r="AUC1" s="154" t="str">
        <f t="shared" si="19"/>
        <v>y</v>
      </c>
      <c r="AUD1" s="154" t="str">
        <f t="shared" si="19"/>
        <v>y</v>
      </c>
      <c r="AUE1" s="154" t="str">
        <f t="shared" si="19"/>
        <v>y</v>
      </c>
      <c r="AUF1" s="154" t="str">
        <f t="shared" si="19"/>
        <v>y</v>
      </c>
      <c r="AUG1" s="154" t="str">
        <f t="shared" si="19"/>
        <v>y</v>
      </c>
      <c r="AUH1" s="154" t="str">
        <f t="shared" si="19"/>
        <v>y</v>
      </c>
      <c r="AUI1" s="154" t="str">
        <f t="shared" si="19"/>
        <v>y</v>
      </c>
      <c r="AUJ1" s="154" t="str">
        <f t="shared" si="19"/>
        <v>y</v>
      </c>
      <c r="AUK1" s="154" t="str">
        <f t="shared" si="19"/>
        <v>y</v>
      </c>
      <c r="AUL1" s="154" t="str">
        <f t="shared" si="19"/>
        <v>y</v>
      </c>
      <c r="AUM1" s="154" t="str">
        <f t="shared" si="19"/>
        <v>y</v>
      </c>
      <c r="AUN1" s="154" t="str">
        <f t="shared" si="19"/>
        <v>y</v>
      </c>
      <c r="AUO1" s="154" t="str">
        <f t="shared" si="19"/>
        <v>y</v>
      </c>
      <c r="AUP1" s="154" t="str">
        <f t="shared" si="19"/>
        <v>y</v>
      </c>
      <c r="AUQ1" s="154" t="str">
        <f t="shared" si="19"/>
        <v>y</v>
      </c>
      <c r="AUR1" s="154" t="str">
        <f t="shared" si="19"/>
        <v>y</v>
      </c>
      <c r="AUS1" s="154" t="str">
        <f t="shared" si="19"/>
        <v>y</v>
      </c>
      <c r="AUT1" s="154" t="str">
        <f t="shared" si="19"/>
        <v>y</v>
      </c>
      <c r="AUU1" s="154" t="str">
        <f t="shared" si="19"/>
        <v>y</v>
      </c>
      <c r="AUV1" s="154" t="str">
        <f t="shared" si="19"/>
        <v>y</v>
      </c>
      <c r="AUW1" s="154" t="str">
        <f t="shared" si="19"/>
        <v>y</v>
      </c>
      <c r="AUX1" s="154" t="str">
        <f t="shared" si="19"/>
        <v>y</v>
      </c>
      <c r="AUY1" s="154" t="str">
        <f t="shared" si="19"/>
        <v>y</v>
      </c>
      <c r="AUZ1" s="154" t="str">
        <f t="shared" si="19"/>
        <v>y</v>
      </c>
      <c r="AVA1" s="154" t="str">
        <f t="shared" si="19"/>
        <v>y</v>
      </c>
      <c r="AVB1" s="154" t="str">
        <f t="shared" si="19"/>
        <v>y</v>
      </c>
      <c r="AVC1" s="154" t="str">
        <f t="shared" si="19"/>
        <v>y</v>
      </c>
      <c r="AVD1" s="154" t="str">
        <f t="shared" si="19"/>
        <v>y</v>
      </c>
      <c r="AVE1" s="154" t="str">
        <f t="shared" si="19"/>
        <v>y</v>
      </c>
      <c r="AVF1" s="154" t="str">
        <f t="shared" si="19"/>
        <v>y</v>
      </c>
      <c r="AVG1" s="154" t="str">
        <f t="shared" si="19"/>
        <v>y</v>
      </c>
      <c r="AVH1" s="154" t="str">
        <f t="shared" si="19"/>
        <v>y</v>
      </c>
      <c r="AVI1" s="154" t="str">
        <f t="shared" si="19"/>
        <v>y</v>
      </c>
      <c r="AVJ1" s="154" t="str">
        <f t="shared" si="19"/>
        <v>y</v>
      </c>
      <c r="AVK1" s="154" t="str">
        <f t="shared" si="19"/>
        <v>y</v>
      </c>
      <c r="AVL1" s="154" t="str">
        <f t="shared" si="19"/>
        <v>y</v>
      </c>
      <c r="AVM1" s="154" t="str">
        <f t="shared" si="19"/>
        <v>y</v>
      </c>
      <c r="AVN1" s="154" t="str">
        <f t="shared" si="19"/>
        <v>y</v>
      </c>
      <c r="AVO1" s="154" t="str">
        <f t="shared" si="19"/>
        <v>y</v>
      </c>
      <c r="AVP1" s="154" t="str">
        <f t="shared" si="19"/>
        <v>y</v>
      </c>
      <c r="AVQ1" s="154" t="str">
        <f t="shared" si="19"/>
        <v>y</v>
      </c>
      <c r="AVR1" s="154" t="str">
        <f t="shared" si="19"/>
        <v>y</v>
      </c>
      <c r="AVS1" s="154" t="str">
        <f t="shared" si="19"/>
        <v>y</v>
      </c>
      <c r="AVT1" s="154" t="str">
        <f t="shared" si="19"/>
        <v>y</v>
      </c>
      <c r="AVU1" s="154" t="str">
        <f t="shared" si="19"/>
        <v>y</v>
      </c>
      <c r="AVV1" s="154" t="str">
        <f t="shared" si="19"/>
        <v>y</v>
      </c>
      <c r="AVW1" s="154" t="str">
        <f t="shared" si="19"/>
        <v>y</v>
      </c>
      <c r="AVX1" s="154" t="str">
        <f t="shared" si="19"/>
        <v>y</v>
      </c>
      <c r="AVY1" s="154" t="str">
        <f t="shared" si="19"/>
        <v>y</v>
      </c>
      <c r="AVZ1" s="154" t="str">
        <f t="shared" si="19"/>
        <v>y</v>
      </c>
      <c r="AWA1" s="154" t="str">
        <f t="shared" si="19"/>
        <v>y</v>
      </c>
      <c r="AWB1" s="154" t="str">
        <f t="shared" si="19"/>
        <v>y</v>
      </c>
      <c r="AWC1" s="154" t="str">
        <f t="shared" si="19"/>
        <v>y</v>
      </c>
      <c r="AWD1" s="154" t="str">
        <f t="shared" si="19"/>
        <v>y</v>
      </c>
      <c r="AWE1" s="154" t="str">
        <f t="shared" si="19"/>
        <v>y</v>
      </c>
      <c r="AWF1" s="154" t="str">
        <f t="shared" si="19"/>
        <v>y</v>
      </c>
      <c r="AWG1" s="154" t="str">
        <f t="shared" si="19"/>
        <v>y</v>
      </c>
      <c r="AWH1" s="154" t="str">
        <f t="shared" si="19"/>
        <v>y</v>
      </c>
      <c r="AWI1" s="154" t="str">
        <f t="shared" si="19"/>
        <v>y</v>
      </c>
      <c r="AWJ1" s="154" t="str">
        <f t="shared" ref="AWJ1:AYU1" si="20">AWJ2&amp;"y"</f>
        <v>y</v>
      </c>
      <c r="AWK1" s="154" t="str">
        <f t="shared" si="20"/>
        <v>y</v>
      </c>
      <c r="AWL1" s="154" t="str">
        <f t="shared" si="20"/>
        <v>y</v>
      </c>
      <c r="AWM1" s="154" t="str">
        <f t="shared" si="20"/>
        <v>y</v>
      </c>
      <c r="AWN1" s="154" t="str">
        <f t="shared" si="20"/>
        <v>y</v>
      </c>
      <c r="AWO1" s="154" t="str">
        <f t="shared" si="20"/>
        <v>y</v>
      </c>
      <c r="AWP1" s="154" t="str">
        <f t="shared" si="20"/>
        <v>y</v>
      </c>
      <c r="AWQ1" s="154" t="str">
        <f t="shared" si="20"/>
        <v>y</v>
      </c>
      <c r="AWR1" s="154" t="str">
        <f t="shared" si="20"/>
        <v>y</v>
      </c>
      <c r="AWS1" s="154" t="str">
        <f t="shared" si="20"/>
        <v>y</v>
      </c>
      <c r="AWT1" s="154" t="str">
        <f t="shared" si="20"/>
        <v>y</v>
      </c>
      <c r="AWU1" s="154" t="str">
        <f t="shared" si="20"/>
        <v>y</v>
      </c>
      <c r="AWV1" s="154" t="str">
        <f t="shared" si="20"/>
        <v>y</v>
      </c>
      <c r="AWW1" s="154" t="str">
        <f t="shared" si="20"/>
        <v>y</v>
      </c>
      <c r="AWX1" s="154" t="str">
        <f t="shared" si="20"/>
        <v>y</v>
      </c>
      <c r="AWY1" s="154" t="str">
        <f t="shared" si="20"/>
        <v>y</v>
      </c>
      <c r="AWZ1" s="154" t="str">
        <f t="shared" si="20"/>
        <v>y</v>
      </c>
      <c r="AXA1" s="154" t="str">
        <f t="shared" si="20"/>
        <v>y</v>
      </c>
      <c r="AXB1" s="154" t="str">
        <f t="shared" si="20"/>
        <v>y</v>
      </c>
      <c r="AXC1" s="154" t="str">
        <f t="shared" si="20"/>
        <v>y</v>
      </c>
      <c r="AXD1" s="154" t="str">
        <f t="shared" si="20"/>
        <v>y</v>
      </c>
      <c r="AXE1" s="154" t="str">
        <f t="shared" si="20"/>
        <v>y</v>
      </c>
      <c r="AXF1" s="154" t="str">
        <f t="shared" si="20"/>
        <v>y</v>
      </c>
      <c r="AXG1" s="154" t="str">
        <f t="shared" si="20"/>
        <v>y</v>
      </c>
      <c r="AXH1" s="154" t="str">
        <f t="shared" si="20"/>
        <v>y</v>
      </c>
      <c r="AXI1" s="154" t="str">
        <f t="shared" si="20"/>
        <v>y</v>
      </c>
      <c r="AXJ1" s="154" t="str">
        <f t="shared" si="20"/>
        <v>y</v>
      </c>
      <c r="AXK1" s="154" t="str">
        <f t="shared" si="20"/>
        <v>y</v>
      </c>
      <c r="AXL1" s="154" t="str">
        <f t="shared" si="20"/>
        <v>y</v>
      </c>
      <c r="AXM1" s="154" t="str">
        <f t="shared" si="20"/>
        <v>y</v>
      </c>
      <c r="AXN1" s="154" t="str">
        <f t="shared" si="20"/>
        <v>y</v>
      </c>
      <c r="AXO1" s="154" t="str">
        <f t="shared" si="20"/>
        <v>y</v>
      </c>
      <c r="AXP1" s="154" t="str">
        <f t="shared" si="20"/>
        <v>y</v>
      </c>
      <c r="AXQ1" s="154" t="str">
        <f t="shared" si="20"/>
        <v>y</v>
      </c>
      <c r="AXR1" s="154" t="str">
        <f t="shared" si="20"/>
        <v>y</v>
      </c>
      <c r="AXS1" s="154" t="str">
        <f t="shared" si="20"/>
        <v>y</v>
      </c>
      <c r="AXT1" s="154" t="str">
        <f t="shared" si="20"/>
        <v>y</v>
      </c>
      <c r="AXU1" s="154" t="str">
        <f t="shared" si="20"/>
        <v>y</v>
      </c>
      <c r="AXV1" s="154" t="str">
        <f t="shared" si="20"/>
        <v>y</v>
      </c>
      <c r="AXW1" s="154" t="str">
        <f t="shared" si="20"/>
        <v>y</v>
      </c>
      <c r="AXX1" s="154" t="str">
        <f t="shared" si="20"/>
        <v>y</v>
      </c>
      <c r="AXY1" s="154" t="str">
        <f t="shared" si="20"/>
        <v>y</v>
      </c>
      <c r="AXZ1" s="154" t="str">
        <f t="shared" si="20"/>
        <v>y</v>
      </c>
      <c r="AYA1" s="154" t="str">
        <f t="shared" si="20"/>
        <v>y</v>
      </c>
      <c r="AYB1" s="154" t="str">
        <f t="shared" si="20"/>
        <v>y</v>
      </c>
      <c r="AYC1" s="154" t="str">
        <f t="shared" si="20"/>
        <v>y</v>
      </c>
      <c r="AYD1" s="154" t="str">
        <f t="shared" si="20"/>
        <v>y</v>
      </c>
      <c r="AYE1" s="154" t="str">
        <f t="shared" si="20"/>
        <v>y</v>
      </c>
      <c r="AYF1" s="154" t="str">
        <f t="shared" si="20"/>
        <v>y</v>
      </c>
      <c r="AYG1" s="154" t="str">
        <f t="shared" si="20"/>
        <v>y</v>
      </c>
      <c r="AYH1" s="154" t="str">
        <f t="shared" si="20"/>
        <v>y</v>
      </c>
      <c r="AYI1" s="154" t="str">
        <f t="shared" si="20"/>
        <v>y</v>
      </c>
      <c r="AYJ1" s="154" t="str">
        <f t="shared" si="20"/>
        <v>y</v>
      </c>
      <c r="AYK1" s="154" t="str">
        <f t="shared" si="20"/>
        <v>y</v>
      </c>
      <c r="AYL1" s="154" t="str">
        <f t="shared" si="20"/>
        <v>y</v>
      </c>
      <c r="AYM1" s="154" t="str">
        <f t="shared" si="20"/>
        <v>y</v>
      </c>
      <c r="AYN1" s="154" t="str">
        <f t="shared" si="20"/>
        <v>y</v>
      </c>
      <c r="AYO1" s="154" t="str">
        <f t="shared" si="20"/>
        <v>y</v>
      </c>
      <c r="AYP1" s="154" t="str">
        <f t="shared" si="20"/>
        <v>y</v>
      </c>
      <c r="AYQ1" s="154" t="str">
        <f t="shared" si="20"/>
        <v>y</v>
      </c>
      <c r="AYR1" s="154" t="str">
        <f t="shared" si="20"/>
        <v>y</v>
      </c>
      <c r="AYS1" s="154" t="str">
        <f t="shared" si="20"/>
        <v>y</v>
      </c>
      <c r="AYT1" s="154" t="str">
        <f t="shared" si="20"/>
        <v>y</v>
      </c>
      <c r="AYU1" s="154" t="str">
        <f t="shared" si="20"/>
        <v>y</v>
      </c>
      <c r="AYV1" s="154" t="str">
        <f t="shared" ref="AYV1:BBG1" si="21">AYV2&amp;"y"</f>
        <v>y</v>
      </c>
      <c r="AYW1" s="154" t="str">
        <f t="shared" si="21"/>
        <v>y</v>
      </c>
      <c r="AYX1" s="154" t="str">
        <f t="shared" si="21"/>
        <v>y</v>
      </c>
      <c r="AYY1" s="154" t="str">
        <f t="shared" si="21"/>
        <v>y</v>
      </c>
      <c r="AYZ1" s="154" t="str">
        <f t="shared" si="21"/>
        <v>y</v>
      </c>
      <c r="AZA1" s="154" t="str">
        <f t="shared" si="21"/>
        <v>y</v>
      </c>
      <c r="AZB1" s="154" t="str">
        <f t="shared" si="21"/>
        <v>y</v>
      </c>
      <c r="AZC1" s="154" t="str">
        <f t="shared" si="21"/>
        <v>y</v>
      </c>
      <c r="AZD1" s="154" t="str">
        <f t="shared" si="21"/>
        <v>y</v>
      </c>
      <c r="AZE1" s="154" t="str">
        <f t="shared" si="21"/>
        <v>y</v>
      </c>
      <c r="AZF1" s="154" t="str">
        <f t="shared" si="21"/>
        <v>y</v>
      </c>
      <c r="AZG1" s="154" t="str">
        <f t="shared" si="21"/>
        <v>y</v>
      </c>
      <c r="AZH1" s="154" t="str">
        <f t="shared" si="21"/>
        <v>y</v>
      </c>
      <c r="AZI1" s="154" t="str">
        <f t="shared" si="21"/>
        <v>y</v>
      </c>
      <c r="AZJ1" s="154" t="str">
        <f t="shared" si="21"/>
        <v>y</v>
      </c>
      <c r="AZK1" s="154" t="str">
        <f t="shared" si="21"/>
        <v>y</v>
      </c>
      <c r="AZL1" s="154" t="str">
        <f t="shared" si="21"/>
        <v>y</v>
      </c>
      <c r="AZM1" s="154" t="str">
        <f t="shared" si="21"/>
        <v>y</v>
      </c>
      <c r="AZN1" s="154" t="str">
        <f t="shared" si="21"/>
        <v>y</v>
      </c>
      <c r="AZO1" s="154" t="str">
        <f t="shared" si="21"/>
        <v>y</v>
      </c>
      <c r="AZP1" s="154" t="str">
        <f t="shared" si="21"/>
        <v>y</v>
      </c>
      <c r="AZQ1" s="154" t="str">
        <f t="shared" si="21"/>
        <v>y</v>
      </c>
      <c r="AZR1" s="154" t="str">
        <f t="shared" si="21"/>
        <v>y</v>
      </c>
      <c r="AZS1" s="154" t="str">
        <f t="shared" si="21"/>
        <v>y</v>
      </c>
      <c r="AZT1" s="154" t="str">
        <f t="shared" si="21"/>
        <v>y</v>
      </c>
      <c r="AZU1" s="154" t="str">
        <f t="shared" si="21"/>
        <v>y</v>
      </c>
      <c r="AZV1" s="154" t="str">
        <f t="shared" si="21"/>
        <v>y</v>
      </c>
      <c r="AZW1" s="154" t="str">
        <f t="shared" si="21"/>
        <v>y</v>
      </c>
      <c r="AZX1" s="154" t="str">
        <f t="shared" si="21"/>
        <v>y</v>
      </c>
      <c r="AZY1" s="154" t="str">
        <f t="shared" si="21"/>
        <v>y</v>
      </c>
      <c r="AZZ1" s="154" t="str">
        <f t="shared" si="21"/>
        <v>y</v>
      </c>
      <c r="BAA1" s="154" t="str">
        <f t="shared" si="21"/>
        <v>y</v>
      </c>
      <c r="BAB1" s="154" t="str">
        <f t="shared" si="21"/>
        <v>y</v>
      </c>
      <c r="BAC1" s="154" t="str">
        <f t="shared" si="21"/>
        <v>y</v>
      </c>
      <c r="BAD1" s="154" t="str">
        <f t="shared" si="21"/>
        <v>y</v>
      </c>
      <c r="BAE1" s="154" t="str">
        <f t="shared" si="21"/>
        <v>y</v>
      </c>
      <c r="BAF1" s="154" t="str">
        <f t="shared" si="21"/>
        <v>y</v>
      </c>
      <c r="BAG1" s="154" t="str">
        <f t="shared" si="21"/>
        <v>y</v>
      </c>
      <c r="BAH1" s="154" t="str">
        <f t="shared" si="21"/>
        <v>y</v>
      </c>
      <c r="BAI1" s="154" t="str">
        <f t="shared" si="21"/>
        <v>y</v>
      </c>
      <c r="BAJ1" s="154" t="str">
        <f t="shared" si="21"/>
        <v>y</v>
      </c>
      <c r="BAK1" s="154" t="str">
        <f t="shared" si="21"/>
        <v>y</v>
      </c>
      <c r="BAL1" s="154" t="str">
        <f t="shared" si="21"/>
        <v>y</v>
      </c>
      <c r="BAM1" s="154" t="str">
        <f t="shared" si="21"/>
        <v>y</v>
      </c>
      <c r="BAN1" s="154" t="str">
        <f t="shared" si="21"/>
        <v>y</v>
      </c>
      <c r="BAO1" s="154" t="str">
        <f t="shared" si="21"/>
        <v>y</v>
      </c>
      <c r="BAP1" s="154" t="str">
        <f t="shared" si="21"/>
        <v>y</v>
      </c>
      <c r="BAQ1" s="154" t="str">
        <f t="shared" si="21"/>
        <v>y</v>
      </c>
      <c r="BAR1" s="154" t="str">
        <f t="shared" si="21"/>
        <v>y</v>
      </c>
      <c r="BAS1" s="154" t="str">
        <f t="shared" si="21"/>
        <v>y</v>
      </c>
      <c r="BAT1" s="154" t="str">
        <f t="shared" si="21"/>
        <v>y</v>
      </c>
      <c r="BAU1" s="154" t="str">
        <f t="shared" si="21"/>
        <v>y</v>
      </c>
      <c r="BAV1" s="154" t="str">
        <f t="shared" si="21"/>
        <v>y</v>
      </c>
      <c r="BAW1" s="154" t="str">
        <f t="shared" si="21"/>
        <v>y</v>
      </c>
      <c r="BAX1" s="154" t="str">
        <f t="shared" si="21"/>
        <v>y</v>
      </c>
      <c r="BAY1" s="154" t="str">
        <f t="shared" si="21"/>
        <v>y</v>
      </c>
      <c r="BAZ1" s="154" t="str">
        <f t="shared" si="21"/>
        <v>y</v>
      </c>
      <c r="BBA1" s="154" t="str">
        <f t="shared" si="21"/>
        <v>y</v>
      </c>
      <c r="BBB1" s="154" t="str">
        <f t="shared" si="21"/>
        <v>y</v>
      </c>
      <c r="BBC1" s="154" t="str">
        <f t="shared" si="21"/>
        <v>y</v>
      </c>
      <c r="BBD1" s="154" t="str">
        <f t="shared" si="21"/>
        <v>y</v>
      </c>
      <c r="BBE1" s="154" t="str">
        <f t="shared" si="21"/>
        <v>y</v>
      </c>
      <c r="BBF1" s="154" t="str">
        <f t="shared" si="21"/>
        <v>y</v>
      </c>
      <c r="BBG1" s="154" t="str">
        <f t="shared" si="21"/>
        <v>y</v>
      </c>
      <c r="BBH1" s="154" t="str">
        <f t="shared" ref="BBH1:BDS1" si="22">BBH2&amp;"y"</f>
        <v>y</v>
      </c>
      <c r="BBI1" s="154" t="str">
        <f t="shared" si="22"/>
        <v>y</v>
      </c>
      <c r="BBJ1" s="154" t="str">
        <f t="shared" si="22"/>
        <v>y</v>
      </c>
      <c r="BBK1" s="154" t="str">
        <f t="shared" si="22"/>
        <v>y</v>
      </c>
      <c r="BBL1" s="154" t="str">
        <f t="shared" si="22"/>
        <v>y</v>
      </c>
      <c r="BBM1" s="154" t="str">
        <f t="shared" si="22"/>
        <v>y</v>
      </c>
      <c r="BBN1" s="154" t="str">
        <f t="shared" si="22"/>
        <v>y</v>
      </c>
      <c r="BBO1" s="154" t="str">
        <f t="shared" si="22"/>
        <v>y</v>
      </c>
      <c r="BBP1" s="154" t="str">
        <f t="shared" si="22"/>
        <v>y</v>
      </c>
      <c r="BBQ1" s="154" t="str">
        <f t="shared" si="22"/>
        <v>y</v>
      </c>
      <c r="BBR1" s="154" t="str">
        <f t="shared" si="22"/>
        <v>y</v>
      </c>
      <c r="BBS1" s="154" t="str">
        <f t="shared" si="22"/>
        <v>y</v>
      </c>
      <c r="BBT1" s="154" t="str">
        <f t="shared" si="22"/>
        <v>y</v>
      </c>
      <c r="BBU1" s="154" t="str">
        <f t="shared" si="22"/>
        <v>y</v>
      </c>
      <c r="BBV1" s="154" t="str">
        <f t="shared" si="22"/>
        <v>y</v>
      </c>
      <c r="BBW1" s="154" t="str">
        <f t="shared" si="22"/>
        <v>y</v>
      </c>
      <c r="BBX1" s="154" t="str">
        <f t="shared" si="22"/>
        <v>y</v>
      </c>
      <c r="BBY1" s="154" t="str">
        <f t="shared" si="22"/>
        <v>y</v>
      </c>
      <c r="BBZ1" s="154" t="str">
        <f t="shared" si="22"/>
        <v>y</v>
      </c>
      <c r="BCA1" s="154" t="str">
        <f t="shared" si="22"/>
        <v>y</v>
      </c>
      <c r="BCB1" s="154" t="str">
        <f t="shared" si="22"/>
        <v>y</v>
      </c>
      <c r="BCC1" s="154" t="str">
        <f t="shared" si="22"/>
        <v>y</v>
      </c>
      <c r="BCD1" s="154" t="str">
        <f t="shared" si="22"/>
        <v>y</v>
      </c>
      <c r="BCE1" s="154" t="str">
        <f t="shared" si="22"/>
        <v>y</v>
      </c>
      <c r="BCF1" s="154" t="str">
        <f t="shared" si="22"/>
        <v>y</v>
      </c>
      <c r="BCG1" s="154" t="str">
        <f t="shared" si="22"/>
        <v>y</v>
      </c>
      <c r="BCH1" s="154" t="str">
        <f t="shared" si="22"/>
        <v>y</v>
      </c>
      <c r="BCI1" s="154" t="str">
        <f t="shared" si="22"/>
        <v>y</v>
      </c>
      <c r="BCJ1" s="154" t="str">
        <f t="shared" si="22"/>
        <v>y</v>
      </c>
      <c r="BCK1" s="154" t="str">
        <f t="shared" si="22"/>
        <v>y</v>
      </c>
      <c r="BCL1" s="154" t="str">
        <f t="shared" si="22"/>
        <v>y</v>
      </c>
      <c r="BCM1" s="154" t="str">
        <f t="shared" si="22"/>
        <v>y</v>
      </c>
      <c r="BCN1" s="154" t="str">
        <f t="shared" si="22"/>
        <v>y</v>
      </c>
      <c r="BCO1" s="154" t="str">
        <f t="shared" si="22"/>
        <v>y</v>
      </c>
      <c r="BCP1" s="154" t="str">
        <f t="shared" si="22"/>
        <v>y</v>
      </c>
      <c r="BCQ1" s="154" t="str">
        <f t="shared" si="22"/>
        <v>y</v>
      </c>
      <c r="BCR1" s="154" t="str">
        <f t="shared" si="22"/>
        <v>y</v>
      </c>
      <c r="BCS1" s="154" t="str">
        <f t="shared" si="22"/>
        <v>y</v>
      </c>
      <c r="BCT1" s="154" t="str">
        <f t="shared" si="22"/>
        <v>y</v>
      </c>
      <c r="BCU1" s="154" t="str">
        <f t="shared" si="22"/>
        <v>y</v>
      </c>
      <c r="BCV1" s="154" t="str">
        <f t="shared" si="22"/>
        <v>y</v>
      </c>
      <c r="BCW1" s="154" t="str">
        <f t="shared" si="22"/>
        <v>y</v>
      </c>
      <c r="BCX1" s="154" t="str">
        <f t="shared" si="22"/>
        <v>y</v>
      </c>
      <c r="BCY1" s="154" t="str">
        <f t="shared" si="22"/>
        <v>y</v>
      </c>
      <c r="BCZ1" s="154" t="str">
        <f t="shared" si="22"/>
        <v>y</v>
      </c>
      <c r="BDA1" s="154" t="str">
        <f t="shared" si="22"/>
        <v>y</v>
      </c>
      <c r="BDB1" s="154" t="str">
        <f t="shared" si="22"/>
        <v>y</v>
      </c>
      <c r="BDC1" s="154" t="str">
        <f t="shared" si="22"/>
        <v>y</v>
      </c>
      <c r="BDD1" s="154" t="str">
        <f t="shared" si="22"/>
        <v>y</v>
      </c>
      <c r="BDE1" s="154" t="str">
        <f t="shared" si="22"/>
        <v>y</v>
      </c>
      <c r="BDF1" s="154" t="str">
        <f t="shared" si="22"/>
        <v>y</v>
      </c>
      <c r="BDG1" s="154" t="str">
        <f t="shared" si="22"/>
        <v>y</v>
      </c>
      <c r="BDH1" s="154" t="str">
        <f t="shared" si="22"/>
        <v>y</v>
      </c>
      <c r="BDI1" s="154" t="str">
        <f t="shared" si="22"/>
        <v>y</v>
      </c>
      <c r="BDJ1" s="154" t="str">
        <f t="shared" si="22"/>
        <v>y</v>
      </c>
      <c r="BDK1" s="154" t="str">
        <f t="shared" si="22"/>
        <v>y</v>
      </c>
      <c r="BDL1" s="154" t="str">
        <f t="shared" si="22"/>
        <v>y</v>
      </c>
      <c r="BDM1" s="154" t="str">
        <f t="shared" si="22"/>
        <v>y</v>
      </c>
      <c r="BDN1" s="154" t="str">
        <f t="shared" si="22"/>
        <v>y</v>
      </c>
      <c r="BDO1" s="154" t="str">
        <f t="shared" si="22"/>
        <v>y</v>
      </c>
      <c r="BDP1" s="154" t="str">
        <f t="shared" si="22"/>
        <v>y</v>
      </c>
      <c r="BDQ1" s="154" t="str">
        <f t="shared" si="22"/>
        <v>y</v>
      </c>
      <c r="BDR1" s="154" t="str">
        <f t="shared" si="22"/>
        <v>y</v>
      </c>
      <c r="BDS1" s="154" t="str">
        <f t="shared" si="22"/>
        <v>y</v>
      </c>
      <c r="BDT1" s="154" t="str">
        <f t="shared" ref="BDT1:BGE1" si="23">BDT2&amp;"y"</f>
        <v>y</v>
      </c>
      <c r="BDU1" s="154" t="str">
        <f t="shared" si="23"/>
        <v>y</v>
      </c>
      <c r="BDV1" s="154" t="str">
        <f t="shared" si="23"/>
        <v>y</v>
      </c>
      <c r="BDW1" s="154" t="str">
        <f t="shared" si="23"/>
        <v>y</v>
      </c>
      <c r="BDX1" s="154" t="str">
        <f t="shared" si="23"/>
        <v>y</v>
      </c>
      <c r="BDY1" s="154" t="str">
        <f t="shared" si="23"/>
        <v>y</v>
      </c>
      <c r="BDZ1" s="154" t="str">
        <f t="shared" si="23"/>
        <v>y</v>
      </c>
      <c r="BEA1" s="154" t="str">
        <f t="shared" si="23"/>
        <v>y</v>
      </c>
      <c r="BEB1" s="154" t="str">
        <f t="shared" si="23"/>
        <v>y</v>
      </c>
      <c r="BEC1" s="154" t="str">
        <f t="shared" si="23"/>
        <v>y</v>
      </c>
      <c r="BED1" s="154" t="str">
        <f t="shared" si="23"/>
        <v>y</v>
      </c>
      <c r="BEE1" s="154" t="str">
        <f t="shared" si="23"/>
        <v>y</v>
      </c>
      <c r="BEF1" s="154" t="str">
        <f t="shared" si="23"/>
        <v>y</v>
      </c>
      <c r="BEG1" s="154" t="str">
        <f t="shared" si="23"/>
        <v>y</v>
      </c>
      <c r="BEH1" s="154" t="str">
        <f t="shared" si="23"/>
        <v>y</v>
      </c>
      <c r="BEI1" s="154" t="str">
        <f t="shared" si="23"/>
        <v>y</v>
      </c>
      <c r="BEJ1" s="154" t="str">
        <f t="shared" si="23"/>
        <v>y</v>
      </c>
      <c r="BEK1" s="154" t="str">
        <f t="shared" si="23"/>
        <v>y</v>
      </c>
      <c r="BEL1" s="154" t="str">
        <f t="shared" si="23"/>
        <v>y</v>
      </c>
      <c r="BEM1" s="154" t="str">
        <f t="shared" si="23"/>
        <v>y</v>
      </c>
      <c r="BEN1" s="154" t="str">
        <f t="shared" si="23"/>
        <v>y</v>
      </c>
      <c r="BEO1" s="154" t="str">
        <f t="shared" si="23"/>
        <v>y</v>
      </c>
      <c r="BEP1" s="154" t="str">
        <f t="shared" si="23"/>
        <v>y</v>
      </c>
      <c r="BEQ1" s="154" t="str">
        <f t="shared" si="23"/>
        <v>y</v>
      </c>
      <c r="BER1" s="154" t="str">
        <f t="shared" si="23"/>
        <v>y</v>
      </c>
      <c r="BES1" s="154" t="str">
        <f t="shared" si="23"/>
        <v>y</v>
      </c>
      <c r="BET1" s="154" t="str">
        <f t="shared" si="23"/>
        <v>y</v>
      </c>
      <c r="BEU1" s="154" t="str">
        <f t="shared" si="23"/>
        <v>y</v>
      </c>
      <c r="BEV1" s="154" t="str">
        <f t="shared" si="23"/>
        <v>y</v>
      </c>
      <c r="BEW1" s="154" t="str">
        <f t="shared" si="23"/>
        <v>y</v>
      </c>
      <c r="BEX1" s="154" t="str">
        <f t="shared" si="23"/>
        <v>y</v>
      </c>
      <c r="BEY1" s="154" t="str">
        <f t="shared" si="23"/>
        <v>y</v>
      </c>
      <c r="BEZ1" s="154" t="str">
        <f t="shared" si="23"/>
        <v>y</v>
      </c>
      <c r="BFA1" s="154" t="str">
        <f t="shared" si="23"/>
        <v>y</v>
      </c>
      <c r="BFB1" s="154" t="str">
        <f t="shared" si="23"/>
        <v>y</v>
      </c>
      <c r="BFC1" s="154" t="str">
        <f t="shared" si="23"/>
        <v>y</v>
      </c>
      <c r="BFD1" s="154" t="str">
        <f t="shared" si="23"/>
        <v>y</v>
      </c>
      <c r="BFE1" s="154" t="str">
        <f t="shared" si="23"/>
        <v>y</v>
      </c>
      <c r="BFF1" s="154" t="str">
        <f t="shared" si="23"/>
        <v>y</v>
      </c>
      <c r="BFG1" s="154" t="str">
        <f t="shared" si="23"/>
        <v>y</v>
      </c>
      <c r="BFH1" s="154" t="str">
        <f t="shared" si="23"/>
        <v>y</v>
      </c>
      <c r="BFI1" s="154" t="str">
        <f t="shared" si="23"/>
        <v>y</v>
      </c>
      <c r="BFJ1" s="154" t="str">
        <f t="shared" si="23"/>
        <v>y</v>
      </c>
      <c r="BFK1" s="154" t="str">
        <f t="shared" si="23"/>
        <v>y</v>
      </c>
      <c r="BFL1" s="154" t="str">
        <f t="shared" si="23"/>
        <v>y</v>
      </c>
      <c r="BFM1" s="154" t="str">
        <f t="shared" si="23"/>
        <v>y</v>
      </c>
      <c r="BFN1" s="154" t="str">
        <f t="shared" si="23"/>
        <v>y</v>
      </c>
      <c r="BFO1" s="154" t="str">
        <f t="shared" si="23"/>
        <v>y</v>
      </c>
      <c r="BFP1" s="154" t="str">
        <f t="shared" si="23"/>
        <v>y</v>
      </c>
      <c r="BFQ1" s="154" t="str">
        <f t="shared" si="23"/>
        <v>y</v>
      </c>
      <c r="BFR1" s="154" t="str">
        <f t="shared" si="23"/>
        <v>y</v>
      </c>
      <c r="BFS1" s="154" t="str">
        <f t="shared" si="23"/>
        <v>y</v>
      </c>
      <c r="BFT1" s="154" t="str">
        <f t="shared" si="23"/>
        <v>y</v>
      </c>
      <c r="BFU1" s="154" t="str">
        <f t="shared" si="23"/>
        <v>y</v>
      </c>
      <c r="BFV1" s="154" t="str">
        <f t="shared" si="23"/>
        <v>y</v>
      </c>
      <c r="BFW1" s="154" t="str">
        <f t="shared" si="23"/>
        <v>y</v>
      </c>
      <c r="BFX1" s="154" t="str">
        <f t="shared" si="23"/>
        <v>y</v>
      </c>
      <c r="BFY1" s="154" t="str">
        <f t="shared" si="23"/>
        <v>y</v>
      </c>
      <c r="BFZ1" s="154" t="str">
        <f t="shared" si="23"/>
        <v>y</v>
      </c>
      <c r="BGA1" s="154" t="str">
        <f t="shared" si="23"/>
        <v>y</v>
      </c>
      <c r="BGB1" s="154" t="str">
        <f t="shared" si="23"/>
        <v>y</v>
      </c>
      <c r="BGC1" s="154" t="str">
        <f t="shared" si="23"/>
        <v>y</v>
      </c>
      <c r="BGD1" s="154" t="str">
        <f t="shared" si="23"/>
        <v>y</v>
      </c>
      <c r="BGE1" s="154" t="str">
        <f t="shared" si="23"/>
        <v>y</v>
      </c>
      <c r="BGF1" s="154" t="str">
        <f t="shared" ref="BGF1:BIQ1" si="24">BGF2&amp;"y"</f>
        <v>y</v>
      </c>
      <c r="BGG1" s="154" t="str">
        <f t="shared" si="24"/>
        <v>y</v>
      </c>
      <c r="BGH1" s="154" t="str">
        <f t="shared" si="24"/>
        <v>y</v>
      </c>
      <c r="BGI1" s="154" t="str">
        <f t="shared" si="24"/>
        <v>y</v>
      </c>
      <c r="BGJ1" s="154" t="str">
        <f t="shared" si="24"/>
        <v>y</v>
      </c>
      <c r="BGK1" s="154" t="str">
        <f t="shared" si="24"/>
        <v>y</v>
      </c>
      <c r="BGL1" s="154" t="str">
        <f t="shared" si="24"/>
        <v>y</v>
      </c>
      <c r="BGM1" s="154" t="str">
        <f t="shared" si="24"/>
        <v>y</v>
      </c>
      <c r="BGN1" s="154" t="str">
        <f t="shared" si="24"/>
        <v>y</v>
      </c>
      <c r="BGO1" s="154" t="str">
        <f t="shared" si="24"/>
        <v>y</v>
      </c>
      <c r="BGP1" s="154" t="str">
        <f t="shared" si="24"/>
        <v>y</v>
      </c>
      <c r="BGQ1" s="154" t="str">
        <f t="shared" si="24"/>
        <v>y</v>
      </c>
      <c r="BGR1" s="154" t="str">
        <f t="shared" si="24"/>
        <v>y</v>
      </c>
      <c r="BGS1" s="154" t="str">
        <f t="shared" si="24"/>
        <v>y</v>
      </c>
      <c r="BGT1" s="154" t="str">
        <f t="shared" si="24"/>
        <v>y</v>
      </c>
      <c r="BGU1" s="154" t="str">
        <f t="shared" si="24"/>
        <v>y</v>
      </c>
      <c r="BGV1" s="154" t="str">
        <f t="shared" si="24"/>
        <v>y</v>
      </c>
      <c r="BGW1" s="154" t="str">
        <f t="shared" si="24"/>
        <v>y</v>
      </c>
      <c r="BGX1" s="154" t="str">
        <f t="shared" si="24"/>
        <v>y</v>
      </c>
      <c r="BGY1" s="154" t="str">
        <f t="shared" si="24"/>
        <v>y</v>
      </c>
      <c r="BGZ1" s="154" t="str">
        <f t="shared" si="24"/>
        <v>y</v>
      </c>
      <c r="BHA1" s="154" t="str">
        <f t="shared" si="24"/>
        <v>y</v>
      </c>
      <c r="BHB1" s="154" t="str">
        <f t="shared" si="24"/>
        <v>y</v>
      </c>
      <c r="BHC1" s="154" t="str">
        <f t="shared" si="24"/>
        <v>y</v>
      </c>
      <c r="BHD1" s="154" t="str">
        <f t="shared" si="24"/>
        <v>y</v>
      </c>
      <c r="BHE1" s="154" t="str">
        <f t="shared" si="24"/>
        <v>y</v>
      </c>
      <c r="BHF1" s="154" t="str">
        <f t="shared" si="24"/>
        <v>y</v>
      </c>
      <c r="BHG1" s="154" t="str">
        <f t="shared" si="24"/>
        <v>y</v>
      </c>
      <c r="BHH1" s="154" t="str">
        <f t="shared" si="24"/>
        <v>y</v>
      </c>
      <c r="BHI1" s="154" t="str">
        <f t="shared" si="24"/>
        <v>y</v>
      </c>
      <c r="BHJ1" s="154" t="str">
        <f t="shared" si="24"/>
        <v>y</v>
      </c>
      <c r="BHK1" s="154" t="str">
        <f t="shared" si="24"/>
        <v>y</v>
      </c>
      <c r="BHL1" s="154" t="str">
        <f t="shared" si="24"/>
        <v>y</v>
      </c>
      <c r="BHM1" s="154" t="str">
        <f t="shared" si="24"/>
        <v>y</v>
      </c>
      <c r="BHN1" s="154" t="str">
        <f t="shared" si="24"/>
        <v>y</v>
      </c>
      <c r="BHO1" s="154" t="str">
        <f t="shared" si="24"/>
        <v>y</v>
      </c>
      <c r="BHP1" s="154" t="str">
        <f t="shared" si="24"/>
        <v>y</v>
      </c>
      <c r="BHQ1" s="154" t="str">
        <f t="shared" si="24"/>
        <v>y</v>
      </c>
      <c r="BHR1" s="154" t="str">
        <f t="shared" si="24"/>
        <v>y</v>
      </c>
      <c r="BHS1" s="154" t="str">
        <f t="shared" si="24"/>
        <v>y</v>
      </c>
      <c r="BHT1" s="154" t="str">
        <f t="shared" si="24"/>
        <v>y</v>
      </c>
      <c r="BHU1" s="154" t="str">
        <f t="shared" si="24"/>
        <v>y</v>
      </c>
      <c r="BHV1" s="154" t="str">
        <f t="shared" si="24"/>
        <v>y</v>
      </c>
      <c r="BHW1" s="154" t="str">
        <f t="shared" si="24"/>
        <v>y</v>
      </c>
      <c r="BHX1" s="154" t="str">
        <f t="shared" si="24"/>
        <v>y</v>
      </c>
      <c r="BHY1" s="154" t="str">
        <f t="shared" si="24"/>
        <v>y</v>
      </c>
      <c r="BHZ1" s="154" t="str">
        <f t="shared" si="24"/>
        <v>y</v>
      </c>
      <c r="BIA1" s="154" t="str">
        <f t="shared" si="24"/>
        <v>y</v>
      </c>
      <c r="BIB1" s="154" t="str">
        <f t="shared" si="24"/>
        <v>y</v>
      </c>
      <c r="BIC1" s="154" t="str">
        <f t="shared" si="24"/>
        <v>y</v>
      </c>
      <c r="BID1" s="154" t="str">
        <f t="shared" si="24"/>
        <v>y</v>
      </c>
      <c r="BIE1" s="154" t="str">
        <f t="shared" si="24"/>
        <v>y</v>
      </c>
      <c r="BIF1" s="154" t="str">
        <f t="shared" si="24"/>
        <v>y</v>
      </c>
      <c r="BIG1" s="154" t="str">
        <f t="shared" si="24"/>
        <v>y</v>
      </c>
      <c r="BIH1" s="154" t="str">
        <f t="shared" si="24"/>
        <v>y</v>
      </c>
      <c r="BII1" s="154" t="str">
        <f t="shared" si="24"/>
        <v>y</v>
      </c>
      <c r="BIJ1" s="154" t="str">
        <f t="shared" si="24"/>
        <v>y</v>
      </c>
      <c r="BIK1" s="154" t="str">
        <f t="shared" si="24"/>
        <v>y</v>
      </c>
      <c r="BIL1" s="154" t="str">
        <f t="shared" si="24"/>
        <v>y</v>
      </c>
      <c r="BIM1" s="154" t="str">
        <f t="shared" si="24"/>
        <v>y</v>
      </c>
      <c r="BIN1" s="154" t="str">
        <f t="shared" si="24"/>
        <v>y</v>
      </c>
      <c r="BIO1" s="154" t="str">
        <f t="shared" si="24"/>
        <v>y</v>
      </c>
      <c r="BIP1" s="154" t="str">
        <f t="shared" si="24"/>
        <v>y</v>
      </c>
      <c r="BIQ1" s="154" t="str">
        <f t="shared" si="24"/>
        <v>y</v>
      </c>
      <c r="BIR1" s="154" t="str">
        <f t="shared" ref="BIR1:BLC1" si="25">BIR2&amp;"y"</f>
        <v>y</v>
      </c>
      <c r="BIS1" s="154" t="str">
        <f t="shared" si="25"/>
        <v>y</v>
      </c>
      <c r="BIT1" s="154" t="str">
        <f t="shared" si="25"/>
        <v>y</v>
      </c>
      <c r="BIU1" s="154" t="str">
        <f t="shared" si="25"/>
        <v>y</v>
      </c>
      <c r="BIV1" s="154" t="str">
        <f t="shared" si="25"/>
        <v>y</v>
      </c>
      <c r="BIW1" s="154" t="str">
        <f t="shared" si="25"/>
        <v>y</v>
      </c>
      <c r="BIX1" s="154" t="str">
        <f t="shared" si="25"/>
        <v>y</v>
      </c>
      <c r="BIY1" s="154" t="str">
        <f t="shared" si="25"/>
        <v>y</v>
      </c>
      <c r="BIZ1" s="154" t="str">
        <f t="shared" si="25"/>
        <v>y</v>
      </c>
      <c r="BJA1" s="154" t="str">
        <f t="shared" si="25"/>
        <v>y</v>
      </c>
      <c r="BJB1" s="154" t="str">
        <f t="shared" si="25"/>
        <v>y</v>
      </c>
      <c r="BJC1" s="154" t="str">
        <f t="shared" si="25"/>
        <v>y</v>
      </c>
      <c r="BJD1" s="154" t="str">
        <f t="shared" si="25"/>
        <v>y</v>
      </c>
      <c r="BJE1" s="154" t="str">
        <f t="shared" si="25"/>
        <v>y</v>
      </c>
      <c r="BJF1" s="154" t="str">
        <f t="shared" si="25"/>
        <v>y</v>
      </c>
      <c r="BJG1" s="154" t="str">
        <f t="shared" si="25"/>
        <v>y</v>
      </c>
      <c r="BJH1" s="154" t="str">
        <f t="shared" si="25"/>
        <v>y</v>
      </c>
      <c r="BJI1" s="154" t="str">
        <f t="shared" si="25"/>
        <v>y</v>
      </c>
      <c r="BJJ1" s="154" t="str">
        <f t="shared" si="25"/>
        <v>y</v>
      </c>
      <c r="BJK1" s="154" t="str">
        <f t="shared" si="25"/>
        <v>y</v>
      </c>
      <c r="BJL1" s="154" t="str">
        <f t="shared" si="25"/>
        <v>y</v>
      </c>
      <c r="BJM1" s="154" t="str">
        <f t="shared" si="25"/>
        <v>y</v>
      </c>
      <c r="BJN1" s="154" t="str">
        <f t="shared" si="25"/>
        <v>y</v>
      </c>
      <c r="BJO1" s="154" t="str">
        <f t="shared" si="25"/>
        <v>y</v>
      </c>
      <c r="BJP1" s="154" t="str">
        <f t="shared" si="25"/>
        <v>y</v>
      </c>
      <c r="BJQ1" s="154" t="str">
        <f t="shared" si="25"/>
        <v>y</v>
      </c>
      <c r="BJR1" s="154" t="str">
        <f t="shared" si="25"/>
        <v>y</v>
      </c>
      <c r="BJS1" s="154" t="str">
        <f t="shared" si="25"/>
        <v>y</v>
      </c>
      <c r="BJT1" s="154" t="str">
        <f t="shared" si="25"/>
        <v>y</v>
      </c>
      <c r="BJU1" s="154" t="str">
        <f t="shared" si="25"/>
        <v>y</v>
      </c>
      <c r="BJV1" s="154" t="str">
        <f t="shared" si="25"/>
        <v>y</v>
      </c>
      <c r="BJW1" s="154" t="str">
        <f t="shared" si="25"/>
        <v>y</v>
      </c>
      <c r="BJX1" s="154" t="str">
        <f t="shared" si="25"/>
        <v>y</v>
      </c>
      <c r="BJY1" s="154" t="str">
        <f t="shared" si="25"/>
        <v>y</v>
      </c>
      <c r="BJZ1" s="154" t="str">
        <f t="shared" si="25"/>
        <v>y</v>
      </c>
      <c r="BKA1" s="154" t="str">
        <f t="shared" si="25"/>
        <v>y</v>
      </c>
      <c r="BKB1" s="154" t="str">
        <f t="shared" si="25"/>
        <v>y</v>
      </c>
      <c r="BKC1" s="154" t="str">
        <f t="shared" si="25"/>
        <v>y</v>
      </c>
      <c r="BKD1" s="154" t="str">
        <f t="shared" si="25"/>
        <v>y</v>
      </c>
      <c r="BKE1" s="154" t="str">
        <f t="shared" si="25"/>
        <v>y</v>
      </c>
      <c r="BKF1" s="154" t="str">
        <f t="shared" si="25"/>
        <v>y</v>
      </c>
      <c r="BKG1" s="154" t="str">
        <f t="shared" si="25"/>
        <v>y</v>
      </c>
      <c r="BKH1" s="154" t="str">
        <f t="shared" si="25"/>
        <v>y</v>
      </c>
      <c r="BKI1" s="154" t="str">
        <f t="shared" si="25"/>
        <v>y</v>
      </c>
      <c r="BKJ1" s="154" t="str">
        <f t="shared" si="25"/>
        <v>y</v>
      </c>
      <c r="BKK1" s="154" t="str">
        <f t="shared" si="25"/>
        <v>y</v>
      </c>
      <c r="BKL1" s="154" t="str">
        <f t="shared" si="25"/>
        <v>y</v>
      </c>
      <c r="BKM1" s="154" t="str">
        <f t="shared" si="25"/>
        <v>y</v>
      </c>
      <c r="BKN1" s="154" t="str">
        <f t="shared" si="25"/>
        <v>y</v>
      </c>
      <c r="BKO1" s="154" t="str">
        <f t="shared" si="25"/>
        <v>y</v>
      </c>
      <c r="BKP1" s="154" t="str">
        <f t="shared" si="25"/>
        <v>y</v>
      </c>
      <c r="BKQ1" s="154" t="str">
        <f t="shared" si="25"/>
        <v>y</v>
      </c>
      <c r="BKR1" s="154" t="str">
        <f t="shared" si="25"/>
        <v>y</v>
      </c>
      <c r="BKS1" s="154" t="str">
        <f t="shared" si="25"/>
        <v>y</v>
      </c>
      <c r="BKT1" s="154" t="str">
        <f t="shared" si="25"/>
        <v>y</v>
      </c>
      <c r="BKU1" s="154" t="str">
        <f t="shared" si="25"/>
        <v>y</v>
      </c>
      <c r="BKV1" s="154" t="str">
        <f t="shared" si="25"/>
        <v>y</v>
      </c>
      <c r="BKW1" s="154" t="str">
        <f t="shared" si="25"/>
        <v>y</v>
      </c>
      <c r="BKX1" s="154" t="str">
        <f t="shared" si="25"/>
        <v>y</v>
      </c>
      <c r="BKY1" s="154" t="str">
        <f t="shared" si="25"/>
        <v>y</v>
      </c>
      <c r="BKZ1" s="154" t="str">
        <f t="shared" si="25"/>
        <v>y</v>
      </c>
      <c r="BLA1" s="154" t="str">
        <f t="shared" si="25"/>
        <v>y</v>
      </c>
      <c r="BLB1" s="154" t="str">
        <f t="shared" si="25"/>
        <v>y</v>
      </c>
      <c r="BLC1" s="154" t="str">
        <f t="shared" si="25"/>
        <v>y</v>
      </c>
      <c r="BLD1" s="154" t="str">
        <f t="shared" ref="BLD1:BNO1" si="26">BLD2&amp;"y"</f>
        <v>y</v>
      </c>
      <c r="BLE1" s="154" t="str">
        <f t="shared" si="26"/>
        <v>y</v>
      </c>
      <c r="BLF1" s="154" t="str">
        <f t="shared" si="26"/>
        <v>y</v>
      </c>
      <c r="BLG1" s="154" t="str">
        <f t="shared" si="26"/>
        <v>y</v>
      </c>
      <c r="BLH1" s="154" t="str">
        <f t="shared" si="26"/>
        <v>y</v>
      </c>
      <c r="BLI1" s="154" t="str">
        <f t="shared" si="26"/>
        <v>y</v>
      </c>
      <c r="BLJ1" s="154" t="str">
        <f t="shared" si="26"/>
        <v>y</v>
      </c>
      <c r="BLK1" s="154" t="str">
        <f t="shared" si="26"/>
        <v>y</v>
      </c>
      <c r="BLL1" s="154" t="str">
        <f t="shared" si="26"/>
        <v>y</v>
      </c>
      <c r="BLM1" s="154" t="str">
        <f t="shared" si="26"/>
        <v>y</v>
      </c>
      <c r="BLN1" s="154" t="str">
        <f t="shared" si="26"/>
        <v>y</v>
      </c>
      <c r="BLO1" s="154" t="str">
        <f t="shared" si="26"/>
        <v>y</v>
      </c>
      <c r="BLP1" s="154" t="str">
        <f t="shared" si="26"/>
        <v>y</v>
      </c>
      <c r="BLQ1" s="154" t="str">
        <f t="shared" si="26"/>
        <v>y</v>
      </c>
      <c r="BLR1" s="154" t="str">
        <f t="shared" si="26"/>
        <v>y</v>
      </c>
      <c r="BLS1" s="154" t="str">
        <f t="shared" si="26"/>
        <v>y</v>
      </c>
      <c r="BLT1" s="154" t="str">
        <f t="shared" si="26"/>
        <v>y</v>
      </c>
      <c r="BLU1" s="154" t="str">
        <f t="shared" si="26"/>
        <v>y</v>
      </c>
      <c r="BLV1" s="154" t="str">
        <f t="shared" si="26"/>
        <v>y</v>
      </c>
      <c r="BLW1" s="154" t="str">
        <f t="shared" si="26"/>
        <v>y</v>
      </c>
      <c r="BLX1" s="154" t="str">
        <f t="shared" si="26"/>
        <v>y</v>
      </c>
      <c r="BLY1" s="154" t="str">
        <f t="shared" si="26"/>
        <v>y</v>
      </c>
      <c r="BLZ1" s="154" t="str">
        <f t="shared" si="26"/>
        <v>y</v>
      </c>
      <c r="BMA1" s="154" t="str">
        <f t="shared" si="26"/>
        <v>y</v>
      </c>
      <c r="BMB1" s="154" t="str">
        <f t="shared" si="26"/>
        <v>y</v>
      </c>
      <c r="BMC1" s="154" t="str">
        <f t="shared" si="26"/>
        <v>y</v>
      </c>
      <c r="BMD1" s="154" t="str">
        <f t="shared" si="26"/>
        <v>y</v>
      </c>
      <c r="BME1" s="154" t="str">
        <f t="shared" si="26"/>
        <v>y</v>
      </c>
      <c r="BMF1" s="154" t="str">
        <f t="shared" si="26"/>
        <v>y</v>
      </c>
      <c r="BMG1" s="154" t="str">
        <f t="shared" si="26"/>
        <v>y</v>
      </c>
      <c r="BMH1" s="154" t="str">
        <f t="shared" si="26"/>
        <v>y</v>
      </c>
      <c r="BMI1" s="154" t="str">
        <f t="shared" si="26"/>
        <v>y</v>
      </c>
      <c r="BMJ1" s="154" t="str">
        <f t="shared" si="26"/>
        <v>y</v>
      </c>
      <c r="BMK1" s="154" t="str">
        <f t="shared" si="26"/>
        <v>y</v>
      </c>
      <c r="BML1" s="154" t="str">
        <f t="shared" si="26"/>
        <v>y</v>
      </c>
      <c r="BMM1" s="154" t="str">
        <f t="shared" si="26"/>
        <v>y</v>
      </c>
      <c r="BMN1" s="154" t="str">
        <f t="shared" si="26"/>
        <v>y</v>
      </c>
      <c r="BMO1" s="154" t="str">
        <f t="shared" si="26"/>
        <v>y</v>
      </c>
      <c r="BMP1" s="154" t="str">
        <f t="shared" si="26"/>
        <v>y</v>
      </c>
      <c r="BMQ1" s="154" t="str">
        <f t="shared" si="26"/>
        <v>y</v>
      </c>
      <c r="BMR1" s="154" t="str">
        <f t="shared" si="26"/>
        <v>y</v>
      </c>
      <c r="BMS1" s="154" t="str">
        <f t="shared" si="26"/>
        <v>y</v>
      </c>
      <c r="BMT1" s="154" t="str">
        <f t="shared" si="26"/>
        <v>y</v>
      </c>
      <c r="BMU1" s="154" t="str">
        <f t="shared" si="26"/>
        <v>y</v>
      </c>
      <c r="BMV1" s="154" t="str">
        <f t="shared" si="26"/>
        <v>y</v>
      </c>
      <c r="BMW1" s="154" t="str">
        <f t="shared" si="26"/>
        <v>y</v>
      </c>
      <c r="BMX1" s="154" t="str">
        <f t="shared" si="26"/>
        <v>y</v>
      </c>
      <c r="BMY1" s="154" t="str">
        <f t="shared" si="26"/>
        <v>y</v>
      </c>
      <c r="BMZ1" s="154" t="str">
        <f t="shared" si="26"/>
        <v>y</v>
      </c>
      <c r="BNA1" s="154" t="str">
        <f t="shared" si="26"/>
        <v>y</v>
      </c>
      <c r="BNB1" s="154" t="str">
        <f t="shared" si="26"/>
        <v>y</v>
      </c>
      <c r="BNC1" s="154" t="str">
        <f t="shared" si="26"/>
        <v>y</v>
      </c>
      <c r="BND1" s="154" t="str">
        <f t="shared" si="26"/>
        <v>y</v>
      </c>
      <c r="BNE1" s="154" t="str">
        <f t="shared" si="26"/>
        <v>y</v>
      </c>
      <c r="BNF1" s="154" t="str">
        <f t="shared" si="26"/>
        <v>y</v>
      </c>
      <c r="BNG1" s="154" t="str">
        <f t="shared" si="26"/>
        <v>y</v>
      </c>
      <c r="BNH1" s="154" t="str">
        <f t="shared" si="26"/>
        <v>y</v>
      </c>
      <c r="BNI1" s="154" t="str">
        <f t="shared" si="26"/>
        <v>y</v>
      </c>
      <c r="BNJ1" s="154" t="str">
        <f t="shared" si="26"/>
        <v>y</v>
      </c>
      <c r="BNK1" s="154" t="str">
        <f t="shared" si="26"/>
        <v>y</v>
      </c>
      <c r="BNL1" s="154" t="str">
        <f t="shared" si="26"/>
        <v>y</v>
      </c>
      <c r="BNM1" s="154" t="str">
        <f t="shared" si="26"/>
        <v>y</v>
      </c>
      <c r="BNN1" s="154" t="str">
        <f t="shared" si="26"/>
        <v>y</v>
      </c>
      <c r="BNO1" s="154" t="str">
        <f t="shared" si="26"/>
        <v>y</v>
      </c>
      <c r="BNP1" s="154" t="str">
        <f t="shared" ref="BNP1:BQA1" si="27">BNP2&amp;"y"</f>
        <v>y</v>
      </c>
      <c r="BNQ1" s="154" t="str">
        <f t="shared" si="27"/>
        <v>y</v>
      </c>
      <c r="BNR1" s="154" t="str">
        <f t="shared" si="27"/>
        <v>y</v>
      </c>
      <c r="BNS1" s="154" t="str">
        <f t="shared" si="27"/>
        <v>y</v>
      </c>
      <c r="BNT1" s="154" t="str">
        <f t="shared" si="27"/>
        <v>y</v>
      </c>
      <c r="BNU1" s="154" t="str">
        <f t="shared" si="27"/>
        <v>y</v>
      </c>
      <c r="BNV1" s="154" t="str">
        <f t="shared" si="27"/>
        <v>y</v>
      </c>
      <c r="BNW1" s="154" t="str">
        <f t="shared" si="27"/>
        <v>y</v>
      </c>
      <c r="BNX1" s="154" t="str">
        <f t="shared" si="27"/>
        <v>y</v>
      </c>
      <c r="BNY1" s="154" t="str">
        <f t="shared" si="27"/>
        <v>y</v>
      </c>
      <c r="BNZ1" s="154" t="str">
        <f t="shared" si="27"/>
        <v>y</v>
      </c>
      <c r="BOA1" s="154" t="str">
        <f t="shared" si="27"/>
        <v>y</v>
      </c>
      <c r="BOB1" s="154" t="str">
        <f t="shared" si="27"/>
        <v>y</v>
      </c>
      <c r="BOC1" s="154" t="str">
        <f t="shared" si="27"/>
        <v>y</v>
      </c>
      <c r="BOD1" s="154" t="str">
        <f t="shared" si="27"/>
        <v>y</v>
      </c>
      <c r="BOE1" s="154" t="str">
        <f t="shared" si="27"/>
        <v>y</v>
      </c>
      <c r="BOF1" s="154" t="str">
        <f t="shared" si="27"/>
        <v>y</v>
      </c>
      <c r="BOG1" s="154" t="str">
        <f t="shared" si="27"/>
        <v>y</v>
      </c>
      <c r="BOH1" s="154" t="str">
        <f t="shared" si="27"/>
        <v>y</v>
      </c>
      <c r="BOI1" s="154" t="str">
        <f t="shared" si="27"/>
        <v>y</v>
      </c>
      <c r="BOJ1" s="154" t="str">
        <f t="shared" si="27"/>
        <v>y</v>
      </c>
      <c r="BOK1" s="154" t="str">
        <f t="shared" si="27"/>
        <v>y</v>
      </c>
      <c r="BOL1" s="154" t="str">
        <f t="shared" si="27"/>
        <v>y</v>
      </c>
      <c r="BOM1" s="154" t="str">
        <f t="shared" si="27"/>
        <v>y</v>
      </c>
      <c r="BON1" s="154" t="str">
        <f t="shared" si="27"/>
        <v>y</v>
      </c>
      <c r="BOO1" s="154" t="str">
        <f t="shared" si="27"/>
        <v>y</v>
      </c>
      <c r="BOP1" s="154" t="str">
        <f t="shared" si="27"/>
        <v>y</v>
      </c>
      <c r="BOQ1" s="154" t="str">
        <f t="shared" si="27"/>
        <v>y</v>
      </c>
      <c r="BOR1" s="154" t="str">
        <f t="shared" si="27"/>
        <v>y</v>
      </c>
      <c r="BOS1" s="154" t="str">
        <f t="shared" si="27"/>
        <v>y</v>
      </c>
      <c r="BOT1" s="154" t="str">
        <f t="shared" si="27"/>
        <v>y</v>
      </c>
      <c r="BOU1" s="154" t="str">
        <f t="shared" si="27"/>
        <v>y</v>
      </c>
      <c r="BOV1" s="154" t="str">
        <f t="shared" si="27"/>
        <v>y</v>
      </c>
      <c r="BOW1" s="154" t="str">
        <f t="shared" si="27"/>
        <v>y</v>
      </c>
      <c r="BOX1" s="154" t="str">
        <f t="shared" si="27"/>
        <v>y</v>
      </c>
      <c r="BOY1" s="154" t="str">
        <f t="shared" si="27"/>
        <v>y</v>
      </c>
      <c r="BOZ1" s="154" t="str">
        <f t="shared" si="27"/>
        <v>y</v>
      </c>
      <c r="BPA1" s="154" t="str">
        <f t="shared" si="27"/>
        <v>y</v>
      </c>
      <c r="BPB1" s="154" t="str">
        <f t="shared" si="27"/>
        <v>y</v>
      </c>
      <c r="BPC1" s="154" t="str">
        <f t="shared" si="27"/>
        <v>y</v>
      </c>
      <c r="BPD1" s="154" t="str">
        <f t="shared" si="27"/>
        <v>y</v>
      </c>
      <c r="BPE1" s="154" t="str">
        <f t="shared" si="27"/>
        <v>y</v>
      </c>
      <c r="BPF1" s="154" t="str">
        <f t="shared" si="27"/>
        <v>y</v>
      </c>
      <c r="BPG1" s="154" t="str">
        <f t="shared" si="27"/>
        <v>y</v>
      </c>
      <c r="BPH1" s="154" t="str">
        <f t="shared" si="27"/>
        <v>y</v>
      </c>
      <c r="BPI1" s="154" t="str">
        <f t="shared" si="27"/>
        <v>y</v>
      </c>
      <c r="BPJ1" s="154" t="str">
        <f t="shared" si="27"/>
        <v>y</v>
      </c>
      <c r="BPK1" s="154" t="str">
        <f t="shared" si="27"/>
        <v>y</v>
      </c>
      <c r="BPL1" s="154" t="str">
        <f t="shared" si="27"/>
        <v>y</v>
      </c>
      <c r="BPM1" s="154" t="str">
        <f t="shared" si="27"/>
        <v>y</v>
      </c>
      <c r="BPN1" s="154" t="str">
        <f t="shared" si="27"/>
        <v>y</v>
      </c>
      <c r="BPO1" s="154" t="str">
        <f t="shared" si="27"/>
        <v>y</v>
      </c>
      <c r="BPP1" s="154" t="str">
        <f t="shared" si="27"/>
        <v>y</v>
      </c>
      <c r="BPQ1" s="154" t="str">
        <f t="shared" si="27"/>
        <v>y</v>
      </c>
      <c r="BPR1" s="154" t="str">
        <f t="shared" si="27"/>
        <v>y</v>
      </c>
      <c r="BPS1" s="154" t="str">
        <f t="shared" si="27"/>
        <v>y</v>
      </c>
      <c r="BPT1" s="154" t="str">
        <f t="shared" si="27"/>
        <v>y</v>
      </c>
      <c r="BPU1" s="154" t="str">
        <f t="shared" si="27"/>
        <v>y</v>
      </c>
      <c r="BPV1" s="154" t="str">
        <f t="shared" si="27"/>
        <v>y</v>
      </c>
      <c r="BPW1" s="154" t="str">
        <f t="shared" si="27"/>
        <v>y</v>
      </c>
      <c r="BPX1" s="154" t="str">
        <f t="shared" si="27"/>
        <v>y</v>
      </c>
      <c r="BPY1" s="154" t="str">
        <f t="shared" si="27"/>
        <v>y</v>
      </c>
      <c r="BPZ1" s="154" t="str">
        <f t="shared" si="27"/>
        <v>y</v>
      </c>
      <c r="BQA1" s="154" t="str">
        <f t="shared" si="27"/>
        <v>y</v>
      </c>
      <c r="BQB1" s="154" t="str">
        <f t="shared" ref="BQB1:BSM1" si="28">BQB2&amp;"y"</f>
        <v>y</v>
      </c>
      <c r="BQC1" s="154" t="str">
        <f t="shared" si="28"/>
        <v>y</v>
      </c>
      <c r="BQD1" s="154" t="str">
        <f t="shared" si="28"/>
        <v>y</v>
      </c>
      <c r="BQE1" s="154" t="str">
        <f t="shared" si="28"/>
        <v>y</v>
      </c>
      <c r="BQF1" s="154" t="str">
        <f t="shared" si="28"/>
        <v>y</v>
      </c>
      <c r="BQG1" s="154" t="str">
        <f t="shared" si="28"/>
        <v>y</v>
      </c>
      <c r="BQH1" s="154" t="str">
        <f t="shared" si="28"/>
        <v>y</v>
      </c>
      <c r="BQI1" s="154" t="str">
        <f t="shared" si="28"/>
        <v>y</v>
      </c>
      <c r="BQJ1" s="154" t="str">
        <f t="shared" si="28"/>
        <v>y</v>
      </c>
      <c r="BQK1" s="154" t="str">
        <f t="shared" si="28"/>
        <v>y</v>
      </c>
      <c r="BQL1" s="154" t="str">
        <f t="shared" si="28"/>
        <v>y</v>
      </c>
      <c r="BQM1" s="154" t="str">
        <f t="shared" si="28"/>
        <v>y</v>
      </c>
      <c r="BQN1" s="154" t="str">
        <f t="shared" si="28"/>
        <v>y</v>
      </c>
      <c r="BQO1" s="154" t="str">
        <f t="shared" si="28"/>
        <v>y</v>
      </c>
      <c r="BQP1" s="154" t="str">
        <f t="shared" si="28"/>
        <v>y</v>
      </c>
      <c r="BQQ1" s="154" t="str">
        <f t="shared" si="28"/>
        <v>y</v>
      </c>
      <c r="BQR1" s="154" t="str">
        <f t="shared" si="28"/>
        <v>y</v>
      </c>
      <c r="BQS1" s="154" t="str">
        <f t="shared" si="28"/>
        <v>y</v>
      </c>
      <c r="BQT1" s="154" t="str">
        <f t="shared" si="28"/>
        <v>y</v>
      </c>
      <c r="BQU1" s="154" t="str">
        <f t="shared" si="28"/>
        <v>y</v>
      </c>
      <c r="BQV1" s="154" t="str">
        <f t="shared" si="28"/>
        <v>y</v>
      </c>
      <c r="BQW1" s="154" t="str">
        <f t="shared" si="28"/>
        <v>y</v>
      </c>
      <c r="BQX1" s="154" t="str">
        <f t="shared" si="28"/>
        <v>y</v>
      </c>
      <c r="BQY1" s="154" t="str">
        <f t="shared" si="28"/>
        <v>y</v>
      </c>
      <c r="BQZ1" s="154" t="str">
        <f t="shared" si="28"/>
        <v>y</v>
      </c>
      <c r="BRA1" s="154" t="str">
        <f t="shared" si="28"/>
        <v>y</v>
      </c>
      <c r="BRB1" s="154" t="str">
        <f t="shared" si="28"/>
        <v>y</v>
      </c>
      <c r="BRC1" s="154" t="str">
        <f t="shared" si="28"/>
        <v>y</v>
      </c>
      <c r="BRD1" s="154" t="str">
        <f t="shared" si="28"/>
        <v>y</v>
      </c>
      <c r="BRE1" s="154" t="str">
        <f t="shared" si="28"/>
        <v>y</v>
      </c>
      <c r="BRF1" s="154" t="str">
        <f t="shared" si="28"/>
        <v>y</v>
      </c>
      <c r="BRG1" s="154" t="str">
        <f t="shared" si="28"/>
        <v>y</v>
      </c>
      <c r="BRH1" s="154" t="str">
        <f t="shared" si="28"/>
        <v>y</v>
      </c>
      <c r="BRI1" s="154" t="str">
        <f t="shared" si="28"/>
        <v>y</v>
      </c>
      <c r="BRJ1" s="154" t="str">
        <f t="shared" si="28"/>
        <v>y</v>
      </c>
      <c r="BRK1" s="154" t="str">
        <f t="shared" si="28"/>
        <v>y</v>
      </c>
      <c r="BRL1" s="154" t="str">
        <f t="shared" si="28"/>
        <v>y</v>
      </c>
      <c r="BRM1" s="154" t="str">
        <f t="shared" si="28"/>
        <v>y</v>
      </c>
      <c r="BRN1" s="154" t="str">
        <f t="shared" si="28"/>
        <v>y</v>
      </c>
      <c r="BRO1" s="154" t="str">
        <f t="shared" si="28"/>
        <v>y</v>
      </c>
      <c r="BRP1" s="154" t="str">
        <f t="shared" si="28"/>
        <v>y</v>
      </c>
      <c r="BRQ1" s="154" t="str">
        <f t="shared" si="28"/>
        <v>y</v>
      </c>
      <c r="BRR1" s="154" t="str">
        <f t="shared" si="28"/>
        <v>y</v>
      </c>
      <c r="BRS1" s="154" t="str">
        <f t="shared" si="28"/>
        <v>y</v>
      </c>
      <c r="BRT1" s="154" t="str">
        <f t="shared" si="28"/>
        <v>y</v>
      </c>
      <c r="BRU1" s="154" t="str">
        <f t="shared" si="28"/>
        <v>y</v>
      </c>
      <c r="BRV1" s="154" t="str">
        <f t="shared" si="28"/>
        <v>y</v>
      </c>
      <c r="BRW1" s="154" t="str">
        <f t="shared" si="28"/>
        <v>y</v>
      </c>
      <c r="BRX1" s="154" t="str">
        <f t="shared" si="28"/>
        <v>y</v>
      </c>
      <c r="BRY1" s="154" t="str">
        <f t="shared" si="28"/>
        <v>y</v>
      </c>
      <c r="BRZ1" s="154" t="str">
        <f t="shared" si="28"/>
        <v>y</v>
      </c>
      <c r="BSA1" s="154" t="str">
        <f t="shared" si="28"/>
        <v>y</v>
      </c>
      <c r="BSB1" s="154" t="str">
        <f t="shared" si="28"/>
        <v>y</v>
      </c>
      <c r="BSC1" s="154" t="str">
        <f t="shared" si="28"/>
        <v>y</v>
      </c>
      <c r="BSD1" s="154" t="str">
        <f t="shared" si="28"/>
        <v>y</v>
      </c>
      <c r="BSE1" s="154" t="str">
        <f t="shared" si="28"/>
        <v>y</v>
      </c>
      <c r="BSF1" s="154" t="str">
        <f t="shared" si="28"/>
        <v>y</v>
      </c>
      <c r="BSG1" s="154" t="str">
        <f t="shared" si="28"/>
        <v>y</v>
      </c>
      <c r="BSH1" s="154" t="str">
        <f t="shared" si="28"/>
        <v>y</v>
      </c>
      <c r="BSI1" s="154" t="str">
        <f t="shared" si="28"/>
        <v>y</v>
      </c>
      <c r="BSJ1" s="154" t="str">
        <f t="shared" si="28"/>
        <v>y</v>
      </c>
      <c r="BSK1" s="154" t="str">
        <f t="shared" si="28"/>
        <v>y</v>
      </c>
      <c r="BSL1" s="154" t="str">
        <f t="shared" si="28"/>
        <v>y</v>
      </c>
      <c r="BSM1" s="154" t="str">
        <f t="shared" si="28"/>
        <v>y</v>
      </c>
      <c r="BSN1" s="154" t="str">
        <f t="shared" ref="BSN1:BUY1" si="29">BSN2&amp;"y"</f>
        <v>y</v>
      </c>
      <c r="BSO1" s="154" t="str">
        <f t="shared" si="29"/>
        <v>y</v>
      </c>
      <c r="BSP1" s="154" t="str">
        <f t="shared" si="29"/>
        <v>y</v>
      </c>
      <c r="BSQ1" s="154" t="str">
        <f t="shared" si="29"/>
        <v>y</v>
      </c>
      <c r="BSR1" s="154" t="str">
        <f t="shared" si="29"/>
        <v>y</v>
      </c>
      <c r="BSS1" s="154" t="str">
        <f t="shared" si="29"/>
        <v>y</v>
      </c>
      <c r="BST1" s="154" t="str">
        <f t="shared" si="29"/>
        <v>y</v>
      </c>
      <c r="BSU1" s="154" t="str">
        <f t="shared" si="29"/>
        <v>y</v>
      </c>
      <c r="BSV1" s="154" t="str">
        <f t="shared" si="29"/>
        <v>y</v>
      </c>
      <c r="BSW1" s="154" t="str">
        <f t="shared" si="29"/>
        <v>y</v>
      </c>
      <c r="BSX1" s="154" t="str">
        <f t="shared" si="29"/>
        <v>y</v>
      </c>
      <c r="BSY1" s="154" t="str">
        <f t="shared" si="29"/>
        <v>y</v>
      </c>
      <c r="BSZ1" s="154" t="str">
        <f t="shared" si="29"/>
        <v>y</v>
      </c>
      <c r="BTA1" s="154" t="str">
        <f t="shared" si="29"/>
        <v>y</v>
      </c>
      <c r="BTB1" s="154" t="str">
        <f t="shared" si="29"/>
        <v>y</v>
      </c>
      <c r="BTC1" s="154" t="str">
        <f t="shared" si="29"/>
        <v>y</v>
      </c>
      <c r="BTD1" s="154" t="str">
        <f t="shared" si="29"/>
        <v>y</v>
      </c>
      <c r="BTE1" s="154" t="str">
        <f t="shared" si="29"/>
        <v>y</v>
      </c>
      <c r="BTF1" s="154" t="str">
        <f t="shared" si="29"/>
        <v>y</v>
      </c>
      <c r="BTG1" s="154" t="str">
        <f t="shared" si="29"/>
        <v>y</v>
      </c>
      <c r="BTH1" s="154" t="str">
        <f t="shared" si="29"/>
        <v>y</v>
      </c>
      <c r="BTI1" s="154" t="str">
        <f t="shared" si="29"/>
        <v>y</v>
      </c>
      <c r="BTJ1" s="154" t="str">
        <f t="shared" si="29"/>
        <v>y</v>
      </c>
      <c r="BTK1" s="154" t="str">
        <f t="shared" si="29"/>
        <v>y</v>
      </c>
      <c r="BTL1" s="154" t="str">
        <f t="shared" si="29"/>
        <v>y</v>
      </c>
      <c r="BTM1" s="154" t="str">
        <f t="shared" si="29"/>
        <v>y</v>
      </c>
      <c r="BTN1" s="154" t="str">
        <f t="shared" si="29"/>
        <v>y</v>
      </c>
      <c r="BTO1" s="154" t="str">
        <f t="shared" si="29"/>
        <v>y</v>
      </c>
      <c r="BTP1" s="154" t="str">
        <f t="shared" si="29"/>
        <v>y</v>
      </c>
      <c r="BTQ1" s="154" t="str">
        <f t="shared" si="29"/>
        <v>y</v>
      </c>
      <c r="BTR1" s="154" t="str">
        <f t="shared" si="29"/>
        <v>y</v>
      </c>
      <c r="BTS1" s="154" t="str">
        <f t="shared" si="29"/>
        <v>y</v>
      </c>
      <c r="BTT1" s="154" t="str">
        <f t="shared" si="29"/>
        <v>y</v>
      </c>
      <c r="BTU1" s="154" t="str">
        <f t="shared" si="29"/>
        <v>y</v>
      </c>
      <c r="BTV1" s="154" t="str">
        <f t="shared" si="29"/>
        <v>y</v>
      </c>
      <c r="BTW1" s="154" t="str">
        <f t="shared" si="29"/>
        <v>y</v>
      </c>
      <c r="BTX1" s="154" t="str">
        <f t="shared" si="29"/>
        <v>y</v>
      </c>
      <c r="BTY1" s="154" t="str">
        <f t="shared" si="29"/>
        <v>y</v>
      </c>
      <c r="BTZ1" s="154" t="str">
        <f t="shared" si="29"/>
        <v>y</v>
      </c>
      <c r="BUA1" s="154" t="str">
        <f t="shared" si="29"/>
        <v>y</v>
      </c>
      <c r="BUB1" s="154" t="str">
        <f t="shared" si="29"/>
        <v>y</v>
      </c>
      <c r="BUC1" s="154" t="str">
        <f t="shared" si="29"/>
        <v>y</v>
      </c>
      <c r="BUD1" s="154" t="str">
        <f t="shared" si="29"/>
        <v>y</v>
      </c>
      <c r="BUE1" s="154" t="str">
        <f t="shared" si="29"/>
        <v>y</v>
      </c>
      <c r="BUF1" s="154" t="str">
        <f t="shared" si="29"/>
        <v>y</v>
      </c>
      <c r="BUG1" s="154" t="str">
        <f t="shared" si="29"/>
        <v>y</v>
      </c>
      <c r="BUH1" s="154" t="str">
        <f t="shared" si="29"/>
        <v>y</v>
      </c>
      <c r="BUI1" s="154" t="str">
        <f t="shared" si="29"/>
        <v>y</v>
      </c>
      <c r="BUJ1" s="154" t="str">
        <f t="shared" si="29"/>
        <v>y</v>
      </c>
      <c r="BUK1" s="154" t="str">
        <f t="shared" si="29"/>
        <v>y</v>
      </c>
      <c r="BUL1" s="154" t="str">
        <f t="shared" si="29"/>
        <v>y</v>
      </c>
      <c r="BUM1" s="154" t="str">
        <f t="shared" si="29"/>
        <v>y</v>
      </c>
      <c r="BUN1" s="154" t="str">
        <f t="shared" si="29"/>
        <v>y</v>
      </c>
      <c r="BUO1" s="154" t="str">
        <f t="shared" si="29"/>
        <v>y</v>
      </c>
      <c r="BUP1" s="154" t="str">
        <f t="shared" si="29"/>
        <v>y</v>
      </c>
      <c r="BUQ1" s="154" t="str">
        <f t="shared" si="29"/>
        <v>y</v>
      </c>
      <c r="BUR1" s="154" t="str">
        <f t="shared" si="29"/>
        <v>y</v>
      </c>
      <c r="BUS1" s="154" t="str">
        <f t="shared" si="29"/>
        <v>y</v>
      </c>
      <c r="BUT1" s="154" t="str">
        <f t="shared" si="29"/>
        <v>y</v>
      </c>
      <c r="BUU1" s="154" t="str">
        <f t="shared" si="29"/>
        <v>y</v>
      </c>
      <c r="BUV1" s="154" t="str">
        <f t="shared" si="29"/>
        <v>y</v>
      </c>
      <c r="BUW1" s="154" t="str">
        <f t="shared" si="29"/>
        <v>y</v>
      </c>
      <c r="BUX1" s="154" t="str">
        <f t="shared" si="29"/>
        <v>y</v>
      </c>
      <c r="BUY1" s="154" t="str">
        <f t="shared" si="29"/>
        <v>y</v>
      </c>
      <c r="BUZ1" s="154" t="str">
        <f t="shared" ref="BUZ1:BXK1" si="30">BUZ2&amp;"y"</f>
        <v>y</v>
      </c>
      <c r="BVA1" s="154" t="str">
        <f t="shared" si="30"/>
        <v>y</v>
      </c>
      <c r="BVB1" s="154" t="str">
        <f t="shared" si="30"/>
        <v>y</v>
      </c>
      <c r="BVC1" s="154" t="str">
        <f t="shared" si="30"/>
        <v>y</v>
      </c>
      <c r="BVD1" s="154" t="str">
        <f t="shared" si="30"/>
        <v>y</v>
      </c>
      <c r="BVE1" s="154" t="str">
        <f t="shared" si="30"/>
        <v>y</v>
      </c>
      <c r="BVF1" s="154" t="str">
        <f t="shared" si="30"/>
        <v>y</v>
      </c>
      <c r="BVG1" s="154" t="str">
        <f t="shared" si="30"/>
        <v>y</v>
      </c>
      <c r="BVH1" s="154" t="str">
        <f t="shared" si="30"/>
        <v>y</v>
      </c>
      <c r="BVI1" s="154" t="str">
        <f t="shared" si="30"/>
        <v>y</v>
      </c>
      <c r="BVJ1" s="154" t="str">
        <f t="shared" si="30"/>
        <v>y</v>
      </c>
      <c r="BVK1" s="154" t="str">
        <f t="shared" si="30"/>
        <v>y</v>
      </c>
      <c r="BVL1" s="154" t="str">
        <f t="shared" si="30"/>
        <v>y</v>
      </c>
      <c r="BVM1" s="154" t="str">
        <f t="shared" si="30"/>
        <v>y</v>
      </c>
      <c r="BVN1" s="154" t="str">
        <f t="shared" si="30"/>
        <v>y</v>
      </c>
      <c r="BVO1" s="154" t="str">
        <f t="shared" si="30"/>
        <v>y</v>
      </c>
      <c r="BVP1" s="154" t="str">
        <f t="shared" si="30"/>
        <v>y</v>
      </c>
      <c r="BVQ1" s="154" t="str">
        <f t="shared" si="30"/>
        <v>y</v>
      </c>
      <c r="BVR1" s="154" t="str">
        <f t="shared" si="30"/>
        <v>y</v>
      </c>
      <c r="BVS1" s="154" t="str">
        <f t="shared" si="30"/>
        <v>y</v>
      </c>
      <c r="BVT1" s="154" t="str">
        <f t="shared" si="30"/>
        <v>y</v>
      </c>
      <c r="BVU1" s="154" t="str">
        <f t="shared" si="30"/>
        <v>y</v>
      </c>
      <c r="BVV1" s="154" t="str">
        <f t="shared" si="30"/>
        <v>y</v>
      </c>
      <c r="BVW1" s="154" t="str">
        <f t="shared" si="30"/>
        <v>y</v>
      </c>
      <c r="BVX1" s="154" t="str">
        <f t="shared" si="30"/>
        <v>y</v>
      </c>
      <c r="BVY1" s="154" t="str">
        <f t="shared" si="30"/>
        <v>y</v>
      </c>
      <c r="BVZ1" s="154" t="str">
        <f t="shared" si="30"/>
        <v>y</v>
      </c>
      <c r="BWA1" s="154" t="str">
        <f t="shared" si="30"/>
        <v>y</v>
      </c>
      <c r="BWB1" s="154" t="str">
        <f t="shared" si="30"/>
        <v>y</v>
      </c>
      <c r="BWC1" s="154" t="str">
        <f t="shared" si="30"/>
        <v>y</v>
      </c>
      <c r="BWD1" s="154" t="str">
        <f t="shared" si="30"/>
        <v>y</v>
      </c>
      <c r="BWE1" s="154" t="str">
        <f t="shared" si="30"/>
        <v>y</v>
      </c>
      <c r="BWF1" s="154" t="str">
        <f t="shared" si="30"/>
        <v>y</v>
      </c>
      <c r="BWG1" s="154" t="str">
        <f t="shared" si="30"/>
        <v>y</v>
      </c>
      <c r="BWH1" s="154" t="str">
        <f t="shared" si="30"/>
        <v>y</v>
      </c>
      <c r="BWI1" s="154" t="str">
        <f t="shared" si="30"/>
        <v>y</v>
      </c>
      <c r="BWJ1" s="154" t="str">
        <f t="shared" si="30"/>
        <v>y</v>
      </c>
      <c r="BWK1" s="154" t="str">
        <f t="shared" si="30"/>
        <v>y</v>
      </c>
      <c r="BWL1" s="154" t="str">
        <f t="shared" si="30"/>
        <v>y</v>
      </c>
      <c r="BWM1" s="154" t="str">
        <f t="shared" si="30"/>
        <v>y</v>
      </c>
      <c r="BWN1" s="154" t="str">
        <f t="shared" si="30"/>
        <v>y</v>
      </c>
      <c r="BWO1" s="154" t="str">
        <f t="shared" si="30"/>
        <v>y</v>
      </c>
      <c r="BWP1" s="154" t="str">
        <f t="shared" si="30"/>
        <v>y</v>
      </c>
      <c r="BWQ1" s="154" t="str">
        <f t="shared" si="30"/>
        <v>y</v>
      </c>
      <c r="BWR1" s="154" t="str">
        <f t="shared" si="30"/>
        <v>y</v>
      </c>
      <c r="BWS1" s="154" t="str">
        <f t="shared" si="30"/>
        <v>y</v>
      </c>
      <c r="BWT1" s="154" t="str">
        <f t="shared" si="30"/>
        <v>y</v>
      </c>
      <c r="BWU1" s="154" t="str">
        <f t="shared" si="30"/>
        <v>y</v>
      </c>
      <c r="BWV1" s="154" t="str">
        <f t="shared" si="30"/>
        <v>y</v>
      </c>
      <c r="BWW1" s="154" t="str">
        <f t="shared" si="30"/>
        <v>y</v>
      </c>
      <c r="BWX1" s="154" t="str">
        <f t="shared" si="30"/>
        <v>y</v>
      </c>
      <c r="BWY1" s="154" t="str">
        <f t="shared" si="30"/>
        <v>y</v>
      </c>
      <c r="BWZ1" s="154" t="str">
        <f t="shared" si="30"/>
        <v>y</v>
      </c>
      <c r="BXA1" s="154" t="str">
        <f t="shared" si="30"/>
        <v>y</v>
      </c>
      <c r="BXB1" s="154" t="str">
        <f t="shared" si="30"/>
        <v>y</v>
      </c>
      <c r="BXC1" s="154" t="str">
        <f t="shared" si="30"/>
        <v>y</v>
      </c>
      <c r="BXD1" s="154" t="str">
        <f t="shared" si="30"/>
        <v>y</v>
      </c>
      <c r="BXE1" s="154" t="str">
        <f t="shared" si="30"/>
        <v>y</v>
      </c>
      <c r="BXF1" s="154" t="str">
        <f t="shared" si="30"/>
        <v>y</v>
      </c>
      <c r="BXG1" s="154" t="str">
        <f t="shared" si="30"/>
        <v>y</v>
      </c>
      <c r="BXH1" s="154" t="str">
        <f t="shared" si="30"/>
        <v>y</v>
      </c>
      <c r="BXI1" s="154" t="str">
        <f t="shared" si="30"/>
        <v>y</v>
      </c>
      <c r="BXJ1" s="154" t="str">
        <f t="shared" si="30"/>
        <v>y</v>
      </c>
      <c r="BXK1" s="154" t="str">
        <f t="shared" si="30"/>
        <v>y</v>
      </c>
      <c r="BXL1" s="154" t="str">
        <f t="shared" ref="BXL1:BZW1" si="31">BXL2&amp;"y"</f>
        <v>y</v>
      </c>
      <c r="BXM1" s="154" t="str">
        <f t="shared" si="31"/>
        <v>y</v>
      </c>
      <c r="BXN1" s="154" t="str">
        <f t="shared" si="31"/>
        <v>y</v>
      </c>
      <c r="BXO1" s="154" t="str">
        <f t="shared" si="31"/>
        <v>y</v>
      </c>
      <c r="BXP1" s="154" t="str">
        <f t="shared" si="31"/>
        <v>y</v>
      </c>
      <c r="BXQ1" s="154" t="str">
        <f t="shared" si="31"/>
        <v>y</v>
      </c>
      <c r="BXR1" s="154" t="str">
        <f t="shared" si="31"/>
        <v>y</v>
      </c>
      <c r="BXS1" s="154" t="str">
        <f t="shared" si="31"/>
        <v>y</v>
      </c>
      <c r="BXT1" s="154" t="str">
        <f t="shared" si="31"/>
        <v>y</v>
      </c>
      <c r="BXU1" s="154" t="str">
        <f t="shared" si="31"/>
        <v>y</v>
      </c>
      <c r="BXV1" s="154" t="str">
        <f t="shared" si="31"/>
        <v>y</v>
      </c>
      <c r="BXW1" s="154" t="str">
        <f t="shared" si="31"/>
        <v>y</v>
      </c>
      <c r="BXX1" s="154" t="str">
        <f t="shared" si="31"/>
        <v>y</v>
      </c>
      <c r="BXY1" s="154" t="str">
        <f t="shared" si="31"/>
        <v>y</v>
      </c>
      <c r="BXZ1" s="154" t="str">
        <f t="shared" si="31"/>
        <v>y</v>
      </c>
      <c r="BYA1" s="154" t="str">
        <f t="shared" si="31"/>
        <v>y</v>
      </c>
      <c r="BYB1" s="154" t="str">
        <f t="shared" si="31"/>
        <v>y</v>
      </c>
      <c r="BYC1" s="154" t="str">
        <f t="shared" si="31"/>
        <v>y</v>
      </c>
      <c r="BYD1" s="154" t="str">
        <f t="shared" si="31"/>
        <v>y</v>
      </c>
      <c r="BYE1" s="154" t="str">
        <f t="shared" si="31"/>
        <v>y</v>
      </c>
      <c r="BYF1" s="154" t="str">
        <f t="shared" si="31"/>
        <v>y</v>
      </c>
      <c r="BYG1" s="154" t="str">
        <f t="shared" si="31"/>
        <v>y</v>
      </c>
      <c r="BYH1" s="154" t="str">
        <f t="shared" si="31"/>
        <v>y</v>
      </c>
      <c r="BYI1" s="154" t="str">
        <f t="shared" si="31"/>
        <v>y</v>
      </c>
      <c r="BYJ1" s="154" t="str">
        <f t="shared" si="31"/>
        <v>y</v>
      </c>
      <c r="BYK1" s="154" t="str">
        <f t="shared" si="31"/>
        <v>y</v>
      </c>
      <c r="BYL1" s="154" t="str">
        <f t="shared" si="31"/>
        <v>y</v>
      </c>
      <c r="BYM1" s="154" t="str">
        <f t="shared" si="31"/>
        <v>y</v>
      </c>
      <c r="BYN1" s="154" t="str">
        <f t="shared" si="31"/>
        <v>y</v>
      </c>
      <c r="BYO1" s="154" t="str">
        <f t="shared" si="31"/>
        <v>y</v>
      </c>
      <c r="BYP1" s="154" t="str">
        <f t="shared" si="31"/>
        <v>y</v>
      </c>
      <c r="BYQ1" s="154" t="str">
        <f t="shared" si="31"/>
        <v>y</v>
      </c>
      <c r="BYR1" s="154" t="str">
        <f t="shared" si="31"/>
        <v>y</v>
      </c>
      <c r="BYS1" s="154" t="str">
        <f t="shared" si="31"/>
        <v>y</v>
      </c>
      <c r="BYT1" s="154" t="str">
        <f t="shared" si="31"/>
        <v>y</v>
      </c>
      <c r="BYU1" s="154" t="str">
        <f t="shared" si="31"/>
        <v>y</v>
      </c>
      <c r="BYV1" s="154" t="str">
        <f t="shared" si="31"/>
        <v>y</v>
      </c>
      <c r="BYW1" s="154" t="str">
        <f t="shared" si="31"/>
        <v>y</v>
      </c>
      <c r="BYX1" s="154" t="str">
        <f t="shared" si="31"/>
        <v>y</v>
      </c>
      <c r="BYY1" s="154" t="str">
        <f t="shared" si="31"/>
        <v>y</v>
      </c>
      <c r="BYZ1" s="154" t="str">
        <f t="shared" si="31"/>
        <v>y</v>
      </c>
      <c r="BZA1" s="154" t="str">
        <f t="shared" si="31"/>
        <v>y</v>
      </c>
      <c r="BZB1" s="154" t="str">
        <f t="shared" si="31"/>
        <v>y</v>
      </c>
      <c r="BZC1" s="154" t="str">
        <f t="shared" si="31"/>
        <v>y</v>
      </c>
      <c r="BZD1" s="154" t="str">
        <f t="shared" si="31"/>
        <v>y</v>
      </c>
      <c r="BZE1" s="154" t="str">
        <f t="shared" si="31"/>
        <v>y</v>
      </c>
      <c r="BZF1" s="154" t="str">
        <f t="shared" si="31"/>
        <v>y</v>
      </c>
      <c r="BZG1" s="154" t="str">
        <f t="shared" si="31"/>
        <v>y</v>
      </c>
      <c r="BZH1" s="154" t="str">
        <f t="shared" si="31"/>
        <v>y</v>
      </c>
      <c r="BZI1" s="154" t="str">
        <f t="shared" si="31"/>
        <v>y</v>
      </c>
      <c r="BZJ1" s="154" t="str">
        <f t="shared" si="31"/>
        <v>y</v>
      </c>
      <c r="BZK1" s="154" t="str">
        <f t="shared" si="31"/>
        <v>y</v>
      </c>
      <c r="BZL1" s="154" t="str">
        <f t="shared" si="31"/>
        <v>y</v>
      </c>
      <c r="BZM1" s="154" t="str">
        <f t="shared" si="31"/>
        <v>y</v>
      </c>
      <c r="BZN1" s="154" t="str">
        <f t="shared" si="31"/>
        <v>y</v>
      </c>
      <c r="BZO1" s="154" t="str">
        <f t="shared" si="31"/>
        <v>y</v>
      </c>
      <c r="BZP1" s="154" t="str">
        <f t="shared" si="31"/>
        <v>y</v>
      </c>
      <c r="BZQ1" s="154" t="str">
        <f t="shared" si="31"/>
        <v>y</v>
      </c>
      <c r="BZR1" s="154" t="str">
        <f t="shared" si="31"/>
        <v>y</v>
      </c>
      <c r="BZS1" s="154" t="str">
        <f t="shared" si="31"/>
        <v>y</v>
      </c>
      <c r="BZT1" s="154" t="str">
        <f t="shared" si="31"/>
        <v>y</v>
      </c>
      <c r="BZU1" s="154" t="str">
        <f t="shared" si="31"/>
        <v>y</v>
      </c>
      <c r="BZV1" s="154" t="str">
        <f t="shared" si="31"/>
        <v>y</v>
      </c>
      <c r="BZW1" s="154" t="str">
        <f t="shared" si="31"/>
        <v>y</v>
      </c>
      <c r="BZX1" s="154" t="str">
        <f t="shared" ref="BZX1:CCI1" si="32">BZX2&amp;"y"</f>
        <v>y</v>
      </c>
      <c r="BZY1" s="154" t="str">
        <f t="shared" si="32"/>
        <v>y</v>
      </c>
      <c r="BZZ1" s="154" t="str">
        <f t="shared" si="32"/>
        <v>y</v>
      </c>
      <c r="CAA1" s="154" t="str">
        <f t="shared" si="32"/>
        <v>y</v>
      </c>
      <c r="CAB1" s="154" t="str">
        <f t="shared" si="32"/>
        <v>y</v>
      </c>
      <c r="CAC1" s="154" t="str">
        <f t="shared" si="32"/>
        <v>y</v>
      </c>
      <c r="CAD1" s="154" t="str">
        <f t="shared" si="32"/>
        <v>y</v>
      </c>
      <c r="CAE1" s="154" t="str">
        <f t="shared" si="32"/>
        <v>y</v>
      </c>
      <c r="CAF1" s="154" t="str">
        <f t="shared" si="32"/>
        <v>y</v>
      </c>
      <c r="CAG1" s="154" t="str">
        <f t="shared" si="32"/>
        <v>y</v>
      </c>
      <c r="CAH1" s="154" t="str">
        <f t="shared" si="32"/>
        <v>y</v>
      </c>
      <c r="CAI1" s="154" t="str">
        <f t="shared" si="32"/>
        <v>y</v>
      </c>
      <c r="CAJ1" s="154" t="str">
        <f t="shared" si="32"/>
        <v>y</v>
      </c>
      <c r="CAK1" s="154" t="str">
        <f t="shared" si="32"/>
        <v>y</v>
      </c>
      <c r="CAL1" s="154" t="str">
        <f t="shared" si="32"/>
        <v>y</v>
      </c>
      <c r="CAM1" s="154" t="str">
        <f t="shared" si="32"/>
        <v>y</v>
      </c>
      <c r="CAN1" s="154" t="str">
        <f t="shared" si="32"/>
        <v>y</v>
      </c>
      <c r="CAO1" s="154" t="str">
        <f t="shared" si="32"/>
        <v>y</v>
      </c>
      <c r="CAP1" s="154" t="str">
        <f t="shared" si="32"/>
        <v>y</v>
      </c>
      <c r="CAQ1" s="154" t="str">
        <f t="shared" si="32"/>
        <v>y</v>
      </c>
      <c r="CAR1" s="154" t="str">
        <f t="shared" si="32"/>
        <v>y</v>
      </c>
      <c r="CAS1" s="154" t="str">
        <f t="shared" si="32"/>
        <v>y</v>
      </c>
      <c r="CAT1" s="154" t="str">
        <f t="shared" si="32"/>
        <v>y</v>
      </c>
      <c r="CAU1" s="154" t="str">
        <f t="shared" si="32"/>
        <v>y</v>
      </c>
      <c r="CAV1" s="154" t="str">
        <f t="shared" si="32"/>
        <v>y</v>
      </c>
      <c r="CAW1" s="154" t="str">
        <f t="shared" si="32"/>
        <v>y</v>
      </c>
      <c r="CAX1" s="154" t="str">
        <f t="shared" si="32"/>
        <v>y</v>
      </c>
      <c r="CAY1" s="154" t="str">
        <f t="shared" si="32"/>
        <v>y</v>
      </c>
      <c r="CAZ1" s="154" t="str">
        <f t="shared" si="32"/>
        <v>y</v>
      </c>
      <c r="CBA1" s="154" t="str">
        <f t="shared" si="32"/>
        <v>y</v>
      </c>
      <c r="CBB1" s="154" t="str">
        <f t="shared" si="32"/>
        <v>y</v>
      </c>
      <c r="CBC1" s="154" t="str">
        <f t="shared" si="32"/>
        <v>y</v>
      </c>
      <c r="CBD1" s="154" t="str">
        <f t="shared" si="32"/>
        <v>y</v>
      </c>
      <c r="CBE1" s="154" t="str">
        <f t="shared" si="32"/>
        <v>y</v>
      </c>
      <c r="CBF1" s="154" t="str">
        <f t="shared" si="32"/>
        <v>y</v>
      </c>
      <c r="CBG1" s="154" t="str">
        <f t="shared" si="32"/>
        <v>y</v>
      </c>
      <c r="CBH1" s="154" t="str">
        <f t="shared" si="32"/>
        <v>y</v>
      </c>
      <c r="CBI1" s="154" t="str">
        <f t="shared" si="32"/>
        <v>y</v>
      </c>
      <c r="CBJ1" s="154" t="str">
        <f t="shared" si="32"/>
        <v>y</v>
      </c>
      <c r="CBK1" s="154" t="str">
        <f t="shared" si="32"/>
        <v>y</v>
      </c>
      <c r="CBL1" s="154" t="str">
        <f t="shared" si="32"/>
        <v>y</v>
      </c>
      <c r="CBM1" s="154" t="str">
        <f t="shared" si="32"/>
        <v>y</v>
      </c>
      <c r="CBN1" s="154" t="str">
        <f t="shared" si="32"/>
        <v>y</v>
      </c>
      <c r="CBO1" s="154" t="str">
        <f t="shared" si="32"/>
        <v>y</v>
      </c>
      <c r="CBP1" s="154" t="str">
        <f t="shared" si="32"/>
        <v>y</v>
      </c>
      <c r="CBQ1" s="154" t="str">
        <f t="shared" si="32"/>
        <v>y</v>
      </c>
      <c r="CBR1" s="154" t="str">
        <f t="shared" si="32"/>
        <v>y</v>
      </c>
      <c r="CBS1" s="154" t="str">
        <f t="shared" si="32"/>
        <v>y</v>
      </c>
      <c r="CBT1" s="154" t="str">
        <f t="shared" si="32"/>
        <v>y</v>
      </c>
      <c r="CBU1" s="154" t="str">
        <f t="shared" si="32"/>
        <v>y</v>
      </c>
      <c r="CBV1" s="154" t="str">
        <f t="shared" si="32"/>
        <v>y</v>
      </c>
      <c r="CBW1" s="154" t="str">
        <f t="shared" si="32"/>
        <v>y</v>
      </c>
      <c r="CBX1" s="154" t="str">
        <f t="shared" si="32"/>
        <v>y</v>
      </c>
      <c r="CBY1" s="154" t="str">
        <f t="shared" si="32"/>
        <v>y</v>
      </c>
      <c r="CBZ1" s="154" t="str">
        <f t="shared" si="32"/>
        <v>y</v>
      </c>
      <c r="CCA1" s="154" t="str">
        <f t="shared" si="32"/>
        <v>y</v>
      </c>
      <c r="CCB1" s="154" t="str">
        <f t="shared" si="32"/>
        <v>y</v>
      </c>
      <c r="CCC1" s="154" t="str">
        <f t="shared" si="32"/>
        <v>y</v>
      </c>
      <c r="CCD1" s="154" t="str">
        <f t="shared" si="32"/>
        <v>y</v>
      </c>
      <c r="CCE1" s="154" t="str">
        <f t="shared" si="32"/>
        <v>y</v>
      </c>
      <c r="CCF1" s="154" t="str">
        <f t="shared" si="32"/>
        <v>y</v>
      </c>
      <c r="CCG1" s="154" t="str">
        <f t="shared" si="32"/>
        <v>y</v>
      </c>
      <c r="CCH1" s="154" t="str">
        <f t="shared" si="32"/>
        <v>y</v>
      </c>
      <c r="CCI1" s="154" t="str">
        <f t="shared" si="32"/>
        <v>y</v>
      </c>
      <c r="CCJ1" s="154" t="str">
        <f t="shared" ref="CCJ1:CEU1" si="33">CCJ2&amp;"y"</f>
        <v>y</v>
      </c>
      <c r="CCK1" s="154" t="str">
        <f t="shared" si="33"/>
        <v>y</v>
      </c>
      <c r="CCL1" s="154" t="str">
        <f t="shared" si="33"/>
        <v>y</v>
      </c>
      <c r="CCM1" s="154" t="str">
        <f t="shared" si="33"/>
        <v>y</v>
      </c>
      <c r="CCN1" s="154" t="str">
        <f t="shared" si="33"/>
        <v>y</v>
      </c>
      <c r="CCO1" s="154" t="str">
        <f t="shared" si="33"/>
        <v>y</v>
      </c>
      <c r="CCP1" s="154" t="str">
        <f t="shared" si="33"/>
        <v>y</v>
      </c>
      <c r="CCQ1" s="154" t="str">
        <f t="shared" si="33"/>
        <v>y</v>
      </c>
      <c r="CCR1" s="154" t="str">
        <f t="shared" si="33"/>
        <v>y</v>
      </c>
      <c r="CCS1" s="154" t="str">
        <f t="shared" si="33"/>
        <v>y</v>
      </c>
      <c r="CCT1" s="154" t="str">
        <f t="shared" si="33"/>
        <v>y</v>
      </c>
      <c r="CCU1" s="154" t="str">
        <f t="shared" si="33"/>
        <v>y</v>
      </c>
      <c r="CCV1" s="154" t="str">
        <f t="shared" si="33"/>
        <v>y</v>
      </c>
      <c r="CCW1" s="154" t="str">
        <f t="shared" si="33"/>
        <v>y</v>
      </c>
      <c r="CCX1" s="154" t="str">
        <f t="shared" si="33"/>
        <v>y</v>
      </c>
      <c r="CCY1" s="154" t="str">
        <f t="shared" si="33"/>
        <v>y</v>
      </c>
      <c r="CCZ1" s="154" t="str">
        <f t="shared" si="33"/>
        <v>y</v>
      </c>
      <c r="CDA1" s="154" t="str">
        <f t="shared" si="33"/>
        <v>y</v>
      </c>
      <c r="CDB1" s="154" t="str">
        <f t="shared" si="33"/>
        <v>y</v>
      </c>
      <c r="CDC1" s="154" t="str">
        <f t="shared" si="33"/>
        <v>y</v>
      </c>
      <c r="CDD1" s="154" t="str">
        <f t="shared" si="33"/>
        <v>y</v>
      </c>
      <c r="CDE1" s="154" t="str">
        <f t="shared" si="33"/>
        <v>y</v>
      </c>
      <c r="CDF1" s="154" t="str">
        <f t="shared" si="33"/>
        <v>y</v>
      </c>
      <c r="CDG1" s="154" t="str">
        <f t="shared" si="33"/>
        <v>y</v>
      </c>
      <c r="CDH1" s="154" t="str">
        <f t="shared" si="33"/>
        <v>y</v>
      </c>
      <c r="CDI1" s="154" t="str">
        <f t="shared" si="33"/>
        <v>y</v>
      </c>
      <c r="CDJ1" s="154" t="str">
        <f t="shared" si="33"/>
        <v>y</v>
      </c>
      <c r="CDK1" s="154" t="str">
        <f t="shared" si="33"/>
        <v>y</v>
      </c>
      <c r="CDL1" s="154" t="str">
        <f t="shared" si="33"/>
        <v>y</v>
      </c>
      <c r="CDM1" s="154" t="str">
        <f t="shared" si="33"/>
        <v>y</v>
      </c>
      <c r="CDN1" s="154" t="str">
        <f t="shared" si="33"/>
        <v>y</v>
      </c>
      <c r="CDO1" s="154" t="str">
        <f t="shared" si="33"/>
        <v>y</v>
      </c>
      <c r="CDP1" s="154" t="str">
        <f t="shared" si="33"/>
        <v>y</v>
      </c>
      <c r="CDQ1" s="154" t="str">
        <f t="shared" si="33"/>
        <v>y</v>
      </c>
      <c r="CDR1" s="154" t="str">
        <f t="shared" si="33"/>
        <v>y</v>
      </c>
      <c r="CDS1" s="154" t="str">
        <f t="shared" si="33"/>
        <v>y</v>
      </c>
      <c r="CDT1" s="154" t="str">
        <f t="shared" si="33"/>
        <v>y</v>
      </c>
      <c r="CDU1" s="154" t="str">
        <f t="shared" si="33"/>
        <v>y</v>
      </c>
      <c r="CDV1" s="154" t="str">
        <f t="shared" si="33"/>
        <v>y</v>
      </c>
      <c r="CDW1" s="154" t="str">
        <f t="shared" si="33"/>
        <v>y</v>
      </c>
      <c r="CDX1" s="154" t="str">
        <f t="shared" si="33"/>
        <v>y</v>
      </c>
      <c r="CDY1" s="154" t="str">
        <f t="shared" si="33"/>
        <v>y</v>
      </c>
      <c r="CDZ1" s="154" t="str">
        <f t="shared" si="33"/>
        <v>y</v>
      </c>
      <c r="CEA1" s="154" t="str">
        <f t="shared" si="33"/>
        <v>y</v>
      </c>
      <c r="CEB1" s="154" t="str">
        <f t="shared" si="33"/>
        <v>y</v>
      </c>
      <c r="CEC1" s="154" t="str">
        <f t="shared" si="33"/>
        <v>y</v>
      </c>
      <c r="CED1" s="154" t="str">
        <f t="shared" si="33"/>
        <v>y</v>
      </c>
      <c r="CEE1" s="154" t="str">
        <f t="shared" si="33"/>
        <v>y</v>
      </c>
      <c r="CEF1" s="154" t="str">
        <f t="shared" si="33"/>
        <v>y</v>
      </c>
      <c r="CEG1" s="154" t="str">
        <f t="shared" si="33"/>
        <v>y</v>
      </c>
      <c r="CEH1" s="154" t="str">
        <f t="shared" si="33"/>
        <v>y</v>
      </c>
      <c r="CEI1" s="154" t="str">
        <f t="shared" si="33"/>
        <v>y</v>
      </c>
      <c r="CEJ1" s="154" t="str">
        <f t="shared" si="33"/>
        <v>y</v>
      </c>
      <c r="CEK1" s="154" t="str">
        <f t="shared" si="33"/>
        <v>y</v>
      </c>
      <c r="CEL1" s="154" t="str">
        <f t="shared" si="33"/>
        <v>y</v>
      </c>
      <c r="CEM1" s="154" t="str">
        <f t="shared" si="33"/>
        <v>y</v>
      </c>
      <c r="CEN1" s="154" t="str">
        <f t="shared" si="33"/>
        <v>y</v>
      </c>
      <c r="CEO1" s="154" t="str">
        <f t="shared" si="33"/>
        <v>y</v>
      </c>
      <c r="CEP1" s="154" t="str">
        <f t="shared" si="33"/>
        <v>y</v>
      </c>
      <c r="CEQ1" s="154" t="str">
        <f t="shared" si="33"/>
        <v>y</v>
      </c>
      <c r="CER1" s="154" t="str">
        <f t="shared" si="33"/>
        <v>y</v>
      </c>
      <c r="CES1" s="154" t="str">
        <f t="shared" si="33"/>
        <v>y</v>
      </c>
      <c r="CET1" s="154" t="str">
        <f t="shared" si="33"/>
        <v>y</v>
      </c>
      <c r="CEU1" s="154" t="str">
        <f t="shared" si="33"/>
        <v>y</v>
      </c>
      <c r="CEV1" s="154" t="str">
        <f t="shared" ref="CEV1:CHG1" si="34">CEV2&amp;"y"</f>
        <v>y</v>
      </c>
      <c r="CEW1" s="154" t="str">
        <f t="shared" si="34"/>
        <v>y</v>
      </c>
      <c r="CEX1" s="154" t="str">
        <f t="shared" si="34"/>
        <v>y</v>
      </c>
      <c r="CEY1" s="154" t="str">
        <f t="shared" si="34"/>
        <v>y</v>
      </c>
      <c r="CEZ1" s="154" t="str">
        <f t="shared" si="34"/>
        <v>y</v>
      </c>
      <c r="CFA1" s="154" t="str">
        <f t="shared" si="34"/>
        <v>y</v>
      </c>
      <c r="CFB1" s="154" t="str">
        <f t="shared" si="34"/>
        <v>y</v>
      </c>
      <c r="CFC1" s="154" t="str">
        <f t="shared" si="34"/>
        <v>y</v>
      </c>
      <c r="CFD1" s="154" t="str">
        <f t="shared" si="34"/>
        <v>y</v>
      </c>
      <c r="CFE1" s="154" t="str">
        <f t="shared" si="34"/>
        <v>y</v>
      </c>
      <c r="CFF1" s="154" t="str">
        <f t="shared" si="34"/>
        <v>y</v>
      </c>
      <c r="CFG1" s="154" t="str">
        <f t="shared" si="34"/>
        <v>y</v>
      </c>
      <c r="CFH1" s="154" t="str">
        <f t="shared" si="34"/>
        <v>y</v>
      </c>
      <c r="CFI1" s="154" t="str">
        <f t="shared" si="34"/>
        <v>y</v>
      </c>
      <c r="CFJ1" s="154" t="str">
        <f t="shared" si="34"/>
        <v>y</v>
      </c>
      <c r="CFK1" s="154" t="str">
        <f t="shared" si="34"/>
        <v>y</v>
      </c>
      <c r="CFL1" s="154" t="str">
        <f t="shared" si="34"/>
        <v>y</v>
      </c>
      <c r="CFM1" s="154" t="str">
        <f t="shared" si="34"/>
        <v>y</v>
      </c>
      <c r="CFN1" s="154" t="str">
        <f t="shared" si="34"/>
        <v>y</v>
      </c>
      <c r="CFO1" s="154" t="str">
        <f t="shared" si="34"/>
        <v>y</v>
      </c>
      <c r="CFP1" s="154" t="str">
        <f t="shared" si="34"/>
        <v>y</v>
      </c>
      <c r="CFQ1" s="154" t="str">
        <f t="shared" si="34"/>
        <v>y</v>
      </c>
      <c r="CFR1" s="154" t="str">
        <f t="shared" si="34"/>
        <v>y</v>
      </c>
      <c r="CFS1" s="154" t="str">
        <f t="shared" si="34"/>
        <v>y</v>
      </c>
      <c r="CFT1" s="154" t="str">
        <f t="shared" si="34"/>
        <v>y</v>
      </c>
      <c r="CFU1" s="154" t="str">
        <f t="shared" si="34"/>
        <v>y</v>
      </c>
      <c r="CFV1" s="154" t="str">
        <f t="shared" si="34"/>
        <v>y</v>
      </c>
      <c r="CFW1" s="154" t="str">
        <f t="shared" si="34"/>
        <v>y</v>
      </c>
      <c r="CFX1" s="154" t="str">
        <f t="shared" si="34"/>
        <v>y</v>
      </c>
      <c r="CFY1" s="154" t="str">
        <f t="shared" si="34"/>
        <v>y</v>
      </c>
      <c r="CFZ1" s="154" t="str">
        <f t="shared" si="34"/>
        <v>y</v>
      </c>
      <c r="CGA1" s="154" t="str">
        <f t="shared" si="34"/>
        <v>y</v>
      </c>
      <c r="CGB1" s="154" t="str">
        <f t="shared" si="34"/>
        <v>y</v>
      </c>
      <c r="CGC1" s="154" t="str">
        <f t="shared" si="34"/>
        <v>y</v>
      </c>
      <c r="CGD1" s="154" t="str">
        <f t="shared" si="34"/>
        <v>y</v>
      </c>
      <c r="CGE1" s="154" t="str">
        <f t="shared" si="34"/>
        <v>y</v>
      </c>
      <c r="CGF1" s="154" t="str">
        <f t="shared" si="34"/>
        <v>y</v>
      </c>
      <c r="CGG1" s="154" t="str">
        <f t="shared" si="34"/>
        <v>y</v>
      </c>
      <c r="CGH1" s="154" t="str">
        <f t="shared" si="34"/>
        <v>y</v>
      </c>
      <c r="CGI1" s="154" t="str">
        <f t="shared" si="34"/>
        <v>y</v>
      </c>
      <c r="CGJ1" s="154" t="str">
        <f t="shared" si="34"/>
        <v>y</v>
      </c>
      <c r="CGK1" s="154" t="str">
        <f t="shared" si="34"/>
        <v>y</v>
      </c>
      <c r="CGL1" s="154" t="str">
        <f t="shared" si="34"/>
        <v>y</v>
      </c>
      <c r="CGM1" s="154" t="str">
        <f t="shared" si="34"/>
        <v>y</v>
      </c>
      <c r="CGN1" s="154" t="str">
        <f t="shared" si="34"/>
        <v>y</v>
      </c>
      <c r="CGO1" s="154" t="str">
        <f t="shared" si="34"/>
        <v>y</v>
      </c>
      <c r="CGP1" s="154" t="str">
        <f t="shared" si="34"/>
        <v>y</v>
      </c>
      <c r="CGQ1" s="154" t="str">
        <f t="shared" si="34"/>
        <v>y</v>
      </c>
      <c r="CGR1" s="154" t="str">
        <f t="shared" si="34"/>
        <v>y</v>
      </c>
      <c r="CGS1" s="154" t="str">
        <f t="shared" si="34"/>
        <v>y</v>
      </c>
      <c r="CGT1" s="154" t="str">
        <f t="shared" si="34"/>
        <v>y</v>
      </c>
      <c r="CGU1" s="154" t="str">
        <f t="shared" si="34"/>
        <v>y</v>
      </c>
      <c r="CGV1" s="154" t="str">
        <f t="shared" si="34"/>
        <v>y</v>
      </c>
      <c r="CGW1" s="154" t="str">
        <f t="shared" si="34"/>
        <v>y</v>
      </c>
      <c r="CGX1" s="154" t="str">
        <f t="shared" si="34"/>
        <v>y</v>
      </c>
      <c r="CGY1" s="154" t="str">
        <f t="shared" si="34"/>
        <v>y</v>
      </c>
      <c r="CGZ1" s="154" t="str">
        <f t="shared" si="34"/>
        <v>y</v>
      </c>
      <c r="CHA1" s="154" t="str">
        <f t="shared" si="34"/>
        <v>y</v>
      </c>
      <c r="CHB1" s="154" t="str">
        <f t="shared" si="34"/>
        <v>y</v>
      </c>
      <c r="CHC1" s="154" t="str">
        <f t="shared" si="34"/>
        <v>y</v>
      </c>
      <c r="CHD1" s="154" t="str">
        <f t="shared" si="34"/>
        <v>y</v>
      </c>
      <c r="CHE1" s="154" t="str">
        <f t="shared" si="34"/>
        <v>y</v>
      </c>
      <c r="CHF1" s="154" t="str">
        <f t="shared" si="34"/>
        <v>y</v>
      </c>
      <c r="CHG1" s="154" t="str">
        <f t="shared" si="34"/>
        <v>y</v>
      </c>
      <c r="CHH1" s="154" t="str">
        <f t="shared" ref="CHH1:CJS1" si="35">CHH2&amp;"y"</f>
        <v>y</v>
      </c>
      <c r="CHI1" s="154" t="str">
        <f t="shared" si="35"/>
        <v>y</v>
      </c>
      <c r="CHJ1" s="154" t="str">
        <f t="shared" si="35"/>
        <v>y</v>
      </c>
      <c r="CHK1" s="154" t="str">
        <f t="shared" si="35"/>
        <v>y</v>
      </c>
      <c r="CHL1" s="154" t="str">
        <f t="shared" si="35"/>
        <v>y</v>
      </c>
      <c r="CHM1" s="154" t="str">
        <f t="shared" si="35"/>
        <v>y</v>
      </c>
      <c r="CHN1" s="154" t="str">
        <f t="shared" si="35"/>
        <v>y</v>
      </c>
      <c r="CHO1" s="154" t="str">
        <f t="shared" si="35"/>
        <v>y</v>
      </c>
      <c r="CHP1" s="154" t="str">
        <f t="shared" si="35"/>
        <v>y</v>
      </c>
      <c r="CHQ1" s="154" t="str">
        <f t="shared" si="35"/>
        <v>y</v>
      </c>
      <c r="CHR1" s="154" t="str">
        <f t="shared" si="35"/>
        <v>y</v>
      </c>
      <c r="CHS1" s="154" t="str">
        <f t="shared" si="35"/>
        <v>y</v>
      </c>
      <c r="CHT1" s="154" t="str">
        <f t="shared" si="35"/>
        <v>y</v>
      </c>
      <c r="CHU1" s="154" t="str">
        <f t="shared" si="35"/>
        <v>y</v>
      </c>
      <c r="CHV1" s="154" t="str">
        <f t="shared" si="35"/>
        <v>y</v>
      </c>
      <c r="CHW1" s="154" t="str">
        <f t="shared" si="35"/>
        <v>y</v>
      </c>
      <c r="CHX1" s="154" t="str">
        <f t="shared" si="35"/>
        <v>y</v>
      </c>
      <c r="CHY1" s="154" t="str">
        <f t="shared" si="35"/>
        <v>y</v>
      </c>
      <c r="CHZ1" s="154" t="str">
        <f t="shared" si="35"/>
        <v>y</v>
      </c>
      <c r="CIA1" s="154" t="str">
        <f t="shared" si="35"/>
        <v>y</v>
      </c>
      <c r="CIB1" s="154" t="str">
        <f t="shared" si="35"/>
        <v>y</v>
      </c>
      <c r="CIC1" s="154" t="str">
        <f t="shared" si="35"/>
        <v>y</v>
      </c>
      <c r="CID1" s="154" t="str">
        <f t="shared" si="35"/>
        <v>y</v>
      </c>
      <c r="CIE1" s="154" t="str">
        <f t="shared" si="35"/>
        <v>y</v>
      </c>
      <c r="CIF1" s="154" t="str">
        <f t="shared" si="35"/>
        <v>y</v>
      </c>
      <c r="CIG1" s="154" t="str">
        <f t="shared" si="35"/>
        <v>y</v>
      </c>
      <c r="CIH1" s="154" t="str">
        <f t="shared" si="35"/>
        <v>y</v>
      </c>
      <c r="CII1" s="154" t="str">
        <f t="shared" si="35"/>
        <v>y</v>
      </c>
      <c r="CIJ1" s="154" t="str">
        <f t="shared" si="35"/>
        <v>y</v>
      </c>
      <c r="CIK1" s="154" t="str">
        <f t="shared" si="35"/>
        <v>y</v>
      </c>
      <c r="CIL1" s="154" t="str">
        <f t="shared" si="35"/>
        <v>y</v>
      </c>
      <c r="CIM1" s="154" t="str">
        <f t="shared" si="35"/>
        <v>y</v>
      </c>
      <c r="CIN1" s="154" t="str">
        <f t="shared" si="35"/>
        <v>y</v>
      </c>
      <c r="CIO1" s="154" t="str">
        <f t="shared" si="35"/>
        <v>y</v>
      </c>
      <c r="CIP1" s="154" t="str">
        <f t="shared" si="35"/>
        <v>y</v>
      </c>
      <c r="CIQ1" s="154" t="str">
        <f t="shared" si="35"/>
        <v>y</v>
      </c>
      <c r="CIR1" s="154" t="str">
        <f t="shared" si="35"/>
        <v>y</v>
      </c>
      <c r="CIS1" s="154" t="str">
        <f t="shared" si="35"/>
        <v>y</v>
      </c>
      <c r="CIT1" s="154" t="str">
        <f t="shared" si="35"/>
        <v>y</v>
      </c>
      <c r="CIU1" s="154" t="str">
        <f t="shared" si="35"/>
        <v>y</v>
      </c>
      <c r="CIV1" s="154" t="str">
        <f t="shared" si="35"/>
        <v>y</v>
      </c>
      <c r="CIW1" s="154" t="str">
        <f t="shared" si="35"/>
        <v>y</v>
      </c>
      <c r="CIX1" s="154" t="str">
        <f t="shared" si="35"/>
        <v>y</v>
      </c>
      <c r="CIY1" s="154" t="str">
        <f t="shared" si="35"/>
        <v>y</v>
      </c>
      <c r="CIZ1" s="154" t="str">
        <f t="shared" si="35"/>
        <v>y</v>
      </c>
      <c r="CJA1" s="154" t="str">
        <f t="shared" si="35"/>
        <v>y</v>
      </c>
      <c r="CJB1" s="154" t="str">
        <f t="shared" si="35"/>
        <v>y</v>
      </c>
      <c r="CJC1" s="154" t="str">
        <f t="shared" si="35"/>
        <v>y</v>
      </c>
      <c r="CJD1" s="154" t="str">
        <f t="shared" si="35"/>
        <v>y</v>
      </c>
      <c r="CJE1" s="154" t="str">
        <f t="shared" si="35"/>
        <v>y</v>
      </c>
      <c r="CJF1" s="154" t="str">
        <f t="shared" si="35"/>
        <v>y</v>
      </c>
      <c r="CJG1" s="154" t="str">
        <f t="shared" si="35"/>
        <v>y</v>
      </c>
      <c r="CJH1" s="154" t="str">
        <f t="shared" si="35"/>
        <v>y</v>
      </c>
      <c r="CJI1" s="154" t="str">
        <f t="shared" si="35"/>
        <v>y</v>
      </c>
      <c r="CJJ1" s="154" t="str">
        <f t="shared" si="35"/>
        <v>y</v>
      </c>
      <c r="CJK1" s="154" t="str">
        <f t="shared" si="35"/>
        <v>y</v>
      </c>
      <c r="CJL1" s="154" t="str">
        <f t="shared" si="35"/>
        <v>y</v>
      </c>
      <c r="CJM1" s="154" t="str">
        <f t="shared" si="35"/>
        <v>y</v>
      </c>
      <c r="CJN1" s="154" t="str">
        <f t="shared" si="35"/>
        <v>y</v>
      </c>
      <c r="CJO1" s="154" t="str">
        <f t="shared" si="35"/>
        <v>y</v>
      </c>
      <c r="CJP1" s="154" t="str">
        <f t="shared" si="35"/>
        <v>y</v>
      </c>
      <c r="CJQ1" s="154" t="str">
        <f t="shared" si="35"/>
        <v>y</v>
      </c>
      <c r="CJR1" s="154" t="str">
        <f t="shared" si="35"/>
        <v>y</v>
      </c>
      <c r="CJS1" s="154" t="str">
        <f t="shared" si="35"/>
        <v>y</v>
      </c>
      <c r="CJT1" s="154" t="str">
        <f t="shared" ref="CJT1:CME1" si="36">CJT2&amp;"y"</f>
        <v>y</v>
      </c>
      <c r="CJU1" s="154" t="str">
        <f t="shared" si="36"/>
        <v>y</v>
      </c>
      <c r="CJV1" s="154" t="str">
        <f t="shared" si="36"/>
        <v>y</v>
      </c>
      <c r="CJW1" s="154" t="str">
        <f t="shared" si="36"/>
        <v>y</v>
      </c>
      <c r="CJX1" s="154" t="str">
        <f t="shared" si="36"/>
        <v>y</v>
      </c>
      <c r="CJY1" s="154" t="str">
        <f t="shared" si="36"/>
        <v>y</v>
      </c>
      <c r="CJZ1" s="154" t="str">
        <f t="shared" si="36"/>
        <v>y</v>
      </c>
      <c r="CKA1" s="154" t="str">
        <f t="shared" si="36"/>
        <v>y</v>
      </c>
      <c r="CKB1" s="154" t="str">
        <f t="shared" si="36"/>
        <v>y</v>
      </c>
      <c r="CKC1" s="154" t="str">
        <f t="shared" si="36"/>
        <v>y</v>
      </c>
      <c r="CKD1" s="154" t="str">
        <f t="shared" si="36"/>
        <v>y</v>
      </c>
      <c r="CKE1" s="154" t="str">
        <f t="shared" si="36"/>
        <v>y</v>
      </c>
      <c r="CKF1" s="154" t="str">
        <f t="shared" si="36"/>
        <v>y</v>
      </c>
      <c r="CKG1" s="154" t="str">
        <f t="shared" si="36"/>
        <v>y</v>
      </c>
      <c r="CKH1" s="154" t="str">
        <f t="shared" si="36"/>
        <v>y</v>
      </c>
      <c r="CKI1" s="154" t="str">
        <f t="shared" si="36"/>
        <v>y</v>
      </c>
      <c r="CKJ1" s="154" t="str">
        <f t="shared" si="36"/>
        <v>y</v>
      </c>
      <c r="CKK1" s="154" t="str">
        <f t="shared" si="36"/>
        <v>y</v>
      </c>
      <c r="CKL1" s="154" t="str">
        <f t="shared" si="36"/>
        <v>y</v>
      </c>
      <c r="CKM1" s="154" t="str">
        <f t="shared" si="36"/>
        <v>y</v>
      </c>
      <c r="CKN1" s="154" t="str">
        <f t="shared" si="36"/>
        <v>y</v>
      </c>
      <c r="CKO1" s="154" t="str">
        <f t="shared" si="36"/>
        <v>y</v>
      </c>
      <c r="CKP1" s="154" t="str">
        <f t="shared" si="36"/>
        <v>y</v>
      </c>
      <c r="CKQ1" s="154" t="str">
        <f t="shared" si="36"/>
        <v>y</v>
      </c>
      <c r="CKR1" s="154" t="str">
        <f t="shared" si="36"/>
        <v>y</v>
      </c>
      <c r="CKS1" s="154" t="str">
        <f t="shared" si="36"/>
        <v>y</v>
      </c>
      <c r="CKT1" s="154" t="str">
        <f t="shared" si="36"/>
        <v>y</v>
      </c>
      <c r="CKU1" s="154" t="str">
        <f t="shared" si="36"/>
        <v>y</v>
      </c>
      <c r="CKV1" s="154" t="str">
        <f t="shared" si="36"/>
        <v>y</v>
      </c>
      <c r="CKW1" s="154" t="str">
        <f t="shared" si="36"/>
        <v>y</v>
      </c>
      <c r="CKX1" s="154" t="str">
        <f t="shared" si="36"/>
        <v>y</v>
      </c>
      <c r="CKY1" s="154" t="str">
        <f t="shared" si="36"/>
        <v>y</v>
      </c>
      <c r="CKZ1" s="154" t="str">
        <f t="shared" si="36"/>
        <v>y</v>
      </c>
      <c r="CLA1" s="154" t="str">
        <f t="shared" si="36"/>
        <v>y</v>
      </c>
      <c r="CLB1" s="154" t="str">
        <f t="shared" si="36"/>
        <v>y</v>
      </c>
      <c r="CLC1" s="154" t="str">
        <f t="shared" si="36"/>
        <v>y</v>
      </c>
      <c r="CLD1" s="154" t="str">
        <f t="shared" si="36"/>
        <v>y</v>
      </c>
      <c r="CLE1" s="154" t="str">
        <f t="shared" si="36"/>
        <v>y</v>
      </c>
      <c r="CLF1" s="154" t="str">
        <f t="shared" si="36"/>
        <v>y</v>
      </c>
      <c r="CLG1" s="154" t="str">
        <f t="shared" si="36"/>
        <v>y</v>
      </c>
      <c r="CLH1" s="154" t="str">
        <f t="shared" si="36"/>
        <v>y</v>
      </c>
      <c r="CLI1" s="154" t="str">
        <f t="shared" si="36"/>
        <v>y</v>
      </c>
      <c r="CLJ1" s="154" t="str">
        <f t="shared" si="36"/>
        <v>y</v>
      </c>
      <c r="CLK1" s="154" t="str">
        <f t="shared" si="36"/>
        <v>y</v>
      </c>
      <c r="CLL1" s="154" t="str">
        <f t="shared" si="36"/>
        <v>y</v>
      </c>
      <c r="CLM1" s="154" t="str">
        <f t="shared" si="36"/>
        <v>y</v>
      </c>
      <c r="CLN1" s="154" t="str">
        <f t="shared" si="36"/>
        <v>y</v>
      </c>
      <c r="CLO1" s="154" t="str">
        <f t="shared" si="36"/>
        <v>y</v>
      </c>
      <c r="CLP1" s="154" t="str">
        <f t="shared" si="36"/>
        <v>y</v>
      </c>
      <c r="CLQ1" s="154" t="str">
        <f t="shared" si="36"/>
        <v>y</v>
      </c>
      <c r="CLR1" s="154" t="str">
        <f t="shared" si="36"/>
        <v>y</v>
      </c>
      <c r="CLS1" s="154" t="str">
        <f t="shared" si="36"/>
        <v>y</v>
      </c>
      <c r="CLT1" s="154" t="str">
        <f t="shared" si="36"/>
        <v>y</v>
      </c>
      <c r="CLU1" s="154" t="str">
        <f t="shared" si="36"/>
        <v>y</v>
      </c>
      <c r="CLV1" s="154" t="str">
        <f t="shared" si="36"/>
        <v>y</v>
      </c>
      <c r="CLW1" s="154" t="str">
        <f t="shared" si="36"/>
        <v>y</v>
      </c>
      <c r="CLX1" s="154" t="str">
        <f t="shared" si="36"/>
        <v>y</v>
      </c>
      <c r="CLY1" s="154" t="str">
        <f t="shared" si="36"/>
        <v>y</v>
      </c>
      <c r="CLZ1" s="154" t="str">
        <f t="shared" si="36"/>
        <v>y</v>
      </c>
      <c r="CMA1" s="154" t="str">
        <f t="shared" si="36"/>
        <v>y</v>
      </c>
      <c r="CMB1" s="154" t="str">
        <f t="shared" si="36"/>
        <v>y</v>
      </c>
      <c r="CMC1" s="154" t="str">
        <f t="shared" si="36"/>
        <v>y</v>
      </c>
      <c r="CMD1" s="154" t="str">
        <f t="shared" si="36"/>
        <v>y</v>
      </c>
      <c r="CME1" s="154" t="str">
        <f t="shared" si="36"/>
        <v>y</v>
      </c>
      <c r="CMF1" s="154" t="str">
        <f t="shared" ref="CMF1:COQ1" si="37">CMF2&amp;"y"</f>
        <v>y</v>
      </c>
      <c r="CMG1" s="154" t="str">
        <f t="shared" si="37"/>
        <v>y</v>
      </c>
      <c r="CMH1" s="154" t="str">
        <f t="shared" si="37"/>
        <v>y</v>
      </c>
      <c r="CMI1" s="154" t="str">
        <f t="shared" si="37"/>
        <v>y</v>
      </c>
      <c r="CMJ1" s="154" t="str">
        <f t="shared" si="37"/>
        <v>y</v>
      </c>
      <c r="CMK1" s="154" t="str">
        <f t="shared" si="37"/>
        <v>y</v>
      </c>
      <c r="CML1" s="154" t="str">
        <f t="shared" si="37"/>
        <v>y</v>
      </c>
      <c r="CMM1" s="154" t="str">
        <f t="shared" si="37"/>
        <v>y</v>
      </c>
      <c r="CMN1" s="154" t="str">
        <f t="shared" si="37"/>
        <v>y</v>
      </c>
      <c r="CMO1" s="154" t="str">
        <f t="shared" si="37"/>
        <v>y</v>
      </c>
      <c r="CMP1" s="154" t="str">
        <f t="shared" si="37"/>
        <v>y</v>
      </c>
      <c r="CMQ1" s="154" t="str">
        <f t="shared" si="37"/>
        <v>y</v>
      </c>
      <c r="CMR1" s="154" t="str">
        <f t="shared" si="37"/>
        <v>y</v>
      </c>
      <c r="CMS1" s="154" t="str">
        <f t="shared" si="37"/>
        <v>y</v>
      </c>
      <c r="CMT1" s="154" t="str">
        <f t="shared" si="37"/>
        <v>y</v>
      </c>
      <c r="CMU1" s="154" t="str">
        <f t="shared" si="37"/>
        <v>y</v>
      </c>
      <c r="CMV1" s="154" t="str">
        <f t="shared" si="37"/>
        <v>y</v>
      </c>
      <c r="CMW1" s="154" t="str">
        <f t="shared" si="37"/>
        <v>y</v>
      </c>
      <c r="CMX1" s="154" t="str">
        <f t="shared" si="37"/>
        <v>y</v>
      </c>
      <c r="CMY1" s="154" t="str">
        <f t="shared" si="37"/>
        <v>y</v>
      </c>
      <c r="CMZ1" s="154" t="str">
        <f t="shared" si="37"/>
        <v>y</v>
      </c>
      <c r="CNA1" s="154" t="str">
        <f t="shared" si="37"/>
        <v>y</v>
      </c>
      <c r="CNB1" s="154" t="str">
        <f t="shared" si="37"/>
        <v>y</v>
      </c>
      <c r="CNC1" s="154" t="str">
        <f t="shared" si="37"/>
        <v>y</v>
      </c>
      <c r="CND1" s="154" t="str">
        <f t="shared" si="37"/>
        <v>y</v>
      </c>
      <c r="CNE1" s="154" t="str">
        <f t="shared" si="37"/>
        <v>y</v>
      </c>
      <c r="CNF1" s="154" t="str">
        <f t="shared" si="37"/>
        <v>y</v>
      </c>
      <c r="CNG1" s="154" t="str">
        <f t="shared" si="37"/>
        <v>y</v>
      </c>
      <c r="CNH1" s="154" t="str">
        <f t="shared" si="37"/>
        <v>y</v>
      </c>
      <c r="CNI1" s="154" t="str">
        <f t="shared" si="37"/>
        <v>y</v>
      </c>
      <c r="CNJ1" s="154" t="str">
        <f t="shared" si="37"/>
        <v>y</v>
      </c>
      <c r="CNK1" s="154" t="str">
        <f t="shared" si="37"/>
        <v>y</v>
      </c>
      <c r="CNL1" s="154" t="str">
        <f t="shared" si="37"/>
        <v>y</v>
      </c>
      <c r="CNM1" s="154" t="str">
        <f t="shared" si="37"/>
        <v>y</v>
      </c>
      <c r="CNN1" s="154" t="str">
        <f t="shared" si="37"/>
        <v>y</v>
      </c>
      <c r="CNO1" s="154" t="str">
        <f t="shared" si="37"/>
        <v>y</v>
      </c>
      <c r="CNP1" s="154" t="str">
        <f t="shared" si="37"/>
        <v>y</v>
      </c>
      <c r="CNQ1" s="154" t="str">
        <f t="shared" si="37"/>
        <v>y</v>
      </c>
      <c r="CNR1" s="154" t="str">
        <f t="shared" si="37"/>
        <v>y</v>
      </c>
      <c r="CNS1" s="154" t="str">
        <f t="shared" si="37"/>
        <v>y</v>
      </c>
      <c r="CNT1" s="154" t="str">
        <f t="shared" si="37"/>
        <v>y</v>
      </c>
      <c r="CNU1" s="154" t="str">
        <f t="shared" si="37"/>
        <v>y</v>
      </c>
      <c r="CNV1" s="154" t="str">
        <f t="shared" si="37"/>
        <v>y</v>
      </c>
      <c r="CNW1" s="154" t="str">
        <f t="shared" si="37"/>
        <v>y</v>
      </c>
      <c r="CNX1" s="154" t="str">
        <f t="shared" si="37"/>
        <v>y</v>
      </c>
      <c r="CNY1" s="154" t="str">
        <f t="shared" si="37"/>
        <v>y</v>
      </c>
      <c r="CNZ1" s="154" t="str">
        <f t="shared" si="37"/>
        <v>y</v>
      </c>
      <c r="COA1" s="154" t="str">
        <f t="shared" si="37"/>
        <v>y</v>
      </c>
      <c r="COB1" s="154" t="str">
        <f t="shared" si="37"/>
        <v>y</v>
      </c>
      <c r="COC1" s="154" t="str">
        <f t="shared" si="37"/>
        <v>y</v>
      </c>
      <c r="COD1" s="154" t="str">
        <f t="shared" si="37"/>
        <v>y</v>
      </c>
      <c r="COE1" s="154" t="str">
        <f t="shared" si="37"/>
        <v>y</v>
      </c>
      <c r="COF1" s="154" t="str">
        <f t="shared" si="37"/>
        <v>y</v>
      </c>
      <c r="COG1" s="154" t="str">
        <f t="shared" si="37"/>
        <v>y</v>
      </c>
      <c r="COH1" s="154" t="str">
        <f t="shared" si="37"/>
        <v>y</v>
      </c>
      <c r="COI1" s="154" t="str">
        <f t="shared" si="37"/>
        <v>y</v>
      </c>
      <c r="COJ1" s="154" t="str">
        <f t="shared" si="37"/>
        <v>y</v>
      </c>
      <c r="COK1" s="154" t="str">
        <f t="shared" si="37"/>
        <v>y</v>
      </c>
      <c r="COL1" s="154" t="str">
        <f t="shared" si="37"/>
        <v>y</v>
      </c>
      <c r="COM1" s="154" t="str">
        <f t="shared" si="37"/>
        <v>y</v>
      </c>
      <c r="CON1" s="154" t="str">
        <f t="shared" si="37"/>
        <v>y</v>
      </c>
      <c r="COO1" s="154" t="str">
        <f t="shared" si="37"/>
        <v>y</v>
      </c>
      <c r="COP1" s="154" t="str">
        <f t="shared" si="37"/>
        <v>y</v>
      </c>
      <c r="COQ1" s="154" t="str">
        <f t="shared" si="37"/>
        <v>y</v>
      </c>
      <c r="COR1" s="154" t="str">
        <f t="shared" ref="COR1:CRC1" si="38">COR2&amp;"y"</f>
        <v>y</v>
      </c>
      <c r="COS1" s="154" t="str">
        <f t="shared" si="38"/>
        <v>y</v>
      </c>
      <c r="COT1" s="154" t="str">
        <f t="shared" si="38"/>
        <v>y</v>
      </c>
      <c r="COU1" s="154" t="str">
        <f t="shared" si="38"/>
        <v>y</v>
      </c>
      <c r="COV1" s="154" t="str">
        <f t="shared" si="38"/>
        <v>y</v>
      </c>
      <c r="COW1" s="154" t="str">
        <f t="shared" si="38"/>
        <v>y</v>
      </c>
      <c r="COX1" s="154" t="str">
        <f t="shared" si="38"/>
        <v>y</v>
      </c>
      <c r="COY1" s="154" t="str">
        <f t="shared" si="38"/>
        <v>y</v>
      </c>
      <c r="COZ1" s="154" t="str">
        <f t="shared" si="38"/>
        <v>y</v>
      </c>
      <c r="CPA1" s="154" t="str">
        <f t="shared" si="38"/>
        <v>y</v>
      </c>
      <c r="CPB1" s="154" t="str">
        <f t="shared" si="38"/>
        <v>y</v>
      </c>
      <c r="CPC1" s="154" t="str">
        <f t="shared" si="38"/>
        <v>y</v>
      </c>
      <c r="CPD1" s="154" t="str">
        <f t="shared" si="38"/>
        <v>y</v>
      </c>
      <c r="CPE1" s="154" t="str">
        <f t="shared" si="38"/>
        <v>y</v>
      </c>
      <c r="CPF1" s="154" t="str">
        <f t="shared" si="38"/>
        <v>y</v>
      </c>
      <c r="CPG1" s="154" t="str">
        <f t="shared" si="38"/>
        <v>y</v>
      </c>
      <c r="CPH1" s="154" t="str">
        <f t="shared" si="38"/>
        <v>y</v>
      </c>
      <c r="CPI1" s="154" t="str">
        <f t="shared" si="38"/>
        <v>y</v>
      </c>
      <c r="CPJ1" s="154" t="str">
        <f t="shared" si="38"/>
        <v>y</v>
      </c>
      <c r="CPK1" s="154" t="str">
        <f t="shared" si="38"/>
        <v>y</v>
      </c>
      <c r="CPL1" s="154" t="str">
        <f t="shared" si="38"/>
        <v>y</v>
      </c>
      <c r="CPM1" s="154" t="str">
        <f t="shared" si="38"/>
        <v>y</v>
      </c>
      <c r="CPN1" s="154" t="str">
        <f t="shared" si="38"/>
        <v>y</v>
      </c>
      <c r="CPO1" s="154" t="str">
        <f t="shared" si="38"/>
        <v>y</v>
      </c>
      <c r="CPP1" s="154" t="str">
        <f t="shared" si="38"/>
        <v>y</v>
      </c>
      <c r="CPQ1" s="154" t="str">
        <f t="shared" si="38"/>
        <v>y</v>
      </c>
      <c r="CPR1" s="154" t="str">
        <f t="shared" si="38"/>
        <v>y</v>
      </c>
      <c r="CPS1" s="154" t="str">
        <f t="shared" si="38"/>
        <v>y</v>
      </c>
      <c r="CPT1" s="154" t="str">
        <f t="shared" si="38"/>
        <v>y</v>
      </c>
      <c r="CPU1" s="154" t="str">
        <f t="shared" si="38"/>
        <v>y</v>
      </c>
      <c r="CPV1" s="154" t="str">
        <f t="shared" si="38"/>
        <v>y</v>
      </c>
      <c r="CPW1" s="154" t="str">
        <f t="shared" si="38"/>
        <v>y</v>
      </c>
      <c r="CPX1" s="154" t="str">
        <f t="shared" si="38"/>
        <v>y</v>
      </c>
      <c r="CPY1" s="154" t="str">
        <f t="shared" si="38"/>
        <v>y</v>
      </c>
      <c r="CPZ1" s="154" t="str">
        <f t="shared" si="38"/>
        <v>y</v>
      </c>
      <c r="CQA1" s="154" t="str">
        <f t="shared" si="38"/>
        <v>y</v>
      </c>
      <c r="CQB1" s="154" t="str">
        <f t="shared" si="38"/>
        <v>y</v>
      </c>
      <c r="CQC1" s="154" t="str">
        <f t="shared" si="38"/>
        <v>y</v>
      </c>
      <c r="CQD1" s="154" t="str">
        <f t="shared" si="38"/>
        <v>y</v>
      </c>
      <c r="CQE1" s="154" t="str">
        <f t="shared" si="38"/>
        <v>y</v>
      </c>
      <c r="CQF1" s="154" t="str">
        <f t="shared" si="38"/>
        <v>y</v>
      </c>
      <c r="CQG1" s="154" t="str">
        <f t="shared" si="38"/>
        <v>y</v>
      </c>
      <c r="CQH1" s="154" t="str">
        <f t="shared" si="38"/>
        <v>y</v>
      </c>
      <c r="CQI1" s="154" t="str">
        <f t="shared" si="38"/>
        <v>y</v>
      </c>
      <c r="CQJ1" s="154" t="str">
        <f t="shared" si="38"/>
        <v>y</v>
      </c>
      <c r="CQK1" s="154" t="str">
        <f t="shared" si="38"/>
        <v>y</v>
      </c>
      <c r="CQL1" s="154" t="str">
        <f t="shared" si="38"/>
        <v>y</v>
      </c>
      <c r="CQM1" s="154" t="str">
        <f t="shared" si="38"/>
        <v>y</v>
      </c>
      <c r="CQN1" s="154" t="str">
        <f t="shared" si="38"/>
        <v>y</v>
      </c>
      <c r="CQO1" s="154" t="str">
        <f t="shared" si="38"/>
        <v>y</v>
      </c>
      <c r="CQP1" s="154" t="str">
        <f t="shared" si="38"/>
        <v>y</v>
      </c>
      <c r="CQQ1" s="154" t="str">
        <f t="shared" si="38"/>
        <v>y</v>
      </c>
      <c r="CQR1" s="154" t="str">
        <f t="shared" si="38"/>
        <v>y</v>
      </c>
      <c r="CQS1" s="154" t="str">
        <f t="shared" si="38"/>
        <v>y</v>
      </c>
      <c r="CQT1" s="154" t="str">
        <f t="shared" si="38"/>
        <v>y</v>
      </c>
      <c r="CQU1" s="154" t="str">
        <f t="shared" si="38"/>
        <v>y</v>
      </c>
      <c r="CQV1" s="154" t="str">
        <f t="shared" si="38"/>
        <v>y</v>
      </c>
      <c r="CQW1" s="154" t="str">
        <f t="shared" si="38"/>
        <v>y</v>
      </c>
      <c r="CQX1" s="154" t="str">
        <f t="shared" si="38"/>
        <v>y</v>
      </c>
      <c r="CQY1" s="154" t="str">
        <f t="shared" si="38"/>
        <v>y</v>
      </c>
      <c r="CQZ1" s="154" t="str">
        <f t="shared" si="38"/>
        <v>y</v>
      </c>
      <c r="CRA1" s="154" t="str">
        <f t="shared" si="38"/>
        <v>y</v>
      </c>
      <c r="CRB1" s="154" t="str">
        <f t="shared" si="38"/>
        <v>y</v>
      </c>
      <c r="CRC1" s="154" t="str">
        <f t="shared" si="38"/>
        <v>y</v>
      </c>
      <c r="CRD1" s="154" t="str">
        <f t="shared" ref="CRD1:CTO1" si="39">CRD2&amp;"y"</f>
        <v>y</v>
      </c>
      <c r="CRE1" s="154" t="str">
        <f t="shared" si="39"/>
        <v>y</v>
      </c>
      <c r="CRF1" s="154" t="str">
        <f t="shared" si="39"/>
        <v>y</v>
      </c>
      <c r="CRG1" s="154" t="str">
        <f t="shared" si="39"/>
        <v>y</v>
      </c>
      <c r="CRH1" s="154" t="str">
        <f t="shared" si="39"/>
        <v>y</v>
      </c>
      <c r="CRI1" s="154" t="str">
        <f t="shared" si="39"/>
        <v>y</v>
      </c>
      <c r="CRJ1" s="154" t="str">
        <f t="shared" si="39"/>
        <v>y</v>
      </c>
      <c r="CRK1" s="154" t="str">
        <f t="shared" si="39"/>
        <v>y</v>
      </c>
      <c r="CRL1" s="154" t="str">
        <f t="shared" si="39"/>
        <v>y</v>
      </c>
      <c r="CRM1" s="154" t="str">
        <f t="shared" si="39"/>
        <v>y</v>
      </c>
      <c r="CRN1" s="154" t="str">
        <f t="shared" si="39"/>
        <v>y</v>
      </c>
      <c r="CRO1" s="154" t="str">
        <f t="shared" si="39"/>
        <v>y</v>
      </c>
      <c r="CRP1" s="154" t="str">
        <f t="shared" si="39"/>
        <v>y</v>
      </c>
      <c r="CRQ1" s="154" t="str">
        <f t="shared" si="39"/>
        <v>y</v>
      </c>
      <c r="CRR1" s="154" t="str">
        <f t="shared" si="39"/>
        <v>y</v>
      </c>
      <c r="CRS1" s="154" t="str">
        <f t="shared" si="39"/>
        <v>y</v>
      </c>
      <c r="CRT1" s="154" t="str">
        <f t="shared" si="39"/>
        <v>y</v>
      </c>
      <c r="CRU1" s="154" t="str">
        <f t="shared" si="39"/>
        <v>y</v>
      </c>
      <c r="CRV1" s="154" t="str">
        <f t="shared" si="39"/>
        <v>y</v>
      </c>
      <c r="CRW1" s="154" t="str">
        <f t="shared" si="39"/>
        <v>y</v>
      </c>
      <c r="CRX1" s="154" t="str">
        <f t="shared" si="39"/>
        <v>y</v>
      </c>
      <c r="CRY1" s="154" t="str">
        <f t="shared" si="39"/>
        <v>y</v>
      </c>
      <c r="CRZ1" s="154" t="str">
        <f t="shared" si="39"/>
        <v>y</v>
      </c>
      <c r="CSA1" s="154" t="str">
        <f t="shared" si="39"/>
        <v>y</v>
      </c>
      <c r="CSB1" s="154" t="str">
        <f t="shared" si="39"/>
        <v>y</v>
      </c>
      <c r="CSC1" s="154" t="str">
        <f t="shared" si="39"/>
        <v>y</v>
      </c>
      <c r="CSD1" s="154" t="str">
        <f t="shared" si="39"/>
        <v>y</v>
      </c>
      <c r="CSE1" s="154" t="str">
        <f t="shared" si="39"/>
        <v>y</v>
      </c>
      <c r="CSF1" s="154" t="str">
        <f t="shared" si="39"/>
        <v>y</v>
      </c>
      <c r="CSG1" s="154" t="str">
        <f t="shared" si="39"/>
        <v>y</v>
      </c>
      <c r="CSH1" s="154" t="str">
        <f t="shared" si="39"/>
        <v>y</v>
      </c>
      <c r="CSI1" s="154" t="str">
        <f t="shared" si="39"/>
        <v>y</v>
      </c>
      <c r="CSJ1" s="154" t="str">
        <f t="shared" si="39"/>
        <v>y</v>
      </c>
      <c r="CSK1" s="154" t="str">
        <f t="shared" si="39"/>
        <v>y</v>
      </c>
      <c r="CSL1" s="154" t="str">
        <f t="shared" si="39"/>
        <v>y</v>
      </c>
      <c r="CSM1" s="154" t="str">
        <f t="shared" si="39"/>
        <v>y</v>
      </c>
      <c r="CSN1" s="154" t="str">
        <f t="shared" si="39"/>
        <v>y</v>
      </c>
      <c r="CSO1" s="154" t="str">
        <f t="shared" si="39"/>
        <v>y</v>
      </c>
      <c r="CSP1" s="154" t="str">
        <f t="shared" si="39"/>
        <v>y</v>
      </c>
      <c r="CSQ1" s="154" t="str">
        <f t="shared" si="39"/>
        <v>y</v>
      </c>
      <c r="CSR1" s="154" t="str">
        <f t="shared" si="39"/>
        <v>y</v>
      </c>
      <c r="CSS1" s="154" t="str">
        <f t="shared" si="39"/>
        <v>y</v>
      </c>
      <c r="CST1" s="154" t="str">
        <f t="shared" si="39"/>
        <v>y</v>
      </c>
      <c r="CSU1" s="154" t="str">
        <f t="shared" si="39"/>
        <v>y</v>
      </c>
      <c r="CSV1" s="154" t="str">
        <f t="shared" si="39"/>
        <v>y</v>
      </c>
      <c r="CSW1" s="154" t="str">
        <f t="shared" si="39"/>
        <v>y</v>
      </c>
      <c r="CSX1" s="154" t="str">
        <f t="shared" si="39"/>
        <v>y</v>
      </c>
      <c r="CSY1" s="154" t="str">
        <f t="shared" si="39"/>
        <v>y</v>
      </c>
      <c r="CSZ1" s="154" t="str">
        <f t="shared" si="39"/>
        <v>y</v>
      </c>
      <c r="CTA1" s="154" t="str">
        <f t="shared" si="39"/>
        <v>y</v>
      </c>
      <c r="CTB1" s="154" t="str">
        <f t="shared" si="39"/>
        <v>y</v>
      </c>
      <c r="CTC1" s="154" t="str">
        <f t="shared" si="39"/>
        <v>y</v>
      </c>
      <c r="CTD1" s="154" t="str">
        <f t="shared" si="39"/>
        <v>y</v>
      </c>
      <c r="CTE1" s="154" t="str">
        <f t="shared" si="39"/>
        <v>y</v>
      </c>
      <c r="CTF1" s="154" t="str">
        <f t="shared" si="39"/>
        <v>y</v>
      </c>
      <c r="CTG1" s="154" t="str">
        <f t="shared" si="39"/>
        <v>y</v>
      </c>
      <c r="CTH1" s="154" t="str">
        <f t="shared" si="39"/>
        <v>y</v>
      </c>
      <c r="CTI1" s="154" t="str">
        <f t="shared" si="39"/>
        <v>y</v>
      </c>
      <c r="CTJ1" s="154" t="str">
        <f t="shared" si="39"/>
        <v>y</v>
      </c>
      <c r="CTK1" s="154" t="str">
        <f t="shared" si="39"/>
        <v>y</v>
      </c>
      <c r="CTL1" s="154" t="str">
        <f t="shared" si="39"/>
        <v>y</v>
      </c>
      <c r="CTM1" s="154" t="str">
        <f t="shared" si="39"/>
        <v>y</v>
      </c>
      <c r="CTN1" s="154" t="str">
        <f t="shared" si="39"/>
        <v>y</v>
      </c>
      <c r="CTO1" s="154" t="str">
        <f t="shared" si="39"/>
        <v>y</v>
      </c>
      <c r="CTP1" s="154" t="str">
        <f t="shared" ref="CTP1:CWA1" si="40">CTP2&amp;"y"</f>
        <v>y</v>
      </c>
      <c r="CTQ1" s="154" t="str">
        <f t="shared" si="40"/>
        <v>y</v>
      </c>
      <c r="CTR1" s="154" t="str">
        <f t="shared" si="40"/>
        <v>y</v>
      </c>
      <c r="CTS1" s="154" t="str">
        <f t="shared" si="40"/>
        <v>y</v>
      </c>
      <c r="CTT1" s="154" t="str">
        <f t="shared" si="40"/>
        <v>y</v>
      </c>
      <c r="CTU1" s="154" t="str">
        <f t="shared" si="40"/>
        <v>y</v>
      </c>
      <c r="CTV1" s="154" t="str">
        <f t="shared" si="40"/>
        <v>y</v>
      </c>
      <c r="CTW1" s="154" t="str">
        <f t="shared" si="40"/>
        <v>y</v>
      </c>
      <c r="CTX1" s="154" t="str">
        <f t="shared" si="40"/>
        <v>y</v>
      </c>
      <c r="CTY1" s="154" t="str">
        <f t="shared" si="40"/>
        <v>y</v>
      </c>
      <c r="CTZ1" s="154" t="str">
        <f t="shared" si="40"/>
        <v>y</v>
      </c>
      <c r="CUA1" s="154" t="str">
        <f t="shared" si="40"/>
        <v>y</v>
      </c>
      <c r="CUB1" s="154" t="str">
        <f t="shared" si="40"/>
        <v>y</v>
      </c>
      <c r="CUC1" s="154" t="str">
        <f t="shared" si="40"/>
        <v>y</v>
      </c>
      <c r="CUD1" s="154" t="str">
        <f t="shared" si="40"/>
        <v>y</v>
      </c>
      <c r="CUE1" s="154" t="str">
        <f t="shared" si="40"/>
        <v>y</v>
      </c>
      <c r="CUF1" s="154" t="str">
        <f t="shared" si="40"/>
        <v>y</v>
      </c>
      <c r="CUG1" s="154" t="str">
        <f t="shared" si="40"/>
        <v>y</v>
      </c>
      <c r="CUH1" s="154" t="str">
        <f t="shared" si="40"/>
        <v>y</v>
      </c>
      <c r="CUI1" s="154" t="str">
        <f t="shared" si="40"/>
        <v>y</v>
      </c>
      <c r="CUJ1" s="154" t="str">
        <f t="shared" si="40"/>
        <v>y</v>
      </c>
      <c r="CUK1" s="154" t="str">
        <f t="shared" si="40"/>
        <v>y</v>
      </c>
      <c r="CUL1" s="154" t="str">
        <f t="shared" si="40"/>
        <v>y</v>
      </c>
      <c r="CUM1" s="154" t="str">
        <f t="shared" si="40"/>
        <v>y</v>
      </c>
      <c r="CUN1" s="154" t="str">
        <f t="shared" si="40"/>
        <v>y</v>
      </c>
      <c r="CUO1" s="154" t="str">
        <f t="shared" si="40"/>
        <v>y</v>
      </c>
      <c r="CUP1" s="154" t="str">
        <f t="shared" si="40"/>
        <v>y</v>
      </c>
      <c r="CUQ1" s="154" t="str">
        <f t="shared" si="40"/>
        <v>y</v>
      </c>
      <c r="CUR1" s="154" t="str">
        <f t="shared" si="40"/>
        <v>y</v>
      </c>
      <c r="CUS1" s="154" t="str">
        <f t="shared" si="40"/>
        <v>y</v>
      </c>
      <c r="CUT1" s="154" t="str">
        <f t="shared" si="40"/>
        <v>y</v>
      </c>
      <c r="CUU1" s="154" t="str">
        <f t="shared" si="40"/>
        <v>y</v>
      </c>
      <c r="CUV1" s="154" t="str">
        <f t="shared" si="40"/>
        <v>y</v>
      </c>
      <c r="CUW1" s="154" t="str">
        <f t="shared" si="40"/>
        <v>y</v>
      </c>
      <c r="CUX1" s="154" t="str">
        <f t="shared" si="40"/>
        <v>y</v>
      </c>
      <c r="CUY1" s="154" t="str">
        <f t="shared" si="40"/>
        <v>y</v>
      </c>
      <c r="CUZ1" s="154" t="str">
        <f t="shared" si="40"/>
        <v>y</v>
      </c>
      <c r="CVA1" s="154" t="str">
        <f t="shared" si="40"/>
        <v>y</v>
      </c>
      <c r="CVB1" s="154" t="str">
        <f t="shared" si="40"/>
        <v>y</v>
      </c>
      <c r="CVC1" s="154" t="str">
        <f t="shared" si="40"/>
        <v>y</v>
      </c>
      <c r="CVD1" s="154" t="str">
        <f t="shared" si="40"/>
        <v>y</v>
      </c>
      <c r="CVE1" s="154" t="str">
        <f t="shared" si="40"/>
        <v>y</v>
      </c>
      <c r="CVF1" s="154" t="str">
        <f t="shared" si="40"/>
        <v>y</v>
      </c>
      <c r="CVG1" s="154" t="str">
        <f t="shared" si="40"/>
        <v>y</v>
      </c>
      <c r="CVH1" s="154" t="str">
        <f t="shared" si="40"/>
        <v>y</v>
      </c>
      <c r="CVI1" s="154" t="str">
        <f t="shared" si="40"/>
        <v>y</v>
      </c>
      <c r="CVJ1" s="154" t="str">
        <f t="shared" si="40"/>
        <v>y</v>
      </c>
      <c r="CVK1" s="154" t="str">
        <f t="shared" si="40"/>
        <v>y</v>
      </c>
      <c r="CVL1" s="154" t="str">
        <f t="shared" si="40"/>
        <v>y</v>
      </c>
      <c r="CVM1" s="154" t="str">
        <f t="shared" si="40"/>
        <v>y</v>
      </c>
      <c r="CVN1" s="154" t="str">
        <f t="shared" si="40"/>
        <v>y</v>
      </c>
      <c r="CVO1" s="154" t="str">
        <f t="shared" si="40"/>
        <v>y</v>
      </c>
      <c r="CVP1" s="154" t="str">
        <f t="shared" si="40"/>
        <v>y</v>
      </c>
      <c r="CVQ1" s="154" t="str">
        <f t="shared" si="40"/>
        <v>y</v>
      </c>
      <c r="CVR1" s="154" t="str">
        <f t="shared" si="40"/>
        <v>y</v>
      </c>
      <c r="CVS1" s="154" t="str">
        <f t="shared" si="40"/>
        <v>y</v>
      </c>
      <c r="CVT1" s="154" t="str">
        <f t="shared" si="40"/>
        <v>y</v>
      </c>
      <c r="CVU1" s="154" t="str">
        <f t="shared" si="40"/>
        <v>y</v>
      </c>
      <c r="CVV1" s="154" t="str">
        <f t="shared" si="40"/>
        <v>y</v>
      </c>
      <c r="CVW1" s="154" t="str">
        <f t="shared" si="40"/>
        <v>y</v>
      </c>
      <c r="CVX1" s="154" t="str">
        <f t="shared" si="40"/>
        <v>y</v>
      </c>
      <c r="CVY1" s="154" t="str">
        <f t="shared" si="40"/>
        <v>y</v>
      </c>
      <c r="CVZ1" s="154" t="str">
        <f t="shared" si="40"/>
        <v>y</v>
      </c>
      <c r="CWA1" s="154" t="str">
        <f t="shared" si="40"/>
        <v>y</v>
      </c>
      <c r="CWB1" s="154" t="str">
        <f t="shared" ref="CWB1:CYM1" si="41">CWB2&amp;"y"</f>
        <v>y</v>
      </c>
      <c r="CWC1" s="154" t="str">
        <f t="shared" si="41"/>
        <v>y</v>
      </c>
      <c r="CWD1" s="154" t="str">
        <f t="shared" si="41"/>
        <v>y</v>
      </c>
      <c r="CWE1" s="154" t="str">
        <f t="shared" si="41"/>
        <v>y</v>
      </c>
      <c r="CWF1" s="154" t="str">
        <f t="shared" si="41"/>
        <v>y</v>
      </c>
      <c r="CWG1" s="154" t="str">
        <f t="shared" si="41"/>
        <v>y</v>
      </c>
      <c r="CWH1" s="154" t="str">
        <f t="shared" si="41"/>
        <v>y</v>
      </c>
      <c r="CWI1" s="154" t="str">
        <f t="shared" si="41"/>
        <v>y</v>
      </c>
      <c r="CWJ1" s="154" t="str">
        <f t="shared" si="41"/>
        <v>y</v>
      </c>
      <c r="CWK1" s="154" t="str">
        <f t="shared" si="41"/>
        <v>y</v>
      </c>
      <c r="CWL1" s="154" t="str">
        <f t="shared" si="41"/>
        <v>y</v>
      </c>
      <c r="CWM1" s="154" t="str">
        <f t="shared" si="41"/>
        <v>y</v>
      </c>
      <c r="CWN1" s="154" t="str">
        <f t="shared" si="41"/>
        <v>y</v>
      </c>
      <c r="CWO1" s="154" t="str">
        <f t="shared" si="41"/>
        <v>y</v>
      </c>
      <c r="CWP1" s="154" t="str">
        <f t="shared" si="41"/>
        <v>y</v>
      </c>
      <c r="CWQ1" s="154" t="str">
        <f t="shared" si="41"/>
        <v>y</v>
      </c>
      <c r="CWR1" s="154" t="str">
        <f t="shared" si="41"/>
        <v>y</v>
      </c>
      <c r="CWS1" s="154" t="str">
        <f t="shared" si="41"/>
        <v>y</v>
      </c>
      <c r="CWT1" s="154" t="str">
        <f t="shared" si="41"/>
        <v>y</v>
      </c>
      <c r="CWU1" s="154" t="str">
        <f t="shared" si="41"/>
        <v>y</v>
      </c>
      <c r="CWV1" s="154" t="str">
        <f t="shared" si="41"/>
        <v>y</v>
      </c>
      <c r="CWW1" s="154" t="str">
        <f t="shared" si="41"/>
        <v>y</v>
      </c>
      <c r="CWX1" s="154" t="str">
        <f t="shared" si="41"/>
        <v>y</v>
      </c>
      <c r="CWY1" s="154" t="str">
        <f t="shared" si="41"/>
        <v>y</v>
      </c>
      <c r="CWZ1" s="154" t="str">
        <f t="shared" si="41"/>
        <v>y</v>
      </c>
      <c r="CXA1" s="154" t="str">
        <f t="shared" si="41"/>
        <v>y</v>
      </c>
      <c r="CXB1" s="154" t="str">
        <f t="shared" si="41"/>
        <v>y</v>
      </c>
      <c r="CXC1" s="154" t="str">
        <f t="shared" si="41"/>
        <v>y</v>
      </c>
      <c r="CXD1" s="154" t="str">
        <f t="shared" si="41"/>
        <v>y</v>
      </c>
      <c r="CXE1" s="154" t="str">
        <f t="shared" si="41"/>
        <v>y</v>
      </c>
      <c r="CXF1" s="154" t="str">
        <f t="shared" si="41"/>
        <v>y</v>
      </c>
      <c r="CXG1" s="154" t="str">
        <f t="shared" si="41"/>
        <v>y</v>
      </c>
      <c r="CXH1" s="154" t="str">
        <f t="shared" si="41"/>
        <v>y</v>
      </c>
      <c r="CXI1" s="154" t="str">
        <f t="shared" si="41"/>
        <v>y</v>
      </c>
      <c r="CXJ1" s="154" t="str">
        <f t="shared" si="41"/>
        <v>y</v>
      </c>
      <c r="CXK1" s="154" t="str">
        <f t="shared" si="41"/>
        <v>y</v>
      </c>
      <c r="CXL1" s="154" t="str">
        <f t="shared" si="41"/>
        <v>y</v>
      </c>
      <c r="CXM1" s="154" t="str">
        <f t="shared" si="41"/>
        <v>y</v>
      </c>
      <c r="CXN1" s="154" t="str">
        <f t="shared" si="41"/>
        <v>y</v>
      </c>
      <c r="CXO1" s="154" t="str">
        <f t="shared" si="41"/>
        <v>y</v>
      </c>
      <c r="CXP1" s="154" t="str">
        <f t="shared" si="41"/>
        <v>y</v>
      </c>
      <c r="CXQ1" s="154" t="str">
        <f t="shared" si="41"/>
        <v>y</v>
      </c>
      <c r="CXR1" s="154" t="str">
        <f t="shared" si="41"/>
        <v>y</v>
      </c>
      <c r="CXS1" s="154" t="str">
        <f t="shared" si="41"/>
        <v>y</v>
      </c>
      <c r="CXT1" s="154" t="str">
        <f t="shared" si="41"/>
        <v>y</v>
      </c>
      <c r="CXU1" s="154" t="str">
        <f t="shared" si="41"/>
        <v>y</v>
      </c>
      <c r="CXV1" s="154" t="str">
        <f t="shared" si="41"/>
        <v>y</v>
      </c>
      <c r="CXW1" s="154" t="str">
        <f t="shared" si="41"/>
        <v>y</v>
      </c>
      <c r="CXX1" s="154" t="str">
        <f t="shared" si="41"/>
        <v>y</v>
      </c>
      <c r="CXY1" s="154" t="str">
        <f t="shared" si="41"/>
        <v>y</v>
      </c>
      <c r="CXZ1" s="154" t="str">
        <f t="shared" si="41"/>
        <v>y</v>
      </c>
      <c r="CYA1" s="154" t="str">
        <f t="shared" si="41"/>
        <v>y</v>
      </c>
      <c r="CYB1" s="154" t="str">
        <f t="shared" si="41"/>
        <v>y</v>
      </c>
      <c r="CYC1" s="154" t="str">
        <f t="shared" si="41"/>
        <v>y</v>
      </c>
      <c r="CYD1" s="154" t="str">
        <f t="shared" si="41"/>
        <v>y</v>
      </c>
      <c r="CYE1" s="154" t="str">
        <f t="shared" si="41"/>
        <v>y</v>
      </c>
      <c r="CYF1" s="154" t="str">
        <f t="shared" si="41"/>
        <v>y</v>
      </c>
      <c r="CYG1" s="154" t="str">
        <f t="shared" si="41"/>
        <v>y</v>
      </c>
      <c r="CYH1" s="154" t="str">
        <f t="shared" si="41"/>
        <v>y</v>
      </c>
      <c r="CYI1" s="154" t="str">
        <f t="shared" si="41"/>
        <v>y</v>
      </c>
      <c r="CYJ1" s="154" t="str">
        <f t="shared" si="41"/>
        <v>y</v>
      </c>
      <c r="CYK1" s="154" t="str">
        <f t="shared" si="41"/>
        <v>y</v>
      </c>
      <c r="CYL1" s="154" t="str">
        <f t="shared" si="41"/>
        <v>y</v>
      </c>
      <c r="CYM1" s="154" t="str">
        <f t="shared" si="41"/>
        <v>y</v>
      </c>
      <c r="CYN1" s="154" t="str">
        <f t="shared" ref="CYN1:DAY1" si="42">CYN2&amp;"y"</f>
        <v>y</v>
      </c>
      <c r="CYO1" s="154" t="str">
        <f t="shared" si="42"/>
        <v>y</v>
      </c>
      <c r="CYP1" s="154" t="str">
        <f t="shared" si="42"/>
        <v>y</v>
      </c>
      <c r="CYQ1" s="154" t="str">
        <f t="shared" si="42"/>
        <v>y</v>
      </c>
      <c r="CYR1" s="154" t="str">
        <f t="shared" si="42"/>
        <v>y</v>
      </c>
      <c r="CYS1" s="154" t="str">
        <f t="shared" si="42"/>
        <v>y</v>
      </c>
      <c r="CYT1" s="154" t="str">
        <f t="shared" si="42"/>
        <v>y</v>
      </c>
      <c r="CYU1" s="154" t="str">
        <f t="shared" si="42"/>
        <v>y</v>
      </c>
      <c r="CYV1" s="154" t="str">
        <f t="shared" si="42"/>
        <v>y</v>
      </c>
      <c r="CYW1" s="154" t="str">
        <f t="shared" si="42"/>
        <v>y</v>
      </c>
      <c r="CYX1" s="154" t="str">
        <f t="shared" si="42"/>
        <v>y</v>
      </c>
      <c r="CYY1" s="154" t="str">
        <f t="shared" si="42"/>
        <v>y</v>
      </c>
      <c r="CYZ1" s="154" t="str">
        <f t="shared" si="42"/>
        <v>y</v>
      </c>
      <c r="CZA1" s="154" t="str">
        <f t="shared" si="42"/>
        <v>y</v>
      </c>
      <c r="CZB1" s="154" t="str">
        <f t="shared" si="42"/>
        <v>y</v>
      </c>
      <c r="CZC1" s="154" t="str">
        <f t="shared" si="42"/>
        <v>y</v>
      </c>
      <c r="CZD1" s="154" t="str">
        <f t="shared" si="42"/>
        <v>y</v>
      </c>
      <c r="CZE1" s="154" t="str">
        <f t="shared" si="42"/>
        <v>y</v>
      </c>
      <c r="CZF1" s="154" t="str">
        <f t="shared" si="42"/>
        <v>y</v>
      </c>
      <c r="CZG1" s="154" t="str">
        <f t="shared" si="42"/>
        <v>y</v>
      </c>
      <c r="CZH1" s="154" t="str">
        <f t="shared" si="42"/>
        <v>y</v>
      </c>
      <c r="CZI1" s="154" t="str">
        <f t="shared" si="42"/>
        <v>y</v>
      </c>
      <c r="CZJ1" s="154" t="str">
        <f t="shared" si="42"/>
        <v>y</v>
      </c>
      <c r="CZK1" s="154" t="str">
        <f t="shared" si="42"/>
        <v>y</v>
      </c>
      <c r="CZL1" s="154" t="str">
        <f t="shared" si="42"/>
        <v>y</v>
      </c>
      <c r="CZM1" s="154" t="str">
        <f t="shared" si="42"/>
        <v>y</v>
      </c>
      <c r="CZN1" s="154" t="str">
        <f t="shared" si="42"/>
        <v>y</v>
      </c>
      <c r="CZO1" s="154" t="str">
        <f t="shared" si="42"/>
        <v>y</v>
      </c>
      <c r="CZP1" s="154" t="str">
        <f t="shared" si="42"/>
        <v>y</v>
      </c>
      <c r="CZQ1" s="154" t="str">
        <f t="shared" si="42"/>
        <v>y</v>
      </c>
      <c r="CZR1" s="154" t="str">
        <f t="shared" si="42"/>
        <v>y</v>
      </c>
      <c r="CZS1" s="154" t="str">
        <f t="shared" si="42"/>
        <v>y</v>
      </c>
      <c r="CZT1" s="154" t="str">
        <f t="shared" si="42"/>
        <v>y</v>
      </c>
      <c r="CZU1" s="154" t="str">
        <f t="shared" si="42"/>
        <v>y</v>
      </c>
      <c r="CZV1" s="154" t="str">
        <f t="shared" si="42"/>
        <v>y</v>
      </c>
      <c r="CZW1" s="154" t="str">
        <f t="shared" si="42"/>
        <v>y</v>
      </c>
      <c r="CZX1" s="154" t="str">
        <f t="shared" si="42"/>
        <v>y</v>
      </c>
      <c r="CZY1" s="154" t="str">
        <f t="shared" si="42"/>
        <v>y</v>
      </c>
      <c r="CZZ1" s="154" t="str">
        <f t="shared" si="42"/>
        <v>y</v>
      </c>
      <c r="DAA1" s="154" t="str">
        <f t="shared" si="42"/>
        <v>y</v>
      </c>
      <c r="DAB1" s="154" t="str">
        <f t="shared" si="42"/>
        <v>y</v>
      </c>
      <c r="DAC1" s="154" t="str">
        <f t="shared" si="42"/>
        <v>y</v>
      </c>
      <c r="DAD1" s="154" t="str">
        <f t="shared" si="42"/>
        <v>y</v>
      </c>
      <c r="DAE1" s="154" t="str">
        <f t="shared" si="42"/>
        <v>y</v>
      </c>
      <c r="DAF1" s="154" t="str">
        <f t="shared" si="42"/>
        <v>y</v>
      </c>
      <c r="DAG1" s="154" t="str">
        <f t="shared" si="42"/>
        <v>y</v>
      </c>
      <c r="DAH1" s="154" t="str">
        <f t="shared" si="42"/>
        <v>y</v>
      </c>
      <c r="DAI1" s="154" t="str">
        <f t="shared" si="42"/>
        <v>y</v>
      </c>
      <c r="DAJ1" s="154" t="str">
        <f t="shared" si="42"/>
        <v>y</v>
      </c>
      <c r="DAK1" s="154" t="str">
        <f t="shared" si="42"/>
        <v>y</v>
      </c>
      <c r="DAL1" s="154" t="str">
        <f t="shared" si="42"/>
        <v>y</v>
      </c>
      <c r="DAM1" s="154" t="str">
        <f t="shared" si="42"/>
        <v>y</v>
      </c>
      <c r="DAN1" s="154" t="str">
        <f t="shared" si="42"/>
        <v>y</v>
      </c>
      <c r="DAO1" s="154" t="str">
        <f t="shared" si="42"/>
        <v>y</v>
      </c>
      <c r="DAP1" s="154" t="str">
        <f t="shared" si="42"/>
        <v>y</v>
      </c>
      <c r="DAQ1" s="154" t="str">
        <f t="shared" si="42"/>
        <v>y</v>
      </c>
      <c r="DAR1" s="154" t="str">
        <f t="shared" si="42"/>
        <v>y</v>
      </c>
      <c r="DAS1" s="154" t="str">
        <f t="shared" si="42"/>
        <v>y</v>
      </c>
      <c r="DAT1" s="154" t="str">
        <f t="shared" si="42"/>
        <v>y</v>
      </c>
      <c r="DAU1" s="154" t="str">
        <f t="shared" si="42"/>
        <v>y</v>
      </c>
      <c r="DAV1" s="154" t="str">
        <f t="shared" si="42"/>
        <v>y</v>
      </c>
      <c r="DAW1" s="154" t="str">
        <f t="shared" si="42"/>
        <v>y</v>
      </c>
      <c r="DAX1" s="154" t="str">
        <f t="shared" si="42"/>
        <v>y</v>
      </c>
      <c r="DAY1" s="154" t="str">
        <f t="shared" si="42"/>
        <v>y</v>
      </c>
      <c r="DAZ1" s="154" t="str">
        <f t="shared" ref="DAZ1:DDK1" si="43">DAZ2&amp;"y"</f>
        <v>y</v>
      </c>
      <c r="DBA1" s="154" t="str">
        <f t="shared" si="43"/>
        <v>y</v>
      </c>
      <c r="DBB1" s="154" t="str">
        <f t="shared" si="43"/>
        <v>y</v>
      </c>
      <c r="DBC1" s="154" t="str">
        <f t="shared" si="43"/>
        <v>y</v>
      </c>
      <c r="DBD1" s="154" t="str">
        <f t="shared" si="43"/>
        <v>y</v>
      </c>
      <c r="DBE1" s="154" t="str">
        <f t="shared" si="43"/>
        <v>y</v>
      </c>
      <c r="DBF1" s="154" t="str">
        <f t="shared" si="43"/>
        <v>y</v>
      </c>
      <c r="DBG1" s="154" t="str">
        <f t="shared" si="43"/>
        <v>y</v>
      </c>
      <c r="DBH1" s="154" t="str">
        <f t="shared" si="43"/>
        <v>y</v>
      </c>
      <c r="DBI1" s="154" t="str">
        <f t="shared" si="43"/>
        <v>y</v>
      </c>
      <c r="DBJ1" s="154" t="str">
        <f t="shared" si="43"/>
        <v>y</v>
      </c>
      <c r="DBK1" s="154" t="str">
        <f t="shared" si="43"/>
        <v>y</v>
      </c>
      <c r="DBL1" s="154" t="str">
        <f t="shared" si="43"/>
        <v>y</v>
      </c>
      <c r="DBM1" s="154" t="str">
        <f t="shared" si="43"/>
        <v>y</v>
      </c>
      <c r="DBN1" s="154" t="str">
        <f t="shared" si="43"/>
        <v>y</v>
      </c>
      <c r="DBO1" s="154" t="str">
        <f t="shared" si="43"/>
        <v>y</v>
      </c>
      <c r="DBP1" s="154" t="str">
        <f t="shared" si="43"/>
        <v>y</v>
      </c>
      <c r="DBQ1" s="154" t="str">
        <f t="shared" si="43"/>
        <v>y</v>
      </c>
      <c r="DBR1" s="154" t="str">
        <f t="shared" si="43"/>
        <v>y</v>
      </c>
      <c r="DBS1" s="154" t="str">
        <f t="shared" si="43"/>
        <v>y</v>
      </c>
      <c r="DBT1" s="154" t="str">
        <f t="shared" si="43"/>
        <v>y</v>
      </c>
      <c r="DBU1" s="154" t="str">
        <f t="shared" si="43"/>
        <v>y</v>
      </c>
      <c r="DBV1" s="154" t="str">
        <f t="shared" si="43"/>
        <v>y</v>
      </c>
      <c r="DBW1" s="154" t="str">
        <f t="shared" si="43"/>
        <v>y</v>
      </c>
      <c r="DBX1" s="154" t="str">
        <f t="shared" si="43"/>
        <v>y</v>
      </c>
      <c r="DBY1" s="154" t="str">
        <f t="shared" si="43"/>
        <v>y</v>
      </c>
      <c r="DBZ1" s="154" t="str">
        <f t="shared" si="43"/>
        <v>y</v>
      </c>
      <c r="DCA1" s="154" t="str">
        <f t="shared" si="43"/>
        <v>y</v>
      </c>
      <c r="DCB1" s="154" t="str">
        <f t="shared" si="43"/>
        <v>y</v>
      </c>
      <c r="DCC1" s="154" t="str">
        <f t="shared" si="43"/>
        <v>y</v>
      </c>
      <c r="DCD1" s="154" t="str">
        <f t="shared" si="43"/>
        <v>y</v>
      </c>
      <c r="DCE1" s="154" t="str">
        <f t="shared" si="43"/>
        <v>y</v>
      </c>
      <c r="DCF1" s="154" t="str">
        <f t="shared" si="43"/>
        <v>y</v>
      </c>
      <c r="DCG1" s="154" t="str">
        <f t="shared" si="43"/>
        <v>y</v>
      </c>
      <c r="DCH1" s="154" t="str">
        <f t="shared" si="43"/>
        <v>y</v>
      </c>
      <c r="DCI1" s="154" t="str">
        <f t="shared" si="43"/>
        <v>y</v>
      </c>
      <c r="DCJ1" s="154" t="str">
        <f t="shared" si="43"/>
        <v>y</v>
      </c>
      <c r="DCK1" s="154" t="str">
        <f t="shared" si="43"/>
        <v>y</v>
      </c>
      <c r="DCL1" s="154" t="str">
        <f t="shared" si="43"/>
        <v>y</v>
      </c>
      <c r="DCM1" s="154" t="str">
        <f t="shared" si="43"/>
        <v>y</v>
      </c>
      <c r="DCN1" s="154" t="str">
        <f t="shared" si="43"/>
        <v>y</v>
      </c>
      <c r="DCO1" s="154" t="str">
        <f t="shared" si="43"/>
        <v>y</v>
      </c>
      <c r="DCP1" s="154" t="str">
        <f t="shared" si="43"/>
        <v>y</v>
      </c>
      <c r="DCQ1" s="154" t="str">
        <f t="shared" si="43"/>
        <v>y</v>
      </c>
      <c r="DCR1" s="154" t="str">
        <f t="shared" si="43"/>
        <v>y</v>
      </c>
      <c r="DCS1" s="154" t="str">
        <f t="shared" si="43"/>
        <v>y</v>
      </c>
      <c r="DCT1" s="154" t="str">
        <f t="shared" si="43"/>
        <v>y</v>
      </c>
      <c r="DCU1" s="154" t="str">
        <f t="shared" si="43"/>
        <v>y</v>
      </c>
      <c r="DCV1" s="154" t="str">
        <f t="shared" si="43"/>
        <v>y</v>
      </c>
      <c r="DCW1" s="154" t="str">
        <f t="shared" si="43"/>
        <v>y</v>
      </c>
      <c r="DCX1" s="154" t="str">
        <f t="shared" si="43"/>
        <v>y</v>
      </c>
      <c r="DCY1" s="154" t="str">
        <f t="shared" si="43"/>
        <v>y</v>
      </c>
      <c r="DCZ1" s="154" t="str">
        <f t="shared" si="43"/>
        <v>y</v>
      </c>
      <c r="DDA1" s="154" t="str">
        <f t="shared" si="43"/>
        <v>y</v>
      </c>
      <c r="DDB1" s="154" t="str">
        <f t="shared" si="43"/>
        <v>y</v>
      </c>
      <c r="DDC1" s="154" t="str">
        <f t="shared" si="43"/>
        <v>y</v>
      </c>
      <c r="DDD1" s="154" t="str">
        <f t="shared" si="43"/>
        <v>y</v>
      </c>
      <c r="DDE1" s="154" t="str">
        <f t="shared" si="43"/>
        <v>y</v>
      </c>
      <c r="DDF1" s="154" t="str">
        <f t="shared" si="43"/>
        <v>y</v>
      </c>
      <c r="DDG1" s="154" t="str">
        <f t="shared" si="43"/>
        <v>y</v>
      </c>
      <c r="DDH1" s="154" t="str">
        <f t="shared" si="43"/>
        <v>y</v>
      </c>
      <c r="DDI1" s="154" t="str">
        <f t="shared" si="43"/>
        <v>y</v>
      </c>
      <c r="DDJ1" s="154" t="str">
        <f t="shared" si="43"/>
        <v>y</v>
      </c>
      <c r="DDK1" s="154" t="str">
        <f t="shared" si="43"/>
        <v>y</v>
      </c>
      <c r="DDL1" s="154" t="str">
        <f t="shared" ref="DDL1:DFW1" si="44">DDL2&amp;"y"</f>
        <v>y</v>
      </c>
      <c r="DDM1" s="154" t="str">
        <f t="shared" si="44"/>
        <v>y</v>
      </c>
      <c r="DDN1" s="154" t="str">
        <f t="shared" si="44"/>
        <v>y</v>
      </c>
      <c r="DDO1" s="154" t="str">
        <f t="shared" si="44"/>
        <v>y</v>
      </c>
      <c r="DDP1" s="154" t="str">
        <f t="shared" si="44"/>
        <v>y</v>
      </c>
      <c r="DDQ1" s="154" t="str">
        <f t="shared" si="44"/>
        <v>y</v>
      </c>
      <c r="DDR1" s="154" t="str">
        <f t="shared" si="44"/>
        <v>y</v>
      </c>
      <c r="DDS1" s="154" t="str">
        <f t="shared" si="44"/>
        <v>y</v>
      </c>
      <c r="DDT1" s="154" t="str">
        <f t="shared" si="44"/>
        <v>y</v>
      </c>
      <c r="DDU1" s="154" t="str">
        <f t="shared" si="44"/>
        <v>y</v>
      </c>
      <c r="DDV1" s="154" t="str">
        <f t="shared" si="44"/>
        <v>y</v>
      </c>
      <c r="DDW1" s="154" t="str">
        <f t="shared" si="44"/>
        <v>y</v>
      </c>
      <c r="DDX1" s="154" t="str">
        <f t="shared" si="44"/>
        <v>y</v>
      </c>
      <c r="DDY1" s="154" t="str">
        <f t="shared" si="44"/>
        <v>y</v>
      </c>
      <c r="DDZ1" s="154" t="str">
        <f t="shared" si="44"/>
        <v>y</v>
      </c>
      <c r="DEA1" s="154" t="str">
        <f t="shared" si="44"/>
        <v>y</v>
      </c>
      <c r="DEB1" s="154" t="str">
        <f t="shared" si="44"/>
        <v>y</v>
      </c>
      <c r="DEC1" s="154" t="str">
        <f t="shared" si="44"/>
        <v>y</v>
      </c>
      <c r="DED1" s="154" t="str">
        <f t="shared" si="44"/>
        <v>y</v>
      </c>
      <c r="DEE1" s="154" t="str">
        <f t="shared" si="44"/>
        <v>y</v>
      </c>
      <c r="DEF1" s="154" t="str">
        <f t="shared" si="44"/>
        <v>y</v>
      </c>
      <c r="DEG1" s="154" t="str">
        <f t="shared" si="44"/>
        <v>y</v>
      </c>
      <c r="DEH1" s="154" t="str">
        <f t="shared" si="44"/>
        <v>y</v>
      </c>
      <c r="DEI1" s="154" t="str">
        <f t="shared" si="44"/>
        <v>y</v>
      </c>
      <c r="DEJ1" s="154" t="str">
        <f t="shared" si="44"/>
        <v>y</v>
      </c>
      <c r="DEK1" s="154" t="str">
        <f t="shared" si="44"/>
        <v>y</v>
      </c>
      <c r="DEL1" s="154" t="str">
        <f t="shared" si="44"/>
        <v>y</v>
      </c>
      <c r="DEM1" s="154" t="str">
        <f t="shared" si="44"/>
        <v>y</v>
      </c>
      <c r="DEN1" s="154" t="str">
        <f t="shared" si="44"/>
        <v>y</v>
      </c>
      <c r="DEO1" s="154" t="str">
        <f t="shared" si="44"/>
        <v>y</v>
      </c>
      <c r="DEP1" s="154" t="str">
        <f t="shared" si="44"/>
        <v>y</v>
      </c>
      <c r="DEQ1" s="154" t="str">
        <f t="shared" si="44"/>
        <v>y</v>
      </c>
      <c r="DER1" s="154" t="str">
        <f t="shared" si="44"/>
        <v>y</v>
      </c>
      <c r="DES1" s="154" t="str">
        <f t="shared" si="44"/>
        <v>y</v>
      </c>
      <c r="DET1" s="154" t="str">
        <f t="shared" si="44"/>
        <v>y</v>
      </c>
      <c r="DEU1" s="154" t="str">
        <f t="shared" si="44"/>
        <v>y</v>
      </c>
      <c r="DEV1" s="154" t="str">
        <f t="shared" si="44"/>
        <v>y</v>
      </c>
      <c r="DEW1" s="154" t="str">
        <f t="shared" si="44"/>
        <v>y</v>
      </c>
      <c r="DEX1" s="154" t="str">
        <f t="shared" si="44"/>
        <v>y</v>
      </c>
      <c r="DEY1" s="154" t="str">
        <f t="shared" si="44"/>
        <v>y</v>
      </c>
      <c r="DEZ1" s="154" t="str">
        <f t="shared" si="44"/>
        <v>y</v>
      </c>
      <c r="DFA1" s="154" t="str">
        <f t="shared" si="44"/>
        <v>y</v>
      </c>
      <c r="DFB1" s="154" t="str">
        <f t="shared" si="44"/>
        <v>y</v>
      </c>
      <c r="DFC1" s="154" t="str">
        <f t="shared" si="44"/>
        <v>y</v>
      </c>
      <c r="DFD1" s="154" t="str">
        <f t="shared" si="44"/>
        <v>y</v>
      </c>
      <c r="DFE1" s="154" t="str">
        <f t="shared" si="44"/>
        <v>y</v>
      </c>
      <c r="DFF1" s="154" t="str">
        <f t="shared" si="44"/>
        <v>y</v>
      </c>
      <c r="DFG1" s="154" t="str">
        <f t="shared" si="44"/>
        <v>y</v>
      </c>
      <c r="DFH1" s="154" t="str">
        <f t="shared" si="44"/>
        <v>y</v>
      </c>
      <c r="DFI1" s="154" t="str">
        <f t="shared" si="44"/>
        <v>y</v>
      </c>
      <c r="DFJ1" s="154" t="str">
        <f t="shared" si="44"/>
        <v>y</v>
      </c>
      <c r="DFK1" s="154" t="str">
        <f t="shared" si="44"/>
        <v>y</v>
      </c>
      <c r="DFL1" s="154" t="str">
        <f t="shared" si="44"/>
        <v>y</v>
      </c>
      <c r="DFM1" s="154" t="str">
        <f t="shared" si="44"/>
        <v>y</v>
      </c>
      <c r="DFN1" s="154" t="str">
        <f t="shared" si="44"/>
        <v>y</v>
      </c>
      <c r="DFO1" s="154" t="str">
        <f t="shared" si="44"/>
        <v>y</v>
      </c>
      <c r="DFP1" s="154" t="str">
        <f t="shared" si="44"/>
        <v>y</v>
      </c>
      <c r="DFQ1" s="154" t="str">
        <f t="shared" si="44"/>
        <v>y</v>
      </c>
      <c r="DFR1" s="154" t="str">
        <f t="shared" si="44"/>
        <v>y</v>
      </c>
      <c r="DFS1" s="154" t="str">
        <f t="shared" si="44"/>
        <v>y</v>
      </c>
      <c r="DFT1" s="154" t="str">
        <f t="shared" si="44"/>
        <v>y</v>
      </c>
      <c r="DFU1" s="154" t="str">
        <f t="shared" si="44"/>
        <v>y</v>
      </c>
      <c r="DFV1" s="154" t="str">
        <f t="shared" si="44"/>
        <v>y</v>
      </c>
      <c r="DFW1" s="154" t="str">
        <f t="shared" si="44"/>
        <v>y</v>
      </c>
      <c r="DFX1" s="154" t="str">
        <f t="shared" ref="DFX1:DII1" si="45">DFX2&amp;"y"</f>
        <v>y</v>
      </c>
      <c r="DFY1" s="154" t="str">
        <f t="shared" si="45"/>
        <v>y</v>
      </c>
      <c r="DFZ1" s="154" t="str">
        <f t="shared" si="45"/>
        <v>y</v>
      </c>
      <c r="DGA1" s="154" t="str">
        <f t="shared" si="45"/>
        <v>y</v>
      </c>
      <c r="DGB1" s="154" t="str">
        <f t="shared" si="45"/>
        <v>y</v>
      </c>
      <c r="DGC1" s="154" t="str">
        <f t="shared" si="45"/>
        <v>y</v>
      </c>
      <c r="DGD1" s="154" t="str">
        <f t="shared" si="45"/>
        <v>y</v>
      </c>
      <c r="DGE1" s="154" t="str">
        <f t="shared" si="45"/>
        <v>y</v>
      </c>
      <c r="DGF1" s="154" t="str">
        <f t="shared" si="45"/>
        <v>y</v>
      </c>
      <c r="DGG1" s="154" t="str">
        <f t="shared" si="45"/>
        <v>y</v>
      </c>
      <c r="DGH1" s="154" t="str">
        <f t="shared" si="45"/>
        <v>y</v>
      </c>
      <c r="DGI1" s="154" t="str">
        <f t="shared" si="45"/>
        <v>y</v>
      </c>
      <c r="DGJ1" s="154" t="str">
        <f t="shared" si="45"/>
        <v>y</v>
      </c>
      <c r="DGK1" s="154" t="str">
        <f t="shared" si="45"/>
        <v>y</v>
      </c>
      <c r="DGL1" s="154" t="str">
        <f t="shared" si="45"/>
        <v>y</v>
      </c>
      <c r="DGM1" s="154" t="str">
        <f t="shared" si="45"/>
        <v>y</v>
      </c>
      <c r="DGN1" s="154" t="str">
        <f t="shared" si="45"/>
        <v>y</v>
      </c>
      <c r="DGO1" s="154" t="str">
        <f t="shared" si="45"/>
        <v>y</v>
      </c>
      <c r="DGP1" s="154" t="str">
        <f t="shared" si="45"/>
        <v>y</v>
      </c>
      <c r="DGQ1" s="154" t="str">
        <f t="shared" si="45"/>
        <v>y</v>
      </c>
      <c r="DGR1" s="154" t="str">
        <f t="shared" si="45"/>
        <v>y</v>
      </c>
      <c r="DGS1" s="154" t="str">
        <f t="shared" si="45"/>
        <v>y</v>
      </c>
      <c r="DGT1" s="154" t="str">
        <f t="shared" si="45"/>
        <v>y</v>
      </c>
      <c r="DGU1" s="154" t="str">
        <f t="shared" si="45"/>
        <v>y</v>
      </c>
      <c r="DGV1" s="154" t="str">
        <f t="shared" si="45"/>
        <v>y</v>
      </c>
      <c r="DGW1" s="154" t="str">
        <f t="shared" si="45"/>
        <v>y</v>
      </c>
      <c r="DGX1" s="154" t="str">
        <f t="shared" si="45"/>
        <v>y</v>
      </c>
      <c r="DGY1" s="154" t="str">
        <f t="shared" si="45"/>
        <v>y</v>
      </c>
      <c r="DGZ1" s="154" t="str">
        <f t="shared" si="45"/>
        <v>y</v>
      </c>
      <c r="DHA1" s="154" t="str">
        <f t="shared" si="45"/>
        <v>y</v>
      </c>
      <c r="DHB1" s="154" t="str">
        <f t="shared" si="45"/>
        <v>y</v>
      </c>
      <c r="DHC1" s="154" t="str">
        <f t="shared" si="45"/>
        <v>y</v>
      </c>
      <c r="DHD1" s="154" t="str">
        <f t="shared" si="45"/>
        <v>y</v>
      </c>
      <c r="DHE1" s="154" t="str">
        <f t="shared" si="45"/>
        <v>y</v>
      </c>
      <c r="DHF1" s="154" t="str">
        <f t="shared" si="45"/>
        <v>y</v>
      </c>
      <c r="DHG1" s="154" t="str">
        <f t="shared" si="45"/>
        <v>y</v>
      </c>
      <c r="DHH1" s="154" t="str">
        <f t="shared" si="45"/>
        <v>y</v>
      </c>
      <c r="DHI1" s="154" t="str">
        <f t="shared" si="45"/>
        <v>y</v>
      </c>
      <c r="DHJ1" s="154" t="str">
        <f t="shared" si="45"/>
        <v>y</v>
      </c>
      <c r="DHK1" s="154" t="str">
        <f t="shared" si="45"/>
        <v>y</v>
      </c>
      <c r="DHL1" s="154" t="str">
        <f t="shared" si="45"/>
        <v>y</v>
      </c>
      <c r="DHM1" s="154" t="str">
        <f t="shared" si="45"/>
        <v>y</v>
      </c>
      <c r="DHN1" s="154" t="str">
        <f t="shared" si="45"/>
        <v>y</v>
      </c>
      <c r="DHO1" s="154" t="str">
        <f t="shared" si="45"/>
        <v>y</v>
      </c>
      <c r="DHP1" s="154" t="str">
        <f t="shared" si="45"/>
        <v>y</v>
      </c>
      <c r="DHQ1" s="154" t="str">
        <f t="shared" si="45"/>
        <v>y</v>
      </c>
      <c r="DHR1" s="154" t="str">
        <f t="shared" si="45"/>
        <v>y</v>
      </c>
      <c r="DHS1" s="154" t="str">
        <f t="shared" si="45"/>
        <v>y</v>
      </c>
      <c r="DHT1" s="154" t="str">
        <f t="shared" si="45"/>
        <v>y</v>
      </c>
      <c r="DHU1" s="154" t="str">
        <f t="shared" si="45"/>
        <v>y</v>
      </c>
      <c r="DHV1" s="154" t="str">
        <f t="shared" si="45"/>
        <v>y</v>
      </c>
      <c r="DHW1" s="154" t="str">
        <f t="shared" si="45"/>
        <v>y</v>
      </c>
      <c r="DHX1" s="154" t="str">
        <f t="shared" si="45"/>
        <v>y</v>
      </c>
      <c r="DHY1" s="154" t="str">
        <f t="shared" si="45"/>
        <v>y</v>
      </c>
      <c r="DHZ1" s="154" t="str">
        <f t="shared" si="45"/>
        <v>y</v>
      </c>
      <c r="DIA1" s="154" t="str">
        <f t="shared" si="45"/>
        <v>y</v>
      </c>
      <c r="DIB1" s="154" t="str">
        <f t="shared" si="45"/>
        <v>y</v>
      </c>
      <c r="DIC1" s="154" t="str">
        <f t="shared" si="45"/>
        <v>y</v>
      </c>
      <c r="DID1" s="154" t="str">
        <f t="shared" si="45"/>
        <v>y</v>
      </c>
      <c r="DIE1" s="154" t="str">
        <f t="shared" si="45"/>
        <v>y</v>
      </c>
      <c r="DIF1" s="154" t="str">
        <f t="shared" si="45"/>
        <v>y</v>
      </c>
      <c r="DIG1" s="154" t="str">
        <f t="shared" si="45"/>
        <v>y</v>
      </c>
      <c r="DIH1" s="154" t="str">
        <f t="shared" si="45"/>
        <v>y</v>
      </c>
      <c r="DII1" s="154" t="str">
        <f t="shared" si="45"/>
        <v>y</v>
      </c>
      <c r="DIJ1" s="154" t="str">
        <f t="shared" ref="DIJ1:DKU1" si="46">DIJ2&amp;"y"</f>
        <v>y</v>
      </c>
      <c r="DIK1" s="154" t="str">
        <f t="shared" si="46"/>
        <v>y</v>
      </c>
      <c r="DIL1" s="154" t="str">
        <f t="shared" si="46"/>
        <v>y</v>
      </c>
      <c r="DIM1" s="154" t="str">
        <f t="shared" si="46"/>
        <v>y</v>
      </c>
      <c r="DIN1" s="154" t="str">
        <f t="shared" si="46"/>
        <v>y</v>
      </c>
      <c r="DIO1" s="154" t="str">
        <f t="shared" si="46"/>
        <v>y</v>
      </c>
      <c r="DIP1" s="154" t="str">
        <f t="shared" si="46"/>
        <v>y</v>
      </c>
      <c r="DIQ1" s="154" t="str">
        <f t="shared" si="46"/>
        <v>y</v>
      </c>
      <c r="DIR1" s="154" t="str">
        <f t="shared" si="46"/>
        <v>y</v>
      </c>
      <c r="DIS1" s="154" t="str">
        <f t="shared" si="46"/>
        <v>y</v>
      </c>
      <c r="DIT1" s="154" t="str">
        <f t="shared" si="46"/>
        <v>y</v>
      </c>
      <c r="DIU1" s="154" t="str">
        <f t="shared" si="46"/>
        <v>y</v>
      </c>
      <c r="DIV1" s="154" t="str">
        <f t="shared" si="46"/>
        <v>y</v>
      </c>
      <c r="DIW1" s="154" t="str">
        <f t="shared" si="46"/>
        <v>y</v>
      </c>
      <c r="DIX1" s="154" t="str">
        <f t="shared" si="46"/>
        <v>y</v>
      </c>
      <c r="DIY1" s="154" t="str">
        <f t="shared" si="46"/>
        <v>y</v>
      </c>
      <c r="DIZ1" s="154" t="str">
        <f t="shared" si="46"/>
        <v>y</v>
      </c>
      <c r="DJA1" s="154" t="str">
        <f t="shared" si="46"/>
        <v>y</v>
      </c>
      <c r="DJB1" s="154" t="str">
        <f t="shared" si="46"/>
        <v>y</v>
      </c>
      <c r="DJC1" s="154" t="str">
        <f t="shared" si="46"/>
        <v>y</v>
      </c>
      <c r="DJD1" s="154" t="str">
        <f t="shared" si="46"/>
        <v>y</v>
      </c>
      <c r="DJE1" s="154" t="str">
        <f t="shared" si="46"/>
        <v>y</v>
      </c>
      <c r="DJF1" s="154" t="str">
        <f t="shared" si="46"/>
        <v>y</v>
      </c>
      <c r="DJG1" s="154" t="str">
        <f t="shared" si="46"/>
        <v>y</v>
      </c>
      <c r="DJH1" s="154" t="str">
        <f t="shared" si="46"/>
        <v>y</v>
      </c>
      <c r="DJI1" s="154" t="str">
        <f t="shared" si="46"/>
        <v>y</v>
      </c>
      <c r="DJJ1" s="154" t="str">
        <f t="shared" si="46"/>
        <v>y</v>
      </c>
      <c r="DJK1" s="154" t="str">
        <f t="shared" si="46"/>
        <v>y</v>
      </c>
      <c r="DJL1" s="154" t="str">
        <f t="shared" si="46"/>
        <v>y</v>
      </c>
      <c r="DJM1" s="154" t="str">
        <f t="shared" si="46"/>
        <v>y</v>
      </c>
      <c r="DJN1" s="154" t="str">
        <f t="shared" si="46"/>
        <v>y</v>
      </c>
      <c r="DJO1" s="154" t="str">
        <f t="shared" si="46"/>
        <v>y</v>
      </c>
      <c r="DJP1" s="154" t="str">
        <f t="shared" si="46"/>
        <v>y</v>
      </c>
      <c r="DJQ1" s="154" t="str">
        <f t="shared" si="46"/>
        <v>y</v>
      </c>
      <c r="DJR1" s="154" t="str">
        <f t="shared" si="46"/>
        <v>y</v>
      </c>
      <c r="DJS1" s="154" t="str">
        <f t="shared" si="46"/>
        <v>y</v>
      </c>
      <c r="DJT1" s="154" t="str">
        <f t="shared" si="46"/>
        <v>y</v>
      </c>
      <c r="DJU1" s="154" t="str">
        <f t="shared" si="46"/>
        <v>y</v>
      </c>
      <c r="DJV1" s="154" t="str">
        <f t="shared" si="46"/>
        <v>y</v>
      </c>
      <c r="DJW1" s="154" t="str">
        <f t="shared" si="46"/>
        <v>y</v>
      </c>
      <c r="DJX1" s="154" t="str">
        <f t="shared" si="46"/>
        <v>y</v>
      </c>
      <c r="DJY1" s="154" t="str">
        <f t="shared" si="46"/>
        <v>y</v>
      </c>
      <c r="DJZ1" s="154" t="str">
        <f t="shared" si="46"/>
        <v>y</v>
      </c>
      <c r="DKA1" s="154" t="str">
        <f t="shared" si="46"/>
        <v>y</v>
      </c>
      <c r="DKB1" s="154" t="str">
        <f t="shared" si="46"/>
        <v>y</v>
      </c>
      <c r="DKC1" s="154" t="str">
        <f t="shared" si="46"/>
        <v>y</v>
      </c>
      <c r="DKD1" s="154" t="str">
        <f t="shared" si="46"/>
        <v>y</v>
      </c>
      <c r="DKE1" s="154" t="str">
        <f t="shared" si="46"/>
        <v>y</v>
      </c>
      <c r="DKF1" s="154" t="str">
        <f t="shared" si="46"/>
        <v>y</v>
      </c>
      <c r="DKG1" s="154" t="str">
        <f t="shared" si="46"/>
        <v>y</v>
      </c>
      <c r="DKH1" s="154" t="str">
        <f t="shared" si="46"/>
        <v>y</v>
      </c>
      <c r="DKI1" s="154" t="str">
        <f t="shared" si="46"/>
        <v>y</v>
      </c>
      <c r="DKJ1" s="154" t="str">
        <f t="shared" si="46"/>
        <v>y</v>
      </c>
      <c r="DKK1" s="154" t="str">
        <f t="shared" si="46"/>
        <v>y</v>
      </c>
      <c r="DKL1" s="154" t="str">
        <f t="shared" si="46"/>
        <v>y</v>
      </c>
      <c r="DKM1" s="154" t="str">
        <f t="shared" si="46"/>
        <v>y</v>
      </c>
      <c r="DKN1" s="154" t="str">
        <f t="shared" si="46"/>
        <v>y</v>
      </c>
      <c r="DKO1" s="154" t="str">
        <f t="shared" si="46"/>
        <v>y</v>
      </c>
      <c r="DKP1" s="154" t="str">
        <f t="shared" si="46"/>
        <v>y</v>
      </c>
      <c r="DKQ1" s="154" t="str">
        <f t="shared" si="46"/>
        <v>y</v>
      </c>
      <c r="DKR1" s="154" t="str">
        <f t="shared" si="46"/>
        <v>y</v>
      </c>
      <c r="DKS1" s="154" t="str">
        <f t="shared" si="46"/>
        <v>y</v>
      </c>
      <c r="DKT1" s="154" t="str">
        <f t="shared" si="46"/>
        <v>y</v>
      </c>
      <c r="DKU1" s="154" t="str">
        <f t="shared" si="46"/>
        <v>y</v>
      </c>
      <c r="DKV1" s="154" t="str">
        <f t="shared" ref="DKV1:DNG1" si="47">DKV2&amp;"y"</f>
        <v>y</v>
      </c>
      <c r="DKW1" s="154" t="str">
        <f t="shared" si="47"/>
        <v>y</v>
      </c>
      <c r="DKX1" s="154" t="str">
        <f t="shared" si="47"/>
        <v>y</v>
      </c>
      <c r="DKY1" s="154" t="str">
        <f t="shared" si="47"/>
        <v>y</v>
      </c>
      <c r="DKZ1" s="154" t="str">
        <f t="shared" si="47"/>
        <v>y</v>
      </c>
      <c r="DLA1" s="154" t="str">
        <f t="shared" si="47"/>
        <v>y</v>
      </c>
      <c r="DLB1" s="154" t="str">
        <f t="shared" si="47"/>
        <v>y</v>
      </c>
      <c r="DLC1" s="154" t="str">
        <f t="shared" si="47"/>
        <v>y</v>
      </c>
      <c r="DLD1" s="154" t="str">
        <f t="shared" si="47"/>
        <v>y</v>
      </c>
      <c r="DLE1" s="154" t="str">
        <f t="shared" si="47"/>
        <v>y</v>
      </c>
      <c r="DLF1" s="154" t="str">
        <f t="shared" si="47"/>
        <v>y</v>
      </c>
      <c r="DLG1" s="154" t="str">
        <f t="shared" si="47"/>
        <v>y</v>
      </c>
      <c r="DLH1" s="154" t="str">
        <f t="shared" si="47"/>
        <v>y</v>
      </c>
      <c r="DLI1" s="154" t="str">
        <f t="shared" si="47"/>
        <v>y</v>
      </c>
      <c r="DLJ1" s="154" t="str">
        <f t="shared" si="47"/>
        <v>y</v>
      </c>
      <c r="DLK1" s="154" t="str">
        <f t="shared" si="47"/>
        <v>y</v>
      </c>
      <c r="DLL1" s="154" t="str">
        <f t="shared" si="47"/>
        <v>y</v>
      </c>
      <c r="DLM1" s="154" t="str">
        <f t="shared" si="47"/>
        <v>y</v>
      </c>
      <c r="DLN1" s="154" t="str">
        <f t="shared" si="47"/>
        <v>y</v>
      </c>
      <c r="DLO1" s="154" t="str">
        <f t="shared" si="47"/>
        <v>y</v>
      </c>
      <c r="DLP1" s="154" t="str">
        <f t="shared" si="47"/>
        <v>y</v>
      </c>
      <c r="DLQ1" s="154" t="str">
        <f t="shared" si="47"/>
        <v>y</v>
      </c>
      <c r="DLR1" s="154" t="str">
        <f t="shared" si="47"/>
        <v>y</v>
      </c>
      <c r="DLS1" s="154" t="str">
        <f t="shared" si="47"/>
        <v>y</v>
      </c>
      <c r="DLT1" s="154" t="str">
        <f t="shared" si="47"/>
        <v>y</v>
      </c>
      <c r="DLU1" s="154" t="str">
        <f t="shared" si="47"/>
        <v>y</v>
      </c>
      <c r="DLV1" s="154" t="str">
        <f t="shared" si="47"/>
        <v>y</v>
      </c>
      <c r="DLW1" s="154" t="str">
        <f t="shared" si="47"/>
        <v>y</v>
      </c>
      <c r="DLX1" s="154" t="str">
        <f t="shared" si="47"/>
        <v>y</v>
      </c>
      <c r="DLY1" s="154" t="str">
        <f t="shared" si="47"/>
        <v>y</v>
      </c>
      <c r="DLZ1" s="154" t="str">
        <f t="shared" si="47"/>
        <v>y</v>
      </c>
      <c r="DMA1" s="154" t="str">
        <f t="shared" si="47"/>
        <v>y</v>
      </c>
      <c r="DMB1" s="154" t="str">
        <f t="shared" si="47"/>
        <v>y</v>
      </c>
      <c r="DMC1" s="154" t="str">
        <f t="shared" si="47"/>
        <v>y</v>
      </c>
      <c r="DMD1" s="154" t="str">
        <f t="shared" si="47"/>
        <v>y</v>
      </c>
      <c r="DME1" s="154" t="str">
        <f t="shared" si="47"/>
        <v>y</v>
      </c>
      <c r="DMF1" s="154" t="str">
        <f t="shared" si="47"/>
        <v>y</v>
      </c>
      <c r="DMG1" s="154" t="str">
        <f t="shared" si="47"/>
        <v>y</v>
      </c>
      <c r="DMH1" s="154" t="str">
        <f t="shared" si="47"/>
        <v>y</v>
      </c>
      <c r="DMI1" s="154" t="str">
        <f t="shared" si="47"/>
        <v>y</v>
      </c>
      <c r="DMJ1" s="154" t="str">
        <f t="shared" si="47"/>
        <v>y</v>
      </c>
      <c r="DMK1" s="154" t="str">
        <f t="shared" si="47"/>
        <v>y</v>
      </c>
      <c r="DML1" s="154" t="str">
        <f t="shared" si="47"/>
        <v>y</v>
      </c>
      <c r="DMM1" s="154" t="str">
        <f t="shared" si="47"/>
        <v>y</v>
      </c>
      <c r="DMN1" s="154" t="str">
        <f t="shared" si="47"/>
        <v>y</v>
      </c>
      <c r="DMO1" s="154" t="str">
        <f t="shared" si="47"/>
        <v>y</v>
      </c>
      <c r="DMP1" s="154" t="str">
        <f t="shared" si="47"/>
        <v>y</v>
      </c>
      <c r="DMQ1" s="154" t="str">
        <f t="shared" si="47"/>
        <v>y</v>
      </c>
      <c r="DMR1" s="154" t="str">
        <f t="shared" si="47"/>
        <v>y</v>
      </c>
      <c r="DMS1" s="154" t="str">
        <f t="shared" si="47"/>
        <v>y</v>
      </c>
      <c r="DMT1" s="154" t="str">
        <f t="shared" si="47"/>
        <v>y</v>
      </c>
      <c r="DMU1" s="154" t="str">
        <f t="shared" si="47"/>
        <v>y</v>
      </c>
      <c r="DMV1" s="154" t="str">
        <f t="shared" si="47"/>
        <v>y</v>
      </c>
      <c r="DMW1" s="154" t="str">
        <f t="shared" si="47"/>
        <v>y</v>
      </c>
      <c r="DMX1" s="154" t="str">
        <f t="shared" si="47"/>
        <v>y</v>
      </c>
      <c r="DMY1" s="154" t="str">
        <f t="shared" si="47"/>
        <v>y</v>
      </c>
      <c r="DMZ1" s="154" t="str">
        <f t="shared" si="47"/>
        <v>y</v>
      </c>
      <c r="DNA1" s="154" t="str">
        <f t="shared" si="47"/>
        <v>y</v>
      </c>
      <c r="DNB1" s="154" t="str">
        <f t="shared" si="47"/>
        <v>y</v>
      </c>
      <c r="DNC1" s="154" t="str">
        <f t="shared" si="47"/>
        <v>y</v>
      </c>
      <c r="DND1" s="154" t="str">
        <f t="shared" si="47"/>
        <v>y</v>
      </c>
      <c r="DNE1" s="154" t="str">
        <f t="shared" si="47"/>
        <v>y</v>
      </c>
      <c r="DNF1" s="154" t="str">
        <f t="shared" si="47"/>
        <v>y</v>
      </c>
      <c r="DNG1" s="154" t="str">
        <f t="shared" si="47"/>
        <v>y</v>
      </c>
      <c r="DNH1" s="154" t="str">
        <f t="shared" ref="DNH1:DPS1" si="48">DNH2&amp;"y"</f>
        <v>y</v>
      </c>
      <c r="DNI1" s="154" t="str">
        <f t="shared" si="48"/>
        <v>y</v>
      </c>
      <c r="DNJ1" s="154" t="str">
        <f t="shared" si="48"/>
        <v>y</v>
      </c>
      <c r="DNK1" s="154" t="str">
        <f t="shared" si="48"/>
        <v>y</v>
      </c>
      <c r="DNL1" s="154" t="str">
        <f t="shared" si="48"/>
        <v>y</v>
      </c>
      <c r="DNM1" s="154" t="str">
        <f t="shared" si="48"/>
        <v>y</v>
      </c>
      <c r="DNN1" s="154" t="str">
        <f t="shared" si="48"/>
        <v>y</v>
      </c>
      <c r="DNO1" s="154" t="str">
        <f t="shared" si="48"/>
        <v>y</v>
      </c>
      <c r="DNP1" s="154" t="str">
        <f t="shared" si="48"/>
        <v>y</v>
      </c>
      <c r="DNQ1" s="154" t="str">
        <f t="shared" si="48"/>
        <v>y</v>
      </c>
      <c r="DNR1" s="154" t="str">
        <f t="shared" si="48"/>
        <v>y</v>
      </c>
      <c r="DNS1" s="154" t="str">
        <f t="shared" si="48"/>
        <v>y</v>
      </c>
      <c r="DNT1" s="154" t="str">
        <f t="shared" si="48"/>
        <v>y</v>
      </c>
      <c r="DNU1" s="154" t="str">
        <f t="shared" si="48"/>
        <v>y</v>
      </c>
      <c r="DNV1" s="154" t="str">
        <f t="shared" si="48"/>
        <v>y</v>
      </c>
      <c r="DNW1" s="154" t="str">
        <f t="shared" si="48"/>
        <v>y</v>
      </c>
      <c r="DNX1" s="154" t="str">
        <f t="shared" si="48"/>
        <v>y</v>
      </c>
      <c r="DNY1" s="154" t="str">
        <f t="shared" si="48"/>
        <v>y</v>
      </c>
      <c r="DNZ1" s="154" t="str">
        <f t="shared" si="48"/>
        <v>y</v>
      </c>
      <c r="DOA1" s="154" t="str">
        <f t="shared" si="48"/>
        <v>y</v>
      </c>
      <c r="DOB1" s="154" t="str">
        <f t="shared" si="48"/>
        <v>y</v>
      </c>
      <c r="DOC1" s="154" t="str">
        <f t="shared" si="48"/>
        <v>y</v>
      </c>
      <c r="DOD1" s="154" t="str">
        <f t="shared" si="48"/>
        <v>y</v>
      </c>
      <c r="DOE1" s="154" t="str">
        <f t="shared" si="48"/>
        <v>y</v>
      </c>
      <c r="DOF1" s="154" t="str">
        <f t="shared" si="48"/>
        <v>y</v>
      </c>
      <c r="DOG1" s="154" t="str">
        <f t="shared" si="48"/>
        <v>y</v>
      </c>
      <c r="DOH1" s="154" t="str">
        <f t="shared" si="48"/>
        <v>y</v>
      </c>
      <c r="DOI1" s="154" t="str">
        <f t="shared" si="48"/>
        <v>y</v>
      </c>
      <c r="DOJ1" s="154" t="str">
        <f t="shared" si="48"/>
        <v>y</v>
      </c>
      <c r="DOK1" s="154" t="str">
        <f t="shared" si="48"/>
        <v>y</v>
      </c>
      <c r="DOL1" s="154" t="str">
        <f t="shared" si="48"/>
        <v>y</v>
      </c>
      <c r="DOM1" s="154" t="str">
        <f t="shared" si="48"/>
        <v>y</v>
      </c>
      <c r="DON1" s="154" t="str">
        <f t="shared" si="48"/>
        <v>y</v>
      </c>
      <c r="DOO1" s="154" t="str">
        <f t="shared" si="48"/>
        <v>y</v>
      </c>
      <c r="DOP1" s="154" t="str">
        <f t="shared" si="48"/>
        <v>y</v>
      </c>
      <c r="DOQ1" s="154" t="str">
        <f t="shared" si="48"/>
        <v>y</v>
      </c>
      <c r="DOR1" s="154" t="str">
        <f t="shared" si="48"/>
        <v>y</v>
      </c>
      <c r="DOS1" s="154" t="str">
        <f t="shared" si="48"/>
        <v>y</v>
      </c>
      <c r="DOT1" s="154" t="str">
        <f t="shared" si="48"/>
        <v>y</v>
      </c>
      <c r="DOU1" s="154" t="str">
        <f t="shared" si="48"/>
        <v>y</v>
      </c>
      <c r="DOV1" s="154" t="str">
        <f t="shared" si="48"/>
        <v>y</v>
      </c>
      <c r="DOW1" s="154" t="str">
        <f t="shared" si="48"/>
        <v>y</v>
      </c>
      <c r="DOX1" s="154" t="str">
        <f t="shared" si="48"/>
        <v>y</v>
      </c>
      <c r="DOY1" s="154" t="str">
        <f t="shared" si="48"/>
        <v>y</v>
      </c>
      <c r="DOZ1" s="154" t="str">
        <f t="shared" si="48"/>
        <v>y</v>
      </c>
      <c r="DPA1" s="154" t="str">
        <f t="shared" si="48"/>
        <v>y</v>
      </c>
      <c r="DPB1" s="154" t="str">
        <f t="shared" si="48"/>
        <v>y</v>
      </c>
      <c r="DPC1" s="154" t="str">
        <f t="shared" si="48"/>
        <v>y</v>
      </c>
      <c r="DPD1" s="154" t="str">
        <f t="shared" si="48"/>
        <v>y</v>
      </c>
      <c r="DPE1" s="154" t="str">
        <f t="shared" si="48"/>
        <v>y</v>
      </c>
      <c r="DPF1" s="154" t="str">
        <f t="shared" si="48"/>
        <v>y</v>
      </c>
      <c r="DPG1" s="154" t="str">
        <f t="shared" si="48"/>
        <v>y</v>
      </c>
      <c r="DPH1" s="154" t="str">
        <f t="shared" si="48"/>
        <v>y</v>
      </c>
      <c r="DPI1" s="154" t="str">
        <f t="shared" si="48"/>
        <v>y</v>
      </c>
      <c r="DPJ1" s="154" t="str">
        <f t="shared" si="48"/>
        <v>y</v>
      </c>
      <c r="DPK1" s="154" t="str">
        <f t="shared" si="48"/>
        <v>y</v>
      </c>
      <c r="DPL1" s="154" t="str">
        <f t="shared" si="48"/>
        <v>y</v>
      </c>
      <c r="DPM1" s="154" t="str">
        <f t="shared" si="48"/>
        <v>y</v>
      </c>
      <c r="DPN1" s="154" t="str">
        <f t="shared" si="48"/>
        <v>y</v>
      </c>
      <c r="DPO1" s="154" t="str">
        <f t="shared" si="48"/>
        <v>y</v>
      </c>
      <c r="DPP1" s="154" t="str">
        <f t="shared" si="48"/>
        <v>y</v>
      </c>
      <c r="DPQ1" s="154" t="str">
        <f t="shared" si="48"/>
        <v>y</v>
      </c>
      <c r="DPR1" s="154" t="str">
        <f t="shared" si="48"/>
        <v>y</v>
      </c>
      <c r="DPS1" s="154" t="str">
        <f t="shared" si="48"/>
        <v>y</v>
      </c>
      <c r="DPT1" s="154" t="str">
        <f t="shared" ref="DPT1:DSE1" si="49">DPT2&amp;"y"</f>
        <v>y</v>
      </c>
      <c r="DPU1" s="154" t="str">
        <f t="shared" si="49"/>
        <v>y</v>
      </c>
      <c r="DPV1" s="154" t="str">
        <f t="shared" si="49"/>
        <v>y</v>
      </c>
      <c r="DPW1" s="154" t="str">
        <f t="shared" si="49"/>
        <v>y</v>
      </c>
      <c r="DPX1" s="154" t="str">
        <f t="shared" si="49"/>
        <v>y</v>
      </c>
      <c r="DPY1" s="154" t="str">
        <f t="shared" si="49"/>
        <v>y</v>
      </c>
      <c r="DPZ1" s="154" t="str">
        <f t="shared" si="49"/>
        <v>y</v>
      </c>
      <c r="DQA1" s="154" t="str">
        <f t="shared" si="49"/>
        <v>y</v>
      </c>
      <c r="DQB1" s="154" t="str">
        <f t="shared" si="49"/>
        <v>y</v>
      </c>
      <c r="DQC1" s="154" t="str">
        <f t="shared" si="49"/>
        <v>y</v>
      </c>
      <c r="DQD1" s="154" t="str">
        <f t="shared" si="49"/>
        <v>y</v>
      </c>
      <c r="DQE1" s="154" t="str">
        <f t="shared" si="49"/>
        <v>y</v>
      </c>
      <c r="DQF1" s="154" t="str">
        <f t="shared" si="49"/>
        <v>y</v>
      </c>
      <c r="DQG1" s="154" t="str">
        <f t="shared" si="49"/>
        <v>y</v>
      </c>
      <c r="DQH1" s="154" t="str">
        <f t="shared" si="49"/>
        <v>y</v>
      </c>
      <c r="DQI1" s="154" t="str">
        <f t="shared" si="49"/>
        <v>y</v>
      </c>
      <c r="DQJ1" s="154" t="str">
        <f t="shared" si="49"/>
        <v>y</v>
      </c>
      <c r="DQK1" s="154" t="str">
        <f t="shared" si="49"/>
        <v>y</v>
      </c>
      <c r="DQL1" s="154" t="str">
        <f t="shared" si="49"/>
        <v>y</v>
      </c>
      <c r="DQM1" s="154" t="str">
        <f t="shared" si="49"/>
        <v>y</v>
      </c>
      <c r="DQN1" s="154" t="str">
        <f t="shared" si="49"/>
        <v>y</v>
      </c>
      <c r="DQO1" s="154" t="str">
        <f t="shared" si="49"/>
        <v>y</v>
      </c>
      <c r="DQP1" s="154" t="str">
        <f t="shared" si="49"/>
        <v>y</v>
      </c>
      <c r="DQQ1" s="154" t="str">
        <f t="shared" si="49"/>
        <v>y</v>
      </c>
      <c r="DQR1" s="154" t="str">
        <f t="shared" si="49"/>
        <v>y</v>
      </c>
      <c r="DQS1" s="154" t="str">
        <f t="shared" si="49"/>
        <v>y</v>
      </c>
      <c r="DQT1" s="154" t="str">
        <f t="shared" si="49"/>
        <v>y</v>
      </c>
      <c r="DQU1" s="154" t="str">
        <f t="shared" si="49"/>
        <v>y</v>
      </c>
      <c r="DQV1" s="154" t="str">
        <f t="shared" si="49"/>
        <v>y</v>
      </c>
      <c r="DQW1" s="154" t="str">
        <f t="shared" si="49"/>
        <v>y</v>
      </c>
      <c r="DQX1" s="154" t="str">
        <f t="shared" si="49"/>
        <v>y</v>
      </c>
      <c r="DQY1" s="154" t="str">
        <f t="shared" si="49"/>
        <v>y</v>
      </c>
      <c r="DQZ1" s="154" t="str">
        <f t="shared" si="49"/>
        <v>y</v>
      </c>
      <c r="DRA1" s="154" t="str">
        <f t="shared" si="49"/>
        <v>y</v>
      </c>
      <c r="DRB1" s="154" t="str">
        <f t="shared" si="49"/>
        <v>y</v>
      </c>
      <c r="DRC1" s="154" t="str">
        <f t="shared" si="49"/>
        <v>y</v>
      </c>
      <c r="DRD1" s="154" t="str">
        <f t="shared" si="49"/>
        <v>y</v>
      </c>
      <c r="DRE1" s="154" t="str">
        <f t="shared" si="49"/>
        <v>y</v>
      </c>
      <c r="DRF1" s="154" t="str">
        <f t="shared" si="49"/>
        <v>y</v>
      </c>
      <c r="DRG1" s="154" t="str">
        <f t="shared" si="49"/>
        <v>y</v>
      </c>
      <c r="DRH1" s="154" t="str">
        <f t="shared" si="49"/>
        <v>y</v>
      </c>
      <c r="DRI1" s="154" t="str">
        <f t="shared" si="49"/>
        <v>y</v>
      </c>
      <c r="DRJ1" s="154" t="str">
        <f t="shared" si="49"/>
        <v>y</v>
      </c>
      <c r="DRK1" s="154" t="str">
        <f t="shared" si="49"/>
        <v>y</v>
      </c>
      <c r="DRL1" s="154" t="str">
        <f t="shared" si="49"/>
        <v>y</v>
      </c>
      <c r="DRM1" s="154" t="str">
        <f t="shared" si="49"/>
        <v>y</v>
      </c>
      <c r="DRN1" s="154" t="str">
        <f t="shared" si="49"/>
        <v>y</v>
      </c>
      <c r="DRO1" s="154" t="str">
        <f t="shared" si="49"/>
        <v>y</v>
      </c>
      <c r="DRP1" s="154" t="str">
        <f t="shared" si="49"/>
        <v>y</v>
      </c>
      <c r="DRQ1" s="154" t="str">
        <f t="shared" si="49"/>
        <v>y</v>
      </c>
      <c r="DRR1" s="154" t="str">
        <f t="shared" si="49"/>
        <v>y</v>
      </c>
      <c r="DRS1" s="154" t="str">
        <f t="shared" si="49"/>
        <v>y</v>
      </c>
      <c r="DRT1" s="154" t="str">
        <f t="shared" si="49"/>
        <v>y</v>
      </c>
      <c r="DRU1" s="154" t="str">
        <f t="shared" si="49"/>
        <v>y</v>
      </c>
      <c r="DRV1" s="154" t="str">
        <f t="shared" si="49"/>
        <v>y</v>
      </c>
      <c r="DRW1" s="154" t="str">
        <f t="shared" si="49"/>
        <v>y</v>
      </c>
      <c r="DRX1" s="154" t="str">
        <f t="shared" si="49"/>
        <v>y</v>
      </c>
      <c r="DRY1" s="154" t="str">
        <f t="shared" si="49"/>
        <v>y</v>
      </c>
      <c r="DRZ1" s="154" t="str">
        <f t="shared" si="49"/>
        <v>y</v>
      </c>
      <c r="DSA1" s="154" t="str">
        <f t="shared" si="49"/>
        <v>y</v>
      </c>
      <c r="DSB1" s="154" t="str">
        <f t="shared" si="49"/>
        <v>y</v>
      </c>
      <c r="DSC1" s="154" t="str">
        <f t="shared" si="49"/>
        <v>y</v>
      </c>
      <c r="DSD1" s="154" t="str">
        <f t="shared" si="49"/>
        <v>y</v>
      </c>
      <c r="DSE1" s="154" t="str">
        <f t="shared" si="49"/>
        <v>y</v>
      </c>
      <c r="DSF1" s="154" t="str">
        <f t="shared" ref="DSF1:DUQ1" si="50">DSF2&amp;"y"</f>
        <v>y</v>
      </c>
      <c r="DSG1" s="154" t="str">
        <f t="shared" si="50"/>
        <v>y</v>
      </c>
      <c r="DSH1" s="154" t="str">
        <f t="shared" si="50"/>
        <v>y</v>
      </c>
      <c r="DSI1" s="154" t="str">
        <f t="shared" si="50"/>
        <v>y</v>
      </c>
      <c r="DSJ1" s="154" t="str">
        <f t="shared" si="50"/>
        <v>y</v>
      </c>
      <c r="DSK1" s="154" t="str">
        <f t="shared" si="50"/>
        <v>y</v>
      </c>
      <c r="DSL1" s="154" t="str">
        <f t="shared" si="50"/>
        <v>y</v>
      </c>
      <c r="DSM1" s="154" t="str">
        <f t="shared" si="50"/>
        <v>y</v>
      </c>
      <c r="DSN1" s="154" t="str">
        <f t="shared" si="50"/>
        <v>y</v>
      </c>
      <c r="DSO1" s="154" t="str">
        <f t="shared" si="50"/>
        <v>y</v>
      </c>
      <c r="DSP1" s="154" t="str">
        <f t="shared" si="50"/>
        <v>y</v>
      </c>
      <c r="DSQ1" s="154" t="str">
        <f t="shared" si="50"/>
        <v>y</v>
      </c>
      <c r="DSR1" s="154" t="str">
        <f t="shared" si="50"/>
        <v>y</v>
      </c>
      <c r="DSS1" s="154" t="str">
        <f t="shared" si="50"/>
        <v>y</v>
      </c>
      <c r="DST1" s="154" t="str">
        <f t="shared" si="50"/>
        <v>y</v>
      </c>
      <c r="DSU1" s="154" t="str">
        <f t="shared" si="50"/>
        <v>y</v>
      </c>
      <c r="DSV1" s="154" t="str">
        <f t="shared" si="50"/>
        <v>y</v>
      </c>
      <c r="DSW1" s="154" t="str">
        <f t="shared" si="50"/>
        <v>y</v>
      </c>
      <c r="DSX1" s="154" t="str">
        <f t="shared" si="50"/>
        <v>y</v>
      </c>
      <c r="DSY1" s="154" t="str">
        <f t="shared" si="50"/>
        <v>y</v>
      </c>
      <c r="DSZ1" s="154" t="str">
        <f t="shared" si="50"/>
        <v>y</v>
      </c>
      <c r="DTA1" s="154" t="str">
        <f t="shared" si="50"/>
        <v>y</v>
      </c>
      <c r="DTB1" s="154" t="str">
        <f t="shared" si="50"/>
        <v>y</v>
      </c>
      <c r="DTC1" s="154" t="str">
        <f t="shared" si="50"/>
        <v>y</v>
      </c>
      <c r="DTD1" s="154" t="str">
        <f t="shared" si="50"/>
        <v>y</v>
      </c>
      <c r="DTE1" s="154" t="str">
        <f t="shared" si="50"/>
        <v>y</v>
      </c>
      <c r="DTF1" s="154" t="str">
        <f t="shared" si="50"/>
        <v>y</v>
      </c>
      <c r="DTG1" s="154" t="str">
        <f t="shared" si="50"/>
        <v>y</v>
      </c>
      <c r="DTH1" s="154" t="str">
        <f t="shared" si="50"/>
        <v>y</v>
      </c>
      <c r="DTI1" s="154" t="str">
        <f t="shared" si="50"/>
        <v>y</v>
      </c>
      <c r="DTJ1" s="154" t="str">
        <f t="shared" si="50"/>
        <v>y</v>
      </c>
      <c r="DTK1" s="154" t="str">
        <f t="shared" si="50"/>
        <v>y</v>
      </c>
      <c r="DTL1" s="154" t="str">
        <f t="shared" si="50"/>
        <v>y</v>
      </c>
      <c r="DTM1" s="154" t="str">
        <f t="shared" si="50"/>
        <v>y</v>
      </c>
      <c r="DTN1" s="154" t="str">
        <f t="shared" si="50"/>
        <v>y</v>
      </c>
      <c r="DTO1" s="154" t="str">
        <f t="shared" si="50"/>
        <v>y</v>
      </c>
      <c r="DTP1" s="154" t="str">
        <f t="shared" si="50"/>
        <v>y</v>
      </c>
      <c r="DTQ1" s="154" t="str">
        <f t="shared" si="50"/>
        <v>y</v>
      </c>
      <c r="DTR1" s="154" t="str">
        <f t="shared" si="50"/>
        <v>y</v>
      </c>
      <c r="DTS1" s="154" t="str">
        <f t="shared" si="50"/>
        <v>y</v>
      </c>
      <c r="DTT1" s="154" t="str">
        <f t="shared" si="50"/>
        <v>y</v>
      </c>
      <c r="DTU1" s="154" t="str">
        <f t="shared" si="50"/>
        <v>y</v>
      </c>
      <c r="DTV1" s="154" t="str">
        <f t="shared" si="50"/>
        <v>y</v>
      </c>
      <c r="DTW1" s="154" t="str">
        <f t="shared" si="50"/>
        <v>y</v>
      </c>
      <c r="DTX1" s="154" t="str">
        <f t="shared" si="50"/>
        <v>y</v>
      </c>
      <c r="DTY1" s="154" t="str">
        <f t="shared" si="50"/>
        <v>y</v>
      </c>
      <c r="DTZ1" s="154" t="str">
        <f t="shared" si="50"/>
        <v>y</v>
      </c>
      <c r="DUA1" s="154" t="str">
        <f t="shared" si="50"/>
        <v>y</v>
      </c>
      <c r="DUB1" s="154" t="str">
        <f t="shared" si="50"/>
        <v>y</v>
      </c>
      <c r="DUC1" s="154" t="str">
        <f t="shared" si="50"/>
        <v>y</v>
      </c>
      <c r="DUD1" s="154" t="str">
        <f t="shared" si="50"/>
        <v>y</v>
      </c>
      <c r="DUE1" s="154" t="str">
        <f t="shared" si="50"/>
        <v>y</v>
      </c>
      <c r="DUF1" s="154" t="str">
        <f t="shared" si="50"/>
        <v>y</v>
      </c>
      <c r="DUG1" s="154" t="str">
        <f t="shared" si="50"/>
        <v>y</v>
      </c>
      <c r="DUH1" s="154" t="str">
        <f t="shared" si="50"/>
        <v>y</v>
      </c>
      <c r="DUI1" s="154" t="str">
        <f t="shared" si="50"/>
        <v>y</v>
      </c>
      <c r="DUJ1" s="154" t="str">
        <f t="shared" si="50"/>
        <v>y</v>
      </c>
      <c r="DUK1" s="154" t="str">
        <f t="shared" si="50"/>
        <v>y</v>
      </c>
      <c r="DUL1" s="154" t="str">
        <f t="shared" si="50"/>
        <v>y</v>
      </c>
      <c r="DUM1" s="154" t="str">
        <f t="shared" si="50"/>
        <v>y</v>
      </c>
      <c r="DUN1" s="154" t="str">
        <f t="shared" si="50"/>
        <v>y</v>
      </c>
      <c r="DUO1" s="154" t="str">
        <f t="shared" si="50"/>
        <v>y</v>
      </c>
      <c r="DUP1" s="154" t="str">
        <f t="shared" si="50"/>
        <v>y</v>
      </c>
      <c r="DUQ1" s="154" t="str">
        <f t="shared" si="50"/>
        <v>y</v>
      </c>
      <c r="DUR1" s="154" t="str">
        <f t="shared" ref="DUR1:DXC1" si="51">DUR2&amp;"y"</f>
        <v>y</v>
      </c>
      <c r="DUS1" s="154" t="str">
        <f t="shared" si="51"/>
        <v>y</v>
      </c>
      <c r="DUT1" s="154" t="str">
        <f t="shared" si="51"/>
        <v>y</v>
      </c>
      <c r="DUU1" s="154" t="str">
        <f t="shared" si="51"/>
        <v>y</v>
      </c>
      <c r="DUV1" s="154" t="str">
        <f t="shared" si="51"/>
        <v>y</v>
      </c>
      <c r="DUW1" s="154" t="str">
        <f t="shared" si="51"/>
        <v>y</v>
      </c>
      <c r="DUX1" s="154" t="str">
        <f t="shared" si="51"/>
        <v>y</v>
      </c>
      <c r="DUY1" s="154" t="str">
        <f t="shared" si="51"/>
        <v>y</v>
      </c>
      <c r="DUZ1" s="154" t="str">
        <f t="shared" si="51"/>
        <v>y</v>
      </c>
      <c r="DVA1" s="154" t="str">
        <f t="shared" si="51"/>
        <v>y</v>
      </c>
      <c r="DVB1" s="154" t="str">
        <f t="shared" si="51"/>
        <v>y</v>
      </c>
      <c r="DVC1" s="154" t="str">
        <f t="shared" si="51"/>
        <v>y</v>
      </c>
      <c r="DVD1" s="154" t="str">
        <f t="shared" si="51"/>
        <v>y</v>
      </c>
      <c r="DVE1" s="154" t="str">
        <f t="shared" si="51"/>
        <v>y</v>
      </c>
      <c r="DVF1" s="154" t="str">
        <f t="shared" si="51"/>
        <v>y</v>
      </c>
      <c r="DVG1" s="154" t="str">
        <f t="shared" si="51"/>
        <v>y</v>
      </c>
      <c r="DVH1" s="154" t="str">
        <f t="shared" si="51"/>
        <v>y</v>
      </c>
      <c r="DVI1" s="154" t="str">
        <f t="shared" si="51"/>
        <v>y</v>
      </c>
      <c r="DVJ1" s="154" t="str">
        <f t="shared" si="51"/>
        <v>y</v>
      </c>
      <c r="DVK1" s="154" t="str">
        <f t="shared" si="51"/>
        <v>y</v>
      </c>
      <c r="DVL1" s="154" t="str">
        <f t="shared" si="51"/>
        <v>y</v>
      </c>
      <c r="DVM1" s="154" t="str">
        <f t="shared" si="51"/>
        <v>y</v>
      </c>
      <c r="DVN1" s="154" t="str">
        <f t="shared" si="51"/>
        <v>y</v>
      </c>
      <c r="DVO1" s="154" t="str">
        <f t="shared" si="51"/>
        <v>y</v>
      </c>
      <c r="DVP1" s="154" t="str">
        <f t="shared" si="51"/>
        <v>y</v>
      </c>
      <c r="DVQ1" s="154" t="str">
        <f t="shared" si="51"/>
        <v>y</v>
      </c>
      <c r="DVR1" s="154" t="str">
        <f t="shared" si="51"/>
        <v>y</v>
      </c>
      <c r="DVS1" s="154" t="str">
        <f t="shared" si="51"/>
        <v>y</v>
      </c>
      <c r="DVT1" s="154" t="str">
        <f t="shared" si="51"/>
        <v>y</v>
      </c>
      <c r="DVU1" s="154" t="str">
        <f t="shared" si="51"/>
        <v>y</v>
      </c>
      <c r="DVV1" s="154" t="str">
        <f t="shared" si="51"/>
        <v>y</v>
      </c>
      <c r="DVW1" s="154" t="str">
        <f t="shared" si="51"/>
        <v>y</v>
      </c>
      <c r="DVX1" s="154" t="str">
        <f t="shared" si="51"/>
        <v>y</v>
      </c>
      <c r="DVY1" s="154" t="str">
        <f t="shared" si="51"/>
        <v>y</v>
      </c>
      <c r="DVZ1" s="154" t="str">
        <f t="shared" si="51"/>
        <v>y</v>
      </c>
      <c r="DWA1" s="154" t="str">
        <f t="shared" si="51"/>
        <v>y</v>
      </c>
      <c r="DWB1" s="154" t="str">
        <f t="shared" si="51"/>
        <v>y</v>
      </c>
      <c r="DWC1" s="154" t="str">
        <f t="shared" si="51"/>
        <v>y</v>
      </c>
      <c r="DWD1" s="154" t="str">
        <f t="shared" si="51"/>
        <v>y</v>
      </c>
      <c r="DWE1" s="154" t="str">
        <f t="shared" si="51"/>
        <v>y</v>
      </c>
      <c r="DWF1" s="154" t="str">
        <f t="shared" si="51"/>
        <v>y</v>
      </c>
      <c r="DWG1" s="154" t="str">
        <f t="shared" si="51"/>
        <v>y</v>
      </c>
      <c r="DWH1" s="154" t="str">
        <f t="shared" si="51"/>
        <v>y</v>
      </c>
      <c r="DWI1" s="154" t="str">
        <f t="shared" si="51"/>
        <v>y</v>
      </c>
      <c r="DWJ1" s="154" t="str">
        <f t="shared" si="51"/>
        <v>y</v>
      </c>
      <c r="DWK1" s="154" t="str">
        <f t="shared" si="51"/>
        <v>y</v>
      </c>
      <c r="DWL1" s="154" t="str">
        <f t="shared" si="51"/>
        <v>y</v>
      </c>
      <c r="DWM1" s="154" t="str">
        <f t="shared" si="51"/>
        <v>y</v>
      </c>
      <c r="DWN1" s="154" t="str">
        <f t="shared" si="51"/>
        <v>y</v>
      </c>
      <c r="DWO1" s="154" t="str">
        <f t="shared" si="51"/>
        <v>y</v>
      </c>
      <c r="DWP1" s="154" t="str">
        <f t="shared" si="51"/>
        <v>y</v>
      </c>
      <c r="DWQ1" s="154" t="str">
        <f t="shared" si="51"/>
        <v>y</v>
      </c>
      <c r="DWR1" s="154" t="str">
        <f t="shared" si="51"/>
        <v>y</v>
      </c>
      <c r="DWS1" s="154" t="str">
        <f t="shared" si="51"/>
        <v>y</v>
      </c>
      <c r="DWT1" s="154" t="str">
        <f t="shared" si="51"/>
        <v>y</v>
      </c>
      <c r="DWU1" s="154" t="str">
        <f t="shared" si="51"/>
        <v>y</v>
      </c>
      <c r="DWV1" s="154" t="str">
        <f t="shared" si="51"/>
        <v>y</v>
      </c>
      <c r="DWW1" s="154" t="str">
        <f t="shared" si="51"/>
        <v>y</v>
      </c>
      <c r="DWX1" s="154" t="str">
        <f t="shared" si="51"/>
        <v>y</v>
      </c>
      <c r="DWY1" s="154" t="str">
        <f t="shared" si="51"/>
        <v>y</v>
      </c>
      <c r="DWZ1" s="154" t="str">
        <f t="shared" si="51"/>
        <v>y</v>
      </c>
      <c r="DXA1" s="154" t="str">
        <f t="shared" si="51"/>
        <v>y</v>
      </c>
      <c r="DXB1" s="154" t="str">
        <f t="shared" si="51"/>
        <v>y</v>
      </c>
      <c r="DXC1" s="154" t="str">
        <f t="shared" si="51"/>
        <v>y</v>
      </c>
      <c r="DXD1" s="154" t="str">
        <f t="shared" ref="DXD1:DZO1" si="52">DXD2&amp;"y"</f>
        <v>y</v>
      </c>
      <c r="DXE1" s="154" t="str">
        <f t="shared" si="52"/>
        <v>y</v>
      </c>
      <c r="DXF1" s="154" t="str">
        <f t="shared" si="52"/>
        <v>y</v>
      </c>
      <c r="DXG1" s="154" t="str">
        <f t="shared" si="52"/>
        <v>y</v>
      </c>
      <c r="DXH1" s="154" t="str">
        <f t="shared" si="52"/>
        <v>y</v>
      </c>
      <c r="DXI1" s="154" t="str">
        <f t="shared" si="52"/>
        <v>y</v>
      </c>
      <c r="DXJ1" s="154" t="str">
        <f t="shared" si="52"/>
        <v>y</v>
      </c>
      <c r="DXK1" s="154" t="str">
        <f t="shared" si="52"/>
        <v>y</v>
      </c>
      <c r="DXL1" s="154" t="str">
        <f t="shared" si="52"/>
        <v>y</v>
      </c>
      <c r="DXM1" s="154" t="str">
        <f t="shared" si="52"/>
        <v>y</v>
      </c>
      <c r="DXN1" s="154" t="str">
        <f t="shared" si="52"/>
        <v>y</v>
      </c>
      <c r="DXO1" s="154" t="str">
        <f t="shared" si="52"/>
        <v>y</v>
      </c>
      <c r="DXP1" s="154" t="str">
        <f t="shared" si="52"/>
        <v>y</v>
      </c>
      <c r="DXQ1" s="154" t="str">
        <f t="shared" si="52"/>
        <v>y</v>
      </c>
      <c r="DXR1" s="154" t="str">
        <f t="shared" si="52"/>
        <v>y</v>
      </c>
      <c r="DXS1" s="154" t="str">
        <f t="shared" si="52"/>
        <v>y</v>
      </c>
      <c r="DXT1" s="154" t="str">
        <f t="shared" si="52"/>
        <v>y</v>
      </c>
      <c r="DXU1" s="154" t="str">
        <f t="shared" si="52"/>
        <v>y</v>
      </c>
      <c r="DXV1" s="154" t="str">
        <f t="shared" si="52"/>
        <v>y</v>
      </c>
      <c r="DXW1" s="154" t="str">
        <f t="shared" si="52"/>
        <v>y</v>
      </c>
      <c r="DXX1" s="154" t="str">
        <f t="shared" si="52"/>
        <v>y</v>
      </c>
      <c r="DXY1" s="154" t="str">
        <f t="shared" si="52"/>
        <v>y</v>
      </c>
      <c r="DXZ1" s="154" t="str">
        <f t="shared" si="52"/>
        <v>y</v>
      </c>
      <c r="DYA1" s="154" t="str">
        <f t="shared" si="52"/>
        <v>y</v>
      </c>
      <c r="DYB1" s="154" t="str">
        <f t="shared" si="52"/>
        <v>y</v>
      </c>
      <c r="DYC1" s="154" t="str">
        <f t="shared" si="52"/>
        <v>y</v>
      </c>
      <c r="DYD1" s="154" t="str">
        <f t="shared" si="52"/>
        <v>y</v>
      </c>
      <c r="DYE1" s="154" t="str">
        <f t="shared" si="52"/>
        <v>y</v>
      </c>
      <c r="DYF1" s="154" t="str">
        <f t="shared" si="52"/>
        <v>y</v>
      </c>
      <c r="DYG1" s="154" t="str">
        <f t="shared" si="52"/>
        <v>y</v>
      </c>
      <c r="DYH1" s="154" t="str">
        <f t="shared" si="52"/>
        <v>y</v>
      </c>
      <c r="DYI1" s="154" t="str">
        <f t="shared" si="52"/>
        <v>y</v>
      </c>
      <c r="DYJ1" s="154" t="str">
        <f t="shared" si="52"/>
        <v>y</v>
      </c>
      <c r="DYK1" s="154" t="str">
        <f t="shared" si="52"/>
        <v>y</v>
      </c>
      <c r="DYL1" s="154" t="str">
        <f t="shared" si="52"/>
        <v>y</v>
      </c>
      <c r="DYM1" s="154" t="str">
        <f t="shared" si="52"/>
        <v>y</v>
      </c>
      <c r="DYN1" s="154" t="str">
        <f t="shared" si="52"/>
        <v>y</v>
      </c>
      <c r="DYO1" s="154" t="str">
        <f t="shared" si="52"/>
        <v>y</v>
      </c>
      <c r="DYP1" s="154" t="str">
        <f t="shared" si="52"/>
        <v>y</v>
      </c>
      <c r="DYQ1" s="154" t="str">
        <f t="shared" si="52"/>
        <v>y</v>
      </c>
      <c r="DYR1" s="154" t="str">
        <f t="shared" si="52"/>
        <v>y</v>
      </c>
      <c r="DYS1" s="154" t="str">
        <f t="shared" si="52"/>
        <v>y</v>
      </c>
      <c r="DYT1" s="154" t="str">
        <f t="shared" si="52"/>
        <v>y</v>
      </c>
      <c r="DYU1" s="154" t="str">
        <f t="shared" si="52"/>
        <v>y</v>
      </c>
      <c r="DYV1" s="154" t="str">
        <f t="shared" si="52"/>
        <v>y</v>
      </c>
      <c r="DYW1" s="154" t="str">
        <f t="shared" si="52"/>
        <v>y</v>
      </c>
      <c r="DYX1" s="154" t="str">
        <f t="shared" si="52"/>
        <v>y</v>
      </c>
      <c r="DYY1" s="154" t="str">
        <f t="shared" si="52"/>
        <v>y</v>
      </c>
      <c r="DYZ1" s="154" t="str">
        <f t="shared" si="52"/>
        <v>y</v>
      </c>
      <c r="DZA1" s="154" t="str">
        <f t="shared" si="52"/>
        <v>y</v>
      </c>
      <c r="DZB1" s="154" t="str">
        <f t="shared" si="52"/>
        <v>y</v>
      </c>
      <c r="DZC1" s="154" t="str">
        <f t="shared" si="52"/>
        <v>y</v>
      </c>
      <c r="DZD1" s="154" t="str">
        <f t="shared" si="52"/>
        <v>y</v>
      </c>
      <c r="DZE1" s="154" t="str">
        <f t="shared" si="52"/>
        <v>y</v>
      </c>
      <c r="DZF1" s="154" t="str">
        <f t="shared" si="52"/>
        <v>y</v>
      </c>
      <c r="DZG1" s="154" t="str">
        <f t="shared" si="52"/>
        <v>y</v>
      </c>
      <c r="DZH1" s="154" t="str">
        <f t="shared" si="52"/>
        <v>y</v>
      </c>
      <c r="DZI1" s="154" t="str">
        <f t="shared" si="52"/>
        <v>y</v>
      </c>
      <c r="DZJ1" s="154" t="str">
        <f t="shared" si="52"/>
        <v>y</v>
      </c>
      <c r="DZK1" s="154" t="str">
        <f t="shared" si="52"/>
        <v>y</v>
      </c>
      <c r="DZL1" s="154" t="str">
        <f t="shared" si="52"/>
        <v>y</v>
      </c>
      <c r="DZM1" s="154" t="str">
        <f t="shared" si="52"/>
        <v>y</v>
      </c>
      <c r="DZN1" s="154" t="str">
        <f t="shared" si="52"/>
        <v>y</v>
      </c>
      <c r="DZO1" s="154" t="str">
        <f t="shared" si="52"/>
        <v>y</v>
      </c>
      <c r="DZP1" s="154" t="str">
        <f t="shared" ref="DZP1:ECA1" si="53">DZP2&amp;"y"</f>
        <v>y</v>
      </c>
      <c r="DZQ1" s="154" t="str">
        <f t="shared" si="53"/>
        <v>y</v>
      </c>
      <c r="DZR1" s="154" t="str">
        <f t="shared" si="53"/>
        <v>y</v>
      </c>
      <c r="DZS1" s="154" t="str">
        <f t="shared" si="53"/>
        <v>y</v>
      </c>
      <c r="DZT1" s="154" t="str">
        <f t="shared" si="53"/>
        <v>y</v>
      </c>
      <c r="DZU1" s="154" t="str">
        <f t="shared" si="53"/>
        <v>y</v>
      </c>
      <c r="DZV1" s="154" t="str">
        <f t="shared" si="53"/>
        <v>y</v>
      </c>
      <c r="DZW1" s="154" t="str">
        <f t="shared" si="53"/>
        <v>y</v>
      </c>
      <c r="DZX1" s="154" t="str">
        <f t="shared" si="53"/>
        <v>y</v>
      </c>
      <c r="DZY1" s="154" t="str">
        <f t="shared" si="53"/>
        <v>y</v>
      </c>
      <c r="DZZ1" s="154" t="str">
        <f t="shared" si="53"/>
        <v>y</v>
      </c>
      <c r="EAA1" s="154" t="str">
        <f t="shared" si="53"/>
        <v>y</v>
      </c>
      <c r="EAB1" s="154" t="str">
        <f t="shared" si="53"/>
        <v>y</v>
      </c>
      <c r="EAC1" s="154" t="str">
        <f t="shared" si="53"/>
        <v>y</v>
      </c>
      <c r="EAD1" s="154" t="str">
        <f t="shared" si="53"/>
        <v>y</v>
      </c>
      <c r="EAE1" s="154" t="str">
        <f t="shared" si="53"/>
        <v>y</v>
      </c>
      <c r="EAF1" s="154" t="str">
        <f t="shared" si="53"/>
        <v>y</v>
      </c>
      <c r="EAG1" s="154" t="str">
        <f t="shared" si="53"/>
        <v>y</v>
      </c>
      <c r="EAH1" s="154" t="str">
        <f t="shared" si="53"/>
        <v>y</v>
      </c>
      <c r="EAI1" s="154" t="str">
        <f t="shared" si="53"/>
        <v>y</v>
      </c>
      <c r="EAJ1" s="154" t="str">
        <f t="shared" si="53"/>
        <v>y</v>
      </c>
      <c r="EAK1" s="154" t="str">
        <f t="shared" si="53"/>
        <v>y</v>
      </c>
      <c r="EAL1" s="154" t="str">
        <f t="shared" si="53"/>
        <v>y</v>
      </c>
      <c r="EAM1" s="154" t="str">
        <f t="shared" si="53"/>
        <v>y</v>
      </c>
      <c r="EAN1" s="154" t="str">
        <f t="shared" si="53"/>
        <v>y</v>
      </c>
      <c r="EAO1" s="154" t="str">
        <f t="shared" si="53"/>
        <v>y</v>
      </c>
      <c r="EAP1" s="154" t="str">
        <f t="shared" si="53"/>
        <v>y</v>
      </c>
      <c r="EAQ1" s="154" t="str">
        <f t="shared" si="53"/>
        <v>y</v>
      </c>
      <c r="EAR1" s="154" t="str">
        <f t="shared" si="53"/>
        <v>y</v>
      </c>
      <c r="EAS1" s="154" t="str">
        <f t="shared" si="53"/>
        <v>y</v>
      </c>
      <c r="EAT1" s="154" t="str">
        <f t="shared" si="53"/>
        <v>y</v>
      </c>
      <c r="EAU1" s="154" t="str">
        <f t="shared" si="53"/>
        <v>y</v>
      </c>
      <c r="EAV1" s="154" t="str">
        <f t="shared" si="53"/>
        <v>y</v>
      </c>
      <c r="EAW1" s="154" t="str">
        <f t="shared" si="53"/>
        <v>y</v>
      </c>
      <c r="EAX1" s="154" t="str">
        <f t="shared" si="53"/>
        <v>y</v>
      </c>
      <c r="EAY1" s="154" t="str">
        <f t="shared" si="53"/>
        <v>y</v>
      </c>
      <c r="EAZ1" s="154" t="str">
        <f t="shared" si="53"/>
        <v>y</v>
      </c>
      <c r="EBA1" s="154" t="str">
        <f t="shared" si="53"/>
        <v>y</v>
      </c>
      <c r="EBB1" s="154" t="str">
        <f t="shared" si="53"/>
        <v>y</v>
      </c>
      <c r="EBC1" s="154" t="str">
        <f t="shared" si="53"/>
        <v>y</v>
      </c>
      <c r="EBD1" s="154" t="str">
        <f t="shared" si="53"/>
        <v>y</v>
      </c>
      <c r="EBE1" s="154" t="str">
        <f t="shared" si="53"/>
        <v>y</v>
      </c>
      <c r="EBF1" s="154" t="str">
        <f t="shared" si="53"/>
        <v>y</v>
      </c>
      <c r="EBG1" s="154" t="str">
        <f t="shared" si="53"/>
        <v>y</v>
      </c>
      <c r="EBH1" s="154" t="str">
        <f t="shared" si="53"/>
        <v>y</v>
      </c>
      <c r="EBI1" s="154" t="str">
        <f t="shared" si="53"/>
        <v>y</v>
      </c>
      <c r="EBJ1" s="154" t="str">
        <f t="shared" si="53"/>
        <v>y</v>
      </c>
      <c r="EBK1" s="154" t="str">
        <f t="shared" si="53"/>
        <v>y</v>
      </c>
      <c r="EBL1" s="154" t="str">
        <f t="shared" si="53"/>
        <v>y</v>
      </c>
      <c r="EBM1" s="154" t="str">
        <f t="shared" si="53"/>
        <v>y</v>
      </c>
      <c r="EBN1" s="154" t="str">
        <f t="shared" si="53"/>
        <v>y</v>
      </c>
      <c r="EBO1" s="154" t="str">
        <f t="shared" si="53"/>
        <v>y</v>
      </c>
      <c r="EBP1" s="154" t="str">
        <f t="shared" si="53"/>
        <v>y</v>
      </c>
      <c r="EBQ1" s="154" t="str">
        <f t="shared" si="53"/>
        <v>y</v>
      </c>
      <c r="EBR1" s="154" t="str">
        <f t="shared" si="53"/>
        <v>y</v>
      </c>
      <c r="EBS1" s="154" t="str">
        <f t="shared" si="53"/>
        <v>y</v>
      </c>
      <c r="EBT1" s="154" t="str">
        <f t="shared" si="53"/>
        <v>y</v>
      </c>
      <c r="EBU1" s="154" t="str">
        <f t="shared" si="53"/>
        <v>y</v>
      </c>
      <c r="EBV1" s="154" t="str">
        <f t="shared" si="53"/>
        <v>y</v>
      </c>
      <c r="EBW1" s="154" t="str">
        <f t="shared" si="53"/>
        <v>y</v>
      </c>
      <c r="EBX1" s="154" t="str">
        <f t="shared" si="53"/>
        <v>y</v>
      </c>
      <c r="EBY1" s="154" t="str">
        <f t="shared" si="53"/>
        <v>y</v>
      </c>
      <c r="EBZ1" s="154" t="str">
        <f t="shared" si="53"/>
        <v>y</v>
      </c>
      <c r="ECA1" s="154" t="str">
        <f t="shared" si="53"/>
        <v>y</v>
      </c>
      <c r="ECB1" s="154" t="str">
        <f t="shared" ref="ECB1:EEM1" si="54">ECB2&amp;"y"</f>
        <v>y</v>
      </c>
      <c r="ECC1" s="154" t="str">
        <f t="shared" si="54"/>
        <v>y</v>
      </c>
      <c r="ECD1" s="154" t="str">
        <f t="shared" si="54"/>
        <v>y</v>
      </c>
      <c r="ECE1" s="154" t="str">
        <f t="shared" si="54"/>
        <v>y</v>
      </c>
      <c r="ECF1" s="154" t="str">
        <f t="shared" si="54"/>
        <v>y</v>
      </c>
      <c r="ECG1" s="154" t="str">
        <f t="shared" si="54"/>
        <v>y</v>
      </c>
      <c r="ECH1" s="154" t="str">
        <f t="shared" si="54"/>
        <v>y</v>
      </c>
      <c r="ECI1" s="154" t="str">
        <f t="shared" si="54"/>
        <v>y</v>
      </c>
      <c r="ECJ1" s="154" t="str">
        <f t="shared" si="54"/>
        <v>y</v>
      </c>
      <c r="ECK1" s="154" t="str">
        <f t="shared" si="54"/>
        <v>y</v>
      </c>
      <c r="ECL1" s="154" t="str">
        <f t="shared" si="54"/>
        <v>y</v>
      </c>
      <c r="ECM1" s="154" t="str">
        <f t="shared" si="54"/>
        <v>y</v>
      </c>
      <c r="ECN1" s="154" t="str">
        <f t="shared" si="54"/>
        <v>y</v>
      </c>
      <c r="ECO1" s="154" t="str">
        <f t="shared" si="54"/>
        <v>y</v>
      </c>
      <c r="ECP1" s="154" t="str">
        <f t="shared" si="54"/>
        <v>y</v>
      </c>
      <c r="ECQ1" s="154" t="str">
        <f t="shared" si="54"/>
        <v>y</v>
      </c>
      <c r="ECR1" s="154" t="str">
        <f t="shared" si="54"/>
        <v>y</v>
      </c>
      <c r="ECS1" s="154" t="str">
        <f t="shared" si="54"/>
        <v>y</v>
      </c>
      <c r="ECT1" s="154" t="str">
        <f t="shared" si="54"/>
        <v>y</v>
      </c>
      <c r="ECU1" s="154" t="str">
        <f t="shared" si="54"/>
        <v>y</v>
      </c>
      <c r="ECV1" s="154" t="str">
        <f t="shared" si="54"/>
        <v>y</v>
      </c>
      <c r="ECW1" s="154" t="str">
        <f t="shared" si="54"/>
        <v>y</v>
      </c>
      <c r="ECX1" s="154" t="str">
        <f t="shared" si="54"/>
        <v>y</v>
      </c>
      <c r="ECY1" s="154" t="str">
        <f t="shared" si="54"/>
        <v>y</v>
      </c>
      <c r="ECZ1" s="154" t="str">
        <f t="shared" si="54"/>
        <v>y</v>
      </c>
      <c r="EDA1" s="154" t="str">
        <f t="shared" si="54"/>
        <v>y</v>
      </c>
      <c r="EDB1" s="154" t="str">
        <f t="shared" si="54"/>
        <v>y</v>
      </c>
      <c r="EDC1" s="154" t="str">
        <f t="shared" si="54"/>
        <v>y</v>
      </c>
      <c r="EDD1" s="154" t="str">
        <f t="shared" si="54"/>
        <v>y</v>
      </c>
      <c r="EDE1" s="154" t="str">
        <f t="shared" si="54"/>
        <v>y</v>
      </c>
      <c r="EDF1" s="154" t="str">
        <f t="shared" si="54"/>
        <v>y</v>
      </c>
      <c r="EDG1" s="154" t="str">
        <f t="shared" si="54"/>
        <v>y</v>
      </c>
      <c r="EDH1" s="154" t="str">
        <f t="shared" si="54"/>
        <v>y</v>
      </c>
      <c r="EDI1" s="154" t="str">
        <f t="shared" si="54"/>
        <v>y</v>
      </c>
      <c r="EDJ1" s="154" t="str">
        <f t="shared" si="54"/>
        <v>y</v>
      </c>
      <c r="EDK1" s="154" t="str">
        <f t="shared" si="54"/>
        <v>y</v>
      </c>
      <c r="EDL1" s="154" t="str">
        <f t="shared" si="54"/>
        <v>y</v>
      </c>
      <c r="EDM1" s="154" t="str">
        <f t="shared" si="54"/>
        <v>y</v>
      </c>
      <c r="EDN1" s="154" t="str">
        <f t="shared" si="54"/>
        <v>y</v>
      </c>
      <c r="EDO1" s="154" t="str">
        <f t="shared" si="54"/>
        <v>y</v>
      </c>
      <c r="EDP1" s="154" t="str">
        <f t="shared" si="54"/>
        <v>y</v>
      </c>
      <c r="EDQ1" s="154" t="str">
        <f t="shared" si="54"/>
        <v>y</v>
      </c>
      <c r="EDR1" s="154" t="str">
        <f t="shared" si="54"/>
        <v>y</v>
      </c>
      <c r="EDS1" s="154" t="str">
        <f t="shared" si="54"/>
        <v>y</v>
      </c>
      <c r="EDT1" s="154" t="str">
        <f t="shared" si="54"/>
        <v>y</v>
      </c>
      <c r="EDU1" s="154" t="str">
        <f t="shared" si="54"/>
        <v>y</v>
      </c>
      <c r="EDV1" s="154" t="str">
        <f t="shared" si="54"/>
        <v>y</v>
      </c>
      <c r="EDW1" s="154" t="str">
        <f t="shared" si="54"/>
        <v>y</v>
      </c>
      <c r="EDX1" s="154" t="str">
        <f t="shared" si="54"/>
        <v>y</v>
      </c>
      <c r="EDY1" s="154" t="str">
        <f t="shared" si="54"/>
        <v>y</v>
      </c>
      <c r="EDZ1" s="154" t="str">
        <f t="shared" si="54"/>
        <v>y</v>
      </c>
      <c r="EEA1" s="154" t="str">
        <f t="shared" si="54"/>
        <v>y</v>
      </c>
      <c r="EEB1" s="154" t="str">
        <f t="shared" si="54"/>
        <v>y</v>
      </c>
      <c r="EEC1" s="154" t="str">
        <f t="shared" si="54"/>
        <v>y</v>
      </c>
      <c r="EED1" s="154" t="str">
        <f t="shared" si="54"/>
        <v>y</v>
      </c>
      <c r="EEE1" s="154" t="str">
        <f t="shared" si="54"/>
        <v>y</v>
      </c>
      <c r="EEF1" s="154" t="str">
        <f t="shared" si="54"/>
        <v>y</v>
      </c>
      <c r="EEG1" s="154" t="str">
        <f t="shared" si="54"/>
        <v>y</v>
      </c>
      <c r="EEH1" s="154" t="str">
        <f t="shared" si="54"/>
        <v>y</v>
      </c>
      <c r="EEI1" s="154" t="str">
        <f t="shared" si="54"/>
        <v>y</v>
      </c>
      <c r="EEJ1" s="154" t="str">
        <f t="shared" si="54"/>
        <v>y</v>
      </c>
      <c r="EEK1" s="154" t="str">
        <f t="shared" si="54"/>
        <v>y</v>
      </c>
      <c r="EEL1" s="154" t="str">
        <f t="shared" si="54"/>
        <v>y</v>
      </c>
      <c r="EEM1" s="154" t="str">
        <f t="shared" si="54"/>
        <v>y</v>
      </c>
      <c r="EEN1" s="154" t="str">
        <f t="shared" ref="EEN1:EGY1" si="55">EEN2&amp;"y"</f>
        <v>y</v>
      </c>
      <c r="EEO1" s="154" t="str">
        <f t="shared" si="55"/>
        <v>y</v>
      </c>
      <c r="EEP1" s="154" t="str">
        <f t="shared" si="55"/>
        <v>y</v>
      </c>
      <c r="EEQ1" s="154" t="str">
        <f t="shared" si="55"/>
        <v>y</v>
      </c>
      <c r="EER1" s="154" t="str">
        <f t="shared" si="55"/>
        <v>y</v>
      </c>
      <c r="EES1" s="154" t="str">
        <f t="shared" si="55"/>
        <v>y</v>
      </c>
      <c r="EET1" s="154" t="str">
        <f t="shared" si="55"/>
        <v>y</v>
      </c>
      <c r="EEU1" s="154" t="str">
        <f t="shared" si="55"/>
        <v>y</v>
      </c>
      <c r="EEV1" s="154" t="str">
        <f t="shared" si="55"/>
        <v>y</v>
      </c>
      <c r="EEW1" s="154" t="str">
        <f t="shared" si="55"/>
        <v>y</v>
      </c>
      <c r="EEX1" s="154" t="str">
        <f t="shared" si="55"/>
        <v>y</v>
      </c>
      <c r="EEY1" s="154" t="str">
        <f t="shared" si="55"/>
        <v>y</v>
      </c>
      <c r="EEZ1" s="154" t="str">
        <f t="shared" si="55"/>
        <v>y</v>
      </c>
      <c r="EFA1" s="154" t="str">
        <f t="shared" si="55"/>
        <v>y</v>
      </c>
      <c r="EFB1" s="154" t="str">
        <f t="shared" si="55"/>
        <v>y</v>
      </c>
      <c r="EFC1" s="154" t="str">
        <f t="shared" si="55"/>
        <v>y</v>
      </c>
      <c r="EFD1" s="154" t="str">
        <f t="shared" si="55"/>
        <v>y</v>
      </c>
      <c r="EFE1" s="154" t="str">
        <f t="shared" si="55"/>
        <v>y</v>
      </c>
      <c r="EFF1" s="154" t="str">
        <f t="shared" si="55"/>
        <v>y</v>
      </c>
      <c r="EFG1" s="154" t="str">
        <f t="shared" si="55"/>
        <v>y</v>
      </c>
      <c r="EFH1" s="154" t="str">
        <f t="shared" si="55"/>
        <v>y</v>
      </c>
      <c r="EFI1" s="154" t="str">
        <f t="shared" si="55"/>
        <v>y</v>
      </c>
      <c r="EFJ1" s="154" t="str">
        <f t="shared" si="55"/>
        <v>y</v>
      </c>
      <c r="EFK1" s="154" t="str">
        <f t="shared" si="55"/>
        <v>y</v>
      </c>
      <c r="EFL1" s="154" t="str">
        <f t="shared" si="55"/>
        <v>y</v>
      </c>
      <c r="EFM1" s="154" t="str">
        <f t="shared" si="55"/>
        <v>y</v>
      </c>
      <c r="EFN1" s="154" t="str">
        <f t="shared" si="55"/>
        <v>y</v>
      </c>
      <c r="EFO1" s="154" t="str">
        <f t="shared" si="55"/>
        <v>y</v>
      </c>
      <c r="EFP1" s="154" t="str">
        <f t="shared" si="55"/>
        <v>y</v>
      </c>
      <c r="EFQ1" s="154" t="str">
        <f t="shared" si="55"/>
        <v>y</v>
      </c>
      <c r="EFR1" s="154" t="str">
        <f t="shared" si="55"/>
        <v>y</v>
      </c>
      <c r="EFS1" s="154" t="str">
        <f t="shared" si="55"/>
        <v>y</v>
      </c>
      <c r="EFT1" s="154" t="str">
        <f t="shared" si="55"/>
        <v>y</v>
      </c>
      <c r="EFU1" s="154" t="str">
        <f t="shared" si="55"/>
        <v>y</v>
      </c>
      <c r="EFV1" s="154" t="str">
        <f t="shared" si="55"/>
        <v>y</v>
      </c>
      <c r="EFW1" s="154" t="str">
        <f t="shared" si="55"/>
        <v>y</v>
      </c>
      <c r="EFX1" s="154" t="str">
        <f t="shared" si="55"/>
        <v>y</v>
      </c>
      <c r="EFY1" s="154" t="str">
        <f t="shared" si="55"/>
        <v>y</v>
      </c>
      <c r="EFZ1" s="154" t="str">
        <f t="shared" si="55"/>
        <v>y</v>
      </c>
      <c r="EGA1" s="154" t="str">
        <f t="shared" si="55"/>
        <v>y</v>
      </c>
      <c r="EGB1" s="154" t="str">
        <f t="shared" si="55"/>
        <v>y</v>
      </c>
      <c r="EGC1" s="154" t="str">
        <f t="shared" si="55"/>
        <v>y</v>
      </c>
      <c r="EGD1" s="154" t="str">
        <f t="shared" si="55"/>
        <v>y</v>
      </c>
      <c r="EGE1" s="154" t="str">
        <f t="shared" si="55"/>
        <v>y</v>
      </c>
      <c r="EGF1" s="154" t="str">
        <f t="shared" si="55"/>
        <v>y</v>
      </c>
      <c r="EGG1" s="154" t="str">
        <f t="shared" si="55"/>
        <v>y</v>
      </c>
      <c r="EGH1" s="154" t="str">
        <f t="shared" si="55"/>
        <v>y</v>
      </c>
      <c r="EGI1" s="154" t="str">
        <f t="shared" si="55"/>
        <v>y</v>
      </c>
      <c r="EGJ1" s="154" t="str">
        <f t="shared" si="55"/>
        <v>y</v>
      </c>
      <c r="EGK1" s="154" t="str">
        <f t="shared" si="55"/>
        <v>y</v>
      </c>
      <c r="EGL1" s="154" t="str">
        <f t="shared" si="55"/>
        <v>y</v>
      </c>
      <c r="EGM1" s="154" t="str">
        <f t="shared" si="55"/>
        <v>y</v>
      </c>
      <c r="EGN1" s="154" t="str">
        <f t="shared" si="55"/>
        <v>y</v>
      </c>
      <c r="EGO1" s="154" t="str">
        <f t="shared" si="55"/>
        <v>y</v>
      </c>
      <c r="EGP1" s="154" t="str">
        <f t="shared" si="55"/>
        <v>y</v>
      </c>
      <c r="EGQ1" s="154" t="str">
        <f t="shared" si="55"/>
        <v>y</v>
      </c>
      <c r="EGR1" s="154" t="str">
        <f t="shared" si="55"/>
        <v>y</v>
      </c>
      <c r="EGS1" s="154" t="str">
        <f t="shared" si="55"/>
        <v>y</v>
      </c>
      <c r="EGT1" s="154" t="str">
        <f t="shared" si="55"/>
        <v>y</v>
      </c>
      <c r="EGU1" s="154" t="str">
        <f t="shared" si="55"/>
        <v>y</v>
      </c>
      <c r="EGV1" s="154" t="str">
        <f t="shared" si="55"/>
        <v>y</v>
      </c>
      <c r="EGW1" s="154" t="str">
        <f t="shared" si="55"/>
        <v>y</v>
      </c>
      <c r="EGX1" s="154" t="str">
        <f t="shared" si="55"/>
        <v>y</v>
      </c>
      <c r="EGY1" s="154" t="str">
        <f t="shared" si="55"/>
        <v>y</v>
      </c>
      <c r="EGZ1" s="154" t="str">
        <f t="shared" ref="EGZ1:EJK1" si="56">EGZ2&amp;"y"</f>
        <v>y</v>
      </c>
      <c r="EHA1" s="154" t="str">
        <f t="shared" si="56"/>
        <v>y</v>
      </c>
      <c r="EHB1" s="154" t="str">
        <f t="shared" si="56"/>
        <v>y</v>
      </c>
      <c r="EHC1" s="154" t="str">
        <f t="shared" si="56"/>
        <v>y</v>
      </c>
      <c r="EHD1" s="154" t="str">
        <f t="shared" si="56"/>
        <v>y</v>
      </c>
      <c r="EHE1" s="154" t="str">
        <f t="shared" si="56"/>
        <v>y</v>
      </c>
      <c r="EHF1" s="154" t="str">
        <f t="shared" si="56"/>
        <v>y</v>
      </c>
      <c r="EHG1" s="154" t="str">
        <f t="shared" si="56"/>
        <v>y</v>
      </c>
      <c r="EHH1" s="154" t="str">
        <f t="shared" si="56"/>
        <v>y</v>
      </c>
      <c r="EHI1" s="154" t="str">
        <f t="shared" si="56"/>
        <v>y</v>
      </c>
      <c r="EHJ1" s="154" t="str">
        <f t="shared" si="56"/>
        <v>y</v>
      </c>
      <c r="EHK1" s="154" t="str">
        <f t="shared" si="56"/>
        <v>y</v>
      </c>
      <c r="EHL1" s="154" t="str">
        <f t="shared" si="56"/>
        <v>y</v>
      </c>
      <c r="EHM1" s="154" t="str">
        <f t="shared" si="56"/>
        <v>y</v>
      </c>
      <c r="EHN1" s="154" t="str">
        <f t="shared" si="56"/>
        <v>y</v>
      </c>
      <c r="EHO1" s="154" t="str">
        <f t="shared" si="56"/>
        <v>y</v>
      </c>
      <c r="EHP1" s="154" t="str">
        <f t="shared" si="56"/>
        <v>y</v>
      </c>
      <c r="EHQ1" s="154" t="str">
        <f t="shared" si="56"/>
        <v>y</v>
      </c>
      <c r="EHR1" s="154" t="str">
        <f t="shared" si="56"/>
        <v>y</v>
      </c>
      <c r="EHS1" s="154" t="str">
        <f t="shared" si="56"/>
        <v>y</v>
      </c>
      <c r="EHT1" s="154" t="str">
        <f t="shared" si="56"/>
        <v>y</v>
      </c>
      <c r="EHU1" s="154" t="str">
        <f t="shared" si="56"/>
        <v>y</v>
      </c>
      <c r="EHV1" s="154" t="str">
        <f t="shared" si="56"/>
        <v>y</v>
      </c>
      <c r="EHW1" s="154" t="str">
        <f t="shared" si="56"/>
        <v>y</v>
      </c>
      <c r="EHX1" s="154" t="str">
        <f t="shared" si="56"/>
        <v>y</v>
      </c>
      <c r="EHY1" s="154" t="str">
        <f t="shared" si="56"/>
        <v>y</v>
      </c>
      <c r="EHZ1" s="154" t="str">
        <f t="shared" si="56"/>
        <v>y</v>
      </c>
      <c r="EIA1" s="154" t="str">
        <f t="shared" si="56"/>
        <v>y</v>
      </c>
      <c r="EIB1" s="154" t="str">
        <f t="shared" si="56"/>
        <v>y</v>
      </c>
      <c r="EIC1" s="154" t="str">
        <f t="shared" si="56"/>
        <v>y</v>
      </c>
      <c r="EID1" s="154" t="str">
        <f t="shared" si="56"/>
        <v>y</v>
      </c>
      <c r="EIE1" s="154" t="str">
        <f t="shared" si="56"/>
        <v>y</v>
      </c>
      <c r="EIF1" s="154" t="str">
        <f t="shared" si="56"/>
        <v>y</v>
      </c>
      <c r="EIG1" s="154" t="str">
        <f t="shared" si="56"/>
        <v>y</v>
      </c>
      <c r="EIH1" s="154" t="str">
        <f t="shared" si="56"/>
        <v>y</v>
      </c>
      <c r="EII1" s="154" t="str">
        <f t="shared" si="56"/>
        <v>y</v>
      </c>
      <c r="EIJ1" s="154" t="str">
        <f t="shared" si="56"/>
        <v>y</v>
      </c>
      <c r="EIK1" s="154" t="str">
        <f t="shared" si="56"/>
        <v>y</v>
      </c>
      <c r="EIL1" s="154" t="str">
        <f t="shared" si="56"/>
        <v>y</v>
      </c>
      <c r="EIM1" s="154" t="str">
        <f t="shared" si="56"/>
        <v>y</v>
      </c>
      <c r="EIN1" s="154" t="str">
        <f t="shared" si="56"/>
        <v>y</v>
      </c>
      <c r="EIO1" s="154" t="str">
        <f t="shared" si="56"/>
        <v>y</v>
      </c>
      <c r="EIP1" s="154" t="str">
        <f t="shared" si="56"/>
        <v>y</v>
      </c>
      <c r="EIQ1" s="154" t="str">
        <f t="shared" si="56"/>
        <v>y</v>
      </c>
      <c r="EIR1" s="154" t="str">
        <f t="shared" si="56"/>
        <v>y</v>
      </c>
      <c r="EIS1" s="154" t="str">
        <f t="shared" si="56"/>
        <v>y</v>
      </c>
      <c r="EIT1" s="154" t="str">
        <f t="shared" si="56"/>
        <v>y</v>
      </c>
      <c r="EIU1" s="154" t="str">
        <f t="shared" si="56"/>
        <v>y</v>
      </c>
      <c r="EIV1" s="154" t="str">
        <f t="shared" si="56"/>
        <v>y</v>
      </c>
      <c r="EIW1" s="154" t="str">
        <f t="shared" si="56"/>
        <v>y</v>
      </c>
      <c r="EIX1" s="154" t="str">
        <f t="shared" si="56"/>
        <v>y</v>
      </c>
      <c r="EIY1" s="154" t="str">
        <f t="shared" si="56"/>
        <v>y</v>
      </c>
      <c r="EIZ1" s="154" t="str">
        <f t="shared" si="56"/>
        <v>y</v>
      </c>
      <c r="EJA1" s="154" t="str">
        <f t="shared" si="56"/>
        <v>y</v>
      </c>
      <c r="EJB1" s="154" t="str">
        <f t="shared" si="56"/>
        <v>y</v>
      </c>
      <c r="EJC1" s="154" t="str">
        <f t="shared" si="56"/>
        <v>y</v>
      </c>
      <c r="EJD1" s="154" t="str">
        <f t="shared" si="56"/>
        <v>y</v>
      </c>
      <c r="EJE1" s="154" t="str">
        <f t="shared" si="56"/>
        <v>y</v>
      </c>
      <c r="EJF1" s="154" t="str">
        <f t="shared" si="56"/>
        <v>y</v>
      </c>
      <c r="EJG1" s="154" t="str">
        <f t="shared" si="56"/>
        <v>y</v>
      </c>
      <c r="EJH1" s="154" t="str">
        <f t="shared" si="56"/>
        <v>y</v>
      </c>
      <c r="EJI1" s="154" t="str">
        <f t="shared" si="56"/>
        <v>y</v>
      </c>
      <c r="EJJ1" s="154" t="str">
        <f t="shared" si="56"/>
        <v>y</v>
      </c>
      <c r="EJK1" s="154" t="str">
        <f t="shared" si="56"/>
        <v>y</v>
      </c>
      <c r="EJL1" s="154" t="str">
        <f t="shared" ref="EJL1:ELW1" si="57">EJL2&amp;"y"</f>
        <v>y</v>
      </c>
      <c r="EJM1" s="154" t="str">
        <f t="shared" si="57"/>
        <v>y</v>
      </c>
      <c r="EJN1" s="154" t="str">
        <f t="shared" si="57"/>
        <v>y</v>
      </c>
      <c r="EJO1" s="154" t="str">
        <f t="shared" si="57"/>
        <v>y</v>
      </c>
      <c r="EJP1" s="154" t="str">
        <f t="shared" si="57"/>
        <v>y</v>
      </c>
      <c r="EJQ1" s="154" t="str">
        <f t="shared" si="57"/>
        <v>y</v>
      </c>
      <c r="EJR1" s="154" t="str">
        <f t="shared" si="57"/>
        <v>y</v>
      </c>
      <c r="EJS1" s="154" t="str">
        <f t="shared" si="57"/>
        <v>y</v>
      </c>
      <c r="EJT1" s="154" t="str">
        <f t="shared" si="57"/>
        <v>y</v>
      </c>
      <c r="EJU1" s="154" t="str">
        <f t="shared" si="57"/>
        <v>y</v>
      </c>
      <c r="EJV1" s="154" t="str">
        <f t="shared" si="57"/>
        <v>y</v>
      </c>
      <c r="EJW1" s="154" t="str">
        <f t="shared" si="57"/>
        <v>y</v>
      </c>
      <c r="EJX1" s="154" t="str">
        <f t="shared" si="57"/>
        <v>y</v>
      </c>
      <c r="EJY1" s="154" t="str">
        <f t="shared" si="57"/>
        <v>y</v>
      </c>
      <c r="EJZ1" s="154" t="str">
        <f t="shared" si="57"/>
        <v>y</v>
      </c>
      <c r="EKA1" s="154" t="str">
        <f t="shared" si="57"/>
        <v>y</v>
      </c>
      <c r="EKB1" s="154" t="str">
        <f t="shared" si="57"/>
        <v>y</v>
      </c>
      <c r="EKC1" s="154" t="str">
        <f t="shared" si="57"/>
        <v>y</v>
      </c>
      <c r="EKD1" s="154" t="str">
        <f t="shared" si="57"/>
        <v>y</v>
      </c>
      <c r="EKE1" s="154" t="str">
        <f t="shared" si="57"/>
        <v>y</v>
      </c>
      <c r="EKF1" s="154" t="str">
        <f t="shared" si="57"/>
        <v>y</v>
      </c>
      <c r="EKG1" s="154" t="str">
        <f t="shared" si="57"/>
        <v>y</v>
      </c>
      <c r="EKH1" s="154" t="str">
        <f t="shared" si="57"/>
        <v>y</v>
      </c>
      <c r="EKI1" s="154" t="str">
        <f t="shared" si="57"/>
        <v>y</v>
      </c>
      <c r="EKJ1" s="154" t="str">
        <f t="shared" si="57"/>
        <v>y</v>
      </c>
      <c r="EKK1" s="154" t="str">
        <f t="shared" si="57"/>
        <v>y</v>
      </c>
      <c r="EKL1" s="154" t="str">
        <f t="shared" si="57"/>
        <v>y</v>
      </c>
      <c r="EKM1" s="154" t="str">
        <f t="shared" si="57"/>
        <v>y</v>
      </c>
      <c r="EKN1" s="154" t="str">
        <f t="shared" si="57"/>
        <v>y</v>
      </c>
      <c r="EKO1" s="154" t="str">
        <f t="shared" si="57"/>
        <v>y</v>
      </c>
      <c r="EKP1" s="154" t="str">
        <f t="shared" si="57"/>
        <v>y</v>
      </c>
      <c r="EKQ1" s="154" t="str">
        <f t="shared" si="57"/>
        <v>y</v>
      </c>
      <c r="EKR1" s="154" t="str">
        <f t="shared" si="57"/>
        <v>y</v>
      </c>
      <c r="EKS1" s="154" t="str">
        <f t="shared" si="57"/>
        <v>y</v>
      </c>
      <c r="EKT1" s="154" t="str">
        <f t="shared" si="57"/>
        <v>y</v>
      </c>
      <c r="EKU1" s="154" t="str">
        <f t="shared" si="57"/>
        <v>y</v>
      </c>
      <c r="EKV1" s="154" t="str">
        <f t="shared" si="57"/>
        <v>y</v>
      </c>
      <c r="EKW1" s="154" t="str">
        <f t="shared" si="57"/>
        <v>y</v>
      </c>
      <c r="EKX1" s="154" t="str">
        <f t="shared" si="57"/>
        <v>y</v>
      </c>
      <c r="EKY1" s="154" t="str">
        <f t="shared" si="57"/>
        <v>y</v>
      </c>
      <c r="EKZ1" s="154" t="str">
        <f t="shared" si="57"/>
        <v>y</v>
      </c>
      <c r="ELA1" s="154" t="str">
        <f t="shared" si="57"/>
        <v>y</v>
      </c>
      <c r="ELB1" s="154" t="str">
        <f t="shared" si="57"/>
        <v>y</v>
      </c>
      <c r="ELC1" s="154" t="str">
        <f t="shared" si="57"/>
        <v>y</v>
      </c>
      <c r="ELD1" s="154" t="str">
        <f t="shared" si="57"/>
        <v>y</v>
      </c>
      <c r="ELE1" s="154" t="str">
        <f t="shared" si="57"/>
        <v>y</v>
      </c>
      <c r="ELF1" s="154" t="str">
        <f t="shared" si="57"/>
        <v>y</v>
      </c>
      <c r="ELG1" s="154" t="str">
        <f t="shared" si="57"/>
        <v>y</v>
      </c>
      <c r="ELH1" s="154" t="str">
        <f t="shared" si="57"/>
        <v>y</v>
      </c>
      <c r="ELI1" s="154" t="str">
        <f t="shared" si="57"/>
        <v>y</v>
      </c>
      <c r="ELJ1" s="154" t="str">
        <f t="shared" si="57"/>
        <v>y</v>
      </c>
      <c r="ELK1" s="154" t="str">
        <f t="shared" si="57"/>
        <v>y</v>
      </c>
      <c r="ELL1" s="154" t="str">
        <f t="shared" si="57"/>
        <v>y</v>
      </c>
      <c r="ELM1" s="154" t="str">
        <f t="shared" si="57"/>
        <v>y</v>
      </c>
      <c r="ELN1" s="154" t="str">
        <f t="shared" si="57"/>
        <v>y</v>
      </c>
      <c r="ELO1" s="154" t="str">
        <f t="shared" si="57"/>
        <v>y</v>
      </c>
      <c r="ELP1" s="154" t="str">
        <f t="shared" si="57"/>
        <v>y</v>
      </c>
      <c r="ELQ1" s="154" t="str">
        <f t="shared" si="57"/>
        <v>y</v>
      </c>
      <c r="ELR1" s="154" t="str">
        <f t="shared" si="57"/>
        <v>y</v>
      </c>
      <c r="ELS1" s="154" t="str">
        <f t="shared" si="57"/>
        <v>y</v>
      </c>
      <c r="ELT1" s="154" t="str">
        <f t="shared" si="57"/>
        <v>y</v>
      </c>
      <c r="ELU1" s="154" t="str">
        <f t="shared" si="57"/>
        <v>y</v>
      </c>
      <c r="ELV1" s="154" t="str">
        <f t="shared" si="57"/>
        <v>y</v>
      </c>
      <c r="ELW1" s="154" t="str">
        <f t="shared" si="57"/>
        <v>y</v>
      </c>
      <c r="ELX1" s="154" t="str">
        <f t="shared" ref="ELX1:EOI1" si="58">ELX2&amp;"y"</f>
        <v>y</v>
      </c>
      <c r="ELY1" s="154" t="str">
        <f t="shared" si="58"/>
        <v>y</v>
      </c>
      <c r="ELZ1" s="154" t="str">
        <f t="shared" si="58"/>
        <v>y</v>
      </c>
      <c r="EMA1" s="154" t="str">
        <f t="shared" si="58"/>
        <v>y</v>
      </c>
      <c r="EMB1" s="154" t="str">
        <f t="shared" si="58"/>
        <v>y</v>
      </c>
      <c r="EMC1" s="154" t="str">
        <f t="shared" si="58"/>
        <v>y</v>
      </c>
      <c r="EMD1" s="154" t="str">
        <f t="shared" si="58"/>
        <v>y</v>
      </c>
      <c r="EME1" s="154" t="str">
        <f t="shared" si="58"/>
        <v>y</v>
      </c>
      <c r="EMF1" s="154" t="str">
        <f t="shared" si="58"/>
        <v>y</v>
      </c>
      <c r="EMG1" s="154" t="str">
        <f t="shared" si="58"/>
        <v>y</v>
      </c>
      <c r="EMH1" s="154" t="str">
        <f t="shared" si="58"/>
        <v>y</v>
      </c>
      <c r="EMI1" s="154" t="str">
        <f t="shared" si="58"/>
        <v>y</v>
      </c>
      <c r="EMJ1" s="154" t="str">
        <f t="shared" si="58"/>
        <v>y</v>
      </c>
      <c r="EMK1" s="154" t="str">
        <f t="shared" si="58"/>
        <v>y</v>
      </c>
      <c r="EML1" s="154" t="str">
        <f t="shared" si="58"/>
        <v>y</v>
      </c>
      <c r="EMM1" s="154" t="str">
        <f t="shared" si="58"/>
        <v>y</v>
      </c>
      <c r="EMN1" s="154" t="str">
        <f t="shared" si="58"/>
        <v>y</v>
      </c>
      <c r="EMO1" s="154" t="str">
        <f t="shared" si="58"/>
        <v>y</v>
      </c>
      <c r="EMP1" s="154" t="str">
        <f t="shared" si="58"/>
        <v>y</v>
      </c>
      <c r="EMQ1" s="154" t="str">
        <f t="shared" si="58"/>
        <v>y</v>
      </c>
      <c r="EMR1" s="154" t="str">
        <f t="shared" si="58"/>
        <v>y</v>
      </c>
      <c r="EMS1" s="154" t="str">
        <f t="shared" si="58"/>
        <v>y</v>
      </c>
      <c r="EMT1" s="154" t="str">
        <f t="shared" si="58"/>
        <v>y</v>
      </c>
      <c r="EMU1" s="154" t="str">
        <f t="shared" si="58"/>
        <v>y</v>
      </c>
      <c r="EMV1" s="154" t="str">
        <f t="shared" si="58"/>
        <v>y</v>
      </c>
      <c r="EMW1" s="154" t="str">
        <f t="shared" si="58"/>
        <v>y</v>
      </c>
      <c r="EMX1" s="154" t="str">
        <f t="shared" si="58"/>
        <v>y</v>
      </c>
      <c r="EMY1" s="154" t="str">
        <f t="shared" si="58"/>
        <v>y</v>
      </c>
      <c r="EMZ1" s="154" t="str">
        <f t="shared" si="58"/>
        <v>y</v>
      </c>
      <c r="ENA1" s="154" t="str">
        <f t="shared" si="58"/>
        <v>y</v>
      </c>
      <c r="ENB1" s="154" t="str">
        <f t="shared" si="58"/>
        <v>y</v>
      </c>
      <c r="ENC1" s="154" t="str">
        <f t="shared" si="58"/>
        <v>y</v>
      </c>
      <c r="END1" s="154" t="str">
        <f t="shared" si="58"/>
        <v>y</v>
      </c>
      <c r="ENE1" s="154" t="str">
        <f t="shared" si="58"/>
        <v>y</v>
      </c>
      <c r="ENF1" s="154" t="str">
        <f t="shared" si="58"/>
        <v>y</v>
      </c>
      <c r="ENG1" s="154" t="str">
        <f t="shared" si="58"/>
        <v>y</v>
      </c>
      <c r="ENH1" s="154" t="str">
        <f t="shared" si="58"/>
        <v>y</v>
      </c>
      <c r="ENI1" s="154" t="str">
        <f t="shared" si="58"/>
        <v>y</v>
      </c>
      <c r="ENJ1" s="154" t="str">
        <f t="shared" si="58"/>
        <v>y</v>
      </c>
      <c r="ENK1" s="154" t="str">
        <f t="shared" si="58"/>
        <v>y</v>
      </c>
      <c r="ENL1" s="154" t="str">
        <f t="shared" si="58"/>
        <v>y</v>
      </c>
      <c r="ENM1" s="154" t="str">
        <f t="shared" si="58"/>
        <v>y</v>
      </c>
      <c r="ENN1" s="154" t="str">
        <f t="shared" si="58"/>
        <v>y</v>
      </c>
      <c r="ENO1" s="154" t="str">
        <f t="shared" si="58"/>
        <v>y</v>
      </c>
      <c r="ENP1" s="154" t="str">
        <f t="shared" si="58"/>
        <v>y</v>
      </c>
      <c r="ENQ1" s="154" t="str">
        <f t="shared" si="58"/>
        <v>y</v>
      </c>
      <c r="ENR1" s="154" t="str">
        <f t="shared" si="58"/>
        <v>y</v>
      </c>
      <c r="ENS1" s="154" t="str">
        <f t="shared" si="58"/>
        <v>y</v>
      </c>
      <c r="ENT1" s="154" t="str">
        <f t="shared" si="58"/>
        <v>y</v>
      </c>
      <c r="ENU1" s="154" t="str">
        <f t="shared" si="58"/>
        <v>y</v>
      </c>
      <c r="ENV1" s="154" t="str">
        <f t="shared" si="58"/>
        <v>y</v>
      </c>
      <c r="ENW1" s="154" t="str">
        <f t="shared" si="58"/>
        <v>y</v>
      </c>
      <c r="ENX1" s="154" t="str">
        <f t="shared" si="58"/>
        <v>y</v>
      </c>
      <c r="ENY1" s="154" t="str">
        <f t="shared" si="58"/>
        <v>y</v>
      </c>
      <c r="ENZ1" s="154" t="str">
        <f t="shared" si="58"/>
        <v>y</v>
      </c>
      <c r="EOA1" s="154" t="str">
        <f t="shared" si="58"/>
        <v>y</v>
      </c>
      <c r="EOB1" s="154" t="str">
        <f t="shared" si="58"/>
        <v>y</v>
      </c>
      <c r="EOC1" s="154" t="str">
        <f t="shared" si="58"/>
        <v>y</v>
      </c>
      <c r="EOD1" s="154" t="str">
        <f t="shared" si="58"/>
        <v>y</v>
      </c>
      <c r="EOE1" s="154" t="str">
        <f t="shared" si="58"/>
        <v>y</v>
      </c>
      <c r="EOF1" s="154" t="str">
        <f t="shared" si="58"/>
        <v>y</v>
      </c>
      <c r="EOG1" s="154" t="str">
        <f t="shared" si="58"/>
        <v>y</v>
      </c>
      <c r="EOH1" s="154" t="str">
        <f t="shared" si="58"/>
        <v>y</v>
      </c>
      <c r="EOI1" s="154" t="str">
        <f t="shared" si="58"/>
        <v>y</v>
      </c>
      <c r="EOJ1" s="154" t="str">
        <f t="shared" ref="EOJ1:EQU1" si="59">EOJ2&amp;"y"</f>
        <v>y</v>
      </c>
      <c r="EOK1" s="154" t="str">
        <f t="shared" si="59"/>
        <v>y</v>
      </c>
      <c r="EOL1" s="154" t="str">
        <f t="shared" si="59"/>
        <v>y</v>
      </c>
      <c r="EOM1" s="154" t="str">
        <f t="shared" si="59"/>
        <v>y</v>
      </c>
      <c r="EON1" s="154" t="str">
        <f t="shared" si="59"/>
        <v>y</v>
      </c>
      <c r="EOO1" s="154" t="str">
        <f t="shared" si="59"/>
        <v>y</v>
      </c>
      <c r="EOP1" s="154" t="str">
        <f t="shared" si="59"/>
        <v>y</v>
      </c>
      <c r="EOQ1" s="154" t="str">
        <f t="shared" si="59"/>
        <v>y</v>
      </c>
      <c r="EOR1" s="154" t="str">
        <f t="shared" si="59"/>
        <v>y</v>
      </c>
      <c r="EOS1" s="154" t="str">
        <f t="shared" si="59"/>
        <v>y</v>
      </c>
      <c r="EOT1" s="154" t="str">
        <f t="shared" si="59"/>
        <v>y</v>
      </c>
      <c r="EOU1" s="154" t="str">
        <f t="shared" si="59"/>
        <v>y</v>
      </c>
      <c r="EOV1" s="154" t="str">
        <f t="shared" si="59"/>
        <v>y</v>
      </c>
      <c r="EOW1" s="154" t="str">
        <f t="shared" si="59"/>
        <v>y</v>
      </c>
      <c r="EOX1" s="154" t="str">
        <f t="shared" si="59"/>
        <v>y</v>
      </c>
      <c r="EOY1" s="154" t="str">
        <f t="shared" si="59"/>
        <v>y</v>
      </c>
      <c r="EOZ1" s="154" t="str">
        <f t="shared" si="59"/>
        <v>y</v>
      </c>
      <c r="EPA1" s="154" t="str">
        <f t="shared" si="59"/>
        <v>y</v>
      </c>
      <c r="EPB1" s="154" t="str">
        <f t="shared" si="59"/>
        <v>y</v>
      </c>
      <c r="EPC1" s="154" t="str">
        <f t="shared" si="59"/>
        <v>y</v>
      </c>
      <c r="EPD1" s="154" t="str">
        <f t="shared" si="59"/>
        <v>y</v>
      </c>
      <c r="EPE1" s="154" t="str">
        <f t="shared" si="59"/>
        <v>y</v>
      </c>
      <c r="EPF1" s="154" t="str">
        <f t="shared" si="59"/>
        <v>y</v>
      </c>
      <c r="EPG1" s="154" t="str">
        <f t="shared" si="59"/>
        <v>y</v>
      </c>
      <c r="EPH1" s="154" t="str">
        <f t="shared" si="59"/>
        <v>y</v>
      </c>
      <c r="EPI1" s="154" t="str">
        <f t="shared" si="59"/>
        <v>y</v>
      </c>
      <c r="EPJ1" s="154" t="str">
        <f t="shared" si="59"/>
        <v>y</v>
      </c>
      <c r="EPK1" s="154" t="str">
        <f t="shared" si="59"/>
        <v>y</v>
      </c>
      <c r="EPL1" s="154" t="str">
        <f t="shared" si="59"/>
        <v>y</v>
      </c>
      <c r="EPM1" s="154" t="str">
        <f t="shared" si="59"/>
        <v>y</v>
      </c>
      <c r="EPN1" s="154" t="str">
        <f t="shared" si="59"/>
        <v>y</v>
      </c>
      <c r="EPO1" s="154" t="str">
        <f t="shared" si="59"/>
        <v>y</v>
      </c>
      <c r="EPP1" s="154" t="str">
        <f t="shared" si="59"/>
        <v>y</v>
      </c>
      <c r="EPQ1" s="154" t="str">
        <f t="shared" si="59"/>
        <v>y</v>
      </c>
      <c r="EPR1" s="154" t="str">
        <f t="shared" si="59"/>
        <v>y</v>
      </c>
      <c r="EPS1" s="154" t="str">
        <f t="shared" si="59"/>
        <v>y</v>
      </c>
      <c r="EPT1" s="154" t="str">
        <f t="shared" si="59"/>
        <v>y</v>
      </c>
      <c r="EPU1" s="154" t="str">
        <f t="shared" si="59"/>
        <v>y</v>
      </c>
      <c r="EPV1" s="154" t="str">
        <f t="shared" si="59"/>
        <v>y</v>
      </c>
      <c r="EPW1" s="154" t="str">
        <f t="shared" si="59"/>
        <v>y</v>
      </c>
      <c r="EPX1" s="154" t="str">
        <f t="shared" si="59"/>
        <v>y</v>
      </c>
      <c r="EPY1" s="154" t="str">
        <f t="shared" si="59"/>
        <v>y</v>
      </c>
      <c r="EPZ1" s="154" t="str">
        <f t="shared" si="59"/>
        <v>y</v>
      </c>
      <c r="EQA1" s="154" t="str">
        <f t="shared" si="59"/>
        <v>y</v>
      </c>
      <c r="EQB1" s="154" t="str">
        <f t="shared" si="59"/>
        <v>y</v>
      </c>
      <c r="EQC1" s="154" t="str">
        <f t="shared" si="59"/>
        <v>y</v>
      </c>
      <c r="EQD1" s="154" t="str">
        <f t="shared" si="59"/>
        <v>y</v>
      </c>
      <c r="EQE1" s="154" t="str">
        <f t="shared" si="59"/>
        <v>y</v>
      </c>
      <c r="EQF1" s="154" t="str">
        <f t="shared" si="59"/>
        <v>y</v>
      </c>
      <c r="EQG1" s="154" t="str">
        <f t="shared" si="59"/>
        <v>y</v>
      </c>
      <c r="EQH1" s="154" t="str">
        <f t="shared" si="59"/>
        <v>y</v>
      </c>
      <c r="EQI1" s="154" t="str">
        <f t="shared" si="59"/>
        <v>y</v>
      </c>
      <c r="EQJ1" s="154" t="str">
        <f t="shared" si="59"/>
        <v>y</v>
      </c>
      <c r="EQK1" s="154" t="str">
        <f t="shared" si="59"/>
        <v>y</v>
      </c>
      <c r="EQL1" s="154" t="str">
        <f t="shared" si="59"/>
        <v>y</v>
      </c>
      <c r="EQM1" s="154" t="str">
        <f t="shared" si="59"/>
        <v>y</v>
      </c>
      <c r="EQN1" s="154" t="str">
        <f t="shared" si="59"/>
        <v>y</v>
      </c>
      <c r="EQO1" s="154" t="str">
        <f t="shared" si="59"/>
        <v>y</v>
      </c>
      <c r="EQP1" s="154" t="str">
        <f t="shared" si="59"/>
        <v>y</v>
      </c>
      <c r="EQQ1" s="154" t="str">
        <f t="shared" si="59"/>
        <v>y</v>
      </c>
      <c r="EQR1" s="154" t="str">
        <f t="shared" si="59"/>
        <v>y</v>
      </c>
      <c r="EQS1" s="154" t="str">
        <f t="shared" si="59"/>
        <v>y</v>
      </c>
      <c r="EQT1" s="154" t="str">
        <f t="shared" si="59"/>
        <v>y</v>
      </c>
      <c r="EQU1" s="154" t="str">
        <f t="shared" si="59"/>
        <v>y</v>
      </c>
      <c r="EQV1" s="154" t="str">
        <f t="shared" ref="EQV1:ETG1" si="60">EQV2&amp;"y"</f>
        <v>y</v>
      </c>
      <c r="EQW1" s="154" t="str">
        <f t="shared" si="60"/>
        <v>y</v>
      </c>
      <c r="EQX1" s="154" t="str">
        <f t="shared" si="60"/>
        <v>y</v>
      </c>
      <c r="EQY1" s="154" t="str">
        <f t="shared" si="60"/>
        <v>y</v>
      </c>
      <c r="EQZ1" s="154" t="str">
        <f t="shared" si="60"/>
        <v>y</v>
      </c>
      <c r="ERA1" s="154" t="str">
        <f t="shared" si="60"/>
        <v>y</v>
      </c>
      <c r="ERB1" s="154" t="str">
        <f t="shared" si="60"/>
        <v>y</v>
      </c>
      <c r="ERC1" s="154" t="str">
        <f t="shared" si="60"/>
        <v>y</v>
      </c>
      <c r="ERD1" s="154" t="str">
        <f t="shared" si="60"/>
        <v>y</v>
      </c>
      <c r="ERE1" s="154" t="str">
        <f t="shared" si="60"/>
        <v>y</v>
      </c>
      <c r="ERF1" s="154" t="str">
        <f t="shared" si="60"/>
        <v>y</v>
      </c>
      <c r="ERG1" s="154" t="str">
        <f t="shared" si="60"/>
        <v>y</v>
      </c>
      <c r="ERH1" s="154" t="str">
        <f t="shared" si="60"/>
        <v>y</v>
      </c>
      <c r="ERI1" s="154" t="str">
        <f t="shared" si="60"/>
        <v>y</v>
      </c>
      <c r="ERJ1" s="154" t="str">
        <f t="shared" si="60"/>
        <v>y</v>
      </c>
      <c r="ERK1" s="154" t="str">
        <f t="shared" si="60"/>
        <v>y</v>
      </c>
      <c r="ERL1" s="154" t="str">
        <f t="shared" si="60"/>
        <v>y</v>
      </c>
      <c r="ERM1" s="154" t="str">
        <f t="shared" si="60"/>
        <v>y</v>
      </c>
      <c r="ERN1" s="154" t="str">
        <f t="shared" si="60"/>
        <v>y</v>
      </c>
      <c r="ERO1" s="154" t="str">
        <f t="shared" si="60"/>
        <v>y</v>
      </c>
      <c r="ERP1" s="154" t="str">
        <f t="shared" si="60"/>
        <v>y</v>
      </c>
      <c r="ERQ1" s="154" t="str">
        <f t="shared" si="60"/>
        <v>y</v>
      </c>
      <c r="ERR1" s="154" t="str">
        <f t="shared" si="60"/>
        <v>y</v>
      </c>
      <c r="ERS1" s="154" t="str">
        <f t="shared" si="60"/>
        <v>y</v>
      </c>
      <c r="ERT1" s="154" t="str">
        <f t="shared" si="60"/>
        <v>y</v>
      </c>
      <c r="ERU1" s="154" t="str">
        <f t="shared" si="60"/>
        <v>y</v>
      </c>
      <c r="ERV1" s="154" t="str">
        <f t="shared" si="60"/>
        <v>y</v>
      </c>
      <c r="ERW1" s="154" t="str">
        <f t="shared" si="60"/>
        <v>y</v>
      </c>
      <c r="ERX1" s="154" t="str">
        <f t="shared" si="60"/>
        <v>y</v>
      </c>
      <c r="ERY1" s="154" t="str">
        <f t="shared" si="60"/>
        <v>y</v>
      </c>
      <c r="ERZ1" s="154" t="str">
        <f t="shared" si="60"/>
        <v>y</v>
      </c>
      <c r="ESA1" s="154" t="str">
        <f t="shared" si="60"/>
        <v>y</v>
      </c>
      <c r="ESB1" s="154" t="str">
        <f t="shared" si="60"/>
        <v>y</v>
      </c>
      <c r="ESC1" s="154" t="str">
        <f t="shared" si="60"/>
        <v>y</v>
      </c>
      <c r="ESD1" s="154" t="str">
        <f t="shared" si="60"/>
        <v>y</v>
      </c>
      <c r="ESE1" s="154" t="str">
        <f t="shared" si="60"/>
        <v>y</v>
      </c>
      <c r="ESF1" s="154" t="str">
        <f t="shared" si="60"/>
        <v>y</v>
      </c>
      <c r="ESG1" s="154" t="str">
        <f t="shared" si="60"/>
        <v>y</v>
      </c>
      <c r="ESH1" s="154" t="str">
        <f t="shared" si="60"/>
        <v>y</v>
      </c>
      <c r="ESI1" s="154" t="str">
        <f t="shared" si="60"/>
        <v>y</v>
      </c>
      <c r="ESJ1" s="154" t="str">
        <f t="shared" si="60"/>
        <v>y</v>
      </c>
      <c r="ESK1" s="154" t="str">
        <f t="shared" si="60"/>
        <v>y</v>
      </c>
      <c r="ESL1" s="154" t="str">
        <f t="shared" si="60"/>
        <v>y</v>
      </c>
      <c r="ESM1" s="154" t="str">
        <f t="shared" si="60"/>
        <v>y</v>
      </c>
      <c r="ESN1" s="154" t="str">
        <f t="shared" si="60"/>
        <v>y</v>
      </c>
      <c r="ESO1" s="154" t="str">
        <f t="shared" si="60"/>
        <v>y</v>
      </c>
      <c r="ESP1" s="154" t="str">
        <f t="shared" si="60"/>
        <v>y</v>
      </c>
      <c r="ESQ1" s="154" t="str">
        <f t="shared" si="60"/>
        <v>y</v>
      </c>
      <c r="ESR1" s="154" t="str">
        <f t="shared" si="60"/>
        <v>y</v>
      </c>
      <c r="ESS1" s="154" t="str">
        <f t="shared" si="60"/>
        <v>y</v>
      </c>
      <c r="EST1" s="154" t="str">
        <f t="shared" si="60"/>
        <v>y</v>
      </c>
      <c r="ESU1" s="154" t="str">
        <f t="shared" si="60"/>
        <v>y</v>
      </c>
      <c r="ESV1" s="154" t="str">
        <f t="shared" si="60"/>
        <v>y</v>
      </c>
      <c r="ESW1" s="154" t="str">
        <f t="shared" si="60"/>
        <v>y</v>
      </c>
      <c r="ESX1" s="154" t="str">
        <f t="shared" si="60"/>
        <v>y</v>
      </c>
      <c r="ESY1" s="154" t="str">
        <f t="shared" si="60"/>
        <v>y</v>
      </c>
      <c r="ESZ1" s="154" t="str">
        <f t="shared" si="60"/>
        <v>y</v>
      </c>
      <c r="ETA1" s="154" t="str">
        <f t="shared" si="60"/>
        <v>y</v>
      </c>
      <c r="ETB1" s="154" t="str">
        <f t="shared" si="60"/>
        <v>y</v>
      </c>
      <c r="ETC1" s="154" t="str">
        <f t="shared" si="60"/>
        <v>y</v>
      </c>
      <c r="ETD1" s="154" t="str">
        <f t="shared" si="60"/>
        <v>y</v>
      </c>
      <c r="ETE1" s="154" t="str">
        <f t="shared" si="60"/>
        <v>y</v>
      </c>
      <c r="ETF1" s="154" t="str">
        <f t="shared" si="60"/>
        <v>y</v>
      </c>
      <c r="ETG1" s="154" t="str">
        <f t="shared" si="60"/>
        <v>y</v>
      </c>
      <c r="ETH1" s="154" t="str">
        <f t="shared" ref="ETH1:EVS1" si="61">ETH2&amp;"y"</f>
        <v>y</v>
      </c>
      <c r="ETI1" s="154" t="str">
        <f t="shared" si="61"/>
        <v>y</v>
      </c>
      <c r="ETJ1" s="154" t="str">
        <f t="shared" si="61"/>
        <v>y</v>
      </c>
      <c r="ETK1" s="154" t="str">
        <f t="shared" si="61"/>
        <v>y</v>
      </c>
      <c r="ETL1" s="154" t="str">
        <f t="shared" si="61"/>
        <v>y</v>
      </c>
      <c r="ETM1" s="154" t="str">
        <f t="shared" si="61"/>
        <v>y</v>
      </c>
      <c r="ETN1" s="154" t="str">
        <f t="shared" si="61"/>
        <v>y</v>
      </c>
      <c r="ETO1" s="154" t="str">
        <f t="shared" si="61"/>
        <v>y</v>
      </c>
      <c r="ETP1" s="154" t="str">
        <f t="shared" si="61"/>
        <v>y</v>
      </c>
      <c r="ETQ1" s="154" t="str">
        <f t="shared" si="61"/>
        <v>y</v>
      </c>
      <c r="ETR1" s="154" t="str">
        <f t="shared" si="61"/>
        <v>y</v>
      </c>
      <c r="ETS1" s="154" t="str">
        <f t="shared" si="61"/>
        <v>y</v>
      </c>
      <c r="ETT1" s="154" t="str">
        <f t="shared" si="61"/>
        <v>y</v>
      </c>
      <c r="ETU1" s="154" t="str">
        <f t="shared" si="61"/>
        <v>y</v>
      </c>
      <c r="ETV1" s="154" t="str">
        <f t="shared" si="61"/>
        <v>y</v>
      </c>
      <c r="ETW1" s="154" t="str">
        <f t="shared" si="61"/>
        <v>y</v>
      </c>
      <c r="ETX1" s="154" t="str">
        <f t="shared" si="61"/>
        <v>y</v>
      </c>
      <c r="ETY1" s="154" t="str">
        <f t="shared" si="61"/>
        <v>y</v>
      </c>
      <c r="ETZ1" s="154" t="str">
        <f t="shared" si="61"/>
        <v>y</v>
      </c>
      <c r="EUA1" s="154" t="str">
        <f t="shared" si="61"/>
        <v>y</v>
      </c>
      <c r="EUB1" s="154" t="str">
        <f t="shared" si="61"/>
        <v>y</v>
      </c>
      <c r="EUC1" s="154" t="str">
        <f t="shared" si="61"/>
        <v>y</v>
      </c>
      <c r="EUD1" s="154" t="str">
        <f t="shared" si="61"/>
        <v>y</v>
      </c>
      <c r="EUE1" s="154" t="str">
        <f t="shared" si="61"/>
        <v>y</v>
      </c>
      <c r="EUF1" s="154" t="str">
        <f t="shared" si="61"/>
        <v>y</v>
      </c>
      <c r="EUG1" s="154" t="str">
        <f t="shared" si="61"/>
        <v>y</v>
      </c>
      <c r="EUH1" s="154" t="str">
        <f t="shared" si="61"/>
        <v>y</v>
      </c>
      <c r="EUI1" s="154" t="str">
        <f t="shared" si="61"/>
        <v>y</v>
      </c>
      <c r="EUJ1" s="154" t="str">
        <f t="shared" si="61"/>
        <v>y</v>
      </c>
      <c r="EUK1" s="154" t="str">
        <f t="shared" si="61"/>
        <v>y</v>
      </c>
      <c r="EUL1" s="154" t="str">
        <f t="shared" si="61"/>
        <v>y</v>
      </c>
      <c r="EUM1" s="154" t="str">
        <f t="shared" si="61"/>
        <v>y</v>
      </c>
      <c r="EUN1" s="154" t="str">
        <f t="shared" si="61"/>
        <v>y</v>
      </c>
      <c r="EUO1" s="154" t="str">
        <f t="shared" si="61"/>
        <v>y</v>
      </c>
      <c r="EUP1" s="154" t="str">
        <f t="shared" si="61"/>
        <v>y</v>
      </c>
      <c r="EUQ1" s="154" t="str">
        <f t="shared" si="61"/>
        <v>y</v>
      </c>
      <c r="EUR1" s="154" t="str">
        <f t="shared" si="61"/>
        <v>y</v>
      </c>
      <c r="EUS1" s="154" t="str">
        <f t="shared" si="61"/>
        <v>y</v>
      </c>
      <c r="EUT1" s="154" t="str">
        <f t="shared" si="61"/>
        <v>y</v>
      </c>
      <c r="EUU1" s="154" t="str">
        <f t="shared" si="61"/>
        <v>y</v>
      </c>
      <c r="EUV1" s="154" t="str">
        <f t="shared" si="61"/>
        <v>y</v>
      </c>
      <c r="EUW1" s="154" t="str">
        <f t="shared" si="61"/>
        <v>y</v>
      </c>
      <c r="EUX1" s="154" t="str">
        <f t="shared" si="61"/>
        <v>y</v>
      </c>
      <c r="EUY1" s="154" t="str">
        <f t="shared" si="61"/>
        <v>y</v>
      </c>
      <c r="EUZ1" s="154" t="str">
        <f t="shared" si="61"/>
        <v>y</v>
      </c>
      <c r="EVA1" s="154" t="str">
        <f t="shared" si="61"/>
        <v>y</v>
      </c>
      <c r="EVB1" s="154" t="str">
        <f t="shared" si="61"/>
        <v>y</v>
      </c>
      <c r="EVC1" s="154" t="str">
        <f t="shared" si="61"/>
        <v>y</v>
      </c>
      <c r="EVD1" s="154" t="str">
        <f t="shared" si="61"/>
        <v>y</v>
      </c>
      <c r="EVE1" s="154" t="str">
        <f t="shared" si="61"/>
        <v>y</v>
      </c>
      <c r="EVF1" s="154" t="str">
        <f t="shared" si="61"/>
        <v>y</v>
      </c>
      <c r="EVG1" s="154" t="str">
        <f t="shared" si="61"/>
        <v>y</v>
      </c>
      <c r="EVH1" s="154" t="str">
        <f t="shared" si="61"/>
        <v>y</v>
      </c>
      <c r="EVI1" s="154" t="str">
        <f t="shared" si="61"/>
        <v>y</v>
      </c>
      <c r="EVJ1" s="154" t="str">
        <f t="shared" si="61"/>
        <v>y</v>
      </c>
      <c r="EVK1" s="154" t="str">
        <f t="shared" si="61"/>
        <v>y</v>
      </c>
      <c r="EVL1" s="154" t="str">
        <f t="shared" si="61"/>
        <v>y</v>
      </c>
      <c r="EVM1" s="154" t="str">
        <f t="shared" si="61"/>
        <v>y</v>
      </c>
      <c r="EVN1" s="154" t="str">
        <f t="shared" si="61"/>
        <v>y</v>
      </c>
      <c r="EVO1" s="154" t="str">
        <f t="shared" si="61"/>
        <v>y</v>
      </c>
      <c r="EVP1" s="154" t="str">
        <f t="shared" si="61"/>
        <v>y</v>
      </c>
      <c r="EVQ1" s="154" t="str">
        <f t="shared" si="61"/>
        <v>y</v>
      </c>
      <c r="EVR1" s="154" t="str">
        <f t="shared" si="61"/>
        <v>y</v>
      </c>
      <c r="EVS1" s="154" t="str">
        <f t="shared" si="61"/>
        <v>y</v>
      </c>
      <c r="EVT1" s="154" t="str">
        <f t="shared" ref="EVT1:EYE1" si="62">EVT2&amp;"y"</f>
        <v>y</v>
      </c>
      <c r="EVU1" s="154" t="str">
        <f t="shared" si="62"/>
        <v>y</v>
      </c>
      <c r="EVV1" s="154" t="str">
        <f t="shared" si="62"/>
        <v>y</v>
      </c>
      <c r="EVW1" s="154" t="str">
        <f t="shared" si="62"/>
        <v>y</v>
      </c>
      <c r="EVX1" s="154" t="str">
        <f t="shared" si="62"/>
        <v>y</v>
      </c>
      <c r="EVY1" s="154" t="str">
        <f t="shared" si="62"/>
        <v>y</v>
      </c>
      <c r="EVZ1" s="154" t="str">
        <f t="shared" si="62"/>
        <v>y</v>
      </c>
      <c r="EWA1" s="154" t="str">
        <f t="shared" si="62"/>
        <v>y</v>
      </c>
      <c r="EWB1" s="154" t="str">
        <f t="shared" si="62"/>
        <v>y</v>
      </c>
      <c r="EWC1" s="154" t="str">
        <f t="shared" si="62"/>
        <v>y</v>
      </c>
      <c r="EWD1" s="154" t="str">
        <f t="shared" si="62"/>
        <v>y</v>
      </c>
      <c r="EWE1" s="154" t="str">
        <f t="shared" si="62"/>
        <v>y</v>
      </c>
      <c r="EWF1" s="154" t="str">
        <f t="shared" si="62"/>
        <v>y</v>
      </c>
      <c r="EWG1" s="154" t="str">
        <f t="shared" si="62"/>
        <v>y</v>
      </c>
      <c r="EWH1" s="154" t="str">
        <f t="shared" si="62"/>
        <v>y</v>
      </c>
      <c r="EWI1" s="154" t="str">
        <f t="shared" si="62"/>
        <v>y</v>
      </c>
      <c r="EWJ1" s="154" t="str">
        <f t="shared" si="62"/>
        <v>y</v>
      </c>
      <c r="EWK1" s="154" t="str">
        <f t="shared" si="62"/>
        <v>y</v>
      </c>
      <c r="EWL1" s="154" t="str">
        <f t="shared" si="62"/>
        <v>y</v>
      </c>
      <c r="EWM1" s="154" t="str">
        <f t="shared" si="62"/>
        <v>y</v>
      </c>
      <c r="EWN1" s="154" t="str">
        <f t="shared" si="62"/>
        <v>y</v>
      </c>
      <c r="EWO1" s="154" t="str">
        <f t="shared" si="62"/>
        <v>y</v>
      </c>
      <c r="EWP1" s="154" t="str">
        <f t="shared" si="62"/>
        <v>y</v>
      </c>
      <c r="EWQ1" s="154" t="str">
        <f t="shared" si="62"/>
        <v>y</v>
      </c>
      <c r="EWR1" s="154" t="str">
        <f t="shared" si="62"/>
        <v>y</v>
      </c>
      <c r="EWS1" s="154" t="str">
        <f t="shared" si="62"/>
        <v>y</v>
      </c>
      <c r="EWT1" s="154" t="str">
        <f t="shared" si="62"/>
        <v>y</v>
      </c>
      <c r="EWU1" s="154" t="str">
        <f t="shared" si="62"/>
        <v>y</v>
      </c>
      <c r="EWV1" s="154" t="str">
        <f t="shared" si="62"/>
        <v>y</v>
      </c>
      <c r="EWW1" s="154" t="str">
        <f t="shared" si="62"/>
        <v>y</v>
      </c>
      <c r="EWX1" s="154" t="str">
        <f t="shared" si="62"/>
        <v>y</v>
      </c>
      <c r="EWY1" s="154" t="str">
        <f t="shared" si="62"/>
        <v>y</v>
      </c>
      <c r="EWZ1" s="154" t="str">
        <f t="shared" si="62"/>
        <v>y</v>
      </c>
      <c r="EXA1" s="154" t="str">
        <f t="shared" si="62"/>
        <v>y</v>
      </c>
      <c r="EXB1" s="154" t="str">
        <f t="shared" si="62"/>
        <v>y</v>
      </c>
      <c r="EXC1" s="154" t="str">
        <f t="shared" si="62"/>
        <v>y</v>
      </c>
      <c r="EXD1" s="154" t="str">
        <f t="shared" si="62"/>
        <v>y</v>
      </c>
      <c r="EXE1" s="154" t="str">
        <f t="shared" si="62"/>
        <v>y</v>
      </c>
      <c r="EXF1" s="154" t="str">
        <f t="shared" si="62"/>
        <v>y</v>
      </c>
      <c r="EXG1" s="154" t="str">
        <f t="shared" si="62"/>
        <v>y</v>
      </c>
      <c r="EXH1" s="154" t="str">
        <f t="shared" si="62"/>
        <v>y</v>
      </c>
      <c r="EXI1" s="154" t="str">
        <f t="shared" si="62"/>
        <v>y</v>
      </c>
      <c r="EXJ1" s="154" t="str">
        <f t="shared" si="62"/>
        <v>y</v>
      </c>
      <c r="EXK1" s="154" t="str">
        <f t="shared" si="62"/>
        <v>y</v>
      </c>
      <c r="EXL1" s="154" t="str">
        <f t="shared" si="62"/>
        <v>y</v>
      </c>
      <c r="EXM1" s="154" t="str">
        <f t="shared" si="62"/>
        <v>y</v>
      </c>
      <c r="EXN1" s="154" t="str">
        <f t="shared" si="62"/>
        <v>y</v>
      </c>
      <c r="EXO1" s="154" t="str">
        <f t="shared" si="62"/>
        <v>y</v>
      </c>
      <c r="EXP1" s="154" t="str">
        <f t="shared" si="62"/>
        <v>y</v>
      </c>
      <c r="EXQ1" s="154" t="str">
        <f t="shared" si="62"/>
        <v>y</v>
      </c>
      <c r="EXR1" s="154" t="str">
        <f t="shared" si="62"/>
        <v>y</v>
      </c>
      <c r="EXS1" s="154" t="str">
        <f t="shared" si="62"/>
        <v>y</v>
      </c>
      <c r="EXT1" s="154" t="str">
        <f t="shared" si="62"/>
        <v>y</v>
      </c>
      <c r="EXU1" s="154" t="str">
        <f t="shared" si="62"/>
        <v>y</v>
      </c>
      <c r="EXV1" s="154" t="str">
        <f t="shared" si="62"/>
        <v>y</v>
      </c>
      <c r="EXW1" s="154" t="str">
        <f t="shared" si="62"/>
        <v>y</v>
      </c>
      <c r="EXX1" s="154" t="str">
        <f t="shared" si="62"/>
        <v>y</v>
      </c>
      <c r="EXY1" s="154" t="str">
        <f t="shared" si="62"/>
        <v>y</v>
      </c>
      <c r="EXZ1" s="154" t="str">
        <f t="shared" si="62"/>
        <v>y</v>
      </c>
      <c r="EYA1" s="154" t="str">
        <f t="shared" si="62"/>
        <v>y</v>
      </c>
      <c r="EYB1" s="154" t="str">
        <f t="shared" si="62"/>
        <v>y</v>
      </c>
      <c r="EYC1" s="154" t="str">
        <f t="shared" si="62"/>
        <v>y</v>
      </c>
      <c r="EYD1" s="154" t="str">
        <f t="shared" si="62"/>
        <v>y</v>
      </c>
      <c r="EYE1" s="154" t="str">
        <f t="shared" si="62"/>
        <v>y</v>
      </c>
      <c r="EYF1" s="154" t="str">
        <f t="shared" ref="EYF1:FAQ1" si="63">EYF2&amp;"y"</f>
        <v>y</v>
      </c>
      <c r="EYG1" s="154" t="str">
        <f t="shared" si="63"/>
        <v>y</v>
      </c>
      <c r="EYH1" s="154" t="str">
        <f t="shared" si="63"/>
        <v>y</v>
      </c>
      <c r="EYI1" s="154" t="str">
        <f t="shared" si="63"/>
        <v>y</v>
      </c>
      <c r="EYJ1" s="154" t="str">
        <f t="shared" si="63"/>
        <v>y</v>
      </c>
      <c r="EYK1" s="154" t="str">
        <f t="shared" si="63"/>
        <v>y</v>
      </c>
      <c r="EYL1" s="154" t="str">
        <f t="shared" si="63"/>
        <v>y</v>
      </c>
      <c r="EYM1" s="154" t="str">
        <f t="shared" si="63"/>
        <v>y</v>
      </c>
      <c r="EYN1" s="154" t="str">
        <f t="shared" si="63"/>
        <v>y</v>
      </c>
      <c r="EYO1" s="154" t="str">
        <f t="shared" si="63"/>
        <v>y</v>
      </c>
      <c r="EYP1" s="154" t="str">
        <f t="shared" si="63"/>
        <v>y</v>
      </c>
      <c r="EYQ1" s="154" t="str">
        <f t="shared" si="63"/>
        <v>y</v>
      </c>
      <c r="EYR1" s="154" t="str">
        <f t="shared" si="63"/>
        <v>y</v>
      </c>
      <c r="EYS1" s="154" t="str">
        <f t="shared" si="63"/>
        <v>y</v>
      </c>
      <c r="EYT1" s="154" t="str">
        <f t="shared" si="63"/>
        <v>y</v>
      </c>
      <c r="EYU1" s="154" t="str">
        <f t="shared" si="63"/>
        <v>y</v>
      </c>
      <c r="EYV1" s="154" t="str">
        <f t="shared" si="63"/>
        <v>y</v>
      </c>
      <c r="EYW1" s="154" t="str">
        <f t="shared" si="63"/>
        <v>y</v>
      </c>
      <c r="EYX1" s="154" t="str">
        <f t="shared" si="63"/>
        <v>y</v>
      </c>
      <c r="EYY1" s="154" t="str">
        <f t="shared" si="63"/>
        <v>y</v>
      </c>
      <c r="EYZ1" s="154" t="str">
        <f t="shared" si="63"/>
        <v>y</v>
      </c>
      <c r="EZA1" s="154" t="str">
        <f t="shared" si="63"/>
        <v>y</v>
      </c>
      <c r="EZB1" s="154" t="str">
        <f t="shared" si="63"/>
        <v>y</v>
      </c>
      <c r="EZC1" s="154" t="str">
        <f t="shared" si="63"/>
        <v>y</v>
      </c>
      <c r="EZD1" s="154" t="str">
        <f t="shared" si="63"/>
        <v>y</v>
      </c>
      <c r="EZE1" s="154" t="str">
        <f t="shared" si="63"/>
        <v>y</v>
      </c>
      <c r="EZF1" s="154" t="str">
        <f t="shared" si="63"/>
        <v>y</v>
      </c>
      <c r="EZG1" s="154" t="str">
        <f t="shared" si="63"/>
        <v>y</v>
      </c>
      <c r="EZH1" s="154" t="str">
        <f t="shared" si="63"/>
        <v>y</v>
      </c>
      <c r="EZI1" s="154" t="str">
        <f t="shared" si="63"/>
        <v>y</v>
      </c>
      <c r="EZJ1" s="154" t="str">
        <f t="shared" si="63"/>
        <v>y</v>
      </c>
      <c r="EZK1" s="154" t="str">
        <f t="shared" si="63"/>
        <v>y</v>
      </c>
      <c r="EZL1" s="154" t="str">
        <f t="shared" si="63"/>
        <v>y</v>
      </c>
      <c r="EZM1" s="154" t="str">
        <f t="shared" si="63"/>
        <v>y</v>
      </c>
      <c r="EZN1" s="154" t="str">
        <f t="shared" si="63"/>
        <v>y</v>
      </c>
      <c r="EZO1" s="154" t="str">
        <f t="shared" si="63"/>
        <v>y</v>
      </c>
      <c r="EZP1" s="154" t="str">
        <f t="shared" si="63"/>
        <v>y</v>
      </c>
      <c r="EZQ1" s="154" t="str">
        <f t="shared" si="63"/>
        <v>y</v>
      </c>
      <c r="EZR1" s="154" t="str">
        <f t="shared" si="63"/>
        <v>y</v>
      </c>
      <c r="EZS1" s="154" t="str">
        <f t="shared" si="63"/>
        <v>y</v>
      </c>
      <c r="EZT1" s="154" t="str">
        <f t="shared" si="63"/>
        <v>y</v>
      </c>
      <c r="EZU1" s="154" t="str">
        <f t="shared" si="63"/>
        <v>y</v>
      </c>
      <c r="EZV1" s="154" t="str">
        <f t="shared" si="63"/>
        <v>y</v>
      </c>
      <c r="EZW1" s="154" t="str">
        <f t="shared" si="63"/>
        <v>y</v>
      </c>
      <c r="EZX1" s="154" t="str">
        <f t="shared" si="63"/>
        <v>y</v>
      </c>
      <c r="EZY1" s="154" t="str">
        <f t="shared" si="63"/>
        <v>y</v>
      </c>
      <c r="EZZ1" s="154" t="str">
        <f t="shared" si="63"/>
        <v>y</v>
      </c>
      <c r="FAA1" s="154" t="str">
        <f t="shared" si="63"/>
        <v>y</v>
      </c>
      <c r="FAB1" s="154" t="str">
        <f t="shared" si="63"/>
        <v>y</v>
      </c>
      <c r="FAC1" s="154" t="str">
        <f t="shared" si="63"/>
        <v>y</v>
      </c>
      <c r="FAD1" s="154" t="str">
        <f t="shared" si="63"/>
        <v>y</v>
      </c>
      <c r="FAE1" s="154" t="str">
        <f t="shared" si="63"/>
        <v>y</v>
      </c>
      <c r="FAF1" s="154" t="str">
        <f t="shared" si="63"/>
        <v>y</v>
      </c>
      <c r="FAG1" s="154" t="str">
        <f t="shared" si="63"/>
        <v>y</v>
      </c>
      <c r="FAH1" s="154" t="str">
        <f t="shared" si="63"/>
        <v>y</v>
      </c>
      <c r="FAI1" s="154" t="str">
        <f t="shared" si="63"/>
        <v>y</v>
      </c>
      <c r="FAJ1" s="154" t="str">
        <f t="shared" si="63"/>
        <v>y</v>
      </c>
      <c r="FAK1" s="154" t="str">
        <f t="shared" si="63"/>
        <v>y</v>
      </c>
      <c r="FAL1" s="154" t="str">
        <f t="shared" si="63"/>
        <v>y</v>
      </c>
      <c r="FAM1" s="154" t="str">
        <f t="shared" si="63"/>
        <v>y</v>
      </c>
      <c r="FAN1" s="154" t="str">
        <f t="shared" si="63"/>
        <v>y</v>
      </c>
      <c r="FAO1" s="154" t="str">
        <f t="shared" si="63"/>
        <v>y</v>
      </c>
      <c r="FAP1" s="154" t="str">
        <f t="shared" si="63"/>
        <v>y</v>
      </c>
      <c r="FAQ1" s="154" t="str">
        <f t="shared" si="63"/>
        <v>y</v>
      </c>
      <c r="FAR1" s="154" t="str">
        <f t="shared" ref="FAR1:FDC1" si="64">FAR2&amp;"y"</f>
        <v>y</v>
      </c>
      <c r="FAS1" s="154" t="str">
        <f t="shared" si="64"/>
        <v>y</v>
      </c>
      <c r="FAT1" s="154" t="str">
        <f t="shared" si="64"/>
        <v>y</v>
      </c>
      <c r="FAU1" s="154" t="str">
        <f t="shared" si="64"/>
        <v>y</v>
      </c>
      <c r="FAV1" s="154" t="str">
        <f t="shared" si="64"/>
        <v>y</v>
      </c>
      <c r="FAW1" s="154" t="str">
        <f t="shared" si="64"/>
        <v>y</v>
      </c>
      <c r="FAX1" s="154" t="str">
        <f t="shared" si="64"/>
        <v>y</v>
      </c>
      <c r="FAY1" s="154" t="str">
        <f t="shared" si="64"/>
        <v>y</v>
      </c>
      <c r="FAZ1" s="154" t="str">
        <f t="shared" si="64"/>
        <v>y</v>
      </c>
      <c r="FBA1" s="154" t="str">
        <f t="shared" si="64"/>
        <v>y</v>
      </c>
      <c r="FBB1" s="154" t="str">
        <f t="shared" si="64"/>
        <v>y</v>
      </c>
      <c r="FBC1" s="154" t="str">
        <f t="shared" si="64"/>
        <v>y</v>
      </c>
      <c r="FBD1" s="154" t="str">
        <f t="shared" si="64"/>
        <v>y</v>
      </c>
      <c r="FBE1" s="154" t="str">
        <f t="shared" si="64"/>
        <v>y</v>
      </c>
      <c r="FBF1" s="154" t="str">
        <f t="shared" si="64"/>
        <v>y</v>
      </c>
      <c r="FBG1" s="154" t="str">
        <f t="shared" si="64"/>
        <v>y</v>
      </c>
      <c r="FBH1" s="154" t="str">
        <f t="shared" si="64"/>
        <v>y</v>
      </c>
      <c r="FBI1" s="154" t="str">
        <f t="shared" si="64"/>
        <v>y</v>
      </c>
      <c r="FBJ1" s="154" t="str">
        <f t="shared" si="64"/>
        <v>y</v>
      </c>
      <c r="FBK1" s="154" t="str">
        <f t="shared" si="64"/>
        <v>y</v>
      </c>
      <c r="FBL1" s="154" t="str">
        <f t="shared" si="64"/>
        <v>y</v>
      </c>
      <c r="FBM1" s="154" t="str">
        <f t="shared" si="64"/>
        <v>y</v>
      </c>
      <c r="FBN1" s="154" t="str">
        <f t="shared" si="64"/>
        <v>y</v>
      </c>
      <c r="FBO1" s="154" t="str">
        <f t="shared" si="64"/>
        <v>y</v>
      </c>
      <c r="FBP1" s="154" t="str">
        <f t="shared" si="64"/>
        <v>y</v>
      </c>
      <c r="FBQ1" s="154" t="str">
        <f t="shared" si="64"/>
        <v>y</v>
      </c>
      <c r="FBR1" s="154" t="str">
        <f t="shared" si="64"/>
        <v>y</v>
      </c>
      <c r="FBS1" s="154" t="str">
        <f t="shared" si="64"/>
        <v>y</v>
      </c>
      <c r="FBT1" s="154" t="str">
        <f t="shared" si="64"/>
        <v>y</v>
      </c>
      <c r="FBU1" s="154" t="str">
        <f t="shared" si="64"/>
        <v>y</v>
      </c>
      <c r="FBV1" s="154" t="str">
        <f t="shared" si="64"/>
        <v>y</v>
      </c>
      <c r="FBW1" s="154" t="str">
        <f t="shared" si="64"/>
        <v>y</v>
      </c>
      <c r="FBX1" s="154" t="str">
        <f t="shared" si="64"/>
        <v>y</v>
      </c>
      <c r="FBY1" s="154" t="str">
        <f t="shared" si="64"/>
        <v>y</v>
      </c>
      <c r="FBZ1" s="154" t="str">
        <f t="shared" si="64"/>
        <v>y</v>
      </c>
      <c r="FCA1" s="154" t="str">
        <f t="shared" si="64"/>
        <v>y</v>
      </c>
      <c r="FCB1" s="154" t="str">
        <f t="shared" si="64"/>
        <v>y</v>
      </c>
      <c r="FCC1" s="154" t="str">
        <f t="shared" si="64"/>
        <v>y</v>
      </c>
      <c r="FCD1" s="154" t="str">
        <f t="shared" si="64"/>
        <v>y</v>
      </c>
      <c r="FCE1" s="154" t="str">
        <f t="shared" si="64"/>
        <v>y</v>
      </c>
      <c r="FCF1" s="154" t="str">
        <f t="shared" si="64"/>
        <v>y</v>
      </c>
      <c r="FCG1" s="154" t="str">
        <f t="shared" si="64"/>
        <v>y</v>
      </c>
      <c r="FCH1" s="154" t="str">
        <f t="shared" si="64"/>
        <v>y</v>
      </c>
      <c r="FCI1" s="154" t="str">
        <f t="shared" si="64"/>
        <v>y</v>
      </c>
      <c r="FCJ1" s="154" t="str">
        <f t="shared" si="64"/>
        <v>y</v>
      </c>
      <c r="FCK1" s="154" t="str">
        <f t="shared" si="64"/>
        <v>y</v>
      </c>
      <c r="FCL1" s="154" t="str">
        <f t="shared" si="64"/>
        <v>y</v>
      </c>
      <c r="FCM1" s="154" t="str">
        <f t="shared" si="64"/>
        <v>y</v>
      </c>
      <c r="FCN1" s="154" t="str">
        <f t="shared" si="64"/>
        <v>y</v>
      </c>
      <c r="FCO1" s="154" t="str">
        <f t="shared" si="64"/>
        <v>y</v>
      </c>
      <c r="FCP1" s="154" t="str">
        <f t="shared" si="64"/>
        <v>y</v>
      </c>
      <c r="FCQ1" s="154" t="str">
        <f t="shared" si="64"/>
        <v>y</v>
      </c>
      <c r="FCR1" s="154" t="str">
        <f t="shared" si="64"/>
        <v>y</v>
      </c>
      <c r="FCS1" s="154" t="str">
        <f t="shared" si="64"/>
        <v>y</v>
      </c>
      <c r="FCT1" s="154" t="str">
        <f t="shared" si="64"/>
        <v>y</v>
      </c>
      <c r="FCU1" s="154" t="str">
        <f t="shared" si="64"/>
        <v>y</v>
      </c>
      <c r="FCV1" s="154" t="str">
        <f t="shared" si="64"/>
        <v>y</v>
      </c>
      <c r="FCW1" s="154" t="str">
        <f t="shared" si="64"/>
        <v>y</v>
      </c>
      <c r="FCX1" s="154" t="str">
        <f t="shared" si="64"/>
        <v>y</v>
      </c>
      <c r="FCY1" s="154" t="str">
        <f t="shared" si="64"/>
        <v>y</v>
      </c>
      <c r="FCZ1" s="154" t="str">
        <f t="shared" si="64"/>
        <v>y</v>
      </c>
      <c r="FDA1" s="154" t="str">
        <f t="shared" si="64"/>
        <v>y</v>
      </c>
      <c r="FDB1" s="154" t="str">
        <f t="shared" si="64"/>
        <v>y</v>
      </c>
      <c r="FDC1" s="154" t="str">
        <f t="shared" si="64"/>
        <v>y</v>
      </c>
      <c r="FDD1" s="154" t="str">
        <f t="shared" ref="FDD1:FFO1" si="65">FDD2&amp;"y"</f>
        <v>y</v>
      </c>
      <c r="FDE1" s="154" t="str">
        <f t="shared" si="65"/>
        <v>y</v>
      </c>
      <c r="FDF1" s="154" t="str">
        <f t="shared" si="65"/>
        <v>y</v>
      </c>
      <c r="FDG1" s="154" t="str">
        <f t="shared" si="65"/>
        <v>y</v>
      </c>
      <c r="FDH1" s="154" t="str">
        <f t="shared" si="65"/>
        <v>y</v>
      </c>
      <c r="FDI1" s="154" t="str">
        <f t="shared" si="65"/>
        <v>y</v>
      </c>
      <c r="FDJ1" s="154" t="str">
        <f t="shared" si="65"/>
        <v>y</v>
      </c>
      <c r="FDK1" s="154" t="str">
        <f t="shared" si="65"/>
        <v>y</v>
      </c>
      <c r="FDL1" s="154" t="str">
        <f t="shared" si="65"/>
        <v>y</v>
      </c>
      <c r="FDM1" s="154" t="str">
        <f t="shared" si="65"/>
        <v>y</v>
      </c>
      <c r="FDN1" s="154" t="str">
        <f t="shared" si="65"/>
        <v>y</v>
      </c>
      <c r="FDO1" s="154" t="str">
        <f t="shared" si="65"/>
        <v>y</v>
      </c>
      <c r="FDP1" s="154" t="str">
        <f t="shared" si="65"/>
        <v>y</v>
      </c>
      <c r="FDQ1" s="154" t="str">
        <f t="shared" si="65"/>
        <v>y</v>
      </c>
      <c r="FDR1" s="154" t="str">
        <f t="shared" si="65"/>
        <v>y</v>
      </c>
      <c r="FDS1" s="154" t="str">
        <f t="shared" si="65"/>
        <v>y</v>
      </c>
      <c r="FDT1" s="154" t="str">
        <f t="shared" si="65"/>
        <v>y</v>
      </c>
      <c r="FDU1" s="154" t="str">
        <f t="shared" si="65"/>
        <v>y</v>
      </c>
      <c r="FDV1" s="154" t="str">
        <f t="shared" si="65"/>
        <v>y</v>
      </c>
      <c r="FDW1" s="154" t="str">
        <f t="shared" si="65"/>
        <v>y</v>
      </c>
      <c r="FDX1" s="154" t="str">
        <f t="shared" si="65"/>
        <v>y</v>
      </c>
      <c r="FDY1" s="154" t="str">
        <f t="shared" si="65"/>
        <v>y</v>
      </c>
      <c r="FDZ1" s="154" t="str">
        <f t="shared" si="65"/>
        <v>y</v>
      </c>
      <c r="FEA1" s="154" t="str">
        <f t="shared" si="65"/>
        <v>y</v>
      </c>
      <c r="FEB1" s="154" t="str">
        <f t="shared" si="65"/>
        <v>y</v>
      </c>
      <c r="FEC1" s="154" t="str">
        <f t="shared" si="65"/>
        <v>y</v>
      </c>
      <c r="FED1" s="154" t="str">
        <f t="shared" si="65"/>
        <v>y</v>
      </c>
      <c r="FEE1" s="154" t="str">
        <f t="shared" si="65"/>
        <v>y</v>
      </c>
      <c r="FEF1" s="154" t="str">
        <f t="shared" si="65"/>
        <v>y</v>
      </c>
      <c r="FEG1" s="154" t="str">
        <f t="shared" si="65"/>
        <v>y</v>
      </c>
      <c r="FEH1" s="154" t="str">
        <f t="shared" si="65"/>
        <v>y</v>
      </c>
      <c r="FEI1" s="154" t="str">
        <f t="shared" si="65"/>
        <v>y</v>
      </c>
      <c r="FEJ1" s="154" t="str">
        <f t="shared" si="65"/>
        <v>y</v>
      </c>
      <c r="FEK1" s="154" t="str">
        <f t="shared" si="65"/>
        <v>y</v>
      </c>
      <c r="FEL1" s="154" t="str">
        <f t="shared" si="65"/>
        <v>y</v>
      </c>
      <c r="FEM1" s="154" t="str">
        <f t="shared" si="65"/>
        <v>y</v>
      </c>
      <c r="FEN1" s="154" t="str">
        <f t="shared" si="65"/>
        <v>y</v>
      </c>
      <c r="FEO1" s="154" t="str">
        <f t="shared" si="65"/>
        <v>y</v>
      </c>
      <c r="FEP1" s="154" t="str">
        <f t="shared" si="65"/>
        <v>y</v>
      </c>
      <c r="FEQ1" s="154" t="str">
        <f t="shared" si="65"/>
        <v>y</v>
      </c>
      <c r="FER1" s="154" t="str">
        <f t="shared" si="65"/>
        <v>y</v>
      </c>
      <c r="FES1" s="154" t="str">
        <f t="shared" si="65"/>
        <v>y</v>
      </c>
      <c r="FET1" s="154" t="str">
        <f t="shared" si="65"/>
        <v>y</v>
      </c>
      <c r="FEU1" s="154" t="str">
        <f t="shared" si="65"/>
        <v>y</v>
      </c>
      <c r="FEV1" s="154" t="str">
        <f t="shared" si="65"/>
        <v>y</v>
      </c>
      <c r="FEW1" s="154" t="str">
        <f t="shared" si="65"/>
        <v>y</v>
      </c>
      <c r="FEX1" s="154" t="str">
        <f t="shared" si="65"/>
        <v>y</v>
      </c>
      <c r="FEY1" s="154" t="str">
        <f t="shared" si="65"/>
        <v>y</v>
      </c>
      <c r="FEZ1" s="154" t="str">
        <f t="shared" si="65"/>
        <v>y</v>
      </c>
      <c r="FFA1" s="154" t="str">
        <f t="shared" si="65"/>
        <v>y</v>
      </c>
      <c r="FFB1" s="154" t="str">
        <f t="shared" si="65"/>
        <v>y</v>
      </c>
      <c r="FFC1" s="154" t="str">
        <f t="shared" si="65"/>
        <v>y</v>
      </c>
      <c r="FFD1" s="154" t="str">
        <f t="shared" si="65"/>
        <v>y</v>
      </c>
      <c r="FFE1" s="154" t="str">
        <f t="shared" si="65"/>
        <v>y</v>
      </c>
      <c r="FFF1" s="154" t="str">
        <f t="shared" si="65"/>
        <v>y</v>
      </c>
      <c r="FFG1" s="154" t="str">
        <f t="shared" si="65"/>
        <v>y</v>
      </c>
      <c r="FFH1" s="154" t="str">
        <f t="shared" si="65"/>
        <v>y</v>
      </c>
      <c r="FFI1" s="154" t="str">
        <f t="shared" si="65"/>
        <v>y</v>
      </c>
      <c r="FFJ1" s="154" t="str">
        <f t="shared" si="65"/>
        <v>y</v>
      </c>
      <c r="FFK1" s="154" t="str">
        <f t="shared" si="65"/>
        <v>y</v>
      </c>
      <c r="FFL1" s="154" t="str">
        <f t="shared" si="65"/>
        <v>y</v>
      </c>
      <c r="FFM1" s="154" t="str">
        <f t="shared" si="65"/>
        <v>y</v>
      </c>
      <c r="FFN1" s="154" t="str">
        <f t="shared" si="65"/>
        <v>y</v>
      </c>
      <c r="FFO1" s="154" t="str">
        <f t="shared" si="65"/>
        <v>y</v>
      </c>
      <c r="FFP1" s="154" t="str">
        <f t="shared" ref="FFP1:FIA1" si="66">FFP2&amp;"y"</f>
        <v>y</v>
      </c>
      <c r="FFQ1" s="154" t="str">
        <f t="shared" si="66"/>
        <v>y</v>
      </c>
      <c r="FFR1" s="154" t="str">
        <f t="shared" si="66"/>
        <v>y</v>
      </c>
      <c r="FFS1" s="154" t="str">
        <f t="shared" si="66"/>
        <v>y</v>
      </c>
      <c r="FFT1" s="154" t="str">
        <f t="shared" si="66"/>
        <v>y</v>
      </c>
      <c r="FFU1" s="154" t="str">
        <f t="shared" si="66"/>
        <v>y</v>
      </c>
      <c r="FFV1" s="154" t="str">
        <f t="shared" si="66"/>
        <v>y</v>
      </c>
      <c r="FFW1" s="154" t="str">
        <f t="shared" si="66"/>
        <v>y</v>
      </c>
      <c r="FFX1" s="154" t="str">
        <f t="shared" si="66"/>
        <v>y</v>
      </c>
      <c r="FFY1" s="154" t="str">
        <f t="shared" si="66"/>
        <v>y</v>
      </c>
      <c r="FFZ1" s="154" t="str">
        <f t="shared" si="66"/>
        <v>y</v>
      </c>
      <c r="FGA1" s="154" t="str">
        <f t="shared" si="66"/>
        <v>y</v>
      </c>
      <c r="FGB1" s="154" t="str">
        <f t="shared" si="66"/>
        <v>y</v>
      </c>
      <c r="FGC1" s="154" t="str">
        <f t="shared" si="66"/>
        <v>y</v>
      </c>
      <c r="FGD1" s="154" t="str">
        <f t="shared" si="66"/>
        <v>y</v>
      </c>
      <c r="FGE1" s="154" t="str">
        <f t="shared" si="66"/>
        <v>y</v>
      </c>
      <c r="FGF1" s="154" t="str">
        <f t="shared" si="66"/>
        <v>y</v>
      </c>
      <c r="FGG1" s="154" t="str">
        <f t="shared" si="66"/>
        <v>y</v>
      </c>
      <c r="FGH1" s="154" t="str">
        <f t="shared" si="66"/>
        <v>y</v>
      </c>
      <c r="FGI1" s="154" t="str">
        <f t="shared" si="66"/>
        <v>y</v>
      </c>
      <c r="FGJ1" s="154" t="str">
        <f t="shared" si="66"/>
        <v>y</v>
      </c>
      <c r="FGK1" s="154" t="str">
        <f t="shared" si="66"/>
        <v>y</v>
      </c>
      <c r="FGL1" s="154" t="str">
        <f t="shared" si="66"/>
        <v>y</v>
      </c>
      <c r="FGM1" s="154" t="str">
        <f t="shared" si="66"/>
        <v>y</v>
      </c>
      <c r="FGN1" s="154" t="str">
        <f t="shared" si="66"/>
        <v>y</v>
      </c>
      <c r="FGO1" s="154" t="str">
        <f t="shared" si="66"/>
        <v>y</v>
      </c>
      <c r="FGP1" s="154" t="str">
        <f t="shared" si="66"/>
        <v>y</v>
      </c>
      <c r="FGQ1" s="154" t="str">
        <f t="shared" si="66"/>
        <v>y</v>
      </c>
      <c r="FGR1" s="154" t="str">
        <f t="shared" si="66"/>
        <v>y</v>
      </c>
      <c r="FGS1" s="154" t="str">
        <f t="shared" si="66"/>
        <v>y</v>
      </c>
      <c r="FGT1" s="154" t="str">
        <f t="shared" si="66"/>
        <v>y</v>
      </c>
      <c r="FGU1" s="154" t="str">
        <f t="shared" si="66"/>
        <v>y</v>
      </c>
      <c r="FGV1" s="154" t="str">
        <f t="shared" si="66"/>
        <v>y</v>
      </c>
      <c r="FGW1" s="154" t="str">
        <f t="shared" si="66"/>
        <v>y</v>
      </c>
      <c r="FGX1" s="154" t="str">
        <f t="shared" si="66"/>
        <v>y</v>
      </c>
      <c r="FGY1" s="154" t="str">
        <f t="shared" si="66"/>
        <v>y</v>
      </c>
      <c r="FGZ1" s="154" t="str">
        <f t="shared" si="66"/>
        <v>y</v>
      </c>
      <c r="FHA1" s="154" t="str">
        <f t="shared" si="66"/>
        <v>y</v>
      </c>
      <c r="FHB1" s="154" t="str">
        <f t="shared" si="66"/>
        <v>y</v>
      </c>
      <c r="FHC1" s="154" t="str">
        <f t="shared" si="66"/>
        <v>y</v>
      </c>
      <c r="FHD1" s="154" t="str">
        <f t="shared" si="66"/>
        <v>y</v>
      </c>
      <c r="FHE1" s="154" t="str">
        <f t="shared" si="66"/>
        <v>y</v>
      </c>
      <c r="FHF1" s="154" t="str">
        <f t="shared" si="66"/>
        <v>y</v>
      </c>
      <c r="FHG1" s="154" t="str">
        <f t="shared" si="66"/>
        <v>y</v>
      </c>
      <c r="FHH1" s="154" t="str">
        <f t="shared" si="66"/>
        <v>y</v>
      </c>
      <c r="FHI1" s="154" t="str">
        <f t="shared" si="66"/>
        <v>y</v>
      </c>
      <c r="FHJ1" s="154" t="str">
        <f t="shared" si="66"/>
        <v>y</v>
      </c>
      <c r="FHK1" s="154" t="str">
        <f t="shared" si="66"/>
        <v>y</v>
      </c>
      <c r="FHL1" s="154" t="str">
        <f t="shared" si="66"/>
        <v>y</v>
      </c>
      <c r="FHM1" s="154" t="str">
        <f t="shared" si="66"/>
        <v>y</v>
      </c>
      <c r="FHN1" s="154" t="str">
        <f t="shared" si="66"/>
        <v>y</v>
      </c>
      <c r="FHO1" s="154" t="str">
        <f t="shared" si="66"/>
        <v>y</v>
      </c>
      <c r="FHP1" s="154" t="str">
        <f t="shared" si="66"/>
        <v>y</v>
      </c>
      <c r="FHQ1" s="154" t="str">
        <f t="shared" si="66"/>
        <v>y</v>
      </c>
      <c r="FHR1" s="154" t="str">
        <f t="shared" si="66"/>
        <v>y</v>
      </c>
      <c r="FHS1" s="154" t="str">
        <f t="shared" si="66"/>
        <v>y</v>
      </c>
      <c r="FHT1" s="154" t="str">
        <f t="shared" si="66"/>
        <v>y</v>
      </c>
      <c r="FHU1" s="154" t="str">
        <f t="shared" si="66"/>
        <v>y</v>
      </c>
      <c r="FHV1" s="154" t="str">
        <f t="shared" si="66"/>
        <v>y</v>
      </c>
      <c r="FHW1" s="154" t="str">
        <f t="shared" si="66"/>
        <v>y</v>
      </c>
      <c r="FHX1" s="154" t="str">
        <f t="shared" si="66"/>
        <v>y</v>
      </c>
      <c r="FHY1" s="154" t="str">
        <f t="shared" si="66"/>
        <v>y</v>
      </c>
      <c r="FHZ1" s="154" t="str">
        <f t="shared" si="66"/>
        <v>y</v>
      </c>
      <c r="FIA1" s="154" t="str">
        <f t="shared" si="66"/>
        <v>y</v>
      </c>
      <c r="FIB1" s="154" t="str">
        <f t="shared" ref="FIB1:FKM1" si="67">FIB2&amp;"y"</f>
        <v>y</v>
      </c>
      <c r="FIC1" s="154" t="str">
        <f t="shared" si="67"/>
        <v>y</v>
      </c>
      <c r="FID1" s="154" t="str">
        <f t="shared" si="67"/>
        <v>y</v>
      </c>
      <c r="FIE1" s="154" t="str">
        <f t="shared" si="67"/>
        <v>y</v>
      </c>
      <c r="FIF1" s="154" t="str">
        <f t="shared" si="67"/>
        <v>y</v>
      </c>
      <c r="FIG1" s="154" t="str">
        <f t="shared" si="67"/>
        <v>y</v>
      </c>
      <c r="FIH1" s="154" t="str">
        <f t="shared" si="67"/>
        <v>y</v>
      </c>
      <c r="FII1" s="154" t="str">
        <f t="shared" si="67"/>
        <v>y</v>
      </c>
      <c r="FIJ1" s="154" t="str">
        <f t="shared" si="67"/>
        <v>y</v>
      </c>
      <c r="FIK1" s="154" t="str">
        <f t="shared" si="67"/>
        <v>y</v>
      </c>
      <c r="FIL1" s="154" t="str">
        <f t="shared" si="67"/>
        <v>y</v>
      </c>
      <c r="FIM1" s="154" t="str">
        <f t="shared" si="67"/>
        <v>y</v>
      </c>
      <c r="FIN1" s="154" t="str">
        <f t="shared" si="67"/>
        <v>y</v>
      </c>
      <c r="FIO1" s="154" t="str">
        <f t="shared" si="67"/>
        <v>y</v>
      </c>
      <c r="FIP1" s="154" t="str">
        <f t="shared" si="67"/>
        <v>y</v>
      </c>
      <c r="FIQ1" s="154" t="str">
        <f t="shared" si="67"/>
        <v>y</v>
      </c>
      <c r="FIR1" s="154" t="str">
        <f t="shared" si="67"/>
        <v>y</v>
      </c>
      <c r="FIS1" s="154" t="str">
        <f t="shared" si="67"/>
        <v>y</v>
      </c>
      <c r="FIT1" s="154" t="str">
        <f t="shared" si="67"/>
        <v>y</v>
      </c>
      <c r="FIU1" s="154" t="str">
        <f t="shared" si="67"/>
        <v>y</v>
      </c>
      <c r="FIV1" s="154" t="str">
        <f t="shared" si="67"/>
        <v>y</v>
      </c>
      <c r="FIW1" s="154" t="str">
        <f t="shared" si="67"/>
        <v>y</v>
      </c>
      <c r="FIX1" s="154" t="str">
        <f t="shared" si="67"/>
        <v>y</v>
      </c>
      <c r="FIY1" s="154" t="str">
        <f t="shared" si="67"/>
        <v>y</v>
      </c>
      <c r="FIZ1" s="154" t="str">
        <f t="shared" si="67"/>
        <v>y</v>
      </c>
      <c r="FJA1" s="154" t="str">
        <f t="shared" si="67"/>
        <v>y</v>
      </c>
      <c r="FJB1" s="154" t="str">
        <f t="shared" si="67"/>
        <v>y</v>
      </c>
      <c r="FJC1" s="154" t="str">
        <f t="shared" si="67"/>
        <v>y</v>
      </c>
      <c r="FJD1" s="154" t="str">
        <f t="shared" si="67"/>
        <v>y</v>
      </c>
      <c r="FJE1" s="154" t="str">
        <f t="shared" si="67"/>
        <v>y</v>
      </c>
      <c r="FJF1" s="154" t="str">
        <f t="shared" si="67"/>
        <v>y</v>
      </c>
      <c r="FJG1" s="154" t="str">
        <f t="shared" si="67"/>
        <v>y</v>
      </c>
      <c r="FJH1" s="154" t="str">
        <f t="shared" si="67"/>
        <v>y</v>
      </c>
      <c r="FJI1" s="154" t="str">
        <f t="shared" si="67"/>
        <v>y</v>
      </c>
      <c r="FJJ1" s="154" t="str">
        <f t="shared" si="67"/>
        <v>y</v>
      </c>
      <c r="FJK1" s="154" t="str">
        <f t="shared" si="67"/>
        <v>y</v>
      </c>
      <c r="FJL1" s="154" t="str">
        <f t="shared" si="67"/>
        <v>y</v>
      </c>
      <c r="FJM1" s="154" t="str">
        <f t="shared" si="67"/>
        <v>y</v>
      </c>
      <c r="FJN1" s="154" t="str">
        <f t="shared" si="67"/>
        <v>y</v>
      </c>
      <c r="FJO1" s="154" t="str">
        <f t="shared" si="67"/>
        <v>y</v>
      </c>
      <c r="FJP1" s="154" t="str">
        <f t="shared" si="67"/>
        <v>y</v>
      </c>
      <c r="FJQ1" s="154" t="str">
        <f t="shared" si="67"/>
        <v>y</v>
      </c>
      <c r="FJR1" s="154" t="str">
        <f t="shared" si="67"/>
        <v>y</v>
      </c>
      <c r="FJS1" s="154" t="str">
        <f t="shared" si="67"/>
        <v>y</v>
      </c>
      <c r="FJT1" s="154" t="str">
        <f t="shared" si="67"/>
        <v>y</v>
      </c>
      <c r="FJU1" s="154" t="str">
        <f t="shared" si="67"/>
        <v>y</v>
      </c>
      <c r="FJV1" s="154" t="str">
        <f t="shared" si="67"/>
        <v>y</v>
      </c>
      <c r="FJW1" s="154" t="str">
        <f t="shared" si="67"/>
        <v>y</v>
      </c>
      <c r="FJX1" s="154" t="str">
        <f t="shared" si="67"/>
        <v>y</v>
      </c>
      <c r="FJY1" s="154" t="str">
        <f t="shared" si="67"/>
        <v>y</v>
      </c>
      <c r="FJZ1" s="154" t="str">
        <f t="shared" si="67"/>
        <v>y</v>
      </c>
      <c r="FKA1" s="154" t="str">
        <f t="shared" si="67"/>
        <v>y</v>
      </c>
      <c r="FKB1" s="154" t="str">
        <f t="shared" si="67"/>
        <v>y</v>
      </c>
      <c r="FKC1" s="154" t="str">
        <f t="shared" si="67"/>
        <v>y</v>
      </c>
      <c r="FKD1" s="154" t="str">
        <f t="shared" si="67"/>
        <v>y</v>
      </c>
      <c r="FKE1" s="154" t="str">
        <f t="shared" si="67"/>
        <v>y</v>
      </c>
      <c r="FKF1" s="154" t="str">
        <f t="shared" si="67"/>
        <v>y</v>
      </c>
      <c r="FKG1" s="154" t="str">
        <f t="shared" si="67"/>
        <v>y</v>
      </c>
      <c r="FKH1" s="154" t="str">
        <f t="shared" si="67"/>
        <v>y</v>
      </c>
      <c r="FKI1" s="154" t="str">
        <f t="shared" si="67"/>
        <v>y</v>
      </c>
      <c r="FKJ1" s="154" t="str">
        <f t="shared" si="67"/>
        <v>y</v>
      </c>
      <c r="FKK1" s="154" t="str">
        <f t="shared" si="67"/>
        <v>y</v>
      </c>
      <c r="FKL1" s="154" t="str">
        <f t="shared" si="67"/>
        <v>y</v>
      </c>
      <c r="FKM1" s="154" t="str">
        <f t="shared" si="67"/>
        <v>y</v>
      </c>
      <c r="FKN1" s="154" t="str">
        <f t="shared" ref="FKN1:FMY1" si="68">FKN2&amp;"y"</f>
        <v>y</v>
      </c>
      <c r="FKO1" s="154" t="str">
        <f t="shared" si="68"/>
        <v>y</v>
      </c>
      <c r="FKP1" s="154" t="str">
        <f t="shared" si="68"/>
        <v>y</v>
      </c>
      <c r="FKQ1" s="154" t="str">
        <f t="shared" si="68"/>
        <v>y</v>
      </c>
      <c r="FKR1" s="154" t="str">
        <f t="shared" si="68"/>
        <v>y</v>
      </c>
      <c r="FKS1" s="154" t="str">
        <f t="shared" si="68"/>
        <v>y</v>
      </c>
      <c r="FKT1" s="154" t="str">
        <f t="shared" si="68"/>
        <v>y</v>
      </c>
      <c r="FKU1" s="154" t="str">
        <f t="shared" si="68"/>
        <v>y</v>
      </c>
      <c r="FKV1" s="154" t="str">
        <f t="shared" si="68"/>
        <v>y</v>
      </c>
      <c r="FKW1" s="154" t="str">
        <f t="shared" si="68"/>
        <v>y</v>
      </c>
      <c r="FKX1" s="154" t="str">
        <f t="shared" si="68"/>
        <v>y</v>
      </c>
      <c r="FKY1" s="154" t="str">
        <f t="shared" si="68"/>
        <v>y</v>
      </c>
      <c r="FKZ1" s="154" t="str">
        <f t="shared" si="68"/>
        <v>y</v>
      </c>
      <c r="FLA1" s="154" t="str">
        <f t="shared" si="68"/>
        <v>y</v>
      </c>
      <c r="FLB1" s="154" t="str">
        <f t="shared" si="68"/>
        <v>y</v>
      </c>
      <c r="FLC1" s="154" t="str">
        <f t="shared" si="68"/>
        <v>y</v>
      </c>
      <c r="FLD1" s="154" t="str">
        <f t="shared" si="68"/>
        <v>y</v>
      </c>
      <c r="FLE1" s="154" t="str">
        <f t="shared" si="68"/>
        <v>y</v>
      </c>
      <c r="FLF1" s="154" t="str">
        <f t="shared" si="68"/>
        <v>y</v>
      </c>
      <c r="FLG1" s="154" t="str">
        <f t="shared" si="68"/>
        <v>y</v>
      </c>
      <c r="FLH1" s="154" t="str">
        <f t="shared" si="68"/>
        <v>y</v>
      </c>
      <c r="FLI1" s="154" t="str">
        <f t="shared" si="68"/>
        <v>y</v>
      </c>
      <c r="FLJ1" s="154" t="str">
        <f t="shared" si="68"/>
        <v>y</v>
      </c>
      <c r="FLK1" s="154" t="str">
        <f t="shared" si="68"/>
        <v>y</v>
      </c>
      <c r="FLL1" s="154" t="str">
        <f t="shared" si="68"/>
        <v>y</v>
      </c>
      <c r="FLM1" s="154" t="str">
        <f t="shared" si="68"/>
        <v>y</v>
      </c>
      <c r="FLN1" s="154" t="str">
        <f t="shared" si="68"/>
        <v>y</v>
      </c>
      <c r="FLO1" s="154" t="str">
        <f t="shared" si="68"/>
        <v>y</v>
      </c>
      <c r="FLP1" s="154" t="str">
        <f t="shared" si="68"/>
        <v>y</v>
      </c>
      <c r="FLQ1" s="154" t="str">
        <f t="shared" si="68"/>
        <v>y</v>
      </c>
      <c r="FLR1" s="154" t="str">
        <f t="shared" si="68"/>
        <v>y</v>
      </c>
      <c r="FLS1" s="154" t="str">
        <f t="shared" si="68"/>
        <v>y</v>
      </c>
      <c r="FLT1" s="154" t="str">
        <f t="shared" si="68"/>
        <v>y</v>
      </c>
      <c r="FLU1" s="154" t="str">
        <f t="shared" si="68"/>
        <v>y</v>
      </c>
      <c r="FLV1" s="154" t="str">
        <f t="shared" si="68"/>
        <v>y</v>
      </c>
      <c r="FLW1" s="154" t="str">
        <f t="shared" si="68"/>
        <v>y</v>
      </c>
      <c r="FLX1" s="154" t="str">
        <f t="shared" si="68"/>
        <v>y</v>
      </c>
      <c r="FLY1" s="154" t="str">
        <f t="shared" si="68"/>
        <v>y</v>
      </c>
      <c r="FLZ1" s="154" t="str">
        <f t="shared" si="68"/>
        <v>y</v>
      </c>
      <c r="FMA1" s="154" t="str">
        <f t="shared" si="68"/>
        <v>y</v>
      </c>
      <c r="FMB1" s="154" t="str">
        <f t="shared" si="68"/>
        <v>y</v>
      </c>
      <c r="FMC1" s="154" t="str">
        <f t="shared" si="68"/>
        <v>y</v>
      </c>
      <c r="FMD1" s="154" t="str">
        <f t="shared" si="68"/>
        <v>y</v>
      </c>
      <c r="FME1" s="154" t="str">
        <f t="shared" si="68"/>
        <v>y</v>
      </c>
      <c r="FMF1" s="154" t="str">
        <f t="shared" si="68"/>
        <v>y</v>
      </c>
      <c r="FMG1" s="154" t="str">
        <f t="shared" si="68"/>
        <v>y</v>
      </c>
      <c r="FMH1" s="154" t="str">
        <f t="shared" si="68"/>
        <v>y</v>
      </c>
      <c r="FMI1" s="154" t="str">
        <f t="shared" si="68"/>
        <v>y</v>
      </c>
      <c r="FMJ1" s="154" t="str">
        <f t="shared" si="68"/>
        <v>y</v>
      </c>
      <c r="FMK1" s="154" t="str">
        <f t="shared" si="68"/>
        <v>y</v>
      </c>
      <c r="FML1" s="154" t="str">
        <f t="shared" si="68"/>
        <v>y</v>
      </c>
      <c r="FMM1" s="154" t="str">
        <f t="shared" si="68"/>
        <v>y</v>
      </c>
      <c r="FMN1" s="154" t="str">
        <f t="shared" si="68"/>
        <v>y</v>
      </c>
      <c r="FMO1" s="154" t="str">
        <f t="shared" si="68"/>
        <v>y</v>
      </c>
      <c r="FMP1" s="154" t="str">
        <f t="shared" si="68"/>
        <v>y</v>
      </c>
      <c r="FMQ1" s="154" t="str">
        <f t="shared" si="68"/>
        <v>y</v>
      </c>
      <c r="FMR1" s="154" t="str">
        <f t="shared" si="68"/>
        <v>y</v>
      </c>
      <c r="FMS1" s="154" t="str">
        <f t="shared" si="68"/>
        <v>y</v>
      </c>
      <c r="FMT1" s="154" t="str">
        <f t="shared" si="68"/>
        <v>y</v>
      </c>
      <c r="FMU1" s="154" t="str">
        <f t="shared" si="68"/>
        <v>y</v>
      </c>
      <c r="FMV1" s="154" t="str">
        <f t="shared" si="68"/>
        <v>y</v>
      </c>
      <c r="FMW1" s="154" t="str">
        <f t="shared" si="68"/>
        <v>y</v>
      </c>
      <c r="FMX1" s="154" t="str">
        <f t="shared" si="68"/>
        <v>y</v>
      </c>
      <c r="FMY1" s="154" t="str">
        <f t="shared" si="68"/>
        <v>y</v>
      </c>
      <c r="FMZ1" s="154" t="str">
        <f t="shared" ref="FMZ1:FPK1" si="69">FMZ2&amp;"y"</f>
        <v>y</v>
      </c>
      <c r="FNA1" s="154" t="str">
        <f t="shared" si="69"/>
        <v>y</v>
      </c>
      <c r="FNB1" s="154" t="str">
        <f t="shared" si="69"/>
        <v>y</v>
      </c>
      <c r="FNC1" s="154" t="str">
        <f t="shared" si="69"/>
        <v>y</v>
      </c>
      <c r="FND1" s="154" t="str">
        <f t="shared" si="69"/>
        <v>y</v>
      </c>
      <c r="FNE1" s="154" t="str">
        <f t="shared" si="69"/>
        <v>y</v>
      </c>
      <c r="FNF1" s="154" t="str">
        <f t="shared" si="69"/>
        <v>y</v>
      </c>
      <c r="FNG1" s="154" t="str">
        <f t="shared" si="69"/>
        <v>y</v>
      </c>
      <c r="FNH1" s="154" t="str">
        <f t="shared" si="69"/>
        <v>y</v>
      </c>
      <c r="FNI1" s="154" t="str">
        <f t="shared" si="69"/>
        <v>y</v>
      </c>
      <c r="FNJ1" s="154" t="str">
        <f t="shared" si="69"/>
        <v>y</v>
      </c>
      <c r="FNK1" s="154" t="str">
        <f t="shared" si="69"/>
        <v>y</v>
      </c>
      <c r="FNL1" s="154" t="str">
        <f t="shared" si="69"/>
        <v>y</v>
      </c>
      <c r="FNM1" s="154" t="str">
        <f t="shared" si="69"/>
        <v>y</v>
      </c>
      <c r="FNN1" s="154" t="str">
        <f t="shared" si="69"/>
        <v>y</v>
      </c>
      <c r="FNO1" s="154" t="str">
        <f t="shared" si="69"/>
        <v>y</v>
      </c>
      <c r="FNP1" s="154" t="str">
        <f t="shared" si="69"/>
        <v>y</v>
      </c>
      <c r="FNQ1" s="154" t="str">
        <f t="shared" si="69"/>
        <v>y</v>
      </c>
      <c r="FNR1" s="154" t="str">
        <f t="shared" si="69"/>
        <v>y</v>
      </c>
      <c r="FNS1" s="154" t="str">
        <f t="shared" si="69"/>
        <v>y</v>
      </c>
      <c r="FNT1" s="154" t="str">
        <f t="shared" si="69"/>
        <v>y</v>
      </c>
      <c r="FNU1" s="154" t="str">
        <f t="shared" si="69"/>
        <v>y</v>
      </c>
      <c r="FNV1" s="154" t="str">
        <f t="shared" si="69"/>
        <v>y</v>
      </c>
      <c r="FNW1" s="154" t="str">
        <f t="shared" si="69"/>
        <v>y</v>
      </c>
      <c r="FNX1" s="154" t="str">
        <f t="shared" si="69"/>
        <v>y</v>
      </c>
      <c r="FNY1" s="154" t="str">
        <f t="shared" si="69"/>
        <v>y</v>
      </c>
      <c r="FNZ1" s="154" t="str">
        <f t="shared" si="69"/>
        <v>y</v>
      </c>
      <c r="FOA1" s="154" t="str">
        <f t="shared" si="69"/>
        <v>y</v>
      </c>
      <c r="FOB1" s="154" t="str">
        <f t="shared" si="69"/>
        <v>y</v>
      </c>
      <c r="FOC1" s="154" t="str">
        <f t="shared" si="69"/>
        <v>y</v>
      </c>
      <c r="FOD1" s="154" t="str">
        <f t="shared" si="69"/>
        <v>y</v>
      </c>
      <c r="FOE1" s="154" t="str">
        <f t="shared" si="69"/>
        <v>y</v>
      </c>
      <c r="FOF1" s="154" t="str">
        <f t="shared" si="69"/>
        <v>y</v>
      </c>
      <c r="FOG1" s="154" t="str">
        <f t="shared" si="69"/>
        <v>y</v>
      </c>
      <c r="FOH1" s="154" t="str">
        <f t="shared" si="69"/>
        <v>y</v>
      </c>
      <c r="FOI1" s="154" t="str">
        <f t="shared" si="69"/>
        <v>y</v>
      </c>
      <c r="FOJ1" s="154" t="str">
        <f t="shared" si="69"/>
        <v>y</v>
      </c>
      <c r="FOK1" s="154" t="str">
        <f t="shared" si="69"/>
        <v>y</v>
      </c>
      <c r="FOL1" s="154" t="str">
        <f t="shared" si="69"/>
        <v>y</v>
      </c>
      <c r="FOM1" s="154" t="str">
        <f t="shared" si="69"/>
        <v>y</v>
      </c>
      <c r="FON1" s="154" t="str">
        <f t="shared" si="69"/>
        <v>y</v>
      </c>
      <c r="FOO1" s="154" t="str">
        <f t="shared" si="69"/>
        <v>y</v>
      </c>
      <c r="FOP1" s="154" t="str">
        <f t="shared" si="69"/>
        <v>y</v>
      </c>
      <c r="FOQ1" s="154" t="str">
        <f t="shared" si="69"/>
        <v>y</v>
      </c>
      <c r="FOR1" s="154" t="str">
        <f t="shared" si="69"/>
        <v>y</v>
      </c>
      <c r="FOS1" s="154" t="str">
        <f t="shared" si="69"/>
        <v>y</v>
      </c>
      <c r="FOT1" s="154" t="str">
        <f t="shared" si="69"/>
        <v>y</v>
      </c>
      <c r="FOU1" s="154" t="str">
        <f t="shared" si="69"/>
        <v>y</v>
      </c>
      <c r="FOV1" s="154" t="str">
        <f t="shared" si="69"/>
        <v>y</v>
      </c>
      <c r="FOW1" s="154" t="str">
        <f t="shared" si="69"/>
        <v>y</v>
      </c>
      <c r="FOX1" s="154" t="str">
        <f t="shared" si="69"/>
        <v>y</v>
      </c>
      <c r="FOY1" s="154" t="str">
        <f t="shared" si="69"/>
        <v>y</v>
      </c>
      <c r="FOZ1" s="154" t="str">
        <f t="shared" si="69"/>
        <v>y</v>
      </c>
      <c r="FPA1" s="154" t="str">
        <f t="shared" si="69"/>
        <v>y</v>
      </c>
      <c r="FPB1" s="154" t="str">
        <f t="shared" si="69"/>
        <v>y</v>
      </c>
      <c r="FPC1" s="154" t="str">
        <f t="shared" si="69"/>
        <v>y</v>
      </c>
      <c r="FPD1" s="154" t="str">
        <f t="shared" si="69"/>
        <v>y</v>
      </c>
      <c r="FPE1" s="154" t="str">
        <f t="shared" si="69"/>
        <v>y</v>
      </c>
      <c r="FPF1" s="154" t="str">
        <f t="shared" si="69"/>
        <v>y</v>
      </c>
      <c r="FPG1" s="154" t="str">
        <f t="shared" si="69"/>
        <v>y</v>
      </c>
      <c r="FPH1" s="154" t="str">
        <f t="shared" si="69"/>
        <v>y</v>
      </c>
      <c r="FPI1" s="154" t="str">
        <f t="shared" si="69"/>
        <v>y</v>
      </c>
      <c r="FPJ1" s="154" t="str">
        <f t="shared" si="69"/>
        <v>y</v>
      </c>
      <c r="FPK1" s="154" t="str">
        <f t="shared" si="69"/>
        <v>y</v>
      </c>
      <c r="FPL1" s="154" t="str">
        <f t="shared" ref="FPL1:FRW1" si="70">FPL2&amp;"y"</f>
        <v>y</v>
      </c>
      <c r="FPM1" s="154" t="str">
        <f t="shared" si="70"/>
        <v>y</v>
      </c>
      <c r="FPN1" s="154" t="str">
        <f t="shared" si="70"/>
        <v>y</v>
      </c>
      <c r="FPO1" s="154" t="str">
        <f t="shared" si="70"/>
        <v>y</v>
      </c>
      <c r="FPP1" s="154" t="str">
        <f t="shared" si="70"/>
        <v>y</v>
      </c>
      <c r="FPQ1" s="154" t="str">
        <f t="shared" si="70"/>
        <v>y</v>
      </c>
      <c r="FPR1" s="154" t="str">
        <f t="shared" si="70"/>
        <v>y</v>
      </c>
      <c r="FPS1" s="154" t="str">
        <f t="shared" si="70"/>
        <v>y</v>
      </c>
      <c r="FPT1" s="154" t="str">
        <f t="shared" si="70"/>
        <v>y</v>
      </c>
      <c r="FPU1" s="154" t="str">
        <f t="shared" si="70"/>
        <v>y</v>
      </c>
      <c r="FPV1" s="154" t="str">
        <f t="shared" si="70"/>
        <v>y</v>
      </c>
      <c r="FPW1" s="154" t="str">
        <f t="shared" si="70"/>
        <v>y</v>
      </c>
      <c r="FPX1" s="154" t="str">
        <f t="shared" si="70"/>
        <v>y</v>
      </c>
      <c r="FPY1" s="154" t="str">
        <f t="shared" si="70"/>
        <v>y</v>
      </c>
      <c r="FPZ1" s="154" t="str">
        <f t="shared" si="70"/>
        <v>y</v>
      </c>
      <c r="FQA1" s="154" t="str">
        <f t="shared" si="70"/>
        <v>y</v>
      </c>
      <c r="FQB1" s="154" t="str">
        <f t="shared" si="70"/>
        <v>y</v>
      </c>
      <c r="FQC1" s="154" t="str">
        <f t="shared" si="70"/>
        <v>y</v>
      </c>
      <c r="FQD1" s="154" t="str">
        <f t="shared" si="70"/>
        <v>y</v>
      </c>
      <c r="FQE1" s="154" t="str">
        <f t="shared" si="70"/>
        <v>y</v>
      </c>
      <c r="FQF1" s="154" t="str">
        <f t="shared" si="70"/>
        <v>y</v>
      </c>
      <c r="FQG1" s="154" t="str">
        <f t="shared" si="70"/>
        <v>y</v>
      </c>
      <c r="FQH1" s="154" t="str">
        <f t="shared" si="70"/>
        <v>y</v>
      </c>
      <c r="FQI1" s="154" t="str">
        <f t="shared" si="70"/>
        <v>y</v>
      </c>
      <c r="FQJ1" s="154" t="str">
        <f t="shared" si="70"/>
        <v>y</v>
      </c>
      <c r="FQK1" s="154" t="str">
        <f t="shared" si="70"/>
        <v>y</v>
      </c>
      <c r="FQL1" s="154" t="str">
        <f t="shared" si="70"/>
        <v>y</v>
      </c>
      <c r="FQM1" s="154" t="str">
        <f t="shared" si="70"/>
        <v>y</v>
      </c>
      <c r="FQN1" s="154" t="str">
        <f t="shared" si="70"/>
        <v>y</v>
      </c>
      <c r="FQO1" s="154" t="str">
        <f t="shared" si="70"/>
        <v>y</v>
      </c>
      <c r="FQP1" s="154" t="str">
        <f t="shared" si="70"/>
        <v>y</v>
      </c>
      <c r="FQQ1" s="154" t="str">
        <f t="shared" si="70"/>
        <v>y</v>
      </c>
      <c r="FQR1" s="154" t="str">
        <f t="shared" si="70"/>
        <v>y</v>
      </c>
      <c r="FQS1" s="154" t="str">
        <f t="shared" si="70"/>
        <v>y</v>
      </c>
      <c r="FQT1" s="154" t="str">
        <f t="shared" si="70"/>
        <v>y</v>
      </c>
      <c r="FQU1" s="154" t="str">
        <f t="shared" si="70"/>
        <v>y</v>
      </c>
      <c r="FQV1" s="154" t="str">
        <f t="shared" si="70"/>
        <v>y</v>
      </c>
      <c r="FQW1" s="154" t="str">
        <f t="shared" si="70"/>
        <v>y</v>
      </c>
      <c r="FQX1" s="154" t="str">
        <f t="shared" si="70"/>
        <v>y</v>
      </c>
      <c r="FQY1" s="154" t="str">
        <f t="shared" si="70"/>
        <v>y</v>
      </c>
      <c r="FQZ1" s="154" t="str">
        <f t="shared" si="70"/>
        <v>y</v>
      </c>
      <c r="FRA1" s="154" t="str">
        <f t="shared" si="70"/>
        <v>y</v>
      </c>
      <c r="FRB1" s="154" t="str">
        <f t="shared" si="70"/>
        <v>y</v>
      </c>
      <c r="FRC1" s="154" t="str">
        <f t="shared" si="70"/>
        <v>y</v>
      </c>
      <c r="FRD1" s="154" t="str">
        <f t="shared" si="70"/>
        <v>y</v>
      </c>
      <c r="FRE1" s="154" t="str">
        <f t="shared" si="70"/>
        <v>y</v>
      </c>
      <c r="FRF1" s="154" t="str">
        <f t="shared" si="70"/>
        <v>y</v>
      </c>
      <c r="FRG1" s="154" t="str">
        <f t="shared" si="70"/>
        <v>y</v>
      </c>
      <c r="FRH1" s="154" t="str">
        <f t="shared" si="70"/>
        <v>y</v>
      </c>
      <c r="FRI1" s="154" t="str">
        <f t="shared" si="70"/>
        <v>y</v>
      </c>
      <c r="FRJ1" s="154" t="str">
        <f t="shared" si="70"/>
        <v>y</v>
      </c>
      <c r="FRK1" s="154" t="str">
        <f t="shared" si="70"/>
        <v>y</v>
      </c>
      <c r="FRL1" s="154" t="str">
        <f t="shared" si="70"/>
        <v>y</v>
      </c>
      <c r="FRM1" s="154" t="str">
        <f t="shared" si="70"/>
        <v>y</v>
      </c>
      <c r="FRN1" s="154" t="str">
        <f t="shared" si="70"/>
        <v>y</v>
      </c>
      <c r="FRO1" s="154" t="str">
        <f t="shared" si="70"/>
        <v>y</v>
      </c>
      <c r="FRP1" s="154" t="str">
        <f t="shared" si="70"/>
        <v>y</v>
      </c>
      <c r="FRQ1" s="154" t="str">
        <f t="shared" si="70"/>
        <v>y</v>
      </c>
      <c r="FRR1" s="154" t="str">
        <f t="shared" si="70"/>
        <v>y</v>
      </c>
      <c r="FRS1" s="154" t="str">
        <f t="shared" si="70"/>
        <v>y</v>
      </c>
      <c r="FRT1" s="154" t="str">
        <f t="shared" si="70"/>
        <v>y</v>
      </c>
      <c r="FRU1" s="154" t="str">
        <f t="shared" si="70"/>
        <v>y</v>
      </c>
      <c r="FRV1" s="154" t="str">
        <f t="shared" si="70"/>
        <v>y</v>
      </c>
      <c r="FRW1" s="154" t="str">
        <f t="shared" si="70"/>
        <v>y</v>
      </c>
      <c r="FRX1" s="154" t="str">
        <f t="shared" ref="FRX1:FUI1" si="71">FRX2&amp;"y"</f>
        <v>y</v>
      </c>
      <c r="FRY1" s="154" t="str">
        <f t="shared" si="71"/>
        <v>y</v>
      </c>
      <c r="FRZ1" s="154" t="str">
        <f t="shared" si="71"/>
        <v>y</v>
      </c>
      <c r="FSA1" s="154" t="str">
        <f t="shared" si="71"/>
        <v>y</v>
      </c>
      <c r="FSB1" s="154" t="str">
        <f t="shared" si="71"/>
        <v>y</v>
      </c>
      <c r="FSC1" s="154" t="str">
        <f t="shared" si="71"/>
        <v>y</v>
      </c>
      <c r="FSD1" s="154" t="str">
        <f t="shared" si="71"/>
        <v>y</v>
      </c>
      <c r="FSE1" s="154" t="str">
        <f t="shared" si="71"/>
        <v>y</v>
      </c>
      <c r="FSF1" s="154" t="str">
        <f t="shared" si="71"/>
        <v>y</v>
      </c>
      <c r="FSG1" s="154" t="str">
        <f t="shared" si="71"/>
        <v>y</v>
      </c>
      <c r="FSH1" s="154" t="str">
        <f t="shared" si="71"/>
        <v>y</v>
      </c>
      <c r="FSI1" s="154" t="str">
        <f t="shared" si="71"/>
        <v>y</v>
      </c>
      <c r="FSJ1" s="154" t="str">
        <f t="shared" si="71"/>
        <v>y</v>
      </c>
      <c r="FSK1" s="154" t="str">
        <f t="shared" si="71"/>
        <v>y</v>
      </c>
      <c r="FSL1" s="154" t="str">
        <f t="shared" si="71"/>
        <v>y</v>
      </c>
      <c r="FSM1" s="154" t="str">
        <f t="shared" si="71"/>
        <v>y</v>
      </c>
      <c r="FSN1" s="154" t="str">
        <f t="shared" si="71"/>
        <v>y</v>
      </c>
      <c r="FSO1" s="154" t="str">
        <f t="shared" si="71"/>
        <v>y</v>
      </c>
      <c r="FSP1" s="154" t="str">
        <f t="shared" si="71"/>
        <v>y</v>
      </c>
      <c r="FSQ1" s="154" t="str">
        <f t="shared" si="71"/>
        <v>y</v>
      </c>
      <c r="FSR1" s="154" t="str">
        <f t="shared" si="71"/>
        <v>y</v>
      </c>
      <c r="FSS1" s="154" t="str">
        <f t="shared" si="71"/>
        <v>y</v>
      </c>
      <c r="FST1" s="154" t="str">
        <f t="shared" si="71"/>
        <v>y</v>
      </c>
      <c r="FSU1" s="154" t="str">
        <f t="shared" si="71"/>
        <v>y</v>
      </c>
      <c r="FSV1" s="154" t="str">
        <f t="shared" si="71"/>
        <v>y</v>
      </c>
      <c r="FSW1" s="154" t="str">
        <f t="shared" si="71"/>
        <v>y</v>
      </c>
      <c r="FSX1" s="154" t="str">
        <f t="shared" si="71"/>
        <v>y</v>
      </c>
      <c r="FSY1" s="154" t="str">
        <f t="shared" si="71"/>
        <v>y</v>
      </c>
      <c r="FSZ1" s="154" t="str">
        <f t="shared" si="71"/>
        <v>y</v>
      </c>
      <c r="FTA1" s="154" t="str">
        <f t="shared" si="71"/>
        <v>y</v>
      </c>
      <c r="FTB1" s="154" t="str">
        <f t="shared" si="71"/>
        <v>y</v>
      </c>
      <c r="FTC1" s="154" t="str">
        <f t="shared" si="71"/>
        <v>y</v>
      </c>
      <c r="FTD1" s="154" t="str">
        <f t="shared" si="71"/>
        <v>y</v>
      </c>
      <c r="FTE1" s="154" t="str">
        <f t="shared" si="71"/>
        <v>y</v>
      </c>
      <c r="FTF1" s="154" t="str">
        <f t="shared" si="71"/>
        <v>y</v>
      </c>
      <c r="FTG1" s="154" t="str">
        <f t="shared" si="71"/>
        <v>y</v>
      </c>
      <c r="FTH1" s="154" t="str">
        <f t="shared" si="71"/>
        <v>y</v>
      </c>
      <c r="FTI1" s="154" t="str">
        <f t="shared" si="71"/>
        <v>y</v>
      </c>
      <c r="FTJ1" s="154" t="str">
        <f t="shared" si="71"/>
        <v>y</v>
      </c>
      <c r="FTK1" s="154" t="str">
        <f t="shared" si="71"/>
        <v>y</v>
      </c>
      <c r="FTL1" s="154" t="str">
        <f t="shared" si="71"/>
        <v>y</v>
      </c>
      <c r="FTM1" s="154" t="str">
        <f t="shared" si="71"/>
        <v>y</v>
      </c>
      <c r="FTN1" s="154" t="str">
        <f t="shared" si="71"/>
        <v>y</v>
      </c>
      <c r="FTO1" s="154" t="str">
        <f t="shared" si="71"/>
        <v>y</v>
      </c>
      <c r="FTP1" s="154" t="str">
        <f t="shared" si="71"/>
        <v>y</v>
      </c>
      <c r="FTQ1" s="154" t="str">
        <f t="shared" si="71"/>
        <v>y</v>
      </c>
      <c r="FTR1" s="154" t="str">
        <f t="shared" si="71"/>
        <v>y</v>
      </c>
      <c r="FTS1" s="154" t="str">
        <f t="shared" si="71"/>
        <v>y</v>
      </c>
      <c r="FTT1" s="154" t="str">
        <f t="shared" si="71"/>
        <v>y</v>
      </c>
      <c r="FTU1" s="154" t="str">
        <f t="shared" si="71"/>
        <v>y</v>
      </c>
      <c r="FTV1" s="154" t="str">
        <f t="shared" si="71"/>
        <v>y</v>
      </c>
      <c r="FTW1" s="154" t="str">
        <f t="shared" si="71"/>
        <v>y</v>
      </c>
      <c r="FTX1" s="154" t="str">
        <f t="shared" si="71"/>
        <v>y</v>
      </c>
      <c r="FTY1" s="154" t="str">
        <f t="shared" si="71"/>
        <v>y</v>
      </c>
      <c r="FTZ1" s="154" t="str">
        <f t="shared" si="71"/>
        <v>y</v>
      </c>
      <c r="FUA1" s="154" t="str">
        <f t="shared" si="71"/>
        <v>y</v>
      </c>
      <c r="FUB1" s="154" t="str">
        <f t="shared" si="71"/>
        <v>y</v>
      </c>
      <c r="FUC1" s="154" t="str">
        <f t="shared" si="71"/>
        <v>y</v>
      </c>
      <c r="FUD1" s="154" t="str">
        <f t="shared" si="71"/>
        <v>y</v>
      </c>
      <c r="FUE1" s="154" t="str">
        <f t="shared" si="71"/>
        <v>y</v>
      </c>
      <c r="FUF1" s="154" t="str">
        <f t="shared" si="71"/>
        <v>y</v>
      </c>
      <c r="FUG1" s="154" t="str">
        <f t="shared" si="71"/>
        <v>y</v>
      </c>
      <c r="FUH1" s="154" t="str">
        <f t="shared" si="71"/>
        <v>y</v>
      </c>
      <c r="FUI1" s="154" t="str">
        <f t="shared" si="71"/>
        <v>y</v>
      </c>
      <c r="FUJ1" s="154" t="str">
        <f t="shared" ref="FUJ1:FWU1" si="72">FUJ2&amp;"y"</f>
        <v>y</v>
      </c>
      <c r="FUK1" s="154" t="str">
        <f t="shared" si="72"/>
        <v>y</v>
      </c>
      <c r="FUL1" s="154" t="str">
        <f t="shared" si="72"/>
        <v>y</v>
      </c>
      <c r="FUM1" s="154" t="str">
        <f t="shared" si="72"/>
        <v>y</v>
      </c>
      <c r="FUN1" s="154" t="str">
        <f t="shared" si="72"/>
        <v>y</v>
      </c>
      <c r="FUO1" s="154" t="str">
        <f t="shared" si="72"/>
        <v>y</v>
      </c>
      <c r="FUP1" s="154" t="str">
        <f t="shared" si="72"/>
        <v>y</v>
      </c>
      <c r="FUQ1" s="154" t="str">
        <f t="shared" si="72"/>
        <v>y</v>
      </c>
      <c r="FUR1" s="154" t="str">
        <f t="shared" si="72"/>
        <v>y</v>
      </c>
      <c r="FUS1" s="154" t="str">
        <f t="shared" si="72"/>
        <v>y</v>
      </c>
      <c r="FUT1" s="154" t="str">
        <f t="shared" si="72"/>
        <v>y</v>
      </c>
      <c r="FUU1" s="154" t="str">
        <f t="shared" si="72"/>
        <v>y</v>
      </c>
      <c r="FUV1" s="154" t="str">
        <f t="shared" si="72"/>
        <v>y</v>
      </c>
      <c r="FUW1" s="154" t="str">
        <f t="shared" si="72"/>
        <v>y</v>
      </c>
      <c r="FUX1" s="154" t="str">
        <f t="shared" si="72"/>
        <v>y</v>
      </c>
      <c r="FUY1" s="154" t="str">
        <f t="shared" si="72"/>
        <v>y</v>
      </c>
      <c r="FUZ1" s="154" t="str">
        <f t="shared" si="72"/>
        <v>y</v>
      </c>
      <c r="FVA1" s="154" t="str">
        <f t="shared" si="72"/>
        <v>y</v>
      </c>
      <c r="FVB1" s="154" t="str">
        <f t="shared" si="72"/>
        <v>y</v>
      </c>
      <c r="FVC1" s="154" t="str">
        <f t="shared" si="72"/>
        <v>y</v>
      </c>
      <c r="FVD1" s="154" t="str">
        <f t="shared" si="72"/>
        <v>y</v>
      </c>
      <c r="FVE1" s="154" t="str">
        <f t="shared" si="72"/>
        <v>y</v>
      </c>
      <c r="FVF1" s="154" t="str">
        <f t="shared" si="72"/>
        <v>y</v>
      </c>
      <c r="FVG1" s="154" t="str">
        <f t="shared" si="72"/>
        <v>y</v>
      </c>
      <c r="FVH1" s="154" t="str">
        <f t="shared" si="72"/>
        <v>y</v>
      </c>
      <c r="FVI1" s="154" t="str">
        <f t="shared" si="72"/>
        <v>y</v>
      </c>
      <c r="FVJ1" s="154" t="str">
        <f t="shared" si="72"/>
        <v>y</v>
      </c>
      <c r="FVK1" s="154" t="str">
        <f t="shared" si="72"/>
        <v>y</v>
      </c>
      <c r="FVL1" s="154" t="str">
        <f t="shared" si="72"/>
        <v>y</v>
      </c>
      <c r="FVM1" s="154" t="str">
        <f t="shared" si="72"/>
        <v>y</v>
      </c>
      <c r="FVN1" s="154" t="str">
        <f t="shared" si="72"/>
        <v>y</v>
      </c>
      <c r="FVO1" s="154" t="str">
        <f t="shared" si="72"/>
        <v>y</v>
      </c>
      <c r="FVP1" s="154" t="str">
        <f t="shared" si="72"/>
        <v>y</v>
      </c>
      <c r="FVQ1" s="154" t="str">
        <f t="shared" si="72"/>
        <v>y</v>
      </c>
      <c r="FVR1" s="154" t="str">
        <f t="shared" si="72"/>
        <v>y</v>
      </c>
      <c r="FVS1" s="154" t="str">
        <f t="shared" si="72"/>
        <v>y</v>
      </c>
      <c r="FVT1" s="154" t="str">
        <f t="shared" si="72"/>
        <v>y</v>
      </c>
      <c r="FVU1" s="154" t="str">
        <f t="shared" si="72"/>
        <v>y</v>
      </c>
      <c r="FVV1" s="154" t="str">
        <f t="shared" si="72"/>
        <v>y</v>
      </c>
      <c r="FVW1" s="154" t="str">
        <f t="shared" si="72"/>
        <v>y</v>
      </c>
      <c r="FVX1" s="154" t="str">
        <f t="shared" si="72"/>
        <v>y</v>
      </c>
      <c r="FVY1" s="154" t="str">
        <f t="shared" si="72"/>
        <v>y</v>
      </c>
      <c r="FVZ1" s="154" t="str">
        <f t="shared" si="72"/>
        <v>y</v>
      </c>
      <c r="FWA1" s="154" t="str">
        <f t="shared" si="72"/>
        <v>y</v>
      </c>
      <c r="FWB1" s="154" t="str">
        <f t="shared" si="72"/>
        <v>y</v>
      </c>
      <c r="FWC1" s="154" t="str">
        <f t="shared" si="72"/>
        <v>y</v>
      </c>
      <c r="FWD1" s="154" t="str">
        <f t="shared" si="72"/>
        <v>y</v>
      </c>
      <c r="FWE1" s="154" t="str">
        <f t="shared" si="72"/>
        <v>y</v>
      </c>
      <c r="FWF1" s="154" t="str">
        <f t="shared" si="72"/>
        <v>y</v>
      </c>
      <c r="FWG1" s="154" t="str">
        <f t="shared" si="72"/>
        <v>y</v>
      </c>
      <c r="FWH1" s="154" t="str">
        <f t="shared" si="72"/>
        <v>y</v>
      </c>
      <c r="FWI1" s="154" t="str">
        <f t="shared" si="72"/>
        <v>y</v>
      </c>
      <c r="FWJ1" s="154" t="str">
        <f t="shared" si="72"/>
        <v>y</v>
      </c>
      <c r="FWK1" s="154" t="str">
        <f t="shared" si="72"/>
        <v>y</v>
      </c>
      <c r="FWL1" s="154" t="str">
        <f t="shared" si="72"/>
        <v>y</v>
      </c>
      <c r="FWM1" s="154" t="str">
        <f t="shared" si="72"/>
        <v>y</v>
      </c>
      <c r="FWN1" s="154" t="str">
        <f t="shared" si="72"/>
        <v>y</v>
      </c>
      <c r="FWO1" s="154" t="str">
        <f t="shared" si="72"/>
        <v>y</v>
      </c>
      <c r="FWP1" s="154" t="str">
        <f t="shared" si="72"/>
        <v>y</v>
      </c>
      <c r="FWQ1" s="154" t="str">
        <f t="shared" si="72"/>
        <v>y</v>
      </c>
      <c r="FWR1" s="154" t="str">
        <f t="shared" si="72"/>
        <v>y</v>
      </c>
      <c r="FWS1" s="154" t="str">
        <f t="shared" si="72"/>
        <v>y</v>
      </c>
      <c r="FWT1" s="154" t="str">
        <f t="shared" si="72"/>
        <v>y</v>
      </c>
      <c r="FWU1" s="154" t="str">
        <f t="shared" si="72"/>
        <v>y</v>
      </c>
      <c r="FWV1" s="154" t="str">
        <f t="shared" ref="FWV1:FZG1" si="73">FWV2&amp;"y"</f>
        <v>y</v>
      </c>
      <c r="FWW1" s="154" t="str">
        <f t="shared" si="73"/>
        <v>y</v>
      </c>
      <c r="FWX1" s="154" t="str">
        <f t="shared" si="73"/>
        <v>y</v>
      </c>
      <c r="FWY1" s="154" t="str">
        <f t="shared" si="73"/>
        <v>y</v>
      </c>
      <c r="FWZ1" s="154" t="str">
        <f t="shared" si="73"/>
        <v>y</v>
      </c>
      <c r="FXA1" s="154" t="str">
        <f t="shared" si="73"/>
        <v>y</v>
      </c>
      <c r="FXB1" s="154" t="str">
        <f t="shared" si="73"/>
        <v>y</v>
      </c>
      <c r="FXC1" s="154" t="str">
        <f t="shared" si="73"/>
        <v>y</v>
      </c>
      <c r="FXD1" s="154" t="str">
        <f t="shared" si="73"/>
        <v>y</v>
      </c>
      <c r="FXE1" s="154" t="str">
        <f t="shared" si="73"/>
        <v>y</v>
      </c>
      <c r="FXF1" s="154" t="str">
        <f t="shared" si="73"/>
        <v>y</v>
      </c>
      <c r="FXG1" s="154" t="str">
        <f t="shared" si="73"/>
        <v>y</v>
      </c>
      <c r="FXH1" s="154" t="str">
        <f t="shared" si="73"/>
        <v>y</v>
      </c>
      <c r="FXI1" s="154" t="str">
        <f t="shared" si="73"/>
        <v>y</v>
      </c>
      <c r="FXJ1" s="154" t="str">
        <f t="shared" si="73"/>
        <v>y</v>
      </c>
      <c r="FXK1" s="154" t="str">
        <f t="shared" si="73"/>
        <v>y</v>
      </c>
      <c r="FXL1" s="154" t="str">
        <f t="shared" si="73"/>
        <v>y</v>
      </c>
      <c r="FXM1" s="154" t="str">
        <f t="shared" si="73"/>
        <v>y</v>
      </c>
      <c r="FXN1" s="154" t="str">
        <f t="shared" si="73"/>
        <v>y</v>
      </c>
      <c r="FXO1" s="154" t="str">
        <f t="shared" si="73"/>
        <v>y</v>
      </c>
      <c r="FXP1" s="154" t="str">
        <f t="shared" si="73"/>
        <v>y</v>
      </c>
      <c r="FXQ1" s="154" t="str">
        <f t="shared" si="73"/>
        <v>y</v>
      </c>
      <c r="FXR1" s="154" t="str">
        <f t="shared" si="73"/>
        <v>y</v>
      </c>
      <c r="FXS1" s="154" t="str">
        <f t="shared" si="73"/>
        <v>y</v>
      </c>
      <c r="FXT1" s="154" t="str">
        <f t="shared" si="73"/>
        <v>y</v>
      </c>
      <c r="FXU1" s="154" t="str">
        <f t="shared" si="73"/>
        <v>y</v>
      </c>
      <c r="FXV1" s="154" t="str">
        <f t="shared" si="73"/>
        <v>y</v>
      </c>
      <c r="FXW1" s="154" t="str">
        <f t="shared" si="73"/>
        <v>y</v>
      </c>
      <c r="FXX1" s="154" t="str">
        <f t="shared" si="73"/>
        <v>y</v>
      </c>
      <c r="FXY1" s="154" t="str">
        <f t="shared" si="73"/>
        <v>y</v>
      </c>
      <c r="FXZ1" s="154" t="str">
        <f t="shared" si="73"/>
        <v>y</v>
      </c>
      <c r="FYA1" s="154" t="str">
        <f t="shared" si="73"/>
        <v>y</v>
      </c>
      <c r="FYB1" s="154" t="str">
        <f t="shared" si="73"/>
        <v>y</v>
      </c>
      <c r="FYC1" s="154" t="str">
        <f t="shared" si="73"/>
        <v>y</v>
      </c>
      <c r="FYD1" s="154" t="str">
        <f t="shared" si="73"/>
        <v>y</v>
      </c>
      <c r="FYE1" s="154" t="str">
        <f t="shared" si="73"/>
        <v>y</v>
      </c>
      <c r="FYF1" s="154" t="str">
        <f t="shared" si="73"/>
        <v>y</v>
      </c>
      <c r="FYG1" s="154" t="str">
        <f t="shared" si="73"/>
        <v>y</v>
      </c>
      <c r="FYH1" s="154" t="str">
        <f t="shared" si="73"/>
        <v>y</v>
      </c>
      <c r="FYI1" s="154" t="str">
        <f t="shared" si="73"/>
        <v>y</v>
      </c>
      <c r="FYJ1" s="154" t="str">
        <f t="shared" si="73"/>
        <v>y</v>
      </c>
      <c r="FYK1" s="154" t="str">
        <f t="shared" si="73"/>
        <v>y</v>
      </c>
      <c r="FYL1" s="154" t="str">
        <f t="shared" si="73"/>
        <v>y</v>
      </c>
      <c r="FYM1" s="154" t="str">
        <f t="shared" si="73"/>
        <v>y</v>
      </c>
      <c r="FYN1" s="154" t="str">
        <f t="shared" si="73"/>
        <v>y</v>
      </c>
      <c r="FYO1" s="154" t="str">
        <f t="shared" si="73"/>
        <v>y</v>
      </c>
      <c r="FYP1" s="154" t="str">
        <f t="shared" si="73"/>
        <v>y</v>
      </c>
      <c r="FYQ1" s="154" t="str">
        <f t="shared" si="73"/>
        <v>y</v>
      </c>
      <c r="FYR1" s="154" t="str">
        <f t="shared" si="73"/>
        <v>y</v>
      </c>
      <c r="FYS1" s="154" t="str">
        <f t="shared" si="73"/>
        <v>y</v>
      </c>
      <c r="FYT1" s="154" t="str">
        <f t="shared" si="73"/>
        <v>y</v>
      </c>
      <c r="FYU1" s="154" t="str">
        <f t="shared" si="73"/>
        <v>y</v>
      </c>
      <c r="FYV1" s="154" t="str">
        <f t="shared" si="73"/>
        <v>y</v>
      </c>
      <c r="FYW1" s="154" t="str">
        <f t="shared" si="73"/>
        <v>y</v>
      </c>
      <c r="FYX1" s="154" t="str">
        <f t="shared" si="73"/>
        <v>y</v>
      </c>
      <c r="FYY1" s="154" t="str">
        <f t="shared" si="73"/>
        <v>y</v>
      </c>
      <c r="FYZ1" s="154" t="str">
        <f t="shared" si="73"/>
        <v>y</v>
      </c>
      <c r="FZA1" s="154" t="str">
        <f t="shared" si="73"/>
        <v>y</v>
      </c>
      <c r="FZB1" s="154" t="str">
        <f t="shared" si="73"/>
        <v>y</v>
      </c>
      <c r="FZC1" s="154" t="str">
        <f t="shared" si="73"/>
        <v>y</v>
      </c>
      <c r="FZD1" s="154" t="str">
        <f t="shared" si="73"/>
        <v>y</v>
      </c>
      <c r="FZE1" s="154" t="str">
        <f t="shared" si="73"/>
        <v>y</v>
      </c>
      <c r="FZF1" s="154" t="str">
        <f t="shared" si="73"/>
        <v>y</v>
      </c>
      <c r="FZG1" s="154" t="str">
        <f t="shared" si="73"/>
        <v>y</v>
      </c>
      <c r="FZH1" s="154" t="str">
        <f t="shared" ref="FZH1:GBS1" si="74">FZH2&amp;"y"</f>
        <v>y</v>
      </c>
      <c r="FZI1" s="154" t="str">
        <f t="shared" si="74"/>
        <v>y</v>
      </c>
      <c r="FZJ1" s="154" t="str">
        <f t="shared" si="74"/>
        <v>y</v>
      </c>
      <c r="FZK1" s="154" t="str">
        <f t="shared" si="74"/>
        <v>y</v>
      </c>
      <c r="FZL1" s="154" t="str">
        <f t="shared" si="74"/>
        <v>y</v>
      </c>
      <c r="FZM1" s="154" t="str">
        <f t="shared" si="74"/>
        <v>y</v>
      </c>
      <c r="FZN1" s="154" t="str">
        <f t="shared" si="74"/>
        <v>y</v>
      </c>
      <c r="FZO1" s="154" t="str">
        <f t="shared" si="74"/>
        <v>y</v>
      </c>
      <c r="FZP1" s="154" t="str">
        <f t="shared" si="74"/>
        <v>y</v>
      </c>
      <c r="FZQ1" s="154" t="str">
        <f t="shared" si="74"/>
        <v>y</v>
      </c>
      <c r="FZR1" s="154" t="str">
        <f t="shared" si="74"/>
        <v>y</v>
      </c>
      <c r="FZS1" s="154" t="str">
        <f t="shared" si="74"/>
        <v>y</v>
      </c>
      <c r="FZT1" s="154" t="str">
        <f t="shared" si="74"/>
        <v>y</v>
      </c>
      <c r="FZU1" s="154" t="str">
        <f t="shared" si="74"/>
        <v>y</v>
      </c>
      <c r="FZV1" s="154" t="str">
        <f t="shared" si="74"/>
        <v>y</v>
      </c>
      <c r="FZW1" s="154" t="str">
        <f t="shared" si="74"/>
        <v>y</v>
      </c>
      <c r="FZX1" s="154" t="str">
        <f t="shared" si="74"/>
        <v>y</v>
      </c>
      <c r="FZY1" s="154" t="str">
        <f t="shared" si="74"/>
        <v>y</v>
      </c>
      <c r="FZZ1" s="154" t="str">
        <f t="shared" si="74"/>
        <v>y</v>
      </c>
      <c r="GAA1" s="154" t="str">
        <f t="shared" si="74"/>
        <v>y</v>
      </c>
      <c r="GAB1" s="154" t="str">
        <f t="shared" si="74"/>
        <v>y</v>
      </c>
      <c r="GAC1" s="154" t="str">
        <f t="shared" si="74"/>
        <v>y</v>
      </c>
      <c r="GAD1" s="154" t="str">
        <f t="shared" si="74"/>
        <v>y</v>
      </c>
      <c r="GAE1" s="154" t="str">
        <f t="shared" si="74"/>
        <v>y</v>
      </c>
      <c r="GAF1" s="154" t="str">
        <f t="shared" si="74"/>
        <v>y</v>
      </c>
      <c r="GAG1" s="154" t="str">
        <f t="shared" si="74"/>
        <v>y</v>
      </c>
      <c r="GAH1" s="154" t="str">
        <f t="shared" si="74"/>
        <v>y</v>
      </c>
      <c r="GAI1" s="154" t="str">
        <f t="shared" si="74"/>
        <v>y</v>
      </c>
      <c r="GAJ1" s="154" t="str">
        <f t="shared" si="74"/>
        <v>y</v>
      </c>
      <c r="GAK1" s="154" t="str">
        <f t="shared" si="74"/>
        <v>y</v>
      </c>
      <c r="GAL1" s="154" t="str">
        <f t="shared" si="74"/>
        <v>y</v>
      </c>
      <c r="GAM1" s="154" t="str">
        <f t="shared" si="74"/>
        <v>y</v>
      </c>
      <c r="GAN1" s="154" t="str">
        <f t="shared" si="74"/>
        <v>y</v>
      </c>
      <c r="GAO1" s="154" t="str">
        <f t="shared" si="74"/>
        <v>y</v>
      </c>
      <c r="GAP1" s="154" t="str">
        <f t="shared" si="74"/>
        <v>y</v>
      </c>
      <c r="GAQ1" s="154" t="str">
        <f t="shared" si="74"/>
        <v>y</v>
      </c>
      <c r="GAR1" s="154" t="str">
        <f t="shared" si="74"/>
        <v>y</v>
      </c>
      <c r="GAS1" s="154" t="str">
        <f t="shared" si="74"/>
        <v>y</v>
      </c>
      <c r="GAT1" s="154" t="str">
        <f t="shared" si="74"/>
        <v>y</v>
      </c>
      <c r="GAU1" s="154" t="str">
        <f t="shared" si="74"/>
        <v>y</v>
      </c>
      <c r="GAV1" s="154" t="str">
        <f t="shared" si="74"/>
        <v>y</v>
      </c>
      <c r="GAW1" s="154" t="str">
        <f t="shared" si="74"/>
        <v>y</v>
      </c>
      <c r="GAX1" s="154" t="str">
        <f t="shared" si="74"/>
        <v>y</v>
      </c>
      <c r="GAY1" s="154" t="str">
        <f t="shared" si="74"/>
        <v>y</v>
      </c>
      <c r="GAZ1" s="154" t="str">
        <f t="shared" si="74"/>
        <v>y</v>
      </c>
      <c r="GBA1" s="154" t="str">
        <f t="shared" si="74"/>
        <v>y</v>
      </c>
      <c r="GBB1" s="154" t="str">
        <f t="shared" si="74"/>
        <v>y</v>
      </c>
      <c r="GBC1" s="154" t="str">
        <f t="shared" si="74"/>
        <v>y</v>
      </c>
      <c r="GBD1" s="154" t="str">
        <f t="shared" si="74"/>
        <v>y</v>
      </c>
      <c r="GBE1" s="154" t="str">
        <f t="shared" si="74"/>
        <v>y</v>
      </c>
      <c r="GBF1" s="154" t="str">
        <f t="shared" si="74"/>
        <v>y</v>
      </c>
      <c r="GBG1" s="154" t="str">
        <f t="shared" si="74"/>
        <v>y</v>
      </c>
      <c r="GBH1" s="154" t="str">
        <f t="shared" si="74"/>
        <v>y</v>
      </c>
      <c r="GBI1" s="154" t="str">
        <f t="shared" si="74"/>
        <v>y</v>
      </c>
      <c r="GBJ1" s="154" t="str">
        <f t="shared" si="74"/>
        <v>y</v>
      </c>
      <c r="GBK1" s="154" t="str">
        <f t="shared" si="74"/>
        <v>y</v>
      </c>
      <c r="GBL1" s="154" t="str">
        <f t="shared" si="74"/>
        <v>y</v>
      </c>
      <c r="GBM1" s="154" t="str">
        <f t="shared" si="74"/>
        <v>y</v>
      </c>
      <c r="GBN1" s="154" t="str">
        <f t="shared" si="74"/>
        <v>y</v>
      </c>
      <c r="GBO1" s="154" t="str">
        <f t="shared" si="74"/>
        <v>y</v>
      </c>
      <c r="GBP1" s="154" t="str">
        <f t="shared" si="74"/>
        <v>y</v>
      </c>
      <c r="GBQ1" s="154" t="str">
        <f t="shared" si="74"/>
        <v>y</v>
      </c>
      <c r="GBR1" s="154" t="str">
        <f t="shared" si="74"/>
        <v>y</v>
      </c>
      <c r="GBS1" s="154" t="str">
        <f t="shared" si="74"/>
        <v>y</v>
      </c>
      <c r="GBT1" s="154" t="str">
        <f t="shared" ref="GBT1:GEE1" si="75">GBT2&amp;"y"</f>
        <v>y</v>
      </c>
      <c r="GBU1" s="154" t="str">
        <f t="shared" si="75"/>
        <v>y</v>
      </c>
      <c r="GBV1" s="154" t="str">
        <f t="shared" si="75"/>
        <v>y</v>
      </c>
      <c r="GBW1" s="154" t="str">
        <f t="shared" si="75"/>
        <v>y</v>
      </c>
      <c r="GBX1" s="154" t="str">
        <f t="shared" si="75"/>
        <v>y</v>
      </c>
      <c r="GBY1" s="154" t="str">
        <f t="shared" si="75"/>
        <v>y</v>
      </c>
      <c r="GBZ1" s="154" t="str">
        <f t="shared" si="75"/>
        <v>y</v>
      </c>
      <c r="GCA1" s="154" t="str">
        <f t="shared" si="75"/>
        <v>y</v>
      </c>
      <c r="GCB1" s="154" t="str">
        <f t="shared" si="75"/>
        <v>y</v>
      </c>
      <c r="GCC1" s="154" t="str">
        <f t="shared" si="75"/>
        <v>y</v>
      </c>
      <c r="GCD1" s="154" t="str">
        <f t="shared" si="75"/>
        <v>y</v>
      </c>
      <c r="GCE1" s="154" t="str">
        <f t="shared" si="75"/>
        <v>y</v>
      </c>
      <c r="GCF1" s="154" t="str">
        <f t="shared" si="75"/>
        <v>y</v>
      </c>
      <c r="GCG1" s="154" t="str">
        <f t="shared" si="75"/>
        <v>y</v>
      </c>
      <c r="GCH1" s="154" t="str">
        <f t="shared" si="75"/>
        <v>y</v>
      </c>
      <c r="GCI1" s="154" t="str">
        <f t="shared" si="75"/>
        <v>y</v>
      </c>
      <c r="GCJ1" s="154" t="str">
        <f t="shared" si="75"/>
        <v>y</v>
      </c>
      <c r="GCK1" s="154" t="str">
        <f t="shared" si="75"/>
        <v>y</v>
      </c>
      <c r="GCL1" s="154" t="str">
        <f t="shared" si="75"/>
        <v>y</v>
      </c>
      <c r="GCM1" s="154" t="str">
        <f t="shared" si="75"/>
        <v>y</v>
      </c>
      <c r="GCN1" s="154" t="str">
        <f t="shared" si="75"/>
        <v>y</v>
      </c>
      <c r="GCO1" s="154" t="str">
        <f t="shared" si="75"/>
        <v>y</v>
      </c>
      <c r="GCP1" s="154" t="str">
        <f t="shared" si="75"/>
        <v>y</v>
      </c>
      <c r="GCQ1" s="154" t="str">
        <f t="shared" si="75"/>
        <v>y</v>
      </c>
      <c r="GCR1" s="154" t="str">
        <f t="shared" si="75"/>
        <v>y</v>
      </c>
      <c r="GCS1" s="154" t="str">
        <f t="shared" si="75"/>
        <v>y</v>
      </c>
      <c r="GCT1" s="154" t="str">
        <f t="shared" si="75"/>
        <v>y</v>
      </c>
      <c r="GCU1" s="154" t="str">
        <f t="shared" si="75"/>
        <v>y</v>
      </c>
      <c r="GCV1" s="154" t="str">
        <f t="shared" si="75"/>
        <v>y</v>
      </c>
      <c r="GCW1" s="154" t="str">
        <f t="shared" si="75"/>
        <v>y</v>
      </c>
      <c r="GCX1" s="154" t="str">
        <f t="shared" si="75"/>
        <v>y</v>
      </c>
      <c r="GCY1" s="154" t="str">
        <f t="shared" si="75"/>
        <v>y</v>
      </c>
      <c r="GCZ1" s="154" t="str">
        <f t="shared" si="75"/>
        <v>y</v>
      </c>
      <c r="GDA1" s="154" t="str">
        <f t="shared" si="75"/>
        <v>y</v>
      </c>
      <c r="GDB1" s="154" t="str">
        <f t="shared" si="75"/>
        <v>y</v>
      </c>
      <c r="GDC1" s="154" t="str">
        <f t="shared" si="75"/>
        <v>y</v>
      </c>
      <c r="GDD1" s="154" t="str">
        <f t="shared" si="75"/>
        <v>y</v>
      </c>
      <c r="GDE1" s="154" t="str">
        <f t="shared" si="75"/>
        <v>y</v>
      </c>
      <c r="GDF1" s="154" t="str">
        <f t="shared" si="75"/>
        <v>y</v>
      </c>
      <c r="GDG1" s="154" t="str">
        <f t="shared" si="75"/>
        <v>y</v>
      </c>
      <c r="GDH1" s="154" t="str">
        <f t="shared" si="75"/>
        <v>y</v>
      </c>
      <c r="GDI1" s="154" t="str">
        <f t="shared" si="75"/>
        <v>y</v>
      </c>
      <c r="GDJ1" s="154" t="str">
        <f t="shared" si="75"/>
        <v>y</v>
      </c>
      <c r="GDK1" s="154" t="str">
        <f t="shared" si="75"/>
        <v>y</v>
      </c>
      <c r="GDL1" s="154" t="str">
        <f t="shared" si="75"/>
        <v>y</v>
      </c>
      <c r="GDM1" s="154" t="str">
        <f t="shared" si="75"/>
        <v>y</v>
      </c>
      <c r="GDN1" s="154" t="str">
        <f t="shared" si="75"/>
        <v>y</v>
      </c>
      <c r="GDO1" s="154" t="str">
        <f t="shared" si="75"/>
        <v>y</v>
      </c>
      <c r="GDP1" s="154" t="str">
        <f t="shared" si="75"/>
        <v>y</v>
      </c>
      <c r="GDQ1" s="154" t="str">
        <f t="shared" si="75"/>
        <v>y</v>
      </c>
      <c r="GDR1" s="154" t="str">
        <f t="shared" si="75"/>
        <v>y</v>
      </c>
      <c r="GDS1" s="154" t="str">
        <f t="shared" si="75"/>
        <v>y</v>
      </c>
      <c r="GDT1" s="154" t="str">
        <f t="shared" si="75"/>
        <v>y</v>
      </c>
      <c r="GDU1" s="154" t="str">
        <f t="shared" si="75"/>
        <v>y</v>
      </c>
      <c r="GDV1" s="154" t="str">
        <f t="shared" si="75"/>
        <v>y</v>
      </c>
      <c r="GDW1" s="154" t="str">
        <f t="shared" si="75"/>
        <v>y</v>
      </c>
      <c r="GDX1" s="154" t="str">
        <f t="shared" si="75"/>
        <v>y</v>
      </c>
      <c r="GDY1" s="154" t="str">
        <f t="shared" si="75"/>
        <v>y</v>
      </c>
      <c r="GDZ1" s="154" t="str">
        <f t="shared" si="75"/>
        <v>y</v>
      </c>
      <c r="GEA1" s="154" t="str">
        <f t="shared" si="75"/>
        <v>y</v>
      </c>
      <c r="GEB1" s="154" t="str">
        <f t="shared" si="75"/>
        <v>y</v>
      </c>
      <c r="GEC1" s="154" t="str">
        <f t="shared" si="75"/>
        <v>y</v>
      </c>
      <c r="GED1" s="154" t="str">
        <f t="shared" si="75"/>
        <v>y</v>
      </c>
      <c r="GEE1" s="154" t="str">
        <f t="shared" si="75"/>
        <v>y</v>
      </c>
      <c r="GEF1" s="154" t="str">
        <f t="shared" ref="GEF1:GGQ1" si="76">GEF2&amp;"y"</f>
        <v>y</v>
      </c>
      <c r="GEG1" s="154" t="str">
        <f t="shared" si="76"/>
        <v>y</v>
      </c>
      <c r="GEH1" s="154" t="str">
        <f t="shared" si="76"/>
        <v>y</v>
      </c>
      <c r="GEI1" s="154" t="str">
        <f t="shared" si="76"/>
        <v>y</v>
      </c>
      <c r="GEJ1" s="154" t="str">
        <f t="shared" si="76"/>
        <v>y</v>
      </c>
      <c r="GEK1" s="154" t="str">
        <f t="shared" si="76"/>
        <v>y</v>
      </c>
      <c r="GEL1" s="154" t="str">
        <f t="shared" si="76"/>
        <v>y</v>
      </c>
      <c r="GEM1" s="154" t="str">
        <f t="shared" si="76"/>
        <v>y</v>
      </c>
      <c r="GEN1" s="154" t="str">
        <f t="shared" si="76"/>
        <v>y</v>
      </c>
      <c r="GEO1" s="154" t="str">
        <f t="shared" si="76"/>
        <v>y</v>
      </c>
      <c r="GEP1" s="154" t="str">
        <f t="shared" si="76"/>
        <v>y</v>
      </c>
      <c r="GEQ1" s="154" t="str">
        <f t="shared" si="76"/>
        <v>y</v>
      </c>
      <c r="GER1" s="154" t="str">
        <f t="shared" si="76"/>
        <v>y</v>
      </c>
      <c r="GES1" s="154" t="str">
        <f t="shared" si="76"/>
        <v>y</v>
      </c>
      <c r="GET1" s="154" t="str">
        <f t="shared" si="76"/>
        <v>y</v>
      </c>
      <c r="GEU1" s="154" t="str">
        <f t="shared" si="76"/>
        <v>y</v>
      </c>
      <c r="GEV1" s="154" t="str">
        <f t="shared" si="76"/>
        <v>y</v>
      </c>
      <c r="GEW1" s="154" t="str">
        <f t="shared" si="76"/>
        <v>y</v>
      </c>
      <c r="GEX1" s="154" t="str">
        <f t="shared" si="76"/>
        <v>y</v>
      </c>
      <c r="GEY1" s="154" t="str">
        <f t="shared" si="76"/>
        <v>y</v>
      </c>
      <c r="GEZ1" s="154" t="str">
        <f t="shared" si="76"/>
        <v>y</v>
      </c>
      <c r="GFA1" s="154" t="str">
        <f t="shared" si="76"/>
        <v>y</v>
      </c>
      <c r="GFB1" s="154" t="str">
        <f t="shared" si="76"/>
        <v>y</v>
      </c>
      <c r="GFC1" s="154" t="str">
        <f t="shared" si="76"/>
        <v>y</v>
      </c>
      <c r="GFD1" s="154" t="str">
        <f t="shared" si="76"/>
        <v>y</v>
      </c>
      <c r="GFE1" s="154" t="str">
        <f t="shared" si="76"/>
        <v>y</v>
      </c>
      <c r="GFF1" s="154" t="str">
        <f t="shared" si="76"/>
        <v>y</v>
      </c>
      <c r="GFG1" s="154" t="str">
        <f t="shared" si="76"/>
        <v>y</v>
      </c>
      <c r="GFH1" s="154" t="str">
        <f t="shared" si="76"/>
        <v>y</v>
      </c>
      <c r="GFI1" s="154" t="str">
        <f t="shared" si="76"/>
        <v>y</v>
      </c>
      <c r="GFJ1" s="154" t="str">
        <f t="shared" si="76"/>
        <v>y</v>
      </c>
      <c r="GFK1" s="154" t="str">
        <f t="shared" si="76"/>
        <v>y</v>
      </c>
      <c r="GFL1" s="154" t="str">
        <f t="shared" si="76"/>
        <v>y</v>
      </c>
      <c r="GFM1" s="154" t="str">
        <f t="shared" si="76"/>
        <v>y</v>
      </c>
      <c r="GFN1" s="154" t="str">
        <f t="shared" si="76"/>
        <v>y</v>
      </c>
      <c r="GFO1" s="154" t="str">
        <f t="shared" si="76"/>
        <v>y</v>
      </c>
      <c r="GFP1" s="154" t="str">
        <f t="shared" si="76"/>
        <v>y</v>
      </c>
      <c r="GFQ1" s="154" t="str">
        <f t="shared" si="76"/>
        <v>y</v>
      </c>
      <c r="GFR1" s="154" t="str">
        <f t="shared" si="76"/>
        <v>y</v>
      </c>
      <c r="GFS1" s="154" t="str">
        <f t="shared" si="76"/>
        <v>y</v>
      </c>
      <c r="GFT1" s="154" t="str">
        <f t="shared" si="76"/>
        <v>y</v>
      </c>
      <c r="GFU1" s="154" t="str">
        <f t="shared" si="76"/>
        <v>y</v>
      </c>
      <c r="GFV1" s="154" t="str">
        <f t="shared" si="76"/>
        <v>y</v>
      </c>
      <c r="GFW1" s="154" t="str">
        <f t="shared" si="76"/>
        <v>y</v>
      </c>
      <c r="GFX1" s="154" t="str">
        <f t="shared" si="76"/>
        <v>y</v>
      </c>
      <c r="GFY1" s="154" t="str">
        <f t="shared" si="76"/>
        <v>y</v>
      </c>
      <c r="GFZ1" s="154" t="str">
        <f t="shared" si="76"/>
        <v>y</v>
      </c>
      <c r="GGA1" s="154" t="str">
        <f t="shared" si="76"/>
        <v>y</v>
      </c>
      <c r="GGB1" s="154" t="str">
        <f t="shared" si="76"/>
        <v>y</v>
      </c>
      <c r="GGC1" s="154" t="str">
        <f t="shared" si="76"/>
        <v>y</v>
      </c>
      <c r="GGD1" s="154" t="str">
        <f t="shared" si="76"/>
        <v>y</v>
      </c>
      <c r="GGE1" s="154" t="str">
        <f t="shared" si="76"/>
        <v>y</v>
      </c>
      <c r="GGF1" s="154" t="str">
        <f t="shared" si="76"/>
        <v>y</v>
      </c>
      <c r="GGG1" s="154" t="str">
        <f t="shared" si="76"/>
        <v>y</v>
      </c>
      <c r="GGH1" s="154" t="str">
        <f t="shared" si="76"/>
        <v>y</v>
      </c>
      <c r="GGI1" s="154" t="str">
        <f t="shared" si="76"/>
        <v>y</v>
      </c>
      <c r="GGJ1" s="154" t="str">
        <f t="shared" si="76"/>
        <v>y</v>
      </c>
      <c r="GGK1" s="154" t="str">
        <f t="shared" si="76"/>
        <v>y</v>
      </c>
      <c r="GGL1" s="154" t="str">
        <f t="shared" si="76"/>
        <v>y</v>
      </c>
      <c r="GGM1" s="154" t="str">
        <f t="shared" si="76"/>
        <v>y</v>
      </c>
      <c r="GGN1" s="154" t="str">
        <f t="shared" si="76"/>
        <v>y</v>
      </c>
      <c r="GGO1" s="154" t="str">
        <f t="shared" si="76"/>
        <v>y</v>
      </c>
      <c r="GGP1" s="154" t="str">
        <f t="shared" si="76"/>
        <v>y</v>
      </c>
      <c r="GGQ1" s="154" t="str">
        <f t="shared" si="76"/>
        <v>y</v>
      </c>
      <c r="GGR1" s="154" t="str">
        <f t="shared" ref="GGR1:GJC1" si="77">GGR2&amp;"y"</f>
        <v>y</v>
      </c>
      <c r="GGS1" s="154" t="str">
        <f t="shared" si="77"/>
        <v>y</v>
      </c>
      <c r="GGT1" s="154" t="str">
        <f t="shared" si="77"/>
        <v>y</v>
      </c>
      <c r="GGU1" s="154" t="str">
        <f t="shared" si="77"/>
        <v>y</v>
      </c>
      <c r="GGV1" s="154" t="str">
        <f t="shared" si="77"/>
        <v>y</v>
      </c>
      <c r="GGW1" s="154" t="str">
        <f t="shared" si="77"/>
        <v>y</v>
      </c>
      <c r="GGX1" s="154" t="str">
        <f t="shared" si="77"/>
        <v>y</v>
      </c>
      <c r="GGY1" s="154" t="str">
        <f t="shared" si="77"/>
        <v>y</v>
      </c>
      <c r="GGZ1" s="154" t="str">
        <f t="shared" si="77"/>
        <v>y</v>
      </c>
      <c r="GHA1" s="154" t="str">
        <f t="shared" si="77"/>
        <v>y</v>
      </c>
      <c r="GHB1" s="154" t="str">
        <f t="shared" si="77"/>
        <v>y</v>
      </c>
      <c r="GHC1" s="154" t="str">
        <f t="shared" si="77"/>
        <v>y</v>
      </c>
      <c r="GHD1" s="154" t="str">
        <f t="shared" si="77"/>
        <v>y</v>
      </c>
      <c r="GHE1" s="154" t="str">
        <f t="shared" si="77"/>
        <v>y</v>
      </c>
      <c r="GHF1" s="154" t="str">
        <f t="shared" si="77"/>
        <v>y</v>
      </c>
      <c r="GHG1" s="154" t="str">
        <f t="shared" si="77"/>
        <v>y</v>
      </c>
      <c r="GHH1" s="154" t="str">
        <f t="shared" si="77"/>
        <v>y</v>
      </c>
      <c r="GHI1" s="154" t="str">
        <f t="shared" si="77"/>
        <v>y</v>
      </c>
      <c r="GHJ1" s="154" t="str">
        <f t="shared" si="77"/>
        <v>y</v>
      </c>
      <c r="GHK1" s="154" t="str">
        <f t="shared" si="77"/>
        <v>y</v>
      </c>
      <c r="GHL1" s="154" t="str">
        <f t="shared" si="77"/>
        <v>y</v>
      </c>
      <c r="GHM1" s="154" t="str">
        <f t="shared" si="77"/>
        <v>y</v>
      </c>
      <c r="GHN1" s="154" t="str">
        <f t="shared" si="77"/>
        <v>y</v>
      </c>
      <c r="GHO1" s="154" t="str">
        <f t="shared" si="77"/>
        <v>y</v>
      </c>
      <c r="GHP1" s="154" t="str">
        <f t="shared" si="77"/>
        <v>y</v>
      </c>
      <c r="GHQ1" s="154" t="str">
        <f t="shared" si="77"/>
        <v>y</v>
      </c>
      <c r="GHR1" s="154" t="str">
        <f t="shared" si="77"/>
        <v>y</v>
      </c>
      <c r="GHS1" s="154" t="str">
        <f t="shared" si="77"/>
        <v>y</v>
      </c>
      <c r="GHT1" s="154" t="str">
        <f t="shared" si="77"/>
        <v>y</v>
      </c>
      <c r="GHU1" s="154" t="str">
        <f t="shared" si="77"/>
        <v>y</v>
      </c>
      <c r="GHV1" s="154" t="str">
        <f t="shared" si="77"/>
        <v>y</v>
      </c>
      <c r="GHW1" s="154" t="str">
        <f t="shared" si="77"/>
        <v>y</v>
      </c>
      <c r="GHX1" s="154" t="str">
        <f t="shared" si="77"/>
        <v>y</v>
      </c>
      <c r="GHY1" s="154" t="str">
        <f t="shared" si="77"/>
        <v>y</v>
      </c>
      <c r="GHZ1" s="154" t="str">
        <f t="shared" si="77"/>
        <v>y</v>
      </c>
      <c r="GIA1" s="154" t="str">
        <f t="shared" si="77"/>
        <v>y</v>
      </c>
      <c r="GIB1" s="154" t="str">
        <f t="shared" si="77"/>
        <v>y</v>
      </c>
      <c r="GIC1" s="154" t="str">
        <f t="shared" si="77"/>
        <v>y</v>
      </c>
      <c r="GID1" s="154" t="str">
        <f t="shared" si="77"/>
        <v>y</v>
      </c>
      <c r="GIE1" s="154" t="str">
        <f t="shared" si="77"/>
        <v>y</v>
      </c>
      <c r="GIF1" s="154" t="str">
        <f t="shared" si="77"/>
        <v>y</v>
      </c>
      <c r="GIG1" s="154" t="str">
        <f t="shared" si="77"/>
        <v>y</v>
      </c>
      <c r="GIH1" s="154" t="str">
        <f t="shared" si="77"/>
        <v>y</v>
      </c>
      <c r="GII1" s="154" t="str">
        <f t="shared" si="77"/>
        <v>y</v>
      </c>
      <c r="GIJ1" s="154" t="str">
        <f t="shared" si="77"/>
        <v>y</v>
      </c>
      <c r="GIK1" s="154" t="str">
        <f t="shared" si="77"/>
        <v>y</v>
      </c>
      <c r="GIL1" s="154" t="str">
        <f t="shared" si="77"/>
        <v>y</v>
      </c>
      <c r="GIM1" s="154" t="str">
        <f t="shared" si="77"/>
        <v>y</v>
      </c>
      <c r="GIN1" s="154" t="str">
        <f t="shared" si="77"/>
        <v>y</v>
      </c>
      <c r="GIO1" s="154" t="str">
        <f t="shared" si="77"/>
        <v>y</v>
      </c>
      <c r="GIP1" s="154" t="str">
        <f t="shared" si="77"/>
        <v>y</v>
      </c>
      <c r="GIQ1" s="154" t="str">
        <f t="shared" si="77"/>
        <v>y</v>
      </c>
      <c r="GIR1" s="154" t="str">
        <f t="shared" si="77"/>
        <v>y</v>
      </c>
      <c r="GIS1" s="154" t="str">
        <f t="shared" si="77"/>
        <v>y</v>
      </c>
      <c r="GIT1" s="154" t="str">
        <f t="shared" si="77"/>
        <v>y</v>
      </c>
      <c r="GIU1" s="154" t="str">
        <f t="shared" si="77"/>
        <v>y</v>
      </c>
      <c r="GIV1" s="154" t="str">
        <f t="shared" si="77"/>
        <v>y</v>
      </c>
      <c r="GIW1" s="154" t="str">
        <f t="shared" si="77"/>
        <v>y</v>
      </c>
      <c r="GIX1" s="154" t="str">
        <f t="shared" si="77"/>
        <v>y</v>
      </c>
      <c r="GIY1" s="154" t="str">
        <f t="shared" si="77"/>
        <v>y</v>
      </c>
      <c r="GIZ1" s="154" t="str">
        <f t="shared" si="77"/>
        <v>y</v>
      </c>
      <c r="GJA1" s="154" t="str">
        <f t="shared" si="77"/>
        <v>y</v>
      </c>
      <c r="GJB1" s="154" t="str">
        <f t="shared" si="77"/>
        <v>y</v>
      </c>
      <c r="GJC1" s="154" t="str">
        <f t="shared" si="77"/>
        <v>y</v>
      </c>
      <c r="GJD1" s="154" t="str">
        <f t="shared" ref="GJD1:GLO1" si="78">GJD2&amp;"y"</f>
        <v>y</v>
      </c>
      <c r="GJE1" s="154" t="str">
        <f t="shared" si="78"/>
        <v>y</v>
      </c>
      <c r="GJF1" s="154" t="str">
        <f t="shared" si="78"/>
        <v>y</v>
      </c>
      <c r="GJG1" s="154" t="str">
        <f t="shared" si="78"/>
        <v>y</v>
      </c>
      <c r="GJH1" s="154" t="str">
        <f t="shared" si="78"/>
        <v>y</v>
      </c>
      <c r="GJI1" s="154" t="str">
        <f t="shared" si="78"/>
        <v>y</v>
      </c>
      <c r="GJJ1" s="154" t="str">
        <f t="shared" si="78"/>
        <v>y</v>
      </c>
      <c r="GJK1" s="154" t="str">
        <f t="shared" si="78"/>
        <v>y</v>
      </c>
      <c r="GJL1" s="154" t="str">
        <f t="shared" si="78"/>
        <v>y</v>
      </c>
      <c r="GJM1" s="154" t="str">
        <f t="shared" si="78"/>
        <v>y</v>
      </c>
      <c r="GJN1" s="154" t="str">
        <f t="shared" si="78"/>
        <v>y</v>
      </c>
      <c r="GJO1" s="154" t="str">
        <f t="shared" si="78"/>
        <v>y</v>
      </c>
      <c r="GJP1" s="154" t="str">
        <f t="shared" si="78"/>
        <v>y</v>
      </c>
      <c r="GJQ1" s="154" t="str">
        <f t="shared" si="78"/>
        <v>y</v>
      </c>
      <c r="GJR1" s="154" t="str">
        <f t="shared" si="78"/>
        <v>y</v>
      </c>
      <c r="GJS1" s="154" t="str">
        <f t="shared" si="78"/>
        <v>y</v>
      </c>
      <c r="GJT1" s="154" t="str">
        <f t="shared" si="78"/>
        <v>y</v>
      </c>
      <c r="GJU1" s="154" t="str">
        <f t="shared" si="78"/>
        <v>y</v>
      </c>
      <c r="GJV1" s="154" t="str">
        <f t="shared" si="78"/>
        <v>y</v>
      </c>
      <c r="GJW1" s="154" t="str">
        <f t="shared" si="78"/>
        <v>y</v>
      </c>
      <c r="GJX1" s="154" t="str">
        <f t="shared" si="78"/>
        <v>y</v>
      </c>
      <c r="GJY1" s="154" t="str">
        <f t="shared" si="78"/>
        <v>y</v>
      </c>
      <c r="GJZ1" s="154" t="str">
        <f t="shared" si="78"/>
        <v>y</v>
      </c>
      <c r="GKA1" s="154" t="str">
        <f t="shared" si="78"/>
        <v>y</v>
      </c>
      <c r="GKB1" s="154" t="str">
        <f t="shared" si="78"/>
        <v>y</v>
      </c>
      <c r="GKC1" s="154" t="str">
        <f t="shared" si="78"/>
        <v>y</v>
      </c>
      <c r="GKD1" s="154" t="str">
        <f t="shared" si="78"/>
        <v>y</v>
      </c>
      <c r="GKE1" s="154" t="str">
        <f t="shared" si="78"/>
        <v>y</v>
      </c>
      <c r="GKF1" s="154" t="str">
        <f t="shared" si="78"/>
        <v>y</v>
      </c>
      <c r="GKG1" s="154" t="str">
        <f t="shared" si="78"/>
        <v>y</v>
      </c>
      <c r="GKH1" s="154" t="str">
        <f t="shared" si="78"/>
        <v>y</v>
      </c>
      <c r="GKI1" s="154" t="str">
        <f t="shared" si="78"/>
        <v>y</v>
      </c>
      <c r="GKJ1" s="154" t="str">
        <f t="shared" si="78"/>
        <v>y</v>
      </c>
      <c r="GKK1" s="154" t="str">
        <f t="shared" si="78"/>
        <v>y</v>
      </c>
      <c r="GKL1" s="154" t="str">
        <f t="shared" si="78"/>
        <v>y</v>
      </c>
      <c r="GKM1" s="154" t="str">
        <f t="shared" si="78"/>
        <v>y</v>
      </c>
      <c r="GKN1" s="154" t="str">
        <f t="shared" si="78"/>
        <v>y</v>
      </c>
      <c r="GKO1" s="154" t="str">
        <f t="shared" si="78"/>
        <v>y</v>
      </c>
      <c r="GKP1" s="154" t="str">
        <f t="shared" si="78"/>
        <v>y</v>
      </c>
      <c r="GKQ1" s="154" t="str">
        <f t="shared" si="78"/>
        <v>y</v>
      </c>
      <c r="GKR1" s="154" t="str">
        <f t="shared" si="78"/>
        <v>y</v>
      </c>
      <c r="GKS1" s="154" t="str">
        <f t="shared" si="78"/>
        <v>y</v>
      </c>
      <c r="GKT1" s="154" t="str">
        <f t="shared" si="78"/>
        <v>y</v>
      </c>
      <c r="GKU1" s="154" t="str">
        <f t="shared" si="78"/>
        <v>y</v>
      </c>
      <c r="GKV1" s="154" t="str">
        <f t="shared" si="78"/>
        <v>y</v>
      </c>
      <c r="GKW1" s="154" t="str">
        <f t="shared" si="78"/>
        <v>y</v>
      </c>
      <c r="GKX1" s="154" t="str">
        <f t="shared" si="78"/>
        <v>y</v>
      </c>
      <c r="GKY1" s="154" t="str">
        <f t="shared" si="78"/>
        <v>y</v>
      </c>
      <c r="GKZ1" s="154" t="str">
        <f t="shared" si="78"/>
        <v>y</v>
      </c>
      <c r="GLA1" s="154" t="str">
        <f t="shared" si="78"/>
        <v>y</v>
      </c>
      <c r="GLB1" s="154" t="str">
        <f t="shared" si="78"/>
        <v>y</v>
      </c>
      <c r="GLC1" s="154" t="str">
        <f t="shared" si="78"/>
        <v>y</v>
      </c>
      <c r="GLD1" s="154" t="str">
        <f t="shared" si="78"/>
        <v>y</v>
      </c>
      <c r="GLE1" s="154" t="str">
        <f t="shared" si="78"/>
        <v>y</v>
      </c>
      <c r="GLF1" s="154" t="str">
        <f t="shared" si="78"/>
        <v>y</v>
      </c>
      <c r="GLG1" s="154" t="str">
        <f t="shared" si="78"/>
        <v>y</v>
      </c>
      <c r="GLH1" s="154" t="str">
        <f t="shared" si="78"/>
        <v>y</v>
      </c>
      <c r="GLI1" s="154" t="str">
        <f t="shared" si="78"/>
        <v>y</v>
      </c>
      <c r="GLJ1" s="154" t="str">
        <f t="shared" si="78"/>
        <v>y</v>
      </c>
      <c r="GLK1" s="154" t="str">
        <f t="shared" si="78"/>
        <v>y</v>
      </c>
      <c r="GLL1" s="154" t="str">
        <f t="shared" si="78"/>
        <v>y</v>
      </c>
      <c r="GLM1" s="154" t="str">
        <f t="shared" si="78"/>
        <v>y</v>
      </c>
      <c r="GLN1" s="154" t="str">
        <f t="shared" si="78"/>
        <v>y</v>
      </c>
      <c r="GLO1" s="154" t="str">
        <f t="shared" si="78"/>
        <v>y</v>
      </c>
      <c r="GLP1" s="154" t="str">
        <f t="shared" ref="GLP1:GOA1" si="79">GLP2&amp;"y"</f>
        <v>y</v>
      </c>
      <c r="GLQ1" s="154" t="str">
        <f t="shared" si="79"/>
        <v>y</v>
      </c>
      <c r="GLR1" s="154" t="str">
        <f t="shared" si="79"/>
        <v>y</v>
      </c>
      <c r="GLS1" s="154" t="str">
        <f t="shared" si="79"/>
        <v>y</v>
      </c>
      <c r="GLT1" s="154" t="str">
        <f t="shared" si="79"/>
        <v>y</v>
      </c>
      <c r="GLU1" s="154" t="str">
        <f t="shared" si="79"/>
        <v>y</v>
      </c>
      <c r="GLV1" s="154" t="str">
        <f t="shared" si="79"/>
        <v>y</v>
      </c>
      <c r="GLW1" s="154" t="str">
        <f t="shared" si="79"/>
        <v>y</v>
      </c>
      <c r="GLX1" s="154" t="str">
        <f t="shared" si="79"/>
        <v>y</v>
      </c>
      <c r="GLY1" s="154" t="str">
        <f t="shared" si="79"/>
        <v>y</v>
      </c>
      <c r="GLZ1" s="154" t="str">
        <f t="shared" si="79"/>
        <v>y</v>
      </c>
      <c r="GMA1" s="154" t="str">
        <f t="shared" si="79"/>
        <v>y</v>
      </c>
      <c r="GMB1" s="154" t="str">
        <f t="shared" si="79"/>
        <v>y</v>
      </c>
      <c r="GMC1" s="154" t="str">
        <f t="shared" si="79"/>
        <v>y</v>
      </c>
      <c r="GMD1" s="154" t="str">
        <f t="shared" si="79"/>
        <v>y</v>
      </c>
      <c r="GME1" s="154" t="str">
        <f t="shared" si="79"/>
        <v>y</v>
      </c>
      <c r="GMF1" s="154" t="str">
        <f t="shared" si="79"/>
        <v>y</v>
      </c>
      <c r="GMG1" s="154" t="str">
        <f t="shared" si="79"/>
        <v>y</v>
      </c>
      <c r="GMH1" s="154" t="str">
        <f t="shared" si="79"/>
        <v>y</v>
      </c>
      <c r="GMI1" s="154" t="str">
        <f t="shared" si="79"/>
        <v>y</v>
      </c>
      <c r="GMJ1" s="154" t="str">
        <f t="shared" si="79"/>
        <v>y</v>
      </c>
      <c r="GMK1" s="154" t="str">
        <f t="shared" si="79"/>
        <v>y</v>
      </c>
      <c r="GML1" s="154" t="str">
        <f t="shared" si="79"/>
        <v>y</v>
      </c>
      <c r="GMM1" s="154" t="str">
        <f t="shared" si="79"/>
        <v>y</v>
      </c>
      <c r="GMN1" s="154" t="str">
        <f t="shared" si="79"/>
        <v>y</v>
      </c>
      <c r="GMO1" s="154" t="str">
        <f t="shared" si="79"/>
        <v>y</v>
      </c>
      <c r="GMP1" s="154" t="str">
        <f t="shared" si="79"/>
        <v>y</v>
      </c>
      <c r="GMQ1" s="154" t="str">
        <f t="shared" si="79"/>
        <v>y</v>
      </c>
      <c r="GMR1" s="154" t="str">
        <f t="shared" si="79"/>
        <v>y</v>
      </c>
      <c r="GMS1" s="154" t="str">
        <f t="shared" si="79"/>
        <v>y</v>
      </c>
      <c r="GMT1" s="154" t="str">
        <f t="shared" si="79"/>
        <v>y</v>
      </c>
      <c r="GMU1" s="154" t="str">
        <f t="shared" si="79"/>
        <v>y</v>
      </c>
      <c r="GMV1" s="154" t="str">
        <f t="shared" si="79"/>
        <v>y</v>
      </c>
      <c r="GMW1" s="154" t="str">
        <f t="shared" si="79"/>
        <v>y</v>
      </c>
      <c r="GMX1" s="154" t="str">
        <f t="shared" si="79"/>
        <v>y</v>
      </c>
      <c r="GMY1" s="154" t="str">
        <f t="shared" si="79"/>
        <v>y</v>
      </c>
      <c r="GMZ1" s="154" t="str">
        <f t="shared" si="79"/>
        <v>y</v>
      </c>
      <c r="GNA1" s="154" t="str">
        <f t="shared" si="79"/>
        <v>y</v>
      </c>
      <c r="GNB1" s="154" t="str">
        <f t="shared" si="79"/>
        <v>y</v>
      </c>
      <c r="GNC1" s="154" t="str">
        <f t="shared" si="79"/>
        <v>y</v>
      </c>
      <c r="GND1" s="154" t="str">
        <f t="shared" si="79"/>
        <v>y</v>
      </c>
      <c r="GNE1" s="154" t="str">
        <f t="shared" si="79"/>
        <v>y</v>
      </c>
      <c r="GNF1" s="154" t="str">
        <f t="shared" si="79"/>
        <v>y</v>
      </c>
      <c r="GNG1" s="154" t="str">
        <f t="shared" si="79"/>
        <v>y</v>
      </c>
      <c r="GNH1" s="154" t="str">
        <f t="shared" si="79"/>
        <v>y</v>
      </c>
      <c r="GNI1" s="154" t="str">
        <f t="shared" si="79"/>
        <v>y</v>
      </c>
      <c r="GNJ1" s="154" t="str">
        <f t="shared" si="79"/>
        <v>y</v>
      </c>
      <c r="GNK1" s="154" t="str">
        <f t="shared" si="79"/>
        <v>y</v>
      </c>
      <c r="GNL1" s="154" t="str">
        <f t="shared" si="79"/>
        <v>y</v>
      </c>
      <c r="GNM1" s="154" t="str">
        <f t="shared" si="79"/>
        <v>y</v>
      </c>
      <c r="GNN1" s="154" t="str">
        <f t="shared" si="79"/>
        <v>y</v>
      </c>
      <c r="GNO1" s="154" t="str">
        <f t="shared" si="79"/>
        <v>y</v>
      </c>
      <c r="GNP1" s="154" t="str">
        <f t="shared" si="79"/>
        <v>y</v>
      </c>
      <c r="GNQ1" s="154" t="str">
        <f t="shared" si="79"/>
        <v>y</v>
      </c>
      <c r="GNR1" s="154" t="str">
        <f t="shared" si="79"/>
        <v>y</v>
      </c>
      <c r="GNS1" s="154" t="str">
        <f t="shared" si="79"/>
        <v>y</v>
      </c>
      <c r="GNT1" s="154" t="str">
        <f t="shared" si="79"/>
        <v>y</v>
      </c>
      <c r="GNU1" s="154" t="str">
        <f t="shared" si="79"/>
        <v>y</v>
      </c>
      <c r="GNV1" s="154" t="str">
        <f t="shared" si="79"/>
        <v>y</v>
      </c>
      <c r="GNW1" s="154" t="str">
        <f t="shared" si="79"/>
        <v>y</v>
      </c>
      <c r="GNX1" s="154" t="str">
        <f t="shared" si="79"/>
        <v>y</v>
      </c>
      <c r="GNY1" s="154" t="str">
        <f t="shared" si="79"/>
        <v>y</v>
      </c>
      <c r="GNZ1" s="154" t="str">
        <f t="shared" si="79"/>
        <v>y</v>
      </c>
      <c r="GOA1" s="154" t="str">
        <f t="shared" si="79"/>
        <v>y</v>
      </c>
      <c r="GOB1" s="154" t="str">
        <f t="shared" ref="GOB1:GQM1" si="80">GOB2&amp;"y"</f>
        <v>y</v>
      </c>
      <c r="GOC1" s="154" t="str">
        <f t="shared" si="80"/>
        <v>y</v>
      </c>
      <c r="GOD1" s="154" t="str">
        <f t="shared" si="80"/>
        <v>y</v>
      </c>
      <c r="GOE1" s="154" t="str">
        <f t="shared" si="80"/>
        <v>y</v>
      </c>
      <c r="GOF1" s="154" t="str">
        <f t="shared" si="80"/>
        <v>y</v>
      </c>
      <c r="GOG1" s="154" t="str">
        <f t="shared" si="80"/>
        <v>y</v>
      </c>
      <c r="GOH1" s="154" t="str">
        <f t="shared" si="80"/>
        <v>y</v>
      </c>
      <c r="GOI1" s="154" t="str">
        <f t="shared" si="80"/>
        <v>y</v>
      </c>
      <c r="GOJ1" s="154" t="str">
        <f t="shared" si="80"/>
        <v>y</v>
      </c>
      <c r="GOK1" s="154" t="str">
        <f t="shared" si="80"/>
        <v>y</v>
      </c>
      <c r="GOL1" s="154" t="str">
        <f t="shared" si="80"/>
        <v>y</v>
      </c>
      <c r="GOM1" s="154" t="str">
        <f t="shared" si="80"/>
        <v>y</v>
      </c>
      <c r="GON1" s="154" t="str">
        <f t="shared" si="80"/>
        <v>y</v>
      </c>
      <c r="GOO1" s="154" t="str">
        <f t="shared" si="80"/>
        <v>y</v>
      </c>
      <c r="GOP1" s="154" t="str">
        <f t="shared" si="80"/>
        <v>y</v>
      </c>
      <c r="GOQ1" s="154" t="str">
        <f t="shared" si="80"/>
        <v>y</v>
      </c>
      <c r="GOR1" s="154" t="str">
        <f t="shared" si="80"/>
        <v>y</v>
      </c>
      <c r="GOS1" s="154" t="str">
        <f t="shared" si="80"/>
        <v>y</v>
      </c>
      <c r="GOT1" s="154" t="str">
        <f t="shared" si="80"/>
        <v>y</v>
      </c>
      <c r="GOU1" s="154" t="str">
        <f t="shared" si="80"/>
        <v>y</v>
      </c>
      <c r="GOV1" s="154" t="str">
        <f t="shared" si="80"/>
        <v>y</v>
      </c>
      <c r="GOW1" s="154" t="str">
        <f t="shared" si="80"/>
        <v>y</v>
      </c>
      <c r="GOX1" s="154" t="str">
        <f t="shared" si="80"/>
        <v>y</v>
      </c>
      <c r="GOY1" s="154" t="str">
        <f t="shared" si="80"/>
        <v>y</v>
      </c>
      <c r="GOZ1" s="154" t="str">
        <f t="shared" si="80"/>
        <v>y</v>
      </c>
      <c r="GPA1" s="154" t="str">
        <f t="shared" si="80"/>
        <v>y</v>
      </c>
      <c r="GPB1" s="154" t="str">
        <f t="shared" si="80"/>
        <v>y</v>
      </c>
      <c r="GPC1" s="154" t="str">
        <f t="shared" si="80"/>
        <v>y</v>
      </c>
      <c r="GPD1" s="154" t="str">
        <f t="shared" si="80"/>
        <v>y</v>
      </c>
      <c r="GPE1" s="154" t="str">
        <f t="shared" si="80"/>
        <v>y</v>
      </c>
      <c r="GPF1" s="154" t="str">
        <f t="shared" si="80"/>
        <v>y</v>
      </c>
      <c r="GPG1" s="154" t="str">
        <f t="shared" si="80"/>
        <v>y</v>
      </c>
      <c r="GPH1" s="154" t="str">
        <f t="shared" si="80"/>
        <v>y</v>
      </c>
      <c r="GPI1" s="154" t="str">
        <f t="shared" si="80"/>
        <v>y</v>
      </c>
      <c r="GPJ1" s="154" t="str">
        <f t="shared" si="80"/>
        <v>y</v>
      </c>
      <c r="GPK1" s="154" t="str">
        <f t="shared" si="80"/>
        <v>y</v>
      </c>
      <c r="GPL1" s="154" t="str">
        <f t="shared" si="80"/>
        <v>y</v>
      </c>
      <c r="GPM1" s="154" t="str">
        <f t="shared" si="80"/>
        <v>y</v>
      </c>
      <c r="GPN1" s="154" t="str">
        <f t="shared" si="80"/>
        <v>y</v>
      </c>
      <c r="GPO1" s="154" t="str">
        <f t="shared" si="80"/>
        <v>y</v>
      </c>
      <c r="GPP1" s="154" t="str">
        <f t="shared" si="80"/>
        <v>y</v>
      </c>
      <c r="GPQ1" s="154" t="str">
        <f t="shared" si="80"/>
        <v>y</v>
      </c>
      <c r="GPR1" s="154" t="str">
        <f t="shared" si="80"/>
        <v>y</v>
      </c>
      <c r="GPS1" s="154" t="str">
        <f t="shared" si="80"/>
        <v>y</v>
      </c>
      <c r="GPT1" s="154" t="str">
        <f t="shared" si="80"/>
        <v>y</v>
      </c>
      <c r="GPU1" s="154" t="str">
        <f t="shared" si="80"/>
        <v>y</v>
      </c>
      <c r="GPV1" s="154" t="str">
        <f t="shared" si="80"/>
        <v>y</v>
      </c>
      <c r="GPW1" s="154" t="str">
        <f t="shared" si="80"/>
        <v>y</v>
      </c>
      <c r="GPX1" s="154" t="str">
        <f t="shared" si="80"/>
        <v>y</v>
      </c>
      <c r="GPY1" s="154" t="str">
        <f t="shared" si="80"/>
        <v>y</v>
      </c>
      <c r="GPZ1" s="154" t="str">
        <f t="shared" si="80"/>
        <v>y</v>
      </c>
      <c r="GQA1" s="154" t="str">
        <f t="shared" si="80"/>
        <v>y</v>
      </c>
      <c r="GQB1" s="154" t="str">
        <f t="shared" si="80"/>
        <v>y</v>
      </c>
      <c r="GQC1" s="154" t="str">
        <f t="shared" si="80"/>
        <v>y</v>
      </c>
      <c r="GQD1" s="154" t="str">
        <f t="shared" si="80"/>
        <v>y</v>
      </c>
      <c r="GQE1" s="154" t="str">
        <f t="shared" si="80"/>
        <v>y</v>
      </c>
      <c r="GQF1" s="154" t="str">
        <f t="shared" si="80"/>
        <v>y</v>
      </c>
      <c r="GQG1" s="154" t="str">
        <f t="shared" si="80"/>
        <v>y</v>
      </c>
      <c r="GQH1" s="154" t="str">
        <f t="shared" si="80"/>
        <v>y</v>
      </c>
      <c r="GQI1" s="154" t="str">
        <f t="shared" si="80"/>
        <v>y</v>
      </c>
      <c r="GQJ1" s="154" t="str">
        <f t="shared" si="80"/>
        <v>y</v>
      </c>
      <c r="GQK1" s="154" t="str">
        <f t="shared" si="80"/>
        <v>y</v>
      </c>
      <c r="GQL1" s="154" t="str">
        <f t="shared" si="80"/>
        <v>y</v>
      </c>
      <c r="GQM1" s="154" t="str">
        <f t="shared" si="80"/>
        <v>y</v>
      </c>
      <c r="GQN1" s="154" t="str">
        <f t="shared" ref="GQN1:GSY1" si="81">GQN2&amp;"y"</f>
        <v>y</v>
      </c>
      <c r="GQO1" s="154" t="str">
        <f t="shared" si="81"/>
        <v>y</v>
      </c>
      <c r="GQP1" s="154" t="str">
        <f t="shared" si="81"/>
        <v>y</v>
      </c>
      <c r="GQQ1" s="154" t="str">
        <f t="shared" si="81"/>
        <v>y</v>
      </c>
      <c r="GQR1" s="154" t="str">
        <f t="shared" si="81"/>
        <v>y</v>
      </c>
      <c r="GQS1" s="154" t="str">
        <f t="shared" si="81"/>
        <v>y</v>
      </c>
      <c r="GQT1" s="154" t="str">
        <f t="shared" si="81"/>
        <v>y</v>
      </c>
      <c r="GQU1" s="154" t="str">
        <f t="shared" si="81"/>
        <v>y</v>
      </c>
      <c r="GQV1" s="154" t="str">
        <f t="shared" si="81"/>
        <v>y</v>
      </c>
      <c r="GQW1" s="154" t="str">
        <f t="shared" si="81"/>
        <v>y</v>
      </c>
      <c r="GQX1" s="154" t="str">
        <f t="shared" si="81"/>
        <v>y</v>
      </c>
      <c r="GQY1" s="154" t="str">
        <f t="shared" si="81"/>
        <v>y</v>
      </c>
      <c r="GQZ1" s="154" t="str">
        <f t="shared" si="81"/>
        <v>y</v>
      </c>
      <c r="GRA1" s="154" t="str">
        <f t="shared" si="81"/>
        <v>y</v>
      </c>
      <c r="GRB1" s="154" t="str">
        <f t="shared" si="81"/>
        <v>y</v>
      </c>
      <c r="GRC1" s="154" t="str">
        <f t="shared" si="81"/>
        <v>y</v>
      </c>
      <c r="GRD1" s="154" t="str">
        <f t="shared" si="81"/>
        <v>y</v>
      </c>
      <c r="GRE1" s="154" t="str">
        <f t="shared" si="81"/>
        <v>y</v>
      </c>
      <c r="GRF1" s="154" t="str">
        <f t="shared" si="81"/>
        <v>y</v>
      </c>
      <c r="GRG1" s="154" t="str">
        <f t="shared" si="81"/>
        <v>y</v>
      </c>
      <c r="GRH1" s="154" t="str">
        <f t="shared" si="81"/>
        <v>y</v>
      </c>
      <c r="GRI1" s="154" t="str">
        <f t="shared" si="81"/>
        <v>y</v>
      </c>
      <c r="GRJ1" s="154" t="str">
        <f t="shared" si="81"/>
        <v>y</v>
      </c>
      <c r="GRK1" s="154" t="str">
        <f t="shared" si="81"/>
        <v>y</v>
      </c>
      <c r="GRL1" s="154" t="str">
        <f t="shared" si="81"/>
        <v>y</v>
      </c>
      <c r="GRM1" s="154" t="str">
        <f t="shared" si="81"/>
        <v>y</v>
      </c>
      <c r="GRN1" s="154" t="str">
        <f t="shared" si="81"/>
        <v>y</v>
      </c>
      <c r="GRO1" s="154" t="str">
        <f t="shared" si="81"/>
        <v>y</v>
      </c>
      <c r="GRP1" s="154" t="str">
        <f t="shared" si="81"/>
        <v>y</v>
      </c>
      <c r="GRQ1" s="154" t="str">
        <f t="shared" si="81"/>
        <v>y</v>
      </c>
      <c r="GRR1" s="154" t="str">
        <f t="shared" si="81"/>
        <v>y</v>
      </c>
      <c r="GRS1" s="154" t="str">
        <f t="shared" si="81"/>
        <v>y</v>
      </c>
      <c r="GRT1" s="154" t="str">
        <f t="shared" si="81"/>
        <v>y</v>
      </c>
      <c r="GRU1" s="154" t="str">
        <f t="shared" si="81"/>
        <v>y</v>
      </c>
      <c r="GRV1" s="154" t="str">
        <f t="shared" si="81"/>
        <v>y</v>
      </c>
      <c r="GRW1" s="154" t="str">
        <f t="shared" si="81"/>
        <v>y</v>
      </c>
      <c r="GRX1" s="154" t="str">
        <f t="shared" si="81"/>
        <v>y</v>
      </c>
      <c r="GRY1" s="154" t="str">
        <f t="shared" si="81"/>
        <v>y</v>
      </c>
      <c r="GRZ1" s="154" t="str">
        <f t="shared" si="81"/>
        <v>y</v>
      </c>
      <c r="GSA1" s="154" t="str">
        <f t="shared" si="81"/>
        <v>y</v>
      </c>
      <c r="GSB1" s="154" t="str">
        <f t="shared" si="81"/>
        <v>y</v>
      </c>
      <c r="GSC1" s="154" t="str">
        <f t="shared" si="81"/>
        <v>y</v>
      </c>
      <c r="GSD1" s="154" t="str">
        <f t="shared" si="81"/>
        <v>y</v>
      </c>
      <c r="GSE1" s="154" t="str">
        <f t="shared" si="81"/>
        <v>y</v>
      </c>
      <c r="GSF1" s="154" t="str">
        <f t="shared" si="81"/>
        <v>y</v>
      </c>
      <c r="GSG1" s="154" t="str">
        <f t="shared" si="81"/>
        <v>y</v>
      </c>
      <c r="GSH1" s="154" t="str">
        <f t="shared" si="81"/>
        <v>y</v>
      </c>
      <c r="GSI1" s="154" t="str">
        <f t="shared" si="81"/>
        <v>y</v>
      </c>
      <c r="GSJ1" s="154" t="str">
        <f t="shared" si="81"/>
        <v>y</v>
      </c>
      <c r="GSK1" s="154" t="str">
        <f t="shared" si="81"/>
        <v>y</v>
      </c>
      <c r="GSL1" s="154" t="str">
        <f t="shared" si="81"/>
        <v>y</v>
      </c>
      <c r="GSM1" s="154" t="str">
        <f t="shared" si="81"/>
        <v>y</v>
      </c>
      <c r="GSN1" s="154" t="str">
        <f t="shared" si="81"/>
        <v>y</v>
      </c>
      <c r="GSO1" s="154" t="str">
        <f t="shared" si="81"/>
        <v>y</v>
      </c>
      <c r="GSP1" s="154" t="str">
        <f t="shared" si="81"/>
        <v>y</v>
      </c>
      <c r="GSQ1" s="154" t="str">
        <f t="shared" si="81"/>
        <v>y</v>
      </c>
      <c r="GSR1" s="154" t="str">
        <f t="shared" si="81"/>
        <v>y</v>
      </c>
      <c r="GSS1" s="154" t="str">
        <f t="shared" si="81"/>
        <v>y</v>
      </c>
      <c r="GST1" s="154" t="str">
        <f t="shared" si="81"/>
        <v>y</v>
      </c>
      <c r="GSU1" s="154" t="str">
        <f t="shared" si="81"/>
        <v>y</v>
      </c>
      <c r="GSV1" s="154" t="str">
        <f t="shared" si="81"/>
        <v>y</v>
      </c>
      <c r="GSW1" s="154" t="str">
        <f t="shared" si="81"/>
        <v>y</v>
      </c>
      <c r="GSX1" s="154" t="str">
        <f t="shared" si="81"/>
        <v>y</v>
      </c>
      <c r="GSY1" s="154" t="str">
        <f t="shared" si="81"/>
        <v>y</v>
      </c>
      <c r="GSZ1" s="154" t="str">
        <f t="shared" ref="GSZ1:GVK1" si="82">GSZ2&amp;"y"</f>
        <v>y</v>
      </c>
      <c r="GTA1" s="154" t="str">
        <f t="shared" si="82"/>
        <v>y</v>
      </c>
      <c r="GTB1" s="154" t="str">
        <f t="shared" si="82"/>
        <v>y</v>
      </c>
      <c r="GTC1" s="154" t="str">
        <f t="shared" si="82"/>
        <v>y</v>
      </c>
      <c r="GTD1" s="154" t="str">
        <f t="shared" si="82"/>
        <v>y</v>
      </c>
      <c r="GTE1" s="154" t="str">
        <f t="shared" si="82"/>
        <v>y</v>
      </c>
      <c r="GTF1" s="154" t="str">
        <f t="shared" si="82"/>
        <v>y</v>
      </c>
      <c r="GTG1" s="154" t="str">
        <f t="shared" si="82"/>
        <v>y</v>
      </c>
      <c r="GTH1" s="154" t="str">
        <f t="shared" si="82"/>
        <v>y</v>
      </c>
      <c r="GTI1" s="154" t="str">
        <f t="shared" si="82"/>
        <v>y</v>
      </c>
      <c r="GTJ1" s="154" t="str">
        <f t="shared" si="82"/>
        <v>y</v>
      </c>
      <c r="GTK1" s="154" t="str">
        <f t="shared" si="82"/>
        <v>y</v>
      </c>
      <c r="GTL1" s="154" t="str">
        <f t="shared" si="82"/>
        <v>y</v>
      </c>
      <c r="GTM1" s="154" t="str">
        <f t="shared" si="82"/>
        <v>y</v>
      </c>
      <c r="GTN1" s="154" t="str">
        <f t="shared" si="82"/>
        <v>y</v>
      </c>
      <c r="GTO1" s="154" t="str">
        <f t="shared" si="82"/>
        <v>y</v>
      </c>
      <c r="GTP1" s="154" t="str">
        <f t="shared" si="82"/>
        <v>y</v>
      </c>
      <c r="GTQ1" s="154" t="str">
        <f t="shared" si="82"/>
        <v>y</v>
      </c>
      <c r="GTR1" s="154" t="str">
        <f t="shared" si="82"/>
        <v>y</v>
      </c>
      <c r="GTS1" s="154" t="str">
        <f t="shared" si="82"/>
        <v>y</v>
      </c>
      <c r="GTT1" s="154" t="str">
        <f t="shared" si="82"/>
        <v>y</v>
      </c>
      <c r="GTU1" s="154" t="str">
        <f t="shared" si="82"/>
        <v>y</v>
      </c>
      <c r="GTV1" s="154" t="str">
        <f t="shared" si="82"/>
        <v>y</v>
      </c>
      <c r="GTW1" s="154" t="str">
        <f t="shared" si="82"/>
        <v>y</v>
      </c>
      <c r="GTX1" s="154" t="str">
        <f t="shared" si="82"/>
        <v>y</v>
      </c>
      <c r="GTY1" s="154" t="str">
        <f t="shared" si="82"/>
        <v>y</v>
      </c>
      <c r="GTZ1" s="154" t="str">
        <f t="shared" si="82"/>
        <v>y</v>
      </c>
      <c r="GUA1" s="154" t="str">
        <f t="shared" si="82"/>
        <v>y</v>
      </c>
      <c r="GUB1" s="154" t="str">
        <f t="shared" si="82"/>
        <v>y</v>
      </c>
      <c r="GUC1" s="154" t="str">
        <f t="shared" si="82"/>
        <v>y</v>
      </c>
      <c r="GUD1" s="154" t="str">
        <f t="shared" si="82"/>
        <v>y</v>
      </c>
      <c r="GUE1" s="154" t="str">
        <f t="shared" si="82"/>
        <v>y</v>
      </c>
      <c r="GUF1" s="154" t="str">
        <f t="shared" si="82"/>
        <v>y</v>
      </c>
      <c r="GUG1" s="154" t="str">
        <f t="shared" si="82"/>
        <v>y</v>
      </c>
      <c r="GUH1" s="154" t="str">
        <f t="shared" si="82"/>
        <v>y</v>
      </c>
      <c r="GUI1" s="154" t="str">
        <f t="shared" si="82"/>
        <v>y</v>
      </c>
      <c r="GUJ1" s="154" t="str">
        <f t="shared" si="82"/>
        <v>y</v>
      </c>
      <c r="GUK1" s="154" t="str">
        <f t="shared" si="82"/>
        <v>y</v>
      </c>
      <c r="GUL1" s="154" t="str">
        <f t="shared" si="82"/>
        <v>y</v>
      </c>
      <c r="GUM1" s="154" t="str">
        <f t="shared" si="82"/>
        <v>y</v>
      </c>
      <c r="GUN1" s="154" t="str">
        <f t="shared" si="82"/>
        <v>y</v>
      </c>
      <c r="GUO1" s="154" t="str">
        <f t="shared" si="82"/>
        <v>y</v>
      </c>
      <c r="GUP1" s="154" t="str">
        <f t="shared" si="82"/>
        <v>y</v>
      </c>
      <c r="GUQ1" s="154" t="str">
        <f t="shared" si="82"/>
        <v>y</v>
      </c>
      <c r="GUR1" s="154" t="str">
        <f t="shared" si="82"/>
        <v>y</v>
      </c>
      <c r="GUS1" s="154" t="str">
        <f t="shared" si="82"/>
        <v>y</v>
      </c>
      <c r="GUT1" s="154" t="str">
        <f t="shared" si="82"/>
        <v>y</v>
      </c>
      <c r="GUU1" s="154" t="str">
        <f t="shared" si="82"/>
        <v>y</v>
      </c>
      <c r="GUV1" s="154" t="str">
        <f t="shared" si="82"/>
        <v>y</v>
      </c>
      <c r="GUW1" s="154" t="str">
        <f t="shared" si="82"/>
        <v>y</v>
      </c>
      <c r="GUX1" s="154" t="str">
        <f t="shared" si="82"/>
        <v>y</v>
      </c>
      <c r="GUY1" s="154" t="str">
        <f t="shared" si="82"/>
        <v>y</v>
      </c>
      <c r="GUZ1" s="154" t="str">
        <f t="shared" si="82"/>
        <v>y</v>
      </c>
      <c r="GVA1" s="154" t="str">
        <f t="shared" si="82"/>
        <v>y</v>
      </c>
      <c r="GVB1" s="154" t="str">
        <f t="shared" si="82"/>
        <v>y</v>
      </c>
      <c r="GVC1" s="154" t="str">
        <f t="shared" si="82"/>
        <v>y</v>
      </c>
      <c r="GVD1" s="154" t="str">
        <f t="shared" si="82"/>
        <v>y</v>
      </c>
      <c r="GVE1" s="154" t="str">
        <f t="shared" si="82"/>
        <v>y</v>
      </c>
      <c r="GVF1" s="154" t="str">
        <f t="shared" si="82"/>
        <v>y</v>
      </c>
      <c r="GVG1" s="154" t="str">
        <f t="shared" si="82"/>
        <v>y</v>
      </c>
      <c r="GVH1" s="154" t="str">
        <f t="shared" si="82"/>
        <v>y</v>
      </c>
      <c r="GVI1" s="154" t="str">
        <f t="shared" si="82"/>
        <v>y</v>
      </c>
      <c r="GVJ1" s="154" t="str">
        <f t="shared" si="82"/>
        <v>y</v>
      </c>
      <c r="GVK1" s="154" t="str">
        <f t="shared" si="82"/>
        <v>y</v>
      </c>
      <c r="GVL1" s="154" t="str">
        <f t="shared" ref="GVL1:GXW1" si="83">GVL2&amp;"y"</f>
        <v>y</v>
      </c>
      <c r="GVM1" s="154" t="str">
        <f t="shared" si="83"/>
        <v>y</v>
      </c>
      <c r="GVN1" s="154" t="str">
        <f t="shared" si="83"/>
        <v>y</v>
      </c>
      <c r="GVO1" s="154" t="str">
        <f t="shared" si="83"/>
        <v>y</v>
      </c>
      <c r="GVP1" s="154" t="str">
        <f t="shared" si="83"/>
        <v>y</v>
      </c>
      <c r="GVQ1" s="154" t="str">
        <f t="shared" si="83"/>
        <v>y</v>
      </c>
      <c r="GVR1" s="154" t="str">
        <f t="shared" si="83"/>
        <v>y</v>
      </c>
      <c r="GVS1" s="154" t="str">
        <f t="shared" si="83"/>
        <v>y</v>
      </c>
      <c r="GVT1" s="154" t="str">
        <f t="shared" si="83"/>
        <v>y</v>
      </c>
      <c r="GVU1" s="154" t="str">
        <f t="shared" si="83"/>
        <v>y</v>
      </c>
      <c r="GVV1" s="154" t="str">
        <f t="shared" si="83"/>
        <v>y</v>
      </c>
      <c r="GVW1" s="154" t="str">
        <f t="shared" si="83"/>
        <v>y</v>
      </c>
      <c r="GVX1" s="154" t="str">
        <f t="shared" si="83"/>
        <v>y</v>
      </c>
      <c r="GVY1" s="154" t="str">
        <f t="shared" si="83"/>
        <v>y</v>
      </c>
      <c r="GVZ1" s="154" t="str">
        <f t="shared" si="83"/>
        <v>y</v>
      </c>
      <c r="GWA1" s="154" t="str">
        <f t="shared" si="83"/>
        <v>y</v>
      </c>
      <c r="GWB1" s="154" t="str">
        <f t="shared" si="83"/>
        <v>y</v>
      </c>
      <c r="GWC1" s="154" t="str">
        <f t="shared" si="83"/>
        <v>y</v>
      </c>
      <c r="GWD1" s="154" t="str">
        <f t="shared" si="83"/>
        <v>y</v>
      </c>
      <c r="GWE1" s="154" t="str">
        <f t="shared" si="83"/>
        <v>y</v>
      </c>
      <c r="GWF1" s="154" t="str">
        <f t="shared" si="83"/>
        <v>y</v>
      </c>
      <c r="GWG1" s="154" t="str">
        <f t="shared" si="83"/>
        <v>y</v>
      </c>
      <c r="GWH1" s="154" t="str">
        <f t="shared" si="83"/>
        <v>y</v>
      </c>
      <c r="GWI1" s="154" t="str">
        <f t="shared" si="83"/>
        <v>y</v>
      </c>
      <c r="GWJ1" s="154" t="str">
        <f t="shared" si="83"/>
        <v>y</v>
      </c>
      <c r="GWK1" s="154" t="str">
        <f t="shared" si="83"/>
        <v>y</v>
      </c>
      <c r="GWL1" s="154" t="str">
        <f t="shared" si="83"/>
        <v>y</v>
      </c>
      <c r="GWM1" s="154" t="str">
        <f t="shared" si="83"/>
        <v>y</v>
      </c>
      <c r="GWN1" s="154" t="str">
        <f t="shared" si="83"/>
        <v>y</v>
      </c>
      <c r="GWO1" s="154" t="str">
        <f t="shared" si="83"/>
        <v>y</v>
      </c>
      <c r="GWP1" s="154" t="str">
        <f t="shared" si="83"/>
        <v>y</v>
      </c>
      <c r="GWQ1" s="154" t="str">
        <f t="shared" si="83"/>
        <v>y</v>
      </c>
      <c r="GWR1" s="154" t="str">
        <f t="shared" si="83"/>
        <v>y</v>
      </c>
      <c r="GWS1" s="154" t="str">
        <f t="shared" si="83"/>
        <v>y</v>
      </c>
      <c r="GWT1" s="154" t="str">
        <f t="shared" si="83"/>
        <v>y</v>
      </c>
      <c r="GWU1" s="154" t="str">
        <f t="shared" si="83"/>
        <v>y</v>
      </c>
      <c r="GWV1" s="154" t="str">
        <f t="shared" si="83"/>
        <v>y</v>
      </c>
      <c r="GWW1" s="154" t="str">
        <f t="shared" si="83"/>
        <v>y</v>
      </c>
      <c r="GWX1" s="154" t="str">
        <f t="shared" si="83"/>
        <v>y</v>
      </c>
      <c r="GWY1" s="154" t="str">
        <f t="shared" si="83"/>
        <v>y</v>
      </c>
      <c r="GWZ1" s="154" t="str">
        <f t="shared" si="83"/>
        <v>y</v>
      </c>
      <c r="GXA1" s="154" t="str">
        <f t="shared" si="83"/>
        <v>y</v>
      </c>
      <c r="GXB1" s="154" t="str">
        <f t="shared" si="83"/>
        <v>y</v>
      </c>
      <c r="GXC1" s="154" t="str">
        <f t="shared" si="83"/>
        <v>y</v>
      </c>
      <c r="GXD1" s="154" t="str">
        <f t="shared" si="83"/>
        <v>y</v>
      </c>
      <c r="GXE1" s="154" t="str">
        <f t="shared" si="83"/>
        <v>y</v>
      </c>
      <c r="GXF1" s="154" t="str">
        <f t="shared" si="83"/>
        <v>y</v>
      </c>
      <c r="GXG1" s="154" t="str">
        <f t="shared" si="83"/>
        <v>y</v>
      </c>
      <c r="GXH1" s="154" t="str">
        <f t="shared" si="83"/>
        <v>y</v>
      </c>
      <c r="GXI1" s="154" t="str">
        <f t="shared" si="83"/>
        <v>y</v>
      </c>
      <c r="GXJ1" s="154" t="str">
        <f t="shared" si="83"/>
        <v>y</v>
      </c>
      <c r="GXK1" s="154" t="str">
        <f t="shared" si="83"/>
        <v>y</v>
      </c>
      <c r="GXL1" s="154" t="str">
        <f t="shared" si="83"/>
        <v>y</v>
      </c>
      <c r="GXM1" s="154" t="str">
        <f t="shared" si="83"/>
        <v>y</v>
      </c>
      <c r="GXN1" s="154" t="str">
        <f t="shared" si="83"/>
        <v>y</v>
      </c>
      <c r="GXO1" s="154" t="str">
        <f t="shared" si="83"/>
        <v>y</v>
      </c>
      <c r="GXP1" s="154" t="str">
        <f t="shared" si="83"/>
        <v>y</v>
      </c>
      <c r="GXQ1" s="154" t="str">
        <f t="shared" si="83"/>
        <v>y</v>
      </c>
      <c r="GXR1" s="154" t="str">
        <f t="shared" si="83"/>
        <v>y</v>
      </c>
      <c r="GXS1" s="154" t="str">
        <f t="shared" si="83"/>
        <v>y</v>
      </c>
      <c r="GXT1" s="154" t="str">
        <f t="shared" si="83"/>
        <v>y</v>
      </c>
      <c r="GXU1" s="154" t="str">
        <f t="shared" si="83"/>
        <v>y</v>
      </c>
      <c r="GXV1" s="154" t="str">
        <f t="shared" si="83"/>
        <v>y</v>
      </c>
      <c r="GXW1" s="154" t="str">
        <f t="shared" si="83"/>
        <v>y</v>
      </c>
      <c r="GXX1" s="154" t="str">
        <f t="shared" ref="GXX1:HAI1" si="84">GXX2&amp;"y"</f>
        <v>y</v>
      </c>
      <c r="GXY1" s="154" t="str">
        <f t="shared" si="84"/>
        <v>y</v>
      </c>
      <c r="GXZ1" s="154" t="str">
        <f t="shared" si="84"/>
        <v>y</v>
      </c>
      <c r="GYA1" s="154" t="str">
        <f t="shared" si="84"/>
        <v>y</v>
      </c>
      <c r="GYB1" s="154" t="str">
        <f t="shared" si="84"/>
        <v>y</v>
      </c>
      <c r="GYC1" s="154" t="str">
        <f t="shared" si="84"/>
        <v>y</v>
      </c>
      <c r="GYD1" s="154" t="str">
        <f t="shared" si="84"/>
        <v>y</v>
      </c>
      <c r="GYE1" s="154" t="str">
        <f t="shared" si="84"/>
        <v>y</v>
      </c>
      <c r="GYF1" s="154" t="str">
        <f t="shared" si="84"/>
        <v>y</v>
      </c>
      <c r="GYG1" s="154" t="str">
        <f t="shared" si="84"/>
        <v>y</v>
      </c>
      <c r="GYH1" s="154" t="str">
        <f t="shared" si="84"/>
        <v>y</v>
      </c>
      <c r="GYI1" s="154" t="str">
        <f t="shared" si="84"/>
        <v>y</v>
      </c>
      <c r="GYJ1" s="154" t="str">
        <f t="shared" si="84"/>
        <v>y</v>
      </c>
      <c r="GYK1" s="154" t="str">
        <f t="shared" si="84"/>
        <v>y</v>
      </c>
      <c r="GYL1" s="154" t="str">
        <f t="shared" si="84"/>
        <v>y</v>
      </c>
      <c r="GYM1" s="154" t="str">
        <f t="shared" si="84"/>
        <v>y</v>
      </c>
      <c r="GYN1" s="154" t="str">
        <f t="shared" si="84"/>
        <v>y</v>
      </c>
      <c r="GYO1" s="154" t="str">
        <f t="shared" si="84"/>
        <v>y</v>
      </c>
      <c r="GYP1" s="154" t="str">
        <f t="shared" si="84"/>
        <v>y</v>
      </c>
      <c r="GYQ1" s="154" t="str">
        <f t="shared" si="84"/>
        <v>y</v>
      </c>
      <c r="GYR1" s="154" t="str">
        <f t="shared" si="84"/>
        <v>y</v>
      </c>
      <c r="GYS1" s="154" t="str">
        <f t="shared" si="84"/>
        <v>y</v>
      </c>
      <c r="GYT1" s="154" t="str">
        <f t="shared" si="84"/>
        <v>y</v>
      </c>
      <c r="GYU1" s="154" t="str">
        <f t="shared" si="84"/>
        <v>y</v>
      </c>
      <c r="GYV1" s="154" t="str">
        <f t="shared" si="84"/>
        <v>y</v>
      </c>
      <c r="GYW1" s="154" t="str">
        <f t="shared" si="84"/>
        <v>y</v>
      </c>
      <c r="GYX1" s="154" t="str">
        <f t="shared" si="84"/>
        <v>y</v>
      </c>
      <c r="GYY1" s="154" t="str">
        <f t="shared" si="84"/>
        <v>y</v>
      </c>
      <c r="GYZ1" s="154" t="str">
        <f t="shared" si="84"/>
        <v>y</v>
      </c>
      <c r="GZA1" s="154" t="str">
        <f t="shared" si="84"/>
        <v>y</v>
      </c>
      <c r="GZB1" s="154" t="str">
        <f t="shared" si="84"/>
        <v>y</v>
      </c>
      <c r="GZC1" s="154" t="str">
        <f t="shared" si="84"/>
        <v>y</v>
      </c>
      <c r="GZD1" s="154" t="str">
        <f t="shared" si="84"/>
        <v>y</v>
      </c>
      <c r="GZE1" s="154" t="str">
        <f t="shared" si="84"/>
        <v>y</v>
      </c>
      <c r="GZF1" s="154" t="str">
        <f t="shared" si="84"/>
        <v>y</v>
      </c>
      <c r="GZG1" s="154" t="str">
        <f t="shared" si="84"/>
        <v>y</v>
      </c>
      <c r="GZH1" s="154" t="str">
        <f t="shared" si="84"/>
        <v>y</v>
      </c>
      <c r="GZI1" s="154" t="str">
        <f t="shared" si="84"/>
        <v>y</v>
      </c>
      <c r="GZJ1" s="154" t="str">
        <f t="shared" si="84"/>
        <v>y</v>
      </c>
      <c r="GZK1" s="154" t="str">
        <f t="shared" si="84"/>
        <v>y</v>
      </c>
      <c r="GZL1" s="154" t="str">
        <f t="shared" si="84"/>
        <v>y</v>
      </c>
      <c r="GZM1" s="154" t="str">
        <f t="shared" si="84"/>
        <v>y</v>
      </c>
      <c r="GZN1" s="154" t="str">
        <f t="shared" si="84"/>
        <v>y</v>
      </c>
      <c r="GZO1" s="154" t="str">
        <f t="shared" si="84"/>
        <v>y</v>
      </c>
      <c r="GZP1" s="154" t="str">
        <f t="shared" si="84"/>
        <v>y</v>
      </c>
      <c r="GZQ1" s="154" t="str">
        <f t="shared" si="84"/>
        <v>y</v>
      </c>
      <c r="GZR1" s="154" t="str">
        <f t="shared" si="84"/>
        <v>y</v>
      </c>
      <c r="GZS1" s="154" t="str">
        <f t="shared" si="84"/>
        <v>y</v>
      </c>
      <c r="GZT1" s="154" t="str">
        <f t="shared" si="84"/>
        <v>y</v>
      </c>
      <c r="GZU1" s="154" t="str">
        <f t="shared" si="84"/>
        <v>y</v>
      </c>
      <c r="GZV1" s="154" t="str">
        <f t="shared" si="84"/>
        <v>y</v>
      </c>
      <c r="GZW1" s="154" t="str">
        <f t="shared" si="84"/>
        <v>y</v>
      </c>
      <c r="GZX1" s="154" t="str">
        <f t="shared" si="84"/>
        <v>y</v>
      </c>
      <c r="GZY1" s="154" t="str">
        <f t="shared" si="84"/>
        <v>y</v>
      </c>
      <c r="GZZ1" s="154" t="str">
        <f t="shared" si="84"/>
        <v>y</v>
      </c>
      <c r="HAA1" s="154" t="str">
        <f t="shared" si="84"/>
        <v>y</v>
      </c>
      <c r="HAB1" s="154" t="str">
        <f t="shared" si="84"/>
        <v>y</v>
      </c>
      <c r="HAC1" s="154" t="str">
        <f t="shared" si="84"/>
        <v>y</v>
      </c>
      <c r="HAD1" s="154" t="str">
        <f t="shared" si="84"/>
        <v>y</v>
      </c>
      <c r="HAE1" s="154" t="str">
        <f t="shared" si="84"/>
        <v>y</v>
      </c>
      <c r="HAF1" s="154" t="str">
        <f t="shared" si="84"/>
        <v>y</v>
      </c>
      <c r="HAG1" s="154" t="str">
        <f t="shared" si="84"/>
        <v>y</v>
      </c>
      <c r="HAH1" s="154" t="str">
        <f t="shared" si="84"/>
        <v>y</v>
      </c>
      <c r="HAI1" s="154" t="str">
        <f t="shared" si="84"/>
        <v>y</v>
      </c>
      <c r="HAJ1" s="154" t="str">
        <f t="shared" ref="HAJ1:HCU1" si="85">HAJ2&amp;"y"</f>
        <v>y</v>
      </c>
      <c r="HAK1" s="154" t="str">
        <f t="shared" si="85"/>
        <v>y</v>
      </c>
      <c r="HAL1" s="154" t="str">
        <f t="shared" si="85"/>
        <v>y</v>
      </c>
      <c r="HAM1" s="154" t="str">
        <f t="shared" si="85"/>
        <v>y</v>
      </c>
      <c r="HAN1" s="154" t="str">
        <f t="shared" si="85"/>
        <v>y</v>
      </c>
      <c r="HAO1" s="154" t="str">
        <f t="shared" si="85"/>
        <v>y</v>
      </c>
      <c r="HAP1" s="154" t="str">
        <f t="shared" si="85"/>
        <v>y</v>
      </c>
      <c r="HAQ1" s="154" t="str">
        <f t="shared" si="85"/>
        <v>y</v>
      </c>
      <c r="HAR1" s="154" t="str">
        <f t="shared" si="85"/>
        <v>y</v>
      </c>
      <c r="HAS1" s="154" t="str">
        <f t="shared" si="85"/>
        <v>y</v>
      </c>
      <c r="HAT1" s="154" t="str">
        <f t="shared" si="85"/>
        <v>y</v>
      </c>
      <c r="HAU1" s="154" t="str">
        <f t="shared" si="85"/>
        <v>y</v>
      </c>
      <c r="HAV1" s="154" t="str">
        <f t="shared" si="85"/>
        <v>y</v>
      </c>
      <c r="HAW1" s="154" t="str">
        <f t="shared" si="85"/>
        <v>y</v>
      </c>
      <c r="HAX1" s="154" t="str">
        <f t="shared" si="85"/>
        <v>y</v>
      </c>
      <c r="HAY1" s="154" t="str">
        <f t="shared" si="85"/>
        <v>y</v>
      </c>
      <c r="HAZ1" s="154" t="str">
        <f t="shared" si="85"/>
        <v>y</v>
      </c>
      <c r="HBA1" s="154" t="str">
        <f t="shared" si="85"/>
        <v>y</v>
      </c>
      <c r="HBB1" s="154" t="str">
        <f t="shared" si="85"/>
        <v>y</v>
      </c>
      <c r="HBC1" s="154" t="str">
        <f t="shared" si="85"/>
        <v>y</v>
      </c>
      <c r="HBD1" s="154" t="str">
        <f t="shared" si="85"/>
        <v>y</v>
      </c>
      <c r="HBE1" s="154" t="str">
        <f t="shared" si="85"/>
        <v>y</v>
      </c>
      <c r="HBF1" s="154" t="str">
        <f t="shared" si="85"/>
        <v>y</v>
      </c>
      <c r="HBG1" s="154" t="str">
        <f t="shared" si="85"/>
        <v>y</v>
      </c>
      <c r="HBH1" s="154" t="str">
        <f t="shared" si="85"/>
        <v>y</v>
      </c>
      <c r="HBI1" s="154" t="str">
        <f t="shared" si="85"/>
        <v>y</v>
      </c>
      <c r="HBJ1" s="154" t="str">
        <f t="shared" si="85"/>
        <v>y</v>
      </c>
      <c r="HBK1" s="154" t="str">
        <f t="shared" si="85"/>
        <v>y</v>
      </c>
      <c r="HBL1" s="154" t="str">
        <f t="shared" si="85"/>
        <v>y</v>
      </c>
      <c r="HBM1" s="154" t="str">
        <f t="shared" si="85"/>
        <v>y</v>
      </c>
      <c r="HBN1" s="154" t="str">
        <f t="shared" si="85"/>
        <v>y</v>
      </c>
      <c r="HBO1" s="154" t="str">
        <f t="shared" si="85"/>
        <v>y</v>
      </c>
      <c r="HBP1" s="154" t="str">
        <f t="shared" si="85"/>
        <v>y</v>
      </c>
      <c r="HBQ1" s="154" t="str">
        <f t="shared" si="85"/>
        <v>y</v>
      </c>
      <c r="HBR1" s="154" t="str">
        <f t="shared" si="85"/>
        <v>y</v>
      </c>
      <c r="HBS1" s="154" t="str">
        <f t="shared" si="85"/>
        <v>y</v>
      </c>
      <c r="HBT1" s="154" t="str">
        <f t="shared" si="85"/>
        <v>y</v>
      </c>
      <c r="HBU1" s="154" t="str">
        <f t="shared" si="85"/>
        <v>y</v>
      </c>
      <c r="HBV1" s="154" t="str">
        <f t="shared" si="85"/>
        <v>y</v>
      </c>
      <c r="HBW1" s="154" t="str">
        <f t="shared" si="85"/>
        <v>y</v>
      </c>
      <c r="HBX1" s="154" t="str">
        <f t="shared" si="85"/>
        <v>y</v>
      </c>
      <c r="HBY1" s="154" t="str">
        <f t="shared" si="85"/>
        <v>y</v>
      </c>
      <c r="HBZ1" s="154" t="str">
        <f t="shared" si="85"/>
        <v>y</v>
      </c>
      <c r="HCA1" s="154" t="str">
        <f t="shared" si="85"/>
        <v>y</v>
      </c>
      <c r="HCB1" s="154" t="str">
        <f t="shared" si="85"/>
        <v>y</v>
      </c>
      <c r="HCC1" s="154" t="str">
        <f t="shared" si="85"/>
        <v>y</v>
      </c>
      <c r="HCD1" s="154" t="str">
        <f t="shared" si="85"/>
        <v>y</v>
      </c>
      <c r="HCE1" s="154" t="str">
        <f t="shared" si="85"/>
        <v>y</v>
      </c>
      <c r="HCF1" s="154" t="str">
        <f t="shared" si="85"/>
        <v>y</v>
      </c>
      <c r="HCG1" s="154" t="str">
        <f t="shared" si="85"/>
        <v>y</v>
      </c>
      <c r="HCH1" s="154" t="str">
        <f t="shared" si="85"/>
        <v>y</v>
      </c>
      <c r="HCI1" s="154" t="str">
        <f t="shared" si="85"/>
        <v>y</v>
      </c>
      <c r="HCJ1" s="154" t="str">
        <f t="shared" si="85"/>
        <v>y</v>
      </c>
      <c r="HCK1" s="154" t="str">
        <f t="shared" si="85"/>
        <v>y</v>
      </c>
      <c r="HCL1" s="154" t="str">
        <f t="shared" si="85"/>
        <v>y</v>
      </c>
      <c r="HCM1" s="154" t="str">
        <f t="shared" si="85"/>
        <v>y</v>
      </c>
      <c r="HCN1" s="154" t="str">
        <f t="shared" si="85"/>
        <v>y</v>
      </c>
      <c r="HCO1" s="154" t="str">
        <f t="shared" si="85"/>
        <v>y</v>
      </c>
      <c r="HCP1" s="154" t="str">
        <f t="shared" si="85"/>
        <v>y</v>
      </c>
      <c r="HCQ1" s="154" t="str">
        <f t="shared" si="85"/>
        <v>y</v>
      </c>
      <c r="HCR1" s="154" t="str">
        <f t="shared" si="85"/>
        <v>y</v>
      </c>
      <c r="HCS1" s="154" t="str">
        <f t="shared" si="85"/>
        <v>y</v>
      </c>
      <c r="HCT1" s="154" t="str">
        <f t="shared" si="85"/>
        <v>y</v>
      </c>
      <c r="HCU1" s="154" t="str">
        <f t="shared" si="85"/>
        <v>y</v>
      </c>
      <c r="HCV1" s="154" t="str">
        <f t="shared" ref="HCV1:HFG1" si="86">HCV2&amp;"y"</f>
        <v>y</v>
      </c>
      <c r="HCW1" s="154" t="str">
        <f t="shared" si="86"/>
        <v>y</v>
      </c>
      <c r="HCX1" s="154" t="str">
        <f t="shared" si="86"/>
        <v>y</v>
      </c>
      <c r="HCY1" s="154" t="str">
        <f t="shared" si="86"/>
        <v>y</v>
      </c>
      <c r="HCZ1" s="154" t="str">
        <f t="shared" si="86"/>
        <v>y</v>
      </c>
      <c r="HDA1" s="154" t="str">
        <f t="shared" si="86"/>
        <v>y</v>
      </c>
      <c r="HDB1" s="154" t="str">
        <f t="shared" si="86"/>
        <v>y</v>
      </c>
      <c r="HDC1" s="154" t="str">
        <f t="shared" si="86"/>
        <v>y</v>
      </c>
      <c r="HDD1" s="154" t="str">
        <f t="shared" si="86"/>
        <v>y</v>
      </c>
      <c r="HDE1" s="154" t="str">
        <f t="shared" si="86"/>
        <v>y</v>
      </c>
      <c r="HDF1" s="154" t="str">
        <f t="shared" si="86"/>
        <v>y</v>
      </c>
      <c r="HDG1" s="154" t="str">
        <f t="shared" si="86"/>
        <v>y</v>
      </c>
      <c r="HDH1" s="154" t="str">
        <f t="shared" si="86"/>
        <v>y</v>
      </c>
      <c r="HDI1" s="154" t="str">
        <f t="shared" si="86"/>
        <v>y</v>
      </c>
      <c r="HDJ1" s="154" t="str">
        <f t="shared" si="86"/>
        <v>y</v>
      </c>
      <c r="HDK1" s="154" t="str">
        <f t="shared" si="86"/>
        <v>y</v>
      </c>
      <c r="HDL1" s="154" t="str">
        <f t="shared" si="86"/>
        <v>y</v>
      </c>
      <c r="HDM1" s="154" t="str">
        <f t="shared" si="86"/>
        <v>y</v>
      </c>
      <c r="HDN1" s="154" t="str">
        <f t="shared" si="86"/>
        <v>y</v>
      </c>
      <c r="HDO1" s="154" t="str">
        <f t="shared" si="86"/>
        <v>y</v>
      </c>
      <c r="HDP1" s="154" t="str">
        <f t="shared" si="86"/>
        <v>y</v>
      </c>
      <c r="HDQ1" s="154" t="str">
        <f t="shared" si="86"/>
        <v>y</v>
      </c>
      <c r="HDR1" s="154" t="str">
        <f t="shared" si="86"/>
        <v>y</v>
      </c>
      <c r="HDS1" s="154" t="str">
        <f t="shared" si="86"/>
        <v>y</v>
      </c>
      <c r="HDT1" s="154" t="str">
        <f t="shared" si="86"/>
        <v>y</v>
      </c>
      <c r="HDU1" s="154" t="str">
        <f t="shared" si="86"/>
        <v>y</v>
      </c>
      <c r="HDV1" s="154" t="str">
        <f t="shared" si="86"/>
        <v>y</v>
      </c>
      <c r="HDW1" s="154" t="str">
        <f t="shared" si="86"/>
        <v>y</v>
      </c>
      <c r="HDX1" s="154" t="str">
        <f t="shared" si="86"/>
        <v>y</v>
      </c>
      <c r="HDY1" s="154" t="str">
        <f t="shared" si="86"/>
        <v>y</v>
      </c>
      <c r="HDZ1" s="154" t="str">
        <f t="shared" si="86"/>
        <v>y</v>
      </c>
      <c r="HEA1" s="154" t="str">
        <f t="shared" si="86"/>
        <v>y</v>
      </c>
      <c r="HEB1" s="154" t="str">
        <f t="shared" si="86"/>
        <v>y</v>
      </c>
      <c r="HEC1" s="154" t="str">
        <f t="shared" si="86"/>
        <v>y</v>
      </c>
      <c r="HED1" s="154" t="str">
        <f t="shared" si="86"/>
        <v>y</v>
      </c>
      <c r="HEE1" s="154" t="str">
        <f t="shared" si="86"/>
        <v>y</v>
      </c>
      <c r="HEF1" s="154" t="str">
        <f t="shared" si="86"/>
        <v>y</v>
      </c>
      <c r="HEG1" s="154" t="str">
        <f t="shared" si="86"/>
        <v>y</v>
      </c>
      <c r="HEH1" s="154" t="str">
        <f t="shared" si="86"/>
        <v>y</v>
      </c>
      <c r="HEI1" s="154" t="str">
        <f t="shared" si="86"/>
        <v>y</v>
      </c>
      <c r="HEJ1" s="154" t="str">
        <f t="shared" si="86"/>
        <v>y</v>
      </c>
      <c r="HEK1" s="154" t="str">
        <f t="shared" si="86"/>
        <v>y</v>
      </c>
      <c r="HEL1" s="154" t="str">
        <f t="shared" si="86"/>
        <v>y</v>
      </c>
      <c r="HEM1" s="154" t="str">
        <f t="shared" si="86"/>
        <v>y</v>
      </c>
      <c r="HEN1" s="154" t="str">
        <f t="shared" si="86"/>
        <v>y</v>
      </c>
      <c r="HEO1" s="154" t="str">
        <f t="shared" si="86"/>
        <v>y</v>
      </c>
      <c r="HEP1" s="154" t="str">
        <f t="shared" si="86"/>
        <v>y</v>
      </c>
      <c r="HEQ1" s="154" t="str">
        <f t="shared" si="86"/>
        <v>y</v>
      </c>
      <c r="HER1" s="154" t="str">
        <f t="shared" si="86"/>
        <v>y</v>
      </c>
      <c r="HES1" s="154" t="str">
        <f t="shared" si="86"/>
        <v>y</v>
      </c>
      <c r="HET1" s="154" t="str">
        <f t="shared" si="86"/>
        <v>y</v>
      </c>
      <c r="HEU1" s="154" t="str">
        <f t="shared" si="86"/>
        <v>y</v>
      </c>
      <c r="HEV1" s="154" t="str">
        <f t="shared" si="86"/>
        <v>y</v>
      </c>
      <c r="HEW1" s="154" t="str">
        <f t="shared" si="86"/>
        <v>y</v>
      </c>
      <c r="HEX1" s="154" t="str">
        <f t="shared" si="86"/>
        <v>y</v>
      </c>
      <c r="HEY1" s="154" t="str">
        <f t="shared" si="86"/>
        <v>y</v>
      </c>
      <c r="HEZ1" s="154" t="str">
        <f t="shared" si="86"/>
        <v>y</v>
      </c>
      <c r="HFA1" s="154" t="str">
        <f t="shared" si="86"/>
        <v>y</v>
      </c>
      <c r="HFB1" s="154" t="str">
        <f t="shared" si="86"/>
        <v>y</v>
      </c>
      <c r="HFC1" s="154" t="str">
        <f t="shared" si="86"/>
        <v>y</v>
      </c>
      <c r="HFD1" s="154" t="str">
        <f t="shared" si="86"/>
        <v>y</v>
      </c>
      <c r="HFE1" s="154" t="str">
        <f t="shared" si="86"/>
        <v>y</v>
      </c>
      <c r="HFF1" s="154" t="str">
        <f t="shared" si="86"/>
        <v>y</v>
      </c>
      <c r="HFG1" s="154" t="str">
        <f t="shared" si="86"/>
        <v>y</v>
      </c>
      <c r="HFH1" s="154" t="str">
        <f t="shared" ref="HFH1:HHS1" si="87">HFH2&amp;"y"</f>
        <v>y</v>
      </c>
      <c r="HFI1" s="154" t="str">
        <f t="shared" si="87"/>
        <v>y</v>
      </c>
      <c r="HFJ1" s="154" t="str">
        <f t="shared" si="87"/>
        <v>y</v>
      </c>
      <c r="HFK1" s="154" t="str">
        <f t="shared" si="87"/>
        <v>y</v>
      </c>
      <c r="HFL1" s="154" t="str">
        <f t="shared" si="87"/>
        <v>y</v>
      </c>
      <c r="HFM1" s="154" t="str">
        <f t="shared" si="87"/>
        <v>y</v>
      </c>
      <c r="HFN1" s="154" t="str">
        <f t="shared" si="87"/>
        <v>y</v>
      </c>
      <c r="HFO1" s="154" t="str">
        <f t="shared" si="87"/>
        <v>y</v>
      </c>
      <c r="HFP1" s="154" t="str">
        <f t="shared" si="87"/>
        <v>y</v>
      </c>
      <c r="HFQ1" s="154" t="str">
        <f t="shared" si="87"/>
        <v>y</v>
      </c>
      <c r="HFR1" s="154" t="str">
        <f t="shared" si="87"/>
        <v>y</v>
      </c>
      <c r="HFS1" s="154" t="str">
        <f t="shared" si="87"/>
        <v>y</v>
      </c>
      <c r="HFT1" s="154" t="str">
        <f t="shared" si="87"/>
        <v>y</v>
      </c>
      <c r="HFU1" s="154" t="str">
        <f t="shared" si="87"/>
        <v>y</v>
      </c>
      <c r="HFV1" s="154" t="str">
        <f t="shared" si="87"/>
        <v>y</v>
      </c>
      <c r="HFW1" s="154" t="str">
        <f t="shared" si="87"/>
        <v>y</v>
      </c>
      <c r="HFX1" s="154" t="str">
        <f t="shared" si="87"/>
        <v>y</v>
      </c>
      <c r="HFY1" s="154" t="str">
        <f t="shared" si="87"/>
        <v>y</v>
      </c>
      <c r="HFZ1" s="154" t="str">
        <f t="shared" si="87"/>
        <v>y</v>
      </c>
      <c r="HGA1" s="154" t="str">
        <f t="shared" si="87"/>
        <v>y</v>
      </c>
      <c r="HGB1" s="154" t="str">
        <f t="shared" si="87"/>
        <v>y</v>
      </c>
      <c r="HGC1" s="154" t="str">
        <f t="shared" si="87"/>
        <v>y</v>
      </c>
      <c r="HGD1" s="154" t="str">
        <f t="shared" si="87"/>
        <v>y</v>
      </c>
      <c r="HGE1" s="154" t="str">
        <f t="shared" si="87"/>
        <v>y</v>
      </c>
      <c r="HGF1" s="154" t="str">
        <f t="shared" si="87"/>
        <v>y</v>
      </c>
      <c r="HGG1" s="154" t="str">
        <f t="shared" si="87"/>
        <v>y</v>
      </c>
      <c r="HGH1" s="154" t="str">
        <f t="shared" si="87"/>
        <v>y</v>
      </c>
      <c r="HGI1" s="154" t="str">
        <f t="shared" si="87"/>
        <v>y</v>
      </c>
      <c r="HGJ1" s="154" t="str">
        <f t="shared" si="87"/>
        <v>y</v>
      </c>
      <c r="HGK1" s="154" t="str">
        <f t="shared" si="87"/>
        <v>y</v>
      </c>
      <c r="HGL1" s="154" t="str">
        <f t="shared" si="87"/>
        <v>y</v>
      </c>
      <c r="HGM1" s="154" t="str">
        <f t="shared" si="87"/>
        <v>y</v>
      </c>
      <c r="HGN1" s="154" t="str">
        <f t="shared" si="87"/>
        <v>y</v>
      </c>
      <c r="HGO1" s="154" t="str">
        <f t="shared" si="87"/>
        <v>y</v>
      </c>
      <c r="HGP1" s="154" t="str">
        <f t="shared" si="87"/>
        <v>y</v>
      </c>
      <c r="HGQ1" s="154" t="str">
        <f t="shared" si="87"/>
        <v>y</v>
      </c>
      <c r="HGR1" s="154" t="str">
        <f t="shared" si="87"/>
        <v>y</v>
      </c>
      <c r="HGS1" s="154" t="str">
        <f t="shared" si="87"/>
        <v>y</v>
      </c>
      <c r="HGT1" s="154" t="str">
        <f t="shared" si="87"/>
        <v>y</v>
      </c>
      <c r="HGU1" s="154" t="str">
        <f t="shared" si="87"/>
        <v>y</v>
      </c>
      <c r="HGV1" s="154" t="str">
        <f t="shared" si="87"/>
        <v>y</v>
      </c>
      <c r="HGW1" s="154" t="str">
        <f t="shared" si="87"/>
        <v>y</v>
      </c>
      <c r="HGX1" s="154" t="str">
        <f t="shared" si="87"/>
        <v>y</v>
      </c>
      <c r="HGY1" s="154" t="str">
        <f t="shared" si="87"/>
        <v>y</v>
      </c>
      <c r="HGZ1" s="154" t="str">
        <f t="shared" si="87"/>
        <v>y</v>
      </c>
      <c r="HHA1" s="154" t="str">
        <f t="shared" si="87"/>
        <v>y</v>
      </c>
      <c r="HHB1" s="154" t="str">
        <f t="shared" si="87"/>
        <v>y</v>
      </c>
      <c r="HHC1" s="154" t="str">
        <f t="shared" si="87"/>
        <v>y</v>
      </c>
      <c r="HHD1" s="154" t="str">
        <f t="shared" si="87"/>
        <v>y</v>
      </c>
      <c r="HHE1" s="154" t="str">
        <f t="shared" si="87"/>
        <v>y</v>
      </c>
      <c r="HHF1" s="154" t="str">
        <f t="shared" si="87"/>
        <v>y</v>
      </c>
      <c r="HHG1" s="154" t="str">
        <f t="shared" si="87"/>
        <v>y</v>
      </c>
      <c r="HHH1" s="154" t="str">
        <f t="shared" si="87"/>
        <v>y</v>
      </c>
      <c r="HHI1" s="154" t="str">
        <f t="shared" si="87"/>
        <v>y</v>
      </c>
      <c r="HHJ1" s="154" t="str">
        <f t="shared" si="87"/>
        <v>y</v>
      </c>
      <c r="HHK1" s="154" t="str">
        <f t="shared" si="87"/>
        <v>y</v>
      </c>
      <c r="HHL1" s="154" t="str">
        <f t="shared" si="87"/>
        <v>y</v>
      </c>
      <c r="HHM1" s="154" t="str">
        <f t="shared" si="87"/>
        <v>y</v>
      </c>
      <c r="HHN1" s="154" t="str">
        <f t="shared" si="87"/>
        <v>y</v>
      </c>
      <c r="HHO1" s="154" t="str">
        <f t="shared" si="87"/>
        <v>y</v>
      </c>
      <c r="HHP1" s="154" t="str">
        <f t="shared" si="87"/>
        <v>y</v>
      </c>
      <c r="HHQ1" s="154" t="str">
        <f t="shared" si="87"/>
        <v>y</v>
      </c>
      <c r="HHR1" s="154" t="str">
        <f t="shared" si="87"/>
        <v>y</v>
      </c>
      <c r="HHS1" s="154" t="str">
        <f t="shared" si="87"/>
        <v>y</v>
      </c>
      <c r="HHT1" s="154" t="str">
        <f t="shared" ref="HHT1:HKE1" si="88">HHT2&amp;"y"</f>
        <v>y</v>
      </c>
      <c r="HHU1" s="154" t="str">
        <f t="shared" si="88"/>
        <v>y</v>
      </c>
      <c r="HHV1" s="154" t="str">
        <f t="shared" si="88"/>
        <v>y</v>
      </c>
      <c r="HHW1" s="154" t="str">
        <f t="shared" si="88"/>
        <v>y</v>
      </c>
      <c r="HHX1" s="154" t="str">
        <f t="shared" si="88"/>
        <v>y</v>
      </c>
      <c r="HHY1" s="154" t="str">
        <f t="shared" si="88"/>
        <v>y</v>
      </c>
      <c r="HHZ1" s="154" t="str">
        <f t="shared" si="88"/>
        <v>y</v>
      </c>
      <c r="HIA1" s="154" t="str">
        <f t="shared" si="88"/>
        <v>y</v>
      </c>
      <c r="HIB1" s="154" t="str">
        <f t="shared" si="88"/>
        <v>y</v>
      </c>
      <c r="HIC1" s="154" t="str">
        <f t="shared" si="88"/>
        <v>y</v>
      </c>
      <c r="HID1" s="154" t="str">
        <f t="shared" si="88"/>
        <v>y</v>
      </c>
      <c r="HIE1" s="154" t="str">
        <f t="shared" si="88"/>
        <v>y</v>
      </c>
      <c r="HIF1" s="154" t="str">
        <f t="shared" si="88"/>
        <v>y</v>
      </c>
      <c r="HIG1" s="154" t="str">
        <f t="shared" si="88"/>
        <v>y</v>
      </c>
      <c r="HIH1" s="154" t="str">
        <f t="shared" si="88"/>
        <v>y</v>
      </c>
      <c r="HII1" s="154" t="str">
        <f t="shared" si="88"/>
        <v>y</v>
      </c>
      <c r="HIJ1" s="154" t="str">
        <f t="shared" si="88"/>
        <v>y</v>
      </c>
      <c r="HIK1" s="154" t="str">
        <f t="shared" si="88"/>
        <v>y</v>
      </c>
      <c r="HIL1" s="154" t="str">
        <f t="shared" si="88"/>
        <v>y</v>
      </c>
      <c r="HIM1" s="154" t="str">
        <f t="shared" si="88"/>
        <v>y</v>
      </c>
      <c r="HIN1" s="154" t="str">
        <f t="shared" si="88"/>
        <v>y</v>
      </c>
      <c r="HIO1" s="154" t="str">
        <f t="shared" si="88"/>
        <v>y</v>
      </c>
      <c r="HIP1" s="154" t="str">
        <f t="shared" si="88"/>
        <v>y</v>
      </c>
      <c r="HIQ1" s="154" t="str">
        <f t="shared" si="88"/>
        <v>y</v>
      </c>
      <c r="HIR1" s="154" t="str">
        <f t="shared" si="88"/>
        <v>y</v>
      </c>
      <c r="HIS1" s="154" t="str">
        <f t="shared" si="88"/>
        <v>y</v>
      </c>
      <c r="HIT1" s="154" t="str">
        <f t="shared" si="88"/>
        <v>y</v>
      </c>
      <c r="HIU1" s="154" t="str">
        <f t="shared" si="88"/>
        <v>y</v>
      </c>
      <c r="HIV1" s="154" t="str">
        <f t="shared" si="88"/>
        <v>y</v>
      </c>
      <c r="HIW1" s="154" t="str">
        <f t="shared" si="88"/>
        <v>y</v>
      </c>
      <c r="HIX1" s="154" t="str">
        <f t="shared" si="88"/>
        <v>y</v>
      </c>
      <c r="HIY1" s="154" t="str">
        <f t="shared" si="88"/>
        <v>y</v>
      </c>
      <c r="HIZ1" s="154" t="str">
        <f t="shared" si="88"/>
        <v>y</v>
      </c>
      <c r="HJA1" s="154" t="str">
        <f t="shared" si="88"/>
        <v>y</v>
      </c>
      <c r="HJB1" s="154" t="str">
        <f t="shared" si="88"/>
        <v>y</v>
      </c>
      <c r="HJC1" s="154" t="str">
        <f t="shared" si="88"/>
        <v>y</v>
      </c>
      <c r="HJD1" s="154" t="str">
        <f t="shared" si="88"/>
        <v>y</v>
      </c>
      <c r="HJE1" s="154" t="str">
        <f t="shared" si="88"/>
        <v>y</v>
      </c>
      <c r="HJF1" s="154" t="str">
        <f t="shared" si="88"/>
        <v>y</v>
      </c>
      <c r="HJG1" s="154" t="str">
        <f t="shared" si="88"/>
        <v>y</v>
      </c>
      <c r="HJH1" s="154" t="str">
        <f t="shared" si="88"/>
        <v>y</v>
      </c>
      <c r="HJI1" s="154" t="str">
        <f t="shared" si="88"/>
        <v>y</v>
      </c>
      <c r="HJJ1" s="154" t="str">
        <f t="shared" si="88"/>
        <v>y</v>
      </c>
      <c r="HJK1" s="154" t="str">
        <f t="shared" si="88"/>
        <v>y</v>
      </c>
      <c r="HJL1" s="154" t="str">
        <f t="shared" si="88"/>
        <v>y</v>
      </c>
      <c r="HJM1" s="154" t="str">
        <f t="shared" si="88"/>
        <v>y</v>
      </c>
      <c r="HJN1" s="154" t="str">
        <f t="shared" si="88"/>
        <v>y</v>
      </c>
      <c r="HJO1" s="154" t="str">
        <f t="shared" si="88"/>
        <v>y</v>
      </c>
      <c r="HJP1" s="154" t="str">
        <f t="shared" si="88"/>
        <v>y</v>
      </c>
      <c r="HJQ1" s="154" t="str">
        <f t="shared" si="88"/>
        <v>y</v>
      </c>
      <c r="HJR1" s="154" t="str">
        <f t="shared" si="88"/>
        <v>y</v>
      </c>
      <c r="HJS1" s="154" t="str">
        <f t="shared" si="88"/>
        <v>y</v>
      </c>
      <c r="HJT1" s="154" t="str">
        <f t="shared" si="88"/>
        <v>y</v>
      </c>
      <c r="HJU1" s="154" t="str">
        <f t="shared" si="88"/>
        <v>y</v>
      </c>
      <c r="HJV1" s="154" t="str">
        <f t="shared" si="88"/>
        <v>y</v>
      </c>
      <c r="HJW1" s="154" t="str">
        <f t="shared" si="88"/>
        <v>y</v>
      </c>
      <c r="HJX1" s="154" t="str">
        <f t="shared" si="88"/>
        <v>y</v>
      </c>
      <c r="HJY1" s="154" t="str">
        <f t="shared" si="88"/>
        <v>y</v>
      </c>
      <c r="HJZ1" s="154" t="str">
        <f t="shared" si="88"/>
        <v>y</v>
      </c>
      <c r="HKA1" s="154" t="str">
        <f t="shared" si="88"/>
        <v>y</v>
      </c>
      <c r="HKB1" s="154" t="str">
        <f t="shared" si="88"/>
        <v>y</v>
      </c>
      <c r="HKC1" s="154" t="str">
        <f t="shared" si="88"/>
        <v>y</v>
      </c>
      <c r="HKD1" s="154" t="str">
        <f t="shared" si="88"/>
        <v>y</v>
      </c>
      <c r="HKE1" s="154" t="str">
        <f t="shared" si="88"/>
        <v>y</v>
      </c>
      <c r="HKF1" s="154" t="str">
        <f t="shared" ref="HKF1:HMQ1" si="89">HKF2&amp;"y"</f>
        <v>y</v>
      </c>
      <c r="HKG1" s="154" t="str">
        <f t="shared" si="89"/>
        <v>y</v>
      </c>
      <c r="HKH1" s="154" t="str">
        <f t="shared" si="89"/>
        <v>y</v>
      </c>
      <c r="HKI1" s="154" t="str">
        <f t="shared" si="89"/>
        <v>y</v>
      </c>
      <c r="HKJ1" s="154" t="str">
        <f t="shared" si="89"/>
        <v>y</v>
      </c>
      <c r="HKK1" s="154" t="str">
        <f t="shared" si="89"/>
        <v>y</v>
      </c>
      <c r="HKL1" s="154" t="str">
        <f t="shared" si="89"/>
        <v>y</v>
      </c>
      <c r="HKM1" s="154" t="str">
        <f t="shared" si="89"/>
        <v>y</v>
      </c>
      <c r="HKN1" s="154" t="str">
        <f t="shared" si="89"/>
        <v>y</v>
      </c>
      <c r="HKO1" s="154" t="str">
        <f t="shared" si="89"/>
        <v>y</v>
      </c>
      <c r="HKP1" s="154" t="str">
        <f t="shared" si="89"/>
        <v>y</v>
      </c>
      <c r="HKQ1" s="154" t="str">
        <f t="shared" si="89"/>
        <v>y</v>
      </c>
      <c r="HKR1" s="154" t="str">
        <f t="shared" si="89"/>
        <v>y</v>
      </c>
      <c r="HKS1" s="154" t="str">
        <f t="shared" si="89"/>
        <v>y</v>
      </c>
      <c r="HKT1" s="154" t="str">
        <f t="shared" si="89"/>
        <v>y</v>
      </c>
      <c r="HKU1" s="154" t="str">
        <f t="shared" si="89"/>
        <v>y</v>
      </c>
      <c r="HKV1" s="154" t="str">
        <f t="shared" si="89"/>
        <v>y</v>
      </c>
      <c r="HKW1" s="154" t="str">
        <f t="shared" si="89"/>
        <v>y</v>
      </c>
      <c r="HKX1" s="154" t="str">
        <f t="shared" si="89"/>
        <v>y</v>
      </c>
      <c r="HKY1" s="154" t="str">
        <f t="shared" si="89"/>
        <v>y</v>
      </c>
      <c r="HKZ1" s="154" t="str">
        <f t="shared" si="89"/>
        <v>y</v>
      </c>
      <c r="HLA1" s="154" t="str">
        <f t="shared" si="89"/>
        <v>y</v>
      </c>
      <c r="HLB1" s="154" t="str">
        <f t="shared" si="89"/>
        <v>y</v>
      </c>
      <c r="HLC1" s="154" t="str">
        <f t="shared" si="89"/>
        <v>y</v>
      </c>
      <c r="HLD1" s="154" t="str">
        <f t="shared" si="89"/>
        <v>y</v>
      </c>
      <c r="HLE1" s="154" t="str">
        <f t="shared" si="89"/>
        <v>y</v>
      </c>
      <c r="HLF1" s="154" t="str">
        <f t="shared" si="89"/>
        <v>y</v>
      </c>
      <c r="HLG1" s="154" t="str">
        <f t="shared" si="89"/>
        <v>y</v>
      </c>
      <c r="HLH1" s="154" t="str">
        <f t="shared" si="89"/>
        <v>y</v>
      </c>
      <c r="HLI1" s="154" t="str">
        <f t="shared" si="89"/>
        <v>y</v>
      </c>
      <c r="HLJ1" s="154" t="str">
        <f t="shared" si="89"/>
        <v>y</v>
      </c>
      <c r="HLK1" s="154" t="str">
        <f t="shared" si="89"/>
        <v>y</v>
      </c>
      <c r="HLL1" s="154" t="str">
        <f t="shared" si="89"/>
        <v>y</v>
      </c>
      <c r="HLM1" s="154" t="str">
        <f t="shared" si="89"/>
        <v>y</v>
      </c>
      <c r="HLN1" s="154" t="str">
        <f t="shared" si="89"/>
        <v>y</v>
      </c>
      <c r="HLO1" s="154" t="str">
        <f t="shared" si="89"/>
        <v>y</v>
      </c>
      <c r="HLP1" s="154" t="str">
        <f t="shared" si="89"/>
        <v>y</v>
      </c>
      <c r="HLQ1" s="154" t="str">
        <f t="shared" si="89"/>
        <v>y</v>
      </c>
      <c r="HLR1" s="154" t="str">
        <f t="shared" si="89"/>
        <v>y</v>
      </c>
      <c r="HLS1" s="154" t="str">
        <f t="shared" si="89"/>
        <v>y</v>
      </c>
      <c r="HLT1" s="154" t="str">
        <f t="shared" si="89"/>
        <v>y</v>
      </c>
      <c r="HLU1" s="154" t="str">
        <f t="shared" si="89"/>
        <v>y</v>
      </c>
      <c r="HLV1" s="154" t="str">
        <f t="shared" si="89"/>
        <v>y</v>
      </c>
      <c r="HLW1" s="154" t="str">
        <f t="shared" si="89"/>
        <v>y</v>
      </c>
      <c r="HLX1" s="154" t="str">
        <f t="shared" si="89"/>
        <v>y</v>
      </c>
      <c r="HLY1" s="154" t="str">
        <f t="shared" si="89"/>
        <v>y</v>
      </c>
      <c r="HLZ1" s="154" t="str">
        <f t="shared" si="89"/>
        <v>y</v>
      </c>
      <c r="HMA1" s="154" t="str">
        <f t="shared" si="89"/>
        <v>y</v>
      </c>
      <c r="HMB1" s="154" t="str">
        <f t="shared" si="89"/>
        <v>y</v>
      </c>
      <c r="HMC1" s="154" t="str">
        <f t="shared" si="89"/>
        <v>y</v>
      </c>
      <c r="HMD1" s="154" t="str">
        <f t="shared" si="89"/>
        <v>y</v>
      </c>
      <c r="HME1" s="154" t="str">
        <f t="shared" si="89"/>
        <v>y</v>
      </c>
      <c r="HMF1" s="154" t="str">
        <f t="shared" si="89"/>
        <v>y</v>
      </c>
      <c r="HMG1" s="154" t="str">
        <f t="shared" si="89"/>
        <v>y</v>
      </c>
      <c r="HMH1" s="154" t="str">
        <f t="shared" si="89"/>
        <v>y</v>
      </c>
      <c r="HMI1" s="154" t="str">
        <f t="shared" si="89"/>
        <v>y</v>
      </c>
      <c r="HMJ1" s="154" t="str">
        <f t="shared" si="89"/>
        <v>y</v>
      </c>
      <c r="HMK1" s="154" t="str">
        <f t="shared" si="89"/>
        <v>y</v>
      </c>
      <c r="HML1" s="154" t="str">
        <f t="shared" si="89"/>
        <v>y</v>
      </c>
      <c r="HMM1" s="154" t="str">
        <f t="shared" si="89"/>
        <v>y</v>
      </c>
      <c r="HMN1" s="154" t="str">
        <f t="shared" si="89"/>
        <v>y</v>
      </c>
      <c r="HMO1" s="154" t="str">
        <f t="shared" si="89"/>
        <v>y</v>
      </c>
      <c r="HMP1" s="154" t="str">
        <f t="shared" si="89"/>
        <v>y</v>
      </c>
      <c r="HMQ1" s="154" t="str">
        <f t="shared" si="89"/>
        <v>y</v>
      </c>
      <c r="HMR1" s="154" t="str">
        <f t="shared" ref="HMR1:HPC1" si="90">HMR2&amp;"y"</f>
        <v>y</v>
      </c>
      <c r="HMS1" s="154" t="str">
        <f t="shared" si="90"/>
        <v>y</v>
      </c>
      <c r="HMT1" s="154" t="str">
        <f t="shared" si="90"/>
        <v>y</v>
      </c>
      <c r="HMU1" s="154" t="str">
        <f t="shared" si="90"/>
        <v>y</v>
      </c>
      <c r="HMV1" s="154" t="str">
        <f t="shared" si="90"/>
        <v>y</v>
      </c>
      <c r="HMW1" s="154" t="str">
        <f t="shared" si="90"/>
        <v>y</v>
      </c>
      <c r="HMX1" s="154" t="str">
        <f t="shared" si="90"/>
        <v>y</v>
      </c>
      <c r="HMY1" s="154" t="str">
        <f t="shared" si="90"/>
        <v>y</v>
      </c>
      <c r="HMZ1" s="154" t="str">
        <f t="shared" si="90"/>
        <v>y</v>
      </c>
      <c r="HNA1" s="154" t="str">
        <f t="shared" si="90"/>
        <v>y</v>
      </c>
      <c r="HNB1" s="154" t="str">
        <f t="shared" si="90"/>
        <v>y</v>
      </c>
      <c r="HNC1" s="154" t="str">
        <f t="shared" si="90"/>
        <v>y</v>
      </c>
      <c r="HND1" s="154" t="str">
        <f t="shared" si="90"/>
        <v>y</v>
      </c>
      <c r="HNE1" s="154" t="str">
        <f t="shared" si="90"/>
        <v>y</v>
      </c>
      <c r="HNF1" s="154" t="str">
        <f t="shared" si="90"/>
        <v>y</v>
      </c>
      <c r="HNG1" s="154" t="str">
        <f t="shared" si="90"/>
        <v>y</v>
      </c>
      <c r="HNH1" s="154" t="str">
        <f t="shared" si="90"/>
        <v>y</v>
      </c>
      <c r="HNI1" s="154" t="str">
        <f t="shared" si="90"/>
        <v>y</v>
      </c>
      <c r="HNJ1" s="154" t="str">
        <f t="shared" si="90"/>
        <v>y</v>
      </c>
      <c r="HNK1" s="154" t="str">
        <f t="shared" si="90"/>
        <v>y</v>
      </c>
      <c r="HNL1" s="154" t="str">
        <f t="shared" si="90"/>
        <v>y</v>
      </c>
      <c r="HNM1" s="154" t="str">
        <f t="shared" si="90"/>
        <v>y</v>
      </c>
      <c r="HNN1" s="154" t="str">
        <f t="shared" si="90"/>
        <v>y</v>
      </c>
      <c r="HNO1" s="154" t="str">
        <f t="shared" si="90"/>
        <v>y</v>
      </c>
      <c r="HNP1" s="154" t="str">
        <f t="shared" si="90"/>
        <v>y</v>
      </c>
      <c r="HNQ1" s="154" t="str">
        <f t="shared" si="90"/>
        <v>y</v>
      </c>
      <c r="HNR1" s="154" t="str">
        <f t="shared" si="90"/>
        <v>y</v>
      </c>
      <c r="HNS1" s="154" t="str">
        <f t="shared" si="90"/>
        <v>y</v>
      </c>
      <c r="HNT1" s="154" t="str">
        <f t="shared" si="90"/>
        <v>y</v>
      </c>
      <c r="HNU1" s="154" t="str">
        <f t="shared" si="90"/>
        <v>y</v>
      </c>
      <c r="HNV1" s="154" t="str">
        <f t="shared" si="90"/>
        <v>y</v>
      </c>
      <c r="HNW1" s="154" t="str">
        <f t="shared" si="90"/>
        <v>y</v>
      </c>
      <c r="HNX1" s="154" t="str">
        <f t="shared" si="90"/>
        <v>y</v>
      </c>
      <c r="HNY1" s="154" t="str">
        <f t="shared" si="90"/>
        <v>y</v>
      </c>
      <c r="HNZ1" s="154" t="str">
        <f t="shared" si="90"/>
        <v>y</v>
      </c>
      <c r="HOA1" s="154" t="str">
        <f t="shared" si="90"/>
        <v>y</v>
      </c>
      <c r="HOB1" s="154" t="str">
        <f t="shared" si="90"/>
        <v>y</v>
      </c>
      <c r="HOC1" s="154" t="str">
        <f t="shared" si="90"/>
        <v>y</v>
      </c>
      <c r="HOD1" s="154" t="str">
        <f t="shared" si="90"/>
        <v>y</v>
      </c>
      <c r="HOE1" s="154" t="str">
        <f t="shared" si="90"/>
        <v>y</v>
      </c>
      <c r="HOF1" s="154" t="str">
        <f t="shared" si="90"/>
        <v>y</v>
      </c>
      <c r="HOG1" s="154" t="str">
        <f t="shared" si="90"/>
        <v>y</v>
      </c>
      <c r="HOH1" s="154" t="str">
        <f t="shared" si="90"/>
        <v>y</v>
      </c>
      <c r="HOI1" s="154" t="str">
        <f t="shared" si="90"/>
        <v>y</v>
      </c>
      <c r="HOJ1" s="154" t="str">
        <f t="shared" si="90"/>
        <v>y</v>
      </c>
      <c r="HOK1" s="154" t="str">
        <f t="shared" si="90"/>
        <v>y</v>
      </c>
      <c r="HOL1" s="154" t="str">
        <f t="shared" si="90"/>
        <v>y</v>
      </c>
      <c r="HOM1" s="154" t="str">
        <f t="shared" si="90"/>
        <v>y</v>
      </c>
      <c r="HON1" s="154" t="str">
        <f t="shared" si="90"/>
        <v>y</v>
      </c>
      <c r="HOO1" s="154" t="str">
        <f t="shared" si="90"/>
        <v>y</v>
      </c>
      <c r="HOP1" s="154" t="str">
        <f t="shared" si="90"/>
        <v>y</v>
      </c>
      <c r="HOQ1" s="154" t="str">
        <f t="shared" si="90"/>
        <v>y</v>
      </c>
      <c r="HOR1" s="154" t="str">
        <f t="shared" si="90"/>
        <v>y</v>
      </c>
      <c r="HOS1" s="154" t="str">
        <f t="shared" si="90"/>
        <v>y</v>
      </c>
      <c r="HOT1" s="154" t="str">
        <f t="shared" si="90"/>
        <v>y</v>
      </c>
      <c r="HOU1" s="154" t="str">
        <f t="shared" si="90"/>
        <v>y</v>
      </c>
      <c r="HOV1" s="154" t="str">
        <f t="shared" si="90"/>
        <v>y</v>
      </c>
      <c r="HOW1" s="154" t="str">
        <f t="shared" si="90"/>
        <v>y</v>
      </c>
      <c r="HOX1" s="154" t="str">
        <f t="shared" si="90"/>
        <v>y</v>
      </c>
      <c r="HOY1" s="154" t="str">
        <f t="shared" si="90"/>
        <v>y</v>
      </c>
      <c r="HOZ1" s="154" t="str">
        <f t="shared" si="90"/>
        <v>y</v>
      </c>
      <c r="HPA1" s="154" t="str">
        <f t="shared" si="90"/>
        <v>y</v>
      </c>
      <c r="HPB1" s="154" t="str">
        <f t="shared" si="90"/>
        <v>y</v>
      </c>
      <c r="HPC1" s="154" t="str">
        <f t="shared" si="90"/>
        <v>y</v>
      </c>
      <c r="HPD1" s="154" t="str">
        <f t="shared" ref="HPD1:HRO1" si="91">HPD2&amp;"y"</f>
        <v>y</v>
      </c>
      <c r="HPE1" s="154" t="str">
        <f t="shared" si="91"/>
        <v>y</v>
      </c>
      <c r="HPF1" s="154" t="str">
        <f t="shared" si="91"/>
        <v>y</v>
      </c>
      <c r="HPG1" s="154" t="str">
        <f t="shared" si="91"/>
        <v>y</v>
      </c>
      <c r="HPH1" s="154" t="str">
        <f t="shared" si="91"/>
        <v>y</v>
      </c>
      <c r="HPI1" s="154" t="str">
        <f t="shared" si="91"/>
        <v>y</v>
      </c>
      <c r="HPJ1" s="154" t="str">
        <f t="shared" si="91"/>
        <v>y</v>
      </c>
      <c r="HPK1" s="154" t="str">
        <f t="shared" si="91"/>
        <v>y</v>
      </c>
      <c r="HPL1" s="154" t="str">
        <f t="shared" si="91"/>
        <v>y</v>
      </c>
      <c r="HPM1" s="154" t="str">
        <f t="shared" si="91"/>
        <v>y</v>
      </c>
      <c r="HPN1" s="154" t="str">
        <f t="shared" si="91"/>
        <v>y</v>
      </c>
      <c r="HPO1" s="154" t="str">
        <f t="shared" si="91"/>
        <v>y</v>
      </c>
      <c r="HPP1" s="154" t="str">
        <f t="shared" si="91"/>
        <v>y</v>
      </c>
      <c r="HPQ1" s="154" t="str">
        <f t="shared" si="91"/>
        <v>y</v>
      </c>
      <c r="HPR1" s="154" t="str">
        <f t="shared" si="91"/>
        <v>y</v>
      </c>
      <c r="HPS1" s="154" t="str">
        <f t="shared" si="91"/>
        <v>y</v>
      </c>
      <c r="HPT1" s="154" t="str">
        <f t="shared" si="91"/>
        <v>y</v>
      </c>
      <c r="HPU1" s="154" t="str">
        <f t="shared" si="91"/>
        <v>y</v>
      </c>
      <c r="HPV1" s="154" t="str">
        <f t="shared" si="91"/>
        <v>y</v>
      </c>
      <c r="HPW1" s="154" t="str">
        <f t="shared" si="91"/>
        <v>y</v>
      </c>
      <c r="HPX1" s="154" t="str">
        <f t="shared" si="91"/>
        <v>y</v>
      </c>
      <c r="HPY1" s="154" t="str">
        <f t="shared" si="91"/>
        <v>y</v>
      </c>
      <c r="HPZ1" s="154" t="str">
        <f t="shared" si="91"/>
        <v>y</v>
      </c>
      <c r="HQA1" s="154" t="str">
        <f t="shared" si="91"/>
        <v>y</v>
      </c>
      <c r="HQB1" s="154" t="str">
        <f t="shared" si="91"/>
        <v>y</v>
      </c>
      <c r="HQC1" s="154" t="str">
        <f t="shared" si="91"/>
        <v>y</v>
      </c>
      <c r="HQD1" s="154" t="str">
        <f t="shared" si="91"/>
        <v>y</v>
      </c>
      <c r="HQE1" s="154" t="str">
        <f t="shared" si="91"/>
        <v>y</v>
      </c>
      <c r="HQF1" s="154" t="str">
        <f t="shared" si="91"/>
        <v>y</v>
      </c>
      <c r="HQG1" s="154" t="str">
        <f t="shared" si="91"/>
        <v>y</v>
      </c>
      <c r="HQH1" s="154" t="str">
        <f t="shared" si="91"/>
        <v>y</v>
      </c>
      <c r="HQI1" s="154" t="str">
        <f t="shared" si="91"/>
        <v>y</v>
      </c>
      <c r="HQJ1" s="154" t="str">
        <f t="shared" si="91"/>
        <v>y</v>
      </c>
      <c r="HQK1" s="154" t="str">
        <f t="shared" si="91"/>
        <v>y</v>
      </c>
      <c r="HQL1" s="154" t="str">
        <f t="shared" si="91"/>
        <v>y</v>
      </c>
      <c r="HQM1" s="154" t="str">
        <f t="shared" si="91"/>
        <v>y</v>
      </c>
      <c r="HQN1" s="154" t="str">
        <f t="shared" si="91"/>
        <v>y</v>
      </c>
      <c r="HQO1" s="154" t="str">
        <f t="shared" si="91"/>
        <v>y</v>
      </c>
      <c r="HQP1" s="154" t="str">
        <f t="shared" si="91"/>
        <v>y</v>
      </c>
      <c r="HQQ1" s="154" t="str">
        <f t="shared" si="91"/>
        <v>y</v>
      </c>
      <c r="HQR1" s="154" t="str">
        <f t="shared" si="91"/>
        <v>y</v>
      </c>
      <c r="HQS1" s="154" t="str">
        <f t="shared" si="91"/>
        <v>y</v>
      </c>
      <c r="HQT1" s="154" t="str">
        <f t="shared" si="91"/>
        <v>y</v>
      </c>
      <c r="HQU1" s="154" t="str">
        <f t="shared" si="91"/>
        <v>y</v>
      </c>
      <c r="HQV1" s="154" t="str">
        <f t="shared" si="91"/>
        <v>y</v>
      </c>
      <c r="HQW1" s="154" t="str">
        <f t="shared" si="91"/>
        <v>y</v>
      </c>
      <c r="HQX1" s="154" t="str">
        <f t="shared" si="91"/>
        <v>y</v>
      </c>
      <c r="HQY1" s="154" t="str">
        <f t="shared" si="91"/>
        <v>y</v>
      </c>
      <c r="HQZ1" s="154" t="str">
        <f t="shared" si="91"/>
        <v>y</v>
      </c>
      <c r="HRA1" s="154" t="str">
        <f t="shared" si="91"/>
        <v>y</v>
      </c>
      <c r="HRB1" s="154" t="str">
        <f t="shared" si="91"/>
        <v>y</v>
      </c>
      <c r="HRC1" s="154" t="str">
        <f t="shared" si="91"/>
        <v>y</v>
      </c>
      <c r="HRD1" s="154" t="str">
        <f t="shared" si="91"/>
        <v>y</v>
      </c>
      <c r="HRE1" s="154" t="str">
        <f t="shared" si="91"/>
        <v>y</v>
      </c>
      <c r="HRF1" s="154" t="str">
        <f t="shared" si="91"/>
        <v>y</v>
      </c>
      <c r="HRG1" s="154" t="str">
        <f t="shared" si="91"/>
        <v>y</v>
      </c>
      <c r="HRH1" s="154" t="str">
        <f t="shared" si="91"/>
        <v>y</v>
      </c>
      <c r="HRI1" s="154" t="str">
        <f t="shared" si="91"/>
        <v>y</v>
      </c>
      <c r="HRJ1" s="154" t="str">
        <f t="shared" si="91"/>
        <v>y</v>
      </c>
      <c r="HRK1" s="154" t="str">
        <f t="shared" si="91"/>
        <v>y</v>
      </c>
      <c r="HRL1" s="154" t="str">
        <f t="shared" si="91"/>
        <v>y</v>
      </c>
      <c r="HRM1" s="154" t="str">
        <f t="shared" si="91"/>
        <v>y</v>
      </c>
      <c r="HRN1" s="154" t="str">
        <f t="shared" si="91"/>
        <v>y</v>
      </c>
      <c r="HRO1" s="154" t="str">
        <f t="shared" si="91"/>
        <v>y</v>
      </c>
      <c r="HRP1" s="154" t="str">
        <f t="shared" ref="HRP1:HUA1" si="92">HRP2&amp;"y"</f>
        <v>y</v>
      </c>
      <c r="HRQ1" s="154" t="str">
        <f t="shared" si="92"/>
        <v>y</v>
      </c>
      <c r="HRR1" s="154" t="str">
        <f t="shared" si="92"/>
        <v>y</v>
      </c>
      <c r="HRS1" s="154" t="str">
        <f t="shared" si="92"/>
        <v>y</v>
      </c>
      <c r="HRT1" s="154" t="str">
        <f t="shared" si="92"/>
        <v>y</v>
      </c>
      <c r="HRU1" s="154" t="str">
        <f t="shared" si="92"/>
        <v>y</v>
      </c>
      <c r="HRV1" s="154" t="str">
        <f t="shared" si="92"/>
        <v>y</v>
      </c>
      <c r="HRW1" s="154" t="str">
        <f t="shared" si="92"/>
        <v>y</v>
      </c>
      <c r="HRX1" s="154" t="str">
        <f t="shared" si="92"/>
        <v>y</v>
      </c>
      <c r="HRY1" s="154" t="str">
        <f t="shared" si="92"/>
        <v>y</v>
      </c>
      <c r="HRZ1" s="154" t="str">
        <f t="shared" si="92"/>
        <v>y</v>
      </c>
      <c r="HSA1" s="154" t="str">
        <f t="shared" si="92"/>
        <v>y</v>
      </c>
      <c r="HSB1" s="154" t="str">
        <f t="shared" si="92"/>
        <v>y</v>
      </c>
      <c r="HSC1" s="154" t="str">
        <f t="shared" si="92"/>
        <v>y</v>
      </c>
      <c r="HSD1" s="154" t="str">
        <f t="shared" si="92"/>
        <v>y</v>
      </c>
      <c r="HSE1" s="154" t="str">
        <f t="shared" si="92"/>
        <v>y</v>
      </c>
      <c r="HSF1" s="154" t="str">
        <f t="shared" si="92"/>
        <v>y</v>
      </c>
      <c r="HSG1" s="154" t="str">
        <f t="shared" si="92"/>
        <v>y</v>
      </c>
      <c r="HSH1" s="154" t="str">
        <f t="shared" si="92"/>
        <v>y</v>
      </c>
      <c r="HSI1" s="154" t="str">
        <f t="shared" si="92"/>
        <v>y</v>
      </c>
      <c r="HSJ1" s="154" t="str">
        <f t="shared" si="92"/>
        <v>y</v>
      </c>
      <c r="HSK1" s="154" t="str">
        <f t="shared" si="92"/>
        <v>y</v>
      </c>
      <c r="HSL1" s="154" t="str">
        <f t="shared" si="92"/>
        <v>y</v>
      </c>
      <c r="HSM1" s="154" t="str">
        <f t="shared" si="92"/>
        <v>y</v>
      </c>
      <c r="HSN1" s="154" t="str">
        <f t="shared" si="92"/>
        <v>y</v>
      </c>
      <c r="HSO1" s="154" t="str">
        <f t="shared" si="92"/>
        <v>y</v>
      </c>
      <c r="HSP1" s="154" t="str">
        <f t="shared" si="92"/>
        <v>y</v>
      </c>
      <c r="HSQ1" s="154" t="str">
        <f t="shared" si="92"/>
        <v>y</v>
      </c>
      <c r="HSR1" s="154" t="str">
        <f t="shared" si="92"/>
        <v>y</v>
      </c>
      <c r="HSS1" s="154" t="str">
        <f t="shared" si="92"/>
        <v>y</v>
      </c>
      <c r="HST1" s="154" t="str">
        <f t="shared" si="92"/>
        <v>y</v>
      </c>
      <c r="HSU1" s="154" t="str">
        <f t="shared" si="92"/>
        <v>y</v>
      </c>
      <c r="HSV1" s="154" t="str">
        <f t="shared" si="92"/>
        <v>y</v>
      </c>
      <c r="HSW1" s="154" t="str">
        <f t="shared" si="92"/>
        <v>y</v>
      </c>
      <c r="HSX1" s="154" t="str">
        <f t="shared" si="92"/>
        <v>y</v>
      </c>
      <c r="HSY1" s="154" t="str">
        <f t="shared" si="92"/>
        <v>y</v>
      </c>
      <c r="HSZ1" s="154" t="str">
        <f t="shared" si="92"/>
        <v>y</v>
      </c>
      <c r="HTA1" s="154" t="str">
        <f t="shared" si="92"/>
        <v>y</v>
      </c>
      <c r="HTB1" s="154" t="str">
        <f t="shared" si="92"/>
        <v>y</v>
      </c>
      <c r="HTC1" s="154" t="str">
        <f t="shared" si="92"/>
        <v>y</v>
      </c>
      <c r="HTD1" s="154" t="str">
        <f t="shared" si="92"/>
        <v>y</v>
      </c>
      <c r="HTE1" s="154" t="str">
        <f t="shared" si="92"/>
        <v>y</v>
      </c>
      <c r="HTF1" s="154" t="str">
        <f t="shared" si="92"/>
        <v>y</v>
      </c>
      <c r="HTG1" s="154" t="str">
        <f t="shared" si="92"/>
        <v>y</v>
      </c>
      <c r="HTH1" s="154" t="str">
        <f t="shared" si="92"/>
        <v>y</v>
      </c>
      <c r="HTI1" s="154" t="str">
        <f t="shared" si="92"/>
        <v>y</v>
      </c>
      <c r="HTJ1" s="154" t="str">
        <f t="shared" si="92"/>
        <v>y</v>
      </c>
      <c r="HTK1" s="154" t="str">
        <f t="shared" si="92"/>
        <v>y</v>
      </c>
      <c r="HTL1" s="154" t="str">
        <f t="shared" si="92"/>
        <v>y</v>
      </c>
      <c r="HTM1" s="154" t="str">
        <f t="shared" si="92"/>
        <v>y</v>
      </c>
      <c r="HTN1" s="154" t="str">
        <f t="shared" si="92"/>
        <v>y</v>
      </c>
      <c r="HTO1" s="154" t="str">
        <f t="shared" si="92"/>
        <v>y</v>
      </c>
      <c r="HTP1" s="154" t="str">
        <f t="shared" si="92"/>
        <v>y</v>
      </c>
      <c r="HTQ1" s="154" t="str">
        <f t="shared" si="92"/>
        <v>y</v>
      </c>
      <c r="HTR1" s="154" t="str">
        <f t="shared" si="92"/>
        <v>y</v>
      </c>
      <c r="HTS1" s="154" t="str">
        <f t="shared" si="92"/>
        <v>y</v>
      </c>
      <c r="HTT1" s="154" t="str">
        <f t="shared" si="92"/>
        <v>y</v>
      </c>
      <c r="HTU1" s="154" t="str">
        <f t="shared" si="92"/>
        <v>y</v>
      </c>
      <c r="HTV1" s="154" t="str">
        <f t="shared" si="92"/>
        <v>y</v>
      </c>
      <c r="HTW1" s="154" t="str">
        <f t="shared" si="92"/>
        <v>y</v>
      </c>
      <c r="HTX1" s="154" t="str">
        <f t="shared" si="92"/>
        <v>y</v>
      </c>
      <c r="HTY1" s="154" t="str">
        <f t="shared" si="92"/>
        <v>y</v>
      </c>
      <c r="HTZ1" s="154" t="str">
        <f t="shared" si="92"/>
        <v>y</v>
      </c>
      <c r="HUA1" s="154" t="str">
        <f t="shared" si="92"/>
        <v>y</v>
      </c>
      <c r="HUB1" s="154" t="str">
        <f t="shared" ref="HUB1:HWM1" si="93">HUB2&amp;"y"</f>
        <v>y</v>
      </c>
      <c r="HUC1" s="154" t="str">
        <f t="shared" si="93"/>
        <v>y</v>
      </c>
      <c r="HUD1" s="154" t="str">
        <f t="shared" si="93"/>
        <v>y</v>
      </c>
      <c r="HUE1" s="154" t="str">
        <f t="shared" si="93"/>
        <v>y</v>
      </c>
      <c r="HUF1" s="154" t="str">
        <f t="shared" si="93"/>
        <v>y</v>
      </c>
      <c r="HUG1" s="154" t="str">
        <f t="shared" si="93"/>
        <v>y</v>
      </c>
      <c r="HUH1" s="154" t="str">
        <f t="shared" si="93"/>
        <v>y</v>
      </c>
      <c r="HUI1" s="154" t="str">
        <f t="shared" si="93"/>
        <v>y</v>
      </c>
      <c r="HUJ1" s="154" t="str">
        <f t="shared" si="93"/>
        <v>y</v>
      </c>
      <c r="HUK1" s="154" t="str">
        <f t="shared" si="93"/>
        <v>y</v>
      </c>
      <c r="HUL1" s="154" t="str">
        <f t="shared" si="93"/>
        <v>y</v>
      </c>
      <c r="HUM1" s="154" t="str">
        <f t="shared" si="93"/>
        <v>y</v>
      </c>
      <c r="HUN1" s="154" t="str">
        <f t="shared" si="93"/>
        <v>y</v>
      </c>
      <c r="HUO1" s="154" t="str">
        <f t="shared" si="93"/>
        <v>y</v>
      </c>
      <c r="HUP1" s="154" t="str">
        <f t="shared" si="93"/>
        <v>y</v>
      </c>
      <c r="HUQ1" s="154" t="str">
        <f t="shared" si="93"/>
        <v>y</v>
      </c>
      <c r="HUR1" s="154" t="str">
        <f t="shared" si="93"/>
        <v>y</v>
      </c>
      <c r="HUS1" s="154" t="str">
        <f t="shared" si="93"/>
        <v>y</v>
      </c>
      <c r="HUT1" s="154" t="str">
        <f t="shared" si="93"/>
        <v>y</v>
      </c>
      <c r="HUU1" s="154" t="str">
        <f t="shared" si="93"/>
        <v>y</v>
      </c>
      <c r="HUV1" s="154" t="str">
        <f t="shared" si="93"/>
        <v>y</v>
      </c>
      <c r="HUW1" s="154" t="str">
        <f t="shared" si="93"/>
        <v>y</v>
      </c>
      <c r="HUX1" s="154" t="str">
        <f t="shared" si="93"/>
        <v>y</v>
      </c>
      <c r="HUY1" s="154" t="str">
        <f t="shared" si="93"/>
        <v>y</v>
      </c>
      <c r="HUZ1" s="154" t="str">
        <f t="shared" si="93"/>
        <v>y</v>
      </c>
      <c r="HVA1" s="154" t="str">
        <f t="shared" si="93"/>
        <v>y</v>
      </c>
      <c r="HVB1" s="154" t="str">
        <f t="shared" si="93"/>
        <v>y</v>
      </c>
      <c r="HVC1" s="154" t="str">
        <f t="shared" si="93"/>
        <v>y</v>
      </c>
      <c r="HVD1" s="154" t="str">
        <f t="shared" si="93"/>
        <v>y</v>
      </c>
      <c r="HVE1" s="154" t="str">
        <f t="shared" si="93"/>
        <v>y</v>
      </c>
      <c r="HVF1" s="154" t="str">
        <f t="shared" si="93"/>
        <v>y</v>
      </c>
      <c r="HVG1" s="154" t="str">
        <f t="shared" si="93"/>
        <v>y</v>
      </c>
      <c r="HVH1" s="154" t="str">
        <f t="shared" si="93"/>
        <v>y</v>
      </c>
      <c r="HVI1" s="154" t="str">
        <f t="shared" si="93"/>
        <v>y</v>
      </c>
      <c r="HVJ1" s="154" t="str">
        <f t="shared" si="93"/>
        <v>y</v>
      </c>
      <c r="HVK1" s="154" t="str">
        <f t="shared" si="93"/>
        <v>y</v>
      </c>
      <c r="HVL1" s="154" t="str">
        <f t="shared" si="93"/>
        <v>y</v>
      </c>
      <c r="HVM1" s="154" t="str">
        <f t="shared" si="93"/>
        <v>y</v>
      </c>
      <c r="HVN1" s="154" t="str">
        <f t="shared" si="93"/>
        <v>y</v>
      </c>
      <c r="HVO1" s="154" t="str">
        <f t="shared" si="93"/>
        <v>y</v>
      </c>
      <c r="HVP1" s="154" t="str">
        <f t="shared" si="93"/>
        <v>y</v>
      </c>
      <c r="HVQ1" s="154" t="str">
        <f t="shared" si="93"/>
        <v>y</v>
      </c>
      <c r="HVR1" s="154" t="str">
        <f t="shared" si="93"/>
        <v>y</v>
      </c>
      <c r="HVS1" s="154" t="str">
        <f t="shared" si="93"/>
        <v>y</v>
      </c>
      <c r="HVT1" s="154" t="str">
        <f t="shared" si="93"/>
        <v>y</v>
      </c>
      <c r="HVU1" s="154" t="str">
        <f t="shared" si="93"/>
        <v>y</v>
      </c>
      <c r="HVV1" s="154" t="str">
        <f t="shared" si="93"/>
        <v>y</v>
      </c>
      <c r="HVW1" s="154" t="str">
        <f t="shared" si="93"/>
        <v>y</v>
      </c>
      <c r="HVX1" s="154" t="str">
        <f t="shared" si="93"/>
        <v>y</v>
      </c>
      <c r="HVY1" s="154" t="str">
        <f t="shared" si="93"/>
        <v>y</v>
      </c>
      <c r="HVZ1" s="154" t="str">
        <f t="shared" si="93"/>
        <v>y</v>
      </c>
      <c r="HWA1" s="154" t="str">
        <f t="shared" si="93"/>
        <v>y</v>
      </c>
      <c r="HWB1" s="154" t="str">
        <f t="shared" si="93"/>
        <v>y</v>
      </c>
      <c r="HWC1" s="154" t="str">
        <f t="shared" si="93"/>
        <v>y</v>
      </c>
      <c r="HWD1" s="154" t="str">
        <f t="shared" si="93"/>
        <v>y</v>
      </c>
      <c r="HWE1" s="154" t="str">
        <f t="shared" si="93"/>
        <v>y</v>
      </c>
      <c r="HWF1" s="154" t="str">
        <f t="shared" si="93"/>
        <v>y</v>
      </c>
      <c r="HWG1" s="154" t="str">
        <f t="shared" si="93"/>
        <v>y</v>
      </c>
      <c r="HWH1" s="154" t="str">
        <f t="shared" si="93"/>
        <v>y</v>
      </c>
      <c r="HWI1" s="154" t="str">
        <f t="shared" si="93"/>
        <v>y</v>
      </c>
      <c r="HWJ1" s="154" t="str">
        <f t="shared" si="93"/>
        <v>y</v>
      </c>
      <c r="HWK1" s="154" t="str">
        <f t="shared" si="93"/>
        <v>y</v>
      </c>
      <c r="HWL1" s="154" t="str">
        <f t="shared" si="93"/>
        <v>y</v>
      </c>
      <c r="HWM1" s="154" t="str">
        <f t="shared" si="93"/>
        <v>y</v>
      </c>
      <c r="HWN1" s="154" t="str">
        <f t="shared" ref="HWN1:HYY1" si="94">HWN2&amp;"y"</f>
        <v>y</v>
      </c>
      <c r="HWO1" s="154" t="str">
        <f t="shared" si="94"/>
        <v>y</v>
      </c>
      <c r="HWP1" s="154" t="str">
        <f t="shared" si="94"/>
        <v>y</v>
      </c>
      <c r="HWQ1" s="154" t="str">
        <f t="shared" si="94"/>
        <v>y</v>
      </c>
      <c r="HWR1" s="154" t="str">
        <f t="shared" si="94"/>
        <v>y</v>
      </c>
      <c r="HWS1" s="154" t="str">
        <f t="shared" si="94"/>
        <v>y</v>
      </c>
      <c r="HWT1" s="154" t="str">
        <f t="shared" si="94"/>
        <v>y</v>
      </c>
      <c r="HWU1" s="154" t="str">
        <f t="shared" si="94"/>
        <v>y</v>
      </c>
      <c r="HWV1" s="154" t="str">
        <f t="shared" si="94"/>
        <v>y</v>
      </c>
      <c r="HWW1" s="154" t="str">
        <f t="shared" si="94"/>
        <v>y</v>
      </c>
      <c r="HWX1" s="154" t="str">
        <f t="shared" si="94"/>
        <v>y</v>
      </c>
      <c r="HWY1" s="154" t="str">
        <f t="shared" si="94"/>
        <v>y</v>
      </c>
      <c r="HWZ1" s="154" t="str">
        <f t="shared" si="94"/>
        <v>y</v>
      </c>
      <c r="HXA1" s="154" t="str">
        <f t="shared" si="94"/>
        <v>y</v>
      </c>
      <c r="HXB1" s="154" t="str">
        <f t="shared" si="94"/>
        <v>y</v>
      </c>
      <c r="HXC1" s="154" t="str">
        <f t="shared" si="94"/>
        <v>y</v>
      </c>
      <c r="HXD1" s="154" t="str">
        <f t="shared" si="94"/>
        <v>y</v>
      </c>
      <c r="HXE1" s="154" t="str">
        <f t="shared" si="94"/>
        <v>y</v>
      </c>
      <c r="HXF1" s="154" t="str">
        <f t="shared" si="94"/>
        <v>y</v>
      </c>
      <c r="HXG1" s="154" t="str">
        <f t="shared" si="94"/>
        <v>y</v>
      </c>
      <c r="HXH1" s="154" t="str">
        <f t="shared" si="94"/>
        <v>y</v>
      </c>
      <c r="HXI1" s="154" t="str">
        <f t="shared" si="94"/>
        <v>y</v>
      </c>
      <c r="HXJ1" s="154" t="str">
        <f t="shared" si="94"/>
        <v>y</v>
      </c>
      <c r="HXK1" s="154" t="str">
        <f t="shared" si="94"/>
        <v>y</v>
      </c>
      <c r="HXL1" s="154" t="str">
        <f t="shared" si="94"/>
        <v>y</v>
      </c>
      <c r="HXM1" s="154" t="str">
        <f t="shared" si="94"/>
        <v>y</v>
      </c>
      <c r="HXN1" s="154" t="str">
        <f t="shared" si="94"/>
        <v>y</v>
      </c>
      <c r="HXO1" s="154" t="str">
        <f t="shared" si="94"/>
        <v>y</v>
      </c>
      <c r="HXP1" s="154" t="str">
        <f t="shared" si="94"/>
        <v>y</v>
      </c>
      <c r="HXQ1" s="154" t="str">
        <f t="shared" si="94"/>
        <v>y</v>
      </c>
      <c r="HXR1" s="154" t="str">
        <f t="shared" si="94"/>
        <v>y</v>
      </c>
      <c r="HXS1" s="154" t="str">
        <f t="shared" si="94"/>
        <v>y</v>
      </c>
      <c r="HXT1" s="154" t="str">
        <f t="shared" si="94"/>
        <v>y</v>
      </c>
      <c r="HXU1" s="154" t="str">
        <f t="shared" si="94"/>
        <v>y</v>
      </c>
      <c r="HXV1" s="154" t="str">
        <f t="shared" si="94"/>
        <v>y</v>
      </c>
      <c r="HXW1" s="154" t="str">
        <f t="shared" si="94"/>
        <v>y</v>
      </c>
      <c r="HXX1" s="154" t="str">
        <f t="shared" si="94"/>
        <v>y</v>
      </c>
      <c r="HXY1" s="154" t="str">
        <f t="shared" si="94"/>
        <v>y</v>
      </c>
      <c r="HXZ1" s="154" t="str">
        <f t="shared" si="94"/>
        <v>y</v>
      </c>
      <c r="HYA1" s="154" t="str">
        <f t="shared" si="94"/>
        <v>y</v>
      </c>
      <c r="HYB1" s="154" t="str">
        <f t="shared" si="94"/>
        <v>y</v>
      </c>
      <c r="HYC1" s="154" t="str">
        <f t="shared" si="94"/>
        <v>y</v>
      </c>
      <c r="HYD1" s="154" t="str">
        <f t="shared" si="94"/>
        <v>y</v>
      </c>
      <c r="HYE1" s="154" t="str">
        <f t="shared" si="94"/>
        <v>y</v>
      </c>
      <c r="HYF1" s="154" t="str">
        <f t="shared" si="94"/>
        <v>y</v>
      </c>
      <c r="HYG1" s="154" t="str">
        <f t="shared" si="94"/>
        <v>y</v>
      </c>
      <c r="HYH1" s="154" t="str">
        <f t="shared" si="94"/>
        <v>y</v>
      </c>
      <c r="HYI1" s="154" t="str">
        <f t="shared" si="94"/>
        <v>y</v>
      </c>
      <c r="HYJ1" s="154" t="str">
        <f t="shared" si="94"/>
        <v>y</v>
      </c>
      <c r="HYK1" s="154" t="str">
        <f t="shared" si="94"/>
        <v>y</v>
      </c>
      <c r="HYL1" s="154" t="str">
        <f t="shared" si="94"/>
        <v>y</v>
      </c>
      <c r="HYM1" s="154" t="str">
        <f t="shared" si="94"/>
        <v>y</v>
      </c>
      <c r="HYN1" s="154" t="str">
        <f t="shared" si="94"/>
        <v>y</v>
      </c>
      <c r="HYO1" s="154" t="str">
        <f t="shared" si="94"/>
        <v>y</v>
      </c>
      <c r="HYP1" s="154" t="str">
        <f t="shared" si="94"/>
        <v>y</v>
      </c>
      <c r="HYQ1" s="154" t="str">
        <f t="shared" si="94"/>
        <v>y</v>
      </c>
      <c r="HYR1" s="154" t="str">
        <f t="shared" si="94"/>
        <v>y</v>
      </c>
      <c r="HYS1" s="154" t="str">
        <f t="shared" si="94"/>
        <v>y</v>
      </c>
      <c r="HYT1" s="154" t="str">
        <f t="shared" si="94"/>
        <v>y</v>
      </c>
      <c r="HYU1" s="154" t="str">
        <f t="shared" si="94"/>
        <v>y</v>
      </c>
      <c r="HYV1" s="154" t="str">
        <f t="shared" si="94"/>
        <v>y</v>
      </c>
      <c r="HYW1" s="154" t="str">
        <f t="shared" si="94"/>
        <v>y</v>
      </c>
      <c r="HYX1" s="154" t="str">
        <f t="shared" si="94"/>
        <v>y</v>
      </c>
      <c r="HYY1" s="154" t="str">
        <f t="shared" si="94"/>
        <v>y</v>
      </c>
      <c r="HYZ1" s="154" t="str">
        <f t="shared" ref="HYZ1:IBK1" si="95">HYZ2&amp;"y"</f>
        <v>y</v>
      </c>
      <c r="HZA1" s="154" t="str">
        <f t="shared" si="95"/>
        <v>y</v>
      </c>
      <c r="HZB1" s="154" t="str">
        <f t="shared" si="95"/>
        <v>y</v>
      </c>
      <c r="HZC1" s="154" t="str">
        <f t="shared" si="95"/>
        <v>y</v>
      </c>
      <c r="HZD1" s="154" t="str">
        <f t="shared" si="95"/>
        <v>y</v>
      </c>
      <c r="HZE1" s="154" t="str">
        <f t="shared" si="95"/>
        <v>y</v>
      </c>
      <c r="HZF1" s="154" t="str">
        <f t="shared" si="95"/>
        <v>y</v>
      </c>
      <c r="HZG1" s="154" t="str">
        <f t="shared" si="95"/>
        <v>y</v>
      </c>
      <c r="HZH1" s="154" t="str">
        <f t="shared" si="95"/>
        <v>y</v>
      </c>
      <c r="HZI1" s="154" t="str">
        <f t="shared" si="95"/>
        <v>y</v>
      </c>
      <c r="HZJ1" s="154" t="str">
        <f t="shared" si="95"/>
        <v>y</v>
      </c>
      <c r="HZK1" s="154" t="str">
        <f t="shared" si="95"/>
        <v>y</v>
      </c>
      <c r="HZL1" s="154" t="str">
        <f t="shared" si="95"/>
        <v>y</v>
      </c>
      <c r="HZM1" s="154" t="str">
        <f t="shared" si="95"/>
        <v>y</v>
      </c>
      <c r="HZN1" s="154" t="str">
        <f t="shared" si="95"/>
        <v>y</v>
      </c>
      <c r="HZO1" s="154" t="str">
        <f t="shared" si="95"/>
        <v>y</v>
      </c>
      <c r="HZP1" s="154" t="str">
        <f t="shared" si="95"/>
        <v>y</v>
      </c>
      <c r="HZQ1" s="154" t="str">
        <f t="shared" si="95"/>
        <v>y</v>
      </c>
      <c r="HZR1" s="154" t="str">
        <f t="shared" si="95"/>
        <v>y</v>
      </c>
      <c r="HZS1" s="154" t="str">
        <f t="shared" si="95"/>
        <v>y</v>
      </c>
      <c r="HZT1" s="154" t="str">
        <f t="shared" si="95"/>
        <v>y</v>
      </c>
      <c r="HZU1" s="154" t="str">
        <f t="shared" si="95"/>
        <v>y</v>
      </c>
      <c r="HZV1" s="154" t="str">
        <f t="shared" si="95"/>
        <v>y</v>
      </c>
      <c r="HZW1" s="154" t="str">
        <f t="shared" si="95"/>
        <v>y</v>
      </c>
      <c r="HZX1" s="154" t="str">
        <f t="shared" si="95"/>
        <v>y</v>
      </c>
      <c r="HZY1" s="154" t="str">
        <f t="shared" si="95"/>
        <v>y</v>
      </c>
      <c r="HZZ1" s="154" t="str">
        <f t="shared" si="95"/>
        <v>y</v>
      </c>
      <c r="IAA1" s="154" t="str">
        <f t="shared" si="95"/>
        <v>y</v>
      </c>
      <c r="IAB1" s="154" t="str">
        <f t="shared" si="95"/>
        <v>y</v>
      </c>
      <c r="IAC1" s="154" t="str">
        <f t="shared" si="95"/>
        <v>y</v>
      </c>
      <c r="IAD1" s="154" t="str">
        <f t="shared" si="95"/>
        <v>y</v>
      </c>
      <c r="IAE1" s="154" t="str">
        <f t="shared" si="95"/>
        <v>y</v>
      </c>
      <c r="IAF1" s="154" t="str">
        <f t="shared" si="95"/>
        <v>y</v>
      </c>
      <c r="IAG1" s="154" t="str">
        <f t="shared" si="95"/>
        <v>y</v>
      </c>
      <c r="IAH1" s="154" t="str">
        <f t="shared" si="95"/>
        <v>y</v>
      </c>
      <c r="IAI1" s="154" t="str">
        <f t="shared" si="95"/>
        <v>y</v>
      </c>
      <c r="IAJ1" s="154" t="str">
        <f t="shared" si="95"/>
        <v>y</v>
      </c>
      <c r="IAK1" s="154" t="str">
        <f t="shared" si="95"/>
        <v>y</v>
      </c>
      <c r="IAL1" s="154" t="str">
        <f t="shared" si="95"/>
        <v>y</v>
      </c>
      <c r="IAM1" s="154" t="str">
        <f t="shared" si="95"/>
        <v>y</v>
      </c>
      <c r="IAN1" s="154" t="str">
        <f t="shared" si="95"/>
        <v>y</v>
      </c>
      <c r="IAO1" s="154" t="str">
        <f t="shared" si="95"/>
        <v>y</v>
      </c>
      <c r="IAP1" s="154" t="str">
        <f t="shared" si="95"/>
        <v>y</v>
      </c>
      <c r="IAQ1" s="154" t="str">
        <f t="shared" si="95"/>
        <v>y</v>
      </c>
      <c r="IAR1" s="154" t="str">
        <f t="shared" si="95"/>
        <v>y</v>
      </c>
      <c r="IAS1" s="154" t="str">
        <f t="shared" si="95"/>
        <v>y</v>
      </c>
      <c r="IAT1" s="154" t="str">
        <f t="shared" si="95"/>
        <v>y</v>
      </c>
      <c r="IAU1" s="154" t="str">
        <f t="shared" si="95"/>
        <v>y</v>
      </c>
      <c r="IAV1" s="154" t="str">
        <f t="shared" si="95"/>
        <v>y</v>
      </c>
      <c r="IAW1" s="154" t="str">
        <f t="shared" si="95"/>
        <v>y</v>
      </c>
      <c r="IAX1" s="154" t="str">
        <f t="shared" si="95"/>
        <v>y</v>
      </c>
      <c r="IAY1" s="154" t="str">
        <f t="shared" si="95"/>
        <v>y</v>
      </c>
      <c r="IAZ1" s="154" t="str">
        <f t="shared" si="95"/>
        <v>y</v>
      </c>
      <c r="IBA1" s="154" t="str">
        <f t="shared" si="95"/>
        <v>y</v>
      </c>
      <c r="IBB1" s="154" t="str">
        <f t="shared" si="95"/>
        <v>y</v>
      </c>
      <c r="IBC1" s="154" t="str">
        <f t="shared" si="95"/>
        <v>y</v>
      </c>
      <c r="IBD1" s="154" t="str">
        <f t="shared" si="95"/>
        <v>y</v>
      </c>
      <c r="IBE1" s="154" t="str">
        <f t="shared" si="95"/>
        <v>y</v>
      </c>
      <c r="IBF1" s="154" t="str">
        <f t="shared" si="95"/>
        <v>y</v>
      </c>
      <c r="IBG1" s="154" t="str">
        <f t="shared" si="95"/>
        <v>y</v>
      </c>
      <c r="IBH1" s="154" t="str">
        <f t="shared" si="95"/>
        <v>y</v>
      </c>
      <c r="IBI1" s="154" t="str">
        <f t="shared" si="95"/>
        <v>y</v>
      </c>
      <c r="IBJ1" s="154" t="str">
        <f t="shared" si="95"/>
        <v>y</v>
      </c>
      <c r="IBK1" s="154" t="str">
        <f t="shared" si="95"/>
        <v>y</v>
      </c>
      <c r="IBL1" s="154" t="str">
        <f t="shared" ref="IBL1:IDW1" si="96">IBL2&amp;"y"</f>
        <v>y</v>
      </c>
      <c r="IBM1" s="154" t="str">
        <f t="shared" si="96"/>
        <v>y</v>
      </c>
      <c r="IBN1" s="154" t="str">
        <f t="shared" si="96"/>
        <v>y</v>
      </c>
      <c r="IBO1" s="154" t="str">
        <f t="shared" si="96"/>
        <v>y</v>
      </c>
      <c r="IBP1" s="154" t="str">
        <f t="shared" si="96"/>
        <v>y</v>
      </c>
      <c r="IBQ1" s="154" t="str">
        <f t="shared" si="96"/>
        <v>y</v>
      </c>
      <c r="IBR1" s="154" t="str">
        <f t="shared" si="96"/>
        <v>y</v>
      </c>
      <c r="IBS1" s="154" t="str">
        <f t="shared" si="96"/>
        <v>y</v>
      </c>
      <c r="IBT1" s="154" t="str">
        <f t="shared" si="96"/>
        <v>y</v>
      </c>
      <c r="IBU1" s="154" t="str">
        <f t="shared" si="96"/>
        <v>y</v>
      </c>
      <c r="IBV1" s="154" t="str">
        <f t="shared" si="96"/>
        <v>y</v>
      </c>
      <c r="IBW1" s="154" t="str">
        <f t="shared" si="96"/>
        <v>y</v>
      </c>
      <c r="IBX1" s="154" t="str">
        <f t="shared" si="96"/>
        <v>y</v>
      </c>
      <c r="IBY1" s="154" t="str">
        <f t="shared" si="96"/>
        <v>y</v>
      </c>
      <c r="IBZ1" s="154" t="str">
        <f t="shared" si="96"/>
        <v>y</v>
      </c>
      <c r="ICA1" s="154" t="str">
        <f t="shared" si="96"/>
        <v>y</v>
      </c>
      <c r="ICB1" s="154" t="str">
        <f t="shared" si="96"/>
        <v>y</v>
      </c>
      <c r="ICC1" s="154" t="str">
        <f t="shared" si="96"/>
        <v>y</v>
      </c>
      <c r="ICD1" s="154" t="str">
        <f t="shared" si="96"/>
        <v>y</v>
      </c>
      <c r="ICE1" s="154" t="str">
        <f t="shared" si="96"/>
        <v>y</v>
      </c>
      <c r="ICF1" s="154" t="str">
        <f t="shared" si="96"/>
        <v>y</v>
      </c>
      <c r="ICG1" s="154" t="str">
        <f t="shared" si="96"/>
        <v>y</v>
      </c>
      <c r="ICH1" s="154" t="str">
        <f t="shared" si="96"/>
        <v>y</v>
      </c>
      <c r="ICI1" s="154" t="str">
        <f t="shared" si="96"/>
        <v>y</v>
      </c>
      <c r="ICJ1" s="154" t="str">
        <f t="shared" si="96"/>
        <v>y</v>
      </c>
      <c r="ICK1" s="154" t="str">
        <f t="shared" si="96"/>
        <v>y</v>
      </c>
      <c r="ICL1" s="154" t="str">
        <f t="shared" si="96"/>
        <v>y</v>
      </c>
      <c r="ICM1" s="154" t="str">
        <f t="shared" si="96"/>
        <v>y</v>
      </c>
      <c r="ICN1" s="154" t="str">
        <f t="shared" si="96"/>
        <v>y</v>
      </c>
      <c r="ICO1" s="154" t="str">
        <f t="shared" si="96"/>
        <v>y</v>
      </c>
      <c r="ICP1" s="154" t="str">
        <f t="shared" si="96"/>
        <v>y</v>
      </c>
      <c r="ICQ1" s="154" t="str">
        <f t="shared" si="96"/>
        <v>y</v>
      </c>
      <c r="ICR1" s="154" t="str">
        <f t="shared" si="96"/>
        <v>y</v>
      </c>
      <c r="ICS1" s="154" t="str">
        <f t="shared" si="96"/>
        <v>y</v>
      </c>
      <c r="ICT1" s="154" t="str">
        <f t="shared" si="96"/>
        <v>y</v>
      </c>
      <c r="ICU1" s="154" t="str">
        <f t="shared" si="96"/>
        <v>y</v>
      </c>
      <c r="ICV1" s="154" t="str">
        <f t="shared" si="96"/>
        <v>y</v>
      </c>
      <c r="ICW1" s="154" t="str">
        <f t="shared" si="96"/>
        <v>y</v>
      </c>
      <c r="ICX1" s="154" t="str">
        <f t="shared" si="96"/>
        <v>y</v>
      </c>
      <c r="ICY1" s="154" t="str">
        <f t="shared" si="96"/>
        <v>y</v>
      </c>
      <c r="ICZ1" s="154" t="str">
        <f t="shared" si="96"/>
        <v>y</v>
      </c>
      <c r="IDA1" s="154" t="str">
        <f t="shared" si="96"/>
        <v>y</v>
      </c>
      <c r="IDB1" s="154" t="str">
        <f t="shared" si="96"/>
        <v>y</v>
      </c>
      <c r="IDC1" s="154" t="str">
        <f t="shared" si="96"/>
        <v>y</v>
      </c>
      <c r="IDD1" s="154" t="str">
        <f t="shared" si="96"/>
        <v>y</v>
      </c>
      <c r="IDE1" s="154" t="str">
        <f t="shared" si="96"/>
        <v>y</v>
      </c>
      <c r="IDF1" s="154" t="str">
        <f t="shared" si="96"/>
        <v>y</v>
      </c>
      <c r="IDG1" s="154" t="str">
        <f t="shared" si="96"/>
        <v>y</v>
      </c>
      <c r="IDH1" s="154" t="str">
        <f t="shared" si="96"/>
        <v>y</v>
      </c>
      <c r="IDI1" s="154" t="str">
        <f t="shared" si="96"/>
        <v>y</v>
      </c>
      <c r="IDJ1" s="154" t="str">
        <f t="shared" si="96"/>
        <v>y</v>
      </c>
      <c r="IDK1" s="154" t="str">
        <f t="shared" si="96"/>
        <v>y</v>
      </c>
      <c r="IDL1" s="154" t="str">
        <f t="shared" si="96"/>
        <v>y</v>
      </c>
      <c r="IDM1" s="154" t="str">
        <f t="shared" si="96"/>
        <v>y</v>
      </c>
      <c r="IDN1" s="154" t="str">
        <f t="shared" si="96"/>
        <v>y</v>
      </c>
      <c r="IDO1" s="154" t="str">
        <f t="shared" si="96"/>
        <v>y</v>
      </c>
      <c r="IDP1" s="154" t="str">
        <f t="shared" si="96"/>
        <v>y</v>
      </c>
      <c r="IDQ1" s="154" t="str">
        <f t="shared" si="96"/>
        <v>y</v>
      </c>
      <c r="IDR1" s="154" t="str">
        <f t="shared" si="96"/>
        <v>y</v>
      </c>
      <c r="IDS1" s="154" t="str">
        <f t="shared" si="96"/>
        <v>y</v>
      </c>
      <c r="IDT1" s="154" t="str">
        <f t="shared" si="96"/>
        <v>y</v>
      </c>
      <c r="IDU1" s="154" t="str">
        <f t="shared" si="96"/>
        <v>y</v>
      </c>
      <c r="IDV1" s="154" t="str">
        <f t="shared" si="96"/>
        <v>y</v>
      </c>
      <c r="IDW1" s="154" t="str">
        <f t="shared" si="96"/>
        <v>y</v>
      </c>
      <c r="IDX1" s="154" t="str">
        <f t="shared" ref="IDX1:IGI1" si="97">IDX2&amp;"y"</f>
        <v>y</v>
      </c>
      <c r="IDY1" s="154" t="str">
        <f t="shared" si="97"/>
        <v>y</v>
      </c>
      <c r="IDZ1" s="154" t="str">
        <f t="shared" si="97"/>
        <v>y</v>
      </c>
      <c r="IEA1" s="154" t="str">
        <f t="shared" si="97"/>
        <v>y</v>
      </c>
      <c r="IEB1" s="154" t="str">
        <f t="shared" si="97"/>
        <v>y</v>
      </c>
      <c r="IEC1" s="154" t="str">
        <f t="shared" si="97"/>
        <v>y</v>
      </c>
      <c r="IED1" s="154" t="str">
        <f t="shared" si="97"/>
        <v>y</v>
      </c>
      <c r="IEE1" s="154" t="str">
        <f t="shared" si="97"/>
        <v>y</v>
      </c>
      <c r="IEF1" s="154" t="str">
        <f t="shared" si="97"/>
        <v>y</v>
      </c>
      <c r="IEG1" s="154" t="str">
        <f t="shared" si="97"/>
        <v>y</v>
      </c>
      <c r="IEH1" s="154" t="str">
        <f t="shared" si="97"/>
        <v>y</v>
      </c>
      <c r="IEI1" s="154" t="str">
        <f t="shared" si="97"/>
        <v>y</v>
      </c>
      <c r="IEJ1" s="154" t="str">
        <f t="shared" si="97"/>
        <v>y</v>
      </c>
      <c r="IEK1" s="154" t="str">
        <f t="shared" si="97"/>
        <v>y</v>
      </c>
      <c r="IEL1" s="154" t="str">
        <f t="shared" si="97"/>
        <v>y</v>
      </c>
      <c r="IEM1" s="154" t="str">
        <f t="shared" si="97"/>
        <v>y</v>
      </c>
      <c r="IEN1" s="154" t="str">
        <f t="shared" si="97"/>
        <v>y</v>
      </c>
      <c r="IEO1" s="154" t="str">
        <f t="shared" si="97"/>
        <v>y</v>
      </c>
      <c r="IEP1" s="154" t="str">
        <f t="shared" si="97"/>
        <v>y</v>
      </c>
      <c r="IEQ1" s="154" t="str">
        <f t="shared" si="97"/>
        <v>y</v>
      </c>
      <c r="IER1" s="154" t="str">
        <f t="shared" si="97"/>
        <v>y</v>
      </c>
      <c r="IES1" s="154" t="str">
        <f t="shared" si="97"/>
        <v>y</v>
      </c>
      <c r="IET1" s="154" t="str">
        <f t="shared" si="97"/>
        <v>y</v>
      </c>
      <c r="IEU1" s="154" t="str">
        <f t="shared" si="97"/>
        <v>y</v>
      </c>
      <c r="IEV1" s="154" t="str">
        <f t="shared" si="97"/>
        <v>y</v>
      </c>
      <c r="IEW1" s="154" t="str">
        <f t="shared" si="97"/>
        <v>y</v>
      </c>
      <c r="IEX1" s="154" t="str">
        <f t="shared" si="97"/>
        <v>y</v>
      </c>
      <c r="IEY1" s="154" t="str">
        <f t="shared" si="97"/>
        <v>y</v>
      </c>
      <c r="IEZ1" s="154" t="str">
        <f t="shared" si="97"/>
        <v>y</v>
      </c>
      <c r="IFA1" s="154" t="str">
        <f t="shared" si="97"/>
        <v>y</v>
      </c>
      <c r="IFB1" s="154" t="str">
        <f t="shared" si="97"/>
        <v>y</v>
      </c>
      <c r="IFC1" s="154" t="str">
        <f t="shared" si="97"/>
        <v>y</v>
      </c>
      <c r="IFD1" s="154" t="str">
        <f t="shared" si="97"/>
        <v>y</v>
      </c>
      <c r="IFE1" s="154" t="str">
        <f t="shared" si="97"/>
        <v>y</v>
      </c>
      <c r="IFF1" s="154" t="str">
        <f t="shared" si="97"/>
        <v>y</v>
      </c>
      <c r="IFG1" s="154" t="str">
        <f t="shared" si="97"/>
        <v>y</v>
      </c>
      <c r="IFH1" s="154" t="str">
        <f t="shared" si="97"/>
        <v>y</v>
      </c>
      <c r="IFI1" s="154" t="str">
        <f t="shared" si="97"/>
        <v>y</v>
      </c>
      <c r="IFJ1" s="154" t="str">
        <f t="shared" si="97"/>
        <v>y</v>
      </c>
      <c r="IFK1" s="154" t="str">
        <f t="shared" si="97"/>
        <v>y</v>
      </c>
      <c r="IFL1" s="154" t="str">
        <f t="shared" si="97"/>
        <v>y</v>
      </c>
      <c r="IFM1" s="154" t="str">
        <f t="shared" si="97"/>
        <v>y</v>
      </c>
      <c r="IFN1" s="154" t="str">
        <f t="shared" si="97"/>
        <v>y</v>
      </c>
      <c r="IFO1" s="154" t="str">
        <f t="shared" si="97"/>
        <v>y</v>
      </c>
      <c r="IFP1" s="154" t="str">
        <f t="shared" si="97"/>
        <v>y</v>
      </c>
      <c r="IFQ1" s="154" t="str">
        <f t="shared" si="97"/>
        <v>y</v>
      </c>
      <c r="IFR1" s="154" t="str">
        <f t="shared" si="97"/>
        <v>y</v>
      </c>
      <c r="IFS1" s="154" t="str">
        <f t="shared" si="97"/>
        <v>y</v>
      </c>
      <c r="IFT1" s="154" t="str">
        <f t="shared" si="97"/>
        <v>y</v>
      </c>
      <c r="IFU1" s="154" t="str">
        <f t="shared" si="97"/>
        <v>y</v>
      </c>
      <c r="IFV1" s="154" t="str">
        <f t="shared" si="97"/>
        <v>y</v>
      </c>
      <c r="IFW1" s="154" t="str">
        <f t="shared" si="97"/>
        <v>y</v>
      </c>
      <c r="IFX1" s="154" t="str">
        <f t="shared" si="97"/>
        <v>y</v>
      </c>
      <c r="IFY1" s="154" t="str">
        <f t="shared" si="97"/>
        <v>y</v>
      </c>
      <c r="IFZ1" s="154" t="str">
        <f t="shared" si="97"/>
        <v>y</v>
      </c>
      <c r="IGA1" s="154" t="str">
        <f t="shared" si="97"/>
        <v>y</v>
      </c>
      <c r="IGB1" s="154" t="str">
        <f t="shared" si="97"/>
        <v>y</v>
      </c>
      <c r="IGC1" s="154" t="str">
        <f t="shared" si="97"/>
        <v>y</v>
      </c>
      <c r="IGD1" s="154" t="str">
        <f t="shared" si="97"/>
        <v>y</v>
      </c>
      <c r="IGE1" s="154" t="str">
        <f t="shared" si="97"/>
        <v>y</v>
      </c>
      <c r="IGF1" s="154" t="str">
        <f t="shared" si="97"/>
        <v>y</v>
      </c>
      <c r="IGG1" s="154" t="str">
        <f t="shared" si="97"/>
        <v>y</v>
      </c>
      <c r="IGH1" s="154" t="str">
        <f t="shared" si="97"/>
        <v>y</v>
      </c>
      <c r="IGI1" s="154" t="str">
        <f t="shared" si="97"/>
        <v>y</v>
      </c>
      <c r="IGJ1" s="154" t="str">
        <f t="shared" ref="IGJ1:IIU1" si="98">IGJ2&amp;"y"</f>
        <v>y</v>
      </c>
      <c r="IGK1" s="154" t="str">
        <f t="shared" si="98"/>
        <v>y</v>
      </c>
      <c r="IGL1" s="154" t="str">
        <f t="shared" si="98"/>
        <v>y</v>
      </c>
      <c r="IGM1" s="154" t="str">
        <f t="shared" si="98"/>
        <v>y</v>
      </c>
      <c r="IGN1" s="154" t="str">
        <f t="shared" si="98"/>
        <v>y</v>
      </c>
      <c r="IGO1" s="154" t="str">
        <f t="shared" si="98"/>
        <v>y</v>
      </c>
      <c r="IGP1" s="154" t="str">
        <f t="shared" si="98"/>
        <v>y</v>
      </c>
      <c r="IGQ1" s="154" t="str">
        <f t="shared" si="98"/>
        <v>y</v>
      </c>
      <c r="IGR1" s="154" t="str">
        <f t="shared" si="98"/>
        <v>y</v>
      </c>
      <c r="IGS1" s="154" t="str">
        <f t="shared" si="98"/>
        <v>y</v>
      </c>
      <c r="IGT1" s="154" t="str">
        <f t="shared" si="98"/>
        <v>y</v>
      </c>
      <c r="IGU1" s="154" t="str">
        <f t="shared" si="98"/>
        <v>y</v>
      </c>
      <c r="IGV1" s="154" t="str">
        <f t="shared" si="98"/>
        <v>y</v>
      </c>
      <c r="IGW1" s="154" t="str">
        <f t="shared" si="98"/>
        <v>y</v>
      </c>
      <c r="IGX1" s="154" t="str">
        <f t="shared" si="98"/>
        <v>y</v>
      </c>
      <c r="IGY1" s="154" t="str">
        <f t="shared" si="98"/>
        <v>y</v>
      </c>
      <c r="IGZ1" s="154" t="str">
        <f t="shared" si="98"/>
        <v>y</v>
      </c>
      <c r="IHA1" s="154" t="str">
        <f t="shared" si="98"/>
        <v>y</v>
      </c>
      <c r="IHB1" s="154" t="str">
        <f t="shared" si="98"/>
        <v>y</v>
      </c>
      <c r="IHC1" s="154" t="str">
        <f t="shared" si="98"/>
        <v>y</v>
      </c>
      <c r="IHD1" s="154" t="str">
        <f t="shared" si="98"/>
        <v>y</v>
      </c>
      <c r="IHE1" s="154" t="str">
        <f t="shared" si="98"/>
        <v>y</v>
      </c>
      <c r="IHF1" s="154" t="str">
        <f t="shared" si="98"/>
        <v>y</v>
      </c>
      <c r="IHG1" s="154" t="str">
        <f t="shared" si="98"/>
        <v>y</v>
      </c>
      <c r="IHH1" s="154" t="str">
        <f t="shared" si="98"/>
        <v>y</v>
      </c>
      <c r="IHI1" s="154" t="str">
        <f t="shared" si="98"/>
        <v>y</v>
      </c>
      <c r="IHJ1" s="154" t="str">
        <f t="shared" si="98"/>
        <v>y</v>
      </c>
      <c r="IHK1" s="154" t="str">
        <f t="shared" si="98"/>
        <v>y</v>
      </c>
      <c r="IHL1" s="154" t="str">
        <f t="shared" si="98"/>
        <v>y</v>
      </c>
      <c r="IHM1" s="154" t="str">
        <f t="shared" si="98"/>
        <v>y</v>
      </c>
      <c r="IHN1" s="154" t="str">
        <f t="shared" si="98"/>
        <v>y</v>
      </c>
      <c r="IHO1" s="154" t="str">
        <f t="shared" si="98"/>
        <v>y</v>
      </c>
      <c r="IHP1" s="154" t="str">
        <f t="shared" si="98"/>
        <v>y</v>
      </c>
      <c r="IHQ1" s="154" t="str">
        <f t="shared" si="98"/>
        <v>y</v>
      </c>
      <c r="IHR1" s="154" t="str">
        <f t="shared" si="98"/>
        <v>y</v>
      </c>
      <c r="IHS1" s="154" t="str">
        <f t="shared" si="98"/>
        <v>y</v>
      </c>
      <c r="IHT1" s="154" t="str">
        <f t="shared" si="98"/>
        <v>y</v>
      </c>
      <c r="IHU1" s="154" t="str">
        <f t="shared" si="98"/>
        <v>y</v>
      </c>
      <c r="IHV1" s="154" t="str">
        <f t="shared" si="98"/>
        <v>y</v>
      </c>
      <c r="IHW1" s="154" t="str">
        <f t="shared" si="98"/>
        <v>y</v>
      </c>
      <c r="IHX1" s="154" t="str">
        <f t="shared" si="98"/>
        <v>y</v>
      </c>
      <c r="IHY1" s="154" t="str">
        <f t="shared" si="98"/>
        <v>y</v>
      </c>
      <c r="IHZ1" s="154" t="str">
        <f t="shared" si="98"/>
        <v>y</v>
      </c>
      <c r="IIA1" s="154" t="str">
        <f t="shared" si="98"/>
        <v>y</v>
      </c>
      <c r="IIB1" s="154" t="str">
        <f t="shared" si="98"/>
        <v>y</v>
      </c>
      <c r="IIC1" s="154" t="str">
        <f t="shared" si="98"/>
        <v>y</v>
      </c>
      <c r="IID1" s="154" t="str">
        <f t="shared" si="98"/>
        <v>y</v>
      </c>
      <c r="IIE1" s="154" t="str">
        <f t="shared" si="98"/>
        <v>y</v>
      </c>
      <c r="IIF1" s="154" t="str">
        <f t="shared" si="98"/>
        <v>y</v>
      </c>
      <c r="IIG1" s="154" t="str">
        <f t="shared" si="98"/>
        <v>y</v>
      </c>
      <c r="IIH1" s="154" t="str">
        <f t="shared" si="98"/>
        <v>y</v>
      </c>
      <c r="III1" s="154" t="str">
        <f t="shared" si="98"/>
        <v>y</v>
      </c>
      <c r="IIJ1" s="154" t="str">
        <f t="shared" si="98"/>
        <v>y</v>
      </c>
      <c r="IIK1" s="154" t="str">
        <f t="shared" si="98"/>
        <v>y</v>
      </c>
      <c r="IIL1" s="154" t="str">
        <f t="shared" si="98"/>
        <v>y</v>
      </c>
      <c r="IIM1" s="154" t="str">
        <f t="shared" si="98"/>
        <v>y</v>
      </c>
      <c r="IIN1" s="154" t="str">
        <f t="shared" si="98"/>
        <v>y</v>
      </c>
      <c r="IIO1" s="154" t="str">
        <f t="shared" si="98"/>
        <v>y</v>
      </c>
      <c r="IIP1" s="154" t="str">
        <f t="shared" si="98"/>
        <v>y</v>
      </c>
      <c r="IIQ1" s="154" t="str">
        <f t="shared" si="98"/>
        <v>y</v>
      </c>
      <c r="IIR1" s="154" t="str">
        <f t="shared" si="98"/>
        <v>y</v>
      </c>
      <c r="IIS1" s="154" t="str">
        <f t="shared" si="98"/>
        <v>y</v>
      </c>
      <c r="IIT1" s="154" t="str">
        <f t="shared" si="98"/>
        <v>y</v>
      </c>
      <c r="IIU1" s="154" t="str">
        <f t="shared" si="98"/>
        <v>y</v>
      </c>
      <c r="IIV1" s="154" t="str">
        <f t="shared" ref="IIV1:ILG1" si="99">IIV2&amp;"y"</f>
        <v>y</v>
      </c>
      <c r="IIW1" s="154" t="str">
        <f t="shared" si="99"/>
        <v>y</v>
      </c>
      <c r="IIX1" s="154" t="str">
        <f t="shared" si="99"/>
        <v>y</v>
      </c>
      <c r="IIY1" s="154" t="str">
        <f t="shared" si="99"/>
        <v>y</v>
      </c>
      <c r="IIZ1" s="154" t="str">
        <f t="shared" si="99"/>
        <v>y</v>
      </c>
      <c r="IJA1" s="154" t="str">
        <f t="shared" si="99"/>
        <v>y</v>
      </c>
      <c r="IJB1" s="154" t="str">
        <f t="shared" si="99"/>
        <v>y</v>
      </c>
      <c r="IJC1" s="154" t="str">
        <f t="shared" si="99"/>
        <v>y</v>
      </c>
      <c r="IJD1" s="154" t="str">
        <f t="shared" si="99"/>
        <v>y</v>
      </c>
      <c r="IJE1" s="154" t="str">
        <f t="shared" si="99"/>
        <v>y</v>
      </c>
      <c r="IJF1" s="154" t="str">
        <f t="shared" si="99"/>
        <v>y</v>
      </c>
      <c r="IJG1" s="154" t="str">
        <f t="shared" si="99"/>
        <v>y</v>
      </c>
      <c r="IJH1" s="154" t="str">
        <f t="shared" si="99"/>
        <v>y</v>
      </c>
      <c r="IJI1" s="154" t="str">
        <f t="shared" si="99"/>
        <v>y</v>
      </c>
      <c r="IJJ1" s="154" t="str">
        <f t="shared" si="99"/>
        <v>y</v>
      </c>
      <c r="IJK1" s="154" t="str">
        <f t="shared" si="99"/>
        <v>y</v>
      </c>
      <c r="IJL1" s="154" t="str">
        <f t="shared" si="99"/>
        <v>y</v>
      </c>
      <c r="IJM1" s="154" t="str">
        <f t="shared" si="99"/>
        <v>y</v>
      </c>
      <c r="IJN1" s="154" t="str">
        <f t="shared" si="99"/>
        <v>y</v>
      </c>
      <c r="IJO1" s="154" t="str">
        <f t="shared" si="99"/>
        <v>y</v>
      </c>
      <c r="IJP1" s="154" t="str">
        <f t="shared" si="99"/>
        <v>y</v>
      </c>
      <c r="IJQ1" s="154" t="str">
        <f t="shared" si="99"/>
        <v>y</v>
      </c>
      <c r="IJR1" s="154" t="str">
        <f t="shared" si="99"/>
        <v>y</v>
      </c>
      <c r="IJS1" s="154" t="str">
        <f t="shared" si="99"/>
        <v>y</v>
      </c>
      <c r="IJT1" s="154" t="str">
        <f t="shared" si="99"/>
        <v>y</v>
      </c>
      <c r="IJU1" s="154" t="str">
        <f t="shared" si="99"/>
        <v>y</v>
      </c>
      <c r="IJV1" s="154" t="str">
        <f t="shared" si="99"/>
        <v>y</v>
      </c>
      <c r="IJW1" s="154" t="str">
        <f t="shared" si="99"/>
        <v>y</v>
      </c>
      <c r="IJX1" s="154" t="str">
        <f t="shared" si="99"/>
        <v>y</v>
      </c>
      <c r="IJY1" s="154" t="str">
        <f t="shared" si="99"/>
        <v>y</v>
      </c>
      <c r="IJZ1" s="154" t="str">
        <f t="shared" si="99"/>
        <v>y</v>
      </c>
      <c r="IKA1" s="154" t="str">
        <f t="shared" si="99"/>
        <v>y</v>
      </c>
      <c r="IKB1" s="154" t="str">
        <f t="shared" si="99"/>
        <v>y</v>
      </c>
      <c r="IKC1" s="154" t="str">
        <f t="shared" si="99"/>
        <v>y</v>
      </c>
      <c r="IKD1" s="154" t="str">
        <f t="shared" si="99"/>
        <v>y</v>
      </c>
      <c r="IKE1" s="154" t="str">
        <f t="shared" si="99"/>
        <v>y</v>
      </c>
      <c r="IKF1" s="154" t="str">
        <f t="shared" si="99"/>
        <v>y</v>
      </c>
      <c r="IKG1" s="154" t="str">
        <f t="shared" si="99"/>
        <v>y</v>
      </c>
      <c r="IKH1" s="154" t="str">
        <f t="shared" si="99"/>
        <v>y</v>
      </c>
      <c r="IKI1" s="154" t="str">
        <f t="shared" si="99"/>
        <v>y</v>
      </c>
      <c r="IKJ1" s="154" t="str">
        <f t="shared" si="99"/>
        <v>y</v>
      </c>
      <c r="IKK1" s="154" t="str">
        <f t="shared" si="99"/>
        <v>y</v>
      </c>
      <c r="IKL1" s="154" t="str">
        <f t="shared" si="99"/>
        <v>y</v>
      </c>
      <c r="IKM1" s="154" t="str">
        <f t="shared" si="99"/>
        <v>y</v>
      </c>
      <c r="IKN1" s="154" t="str">
        <f t="shared" si="99"/>
        <v>y</v>
      </c>
      <c r="IKO1" s="154" t="str">
        <f t="shared" si="99"/>
        <v>y</v>
      </c>
      <c r="IKP1" s="154" t="str">
        <f t="shared" si="99"/>
        <v>y</v>
      </c>
      <c r="IKQ1" s="154" t="str">
        <f t="shared" si="99"/>
        <v>y</v>
      </c>
      <c r="IKR1" s="154" t="str">
        <f t="shared" si="99"/>
        <v>y</v>
      </c>
      <c r="IKS1" s="154" t="str">
        <f t="shared" si="99"/>
        <v>y</v>
      </c>
      <c r="IKT1" s="154" t="str">
        <f t="shared" si="99"/>
        <v>y</v>
      </c>
      <c r="IKU1" s="154" t="str">
        <f t="shared" si="99"/>
        <v>y</v>
      </c>
      <c r="IKV1" s="154" t="str">
        <f t="shared" si="99"/>
        <v>y</v>
      </c>
      <c r="IKW1" s="154" t="str">
        <f t="shared" si="99"/>
        <v>y</v>
      </c>
      <c r="IKX1" s="154" t="str">
        <f t="shared" si="99"/>
        <v>y</v>
      </c>
      <c r="IKY1" s="154" t="str">
        <f t="shared" si="99"/>
        <v>y</v>
      </c>
      <c r="IKZ1" s="154" t="str">
        <f t="shared" si="99"/>
        <v>y</v>
      </c>
      <c r="ILA1" s="154" t="str">
        <f t="shared" si="99"/>
        <v>y</v>
      </c>
      <c r="ILB1" s="154" t="str">
        <f t="shared" si="99"/>
        <v>y</v>
      </c>
      <c r="ILC1" s="154" t="str">
        <f t="shared" si="99"/>
        <v>y</v>
      </c>
      <c r="ILD1" s="154" t="str">
        <f t="shared" si="99"/>
        <v>y</v>
      </c>
      <c r="ILE1" s="154" t="str">
        <f t="shared" si="99"/>
        <v>y</v>
      </c>
      <c r="ILF1" s="154" t="str">
        <f t="shared" si="99"/>
        <v>y</v>
      </c>
      <c r="ILG1" s="154" t="str">
        <f t="shared" si="99"/>
        <v>y</v>
      </c>
      <c r="ILH1" s="154" t="str">
        <f t="shared" ref="ILH1:INS1" si="100">ILH2&amp;"y"</f>
        <v>y</v>
      </c>
      <c r="ILI1" s="154" t="str">
        <f t="shared" si="100"/>
        <v>y</v>
      </c>
      <c r="ILJ1" s="154" t="str">
        <f t="shared" si="100"/>
        <v>y</v>
      </c>
      <c r="ILK1" s="154" t="str">
        <f t="shared" si="100"/>
        <v>y</v>
      </c>
      <c r="ILL1" s="154" t="str">
        <f t="shared" si="100"/>
        <v>y</v>
      </c>
      <c r="ILM1" s="154" t="str">
        <f t="shared" si="100"/>
        <v>y</v>
      </c>
      <c r="ILN1" s="154" t="str">
        <f t="shared" si="100"/>
        <v>y</v>
      </c>
      <c r="ILO1" s="154" t="str">
        <f t="shared" si="100"/>
        <v>y</v>
      </c>
      <c r="ILP1" s="154" t="str">
        <f t="shared" si="100"/>
        <v>y</v>
      </c>
      <c r="ILQ1" s="154" t="str">
        <f t="shared" si="100"/>
        <v>y</v>
      </c>
      <c r="ILR1" s="154" t="str">
        <f t="shared" si="100"/>
        <v>y</v>
      </c>
      <c r="ILS1" s="154" t="str">
        <f t="shared" si="100"/>
        <v>y</v>
      </c>
      <c r="ILT1" s="154" t="str">
        <f t="shared" si="100"/>
        <v>y</v>
      </c>
      <c r="ILU1" s="154" t="str">
        <f t="shared" si="100"/>
        <v>y</v>
      </c>
      <c r="ILV1" s="154" t="str">
        <f t="shared" si="100"/>
        <v>y</v>
      </c>
      <c r="ILW1" s="154" t="str">
        <f t="shared" si="100"/>
        <v>y</v>
      </c>
      <c r="ILX1" s="154" t="str">
        <f t="shared" si="100"/>
        <v>y</v>
      </c>
      <c r="ILY1" s="154" t="str">
        <f t="shared" si="100"/>
        <v>y</v>
      </c>
      <c r="ILZ1" s="154" t="str">
        <f t="shared" si="100"/>
        <v>y</v>
      </c>
      <c r="IMA1" s="154" t="str">
        <f t="shared" si="100"/>
        <v>y</v>
      </c>
      <c r="IMB1" s="154" t="str">
        <f t="shared" si="100"/>
        <v>y</v>
      </c>
      <c r="IMC1" s="154" t="str">
        <f t="shared" si="100"/>
        <v>y</v>
      </c>
      <c r="IMD1" s="154" t="str">
        <f t="shared" si="100"/>
        <v>y</v>
      </c>
      <c r="IME1" s="154" t="str">
        <f t="shared" si="100"/>
        <v>y</v>
      </c>
      <c r="IMF1" s="154" t="str">
        <f t="shared" si="100"/>
        <v>y</v>
      </c>
      <c r="IMG1" s="154" t="str">
        <f t="shared" si="100"/>
        <v>y</v>
      </c>
      <c r="IMH1" s="154" t="str">
        <f t="shared" si="100"/>
        <v>y</v>
      </c>
      <c r="IMI1" s="154" t="str">
        <f t="shared" si="100"/>
        <v>y</v>
      </c>
      <c r="IMJ1" s="154" t="str">
        <f t="shared" si="100"/>
        <v>y</v>
      </c>
      <c r="IMK1" s="154" t="str">
        <f t="shared" si="100"/>
        <v>y</v>
      </c>
      <c r="IML1" s="154" t="str">
        <f t="shared" si="100"/>
        <v>y</v>
      </c>
      <c r="IMM1" s="154" t="str">
        <f t="shared" si="100"/>
        <v>y</v>
      </c>
      <c r="IMN1" s="154" t="str">
        <f t="shared" si="100"/>
        <v>y</v>
      </c>
      <c r="IMO1" s="154" t="str">
        <f t="shared" si="100"/>
        <v>y</v>
      </c>
      <c r="IMP1" s="154" t="str">
        <f t="shared" si="100"/>
        <v>y</v>
      </c>
      <c r="IMQ1" s="154" t="str">
        <f t="shared" si="100"/>
        <v>y</v>
      </c>
      <c r="IMR1" s="154" t="str">
        <f t="shared" si="100"/>
        <v>y</v>
      </c>
      <c r="IMS1" s="154" t="str">
        <f t="shared" si="100"/>
        <v>y</v>
      </c>
      <c r="IMT1" s="154" t="str">
        <f t="shared" si="100"/>
        <v>y</v>
      </c>
      <c r="IMU1" s="154" t="str">
        <f t="shared" si="100"/>
        <v>y</v>
      </c>
      <c r="IMV1" s="154" t="str">
        <f t="shared" si="100"/>
        <v>y</v>
      </c>
      <c r="IMW1" s="154" t="str">
        <f t="shared" si="100"/>
        <v>y</v>
      </c>
      <c r="IMX1" s="154" t="str">
        <f t="shared" si="100"/>
        <v>y</v>
      </c>
      <c r="IMY1" s="154" t="str">
        <f t="shared" si="100"/>
        <v>y</v>
      </c>
      <c r="IMZ1" s="154" t="str">
        <f t="shared" si="100"/>
        <v>y</v>
      </c>
      <c r="INA1" s="154" t="str">
        <f t="shared" si="100"/>
        <v>y</v>
      </c>
      <c r="INB1" s="154" t="str">
        <f t="shared" si="100"/>
        <v>y</v>
      </c>
      <c r="INC1" s="154" t="str">
        <f t="shared" si="100"/>
        <v>y</v>
      </c>
      <c r="IND1" s="154" t="str">
        <f t="shared" si="100"/>
        <v>y</v>
      </c>
      <c r="INE1" s="154" t="str">
        <f t="shared" si="100"/>
        <v>y</v>
      </c>
      <c r="INF1" s="154" t="str">
        <f t="shared" si="100"/>
        <v>y</v>
      </c>
      <c r="ING1" s="154" t="str">
        <f t="shared" si="100"/>
        <v>y</v>
      </c>
      <c r="INH1" s="154" t="str">
        <f t="shared" si="100"/>
        <v>y</v>
      </c>
      <c r="INI1" s="154" t="str">
        <f t="shared" si="100"/>
        <v>y</v>
      </c>
      <c r="INJ1" s="154" t="str">
        <f t="shared" si="100"/>
        <v>y</v>
      </c>
      <c r="INK1" s="154" t="str">
        <f t="shared" si="100"/>
        <v>y</v>
      </c>
      <c r="INL1" s="154" t="str">
        <f t="shared" si="100"/>
        <v>y</v>
      </c>
      <c r="INM1" s="154" t="str">
        <f t="shared" si="100"/>
        <v>y</v>
      </c>
      <c r="INN1" s="154" t="str">
        <f t="shared" si="100"/>
        <v>y</v>
      </c>
      <c r="INO1" s="154" t="str">
        <f t="shared" si="100"/>
        <v>y</v>
      </c>
      <c r="INP1" s="154" t="str">
        <f t="shared" si="100"/>
        <v>y</v>
      </c>
      <c r="INQ1" s="154" t="str">
        <f t="shared" si="100"/>
        <v>y</v>
      </c>
      <c r="INR1" s="154" t="str">
        <f t="shared" si="100"/>
        <v>y</v>
      </c>
      <c r="INS1" s="154" t="str">
        <f t="shared" si="100"/>
        <v>y</v>
      </c>
      <c r="INT1" s="154" t="str">
        <f t="shared" ref="INT1:IQE1" si="101">INT2&amp;"y"</f>
        <v>y</v>
      </c>
      <c r="INU1" s="154" t="str">
        <f t="shared" si="101"/>
        <v>y</v>
      </c>
      <c r="INV1" s="154" t="str">
        <f t="shared" si="101"/>
        <v>y</v>
      </c>
      <c r="INW1" s="154" t="str">
        <f t="shared" si="101"/>
        <v>y</v>
      </c>
      <c r="INX1" s="154" t="str">
        <f t="shared" si="101"/>
        <v>y</v>
      </c>
      <c r="INY1" s="154" t="str">
        <f t="shared" si="101"/>
        <v>y</v>
      </c>
      <c r="INZ1" s="154" t="str">
        <f t="shared" si="101"/>
        <v>y</v>
      </c>
      <c r="IOA1" s="154" t="str">
        <f t="shared" si="101"/>
        <v>y</v>
      </c>
      <c r="IOB1" s="154" t="str">
        <f t="shared" si="101"/>
        <v>y</v>
      </c>
      <c r="IOC1" s="154" t="str">
        <f t="shared" si="101"/>
        <v>y</v>
      </c>
      <c r="IOD1" s="154" t="str">
        <f t="shared" si="101"/>
        <v>y</v>
      </c>
      <c r="IOE1" s="154" t="str">
        <f t="shared" si="101"/>
        <v>y</v>
      </c>
      <c r="IOF1" s="154" t="str">
        <f t="shared" si="101"/>
        <v>y</v>
      </c>
      <c r="IOG1" s="154" t="str">
        <f t="shared" si="101"/>
        <v>y</v>
      </c>
      <c r="IOH1" s="154" t="str">
        <f t="shared" si="101"/>
        <v>y</v>
      </c>
      <c r="IOI1" s="154" t="str">
        <f t="shared" si="101"/>
        <v>y</v>
      </c>
      <c r="IOJ1" s="154" t="str">
        <f t="shared" si="101"/>
        <v>y</v>
      </c>
      <c r="IOK1" s="154" t="str">
        <f t="shared" si="101"/>
        <v>y</v>
      </c>
      <c r="IOL1" s="154" t="str">
        <f t="shared" si="101"/>
        <v>y</v>
      </c>
      <c r="IOM1" s="154" t="str">
        <f t="shared" si="101"/>
        <v>y</v>
      </c>
      <c r="ION1" s="154" t="str">
        <f t="shared" si="101"/>
        <v>y</v>
      </c>
      <c r="IOO1" s="154" t="str">
        <f t="shared" si="101"/>
        <v>y</v>
      </c>
      <c r="IOP1" s="154" t="str">
        <f t="shared" si="101"/>
        <v>y</v>
      </c>
      <c r="IOQ1" s="154" t="str">
        <f t="shared" si="101"/>
        <v>y</v>
      </c>
      <c r="IOR1" s="154" t="str">
        <f t="shared" si="101"/>
        <v>y</v>
      </c>
      <c r="IOS1" s="154" t="str">
        <f t="shared" si="101"/>
        <v>y</v>
      </c>
      <c r="IOT1" s="154" t="str">
        <f t="shared" si="101"/>
        <v>y</v>
      </c>
      <c r="IOU1" s="154" t="str">
        <f t="shared" si="101"/>
        <v>y</v>
      </c>
      <c r="IOV1" s="154" t="str">
        <f t="shared" si="101"/>
        <v>y</v>
      </c>
      <c r="IOW1" s="154" t="str">
        <f t="shared" si="101"/>
        <v>y</v>
      </c>
      <c r="IOX1" s="154" t="str">
        <f t="shared" si="101"/>
        <v>y</v>
      </c>
      <c r="IOY1" s="154" t="str">
        <f t="shared" si="101"/>
        <v>y</v>
      </c>
      <c r="IOZ1" s="154" t="str">
        <f t="shared" si="101"/>
        <v>y</v>
      </c>
      <c r="IPA1" s="154" t="str">
        <f t="shared" si="101"/>
        <v>y</v>
      </c>
      <c r="IPB1" s="154" t="str">
        <f t="shared" si="101"/>
        <v>y</v>
      </c>
      <c r="IPC1" s="154" t="str">
        <f t="shared" si="101"/>
        <v>y</v>
      </c>
      <c r="IPD1" s="154" t="str">
        <f t="shared" si="101"/>
        <v>y</v>
      </c>
      <c r="IPE1" s="154" t="str">
        <f t="shared" si="101"/>
        <v>y</v>
      </c>
      <c r="IPF1" s="154" t="str">
        <f t="shared" si="101"/>
        <v>y</v>
      </c>
      <c r="IPG1" s="154" t="str">
        <f t="shared" si="101"/>
        <v>y</v>
      </c>
      <c r="IPH1" s="154" t="str">
        <f t="shared" si="101"/>
        <v>y</v>
      </c>
      <c r="IPI1" s="154" t="str">
        <f t="shared" si="101"/>
        <v>y</v>
      </c>
      <c r="IPJ1" s="154" t="str">
        <f t="shared" si="101"/>
        <v>y</v>
      </c>
      <c r="IPK1" s="154" t="str">
        <f t="shared" si="101"/>
        <v>y</v>
      </c>
      <c r="IPL1" s="154" t="str">
        <f t="shared" si="101"/>
        <v>y</v>
      </c>
      <c r="IPM1" s="154" t="str">
        <f t="shared" si="101"/>
        <v>y</v>
      </c>
      <c r="IPN1" s="154" t="str">
        <f t="shared" si="101"/>
        <v>y</v>
      </c>
      <c r="IPO1" s="154" t="str">
        <f t="shared" si="101"/>
        <v>y</v>
      </c>
      <c r="IPP1" s="154" t="str">
        <f t="shared" si="101"/>
        <v>y</v>
      </c>
      <c r="IPQ1" s="154" t="str">
        <f t="shared" si="101"/>
        <v>y</v>
      </c>
      <c r="IPR1" s="154" t="str">
        <f t="shared" si="101"/>
        <v>y</v>
      </c>
      <c r="IPS1" s="154" t="str">
        <f t="shared" si="101"/>
        <v>y</v>
      </c>
      <c r="IPT1" s="154" t="str">
        <f t="shared" si="101"/>
        <v>y</v>
      </c>
      <c r="IPU1" s="154" t="str">
        <f t="shared" si="101"/>
        <v>y</v>
      </c>
      <c r="IPV1" s="154" t="str">
        <f t="shared" si="101"/>
        <v>y</v>
      </c>
      <c r="IPW1" s="154" t="str">
        <f t="shared" si="101"/>
        <v>y</v>
      </c>
      <c r="IPX1" s="154" t="str">
        <f t="shared" si="101"/>
        <v>y</v>
      </c>
      <c r="IPY1" s="154" t="str">
        <f t="shared" si="101"/>
        <v>y</v>
      </c>
      <c r="IPZ1" s="154" t="str">
        <f t="shared" si="101"/>
        <v>y</v>
      </c>
      <c r="IQA1" s="154" t="str">
        <f t="shared" si="101"/>
        <v>y</v>
      </c>
      <c r="IQB1" s="154" t="str">
        <f t="shared" si="101"/>
        <v>y</v>
      </c>
      <c r="IQC1" s="154" t="str">
        <f t="shared" si="101"/>
        <v>y</v>
      </c>
      <c r="IQD1" s="154" t="str">
        <f t="shared" si="101"/>
        <v>y</v>
      </c>
      <c r="IQE1" s="154" t="str">
        <f t="shared" si="101"/>
        <v>y</v>
      </c>
      <c r="IQF1" s="154" t="str">
        <f t="shared" ref="IQF1:ISQ1" si="102">IQF2&amp;"y"</f>
        <v>y</v>
      </c>
      <c r="IQG1" s="154" t="str">
        <f t="shared" si="102"/>
        <v>y</v>
      </c>
      <c r="IQH1" s="154" t="str">
        <f t="shared" si="102"/>
        <v>y</v>
      </c>
      <c r="IQI1" s="154" t="str">
        <f t="shared" si="102"/>
        <v>y</v>
      </c>
      <c r="IQJ1" s="154" t="str">
        <f t="shared" si="102"/>
        <v>y</v>
      </c>
      <c r="IQK1" s="154" t="str">
        <f t="shared" si="102"/>
        <v>y</v>
      </c>
      <c r="IQL1" s="154" t="str">
        <f t="shared" si="102"/>
        <v>y</v>
      </c>
      <c r="IQM1" s="154" t="str">
        <f t="shared" si="102"/>
        <v>y</v>
      </c>
      <c r="IQN1" s="154" t="str">
        <f t="shared" si="102"/>
        <v>y</v>
      </c>
      <c r="IQO1" s="154" t="str">
        <f t="shared" si="102"/>
        <v>y</v>
      </c>
      <c r="IQP1" s="154" t="str">
        <f t="shared" si="102"/>
        <v>y</v>
      </c>
      <c r="IQQ1" s="154" t="str">
        <f t="shared" si="102"/>
        <v>y</v>
      </c>
      <c r="IQR1" s="154" t="str">
        <f t="shared" si="102"/>
        <v>y</v>
      </c>
      <c r="IQS1" s="154" t="str">
        <f t="shared" si="102"/>
        <v>y</v>
      </c>
      <c r="IQT1" s="154" t="str">
        <f t="shared" si="102"/>
        <v>y</v>
      </c>
      <c r="IQU1" s="154" t="str">
        <f t="shared" si="102"/>
        <v>y</v>
      </c>
      <c r="IQV1" s="154" t="str">
        <f t="shared" si="102"/>
        <v>y</v>
      </c>
      <c r="IQW1" s="154" t="str">
        <f t="shared" si="102"/>
        <v>y</v>
      </c>
      <c r="IQX1" s="154" t="str">
        <f t="shared" si="102"/>
        <v>y</v>
      </c>
      <c r="IQY1" s="154" t="str">
        <f t="shared" si="102"/>
        <v>y</v>
      </c>
      <c r="IQZ1" s="154" t="str">
        <f t="shared" si="102"/>
        <v>y</v>
      </c>
      <c r="IRA1" s="154" t="str">
        <f t="shared" si="102"/>
        <v>y</v>
      </c>
      <c r="IRB1" s="154" t="str">
        <f t="shared" si="102"/>
        <v>y</v>
      </c>
      <c r="IRC1" s="154" t="str">
        <f t="shared" si="102"/>
        <v>y</v>
      </c>
      <c r="IRD1" s="154" t="str">
        <f t="shared" si="102"/>
        <v>y</v>
      </c>
      <c r="IRE1" s="154" t="str">
        <f t="shared" si="102"/>
        <v>y</v>
      </c>
      <c r="IRF1" s="154" t="str">
        <f t="shared" si="102"/>
        <v>y</v>
      </c>
      <c r="IRG1" s="154" t="str">
        <f t="shared" si="102"/>
        <v>y</v>
      </c>
      <c r="IRH1" s="154" t="str">
        <f t="shared" si="102"/>
        <v>y</v>
      </c>
      <c r="IRI1" s="154" t="str">
        <f t="shared" si="102"/>
        <v>y</v>
      </c>
      <c r="IRJ1" s="154" t="str">
        <f t="shared" si="102"/>
        <v>y</v>
      </c>
      <c r="IRK1" s="154" t="str">
        <f t="shared" si="102"/>
        <v>y</v>
      </c>
      <c r="IRL1" s="154" t="str">
        <f t="shared" si="102"/>
        <v>y</v>
      </c>
      <c r="IRM1" s="154" t="str">
        <f t="shared" si="102"/>
        <v>y</v>
      </c>
      <c r="IRN1" s="154" t="str">
        <f t="shared" si="102"/>
        <v>y</v>
      </c>
      <c r="IRO1" s="154" t="str">
        <f t="shared" si="102"/>
        <v>y</v>
      </c>
      <c r="IRP1" s="154" t="str">
        <f t="shared" si="102"/>
        <v>y</v>
      </c>
      <c r="IRQ1" s="154" t="str">
        <f t="shared" si="102"/>
        <v>y</v>
      </c>
      <c r="IRR1" s="154" t="str">
        <f t="shared" si="102"/>
        <v>y</v>
      </c>
      <c r="IRS1" s="154" t="str">
        <f t="shared" si="102"/>
        <v>y</v>
      </c>
      <c r="IRT1" s="154" t="str">
        <f t="shared" si="102"/>
        <v>y</v>
      </c>
      <c r="IRU1" s="154" t="str">
        <f t="shared" si="102"/>
        <v>y</v>
      </c>
      <c r="IRV1" s="154" t="str">
        <f t="shared" si="102"/>
        <v>y</v>
      </c>
      <c r="IRW1" s="154" t="str">
        <f t="shared" si="102"/>
        <v>y</v>
      </c>
      <c r="IRX1" s="154" t="str">
        <f t="shared" si="102"/>
        <v>y</v>
      </c>
      <c r="IRY1" s="154" t="str">
        <f t="shared" si="102"/>
        <v>y</v>
      </c>
      <c r="IRZ1" s="154" t="str">
        <f t="shared" si="102"/>
        <v>y</v>
      </c>
      <c r="ISA1" s="154" t="str">
        <f t="shared" si="102"/>
        <v>y</v>
      </c>
      <c r="ISB1" s="154" t="str">
        <f t="shared" si="102"/>
        <v>y</v>
      </c>
      <c r="ISC1" s="154" t="str">
        <f t="shared" si="102"/>
        <v>y</v>
      </c>
      <c r="ISD1" s="154" t="str">
        <f t="shared" si="102"/>
        <v>y</v>
      </c>
      <c r="ISE1" s="154" t="str">
        <f t="shared" si="102"/>
        <v>y</v>
      </c>
      <c r="ISF1" s="154" t="str">
        <f t="shared" si="102"/>
        <v>y</v>
      </c>
      <c r="ISG1" s="154" t="str">
        <f t="shared" si="102"/>
        <v>y</v>
      </c>
      <c r="ISH1" s="154" t="str">
        <f t="shared" si="102"/>
        <v>y</v>
      </c>
      <c r="ISI1" s="154" t="str">
        <f t="shared" si="102"/>
        <v>y</v>
      </c>
      <c r="ISJ1" s="154" t="str">
        <f t="shared" si="102"/>
        <v>y</v>
      </c>
      <c r="ISK1" s="154" t="str">
        <f t="shared" si="102"/>
        <v>y</v>
      </c>
      <c r="ISL1" s="154" t="str">
        <f t="shared" si="102"/>
        <v>y</v>
      </c>
      <c r="ISM1" s="154" t="str">
        <f t="shared" si="102"/>
        <v>y</v>
      </c>
      <c r="ISN1" s="154" t="str">
        <f t="shared" si="102"/>
        <v>y</v>
      </c>
      <c r="ISO1" s="154" t="str">
        <f t="shared" si="102"/>
        <v>y</v>
      </c>
      <c r="ISP1" s="154" t="str">
        <f t="shared" si="102"/>
        <v>y</v>
      </c>
      <c r="ISQ1" s="154" t="str">
        <f t="shared" si="102"/>
        <v>y</v>
      </c>
      <c r="ISR1" s="154" t="str">
        <f t="shared" ref="ISR1:IVC1" si="103">ISR2&amp;"y"</f>
        <v>y</v>
      </c>
      <c r="ISS1" s="154" t="str">
        <f t="shared" si="103"/>
        <v>y</v>
      </c>
      <c r="IST1" s="154" t="str">
        <f t="shared" si="103"/>
        <v>y</v>
      </c>
      <c r="ISU1" s="154" t="str">
        <f t="shared" si="103"/>
        <v>y</v>
      </c>
      <c r="ISV1" s="154" t="str">
        <f t="shared" si="103"/>
        <v>y</v>
      </c>
      <c r="ISW1" s="154" t="str">
        <f t="shared" si="103"/>
        <v>y</v>
      </c>
      <c r="ISX1" s="154" t="str">
        <f t="shared" si="103"/>
        <v>y</v>
      </c>
      <c r="ISY1" s="154" t="str">
        <f t="shared" si="103"/>
        <v>y</v>
      </c>
      <c r="ISZ1" s="154" t="str">
        <f t="shared" si="103"/>
        <v>y</v>
      </c>
      <c r="ITA1" s="154" t="str">
        <f t="shared" si="103"/>
        <v>y</v>
      </c>
      <c r="ITB1" s="154" t="str">
        <f t="shared" si="103"/>
        <v>y</v>
      </c>
      <c r="ITC1" s="154" t="str">
        <f t="shared" si="103"/>
        <v>y</v>
      </c>
      <c r="ITD1" s="154" t="str">
        <f t="shared" si="103"/>
        <v>y</v>
      </c>
      <c r="ITE1" s="154" t="str">
        <f t="shared" si="103"/>
        <v>y</v>
      </c>
      <c r="ITF1" s="154" t="str">
        <f t="shared" si="103"/>
        <v>y</v>
      </c>
      <c r="ITG1" s="154" t="str">
        <f t="shared" si="103"/>
        <v>y</v>
      </c>
      <c r="ITH1" s="154" t="str">
        <f t="shared" si="103"/>
        <v>y</v>
      </c>
      <c r="ITI1" s="154" t="str">
        <f t="shared" si="103"/>
        <v>y</v>
      </c>
      <c r="ITJ1" s="154" t="str">
        <f t="shared" si="103"/>
        <v>y</v>
      </c>
      <c r="ITK1" s="154" t="str">
        <f t="shared" si="103"/>
        <v>y</v>
      </c>
      <c r="ITL1" s="154" t="str">
        <f t="shared" si="103"/>
        <v>y</v>
      </c>
      <c r="ITM1" s="154" t="str">
        <f t="shared" si="103"/>
        <v>y</v>
      </c>
      <c r="ITN1" s="154" t="str">
        <f t="shared" si="103"/>
        <v>y</v>
      </c>
      <c r="ITO1" s="154" t="str">
        <f t="shared" si="103"/>
        <v>y</v>
      </c>
      <c r="ITP1" s="154" t="str">
        <f t="shared" si="103"/>
        <v>y</v>
      </c>
      <c r="ITQ1" s="154" t="str">
        <f t="shared" si="103"/>
        <v>y</v>
      </c>
      <c r="ITR1" s="154" t="str">
        <f t="shared" si="103"/>
        <v>y</v>
      </c>
      <c r="ITS1" s="154" t="str">
        <f t="shared" si="103"/>
        <v>y</v>
      </c>
      <c r="ITT1" s="154" t="str">
        <f t="shared" si="103"/>
        <v>y</v>
      </c>
      <c r="ITU1" s="154" t="str">
        <f t="shared" si="103"/>
        <v>y</v>
      </c>
      <c r="ITV1" s="154" t="str">
        <f t="shared" si="103"/>
        <v>y</v>
      </c>
      <c r="ITW1" s="154" t="str">
        <f t="shared" si="103"/>
        <v>y</v>
      </c>
      <c r="ITX1" s="154" t="str">
        <f t="shared" si="103"/>
        <v>y</v>
      </c>
      <c r="ITY1" s="154" t="str">
        <f t="shared" si="103"/>
        <v>y</v>
      </c>
      <c r="ITZ1" s="154" t="str">
        <f t="shared" si="103"/>
        <v>y</v>
      </c>
      <c r="IUA1" s="154" t="str">
        <f t="shared" si="103"/>
        <v>y</v>
      </c>
      <c r="IUB1" s="154" t="str">
        <f t="shared" si="103"/>
        <v>y</v>
      </c>
      <c r="IUC1" s="154" t="str">
        <f t="shared" si="103"/>
        <v>y</v>
      </c>
      <c r="IUD1" s="154" t="str">
        <f t="shared" si="103"/>
        <v>y</v>
      </c>
      <c r="IUE1" s="154" t="str">
        <f t="shared" si="103"/>
        <v>y</v>
      </c>
      <c r="IUF1" s="154" t="str">
        <f t="shared" si="103"/>
        <v>y</v>
      </c>
      <c r="IUG1" s="154" t="str">
        <f t="shared" si="103"/>
        <v>y</v>
      </c>
      <c r="IUH1" s="154" t="str">
        <f t="shared" si="103"/>
        <v>y</v>
      </c>
      <c r="IUI1" s="154" t="str">
        <f t="shared" si="103"/>
        <v>y</v>
      </c>
      <c r="IUJ1" s="154" t="str">
        <f t="shared" si="103"/>
        <v>y</v>
      </c>
      <c r="IUK1" s="154" t="str">
        <f t="shared" si="103"/>
        <v>y</v>
      </c>
      <c r="IUL1" s="154" t="str">
        <f t="shared" si="103"/>
        <v>y</v>
      </c>
      <c r="IUM1" s="154" t="str">
        <f t="shared" si="103"/>
        <v>y</v>
      </c>
      <c r="IUN1" s="154" t="str">
        <f t="shared" si="103"/>
        <v>y</v>
      </c>
      <c r="IUO1" s="154" t="str">
        <f t="shared" si="103"/>
        <v>y</v>
      </c>
      <c r="IUP1" s="154" t="str">
        <f t="shared" si="103"/>
        <v>y</v>
      </c>
      <c r="IUQ1" s="154" t="str">
        <f t="shared" si="103"/>
        <v>y</v>
      </c>
      <c r="IUR1" s="154" t="str">
        <f t="shared" si="103"/>
        <v>y</v>
      </c>
      <c r="IUS1" s="154" t="str">
        <f t="shared" si="103"/>
        <v>y</v>
      </c>
      <c r="IUT1" s="154" t="str">
        <f t="shared" si="103"/>
        <v>y</v>
      </c>
      <c r="IUU1" s="154" t="str">
        <f t="shared" si="103"/>
        <v>y</v>
      </c>
      <c r="IUV1" s="154" t="str">
        <f t="shared" si="103"/>
        <v>y</v>
      </c>
      <c r="IUW1" s="154" t="str">
        <f t="shared" si="103"/>
        <v>y</v>
      </c>
      <c r="IUX1" s="154" t="str">
        <f t="shared" si="103"/>
        <v>y</v>
      </c>
      <c r="IUY1" s="154" t="str">
        <f t="shared" si="103"/>
        <v>y</v>
      </c>
      <c r="IUZ1" s="154" t="str">
        <f t="shared" si="103"/>
        <v>y</v>
      </c>
      <c r="IVA1" s="154" t="str">
        <f t="shared" si="103"/>
        <v>y</v>
      </c>
      <c r="IVB1" s="154" t="str">
        <f t="shared" si="103"/>
        <v>y</v>
      </c>
      <c r="IVC1" s="154" t="str">
        <f t="shared" si="103"/>
        <v>y</v>
      </c>
      <c r="IVD1" s="154" t="str">
        <f t="shared" ref="IVD1:IXO1" si="104">IVD2&amp;"y"</f>
        <v>y</v>
      </c>
      <c r="IVE1" s="154" t="str">
        <f t="shared" si="104"/>
        <v>y</v>
      </c>
      <c r="IVF1" s="154" t="str">
        <f t="shared" si="104"/>
        <v>y</v>
      </c>
      <c r="IVG1" s="154" t="str">
        <f t="shared" si="104"/>
        <v>y</v>
      </c>
      <c r="IVH1" s="154" t="str">
        <f t="shared" si="104"/>
        <v>y</v>
      </c>
      <c r="IVI1" s="154" t="str">
        <f t="shared" si="104"/>
        <v>y</v>
      </c>
      <c r="IVJ1" s="154" t="str">
        <f t="shared" si="104"/>
        <v>y</v>
      </c>
      <c r="IVK1" s="154" t="str">
        <f t="shared" si="104"/>
        <v>y</v>
      </c>
      <c r="IVL1" s="154" t="str">
        <f t="shared" si="104"/>
        <v>y</v>
      </c>
      <c r="IVM1" s="154" t="str">
        <f t="shared" si="104"/>
        <v>y</v>
      </c>
      <c r="IVN1" s="154" t="str">
        <f t="shared" si="104"/>
        <v>y</v>
      </c>
      <c r="IVO1" s="154" t="str">
        <f t="shared" si="104"/>
        <v>y</v>
      </c>
      <c r="IVP1" s="154" t="str">
        <f t="shared" si="104"/>
        <v>y</v>
      </c>
      <c r="IVQ1" s="154" t="str">
        <f t="shared" si="104"/>
        <v>y</v>
      </c>
      <c r="IVR1" s="154" t="str">
        <f t="shared" si="104"/>
        <v>y</v>
      </c>
      <c r="IVS1" s="154" t="str">
        <f t="shared" si="104"/>
        <v>y</v>
      </c>
      <c r="IVT1" s="154" t="str">
        <f t="shared" si="104"/>
        <v>y</v>
      </c>
      <c r="IVU1" s="154" t="str">
        <f t="shared" si="104"/>
        <v>y</v>
      </c>
      <c r="IVV1" s="154" t="str">
        <f t="shared" si="104"/>
        <v>y</v>
      </c>
      <c r="IVW1" s="154" t="str">
        <f t="shared" si="104"/>
        <v>y</v>
      </c>
      <c r="IVX1" s="154" t="str">
        <f t="shared" si="104"/>
        <v>y</v>
      </c>
      <c r="IVY1" s="154" t="str">
        <f t="shared" si="104"/>
        <v>y</v>
      </c>
      <c r="IVZ1" s="154" t="str">
        <f t="shared" si="104"/>
        <v>y</v>
      </c>
      <c r="IWA1" s="154" t="str">
        <f t="shared" si="104"/>
        <v>y</v>
      </c>
      <c r="IWB1" s="154" t="str">
        <f t="shared" si="104"/>
        <v>y</v>
      </c>
      <c r="IWC1" s="154" t="str">
        <f t="shared" si="104"/>
        <v>y</v>
      </c>
      <c r="IWD1" s="154" t="str">
        <f t="shared" si="104"/>
        <v>y</v>
      </c>
      <c r="IWE1" s="154" t="str">
        <f t="shared" si="104"/>
        <v>y</v>
      </c>
      <c r="IWF1" s="154" t="str">
        <f t="shared" si="104"/>
        <v>y</v>
      </c>
      <c r="IWG1" s="154" t="str">
        <f t="shared" si="104"/>
        <v>y</v>
      </c>
      <c r="IWH1" s="154" t="str">
        <f t="shared" si="104"/>
        <v>y</v>
      </c>
      <c r="IWI1" s="154" t="str">
        <f t="shared" si="104"/>
        <v>y</v>
      </c>
      <c r="IWJ1" s="154" t="str">
        <f t="shared" si="104"/>
        <v>y</v>
      </c>
      <c r="IWK1" s="154" t="str">
        <f t="shared" si="104"/>
        <v>y</v>
      </c>
      <c r="IWL1" s="154" t="str">
        <f t="shared" si="104"/>
        <v>y</v>
      </c>
      <c r="IWM1" s="154" t="str">
        <f t="shared" si="104"/>
        <v>y</v>
      </c>
      <c r="IWN1" s="154" t="str">
        <f t="shared" si="104"/>
        <v>y</v>
      </c>
      <c r="IWO1" s="154" t="str">
        <f t="shared" si="104"/>
        <v>y</v>
      </c>
      <c r="IWP1" s="154" t="str">
        <f t="shared" si="104"/>
        <v>y</v>
      </c>
      <c r="IWQ1" s="154" t="str">
        <f t="shared" si="104"/>
        <v>y</v>
      </c>
      <c r="IWR1" s="154" t="str">
        <f t="shared" si="104"/>
        <v>y</v>
      </c>
      <c r="IWS1" s="154" t="str">
        <f t="shared" si="104"/>
        <v>y</v>
      </c>
      <c r="IWT1" s="154" t="str">
        <f t="shared" si="104"/>
        <v>y</v>
      </c>
      <c r="IWU1" s="154" t="str">
        <f t="shared" si="104"/>
        <v>y</v>
      </c>
      <c r="IWV1" s="154" t="str">
        <f t="shared" si="104"/>
        <v>y</v>
      </c>
      <c r="IWW1" s="154" t="str">
        <f t="shared" si="104"/>
        <v>y</v>
      </c>
      <c r="IWX1" s="154" t="str">
        <f t="shared" si="104"/>
        <v>y</v>
      </c>
      <c r="IWY1" s="154" t="str">
        <f t="shared" si="104"/>
        <v>y</v>
      </c>
      <c r="IWZ1" s="154" t="str">
        <f t="shared" si="104"/>
        <v>y</v>
      </c>
      <c r="IXA1" s="154" t="str">
        <f t="shared" si="104"/>
        <v>y</v>
      </c>
      <c r="IXB1" s="154" t="str">
        <f t="shared" si="104"/>
        <v>y</v>
      </c>
      <c r="IXC1" s="154" t="str">
        <f t="shared" si="104"/>
        <v>y</v>
      </c>
      <c r="IXD1" s="154" t="str">
        <f t="shared" si="104"/>
        <v>y</v>
      </c>
      <c r="IXE1" s="154" t="str">
        <f t="shared" si="104"/>
        <v>y</v>
      </c>
      <c r="IXF1" s="154" t="str">
        <f t="shared" si="104"/>
        <v>y</v>
      </c>
      <c r="IXG1" s="154" t="str">
        <f t="shared" si="104"/>
        <v>y</v>
      </c>
      <c r="IXH1" s="154" t="str">
        <f t="shared" si="104"/>
        <v>y</v>
      </c>
      <c r="IXI1" s="154" t="str">
        <f t="shared" si="104"/>
        <v>y</v>
      </c>
      <c r="IXJ1" s="154" t="str">
        <f t="shared" si="104"/>
        <v>y</v>
      </c>
      <c r="IXK1" s="154" t="str">
        <f t="shared" si="104"/>
        <v>y</v>
      </c>
      <c r="IXL1" s="154" t="str">
        <f t="shared" si="104"/>
        <v>y</v>
      </c>
      <c r="IXM1" s="154" t="str">
        <f t="shared" si="104"/>
        <v>y</v>
      </c>
      <c r="IXN1" s="154" t="str">
        <f t="shared" si="104"/>
        <v>y</v>
      </c>
      <c r="IXO1" s="154" t="str">
        <f t="shared" si="104"/>
        <v>y</v>
      </c>
      <c r="IXP1" s="154" t="str">
        <f t="shared" ref="IXP1:JAA1" si="105">IXP2&amp;"y"</f>
        <v>y</v>
      </c>
      <c r="IXQ1" s="154" t="str">
        <f t="shared" si="105"/>
        <v>y</v>
      </c>
      <c r="IXR1" s="154" t="str">
        <f t="shared" si="105"/>
        <v>y</v>
      </c>
      <c r="IXS1" s="154" t="str">
        <f t="shared" si="105"/>
        <v>y</v>
      </c>
      <c r="IXT1" s="154" t="str">
        <f t="shared" si="105"/>
        <v>y</v>
      </c>
      <c r="IXU1" s="154" t="str">
        <f t="shared" si="105"/>
        <v>y</v>
      </c>
      <c r="IXV1" s="154" t="str">
        <f t="shared" si="105"/>
        <v>y</v>
      </c>
      <c r="IXW1" s="154" t="str">
        <f t="shared" si="105"/>
        <v>y</v>
      </c>
      <c r="IXX1" s="154" t="str">
        <f t="shared" si="105"/>
        <v>y</v>
      </c>
      <c r="IXY1" s="154" t="str">
        <f t="shared" si="105"/>
        <v>y</v>
      </c>
      <c r="IXZ1" s="154" t="str">
        <f t="shared" si="105"/>
        <v>y</v>
      </c>
      <c r="IYA1" s="154" t="str">
        <f t="shared" si="105"/>
        <v>y</v>
      </c>
      <c r="IYB1" s="154" t="str">
        <f t="shared" si="105"/>
        <v>y</v>
      </c>
      <c r="IYC1" s="154" t="str">
        <f t="shared" si="105"/>
        <v>y</v>
      </c>
      <c r="IYD1" s="154" t="str">
        <f t="shared" si="105"/>
        <v>y</v>
      </c>
      <c r="IYE1" s="154" t="str">
        <f t="shared" si="105"/>
        <v>y</v>
      </c>
      <c r="IYF1" s="154" t="str">
        <f t="shared" si="105"/>
        <v>y</v>
      </c>
      <c r="IYG1" s="154" t="str">
        <f t="shared" si="105"/>
        <v>y</v>
      </c>
      <c r="IYH1" s="154" t="str">
        <f t="shared" si="105"/>
        <v>y</v>
      </c>
      <c r="IYI1" s="154" t="str">
        <f t="shared" si="105"/>
        <v>y</v>
      </c>
      <c r="IYJ1" s="154" t="str">
        <f t="shared" si="105"/>
        <v>y</v>
      </c>
      <c r="IYK1" s="154" t="str">
        <f t="shared" si="105"/>
        <v>y</v>
      </c>
      <c r="IYL1" s="154" t="str">
        <f t="shared" si="105"/>
        <v>y</v>
      </c>
      <c r="IYM1" s="154" t="str">
        <f t="shared" si="105"/>
        <v>y</v>
      </c>
      <c r="IYN1" s="154" t="str">
        <f t="shared" si="105"/>
        <v>y</v>
      </c>
      <c r="IYO1" s="154" t="str">
        <f t="shared" si="105"/>
        <v>y</v>
      </c>
      <c r="IYP1" s="154" t="str">
        <f t="shared" si="105"/>
        <v>y</v>
      </c>
      <c r="IYQ1" s="154" t="str">
        <f t="shared" si="105"/>
        <v>y</v>
      </c>
      <c r="IYR1" s="154" t="str">
        <f t="shared" si="105"/>
        <v>y</v>
      </c>
      <c r="IYS1" s="154" t="str">
        <f t="shared" si="105"/>
        <v>y</v>
      </c>
      <c r="IYT1" s="154" t="str">
        <f t="shared" si="105"/>
        <v>y</v>
      </c>
      <c r="IYU1" s="154" t="str">
        <f t="shared" si="105"/>
        <v>y</v>
      </c>
      <c r="IYV1" s="154" t="str">
        <f t="shared" si="105"/>
        <v>y</v>
      </c>
      <c r="IYW1" s="154" t="str">
        <f t="shared" si="105"/>
        <v>y</v>
      </c>
      <c r="IYX1" s="154" t="str">
        <f t="shared" si="105"/>
        <v>y</v>
      </c>
      <c r="IYY1" s="154" t="str">
        <f t="shared" si="105"/>
        <v>y</v>
      </c>
      <c r="IYZ1" s="154" t="str">
        <f t="shared" si="105"/>
        <v>y</v>
      </c>
      <c r="IZA1" s="154" t="str">
        <f t="shared" si="105"/>
        <v>y</v>
      </c>
      <c r="IZB1" s="154" t="str">
        <f t="shared" si="105"/>
        <v>y</v>
      </c>
      <c r="IZC1" s="154" t="str">
        <f t="shared" si="105"/>
        <v>y</v>
      </c>
      <c r="IZD1" s="154" t="str">
        <f t="shared" si="105"/>
        <v>y</v>
      </c>
      <c r="IZE1" s="154" t="str">
        <f t="shared" si="105"/>
        <v>y</v>
      </c>
      <c r="IZF1" s="154" t="str">
        <f t="shared" si="105"/>
        <v>y</v>
      </c>
      <c r="IZG1" s="154" t="str">
        <f t="shared" si="105"/>
        <v>y</v>
      </c>
      <c r="IZH1" s="154" t="str">
        <f t="shared" si="105"/>
        <v>y</v>
      </c>
      <c r="IZI1" s="154" t="str">
        <f t="shared" si="105"/>
        <v>y</v>
      </c>
      <c r="IZJ1" s="154" t="str">
        <f t="shared" si="105"/>
        <v>y</v>
      </c>
      <c r="IZK1" s="154" t="str">
        <f t="shared" si="105"/>
        <v>y</v>
      </c>
      <c r="IZL1" s="154" t="str">
        <f t="shared" si="105"/>
        <v>y</v>
      </c>
      <c r="IZM1" s="154" t="str">
        <f t="shared" si="105"/>
        <v>y</v>
      </c>
      <c r="IZN1" s="154" t="str">
        <f t="shared" si="105"/>
        <v>y</v>
      </c>
      <c r="IZO1" s="154" t="str">
        <f t="shared" si="105"/>
        <v>y</v>
      </c>
      <c r="IZP1" s="154" t="str">
        <f t="shared" si="105"/>
        <v>y</v>
      </c>
      <c r="IZQ1" s="154" t="str">
        <f t="shared" si="105"/>
        <v>y</v>
      </c>
      <c r="IZR1" s="154" t="str">
        <f t="shared" si="105"/>
        <v>y</v>
      </c>
      <c r="IZS1" s="154" t="str">
        <f t="shared" si="105"/>
        <v>y</v>
      </c>
      <c r="IZT1" s="154" t="str">
        <f t="shared" si="105"/>
        <v>y</v>
      </c>
      <c r="IZU1" s="154" t="str">
        <f t="shared" si="105"/>
        <v>y</v>
      </c>
      <c r="IZV1" s="154" t="str">
        <f t="shared" si="105"/>
        <v>y</v>
      </c>
      <c r="IZW1" s="154" t="str">
        <f t="shared" si="105"/>
        <v>y</v>
      </c>
      <c r="IZX1" s="154" t="str">
        <f t="shared" si="105"/>
        <v>y</v>
      </c>
      <c r="IZY1" s="154" t="str">
        <f t="shared" si="105"/>
        <v>y</v>
      </c>
      <c r="IZZ1" s="154" t="str">
        <f t="shared" si="105"/>
        <v>y</v>
      </c>
      <c r="JAA1" s="154" t="str">
        <f t="shared" si="105"/>
        <v>y</v>
      </c>
      <c r="JAB1" s="154" t="str">
        <f t="shared" ref="JAB1:JCM1" si="106">JAB2&amp;"y"</f>
        <v>y</v>
      </c>
      <c r="JAC1" s="154" t="str">
        <f t="shared" si="106"/>
        <v>y</v>
      </c>
      <c r="JAD1" s="154" t="str">
        <f t="shared" si="106"/>
        <v>y</v>
      </c>
      <c r="JAE1" s="154" t="str">
        <f t="shared" si="106"/>
        <v>y</v>
      </c>
      <c r="JAF1" s="154" t="str">
        <f t="shared" si="106"/>
        <v>y</v>
      </c>
      <c r="JAG1" s="154" t="str">
        <f t="shared" si="106"/>
        <v>y</v>
      </c>
      <c r="JAH1" s="154" t="str">
        <f t="shared" si="106"/>
        <v>y</v>
      </c>
      <c r="JAI1" s="154" t="str">
        <f t="shared" si="106"/>
        <v>y</v>
      </c>
      <c r="JAJ1" s="154" t="str">
        <f t="shared" si="106"/>
        <v>y</v>
      </c>
      <c r="JAK1" s="154" t="str">
        <f t="shared" si="106"/>
        <v>y</v>
      </c>
      <c r="JAL1" s="154" t="str">
        <f t="shared" si="106"/>
        <v>y</v>
      </c>
      <c r="JAM1" s="154" t="str">
        <f t="shared" si="106"/>
        <v>y</v>
      </c>
      <c r="JAN1" s="154" t="str">
        <f t="shared" si="106"/>
        <v>y</v>
      </c>
      <c r="JAO1" s="154" t="str">
        <f t="shared" si="106"/>
        <v>y</v>
      </c>
      <c r="JAP1" s="154" t="str">
        <f t="shared" si="106"/>
        <v>y</v>
      </c>
      <c r="JAQ1" s="154" t="str">
        <f t="shared" si="106"/>
        <v>y</v>
      </c>
      <c r="JAR1" s="154" t="str">
        <f t="shared" si="106"/>
        <v>y</v>
      </c>
      <c r="JAS1" s="154" t="str">
        <f t="shared" si="106"/>
        <v>y</v>
      </c>
      <c r="JAT1" s="154" t="str">
        <f t="shared" si="106"/>
        <v>y</v>
      </c>
      <c r="JAU1" s="154" t="str">
        <f t="shared" si="106"/>
        <v>y</v>
      </c>
      <c r="JAV1" s="154" t="str">
        <f t="shared" si="106"/>
        <v>y</v>
      </c>
      <c r="JAW1" s="154" t="str">
        <f t="shared" si="106"/>
        <v>y</v>
      </c>
      <c r="JAX1" s="154" t="str">
        <f t="shared" si="106"/>
        <v>y</v>
      </c>
      <c r="JAY1" s="154" t="str">
        <f t="shared" si="106"/>
        <v>y</v>
      </c>
      <c r="JAZ1" s="154" t="str">
        <f t="shared" si="106"/>
        <v>y</v>
      </c>
      <c r="JBA1" s="154" t="str">
        <f t="shared" si="106"/>
        <v>y</v>
      </c>
      <c r="JBB1" s="154" t="str">
        <f t="shared" si="106"/>
        <v>y</v>
      </c>
      <c r="JBC1" s="154" t="str">
        <f t="shared" si="106"/>
        <v>y</v>
      </c>
      <c r="JBD1" s="154" t="str">
        <f t="shared" si="106"/>
        <v>y</v>
      </c>
      <c r="JBE1" s="154" t="str">
        <f t="shared" si="106"/>
        <v>y</v>
      </c>
      <c r="JBF1" s="154" t="str">
        <f t="shared" si="106"/>
        <v>y</v>
      </c>
      <c r="JBG1" s="154" t="str">
        <f t="shared" si="106"/>
        <v>y</v>
      </c>
      <c r="JBH1" s="154" t="str">
        <f t="shared" si="106"/>
        <v>y</v>
      </c>
      <c r="JBI1" s="154" t="str">
        <f t="shared" si="106"/>
        <v>y</v>
      </c>
      <c r="JBJ1" s="154" t="str">
        <f t="shared" si="106"/>
        <v>y</v>
      </c>
      <c r="JBK1" s="154" t="str">
        <f t="shared" si="106"/>
        <v>y</v>
      </c>
      <c r="JBL1" s="154" t="str">
        <f t="shared" si="106"/>
        <v>y</v>
      </c>
      <c r="JBM1" s="154" t="str">
        <f t="shared" si="106"/>
        <v>y</v>
      </c>
      <c r="JBN1" s="154" t="str">
        <f t="shared" si="106"/>
        <v>y</v>
      </c>
      <c r="JBO1" s="154" t="str">
        <f t="shared" si="106"/>
        <v>y</v>
      </c>
      <c r="JBP1" s="154" t="str">
        <f t="shared" si="106"/>
        <v>y</v>
      </c>
      <c r="JBQ1" s="154" t="str">
        <f t="shared" si="106"/>
        <v>y</v>
      </c>
      <c r="JBR1" s="154" t="str">
        <f t="shared" si="106"/>
        <v>y</v>
      </c>
      <c r="JBS1" s="154" t="str">
        <f t="shared" si="106"/>
        <v>y</v>
      </c>
      <c r="JBT1" s="154" t="str">
        <f t="shared" si="106"/>
        <v>y</v>
      </c>
      <c r="JBU1" s="154" t="str">
        <f t="shared" si="106"/>
        <v>y</v>
      </c>
      <c r="JBV1" s="154" t="str">
        <f t="shared" si="106"/>
        <v>y</v>
      </c>
      <c r="JBW1" s="154" t="str">
        <f t="shared" si="106"/>
        <v>y</v>
      </c>
      <c r="JBX1" s="154" t="str">
        <f t="shared" si="106"/>
        <v>y</v>
      </c>
      <c r="JBY1" s="154" t="str">
        <f t="shared" si="106"/>
        <v>y</v>
      </c>
      <c r="JBZ1" s="154" t="str">
        <f t="shared" si="106"/>
        <v>y</v>
      </c>
      <c r="JCA1" s="154" t="str">
        <f t="shared" si="106"/>
        <v>y</v>
      </c>
      <c r="JCB1" s="154" t="str">
        <f t="shared" si="106"/>
        <v>y</v>
      </c>
      <c r="JCC1" s="154" t="str">
        <f t="shared" si="106"/>
        <v>y</v>
      </c>
      <c r="JCD1" s="154" t="str">
        <f t="shared" si="106"/>
        <v>y</v>
      </c>
      <c r="JCE1" s="154" t="str">
        <f t="shared" si="106"/>
        <v>y</v>
      </c>
      <c r="JCF1" s="154" t="str">
        <f t="shared" si="106"/>
        <v>y</v>
      </c>
      <c r="JCG1" s="154" t="str">
        <f t="shared" si="106"/>
        <v>y</v>
      </c>
      <c r="JCH1" s="154" t="str">
        <f t="shared" si="106"/>
        <v>y</v>
      </c>
      <c r="JCI1" s="154" t="str">
        <f t="shared" si="106"/>
        <v>y</v>
      </c>
      <c r="JCJ1" s="154" t="str">
        <f t="shared" si="106"/>
        <v>y</v>
      </c>
      <c r="JCK1" s="154" t="str">
        <f t="shared" si="106"/>
        <v>y</v>
      </c>
      <c r="JCL1" s="154" t="str">
        <f t="shared" si="106"/>
        <v>y</v>
      </c>
      <c r="JCM1" s="154" t="str">
        <f t="shared" si="106"/>
        <v>y</v>
      </c>
      <c r="JCN1" s="154" t="str">
        <f t="shared" ref="JCN1:JEY1" si="107">JCN2&amp;"y"</f>
        <v>y</v>
      </c>
      <c r="JCO1" s="154" t="str">
        <f t="shared" si="107"/>
        <v>y</v>
      </c>
      <c r="JCP1" s="154" t="str">
        <f t="shared" si="107"/>
        <v>y</v>
      </c>
      <c r="JCQ1" s="154" t="str">
        <f t="shared" si="107"/>
        <v>y</v>
      </c>
      <c r="JCR1" s="154" t="str">
        <f t="shared" si="107"/>
        <v>y</v>
      </c>
      <c r="JCS1" s="154" t="str">
        <f t="shared" si="107"/>
        <v>y</v>
      </c>
      <c r="JCT1" s="154" t="str">
        <f t="shared" si="107"/>
        <v>y</v>
      </c>
      <c r="JCU1" s="154" t="str">
        <f t="shared" si="107"/>
        <v>y</v>
      </c>
      <c r="JCV1" s="154" t="str">
        <f t="shared" si="107"/>
        <v>y</v>
      </c>
      <c r="JCW1" s="154" t="str">
        <f t="shared" si="107"/>
        <v>y</v>
      </c>
      <c r="JCX1" s="154" t="str">
        <f t="shared" si="107"/>
        <v>y</v>
      </c>
      <c r="JCY1" s="154" t="str">
        <f t="shared" si="107"/>
        <v>y</v>
      </c>
      <c r="JCZ1" s="154" t="str">
        <f t="shared" si="107"/>
        <v>y</v>
      </c>
      <c r="JDA1" s="154" t="str">
        <f t="shared" si="107"/>
        <v>y</v>
      </c>
      <c r="JDB1" s="154" t="str">
        <f t="shared" si="107"/>
        <v>y</v>
      </c>
      <c r="JDC1" s="154" t="str">
        <f t="shared" si="107"/>
        <v>y</v>
      </c>
      <c r="JDD1" s="154" t="str">
        <f t="shared" si="107"/>
        <v>y</v>
      </c>
      <c r="JDE1" s="154" t="str">
        <f t="shared" si="107"/>
        <v>y</v>
      </c>
      <c r="JDF1" s="154" t="str">
        <f t="shared" si="107"/>
        <v>y</v>
      </c>
      <c r="JDG1" s="154" t="str">
        <f t="shared" si="107"/>
        <v>y</v>
      </c>
      <c r="JDH1" s="154" t="str">
        <f t="shared" si="107"/>
        <v>y</v>
      </c>
      <c r="JDI1" s="154" t="str">
        <f t="shared" si="107"/>
        <v>y</v>
      </c>
      <c r="JDJ1" s="154" t="str">
        <f t="shared" si="107"/>
        <v>y</v>
      </c>
      <c r="JDK1" s="154" t="str">
        <f t="shared" si="107"/>
        <v>y</v>
      </c>
      <c r="JDL1" s="154" t="str">
        <f t="shared" si="107"/>
        <v>y</v>
      </c>
      <c r="JDM1" s="154" t="str">
        <f t="shared" si="107"/>
        <v>y</v>
      </c>
      <c r="JDN1" s="154" t="str">
        <f t="shared" si="107"/>
        <v>y</v>
      </c>
      <c r="JDO1" s="154" t="str">
        <f t="shared" si="107"/>
        <v>y</v>
      </c>
      <c r="JDP1" s="154" t="str">
        <f t="shared" si="107"/>
        <v>y</v>
      </c>
      <c r="JDQ1" s="154" t="str">
        <f t="shared" si="107"/>
        <v>y</v>
      </c>
      <c r="JDR1" s="154" t="str">
        <f t="shared" si="107"/>
        <v>y</v>
      </c>
      <c r="JDS1" s="154" t="str">
        <f t="shared" si="107"/>
        <v>y</v>
      </c>
      <c r="JDT1" s="154" t="str">
        <f t="shared" si="107"/>
        <v>y</v>
      </c>
      <c r="JDU1" s="154" t="str">
        <f t="shared" si="107"/>
        <v>y</v>
      </c>
      <c r="JDV1" s="154" t="str">
        <f t="shared" si="107"/>
        <v>y</v>
      </c>
      <c r="JDW1" s="154" t="str">
        <f t="shared" si="107"/>
        <v>y</v>
      </c>
      <c r="JDX1" s="154" t="str">
        <f t="shared" si="107"/>
        <v>y</v>
      </c>
      <c r="JDY1" s="154" t="str">
        <f t="shared" si="107"/>
        <v>y</v>
      </c>
      <c r="JDZ1" s="154" t="str">
        <f t="shared" si="107"/>
        <v>y</v>
      </c>
      <c r="JEA1" s="154" t="str">
        <f t="shared" si="107"/>
        <v>y</v>
      </c>
      <c r="JEB1" s="154" t="str">
        <f t="shared" si="107"/>
        <v>y</v>
      </c>
      <c r="JEC1" s="154" t="str">
        <f t="shared" si="107"/>
        <v>y</v>
      </c>
      <c r="JED1" s="154" t="str">
        <f t="shared" si="107"/>
        <v>y</v>
      </c>
      <c r="JEE1" s="154" t="str">
        <f t="shared" si="107"/>
        <v>y</v>
      </c>
      <c r="JEF1" s="154" t="str">
        <f t="shared" si="107"/>
        <v>y</v>
      </c>
      <c r="JEG1" s="154" t="str">
        <f t="shared" si="107"/>
        <v>y</v>
      </c>
      <c r="JEH1" s="154" t="str">
        <f t="shared" si="107"/>
        <v>y</v>
      </c>
      <c r="JEI1" s="154" t="str">
        <f t="shared" si="107"/>
        <v>y</v>
      </c>
      <c r="JEJ1" s="154" t="str">
        <f t="shared" si="107"/>
        <v>y</v>
      </c>
      <c r="JEK1" s="154" t="str">
        <f t="shared" si="107"/>
        <v>y</v>
      </c>
      <c r="JEL1" s="154" t="str">
        <f t="shared" si="107"/>
        <v>y</v>
      </c>
      <c r="JEM1" s="154" t="str">
        <f t="shared" si="107"/>
        <v>y</v>
      </c>
      <c r="JEN1" s="154" t="str">
        <f t="shared" si="107"/>
        <v>y</v>
      </c>
      <c r="JEO1" s="154" t="str">
        <f t="shared" si="107"/>
        <v>y</v>
      </c>
      <c r="JEP1" s="154" t="str">
        <f t="shared" si="107"/>
        <v>y</v>
      </c>
      <c r="JEQ1" s="154" t="str">
        <f t="shared" si="107"/>
        <v>y</v>
      </c>
      <c r="JER1" s="154" t="str">
        <f t="shared" si="107"/>
        <v>y</v>
      </c>
      <c r="JES1" s="154" t="str">
        <f t="shared" si="107"/>
        <v>y</v>
      </c>
      <c r="JET1" s="154" t="str">
        <f t="shared" si="107"/>
        <v>y</v>
      </c>
      <c r="JEU1" s="154" t="str">
        <f t="shared" si="107"/>
        <v>y</v>
      </c>
      <c r="JEV1" s="154" t="str">
        <f t="shared" si="107"/>
        <v>y</v>
      </c>
      <c r="JEW1" s="154" t="str">
        <f t="shared" si="107"/>
        <v>y</v>
      </c>
      <c r="JEX1" s="154" t="str">
        <f t="shared" si="107"/>
        <v>y</v>
      </c>
      <c r="JEY1" s="154" t="str">
        <f t="shared" si="107"/>
        <v>y</v>
      </c>
      <c r="JEZ1" s="154" t="str">
        <f t="shared" ref="JEZ1:JHK1" si="108">JEZ2&amp;"y"</f>
        <v>y</v>
      </c>
      <c r="JFA1" s="154" t="str">
        <f t="shared" si="108"/>
        <v>y</v>
      </c>
      <c r="JFB1" s="154" t="str">
        <f t="shared" si="108"/>
        <v>y</v>
      </c>
      <c r="JFC1" s="154" t="str">
        <f t="shared" si="108"/>
        <v>y</v>
      </c>
      <c r="JFD1" s="154" t="str">
        <f t="shared" si="108"/>
        <v>y</v>
      </c>
      <c r="JFE1" s="154" t="str">
        <f t="shared" si="108"/>
        <v>y</v>
      </c>
      <c r="JFF1" s="154" t="str">
        <f t="shared" si="108"/>
        <v>y</v>
      </c>
      <c r="JFG1" s="154" t="str">
        <f t="shared" si="108"/>
        <v>y</v>
      </c>
      <c r="JFH1" s="154" t="str">
        <f t="shared" si="108"/>
        <v>y</v>
      </c>
      <c r="JFI1" s="154" t="str">
        <f t="shared" si="108"/>
        <v>y</v>
      </c>
      <c r="JFJ1" s="154" t="str">
        <f t="shared" si="108"/>
        <v>y</v>
      </c>
      <c r="JFK1" s="154" t="str">
        <f t="shared" si="108"/>
        <v>y</v>
      </c>
      <c r="JFL1" s="154" t="str">
        <f t="shared" si="108"/>
        <v>y</v>
      </c>
      <c r="JFM1" s="154" t="str">
        <f t="shared" si="108"/>
        <v>y</v>
      </c>
      <c r="JFN1" s="154" t="str">
        <f t="shared" si="108"/>
        <v>y</v>
      </c>
      <c r="JFO1" s="154" t="str">
        <f t="shared" si="108"/>
        <v>y</v>
      </c>
      <c r="JFP1" s="154" t="str">
        <f t="shared" si="108"/>
        <v>y</v>
      </c>
      <c r="JFQ1" s="154" t="str">
        <f t="shared" si="108"/>
        <v>y</v>
      </c>
      <c r="JFR1" s="154" t="str">
        <f t="shared" si="108"/>
        <v>y</v>
      </c>
      <c r="JFS1" s="154" t="str">
        <f t="shared" si="108"/>
        <v>y</v>
      </c>
      <c r="JFT1" s="154" t="str">
        <f t="shared" si="108"/>
        <v>y</v>
      </c>
      <c r="JFU1" s="154" t="str">
        <f t="shared" si="108"/>
        <v>y</v>
      </c>
      <c r="JFV1" s="154" t="str">
        <f t="shared" si="108"/>
        <v>y</v>
      </c>
      <c r="JFW1" s="154" t="str">
        <f t="shared" si="108"/>
        <v>y</v>
      </c>
      <c r="JFX1" s="154" t="str">
        <f t="shared" si="108"/>
        <v>y</v>
      </c>
      <c r="JFY1" s="154" t="str">
        <f t="shared" si="108"/>
        <v>y</v>
      </c>
      <c r="JFZ1" s="154" t="str">
        <f t="shared" si="108"/>
        <v>y</v>
      </c>
      <c r="JGA1" s="154" t="str">
        <f t="shared" si="108"/>
        <v>y</v>
      </c>
      <c r="JGB1" s="154" t="str">
        <f t="shared" si="108"/>
        <v>y</v>
      </c>
      <c r="JGC1" s="154" t="str">
        <f t="shared" si="108"/>
        <v>y</v>
      </c>
      <c r="JGD1" s="154" t="str">
        <f t="shared" si="108"/>
        <v>y</v>
      </c>
      <c r="JGE1" s="154" t="str">
        <f t="shared" si="108"/>
        <v>y</v>
      </c>
      <c r="JGF1" s="154" t="str">
        <f t="shared" si="108"/>
        <v>y</v>
      </c>
      <c r="JGG1" s="154" t="str">
        <f t="shared" si="108"/>
        <v>y</v>
      </c>
      <c r="JGH1" s="154" t="str">
        <f t="shared" si="108"/>
        <v>y</v>
      </c>
      <c r="JGI1" s="154" t="str">
        <f t="shared" si="108"/>
        <v>y</v>
      </c>
      <c r="JGJ1" s="154" t="str">
        <f t="shared" si="108"/>
        <v>y</v>
      </c>
      <c r="JGK1" s="154" t="str">
        <f t="shared" si="108"/>
        <v>y</v>
      </c>
      <c r="JGL1" s="154" t="str">
        <f t="shared" si="108"/>
        <v>y</v>
      </c>
      <c r="JGM1" s="154" t="str">
        <f t="shared" si="108"/>
        <v>y</v>
      </c>
      <c r="JGN1" s="154" t="str">
        <f t="shared" si="108"/>
        <v>y</v>
      </c>
      <c r="JGO1" s="154" t="str">
        <f t="shared" si="108"/>
        <v>y</v>
      </c>
      <c r="JGP1" s="154" t="str">
        <f t="shared" si="108"/>
        <v>y</v>
      </c>
      <c r="JGQ1" s="154" t="str">
        <f t="shared" si="108"/>
        <v>y</v>
      </c>
      <c r="JGR1" s="154" t="str">
        <f t="shared" si="108"/>
        <v>y</v>
      </c>
      <c r="JGS1" s="154" t="str">
        <f t="shared" si="108"/>
        <v>y</v>
      </c>
      <c r="JGT1" s="154" t="str">
        <f t="shared" si="108"/>
        <v>y</v>
      </c>
      <c r="JGU1" s="154" t="str">
        <f t="shared" si="108"/>
        <v>y</v>
      </c>
      <c r="JGV1" s="154" t="str">
        <f t="shared" si="108"/>
        <v>y</v>
      </c>
      <c r="JGW1" s="154" t="str">
        <f t="shared" si="108"/>
        <v>y</v>
      </c>
      <c r="JGX1" s="154" t="str">
        <f t="shared" si="108"/>
        <v>y</v>
      </c>
      <c r="JGY1" s="154" t="str">
        <f t="shared" si="108"/>
        <v>y</v>
      </c>
      <c r="JGZ1" s="154" t="str">
        <f t="shared" si="108"/>
        <v>y</v>
      </c>
      <c r="JHA1" s="154" t="str">
        <f t="shared" si="108"/>
        <v>y</v>
      </c>
      <c r="JHB1" s="154" t="str">
        <f t="shared" si="108"/>
        <v>y</v>
      </c>
      <c r="JHC1" s="154" t="str">
        <f t="shared" si="108"/>
        <v>y</v>
      </c>
      <c r="JHD1" s="154" t="str">
        <f t="shared" si="108"/>
        <v>y</v>
      </c>
      <c r="JHE1" s="154" t="str">
        <f t="shared" si="108"/>
        <v>y</v>
      </c>
      <c r="JHF1" s="154" t="str">
        <f t="shared" si="108"/>
        <v>y</v>
      </c>
      <c r="JHG1" s="154" t="str">
        <f t="shared" si="108"/>
        <v>y</v>
      </c>
      <c r="JHH1" s="154" t="str">
        <f t="shared" si="108"/>
        <v>y</v>
      </c>
      <c r="JHI1" s="154" t="str">
        <f t="shared" si="108"/>
        <v>y</v>
      </c>
      <c r="JHJ1" s="154" t="str">
        <f t="shared" si="108"/>
        <v>y</v>
      </c>
      <c r="JHK1" s="154" t="str">
        <f t="shared" si="108"/>
        <v>y</v>
      </c>
      <c r="JHL1" s="154" t="str">
        <f t="shared" ref="JHL1:JJW1" si="109">JHL2&amp;"y"</f>
        <v>y</v>
      </c>
      <c r="JHM1" s="154" t="str">
        <f t="shared" si="109"/>
        <v>y</v>
      </c>
      <c r="JHN1" s="154" t="str">
        <f t="shared" si="109"/>
        <v>y</v>
      </c>
      <c r="JHO1" s="154" t="str">
        <f t="shared" si="109"/>
        <v>y</v>
      </c>
      <c r="JHP1" s="154" t="str">
        <f t="shared" si="109"/>
        <v>y</v>
      </c>
      <c r="JHQ1" s="154" t="str">
        <f t="shared" si="109"/>
        <v>y</v>
      </c>
      <c r="JHR1" s="154" t="str">
        <f t="shared" si="109"/>
        <v>y</v>
      </c>
      <c r="JHS1" s="154" t="str">
        <f t="shared" si="109"/>
        <v>y</v>
      </c>
      <c r="JHT1" s="154" t="str">
        <f t="shared" si="109"/>
        <v>y</v>
      </c>
      <c r="JHU1" s="154" t="str">
        <f t="shared" si="109"/>
        <v>y</v>
      </c>
      <c r="JHV1" s="154" t="str">
        <f t="shared" si="109"/>
        <v>y</v>
      </c>
      <c r="JHW1" s="154" t="str">
        <f t="shared" si="109"/>
        <v>y</v>
      </c>
      <c r="JHX1" s="154" t="str">
        <f t="shared" si="109"/>
        <v>y</v>
      </c>
      <c r="JHY1" s="154" t="str">
        <f t="shared" si="109"/>
        <v>y</v>
      </c>
      <c r="JHZ1" s="154" t="str">
        <f t="shared" si="109"/>
        <v>y</v>
      </c>
      <c r="JIA1" s="154" t="str">
        <f t="shared" si="109"/>
        <v>y</v>
      </c>
      <c r="JIB1" s="154" t="str">
        <f t="shared" si="109"/>
        <v>y</v>
      </c>
      <c r="JIC1" s="154" t="str">
        <f t="shared" si="109"/>
        <v>y</v>
      </c>
      <c r="JID1" s="154" t="str">
        <f t="shared" si="109"/>
        <v>y</v>
      </c>
      <c r="JIE1" s="154" t="str">
        <f t="shared" si="109"/>
        <v>y</v>
      </c>
      <c r="JIF1" s="154" t="str">
        <f t="shared" si="109"/>
        <v>y</v>
      </c>
      <c r="JIG1" s="154" t="str">
        <f t="shared" si="109"/>
        <v>y</v>
      </c>
      <c r="JIH1" s="154" t="str">
        <f t="shared" si="109"/>
        <v>y</v>
      </c>
      <c r="JII1" s="154" t="str">
        <f t="shared" si="109"/>
        <v>y</v>
      </c>
      <c r="JIJ1" s="154" t="str">
        <f t="shared" si="109"/>
        <v>y</v>
      </c>
      <c r="JIK1" s="154" t="str">
        <f t="shared" si="109"/>
        <v>y</v>
      </c>
      <c r="JIL1" s="154" t="str">
        <f t="shared" si="109"/>
        <v>y</v>
      </c>
      <c r="JIM1" s="154" t="str">
        <f t="shared" si="109"/>
        <v>y</v>
      </c>
      <c r="JIN1" s="154" t="str">
        <f t="shared" si="109"/>
        <v>y</v>
      </c>
      <c r="JIO1" s="154" t="str">
        <f t="shared" si="109"/>
        <v>y</v>
      </c>
      <c r="JIP1" s="154" t="str">
        <f t="shared" si="109"/>
        <v>y</v>
      </c>
      <c r="JIQ1" s="154" t="str">
        <f t="shared" si="109"/>
        <v>y</v>
      </c>
      <c r="JIR1" s="154" t="str">
        <f t="shared" si="109"/>
        <v>y</v>
      </c>
      <c r="JIS1" s="154" t="str">
        <f t="shared" si="109"/>
        <v>y</v>
      </c>
      <c r="JIT1" s="154" t="str">
        <f t="shared" si="109"/>
        <v>y</v>
      </c>
      <c r="JIU1" s="154" t="str">
        <f t="shared" si="109"/>
        <v>y</v>
      </c>
      <c r="JIV1" s="154" t="str">
        <f t="shared" si="109"/>
        <v>y</v>
      </c>
      <c r="JIW1" s="154" t="str">
        <f t="shared" si="109"/>
        <v>y</v>
      </c>
      <c r="JIX1" s="154" t="str">
        <f t="shared" si="109"/>
        <v>y</v>
      </c>
      <c r="JIY1" s="154" t="str">
        <f t="shared" si="109"/>
        <v>y</v>
      </c>
      <c r="JIZ1" s="154" t="str">
        <f t="shared" si="109"/>
        <v>y</v>
      </c>
      <c r="JJA1" s="154" t="str">
        <f t="shared" si="109"/>
        <v>y</v>
      </c>
      <c r="JJB1" s="154" t="str">
        <f t="shared" si="109"/>
        <v>y</v>
      </c>
      <c r="JJC1" s="154" t="str">
        <f t="shared" si="109"/>
        <v>y</v>
      </c>
      <c r="JJD1" s="154" t="str">
        <f t="shared" si="109"/>
        <v>y</v>
      </c>
      <c r="JJE1" s="154" t="str">
        <f t="shared" si="109"/>
        <v>y</v>
      </c>
      <c r="JJF1" s="154" t="str">
        <f t="shared" si="109"/>
        <v>y</v>
      </c>
      <c r="JJG1" s="154" t="str">
        <f t="shared" si="109"/>
        <v>y</v>
      </c>
      <c r="JJH1" s="154" t="str">
        <f t="shared" si="109"/>
        <v>y</v>
      </c>
      <c r="JJI1" s="154" t="str">
        <f t="shared" si="109"/>
        <v>y</v>
      </c>
      <c r="JJJ1" s="154" t="str">
        <f t="shared" si="109"/>
        <v>y</v>
      </c>
      <c r="JJK1" s="154" t="str">
        <f t="shared" si="109"/>
        <v>y</v>
      </c>
      <c r="JJL1" s="154" t="str">
        <f t="shared" si="109"/>
        <v>y</v>
      </c>
      <c r="JJM1" s="154" t="str">
        <f t="shared" si="109"/>
        <v>y</v>
      </c>
      <c r="JJN1" s="154" t="str">
        <f t="shared" si="109"/>
        <v>y</v>
      </c>
      <c r="JJO1" s="154" t="str">
        <f t="shared" si="109"/>
        <v>y</v>
      </c>
      <c r="JJP1" s="154" t="str">
        <f t="shared" si="109"/>
        <v>y</v>
      </c>
      <c r="JJQ1" s="154" t="str">
        <f t="shared" si="109"/>
        <v>y</v>
      </c>
      <c r="JJR1" s="154" t="str">
        <f t="shared" si="109"/>
        <v>y</v>
      </c>
      <c r="JJS1" s="154" t="str">
        <f t="shared" si="109"/>
        <v>y</v>
      </c>
      <c r="JJT1" s="154" t="str">
        <f t="shared" si="109"/>
        <v>y</v>
      </c>
      <c r="JJU1" s="154" t="str">
        <f t="shared" si="109"/>
        <v>y</v>
      </c>
      <c r="JJV1" s="154" t="str">
        <f t="shared" si="109"/>
        <v>y</v>
      </c>
      <c r="JJW1" s="154" t="str">
        <f t="shared" si="109"/>
        <v>y</v>
      </c>
      <c r="JJX1" s="154" t="str">
        <f t="shared" ref="JJX1:JMI1" si="110">JJX2&amp;"y"</f>
        <v>y</v>
      </c>
      <c r="JJY1" s="154" t="str">
        <f t="shared" si="110"/>
        <v>y</v>
      </c>
      <c r="JJZ1" s="154" t="str">
        <f t="shared" si="110"/>
        <v>y</v>
      </c>
      <c r="JKA1" s="154" t="str">
        <f t="shared" si="110"/>
        <v>y</v>
      </c>
      <c r="JKB1" s="154" t="str">
        <f t="shared" si="110"/>
        <v>y</v>
      </c>
      <c r="JKC1" s="154" t="str">
        <f t="shared" si="110"/>
        <v>y</v>
      </c>
      <c r="JKD1" s="154" t="str">
        <f t="shared" si="110"/>
        <v>y</v>
      </c>
      <c r="JKE1" s="154" t="str">
        <f t="shared" si="110"/>
        <v>y</v>
      </c>
      <c r="JKF1" s="154" t="str">
        <f t="shared" si="110"/>
        <v>y</v>
      </c>
      <c r="JKG1" s="154" t="str">
        <f t="shared" si="110"/>
        <v>y</v>
      </c>
      <c r="JKH1" s="154" t="str">
        <f t="shared" si="110"/>
        <v>y</v>
      </c>
      <c r="JKI1" s="154" t="str">
        <f t="shared" si="110"/>
        <v>y</v>
      </c>
      <c r="JKJ1" s="154" t="str">
        <f t="shared" si="110"/>
        <v>y</v>
      </c>
      <c r="JKK1" s="154" t="str">
        <f t="shared" si="110"/>
        <v>y</v>
      </c>
      <c r="JKL1" s="154" t="str">
        <f t="shared" si="110"/>
        <v>y</v>
      </c>
      <c r="JKM1" s="154" t="str">
        <f t="shared" si="110"/>
        <v>y</v>
      </c>
      <c r="JKN1" s="154" t="str">
        <f t="shared" si="110"/>
        <v>y</v>
      </c>
      <c r="JKO1" s="154" t="str">
        <f t="shared" si="110"/>
        <v>y</v>
      </c>
      <c r="JKP1" s="154" t="str">
        <f t="shared" si="110"/>
        <v>y</v>
      </c>
      <c r="JKQ1" s="154" t="str">
        <f t="shared" si="110"/>
        <v>y</v>
      </c>
      <c r="JKR1" s="154" t="str">
        <f t="shared" si="110"/>
        <v>y</v>
      </c>
      <c r="JKS1" s="154" t="str">
        <f t="shared" si="110"/>
        <v>y</v>
      </c>
      <c r="JKT1" s="154" t="str">
        <f t="shared" si="110"/>
        <v>y</v>
      </c>
      <c r="JKU1" s="154" t="str">
        <f t="shared" si="110"/>
        <v>y</v>
      </c>
      <c r="JKV1" s="154" t="str">
        <f t="shared" si="110"/>
        <v>y</v>
      </c>
      <c r="JKW1" s="154" t="str">
        <f t="shared" si="110"/>
        <v>y</v>
      </c>
      <c r="JKX1" s="154" t="str">
        <f t="shared" si="110"/>
        <v>y</v>
      </c>
      <c r="JKY1" s="154" t="str">
        <f t="shared" si="110"/>
        <v>y</v>
      </c>
      <c r="JKZ1" s="154" t="str">
        <f t="shared" si="110"/>
        <v>y</v>
      </c>
      <c r="JLA1" s="154" t="str">
        <f t="shared" si="110"/>
        <v>y</v>
      </c>
      <c r="JLB1" s="154" t="str">
        <f t="shared" si="110"/>
        <v>y</v>
      </c>
      <c r="JLC1" s="154" t="str">
        <f t="shared" si="110"/>
        <v>y</v>
      </c>
      <c r="JLD1" s="154" t="str">
        <f t="shared" si="110"/>
        <v>y</v>
      </c>
      <c r="JLE1" s="154" t="str">
        <f t="shared" si="110"/>
        <v>y</v>
      </c>
      <c r="JLF1" s="154" t="str">
        <f t="shared" si="110"/>
        <v>y</v>
      </c>
      <c r="JLG1" s="154" t="str">
        <f t="shared" si="110"/>
        <v>y</v>
      </c>
      <c r="JLH1" s="154" t="str">
        <f t="shared" si="110"/>
        <v>y</v>
      </c>
      <c r="JLI1" s="154" t="str">
        <f t="shared" si="110"/>
        <v>y</v>
      </c>
      <c r="JLJ1" s="154" t="str">
        <f t="shared" si="110"/>
        <v>y</v>
      </c>
      <c r="JLK1" s="154" t="str">
        <f t="shared" si="110"/>
        <v>y</v>
      </c>
      <c r="JLL1" s="154" t="str">
        <f t="shared" si="110"/>
        <v>y</v>
      </c>
      <c r="JLM1" s="154" t="str">
        <f t="shared" si="110"/>
        <v>y</v>
      </c>
      <c r="JLN1" s="154" t="str">
        <f t="shared" si="110"/>
        <v>y</v>
      </c>
      <c r="JLO1" s="154" t="str">
        <f t="shared" si="110"/>
        <v>y</v>
      </c>
      <c r="JLP1" s="154" t="str">
        <f t="shared" si="110"/>
        <v>y</v>
      </c>
      <c r="JLQ1" s="154" t="str">
        <f t="shared" si="110"/>
        <v>y</v>
      </c>
      <c r="JLR1" s="154" t="str">
        <f t="shared" si="110"/>
        <v>y</v>
      </c>
      <c r="JLS1" s="154" t="str">
        <f t="shared" si="110"/>
        <v>y</v>
      </c>
      <c r="JLT1" s="154" t="str">
        <f t="shared" si="110"/>
        <v>y</v>
      </c>
      <c r="JLU1" s="154" t="str">
        <f t="shared" si="110"/>
        <v>y</v>
      </c>
      <c r="JLV1" s="154" t="str">
        <f t="shared" si="110"/>
        <v>y</v>
      </c>
      <c r="JLW1" s="154" t="str">
        <f t="shared" si="110"/>
        <v>y</v>
      </c>
      <c r="JLX1" s="154" t="str">
        <f t="shared" si="110"/>
        <v>y</v>
      </c>
      <c r="JLY1" s="154" t="str">
        <f t="shared" si="110"/>
        <v>y</v>
      </c>
      <c r="JLZ1" s="154" t="str">
        <f t="shared" si="110"/>
        <v>y</v>
      </c>
      <c r="JMA1" s="154" t="str">
        <f t="shared" si="110"/>
        <v>y</v>
      </c>
      <c r="JMB1" s="154" t="str">
        <f t="shared" si="110"/>
        <v>y</v>
      </c>
      <c r="JMC1" s="154" t="str">
        <f t="shared" si="110"/>
        <v>y</v>
      </c>
      <c r="JMD1" s="154" t="str">
        <f t="shared" si="110"/>
        <v>y</v>
      </c>
      <c r="JME1" s="154" t="str">
        <f t="shared" si="110"/>
        <v>y</v>
      </c>
      <c r="JMF1" s="154" t="str">
        <f t="shared" si="110"/>
        <v>y</v>
      </c>
      <c r="JMG1" s="154" t="str">
        <f t="shared" si="110"/>
        <v>y</v>
      </c>
      <c r="JMH1" s="154" t="str">
        <f t="shared" si="110"/>
        <v>y</v>
      </c>
      <c r="JMI1" s="154" t="str">
        <f t="shared" si="110"/>
        <v>y</v>
      </c>
      <c r="JMJ1" s="154" t="str">
        <f t="shared" ref="JMJ1:JOU1" si="111">JMJ2&amp;"y"</f>
        <v>y</v>
      </c>
      <c r="JMK1" s="154" t="str">
        <f t="shared" si="111"/>
        <v>y</v>
      </c>
      <c r="JML1" s="154" t="str">
        <f t="shared" si="111"/>
        <v>y</v>
      </c>
      <c r="JMM1" s="154" t="str">
        <f t="shared" si="111"/>
        <v>y</v>
      </c>
      <c r="JMN1" s="154" t="str">
        <f t="shared" si="111"/>
        <v>y</v>
      </c>
      <c r="JMO1" s="154" t="str">
        <f t="shared" si="111"/>
        <v>y</v>
      </c>
      <c r="JMP1" s="154" t="str">
        <f t="shared" si="111"/>
        <v>y</v>
      </c>
      <c r="JMQ1" s="154" t="str">
        <f t="shared" si="111"/>
        <v>y</v>
      </c>
      <c r="JMR1" s="154" t="str">
        <f t="shared" si="111"/>
        <v>y</v>
      </c>
      <c r="JMS1" s="154" t="str">
        <f t="shared" si="111"/>
        <v>y</v>
      </c>
      <c r="JMT1" s="154" t="str">
        <f t="shared" si="111"/>
        <v>y</v>
      </c>
      <c r="JMU1" s="154" t="str">
        <f t="shared" si="111"/>
        <v>y</v>
      </c>
      <c r="JMV1" s="154" t="str">
        <f t="shared" si="111"/>
        <v>y</v>
      </c>
      <c r="JMW1" s="154" t="str">
        <f t="shared" si="111"/>
        <v>y</v>
      </c>
      <c r="JMX1" s="154" t="str">
        <f t="shared" si="111"/>
        <v>y</v>
      </c>
      <c r="JMY1" s="154" t="str">
        <f t="shared" si="111"/>
        <v>y</v>
      </c>
      <c r="JMZ1" s="154" t="str">
        <f t="shared" si="111"/>
        <v>y</v>
      </c>
      <c r="JNA1" s="154" t="str">
        <f t="shared" si="111"/>
        <v>y</v>
      </c>
      <c r="JNB1" s="154" t="str">
        <f t="shared" si="111"/>
        <v>y</v>
      </c>
      <c r="JNC1" s="154" t="str">
        <f t="shared" si="111"/>
        <v>y</v>
      </c>
      <c r="JND1" s="154" t="str">
        <f t="shared" si="111"/>
        <v>y</v>
      </c>
      <c r="JNE1" s="154" t="str">
        <f t="shared" si="111"/>
        <v>y</v>
      </c>
      <c r="JNF1" s="154" t="str">
        <f t="shared" si="111"/>
        <v>y</v>
      </c>
      <c r="JNG1" s="154" t="str">
        <f t="shared" si="111"/>
        <v>y</v>
      </c>
      <c r="JNH1" s="154" t="str">
        <f t="shared" si="111"/>
        <v>y</v>
      </c>
      <c r="JNI1" s="154" t="str">
        <f t="shared" si="111"/>
        <v>y</v>
      </c>
      <c r="JNJ1" s="154" t="str">
        <f t="shared" si="111"/>
        <v>y</v>
      </c>
      <c r="JNK1" s="154" t="str">
        <f t="shared" si="111"/>
        <v>y</v>
      </c>
      <c r="JNL1" s="154" t="str">
        <f t="shared" si="111"/>
        <v>y</v>
      </c>
      <c r="JNM1" s="154" t="str">
        <f t="shared" si="111"/>
        <v>y</v>
      </c>
      <c r="JNN1" s="154" t="str">
        <f t="shared" si="111"/>
        <v>y</v>
      </c>
      <c r="JNO1" s="154" t="str">
        <f t="shared" si="111"/>
        <v>y</v>
      </c>
      <c r="JNP1" s="154" t="str">
        <f t="shared" si="111"/>
        <v>y</v>
      </c>
      <c r="JNQ1" s="154" t="str">
        <f t="shared" si="111"/>
        <v>y</v>
      </c>
      <c r="JNR1" s="154" t="str">
        <f t="shared" si="111"/>
        <v>y</v>
      </c>
      <c r="JNS1" s="154" t="str">
        <f t="shared" si="111"/>
        <v>y</v>
      </c>
      <c r="JNT1" s="154" t="str">
        <f t="shared" si="111"/>
        <v>y</v>
      </c>
      <c r="JNU1" s="154" t="str">
        <f t="shared" si="111"/>
        <v>y</v>
      </c>
      <c r="JNV1" s="154" t="str">
        <f t="shared" si="111"/>
        <v>y</v>
      </c>
      <c r="JNW1" s="154" t="str">
        <f t="shared" si="111"/>
        <v>y</v>
      </c>
      <c r="JNX1" s="154" t="str">
        <f t="shared" si="111"/>
        <v>y</v>
      </c>
      <c r="JNY1" s="154" t="str">
        <f t="shared" si="111"/>
        <v>y</v>
      </c>
      <c r="JNZ1" s="154" t="str">
        <f t="shared" si="111"/>
        <v>y</v>
      </c>
      <c r="JOA1" s="154" t="str">
        <f t="shared" si="111"/>
        <v>y</v>
      </c>
      <c r="JOB1" s="154" t="str">
        <f t="shared" si="111"/>
        <v>y</v>
      </c>
      <c r="JOC1" s="154" t="str">
        <f t="shared" si="111"/>
        <v>y</v>
      </c>
      <c r="JOD1" s="154" t="str">
        <f t="shared" si="111"/>
        <v>y</v>
      </c>
      <c r="JOE1" s="154" t="str">
        <f t="shared" si="111"/>
        <v>y</v>
      </c>
      <c r="JOF1" s="154" t="str">
        <f t="shared" si="111"/>
        <v>y</v>
      </c>
      <c r="JOG1" s="154" t="str">
        <f t="shared" si="111"/>
        <v>y</v>
      </c>
      <c r="JOH1" s="154" t="str">
        <f t="shared" si="111"/>
        <v>y</v>
      </c>
      <c r="JOI1" s="154" t="str">
        <f t="shared" si="111"/>
        <v>y</v>
      </c>
      <c r="JOJ1" s="154" t="str">
        <f t="shared" si="111"/>
        <v>y</v>
      </c>
      <c r="JOK1" s="154" t="str">
        <f t="shared" si="111"/>
        <v>y</v>
      </c>
      <c r="JOL1" s="154" t="str">
        <f t="shared" si="111"/>
        <v>y</v>
      </c>
      <c r="JOM1" s="154" t="str">
        <f t="shared" si="111"/>
        <v>y</v>
      </c>
      <c r="JON1" s="154" t="str">
        <f t="shared" si="111"/>
        <v>y</v>
      </c>
      <c r="JOO1" s="154" t="str">
        <f t="shared" si="111"/>
        <v>y</v>
      </c>
      <c r="JOP1" s="154" t="str">
        <f t="shared" si="111"/>
        <v>y</v>
      </c>
      <c r="JOQ1" s="154" t="str">
        <f t="shared" si="111"/>
        <v>y</v>
      </c>
      <c r="JOR1" s="154" t="str">
        <f t="shared" si="111"/>
        <v>y</v>
      </c>
      <c r="JOS1" s="154" t="str">
        <f t="shared" si="111"/>
        <v>y</v>
      </c>
      <c r="JOT1" s="154" t="str">
        <f t="shared" si="111"/>
        <v>y</v>
      </c>
      <c r="JOU1" s="154" t="str">
        <f t="shared" si="111"/>
        <v>y</v>
      </c>
      <c r="JOV1" s="154" t="str">
        <f t="shared" ref="JOV1:JRG1" si="112">JOV2&amp;"y"</f>
        <v>y</v>
      </c>
      <c r="JOW1" s="154" t="str">
        <f t="shared" si="112"/>
        <v>y</v>
      </c>
      <c r="JOX1" s="154" t="str">
        <f t="shared" si="112"/>
        <v>y</v>
      </c>
      <c r="JOY1" s="154" t="str">
        <f t="shared" si="112"/>
        <v>y</v>
      </c>
      <c r="JOZ1" s="154" t="str">
        <f t="shared" si="112"/>
        <v>y</v>
      </c>
      <c r="JPA1" s="154" t="str">
        <f t="shared" si="112"/>
        <v>y</v>
      </c>
      <c r="JPB1" s="154" t="str">
        <f t="shared" si="112"/>
        <v>y</v>
      </c>
      <c r="JPC1" s="154" t="str">
        <f t="shared" si="112"/>
        <v>y</v>
      </c>
      <c r="JPD1" s="154" t="str">
        <f t="shared" si="112"/>
        <v>y</v>
      </c>
      <c r="JPE1" s="154" t="str">
        <f t="shared" si="112"/>
        <v>y</v>
      </c>
      <c r="JPF1" s="154" t="str">
        <f t="shared" si="112"/>
        <v>y</v>
      </c>
      <c r="JPG1" s="154" t="str">
        <f t="shared" si="112"/>
        <v>y</v>
      </c>
      <c r="JPH1" s="154" t="str">
        <f t="shared" si="112"/>
        <v>y</v>
      </c>
      <c r="JPI1" s="154" t="str">
        <f t="shared" si="112"/>
        <v>y</v>
      </c>
      <c r="JPJ1" s="154" t="str">
        <f t="shared" si="112"/>
        <v>y</v>
      </c>
      <c r="JPK1" s="154" t="str">
        <f t="shared" si="112"/>
        <v>y</v>
      </c>
      <c r="JPL1" s="154" t="str">
        <f t="shared" si="112"/>
        <v>y</v>
      </c>
      <c r="JPM1" s="154" t="str">
        <f t="shared" si="112"/>
        <v>y</v>
      </c>
      <c r="JPN1" s="154" t="str">
        <f t="shared" si="112"/>
        <v>y</v>
      </c>
      <c r="JPO1" s="154" t="str">
        <f t="shared" si="112"/>
        <v>y</v>
      </c>
      <c r="JPP1" s="154" t="str">
        <f t="shared" si="112"/>
        <v>y</v>
      </c>
      <c r="JPQ1" s="154" t="str">
        <f t="shared" si="112"/>
        <v>y</v>
      </c>
      <c r="JPR1" s="154" t="str">
        <f t="shared" si="112"/>
        <v>y</v>
      </c>
      <c r="JPS1" s="154" t="str">
        <f t="shared" si="112"/>
        <v>y</v>
      </c>
      <c r="JPT1" s="154" t="str">
        <f t="shared" si="112"/>
        <v>y</v>
      </c>
      <c r="JPU1" s="154" t="str">
        <f t="shared" si="112"/>
        <v>y</v>
      </c>
      <c r="JPV1" s="154" t="str">
        <f t="shared" si="112"/>
        <v>y</v>
      </c>
      <c r="JPW1" s="154" t="str">
        <f t="shared" si="112"/>
        <v>y</v>
      </c>
      <c r="JPX1" s="154" t="str">
        <f t="shared" si="112"/>
        <v>y</v>
      </c>
      <c r="JPY1" s="154" t="str">
        <f t="shared" si="112"/>
        <v>y</v>
      </c>
      <c r="JPZ1" s="154" t="str">
        <f t="shared" si="112"/>
        <v>y</v>
      </c>
      <c r="JQA1" s="154" t="str">
        <f t="shared" si="112"/>
        <v>y</v>
      </c>
      <c r="JQB1" s="154" t="str">
        <f t="shared" si="112"/>
        <v>y</v>
      </c>
      <c r="JQC1" s="154" t="str">
        <f t="shared" si="112"/>
        <v>y</v>
      </c>
      <c r="JQD1" s="154" t="str">
        <f t="shared" si="112"/>
        <v>y</v>
      </c>
      <c r="JQE1" s="154" t="str">
        <f t="shared" si="112"/>
        <v>y</v>
      </c>
      <c r="JQF1" s="154" t="str">
        <f t="shared" si="112"/>
        <v>y</v>
      </c>
      <c r="JQG1" s="154" t="str">
        <f t="shared" si="112"/>
        <v>y</v>
      </c>
      <c r="JQH1" s="154" t="str">
        <f t="shared" si="112"/>
        <v>y</v>
      </c>
      <c r="JQI1" s="154" t="str">
        <f t="shared" si="112"/>
        <v>y</v>
      </c>
      <c r="JQJ1" s="154" t="str">
        <f t="shared" si="112"/>
        <v>y</v>
      </c>
      <c r="JQK1" s="154" t="str">
        <f t="shared" si="112"/>
        <v>y</v>
      </c>
      <c r="JQL1" s="154" t="str">
        <f t="shared" si="112"/>
        <v>y</v>
      </c>
      <c r="JQM1" s="154" t="str">
        <f t="shared" si="112"/>
        <v>y</v>
      </c>
      <c r="JQN1" s="154" t="str">
        <f t="shared" si="112"/>
        <v>y</v>
      </c>
      <c r="JQO1" s="154" t="str">
        <f t="shared" si="112"/>
        <v>y</v>
      </c>
      <c r="JQP1" s="154" t="str">
        <f t="shared" si="112"/>
        <v>y</v>
      </c>
      <c r="JQQ1" s="154" t="str">
        <f t="shared" si="112"/>
        <v>y</v>
      </c>
      <c r="JQR1" s="154" t="str">
        <f t="shared" si="112"/>
        <v>y</v>
      </c>
      <c r="JQS1" s="154" t="str">
        <f t="shared" si="112"/>
        <v>y</v>
      </c>
      <c r="JQT1" s="154" t="str">
        <f t="shared" si="112"/>
        <v>y</v>
      </c>
      <c r="JQU1" s="154" t="str">
        <f t="shared" si="112"/>
        <v>y</v>
      </c>
      <c r="JQV1" s="154" t="str">
        <f t="shared" si="112"/>
        <v>y</v>
      </c>
      <c r="JQW1" s="154" t="str">
        <f t="shared" si="112"/>
        <v>y</v>
      </c>
      <c r="JQX1" s="154" t="str">
        <f t="shared" si="112"/>
        <v>y</v>
      </c>
      <c r="JQY1" s="154" t="str">
        <f t="shared" si="112"/>
        <v>y</v>
      </c>
      <c r="JQZ1" s="154" t="str">
        <f t="shared" si="112"/>
        <v>y</v>
      </c>
      <c r="JRA1" s="154" t="str">
        <f t="shared" si="112"/>
        <v>y</v>
      </c>
      <c r="JRB1" s="154" t="str">
        <f t="shared" si="112"/>
        <v>y</v>
      </c>
      <c r="JRC1" s="154" t="str">
        <f t="shared" si="112"/>
        <v>y</v>
      </c>
      <c r="JRD1" s="154" t="str">
        <f t="shared" si="112"/>
        <v>y</v>
      </c>
      <c r="JRE1" s="154" t="str">
        <f t="shared" si="112"/>
        <v>y</v>
      </c>
      <c r="JRF1" s="154" t="str">
        <f t="shared" si="112"/>
        <v>y</v>
      </c>
      <c r="JRG1" s="154" t="str">
        <f t="shared" si="112"/>
        <v>y</v>
      </c>
      <c r="JRH1" s="154" t="str">
        <f t="shared" ref="JRH1:JTS1" si="113">JRH2&amp;"y"</f>
        <v>y</v>
      </c>
      <c r="JRI1" s="154" t="str">
        <f t="shared" si="113"/>
        <v>y</v>
      </c>
      <c r="JRJ1" s="154" t="str">
        <f t="shared" si="113"/>
        <v>y</v>
      </c>
      <c r="JRK1" s="154" t="str">
        <f t="shared" si="113"/>
        <v>y</v>
      </c>
      <c r="JRL1" s="154" t="str">
        <f t="shared" si="113"/>
        <v>y</v>
      </c>
      <c r="JRM1" s="154" t="str">
        <f t="shared" si="113"/>
        <v>y</v>
      </c>
      <c r="JRN1" s="154" t="str">
        <f t="shared" si="113"/>
        <v>y</v>
      </c>
      <c r="JRO1" s="154" t="str">
        <f t="shared" si="113"/>
        <v>y</v>
      </c>
      <c r="JRP1" s="154" t="str">
        <f t="shared" si="113"/>
        <v>y</v>
      </c>
      <c r="JRQ1" s="154" t="str">
        <f t="shared" si="113"/>
        <v>y</v>
      </c>
      <c r="JRR1" s="154" t="str">
        <f t="shared" si="113"/>
        <v>y</v>
      </c>
      <c r="JRS1" s="154" t="str">
        <f t="shared" si="113"/>
        <v>y</v>
      </c>
      <c r="JRT1" s="154" t="str">
        <f t="shared" si="113"/>
        <v>y</v>
      </c>
      <c r="JRU1" s="154" t="str">
        <f t="shared" si="113"/>
        <v>y</v>
      </c>
      <c r="JRV1" s="154" t="str">
        <f t="shared" si="113"/>
        <v>y</v>
      </c>
      <c r="JRW1" s="154" t="str">
        <f t="shared" si="113"/>
        <v>y</v>
      </c>
      <c r="JRX1" s="154" t="str">
        <f t="shared" si="113"/>
        <v>y</v>
      </c>
      <c r="JRY1" s="154" t="str">
        <f t="shared" si="113"/>
        <v>y</v>
      </c>
      <c r="JRZ1" s="154" t="str">
        <f t="shared" si="113"/>
        <v>y</v>
      </c>
      <c r="JSA1" s="154" t="str">
        <f t="shared" si="113"/>
        <v>y</v>
      </c>
      <c r="JSB1" s="154" t="str">
        <f t="shared" si="113"/>
        <v>y</v>
      </c>
      <c r="JSC1" s="154" t="str">
        <f t="shared" si="113"/>
        <v>y</v>
      </c>
      <c r="JSD1" s="154" t="str">
        <f t="shared" si="113"/>
        <v>y</v>
      </c>
      <c r="JSE1" s="154" t="str">
        <f t="shared" si="113"/>
        <v>y</v>
      </c>
      <c r="JSF1" s="154" t="str">
        <f t="shared" si="113"/>
        <v>y</v>
      </c>
      <c r="JSG1" s="154" t="str">
        <f t="shared" si="113"/>
        <v>y</v>
      </c>
      <c r="JSH1" s="154" t="str">
        <f t="shared" si="113"/>
        <v>y</v>
      </c>
      <c r="JSI1" s="154" t="str">
        <f t="shared" si="113"/>
        <v>y</v>
      </c>
      <c r="JSJ1" s="154" t="str">
        <f t="shared" si="113"/>
        <v>y</v>
      </c>
      <c r="JSK1" s="154" t="str">
        <f t="shared" si="113"/>
        <v>y</v>
      </c>
      <c r="JSL1" s="154" t="str">
        <f t="shared" si="113"/>
        <v>y</v>
      </c>
      <c r="JSM1" s="154" t="str">
        <f t="shared" si="113"/>
        <v>y</v>
      </c>
      <c r="JSN1" s="154" t="str">
        <f t="shared" si="113"/>
        <v>y</v>
      </c>
      <c r="JSO1" s="154" t="str">
        <f t="shared" si="113"/>
        <v>y</v>
      </c>
      <c r="JSP1" s="154" t="str">
        <f t="shared" si="113"/>
        <v>y</v>
      </c>
      <c r="JSQ1" s="154" t="str">
        <f t="shared" si="113"/>
        <v>y</v>
      </c>
      <c r="JSR1" s="154" t="str">
        <f t="shared" si="113"/>
        <v>y</v>
      </c>
      <c r="JSS1" s="154" t="str">
        <f t="shared" si="113"/>
        <v>y</v>
      </c>
      <c r="JST1" s="154" t="str">
        <f t="shared" si="113"/>
        <v>y</v>
      </c>
      <c r="JSU1" s="154" t="str">
        <f t="shared" si="113"/>
        <v>y</v>
      </c>
      <c r="JSV1" s="154" t="str">
        <f t="shared" si="113"/>
        <v>y</v>
      </c>
      <c r="JSW1" s="154" t="str">
        <f t="shared" si="113"/>
        <v>y</v>
      </c>
      <c r="JSX1" s="154" t="str">
        <f t="shared" si="113"/>
        <v>y</v>
      </c>
      <c r="JSY1" s="154" t="str">
        <f t="shared" si="113"/>
        <v>y</v>
      </c>
      <c r="JSZ1" s="154" t="str">
        <f t="shared" si="113"/>
        <v>y</v>
      </c>
      <c r="JTA1" s="154" t="str">
        <f t="shared" si="113"/>
        <v>y</v>
      </c>
      <c r="JTB1" s="154" t="str">
        <f t="shared" si="113"/>
        <v>y</v>
      </c>
      <c r="JTC1" s="154" t="str">
        <f t="shared" si="113"/>
        <v>y</v>
      </c>
      <c r="JTD1" s="154" t="str">
        <f t="shared" si="113"/>
        <v>y</v>
      </c>
      <c r="JTE1" s="154" t="str">
        <f t="shared" si="113"/>
        <v>y</v>
      </c>
      <c r="JTF1" s="154" t="str">
        <f t="shared" si="113"/>
        <v>y</v>
      </c>
      <c r="JTG1" s="154" t="str">
        <f t="shared" si="113"/>
        <v>y</v>
      </c>
      <c r="JTH1" s="154" t="str">
        <f t="shared" si="113"/>
        <v>y</v>
      </c>
      <c r="JTI1" s="154" t="str">
        <f t="shared" si="113"/>
        <v>y</v>
      </c>
      <c r="JTJ1" s="154" t="str">
        <f t="shared" si="113"/>
        <v>y</v>
      </c>
      <c r="JTK1" s="154" t="str">
        <f t="shared" si="113"/>
        <v>y</v>
      </c>
      <c r="JTL1" s="154" t="str">
        <f t="shared" si="113"/>
        <v>y</v>
      </c>
      <c r="JTM1" s="154" t="str">
        <f t="shared" si="113"/>
        <v>y</v>
      </c>
      <c r="JTN1" s="154" t="str">
        <f t="shared" si="113"/>
        <v>y</v>
      </c>
      <c r="JTO1" s="154" t="str">
        <f t="shared" si="113"/>
        <v>y</v>
      </c>
      <c r="JTP1" s="154" t="str">
        <f t="shared" si="113"/>
        <v>y</v>
      </c>
      <c r="JTQ1" s="154" t="str">
        <f t="shared" si="113"/>
        <v>y</v>
      </c>
      <c r="JTR1" s="154" t="str">
        <f t="shared" si="113"/>
        <v>y</v>
      </c>
      <c r="JTS1" s="154" t="str">
        <f t="shared" si="113"/>
        <v>y</v>
      </c>
      <c r="JTT1" s="154" t="str">
        <f t="shared" ref="JTT1:JWE1" si="114">JTT2&amp;"y"</f>
        <v>y</v>
      </c>
      <c r="JTU1" s="154" t="str">
        <f t="shared" si="114"/>
        <v>y</v>
      </c>
      <c r="JTV1" s="154" t="str">
        <f t="shared" si="114"/>
        <v>y</v>
      </c>
      <c r="JTW1" s="154" t="str">
        <f t="shared" si="114"/>
        <v>y</v>
      </c>
      <c r="JTX1" s="154" t="str">
        <f t="shared" si="114"/>
        <v>y</v>
      </c>
      <c r="JTY1" s="154" t="str">
        <f t="shared" si="114"/>
        <v>y</v>
      </c>
      <c r="JTZ1" s="154" t="str">
        <f t="shared" si="114"/>
        <v>y</v>
      </c>
      <c r="JUA1" s="154" t="str">
        <f t="shared" si="114"/>
        <v>y</v>
      </c>
      <c r="JUB1" s="154" t="str">
        <f t="shared" si="114"/>
        <v>y</v>
      </c>
      <c r="JUC1" s="154" t="str">
        <f t="shared" si="114"/>
        <v>y</v>
      </c>
      <c r="JUD1" s="154" t="str">
        <f t="shared" si="114"/>
        <v>y</v>
      </c>
      <c r="JUE1" s="154" t="str">
        <f t="shared" si="114"/>
        <v>y</v>
      </c>
      <c r="JUF1" s="154" t="str">
        <f t="shared" si="114"/>
        <v>y</v>
      </c>
      <c r="JUG1" s="154" t="str">
        <f t="shared" si="114"/>
        <v>y</v>
      </c>
      <c r="JUH1" s="154" t="str">
        <f t="shared" si="114"/>
        <v>y</v>
      </c>
      <c r="JUI1" s="154" t="str">
        <f t="shared" si="114"/>
        <v>y</v>
      </c>
      <c r="JUJ1" s="154" t="str">
        <f t="shared" si="114"/>
        <v>y</v>
      </c>
      <c r="JUK1" s="154" t="str">
        <f t="shared" si="114"/>
        <v>y</v>
      </c>
      <c r="JUL1" s="154" t="str">
        <f t="shared" si="114"/>
        <v>y</v>
      </c>
      <c r="JUM1" s="154" t="str">
        <f t="shared" si="114"/>
        <v>y</v>
      </c>
      <c r="JUN1" s="154" t="str">
        <f t="shared" si="114"/>
        <v>y</v>
      </c>
      <c r="JUO1" s="154" t="str">
        <f t="shared" si="114"/>
        <v>y</v>
      </c>
      <c r="JUP1" s="154" t="str">
        <f t="shared" si="114"/>
        <v>y</v>
      </c>
      <c r="JUQ1" s="154" t="str">
        <f t="shared" si="114"/>
        <v>y</v>
      </c>
      <c r="JUR1" s="154" t="str">
        <f t="shared" si="114"/>
        <v>y</v>
      </c>
      <c r="JUS1" s="154" t="str">
        <f t="shared" si="114"/>
        <v>y</v>
      </c>
      <c r="JUT1" s="154" t="str">
        <f t="shared" si="114"/>
        <v>y</v>
      </c>
      <c r="JUU1" s="154" t="str">
        <f t="shared" si="114"/>
        <v>y</v>
      </c>
      <c r="JUV1" s="154" t="str">
        <f t="shared" si="114"/>
        <v>y</v>
      </c>
      <c r="JUW1" s="154" t="str">
        <f t="shared" si="114"/>
        <v>y</v>
      </c>
      <c r="JUX1" s="154" t="str">
        <f t="shared" si="114"/>
        <v>y</v>
      </c>
      <c r="JUY1" s="154" t="str">
        <f t="shared" si="114"/>
        <v>y</v>
      </c>
      <c r="JUZ1" s="154" t="str">
        <f t="shared" si="114"/>
        <v>y</v>
      </c>
      <c r="JVA1" s="154" t="str">
        <f t="shared" si="114"/>
        <v>y</v>
      </c>
      <c r="JVB1" s="154" t="str">
        <f t="shared" si="114"/>
        <v>y</v>
      </c>
      <c r="JVC1" s="154" t="str">
        <f t="shared" si="114"/>
        <v>y</v>
      </c>
      <c r="JVD1" s="154" t="str">
        <f t="shared" si="114"/>
        <v>y</v>
      </c>
      <c r="JVE1" s="154" t="str">
        <f t="shared" si="114"/>
        <v>y</v>
      </c>
      <c r="JVF1" s="154" t="str">
        <f t="shared" si="114"/>
        <v>y</v>
      </c>
      <c r="JVG1" s="154" t="str">
        <f t="shared" si="114"/>
        <v>y</v>
      </c>
      <c r="JVH1" s="154" t="str">
        <f t="shared" si="114"/>
        <v>y</v>
      </c>
      <c r="JVI1" s="154" t="str">
        <f t="shared" si="114"/>
        <v>y</v>
      </c>
      <c r="JVJ1" s="154" t="str">
        <f t="shared" si="114"/>
        <v>y</v>
      </c>
      <c r="JVK1" s="154" t="str">
        <f t="shared" si="114"/>
        <v>y</v>
      </c>
      <c r="JVL1" s="154" t="str">
        <f t="shared" si="114"/>
        <v>y</v>
      </c>
      <c r="JVM1" s="154" t="str">
        <f t="shared" si="114"/>
        <v>y</v>
      </c>
      <c r="JVN1" s="154" t="str">
        <f t="shared" si="114"/>
        <v>y</v>
      </c>
      <c r="JVO1" s="154" t="str">
        <f t="shared" si="114"/>
        <v>y</v>
      </c>
      <c r="JVP1" s="154" t="str">
        <f t="shared" si="114"/>
        <v>y</v>
      </c>
      <c r="JVQ1" s="154" t="str">
        <f t="shared" si="114"/>
        <v>y</v>
      </c>
      <c r="JVR1" s="154" t="str">
        <f t="shared" si="114"/>
        <v>y</v>
      </c>
      <c r="JVS1" s="154" t="str">
        <f t="shared" si="114"/>
        <v>y</v>
      </c>
      <c r="JVT1" s="154" t="str">
        <f t="shared" si="114"/>
        <v>y</v>
      </c>
      <c r="JVU1" s="154" t="str">
        <f t="shared" si="114"/>
        <v>y</v>
      </c>
      <c r="JVV1" s="154" t="str">
        <f t="shared" si="114"/>
        <v>y</v>
      </c>
      <c r="JVW1" s="154" t="str">
        <f t="shared" si="114"/>
        <v>y</v>
      </c>
      <c r="JVX1" s="154" t="str">
        <f t="shared" si="114"/>
        <v>y</v>
      </c>
      <c r="JVY1" s="154" t="str">
        <f t="shared" si="114"/>
        <v>y</v>
      </c>
      <c r="JVZ1" s="154" t="str">
        <f t="shared" si="114"/>
        <v>y</v>
      </c>
      <c r="JWA1" s="154" t="str">
        <f t="shared" si="114"/>
        <v>y</v>
      </c>
      <c r="JWB1" s="154" t="str">
        <f t="shared" si="114"/>
        <v>y</v>
      </c>
      <c r="JWC1" s="154" t="str">
        <f t="shared" si="114"/>
        <v>y</v>
      </c>
      <c r="JWD1" s="154" t="str">
        <f t="shared" si="114"/>
        <v>y</v>
      </c>
      <c r="JWE1" s="154" t="str">
        <f t="shared" si="114"/>
        <v>y</v>
      </c>
      <c r="JWF1" s="154" t="str">
        <f t="shared" ref="JWF1:JYQ1" si="115">JWF2&amp;"y"</f>
        <v>y</v>
      </c>
      <c r="JWG1" s="154" t="str">
        <f t="shared" si="115"/>
        <v>y</v>
      </c>
      <c r="JWH1" s="154" t="str">
        <f t="shared" si="115"/>
        <v>y</v>
      </c>
      <c r="JWI1" s="154" t="str">
        <f t="shared" si="115"/>
        <v>y</v>
      </c>
      <c r="JWJ1" s="154" t="str">
        <f t="shared" si="115"/>
        <v>y</v>
      </c>
      <c r="JWK1" s="154" t="str">
        <f t="shared" si="115"/>
        <v>y</v>
      </c>
      <c r="JWL1" s="154" t="str">
        <f t="shared" si="115"/>
        <v>y</v>
      </c>
      <c r="JWM1" s="154" t="str">
        <f t="shared" si="115"/>
        <v>y</v>
      </c>
      <c r="JWN1" s="154" t="str">
        <f t="shared" si="115"/>
        <v>y</v>
      </c>
      <c r="JWO1" s="154" t="str">
        <f t="shared" si="115"/>
        <v>y</v>
      </c>
      <c r="JWP1" s="154" t="str">
        <f t="shared" si="115"/>
        <v>y</v>
      </c>
      <c r="JWQ1" s="154" t="str">
        <f t="shared" si="115"/>
        <v>y</v>
      </c>
      <c r="JWR1" s="154" t="str">
        <f t="shared" si="115"/>
        <v>y</v>
      </c>
      <c r="JWS1" s="154" t="str">
        <f t="shared" si="115"/>
        <v>y</v>
      </c>
      <c r="JWT1" s="154" t="str">
        <f t="shared" si="115"/>
        <v>y</v>
      </c>
      <c r="JWU1" s="154" t="str">
        <f t="shared" si="115"/>
        <v>y</v>
      </c>
      <c r="JWV1" s="154" t="str">
        <f t="shared" si="115"/>
        <v>y</v>
      </c>
      <c r="JWW1" s="154" t="str">
        <f t="shared" si="115"/>
        <v>y</v>
      </c>
      <c r="JWX1" s="154" t="str">
        <f t="shared" si="115"/>
        <v>y</v>
      </c>
      <c r="JWY1" s="154" t="str">
        <f t="shared" si="115"/>
        <v>y</v>
      </c>
      <c r="JWZ1" s="154" t="str">
        <f t="shared" si="115"/>
        <v>y</v>
      </c>
      <c r="JXA1" s="154" t="str">
        <f t="shared" si="115"/>
        <v>y</v>
      </c>
      <c r="JXB1" s="154" t="str">
        <f t="shared" si="115"/>
        <v>y</v>
      </c>
      <c r="JXC1" s="154" t="str">
        <f t="shared" si="115"/>
        <v>y</v>
      </c>
      <c r="JXD1" s="154" t="str">
        <f t="shared" si="115"/>
        <v>y</v>
      </c>
      <c r="JXE1" s="154" t="str">
        <f t="shared" si="115"/>
        <v>y</v>
      </c>
      <c r="JXF1" s="154" t="str">
        <f t="shared" si="115"/>
        <v>y</v>
      </c>
      <c r="JXG1" s="154" t="str">
        <f t="shared" si="115"/>
        <v>y</v>
      </c>
      <c r="JXH1" s="154" t="str">
        <f t="shared" si="115"/>
        <v>y</v>
      </c>
      <c r="JXI1" s="154" t="str">
        <f t="shared" si="115"/>
        <v>y</v>
      </c>
      <c r="JXJ1" s="154" t="str">
        <f t="shared" si="115"/>
        <v>y</v>
      </c>
      <c r="JXK1" s="154" t="str">
        <f t="shared" si="115"/>
        <v>y</v>
      </c>
      <c r="JXL1" s="154" t="str">
        <f t="shared" si="115"/>
        <v>y</v>
      </c>
      <c r="JXM1" s="154" t="str">
        <f t="shared" si="115"/>
        <v>y</v>
      </c>
      <c r="JXN1" s="154" t="str">
        <f t="shared" si="115"/>
        <v>y</v>
      </c>
      <c r="JXO1" s="154" t="str">
        <f t="shared" si="115"/>
        <v>y</v>
      </c>
      <c r="JXP1" s="154" t="str">
        <f t="shared" si="115"/>
        <v>y</v>
      </c>
      <c r="JXQ1" s="154" t="str">
        <f t="shared" si="115"/>
        <v>y</v>
      </c>
      <c r="JXR1" s="154" t="str">
        <f t="shared" si="115"/>
        <v>y</v>
      </c>
      <c r="JXS1" s="154" t="str">
        <f t="shared" si="115"/>
        <v>y</v>
      </c>
      <c r="JXT1" s="154" t="str">
        <f t="shared" si="115"/>
        <v>y</v>
      </c>
      <c r="JXU1" s="154" t="str">
        <f t="shared" si="115"/>
        <v>y</v>
      </c>
      <c r="JXV1" s="154" t="str">
        <f t="shared" si="115"/>
        <v>y</v>
      </c>
      <c r="JXW1" s="154" t="str">
        <f t="shared" si="115"/>
        <v>y</v>
      </c>
      <c r="JXX1" s="154" t="str">
        <f t="shared" si="115"/>
        <v>y</v>
      </c>
      <c r="JXY1" s="154" t="str">
        <f t="shared" si="115"/>
        <v>y</v>
      </c>
      <c r="JXZ1" s="154" t="str">
        <f t="shared" si="115"/>
        <v>y</v>
      </c>
      <c r="JYA1" s="154" t="str">
        <f t="shared" si="115"/>
        <v>y</v>
      </c>
      <c r="JYB1" s="154" t="str">
        <f t="shared" si="115"/>
        <v>y</v>
      </c>
      <c r="JYC1" s="154" t="str">
        <f t="shared" si="115"/>
        <v>y</v>
      </c>
      <c r="JYD1" s="154" t="str">
        <f t="shared" si="115"/>
        <v>y</v>
      </c>
      <c r="JYE1" s="154" t="str">
        <f t="shared" si="115"/>
        <v>y</v>
      </c>
      <c r="JYF1" s="154" t="str">
        <f t="shared" si="115"/>
        <v>y</v>
      </c>
      <c r="JYG1" s="154" t="str">
        <f t="shared" si="115"/>
        <v>y</v>
      </c>
      <c r="JYH1" s="154" t="str">
        <f t="shared" si="115"/>
        <v>y</v>
      </c>
      <c r="JYI1" s="154" t="str">
        <f t="shared" si="115"/>
        <v>y</v>
      </c>
      <c r="JYJ1" s="154" t="str">
        <f t="shared" si="115"/>
        <v>y</v>
      </c>
      <c r="JYK1" s="154" t="str">
        <f t="shared" si="115"/>
        <v>y</v>
      </c>
      <c r="JYL1" s="154" t="str">
        <f t="shared" si="115"/>
        <v>y</v>
      </c>
      <c r="JYM1" s="154" t="str">
        <f t="shared" si="115"/>
        <v>y</v>
      </c>
      <c r="JYN1" s="154" t="str">
        <f t="shared" si="115"/>
        <v>y</v>
      </c>
      <c r="JYO1" s="154" t="str">
        <f t="shared" si="115"/>
        <v>y</v>
      </c>
      <c r="JYP1" s="154" t="str">
        <f t="shared" si="115"/>
        <v>y</v>
      </c>
      <c r="JYQ1" s="154" t="str">
        <f t="shared" si="115"/>
        <v>y</v>
      </c>
      <c r="JYR1" s="154" t="str">
        <f t="shared" ref="JYR1:KBC1" si="116">JYR2&amp;"y"</f>
        <v>y</v>
      </c>
      <c r="JYS1" s="154" t="str">
        <f t="shared" si="116"/>
        <v>y</v>
      </c>
      <c r="JYT1" s="154" t="str">
        <f t="shared" si="116"/>
        <v>y</v>
      </c>
      <c r="JYU1" s="154" t="str">
        <f t="shared" si="116"/>
        <v>y</v>
      </c>
      <c r="JYV1" s="154" t="str">
        <f t="shared" si="116"/>
        <v>y</v>
      </c>
      <c r="JYW1" s="154" t="str">
        <f t="shared" si="116"/>
        <v>y</v>
      </c>
      <c r="JYX1" s="154" t="str">
        <f t="shared" si="116"/>
        <v>y</v>
      </c>
      <c r="JYY1" s="154" t="str">
        <f t="shared" si="116"/>
        <v>y</v>
      </c>
      <c r="JYZ1" s="154" t="str">
        <f t="shared" si="116"/>
        <v>y</v>
      </c>
      <c r="JZA1" s="154" t="str">
        <f t="shared" si="116"/>
        <v>y</v>
      </c>
      <c r="JZB1" s="154" t="str">
        <f t="shared" si="116"/>
        <v>y</v>
      </c>
      <c r="JZC1" s="154" t="str">
        <f t="shared" si="116"/>
        <v>y</v>
      </c>
      <c r="JZD1" s="154" t="str">
        <f t="shared" si="116"/>
        <v>y</v>
      </c>
      <c r="JZE1" s="154" t="str">
        <f t="shared" si="116"/>
        <v>y</v>
      </c>
      <c r="JZF1" s="154" t="str">
        <f t="shared" si="116"/>
        <v>y</v>
      </c>
      <c r="JZG1" s="154" t="str">
        <f t="shared" si="116"/>
        <v>y</v>
      </c>
      <c r="JZH1" s="154" t="str">
        <f t="shared" si="116"/>
        <v>y</v>
      </c>
      <c r="JZI1" s="154" t="str">
        <f t="shared" si="116"/>
        <v>y</v>
      </c>
      <c r="JZJ1" s="154" t="str">
        <f t="shared" si="116"/>
        <v>y</v>
      </c>
      <c r="JZK1" s="154" t="str">
        <f t="shared" si="116"/>
        <v>y</v>
      </c>
      <c r="JZL1" s="154" t="str">
        <f t="shared" si="116"/>
        <v>y</v>
      </c>
      <c r="JZM1" s="154" t="str">
        <f t="shared" si="116"/>
        <v>y</v>
      </c>
      <c r="JZN1" s="154" t="str">
        <f t="shared" si="116"/>
        <v>y</v>
      </c>
      <c r="JZO1" s="154" t="str">
        <f t="shared" si="116"/>
        <v>y</v>
      </c>
      <c r="JZP1" s="154" t="str">
        <f t="shared" si="116"/>
        <v>y</v>
      </c>
      <c r="JZQ1" s="154" t="str">
        <f t="shared" si="116"/>
        <v>y</v>
      </c>
      <c r="JZR1" s="154" t="str">
        <f t="shared" si="116"/>
        <v>y</v>
      </c>
      <c r="JZS1" s="154" t="str">
        <f t="shared" si="116"/>
        <v>y</v>
      </c>
      <c r="JZT1" s="154" t="str">
        <f t="shared" si="116"/>
        <v>y</v>
      </c>
      <c r="JZU1" s="154" t="str">
        <f t="shared" si="116"/>
        <v>y</v>
      </c>
      <c r="JZV1" s="154" t="str">
        <f t="shared" si="116"/>
        <v>y</v>
      </c>
      <c r="JZW1" s="154" t="str">
        <f t="shared" si="116"/>
        <v>y</v>
      </c>
      <c r="JZX1" s="154" t="str">
        <f t="shared" si="116"/>
        <v>y</v>
      </c>
      <c r="JZY1" s="154" t="str">
        <f t="shared" si="116"/>
        <v>y</v>
      </c>
      <c r="JZZ1" s="154" t="str">
        <f t="shared" si="116"/>
        <v>y</v>
      </c>
      <c r="KAA1" s="154" t="str">
        <f t="shared" si="116"/>
        <v>y</v>
      </c>
      <c r="KAB1" s="154" t="str">
        <f t="shared" si="116"/>
        <v>y</v>
      </c>
      <c r="KAC1" s="154" t="str">
        <f t="shared" si="116"/>
        <v>y</v>
      </c>
      <c r="KAD1" s="154" t="str">
        <f t="shared" si="116"/>
        <v>y</v>
      </c>
      <c r="KAE1" s="154" t="str">
        <f t="shared" si="116"/>
        <v>y</v>
      </c>
      <c r="KAF1" s="154" t="str">
        <f t="shared" si="116"/>
        <v>y</v>
      </c>
      <c r="KAG1" s="154" t="str">
        <f t="shared" si="116"/>
        <v>y</v>
      </c>
      <c r="KAH1" s="154" t="str">
        <f t="shared" si="116"/>
        <v>y</v>
      </c>
      <c r="KAI1" s="154" t="str">
        <f t="shared" si="116"/>
        <v>y</v>
      </c>
      <c r="KAJ1" s="154" t="str">
        <f t="shared" si="116"/>
        <v>y</v>
      </c>
      <c r="KAK1" s="154" t="str">
        <f t="shared" si="116"/>
        <v>y</v>
      </c>
      <c r="KAL1" s="154" t="str">
        <f t="shared" si="116"/>
        <v>y</v>
      </c>
      <c r="KAM1" s="154" t="str">
        <f t="shared" si="116"/>
        <v>y</v>
      </c>
      <c r="KAN1" s="154" t="str">
        <f t="shared" si="116"/>
        <v>y</v>
      </c>
      <c r="KAO1" s="154" t="str">
        <f t="shared" si="116"/>
        <v>y</v>
      </c>
      <c r="KAP1" s="154" t="str">
        <f t="shared" si="116"/>
        <v>y</v>
      </c>
      <c r="KAQ1" s="154" t="str">
        <f t="shared" si="116"/>
        <v>y</v>
      </c>
      <c r="KAR1" s="154" t="str">
        <f t="shared" si="116"/>
        <v>y</v>
      </c>
      <c r="KAS1" s="154" t="str">
        <f t="shared" si="116"/>
        <v>y</v>
      </c>
      <c r="KAT1" s="154" t="str">
        <f t="shared" si="116"/>
        <v>y</v>
      </c>
      <c r="KAU1" s="154" t="str">
        <f t="shared" si="116"/>
        <v>y</v>
      </c>
      <c r="KAV1" s="154" t="str">
        <f t="shared" si="116"/>
        <v>y</v>
      </c>
      <c r="KAW1" s="154" t="str">
        <f t="shared" si="116"/>
        <v>y</v>
      </c>
      <c r="KAX1" s="154" t="str">
        <f t="shared" si="116"/>
        <v>y</v>
      </c>
      <c r="KAY1" s="154" t="str">
        <f t="shared" si="116"/>
        <v>y</v>
      </c>
      <c r="KAZ1" s="154" t="str">
        <f t="shared" si="116"/>
        <v>y</v>
      </c>
      <c r="KBA1" s="154" t="str">
        <f t="shared" si="116"/>
        <v>y</v>
      </c>
      <c r="KBB1" s="154" t="str">
        <f t="shared" si="116"/>
        <v>y</v>
      </c>
      <c r="KBC1" s="154" t="str">
        <f t="shared" si="116"/>
        <v>y</v>
      </c>
      <c r="KBD1" s="154" t="str">
        <f t="shared" ref="KBD1:KDO1" si="117">KBD2&amp;"y"</f>
        <v>y</v>
      </c>
      <c r="KBE1" s="154" t="str">
        <f t="shared" si="117"/>
        <v>y</v>
      </c>
      <c r="KBF1" s="154" t="str">
        <f t="shared" si="117"/>
        <v>y</v>
      </c>
      <c r="KBG1" s="154" t="str">
        <f t="shared" si="117"/>
        <v>y</v>
      </c>
      <c r="KBH1" s="154" t="str">
        <f t="shared" si="117"/>
        <v>y</v>
      </c>
      <c r="KBI1" s="154" t="str">
        <f t="shared" si="117"/>
        <v>y</v>
      </c>
      <c r="KBJ1" s="154" t="str">
        <f t="shared" si="117"/>
        <v>y</v>
      </c>
      <c r="KBK1" s="154" t="str">
        <f t="shared" si="117"/>
        <v>y</v>
      </c>
      <c r="KBL1" s="154" t="str">
        <f t="shared" si="117"/>
        <v>y</v>
      </c>
      <c r="KBM1" s="154" t="str">
        <f t="shared" si="117"/>
        <v>y</v>
      </c>
      <c r="KBN1" s="154" t="str">
        <f t="shared" si="117"/>
        <v>y</v>
      </c>
      <c r="KBO1" s="154" t="str">
        <f t="shared" si="117"/>
        <v>y</v>
      </c>
      <c r="KBP1" s="154" t="str">
        <f t="shared" si="117"/>
        <v>y</v>
      </c>
      <c r="KBQ1" s="154" t="str">
        <f t="shared" si="117"/>
        <v>y</v>
      </c>
      <c r="KBR1" s="154" t="str">
        <f t="shared" si="117"/>
        <v>y</v>
      </c>
      <c r="KBS1" s="154" t="str">
        <f t="shared" si="117"/>
        <v>y</v>
      </c>
      <c r="KBT1" s="154" t="str">
        <f t="shared" si="117"/>
        <v>y</v>
      </c>
      <c r="KBU1" s="154" t="str">
        <f t="shared" si="117"/>
        <v>y</v>
      </c>
      <c r="KBV1" s="154" t="str">
        <f t="shared" si="117"/>
        <v>y</v>
      </c>
      <c r="KBW1" s="154" t="str">
        <f t="shared" si="117"/>
        <v>y</v>
      </c>
      <c r="KBX1" s="154" t="str">
        <f t="shared" si="117"/>
        <v>y</v>
      </c>
      <c r="KBY1" s="154" t="str">
        <f t="shared" si="117"/>
        <v>y</v>
      </c>
      <c r="KBZ1" s="154" t="str">
        <f t="shared" si="117"/>
        <v>y</v>
      </c>
      <c r="KCA1" s="154" t="str">
        <f t="shared" si="117"/>
        <v>y</v>
      </c>
      <c r="KCB1" s="154" t="str">
        <f t="shared" si="117"/>
        <v>y</v>
      </c>
      <c r="KCC1" s="154" t="str">
        <f t="shared" si="117"/>
        <v>y</v>
      </c>
      <c r="KCD1" s="154" t="str">
        <f t="shared" si="117"/>
        <v>y</v>
      </c>
      <c r="KCE1" s="154" t="str">
        <f t="shared" si="117"/>
        <v>y</v>
      </c>
      <c r="KCF1" s="154" t="str">
        <f t="shared" si="117"/>
        <v>y</v>
      </c>
      <c r="KCG1" s="154" t="str">
        <f t="shared" si="117"/>
        <v>y</v>
      </c>
      <c r="KCH1" s="154" t="str">
        <f t="shared" si="117"/>
        <v>y</v>
      </c>
      <c r="KCI1" s="154" t="str">
        <f t="shared" si="117"/>
        <v>y</v>
      </c>
      <c r="KCJ1" s="154" t="str">
        <f t="shared" si="117"/>
        <v>y</v>
      </c>
      <c r="KCK1" s="154" t="str">
        <f t="shared" si="117"/>
        <v>y</v>
      </c>
      <c r="KCL1" s="154" t="str">
        <f t="shared" si="117"/>
        <v>y</v>
      </c>
      <c r="KCM1" s="154" t="str">
        <f t="shared" si="117"/>
        <v>y</v>
      </c>
      <c r="KCN1" s="154" t="str">
        <f t="shared" si="117"/>
        <v>y</v>
      </c>
      <c r="KCO1" s="154" t="str">
        <f t="shared" si="117"/>
        <v>y</v>
      </c>
      <c r="KCP1" s="154" t="str">
        <f t="shared" si="117"/>
        <v>y</v>
      </c>
      <c r="KCQ1" s="154" t="str">
        <f t="shared" si="117"/>
        <v>y</v>
      </c>
      <c r="KCR1" s="154" t="str">
        <f t="shared" si="117"/>
        <v>y</v>
      </c>
      <c r="KCS1" s="154" t="str">
        <f t="shared" si="117"/>
        <v>y</v>
      </c>
      <c r="KCT1" s="154" t="str">
        <f t="shared" si="117"/>
        <v>y</v>
      </c>
      <c r="KCU1" s="154" t="str">
        <f t="shared" si="117"/>
        <v>y</v>
      </c>
      <c r="KCV1" s="154" t="str">
        <f t="shared" si="117"/>
        <v>y</v>
      </c>
      <c r="KCW1" s="154" t="str">
        <f t="shared" si="117"/>
        <v>y</v>
      </c>
      <c r="KCX1" s="154" t="str">
        <f t="shared" si="117"/>
        <v>y</v>
      </c>
      <c r="KCY1" s="154" t="str">
        <f t="shared" si="117"/>
        <v>y</v>
      </c>
      <c r="KCZ1" s="154" t="str">
        <f t="shared" si="117"/>
        <v>y</v>
      </c>
      <c r="KDA1" s="154" t="str">
        <f t="shared" si="117"/>
        <v>y</v>
      </c>
      <c r="KDB1" s="154" t="str">
        <f t="shared" si="117"/>
        <v>y</v>
      </c>
      <c r="KDC1" s="154" t="str">
        <f t="shared" si="117"/>
        <v>y</v>
      </c>
      <c r="KDD1" s="154" t="str">
        <f t="shared" si="117"/>
        <v>y</v>
      </c>
      <c r="KDE1" s="154" t="str">
        <f t="shared" si="117"/>
        <v>y</v>
      </c>
      <c r="KDF1" s="154" t="str">
        <f t="shared" si="117"/>
        <v>y</v>
      </c>
      <c r="KDG1" s="154" t="str">
        <f t="shared" si="117"/>
        <v>y</v>
      </c>
      <c r="KDH1" s="154" t="str">
        <f t="shared" si="117"/>
        <v>y</v>
      </c>
      <c r="KDI1" s="154" t="str">
        <f t="shared" si="117"/>
        <v>y</v>
      </c>
      <c r="KDJ1" s="154" t="str">
        <f t="shared" si="117"/>
        <v>y</v>
      </c>
      <c r="KDK1" s="154" t="str">
        <f t="shared" si="117"/>
        <v>y</v>
      </c>
      <c r="KDL1" s="154" t="str">
        <f t="shared" si="117"/>
        <v>y</v>
      </c>
      <c r="KDM1" s="154" t="str">
        <f t="shared" si="117"/>
        <v>y</v>
      </c>
      <c r="KDN1" s="154" t="str">
        <f t="shared" si="117"/>
        <v>y</v>
      </c>
      <c r="KDO1" s="154" t="str">
        <f t="shared" si="117"/>
        <v>y</v>
      </c>
      <c r="KDP1" s="154" t="str">
        <f t="shared" ref="KDP1:KGA1" si="118">KDP2&amp;"y"</f>
        <v>y</v>
      </c>
      <c r="KDQ1" s="154" t="str">
        <f t="shared" si="118"/>
        <v>y</v>
      </c>
      <c r="KDR1" s="154" t="str">
        <f t="shared" si="118"/>
        <v>y</v>
      </c>
      <c r="KDS1" s="154" t="str">
        <f t="shared" si="118"/>
        <v>y</v>
      </c>
      <c r="KDT1" s="154" t="str">
        <f t="shared" si="118"/>
        <v>y</v>
      </c>
      <c r="KDU1" s="154" t="str">
        <f t="shared" si="118"/>
        <v>y</v>
      </c>
      <c r="KDV1" s="154" t="str">
        <f t="shared" si="118"/>
        <v>y</v>
      </c>
      <c r="KDW1" s="154" t="str">
        <f t="shared" si="118"/>
        <v>y</v>
      </c>
      <c r="KDX1" s="154" t="str">
        <f t="shared" si="118"/>
        <v>y</v>
      </c>
      <c r="KDY1" s="154" t="str">
        <f t="shared" si="118"/>
        <v>y</v>
      </c>
      <c r="KDZ1" s="154" t="str">
        <f t="shared" si="118"/>
        <v>y</v>
      </c>
      <c r="KEA1" s="154" t="str">
        <f t="shared" si="118"/>
        <v>y</v>
      </c>
      <c r="KEB1" s="154" t="str">
        <f t="shared" si="118"/>
        <v>y</v>
      </c>
      <c r="KEC1" s="154" t="str">
        <f t="shared" si="118"/>
        <v>y</v>
      </c>
      <c r="KED1" s="154" t="str">
        <f t="shared" si="118"/>
        <v>y</v>
      </c>
      <c r="KEE1" s="154" t="str">
        <f t="shared" si="118"/>
        <v>y</v>
      </c>
      <c r="KEF1" s="154" t="str">
        <f t="shared" si="118"/>
        <v>y</v>
      </c>
      <c r="KEG1" s="154" t="str">
        <f t="shared" si="118"/>
        <v>y</v>
      </c>
      <c r="KEH1" s="154" t="str">
        <f t="shared" si="118"/>
        <v>y</v>
      </c>
      <c r="KEI1" s="154" t="str">
        <f t="shared" si="118"/>
        <v>y</v>
      </c>
      <c r="KEJ1" s="154" t="str">
        <f t="shared" si="118"/>
        <v>y</v>
      </c>
      <c r="KEK1" s="154" t="str">
        <f t="shared" si="118"/>
        <v>y</v>
      </c>
      <c r="KEL1" s="154" t="str">
        <f t="shared" si="118"/>
        <v>y</v>
      </c>
      <c r="KEM1" s="154" t="str">
        <f t="shared" si="118"/>
        <v>y</v>
      </c>
      <c r="KEN1" s="154" t="str">
        <f t="shared" si="118"/>
        <v>y</v>
      </c>
      <c r="KEO1" s="154" t="str">
        <f t="shared" si="118"/>
        <v>y</v>
      </c>
      <c r="KEP1" s="154" t="str">
        <f t="shared" si="118"/>
        <v>y</v>
      </c>
      <c r="KEQ1" s="154" t="str">
        <f t="shared" si="118"/>
        <v>y</v>
      </c>
      <c r="KER1" s="154" t="str">
        <f t="shared" si="118"/>
        <v>y</v>
      </c>
      <c r="KES1" s="154" t="str">
        <f t="shared" si="118"/>
        <v>y</v>
      </c>
      <c r="KET1" s="154" t="str">
        <f t="shared" si="118"/>
        <v>y</v>
      </c>
      <c r="KEU1" s="154" t="str">
        <f t="shared" si="118"/>
        <v>y</v>
      </c>
      <c r="KEV1" s="154" t="str">
        <f t="shared" si="118"/>
        <v>y</v>
      </c>
      <c r="KEW1" s="154" t="str">
        <f t="shared" si="118"/>
        <v>y</v>
      </c>
      <c r="KEX1" s="154" t="str">
        <f t="shared" si="118"/>
        <v>y</v>
      </c>
      <c r="KEY1" s="154" t="str">
        <f t="shared" si="118"/>
        <v>y</v>
      </c>
      <c r="KEZ1" s="154" t="str">
        <f t="shared" si="118"/>
        <v>y</v>
      </c>
      <c r="KFA1" s="154" t="str">
        <f t="shared" si="118"/>
        <v>y</v>
      </c>
      <c r="KFB1" s="154" t="str">
        <f t="shared" si="118"/>
        <v>y</v>
      </c>
      <c r="KFC1" s="154" t="str">
        <f t="shared" si="118"/>
        <v>y</v>
      </c>
      <c r="KFD1" s="154" t="str">
        <f t="shared" si="118"/>
        <v>y</v>
      </c>
      <c r="KFE1" s="154" t="str">
        <f t="shared" si="118"/>
        <v>y</v>
      </c>
      <c r="KFF1" s="154" t="str">
        <f t="shared" si="118"/>
        <v>y</v>
      </c>
      <c r="KFG1" s="154" t="str">
        <f t="shared" si="118"/>
        <v>y</v>
      </c>
      <c r="KFH1" s="154" t="str">
        <f t="shared" si="118"/>
        <v>y</v>
      </c>
      <c r="KFI1" s="154" t="str">
        <f t="shared" si="118"/>
        <v>y</v>
      </c>
      <c r="KFJ1" s="154" t="str">
        <f t="shared" si="118"/>
        <v>y</v>
      </c>
      <c r="KFK1" s="154" t="str">
        <f t="shared" si="118"/>
        <v>y</v>
      </c>
      <c r="KFL1" s="154" t="str">
        <f t="shared" si="118"/>
        <v>y</v>
      </c>
      <c r="KFM1" s="154" t="str">
        <f t="shared" si="118"/>
        <v>y</v>
      </c>
      <c r="KFN1" s="154" t="str">
        <f t="shared" si="118"/>
        <v>y</v>
      </c>
      <c r="KFO1" s="154" t="str">
        <f t="shared" si="118"/>
        <v>y</v>
      </c>
      <c r="KFP1" s="154" t="str">
        <f t="shared" si="118"/>
        <v>y</v>
      </c>
      <c r="KFQ1" s="154" t="str">
        <f t="shared" si="118"/>
        <v>y</v>
      </c>
      <c r="KFR1" s="154" t="str">
        <f t="shared" si="118"/>
        <v>y</v>
      </c>
      <c r="KFS1" s="154" t="str">
        <f t="shared" si="118"/>
        <v>y</v>
      </c>
      <c r="KFT1" s="154" t="str">
        <f t="shared" si="118"/>
        <v>y</v>
      </c>
      <c r="KFU1" s="154" t="str">
        <f t="shared" si="118"/>
        <v>y</v>
      </c>
      <c r="KFV1" s="154" t="str">
        <f t="shared" si="118"/>
        <v>y</v>
      </c>
      <c r="KFW1" s="154" t="str">
        <f t="shared" si="118"/>
        <v>y</v>
      </c>
      <c r="KFX1" s="154" t="str">
        <f t="shared" si="118"/>
        <v>y</v>
      </c>
      <c r="KFY1" s="154" t="str">
        <f t="shared" si="118"/>
        <v>y</v>
      </c>
      <c r="KFZ1" s="154" t="str">
        <f t="shared" si="118"/>
        <v>y</v>
      </c>
      <c r="KGA1" s="154" t="str">
        <f t="shared" si="118"/>
        <v>y</v>
      </c>
      <c r="KGB1" s="154" t="str">
        <f t="shared" ref="KGB1:KIM1" si="119">KGB2&amp;"y"</f>
        <v>y</v>
      </c>
      <c r="KGC1" s="154" t="str">
        <f t="shared" si="119"/>
        <v>y</v>
      </c>
      <c r="KGD1" s="154" t="str">
        <f t="shared" si="119"/>
        <v>y</v>
      </c>
      <c r="KGE1" s="154" t="str">
        <f t="shared" si="119"/>
        <v>y</v>
      </c>
      <c r="KGF1" s="154" t="str">
        <f t="shared" si="119"/>
        <v>y</v>
      </c>
      <c r="KGG1" s="154" t="str">
        <f t="shared" si="119"/>
        <v>y</v>
      </c>
      <c r="KGH1" s="154" t="str">
        <f t="shared" si="119"/>
        <v>y</v>
      </c>
      <c r="KGI1" s="154" t="str">
        <f t="shared" si="119"/>
        <v>y</v>
      </c>
      <c r="KGJ1" s="154" t="str">
        <f t="shared" si="119"/>
        <v>y</v>
      </c>
      <c r="KGK1" s="154" t="str">
        <f t="shared" si="119"/>
        <v>y</v>
      </c>
      <c r="KGL1" s="154" t="str">
        <f t="shared" si="119"/>
        <v>y</v>
      </c>
      <c r="KGM1" s="154" t="str">
        <f t="shared" si="119"/>
        <v>y</v>
      </c>
      <c r="KGN1" s="154" t="str">
        <f t="shared" si="119"/>
        <v>y</v>
      </c>
      <c r="KGO1" s="154" t="str">
        <f t="shared" si="119"/>
        <v>y</v>
      </c>
      <c r="KGP1" s="154" t="str">
        <f t="shared" si="119"/>
        <v>y</v>
      </c>
      <c r="KGQ1" s="154" t="str">
        <f t="shared" si="119"/>
        <v>y</v>
      </c>
      <c r="KGR1" s="154" t="str">
        <f t="shared" si="119"/>
        <v>y</v>
      </c>
      <c r="KGS1" s="154" t="str">
        <f t="shared" si="119"/>
        <v>y</v>
      </c>
      <c r="KGT1" s="154" t="str">
        <f t="shared" si="119"/>
        <v>y</v>
      </c>
      <c r="KGU1" s="154" t="str">
        <f t="shared" si="119"/>
        <v>y</v>
      </c>
      <c r="KGV1" s="154" t="str">
        <f t="shared" si="119"/>
        <v>y</v>
      </c>
      <c r="KGW1" s="154" t="str">
        <f t="shared" si="119"/>
        <v>y</v>
      </c>
      <c r="KGX1" s="154" t="str">
        <f t="shared" si="119"/>
        <v>y</v>
      </c>
      <c r="KGY1" s="154" t="str">
        <f t="shared" si="119"/>
        <v>y</v>
      </c>
      <c r="KGZ1" s="154" t="str">
        <f t="shared" si="119"/>
        <v>y</v>
      </c>
      <c r="KHA1" s="154" t="str">
        <f t="shared" si="119"/>
        <v>y</v>
      </c>
      <c r="KHB1" s="154" t="str">
        <f t="shared" si="119"/>
        <v>y</v>
      </c>
      <c r="KHC1" s="154" t="str">
        <f t="shared" si="119"/>
        <v>y</v>
      </c>
      <c r="KHD1" s="154" t="str">
        <f t="shared" si="119"/>
        <v>y</v>
      </c>
      <c r="KHE1" s="154" t="str">
        <f t="shared" si="119"/>
        <v>y</v>
      </c>
      <c r="KHF1" s="154" t="str">
        <f t="shared" si="119"/>
        <v>y</v>
      </c>
      <c r="KHG1" s="154" t="str">
        <f t="shared" si="119"/>
        <v>y</v>
      </c>
      <c r="KHH1" s="154" t="str">
        <f t="shared" si="119"/>
        <v>y</v>
      </c>
      <c r="KHI1" s="154" t="str">
        <f t="shared" si="119"/>
        <v>y</v>
      </c>
      <c r="KHJ1" s="154" t="str">
        <f t="shared" si="119"/>
        <v>y</v>
      </c>
      <c r="KHK1" s="154" t="str">
        <f t="shared" si="119"/>
        <v>y</v>
      </c>
      <c r="KHL1" s="154" t="str">
        <f t="shared" si="119"/>
        <v>y</v>
      </c>
      <c r="KHM1" s="154" t="str">
        <f t="shared" si="119"/>
        <v>y</v>
      </c>
      <c r="KHN1" s="154" t="str">
        <f t="shared" si="119"/>
        <v>y</v>
      </c>
      <c r="KHO1" s="154" t="str">
        <f t="shared" si="119"/>
        <v>y</v>
      </c>
      <c r="KHP1" s="154" t="str">
        <f t="shared" si="119"/>
        <v>y</v>
      </c>
      <c r="KHQ1" s="154" t="str">
        <f t="shared" si="119"/>
        <v>y</v>
      </c>
      <c r="KHR1" s="154" t="str">
        <f t="shared" si="119"/>
        <v>y</v>
      </c>
      <c r="KHS1" s="154" t="str">
        <f t="shared" si="119"/>
        <v>y</v>
      </c>
      <c r="KHT1" s="154" t="str">
        <f t="shared" si="119"/>
        <v>y</v>
      </c>
      <c r="KHU1" s="154" t="str">
        <f t="shared" si="119"/>
        <v>y</v>
      </c>
      <c r="KHV1" s="154" t="str">
        <f t="shared" si="119"/>
        <v>y</v>
      </c>
      <c r="KHW1" s="154" t="str">
        <f t="shared" si="119"/>
        <v>y</v>
      </c>
      <c r="KHX1" s="154" t="str">
        <f t="shared" si="119"/>
        <v>y</v>
      </c>
      <c r="KHY1" s="154" t="str">
        <f t="shared" si="119"/>
        <v>y</v>
      </c>
      <c r="KHZ1" s="154" t="str">
        <f t="shared" si="119"/>
        <v>y</v>
      </c>
      <c r="KIA1" s="154" t="str">
        <f t="shared" si="119"/>
        <v>y</v>
      </c>
      <c r="KIB1" s="154" t="str">
        <f t="shared" si="119"/>
        <v>y</v>
      </c>
      <c r="KIC1" s="154" t="str">
        <f t="shared" si="119"/>
        <v>y</v>
      </c>
      <c r="KID1" s="154" t="str">
        <f t="shared" si="119"/>
        <v>y</v>
      </c>
      <c r="KIE1" s="154" t="str">
        <f t="shared" si="119"/>
        <v>y</v>
      </c>
      <c r="KIF1" s="154" t="str">
        <f t="shared" si="119"/>
        <v>y</v>
      </c>
      <c r="KIG1" s="154" t="str">
        <f t="shared" si="119"/>
        <v>y</v>
      </c>
      <c r="KIH1" s="154" t="str">
        <f t="shared" si="119"/>
        <v>y</v>
      </c>
      <c r="KII1" s="154" t="str">
        <f t="shared" si="119"/>
        <v>y</v>
      </c>
      <c r="KIJ1" s="154" t="str">
        <f t="shared" si="119"/>
        <v>y</v>
      </c>
      <c r="KIK1" s="154" t="str">
        <f t="shared" si="119"/>
        <v>y</v>
      </c>
      <c r="KIL1" s="154" t="str">
        <f t="shared" si="119"/>
        <v>y</v>
      </c>
      <c r="KIM1" s="154" t="str">
        <f t="shared" si="119"/>
        <v>y</v>
      </c>
      <c r="KIN1" s="154" t="str">
        <f t="shared" ref="KIN1:KKY1" si="120">KIN2&amp;"y"</f>
        <v>y</v>
      </c>
      <c r="KIO1" s="154" t="str">
        <f t="shared" si="120"/>
        <v>y</v>
      </c>
      <c r="KIP1" s="154" t="str">
        <f t="shared" si="120"/>
        <v>y</v>
      </c>
      <c r="KIQ1" s="154" t="str">
        <f t="shared" si="120"/>
        <v>y</v>
      </c>
      <c r="KIR1" s="154" t="str">
        <f t="shared" si="120"/>
        <v>y</v>
      </c>
      <c r="KIS1" s="154" t="str">
        <f t="shared" si="120"/>
        <v>y</v>
      </c>
      <c r="KIT1" s="154" t="str">
        <f t="shared" si="120"/>
        <v>y</v>
      </c>
      <c r="KIU1" s="154" t="str">
        <f t="shared" si="120"/>
        <v>y</v>
      </c>
      <c r="KIV1" s="154" t="str">
        <f t="shared" si="120"/>
        <v>y</v>
      </c>
      <c r="KIW1" s="154" t="str">
        <f t="shared" si="120"/>
        <v>y</v>
      </c>
      <c r="KIX1" s="154" t="str">
        <f t="shared" si="120"/>
        <v>y</v>
      </c>
      <c r="KIY1" s="154" t="str">
        <f t="shared" si="120"/>
        <v>y</v>
      </c>
      <c r="KIZ1" s="154" t="str">
        <f t="shared" si="120"/>
        <v>y</v>
      </c>
      <c r="KJA1" s="154" t="str">
        <f t="shared" si="120"/>
        <v>y</v>
      </c>
      <c r="KJB1" s="154" t="str">
        <f t="shared" si="120"/>
        <v>y</v>
      </c>
      <c r="KJC1" s="154" t="str">
        <f t="shared" si="120"/>
        <v>y</v>
      </c>
      <c r="KJD1" s="154" t="str">
        <f t="shared" si="120"/>
        <v>y</v>
      </c>
      <c r="KJE1" s="154" t="str">
        <f t="shared" si="120"/>
        <v>y</v>
      </c>
      <c r="KJF1" s="154" t="str">
        <f t="shared" si="120"/>
        <v>y</v>
      </c>
      <c r="KJG1" s="154" t="str">
        <f t="shared" si="120"/>
        <v>y</v>
      </c>
      <c r="KJH1" s="154" t="str">
        <f t="shared" si="120"/>
        <v>y</v>
      </c>
      <c r="KJI1" s="154" t="str">
        <f t="shared" si="120"/>
        <v>y</v>
      </c>
      <c r="KJJ1" s="154" t="str">
        <f t="shared" si="120"/>
        <v>y</v>
      </c>
      <c r="KJK1" s="154" t="str">
        <f t="shared" si="120"/>
        <v>y</v>
      </c>
      <c r="KJL1" s="154" t="str">
        <f t="shared" si="120"/>
        <v>y</v>
      </c>
      <c r="KJM1" s="154" t="str">
        <f t="shared" si="120"/>
        <v>y</v>
      </c>
      <c r="KJN1" s="154" t="str">
        <f t="shared" si="120"/>
        <v>y</v>
      </c>
      <c r="KJO1" s="154" t="str">
        <f t="shared" si="120"/>
        <v>y</v>
      </c>
      <c r="KJP1" s="154" t="str">
        <f t="shared" si="120"/>
        <v>y</v>
      </c>
      <c r="KJQ1" s="154" t="str">
        <f t="shared" si="120"/>
        <v>y</v>
      </c>
      <c r="KJR1" s="154" t="str">
        <f t="shared" si="120"/>
        <v>y</v>
      </c>
      <c r="KJS1" s="154" t="str">
        <f t="shared" si="120"/>
        <v>y</v>
      </c>
      <c r="KJT1" s="154" t="str">
        <f t="shared" si="120"/>
        <v>y</v>
      </c>
      <c r="KJU1" s="154" t="str">
        <f t="shared" si="120"/>
        <v>y</v>
      </c>
      <c r="KJV1" s="154" t="str">
        <f t="shared" si="120"/>
        <v>y</v>
      </c>
      <c r="KJW1" s="154" t="str">
        <f t="shared" si="120"/>
        <v>y</v>
      </c>
      <c r="KJX1" s="154" t="str">
        <f t="shared" si="120"/>
        <v>y</v>
      </c>
      <c r="KJY1" s="154" t="str">
        <f t="shared" si="120"/>
        <v>y</v>
      </c>
      <c r="KJZ1" s="154" t="str">
        <f t="shared" si="120"/>
        <v>y</v>
      </c>
      <c r="KKA1" s="154" t="str">
        <f t="shared" si="120"/>
        <v>y</v>
      </c>
      <c r="KKB1" s="154" t="str">
        <f t="shared" si="120"/>
        <v>y</v>
      </c>
      <c r="KKC1" s="154" t="str">
        <f t="shared" si="120"/>
        <v>y</v>
      </c>
      <c r="KKD1" s="154" t="str">
        <f t="shared" si="120"/>
        <v>y</v>
      </c>
      <c r="KKE1" s="154" t="str">
        <f t="shared" si="120"/>
        <v>y</v>
      </c>
      <c r="KKF1" s="154" t="str">
        <f t="shared" si="120"/>
        <v>y</v>
      </c>
      <c r="KKG1" s="154" t="str">
        <f t="shared" si="120"/>
        <v>y</v>
      </c>
      <c r="KKH1" s="154" t="str">
        <f t="shared" si="120"/>
        <v>y</v>
      </c>
      <c r="KKI1" s="154" t="str">
        <f t="shared" si="120"/>
        <v>y</v>
      </c>
      <c r="KKJ1" s="154" t="str">
        <f t="shared" si="120"/>
        <v>y</v>
      </c>
      <c r="KKK1" s="154" t="str">
        <f t="shared" si="120"/>
        <v>y</v>
      </c>
      <c r="KKL1" s="154" t="str">
        <f t="shared" si="120"/>
        <v>y</v>
      </c>
      <c r="KKM1" s="154" t="str">
        <f t="shared" si="120"/>
        <v>y</v>
      </c>
      <c r="KKN1" s="154" t="str">
        <f t="shared" si="120"/>
        <v>y</v>
      </c>
      <c r="KKO1" s="154" t="str">
        <f t="shared" si="120"/>
        <v>y</v>
      </c>
      <c r="KKP1" s="154" t="str">
        <f t="shared" si="120"/>
        <v>y</v>
      </c>
      <c r="KKQ1" s="154" t="str">
        <f t="shared" si="120"/>
        <v>y</v>
      </c>
      <c r="KKR1" s="154" t="str">
        <f t="shared" si="120"/>
        <v>y</v>
      </c>
      <c r="KKS1" s="154" t="str">
        <f t="shared" si="120"/>
        <v>y</v>
      </c>
      <c r="KKT1" s="154" t="str">
        <f t="shared" si="120"/>
        <v>y</v>
      </c>
      <c r="KKU1" s="154" t="str">
        <f t="shared" si="120"/>
        <v>y</v>
      </c>
      <c r="KKV1" s="154" t="str">
        <f t="shared" si="120"/>
        <v>y</v>
      </c>
      <c r="KKW1" s="154" t="str">
        <f t="shared" si="120"/>
        <v>y</v>
      </c>
      <c r="KKX1" s="154" t="str">
        <f t="shared" si="120"/>
        <v>y</v>
      </c>
      <c r="KKY1" s="154" t="str">
        <f t="shared" si="120"/>
        <v>y</v>
      </c>
      <c r="KKZ1" s="154" t="str">
        <f t="shared" ref="KKZ1:KNK1" si="121">KKZ2&amp;"y"</f>
        <v>y</v>
      </c>
      <c r="KLA1" s="154" t="str">
        <f t="shared" si="121"/>
        <v>y</v>
      </c>
      <c r="KLB1" s="154" t="str">
        <f t="shared" si="121"/>
        <v>y</v>
      </c>
      <c r="KLC1" s="154" t="str">
        <f t="shared" si="121"/>
        <v>y</v>
      </c>
      <c r="KLD1" s="154" t="str">
        <f t="shared" si="121"/>
        <v>y</v>
      </c>
      <c r="KLE1" s="154" t="str">
        <f t="shared" si="121"/>
        <v>y</v>
      </c>
      <c r="KLF1" s="154" t="str">
        <f t="shared" si="121"/>
        <v>y</v>
      </c>
      <c r="KLG1" s="154" t="str">
        <f t="shared" si="121"/>
        <v>y</v>
      </c>
      <c r="KLH1" s="154" t="str">
        <f t="shared" si="121"/>
        <v>y</v>
      </c>
      <c r="KLI1" s="154" t="str">
        <f t="shared" si="121"/>
        <v>y</v>
      </c>
      <c r="KLJ1" s="154" t="str">
        <f t="shared" si="121"/>
        <v>y</v>
      </c>
      <c r="KLK1" s="154" t="str">
        <f t="shared" si="121"/>
        <v>y</v>
      </c>
      <c r="KLL1" s="154" t="str">
        <f t="shared" si="121"/>
        <v>y</v>
      </c>
      <c r="KLM1" s="154" t="str">
        <f t="shared" si="121"/>
        <v>y</v>
      </c>
      <c r="KLN1" s="154" t="str">
        <f t="shared" si="121"/>
        <v>y</v>
      </c>
      <c r="KLO1" s="154" t="str">
        <f t="shared" si="121"/>
        <v>y</v>
      </c>
      <c r="KLP1" s="154" t="str">
        <f t="shared" si="121"/>
        <v>y</v>
      </c>
      <c r="KLQ1" s="154" t="str">
        <f t="shared" si="121"/>
        <v>y</v>
      </c>
      <c r="KLR1" s="154" t="str">
        <f t="shared" si="121"/>
        <v>y</v>
      </c>
      <c r="KLS1" s="154" t="str">
        <f t="shared" si="121"/>
        <v>y</v>
      </c>
      <c r="KLT1" s="154" t="str">
        <f t="shared" si="121"/>
        <v>y</v>
      </c>
      <c r="KLU1" s="154" t="str">
        <f t="shared" si="121"/>
        <v>y</v>
      </c>
      <c r="KLV1" s="154" t="str">
        <f t="shared" si="121"/>
        <v>y</v>
      </c>
      <c r="KLW1" s="154" t="str">
        <f t="shared" si="121"/>
        <v>y</v>
      </c>
      <c r="KLX1" s="154" t="str">
        <f t="shared" si="121"/>
        <v>y</v>
      </c>
      <c r="KLY1" s="154" t="str">
        <f t="shared" si="121"/>
        <v>y</v>
      </c>
      <c r="KLZ1" s="154" t="str">
        <f t="shared" si="121"/>
        <v>y</v>
      </c>
      <c r="KMA1" s="154" t="str">
        <f t="shared" si="121"/>
        <v>y</v>
      </c>
      <c r="KMB1" s="154" t="str">
        <f t="shared" si="121"/>
        <v>y</v>
      </c>
      <c r="KMC1" s="154" t="str">
        <f t="shared" si="121"/>
        <v>y</v>
      </c>
      <c r="KMD1" s="154" t="str">
        <f t="shared" si="121"/>
        <v>y</v>
      </c>
      <c r="KME1" s="154" t="str">
        <f t="shared" si="121"/>
        <v>y</v>
      </c>
      <c r="KMF1" s="154" t="str">
        <f t="shared" si="121"/>
        <v>y</v>
      </c>
      <c r="KMG1" s="154" t="str">
        <f t="shared" si="121"/>
        <v>y</v>
      </c>
      <c r="KMH1" s="154" t="str">
        <f t="shared" si="121"/>
        <v>y</v>
      </c>
      <c r="KMI1" s="154" t="str">
        <f t="shared" si="121"/>
        <v>y</v>
      </c>
      <c r="KMJ1" s="154" t="str">
        <f t="shared" si="121"/>
        <v>y</v>
      </c>
      <c r="KMK1" s="154" t="str">
        <f t="shared" si="121"/>
        <v>y</v>
      </c>
      <c r="KML1" s="154" t="str">
        <f t="shared" si="121"/>
        <v>y</v>
      </c>
      <c r="KMM1" s="154" t="str">
        <f t="shared" si="121"/>
        <v>y</v>
      </c>
      <c r="KMN1" s="154" t="str">
        <f t="shared" si="121"/>
        <v>y</v>
      </c>
      <c r="KMO1" s="154" t="str">
        <f t="shared" si="121"/>
        <v>y</v>
      </c>
      <c r="KMP1" s="154" t="str">
        <f t="shared" si="121"/>
        <v>y</v>
      </c>
      <c r="KMQ1" s="154" t="str">
        <f t="shared" si="121"/>
        <v>y</v>
      </c>
      <c r="KMR1" s="154" t="str">
        <f t="shared" si="121"/>
        <v>y</v>
      </c>
      <c r="KMS1" s="154" t="str">
        <f t="shared" si="121"/>
        <v>y</v>
      </c>
      <c r="KMT1" s="154" t="str">
        <f t="shared" si="121"/>
        <v>y</v>
      </c>
      <c r="KMU1" s="154" t="str">
        <f t="shared" si="121"/>
        <v>y</v>
      </c>
      <c r="KMV1" s="154" t="str">
        <f t="shared" si="121"/>
        <v>y</v>
      </c>
      <c r="KMW1" s="154" t="str">
        <f t="shared" si="121"/>
        <v>y</v>
      </c>
      <c r="KMX1" s="154" t="str">
        <f t="shared" si="121"/>
        <v>y</v>
      </c>
      <c r="KMY1" s="154" t="str">
        <f t="shared" si="121"/>
        <v>y</v>
      </c>
      <c r="KMZ1" s="154" t="str">
        <f t="shared" si="121"/>
        <v>y</v>
      </c>
      <c r="KNA1" s="154" t="str">
        <f t="shared" si="121"/>
        <v>y</v>
      </c>
      <c r="KNB1" s="154" t="str">
        <f t="shared" si="121"/>
        <v>y</v>
      </c>
      <c r="KNC1" s="154" t="str">
        <f t="shared" si="121"/>
        <v>y</v>
      </c>
      <c r="KND1" s="154" t="str">
        <f t="shared" si="121"/>
        <v>y</v>
      </c>
      <c r="KNE1" s="154" t="str">
        <f t="shared" si="121"/>
        <v>y</v>
      </c>
      <c r="KNF1" s="154" t="str">
        <f t="shared" si="121"/>
        <v>y</v>
      </c>
      <c r="KNG1" s="154" t="str">
        <f t="shared" si="121"/>
        <v>y</v>
      </c>
      <c r="KNH1" s="154" t="str">
        <f t="shared" si="121"/>
        <v>y</v>
      </c>
      <c r="KNI1" s="154" t="str">
        <f t="shared" si="121"/>
        <v>y</v>
      </c>
      <c r="KNJ1" s="154" t="str">
        <f t="shared" si="121"/>
        <v>y</v>
      </c>
      <c r="KNK1" s="154" t="str">
        <f t="shared" si="121"/>
        <v>y</v>
      </c>
      <c r="KNL1" s="154" t="str">
        <f t="shared" ref="KNL1:KPW1" si="122">KNL2&amp;"y"</f>
        <v>y</v>
      </c>
      <c r="KNM1" s="154" t="str">
        <f t="shared" si="122"/>
        <v>y</v>
      </c>
      <c r="KNN1" s="154" t="str">
        <f t="shared" si="122"/>
        <v>y</v>
      </c>
      <c r="KNO1" s="154" t="str">
        <f t="shared" si="122"/>
        <v>y</v>
      </c>
      <c r="KNP1" s="154" t="str">
        <f t="shared" si="122"/>
        <v>y</v>
      </c>
      <c r="KNQ1" s="154" t="str">
        <f t="shared" si="122"/>
        <v>y</v>
      </c>
      <c r="KNR1" s="154" t="str">
        <f t="shared" si="122"/>
        <v>y</v>
      </c>
      <c r="KNS1" s="154" t="str">
        <f t="shared" si="122"/>
        <v>y</v>
      </c>
      <c r="KNT1" s="154" t="str">
        <f t="shared" si="122"/>
        <v>y</v>
      </c>
      <c r="KNU1" s="154" t="str">
        <f t="shared" si="122"/>
        <v>y</v>
      </c>
      <c r="KNV1" s="154" t="str">
        <f t="shared" si="122"/>
        <v>y</v>
      </c>
      <c r="KNW1" s="154" t="str">
        <f t="shared" si="122"/>
        <v>y</v>
      </c>
      <c r="KNX1" s="154" t="str">
        <f t="shared" si="122"/>
        <v>y</v>
      </c>
      <c r="KNY1" s="154" t="str">
        <f t="shared" si="122"/>
        <v>y</v>
      </c>
      <c r="KNZ1" s="154" t="str">
        <f t="shared" si="122"/>
        <v>y</v>
      </c>
      <c r="KOA1" s="154" t="str">
        <f t="shared" si="122"/>
        <v>y</v>
      </c>
      <c r="KOB1" s="154" t="str">
        <f t="shared" si="122"/>
        <v>y</v>
      </c>
      <c r="KOC1" s="154" t="str">
        <f t="shared" si="122"/>
        <v>y</v>
      </c>
      <c r="KOD1" s="154" t="str">
        <f t="shared" si="122"/>
        <v>y</v>
      </c>
      <c r="KOE1" s="154" t="str">
        <f t="shared" si="122"/>
        <v>y</v>
      </c>
      <c r="KOF1" s="154" t="str">
        <f t="shared" si="122"/>
        <v>y</v>
      </c>
      <c r="KOG1" s="154" t="str">
        <f t="shared" si="122"/>
        <v>y</v>
      </c>
      <c r="KOH1" s="154" t="str">
        <f t="shared" si="122"/>
        <v>y</v>
      </c>
      <c r="KOI1" s="154" t="str">
        <f t="shared" si="122"/>
        <v>y</v>
      </c>
      <c r="KOJ1" s="154" t="str">
        <f t="shared" si="122"/>
        <v>y</v>
      </c>
      <c r="KOK1" s="154" t="str">
        <f t="shared" si="122"/>
        <v>y</v>
      </c>
      <c r="KOL1" s="154" t="str">
        <f t="shared" si="122"/>
        <v>y</v>
      </c>
      <c r="KOM1" s="154" t="str">
        <f t="shared" si="122"/>
        <v>y</v>
      </c>
      <c r="KON1" s="154" t="str">
        <f t="shared" si="122"/>
        <v>y</v>
      </c>
      <c r="KOO1" s="154" t="str">
        <f t="shared" si="122"/>
        <v>y</v>
      </c>
      <c r="KOP1" s="154" t="str">
        <f t="shared" si="122"/>
        <v>y</v>
      </c>
      <c r="KOQ1" s="154" t="str">
        <f t="shared" si="122"/>
        <v>y</v>
      </c>
      <c r="KOR1" s="154" t="str">
        <f t="shared" si="122"/>
        <v>y</v>
      </c>
      <c r="KOS1" s="154" t="str">
        <f t="shared" si="122"/>
        <v>y</v>
      </c>
      <c r="KOT1" s="154" t="str">
        <f t="shared" si="122"/>
        <v>y</v>
      </c>
      <c r="KOU1" s="154" t="str">
        <f t="shared" si="122"/>
        <v>y</v>
      </c>
      <c r="KOV1" s="154" t="str">
        <f t="shared" si="122"/>
        <v>y</v>
      </c>
      <c r="KOW1" s="154" t="str">
        <f t="shared" si="122"/>
        <v>y</v>
      </c>
      <c r="KOX1" s="154" t="str">
        <f t="shared" si="122"/>
        <v>y</v>
      </c>
      <c r="KOY1" s="154" t="str">
        <f t="shared" si="122"/>
        <v>y</v>
      </c>
      <c r="KOZ1" s="154" t="str">
        <f t="shared" si="122"/>
        <v>y</v>
      </c>
      <c r="KPA1" s="154" t="str">
        <f t="shared" si="122"/>
        <v>y</v>
      </c>
      <c r="KPB1" s="154" t="str">
        <f t="shared" si="122"/>
        <v>y</v>
      </c>
      <c r="KPC1" s="154" t="str">
        <f t="shared" si="122"/>
        <v>y</v>
      </c>
      <c r="KPD1" s="154" t="str">
        <f t="shared" si="122"/>
        <v>y</v>
      </c>
      <c r="KPE1" s="154" t="str">
        <f t="shared" si="122"/>
        <v>y</v>
      </c>
      <c r="KPF1" s="154" t="str">
        <f t="shared" si="122"/>
        <v>y</v>
      </c>
      <c r="KPG1" s="154" t="str">
        <f t="shared" si="122"/>
        <v>y</v>
      </c>
      <c r="KPH1" s="154" t="str">
        <f t="shared" si="122"/>
        <v>y</v>
      </c>
      <c r="KPI1" s="154" t="str">
        <f t="shared" si="122"/>
        <v>y</v>
      </c>
      <c r="KPJ1" s="154" t="str">
        <f t="shared" si="122"/>
        <v>y</v>
      </c>
      <c r="KPK1" s="154" t="str">
        <f t="shared" si="122"/>
        <v>y</v>
      </c>
      <c r="KPL1" s="154" t="str">
        <f t="shared" si="122"/>
        <v>y</v>
      </c>
      <c r="KPM1" s="154" t="str">
        <f t="shared" si="122"/>
        <v>y</v>
      </c>
      <c r="KPN1" s="154" t="str">
        <f t="shared" si="122"/>
        <v>y</v>
      </c>
      <c r="KPO1" s="154" t="str">
        <f t="shared" si="122"/>
        <v>y</v>
      </c>
      <c r="KPP1" s="154" t="str">
        <f t="shared" si="122"/>
        <v>y</v>
      </c>
      <c r="KPQ1" s="154" t="str">
        <f t="shared" si="122"/>
        <v>y</v>
      </c>
      <c r="KPR1" s="154" t="str">
        <f t="shared" si="122"/>
        <v>y</v>
      </c>
      <c r="KPS1" s="154" t="str">
        <f t="shared" si="122"/>
        <v>y</v>
      </c>
      <c r="KPT1" s="154" t="str">
        <f t="shared" si="122"/>
        <v>y</v>
      </c>
      <c r="KPU1" s="154" t="str">
        <f t="shared" si="122"/>
        <v>y</v>
      </c>
      <c r="KPV1" s="154" t="str">
        <f t="shared" si="122"/>
        <v>y</v>
      </c>
      <c r="KPW1" s="154" t="str">
        <f t="shared" si="122"/>
        <v>y</v>
      </c>
      <c r="KPX1" s="154" t="str">
        <f t="shared" ref="KPX1:KSI1" si="123">KPX2&amp;"y"</f>
        <v>y</v>
      </c>
      <c r="KPY1" s="154" t="str">
        <f t="shared" si="123"/>
        <v>y</v>
      </c>
      <c r="KPZ1" s="154" t="str">
        <f t="shared" si="123"/>
        <v>y</v>
      </c>
      <c r="KQA1" s="154" t="str">
        <f t="shared" si="123"/>
        <v>y</v>
      </c>
      <c r="KQB1" s="154" t="str">
        <f t="shared" si="123"/>
        <v>y</v>
      </c>
      <c r="KQC1" s="154" t="str">
        <f t="shared" si="123"/>
        <v>y</v>
      </c>
      <c r="KQD1" s="154" t="str">
        <f t="shared" si="123"/>
        <v>y</v>
      </c>
      <c r="KQE1" s="154" t="str">
        <f t="shared" si="123"/>
        <v>y</v>
      </c>
      <c r="KQF1" s="154" t="str">
        <f t="shared" si="123"/>
        <v>y</v>
      </c>
      <c r="KQG1" s="154" t="str">
        <f t="shared" si="123"/>
        <v>y</v>
      </c>
      <c r="KQH1" s="154" t="str">
        <f t="shared" si="123"/>
        <v>y</v>
      </c>
      <c r="KQI1" s="154" t="str">
        <f t="shared" si="123"/>
        <v>y</v>
      </c>
      <c r="KQJ1" s="154" t="str">
        <f t="shared" si="123"/>
        <v>y</v>
      </c>
      <c r="KQK1" s="154" t="str">
        <f t="shared" si="123"/>
        <v>y</v>
      </c>
      <c r="KQL1" s="154" t="str">
        <f t="shared" si="123"/>
        <v>y</v>
      </c>
      <c r="KQM1" s="154" t="str">
        <f t="shared" si="123"/>
        <v>y</v>
      </c>
      <c r="KQN1" s="154" t="str">
        <f t="shared" si="123"/>
        <v>y</v>
      </c>
      <c r="KQO1" s="154" t="str">
        <f t="shared" si="123"/>
        <v>y</v>
      </c>
      <c r="KQP1" s="154" t="str">
        <f t="shared" si="123"/>
        <v>y</v>
      </c>
      <c r="KQQ1" s="154" t="str">
        <f t="shared" si="123"/>
        <v>y</v>
      </c>
      <c r="KQR1" s="154" t="str">
        <f t="shared" si="123"/>
        <v>y</v>
      </c>
      <c r="KQS1" s="154" t="str">
        <f t="shared" si="123"/>
        <v>y</v>
      </c>
      <c r="KQT1" s="154" t="str">
        <f t="shared" si="123"/>
        <v>y</v>
      </c>
      <c r="KQU1" s="154" t="str">
        <f t="shared" si="123"/>
        <v>y</v>
      </c>
      <c r="KQV1" s="154" t="str">
        <f t="shared" si="123"/>
        <v>y</v>
      </c>
      <c r="KQW1" s="154" t="str">
        <f t="shared" si="123"/>
        <v>y</v>
      </c>
      <c r="KQX1" s="154" t="str">
        <f t="shared" si="123"/>
        <v>y</v>
      </c>
      <c r="KQY1" s="154" t="str">
        <f t="shared" si="123"/>
        <v>y</v>
      </c>
      <c r="KQZ1" s="154" t="str">
        <f t="shared" si="123"/>
        <v>y</v>
      </c>
      <c r="KRA1" s="154" t="str">
        <f t="shared" si="123"/>
        <v>y</v>
      </c>
      <c r="KRB1" s="154" t="str">
        <f t="shared" si="123"/>
        <v>y</v>
      </c>
      <c r="KRC1" s="154" t="str">
        <f t="shared" si="123"/>
        <v>y</v>
      </c>
      <c r="KRD1" s="154" t="str">
        <f t="shared" si="123"/>
        <v>y</v>
      </c>
      <c r="KRE1" s="154" t="str">
        <f t="shared" si="123"/>
        <v>y</v>
      </c>
      <c r="KRF1" s="154" t="str">
        <f t="shared" si="123"/>
        <v>y</v>
      </c>
      <c r="KRG1" s="154" t="str">
        <f t="shared" si="123"/>
        <v>y</v>
      </c>
      <c r="KRH1" s="154" t="str">
        <f t="shared" si="123"/>
        <v>y</v>
      </c>
      <c r="KRI1" s="154" t="str">
        <f t="shared" si="123"/>
        <v>y</v>
      </c>
      <c r="KRJ1" s="154" t="str">
        <f t="shared" si="123"/>
        <v>y</v>
      </c>
      <c r="KRK1" s="154" t="str">
        <f t="shared" si="123"/>
        <v>y</v>
      </c>
      <c r="KRL1" s="154" t="str">
        <f t="shared" si="123"/>
        <v>y</v>
      </c>
      <c r="KRM1" s="154" t="str">
        <f t="shared" si="123"/>
        <v>y</v>
      </c>
      <c r="KRN1" s="154" t="str">
        <f t="shared" si="123"/>
        <v>y</v>
      </c>
      <c r="KRO1" s="154" t="str">
        <f t="shared" si="123"/>
        <v>y</v>
      </c>
      <c r="KRP1" s="154" t="str">
        <f t="shared" si="123"/>
        <v>y</v>
      </c>
      <c r="KRQ1" s="154" t="str">
        <f t="shared" si="123"/>
        <v>y</v>
      </c>
      <c r="KRR1" s="154" t="str">
        <f t="shared" si="123"/>
        <v>y</v>
      </c>
      <c r="KRS1" s="154" t="str">
        <f t="shared" si="123"/>
        <v>y</v>
      </c>
      <c r="KRT1" s="154" t="str">
        <f t="shared" si="123"/>
        <v>y</v>
      </c>
      <c r="KRU1" s="154" t="str">
        <f t="shared" si="123"/>
        <v>y</v>
      </c>
      <c r="KRV1" s="154" t="str">
        <f t="shared" si="123"/>
        <v>y</v>
      </c>
      <c r="KRW1" s="154" t="str">
        <f t="shared" si="123"/>
        <v>y</v>
      </c>
      <c r="KRX1" s="154" t="str">
        <f t="shared" si="123"/>
        <v>y</v>
      </c>
      <c r="KRY1" s="154" t="str">
        <f t="shared" si="123"/>
        <v>y</v>
      </c>
      <c r="KRZ1" s="154" t="str">
        <f t="shared" si="123"/>
        <v>y</v>
      </c>
      <c r="KSA1" s="154" t="str">
        <f t="shared" si="123"/>
        <v>y</v>
      </c>
      <c r="KSB1" s="154" t="str">
        <f t="shared" si="123"/>
        <v>y</v>
      </c>
      <c r="KSC1" s="154" t="str">
        <f t="shared" si="123"/>
        <v>y</v>
      </c>
      <c r="KSD1" s="154" t="str">
        <f t="shared" si="123"/>
        <v>y</v>
      </c>
      <c r="KSE1" s="154" t="str">
        <f t="shared" si="123"/>
        <v>y</v>
      </c>
      <c r="KSF1" s="154" t="str">
        <f t="shared" si="123"/>
        <v>y</v>
      </c>
      <c r="KSG1" s="154" t="str">
        <f t="shared" si="123"/>
        <v>y</v>
      </c>
      <c r="KSH1" s="154" t="str">
        <f t="shared" si="123"/>
        <v>y</v>
      </c>
      <c r="KSI1" s="154" t="str">
        <f t="shared" si="123"/>
        <v>y</v>
      </c>
      <c r="KSJ1" s="154" t="str">
        <f t="shared" ref="KSJ1:KUU1" si="124">KSJ2&amp;"y"</f>
        <v>y</v>
      </c>
      <c r="KSK1" s="154" t="str">
        <f t="shared" si="124"/>
        <v>y</v>
      </c>
      <c r="KSL1" s="154" t="str">
        <f t="shared" si="124"/>
        <v>y</v>
      </c>
      <c r="KSM1" s="154" t="str">
        <f t="shared" si="124"/>
        <v>y</v>
      </c>
      <c r="KSN1" s="154" t="str">
        <f t="shared" si="124"/>
        <v>y</v>
      </c>
      <c r="KSO1" s="154" t="str">
        <f t="shared" si="124"/>
        <v>y</v>
      </c>
      <c r="KSP1" s="154" t="str">
        <f t="shared" si="124"/>
        <v>y</v>
      </c>
      <c r="KSQ1" s="154" t="str">
        <f t="shared" si="124"/>
        <v>y</v>
      </c>
      <c r="KSR1" s="154" t="str">
        <f t="shared" si="124"/>
        <v>y</v>
      </c>
      <c r="KSS1" s="154" t="str">
        <f t="shared" si="124"/>
        <v>y</v>
      </c>
      <c r="KST1" s="154" t="str">
        <f t="shared" si="124"/>
        <v>y</v>
      </c>
      <c r="KSU1" s="154" t="str">
        <f t="shared" si="124"/>
        <v>y</v>
      </c>
      <c r="KSV1" s="154" t="str">
        <f t="shared" si="124"/>
        <v>y</v>
      </c>
      <c r="KSW1" s="154" t="str">
        <f t="shared" si="124"/>
        <v>y</v>
      </c>
      <c r="KSX1" s="154" t="str">
        <f t="shared" si="124"/>
        <v>y</v>
      </c>
      <c r="KSY1" s="154" t="str">
        <f t="shared" si="124"/>
        <v>y</v>
      </c>
      <c r="KSZ1" s="154" t="str">
        <f t="shared" si="124"/>
        <v>y</v>
      </c>
      <c r="KTA1" s="154" t="str">
        <f t="shared" si="124"/>
        <v>y</v>
      </c>
      <c r="KTB1" s="154" t="str">
        <f t="shared" si="124"/>
        <v>y</v>
      </c>
      <c r="KTC1" s="154" t="str">
        <f t="shared" si="124"/>
        <v>y</v>
      </c>
      <c r="KTD1" s="154" t="str">
        <f t="shared" si="124"/>
        <v>y</v>
      </c>
      <c r="KTE1" s="154" t="str">
        <f t="shared" si="124"/>
        <v>y</v>
      </c>
      <c r="KTF1" s="154" t="str">
        <f t="shared" si="124"/>
        <v>y</v>
      </c>
      <c r="KTG1" s="154" t="str">
        <f t="shared" si="124"/>
        <v>y</v>
      </c>
      <c r="KTH1" s="154" t="str">
        <f t="shared" si="124"/>
        <v>y</v>
      </c>
      <c r="KTI1" s="154" t="str">
        <f t="shared" si="124"/>
        <v>y</v>
      </c>
      <c r="KTJ1" s="154" t="str">
        <f t="shared" si="124"/>
        <v>y</v>
      </c>
      <c r="KTK1" s="154" t="str">
        <f t="shared" si="124"/>
        <v>y</v>
      </c>
      <c r="KTL1" s="154" t="str">
        <f t="shared" si="124"/>
        <v>y</v>
      </c>
      <c r="KTM1" s="154" t="str">
        <f t="shared" si="124"/>
        <v>y</v>
      </c>
      <c r="KTN1" s="154" t="str">
        <f t="shared" si="124"/>
        <v>y</v>
      </c>
      <c r="KTO1" s="154" t="str">
        <f t="shared" si="124"/>
        <v>y</v>
      </c>
      <c r="KTP1" s="154" t="str">
        <f t="shared" si="124"/>
        <v>y</v>
      </c>
      <c r="KTQ1" s="154" t="str">
        <f t="shared" si="124"/>
        <v>y</v>
      </c>
      <c r="KTR1" s="154" t="str">
        <f t="shared" si="124"/>
        <v>y</v>
      </c>
      <c r="KTS1" s="154" t="str">
        <f t="shared" si="124"/>
        <v>y</v>
      </c>
      <c r="KTT1" s="154" t="str">
        <f t="shared" si="124"/>
        <v>y</v>
      </c>
      <c r="KTU1" s="154" t="str">
        <f t="shared" si="124"/>
        <v>y</v>
      </c>
      <c r="KTV1" s="154" t="str">
        <f t="shared" si="124"/>
        <v>y</v>
      </c>
      <c r="KTW1" s="154" t="str">
        <f t="shared" si="124"/>
        <v>y</v>
      </c>
      <c r="KTX1" s="154" t="str">
        <f t="shared" si="124"/>
        <v>y</v>
      </c>
      <c r="KTY1" s="154" t="str">
        <f t="shared" si="124"/>
        <v>y</v>
      </c>
      <c r="KTZ1" s="154" t="str">
        <f t="shared" si="124"/>
        <v>y</v>
      </c>
      <c r="KUA1" s="154" t="str">
        <f t="shared" si="124"/>
        <v>y</v>
      </c>
      <c r="KUB1" s="154" t="str">
        <f t="shared" si="124"/>
        <v>y</v>
      </c>
      <c r="KUC1" s="154" t="str">
        <f t="shared" si="124"/>
        <v>y</v>
      </c>
      <c r="KUD1" s="154" t="str">
        <f t="shared" si="124"/>
        <v>y</v>
      </c>
      <c r="KUE1" s="154" t="str">
        <f t="shared" si="124"/>
        <v>y</v>
      </c>
      <c r="KUF1" s="154" t="str">
        <f t="shared" si="124"/>
        <v>y</v>
      </c>
      <c r="KUG1" s="154" t="str">
        <f t="shared" si="124"/>
        <v>y</v>
      </c>
      <c r="KUH1" s="154" t="str">
        <f t="shared" si="124"/>
        <v>y</v>
      </c>
      <c r="KUI1" s="154" t="str">
        <f t="shared" si="124"/>
        <v>y</v>
      </c>
      <c r="KUJ1" s="154" t="str">
        <f t="shared" si="124"/>
        <v>y</v>
      </c>
      <c r="KUK1" s="154" t="str">
        <f t="shared" si="124"/>
        <v>y</v>
      </c>
      <c r="KUL1" s="154" t="str">
        <f t="shared" si="124"/>
        <v>y</v>
      </c>
      <c r="KUM1" s="154" t="str">
        <f t="shared" si="124"/>
        <v>y</v>
      </c>
      <c r="KUN1" s="154" t="str">
        <f t="shared" si="124"/>
        <v>y</v>
      </c>
      <c r="KUO1" s="154" t="str">
        <f t="shared" si="124"/>
        <v>y</v>
      </c>
      <c r="KUP1" s="154" t="str">
        <f t="shared" si="124"/>
        <v>y</v>
      </c>
      <c r="KUQ1" s="154" t="str">
        <f t="shared" si="124"/>
        <v>y</v>
      </c>
      <c r="KUR1" s="154" t="str">
        <f t="shared" si="124"/>
        <v>y</v>
      </c>
      <c r="KUS1" s="154" t="str">
        <f t="shared" si="124"/>
        <v>y</v>
      </c>
      <c r="KUT1" s="154" t="str">
        <f t="shared" si="124"/>
        <v>y</v>
      </c>
      <c r="KUU1" s="154" t="str">
        <f t="shared" si="124"/>
        <v>y</v>
      </c>
      <c r="KUV1" s="154" t="str">
        <f t="shared" ref="KUV1:KXG1" si="125">KUV2&amp;"y"</f>
        <v>y</v>
      </c>
      <c r="KUW1" s="154" t="str">
        <f t="shared" si="125"/>
        <v>y</v>
      </c>
      <c r="KUX1" s="154" t="str">
        <f t="shared" si="125"/>
        <v>y</v>
      </c>
      <c r="KUY1" s="154" t="str">
        <f t="shared" si="125"/>
        <v>y</v>
      </c>
      <c r="KUZ1" s="154" t="str">
        <f t="shared" si="125"/>
        <v>y</v>
      </c>
      <c r="KVA1" s="154" t="str">
        <f t="shared" si="125"/>
        <v>y</v>
      </c>
      <c r="KVB1" s="154" t="str">
        <f t="shared" si="125"/>
        <v>y</v>
      </c>
      <c r="KVC1" s="154" t="str">
        <f t="shared" si="125"/>
        <v>y</v>
      </c>
      <c r="KVD1" s="154" t="str">
        <f t="shared" si="125"/>
        <v>y</v>
      </c>
      <c r="KVE1" s="154" t="str">
        <f t="shared" si="125"/>
        <v>y</v>
      </c>
      <c r="KVF1" s="154" t="str">
        <f t="shared" si="125"/>
        <v>y</v>
      </c>
      <c r="KVG1" s="154" t="str">
        <f t="shared" si="125"/>
        <v>y</v>
      </c>
      <c r="KVH1" s="154" t="str">
        <f t="shared" si="125"/>
        <v>y</v>
      </c>
      <c r="KVI1" s="154" t="str">
        <f t="shared" si="125"/>
        <v>y</v>
      </c>
      <c r="KVJ1" s="154" t="str">
        <f t="shared" si="125"/>
        <v>y</v>
      </c>
      <c r="KVK1" s="154" t="str">
        <f t="shared" si="125"/>
        <v>y</v>
      </c>
      <c r="KVL1" s="154" t="str">
        <f t="shared" si="125"/>
        <v>y</v>
      </c>
      <c r="KVM1" s="154" t="str">
        <f t="shared" si="125"/>
        <v>y</v>
      </c>
      <c r="KVN1" s="154" t="str">
        <f t="shared" si="125"/>
        <v>y</v>
      </c>
      <c r="KVO1" s="154" t="str">
        <f t="shared" si="125"/>
        <v>y</v>
      </c>
      <c r="KVP1" s="154" t="str">
        <f t="shared" si="125"/>
        <v>y</v>
      </c>
      <c r="KVQ1" s="154" t="str">
        <f t="shared" si="125"/>
        <v>y</v>
      </c>
      <c r="KVR1" s="154" t="str">
        <f t="shared" si="125"/>
        <v>y</v>
      </c>
      <c r="KVS1" s="154" t="str">
        <f t="shared" si="125"/>
        <v>y</v>
      </c>
      <c r="KVT1" s="154" t="str">
        <f t="shared" si="125"/>
        <v>y</v>
      </c>
      <c r="KVU1" s="154" t="str">
        <f t="shared" si="125"/>
        <v>y</v>
      </c>
      <c r="KVV1" s="154" t="str">
        <f t="shared" si="125"/>
        <v>y</v>
      </c>
      <c r="KVW1" s="154" t="str">
        <f t="shared" si="125"/>
        <v>y</v>
      </c>
      <c r="KVX1" s="154" t="str">
        <f t="shared" si="125"/>
        <v>y</v>
      </c>
      <c r="KVY1" s="154" t="str">
        <f t="shared" si="125"/>
        <v>y</v>
      </c>
      <c r="KVZ1" s="154" t="str">
        <f t="shared" si="125"/>
        <v>y</v>
      </c>
      <c r="KWA1" s="154" t="str">
        <f t="shared" si="125"/>
        <v>y</v>
      </c>
      <c r="KWB1" s="154" t="str">
        <f t="shared" si="125"/>
        <v>y</v>
      </c>
      <c r="KWC1" s="154" t="str">
        <f t="shared" si="125"/>
        <v>y</v>
      </c>
      <c r="KWD1" s="154" t="str">
        <f t="shared" si="125"/>
        <v>y</v>
      </c>
      <c r="KWE1" s="154" t="str">
        <f t="shared" si="125"/>
        <v>y</v>
      </c>
      <c r="KWF1" s="154" t="str">
        <f t="shared" si="125"/>
        <v>y</v>
      </c>
      <c r="KWG1" s="154" t="str">
        <f t="shared" si="125"/>
        <v>y</v>
      </c>
      <c r="KWH1" s="154" t="str">
        <f t="shared" si="125"/>
        <v>y</v>
      </c>
      <c r="KWI1" s="154" t="str">
        <f t="shared" si="125"/>
        <v>y</v>
      </c>
      <c r="KWJ1" s="154" t="str">
        <f t="shared" si="125"/>
        <v>y</v>
      </c>
      <c r="KWK1" s="154" t="str">
        <f t="shared" si="125"/>
        <v>y</v>
      </c>
      <c r="KWL1" s="154" t="str">
        <f t="shared" si="125"/>
        <v>y</v>
      </c>
      <c r="KWM1" s="154" t="str">
        <f t="shared" si="125"/>
        <v>y</v>
      </c>
      <c r="KWN1" s="154" t="str">
        <f t="shared" si="125"/>
        <v>y</v>
      </c>
      <c r="KWO1" s="154" t="str">
        <f t="shared" si="125"/>
        <v>y</v>
      </c>
      <c r="KWP1" s="154" t="str">
        <f t="shared" si="125"/>
        <v>y</v>
      </c>
      <c r="KWQ1" s="154" t="str">
        <f t="shared" si="125"/>
        <v>y</v>
      </c>
      <c r="KWR1" s="154" t="str">
        <f t="shared" si="125"/>
        <v>y</v>
      </c>
      <c r="KWS1" s="154" t="str">
        <f t="shared" si="125"/>
        <v>y</v>
      </c>
      <c r="KWT1" s="154" t="str">
        <f t="shared" si="125"/>
        <v>y</v>
      </c>
      <c r="KWU1" s="154" t="str">
        <f t="shared" si="125"/>
        <v>y</v>
      </c>
      <c r="KWV1" s="154" t="str">
        <f t="shared" si="125"/>
        <v>y</v>
      </c>
      <c r="KWW1" s="154" t="str">
        <f t="shared" si="125"/>
        <v>y</v>
      </c>
      <c r="KWX1" s="154" t="str">
        <f t="shared" si="125"/>
        <v>y</v>
      </c>
      <c r="KWY1" s="154" t="str">
        <f t="shared" si="125"/>
        <v>y</v>
      </c>
      <c r="KWZ1" s="154" t="str">
        <f t="shared" si="125"/>
        <v>y</v>
      </c>
      <c r="KXA1" s="154" t="str">
        <f t="shared" si="125"/>
        <v>y</v>
      </c>
      <c r="KXB1" s="154" t="str">
        <f t="shared" si="125"/>
        <v>y</v>
      </c>
      <c r="KXC1" s="154" t="str">
        <f t="shared" si="125"/>
        <v>y</v>
      </c>
      <c r="KXD1" s="154" t="str">
        <f t="shared" si="125"/>
        <v>y</v>
      </c>
      <c r="KXE1" s="154" t="str">
        <f t="shared" si="125"/>
        <v>y</v>
      </c>
      <c r="KXF1" s="154" t="str">
        <f t="shared" si="125"/>
        <v>y</v>
      </c>
      <c r="KXG1" s="154" t="str">
        <f t="shared" si="125"/>
        <v>y</v>
      </c>
      <c r="KXH1" s="154" t="str">
        <f t="shared" ref="KXH1:KZS1" si="126">KXH2&amp;"y"</f>
        <v>y</v>
      </c>
      <c r="KXI1" s="154" t="str">
        <f t="shared" si="126"/>
        <v>y</v>
      </c>
      <c r="KXJ1" s="154" t="str">
        <f t="shared" si="126"/>
        <v>y</v>
      </c>
      <c r="KXK1" s="154" t="str">
        <f t="shared" si="126"/>
        <v>y</v>
      </c>
      <c r="KXL1" s="154" t="str">
        <f t="shared" si="126"/>
        <v>y</v>
      </c>
      <c r="KXM1" s="154" t="str">
        <f t="shared" si="126"/>
        <v>y</v>
      </c>
      <c r="KXN1" s="154" t="str">
        <f t="shared" si="126"/>
        <v>y</v>
      </c>
      <c r="KXO1" s="154" t="str">
        <f t="shared" si="126"/>
        <v>y</v>
      </c>
      <c r="KXP1" s="154" t="str">
        <f t="shared" si="126"/>
        <v>y</v>
      </c>
      <c r="KXQ1" s="154" t="str">
        <f t="shared" si="126"/>
        <v>y</v>
      </c>
      <c r="KXR1" s="154" t="str">
        <f t="shared" si="126"/>
        <v>y</v>
      </c>
      <c r="KXS1" s="154" t="str">
        <f t="shared" si="126"/>
        <v>y</v>
      </c>
      <c r="KXT1" s="154" t="str">
        <f t="shared" si="126"/>
        <v>y</v>
      </c>
      <c r="KXU1" s="154" t="str">
        <f t="shared" si="126"/>
        <v>y</v>
      </c>
      <c r="KXV1" s="154" t="str">
        <f t="shared" si="126"/>
        <v>y</v>
      </c>
      <c r="KXW1" s="154" t="str">
        <f t="shared" si="126"/>
        <v>y</v>
      </c>
      <c r="KXX1" s="154" t="str">
        <f t="shared" si="126"/>
        <v>y</v>
      </c>
      <c r="KXY1" s="154" t="str">
        <f t="shared" si="126"/>
        <v>y</v>
      </c>
      <c r="KXZ1" s="154" t="str">
        <f t="shared" si="126"/>
        <v>y</v>
      </c>
      <c r="KYA1" s="154" t="str">
        <f t="shared" si="126"/>
        <v>y</v>
      </c>
      <c r="KYB1" s="154" t="str">
        <f t="shared" si="126"/>
        <v>y</v>
      </c>
      <c r="KYC1" s="154" t="str">
        <f t="shared" si="126"/>
        <v>y</v>
      </c>
      <c r="KYD1" s="154" t="str">
        <f t="shared" si="126"/>
        <v>y</v>
      </c>
      <c r="KYE1" s="154" t="str">
        <f t="shared" si="126"/>
        <v>y</v>
      </c>
      <c r="KYF1" s="154" t="str">
        <f t="shared" si="126"/>
        <v>y</v>
      </c>
      <c r="KYG1" s="154" t="str">
        <f t="shared" si="126"/>
        <v>y</v>
      </c>
      <c r="KYH1" s="154" t="str">
        <f t="shared" si="126"/>
        <v>y</v>
      </c>
      <c r="KYI1" s="154" t="str">
        <f t="shared" si="126"/>
        <v>y</v>
      </c>
      <c r="KYJ1" s="154" t="str">
        <f t="shared" si="126"/>
        <v>y</v>
      </c>
      <c r="KYK1" s="154" t="str">
        <f t="shared" si="126"/>
        <v>y</v>
      </c>
      <c r="KYL1" s="154" t="str">
        <f t="shared" si="126"/>
        <v>y</v>
      </c>
      <c r="KYM1" s="154" t="str">
        <f t="shared" si="126"/>
        <v>y</v>
      </c>
      <c r="KYN1" s="154" t="str">
        <f t="shared" si="126"/>
        <v>y</v>
      </c>
      <c r="KYO1" s="154" t="str">
        <f t="shared" si="126"/>
        <v>y</v>
      </c>
      <c r="KYP1" s="154" t="str">
        <f t="shared" si="126"/>
        <v>y</v>
      </c>
      <c r="KYQ1" s="154" t="str">
        <f t="shared" si="126"/>
        <v>y</v>
      </c>
      <c r="KYR1" s="154" t="str">
        <f t="shared" si="126"/>
        <v>y</v>
      </c>
      <c r="KYS1" s="154" t="str">
        <f t="shared" si="126"/>
        <v>y</v>
      </c>
      <c r="KYT1" s="154" t="str">
        <f t="shared" si="126"/>
        <v>y</v>
      </c>
      <c r="KYU1" s="154" t="str">
        <f t="shared" si="126"/>
        <v>y</v>
      </c>
      <c r="KYV1" s="154" t="str">
        <f t="shared" si="126"/>
        <v>y</v>
      </c>
      <c r="KYW1" s="154" t="str">
        <f t="shared" si="126"/>
        <v>y</v>
      </c>
      <c r="KYX1" s="154" t="str">
        <f t="shared" si="126"/>
        <v>y</v>
      </c>
      <c r="KYY1" s="154" t="str">
        <f t="shared" si="126"/>
        <v>y</v>
      </c>
      <c r="KYZ1" s="154" t="str">
        <f t="shared" si="126"/>
        <v>y</v>
      </c>
      <c r="KZA1" s="154" t="str">
        <f t="shared" si="126"/>
        <v>y</v>
      </c>
      <c r="KZB1" s="154" t="str">
        <f t="shared" si="126"/>
        <v>y</v>
      </c>
      <c r="KZC1" s="154" t="str">
        <f t="shared" si="126"/>
        <v>y</v>
      </c>
      <c r="KZD1" s="154" t="str">
        <f t="shared" si="126"/>
        <v>y</v>
      </c>
      <c r="KZE1" s="154" t="str">
        <f t="shared" si="126"/>
        <v>y</v>
      </c>
      <c r="KZF1" s="154" t="str">
        <f t="shared" si="126"/>
        <v>y</v>
      </c>
      <c r="KZG1" s="154" t="str">
        <f t="shared" si="126"/>
        <v>y</v>
      </c>
      <c r="KZH1" s="154" t="str">
        <f t="shared" si="126"/>
        <v>y</v>
      </c>
      <c r="KZI1" s="154" t="str">
        <f t="shared" si="126"/>
        <v>y</v>
      </c>
      <c r="KZJ1" s="154" t="str">
        <f t="shared" si="126"/>
        <v>y</v>
      </c>
      <c r="KZK1" s="154" t="str">
        <f t="shared" si="126"/>
        <v>y</v>
      </c>
      <c r="KZL1" s="154" t="str">
        <f t="shared" si="126"/>
        <v>y</v>
      </c>
      <c r="KZM1" s="154" t="str">
        <f t="shared" si="126"/>
        <v>y</v>
      </c>
      <c r="KZN1" s="154" t="str">
        <f t="shared" si="126"/>
        <v>y</v>
      </c>
      <c r="KZO1" s="154" t="str">
        <f t="shared" si="126"/>
        <v>y</v>
      </c>
      <c r="KZP1" s="154" t="str">
        <f t="shared" si="126"/>
        <v>y</v>
      </c>
      <c r="KZQ1" s="154" t="str">
        <f t="shared" si="126"/>
        <v>y</v>
      </c>
      <c r="KZR1" s="154" t="str">
        <f t="shared" si="126"/>
        <v>y</v>
      </c>
      <c r="KZS1" s="154" t="str">
        <f t="shared" si="126"/>
        <v>y</v>
      </c>
      <c r="KZT1" s="154" t="str">
        <f t="shared" ref="KZT1:LCE1" si="127">KZT2&amp;"y"</f>
        <v>y</v>
      </c>
      <c r="KZU1" s="154" t="str">
        <f t="shared" si="127"/>
        <v>y</v>
      </c>
      <c r="KZV1" s="154" t="str">
        <f t="shared" si="127"/>
        <v>y</v>
      </c>
      <c r="KZW1" s="154" t="str">
        <f t="shared" si="127"/>
        <v>y</v>
      </c>
      <c r="KZX1" s="154" t="str">
        <f t="shared" si="127"/>
        <v>y</v>
      </c>
      <c r="KZY1" s="154" t="str">
        <f t="shared" si="127"/>
        <v>y</v>
      </c>
      <c r="KZZ1" s="154" t="str">
        <f t="shared" si="127"/>
        <v>y</v>
      </c>
      <c r="LAA1" s="154" t="str">
        <f t="shared" si="127"/>
        <v>y</v>
      </c>
      <c r="LAB1" s="154" t="str">
        <f t="shared" si="127"/>
        <v>y</v>
      </c>
      <c r="LAC1" s="154" t="str">
        <f t="shared" si="127"/>
        <v>y</v>
      </c>
      <c r="LAD1" s="154" t="str">
        <f t="shared" si="127"/>
        <v>y</v>
      </c>
      <c r="LAE1" s="154" t="str">
        <f t="shared" si="127"/>
        <v>y</v>
      </c>
      <c r="LAF1" s="154" t="str">
        <f t="shared" si="127"/>
        <v>y</v>
      </c>
      <c r="LAG1" s="154" t="str">
        <f t="shared" si="127"/>
        <v>y</v>
      </c>
      <c r="LAH1" s="154" t="str">
        <f t="shared" si="127"/>
        <v>y</v>
      </c>
      <c r="LAI1" s="154" t="str">
        <f t="shared" si="127"/>
        <v>y</v>
      </c>
      <c r="LAJ1" s="154" t="str">
        <f t="shared" si="127"/>
        <v>y</v>
      </c>
      <c r="LAK1" s="154" t="str">
        <f t="shared" si="127"/>
        <v>y</v>
      </c>
      <c r="LAL1" s="154" t="str">
        <f t="shared" si="127"/>
        <v>y</v>
      </c>
      <c r="LAM1" s="154" t="str">
        <f t="shared" si="127"/>
        <v>y</v>
      </c>
      <c r="LAN1" s="154" t="str">
        <f t="shared" si="127"/>
        <v>y</v>
      </c>
      <c r="LAO1" s="154" t="str">
        <f t="shared" si="127"/>
        <v>y</v>
      </c>
      <c r="LAP1" s="154" t="str">
        <f t="shared" si="127"/>
        <v>y</v>
      </c>
      <c r="LAQ1" s="154" t="str">
        <f t="shared" si="127"/>
        <v>y</v>
      </c>
      <c r="LAR1" s="154" t="str">
        <f t="shared" si="127"/>
        <v>y</v>
      </c>
      <c r="LAS1" s="154" t="str">
        <f t="shared" si="127"/>
        <v>y</v>
      </c>
      <c r="LAT1" s="154" t="str">
        <f t="shared" si="127"/>
        <v>y</v>
      </c>
      <c r="LAU1" s="154" t="str">
        <f t="shared" si="127"/>
        <v>y</v>
      </c>
      <c r="LAV1" s="154" t="str">
        <f t="shared" si="127"/>
        <v>y</v>
      </c>
      <c r="LAW1" s="154" t="str">
        <f t="shared" si="127"/>
        <v>y</v>
      </c>
      <c r="LAX1" s="154" t="str">
        <f t="shared" si="127"/>
        <v>y</v>
      </c>
      <c r="LAY1" s="154" t="str">
        <f t="shared" si="127"/>
        <v>y</v>
      </c>
      <c r="LAZ1" s="154" t="str">
        <f t="shared" si="127"/>
        <v>y</v>
      </c>
      <c r="LBA1" s="154" t="str">
        <f t="shared" si="127"/>
        <v>y</v>
      </c>
      <c r="LBB1" s="154" t="str">
        <f t="shared" si="127"/>
        <v>y</v>
      </c>
      <c r="LBC1" s="154" t="str">
        <f t="shared" si="127"/>
        <v>y</v>
      </c>
      <c r="LBD1" s="154" t="str">
        <f t="shared" si="127"/>
        <v>y</v>
      </c>
      <c r="LBE1" s="154" t="str">
        <f t="shared" si="127"/>
        <v>y</v>
      </c>
      <c r="LBF1" s="154" t="str">
        <f t="shared" si="127"/>
        <v>y</v>
      </c>
      <c r="LBG1" s="154" t="str">
        <f t="shared" si="127"/>
        <v>y</v>
      </c>
      <c r="LBH1" s="154" t="str">
        <f t="shared" si="127"/>
        <v>y</v>
      </c>
      <c r="LBI1" s="154" t="str">
        <f t="shared" si="127"/>
        <v>y</v>
      </c>
      <c r="LBJ1" s="154" t="str">
        <f t="shared" si="127"/>
        <v>y</v>
      </c>
      <c r="LBK1" s="154" t="str">
        <f t="shared" si="127"/>
        <v>y</v>
      </c>
      <c r="LBL1" s="154" t="str">
        <f t="shared" si="127"/>
        <v>y</v>
      </c>
      <c r="LBM1" s="154" t="str">
        <f t="shared" si="127"/>
        <v>y</v>
      </c>
      <c r="LBN1" s="154" t="str">
        <f t="shared" si="127"/>
        <v>y</v>
      </c>
      <c r="LBO1" s="154" t="str">
        <f t="shared" si="127"/>
        <v>y</v>
      </c>
      <c r="LBP1" s="154" t="str">
        <f t="shared" si="127"/>
        <v>y</v>
      </c>
      <c r="LBQ1" s="154" t="str">
        <f t="shared" si="127"/>
        <v>y</v>
      </c>
      <c r="LBR1" s="154" t="str">
        <f t="shared" si="127"/>
        <v>y</v>
      </c>
      <c r="LBS1" s="154" t="str">
        <f t="shared" si="127"/>
        <v>y</v>
      </c>
      <c r="LBT1" s="154" t="str">
        <f t="shared" si="127"/>
        <v>y</v>
      </c>
      <c r="LBU1" s="154" t="str">
        <f t="shared" si="127"/>
        <v>y</v>
      </c>
      <c r="LBV1" s="154" t="str">
        <f t="shared" si="127"/>
        <v>y</v>
      </c>
      <c r="LBW1" s="154" t="str">
        <f t="shared" si="127"/>
        <v>y</v>
      </c>
      <c r="LBX1" s="154" t="str">
        <f t="shared" si="127"/>
        <v>y</v>
      </c>
      <c r="LBY1" s="154" t="str">
        <f t="shared" si="127"/>
        <v>y</v>
      </c>
      <c r="LBZ1" s="154" t="str">
        <f t="shared" si="127"/>
        <v>y</v>
      </c>
      <c r="LCA1" s="154" t="str">
        <f t="shared" si="127"/>
        <v>y</v>
      </c>
      <c r="LCB1" s="154" t="str">
        <f t="shared" si="127"/>
        <v>y</v>
      </c>
      <c r="LCC1" s="154" t="str">
        <f t="shared" si="127"/>
        <v>y</v>
      </c>
      <c r="LCD1" s="154" t="str">
        <f t="shared" si="127"/>
        <v>y</v>
      </c>
      <c r="LCE1" s="154" t="str">
        <f t="shared" si="127"/>
        <v>y</v>
      </c>
      <c r="LCF1" s="154" t="str">
        <f t="shared" ref="LCF1:LEQ1" si="128">LCF2&amp;"y"</f>
        <v>y</v>
      </c>
      <c r="LCG1" s="154" t="str">
        <f t="shared" si="128"/>
        <v>y</v>
      </c>
      <c r="LCH1" s="154" t="str">
        <f t="shared" si="128"/>
        <v>y</v>
      </c>
      <c r="LCI1" s="154" t="str">
        <f t="shared" si="128"/>
        <v>y</v>
      </c>
      <c r="LCJ1" s="154" t="str">
        <f t="shared" si="128"/>
        <v>y</v>
      </c>
      <c r="LCK1" s="154" t="str">
        <f t="shared" si="128"/>
        <v>y</v>
      </c>
      <c r="LCL1" s="154" t="str">
        <f t="shared" si="128"/>
        <v>y</v>
      </c>
      <c r="LCM1" s="154" t="str">
        <f t="shared" si="128"/>
        <v>y</v>
      </c>
      <c r="LCN1" s="154" t="str">
        <f t="shared" si="128"/>
        <v>y</v>
      </c>
      <c r="LCO1" s="154" t="str">
        <f t="shared" si="128"/>
        <v>y</v>
      </c>
      <c r="LCP1" s="154" t="str">
        <f t="shared" si="128"/>
        <v>y</v>
      </c>
      <c r="LCQ1" s="154" t="str">
        <f t="shared" si="128"/>
        <v>y</v>
      </c>
      <c r="LCR1" s="154" t="str">
        <f t="shared" si="128"/>
        <v>y</v>
      </c>
      <c r="LCS1" s="154" t="str">
        <f t="shared" si="128"/>
        <v>y</v>
      </c>
      <c r="LCT1" s="154" t="str">
        <f t="shared" si="128"/>
        <v>y</v>
      </c>
      <c r="LCU1" s="154" t="str">
        <f t="shared" si="128"/>
        <v>y</v>
      </c>
      <c r="LCV1" s="154" t="str">
        <f t="shared" si="128"/>
        <v>y</v>
      </c>
      <c r="LCW1" s="154" t="str">
        <f t="shared" si="128"/>
        <v>y</v>
      </c>
      <c r="LCX1" s="154" t="str">
        <f t="shared" si="128"/>
        <v>y</v>
      </c>
      <c r="LCY1" s="154" t="str">
        <f t="shared" si="128"/>
        <v>y</v>
      </c>
      <c r="LCZ1" s="154" t="str">
        <f t="shared" si="128"/>
        <v>y</v>
      </c>
      <c r="LDA1" s="154" t="str">
        <f t="shared" si="128"/>
        <v>y</v>
      </c>
      <c r="LDB1" s="154" t="str">
        <f t="shared" si="128"/>
        <v>y</v>
      </c>
      <c r="LDC1" s="154" t="str">
        <f t="shared" si="128"/>
        <v>y</v>
      </c>
      <c r="LDD1" s="154" t="str">
        <f t="shared" si="128"/>
        <v>y</v>
      </c>
      <c r="LDE1" s="154" t="str">
        <f t="shared" si="128"/>
        <v>y</v>
      </c>
      <c r="LDF1" s="154" t="str">
        <f t="shared" si="128"/>
        <v>y</v>
      </c>
      <c r="LDG1" s="154" t="str">
        <f t="shared" si="128"/>
        <v>y</v>
      </c>
      <c r="LDH1" s="154" t="str">
        <f t="shared" si="128"/>
        <v>y</v>
      </c>
      <c r="LDI1" s="154" t="str">
        <f t="shared" si="128"/>
        <v>y</v>
      </c>
      <c r="LDJ1" s="154" t="str">
        <f t="shared" si="128"/>
        <v>y</v>
      </c>
      <c r="LDK1" s="154" t="str">
        <f t="shared" si="128"/>
        <v>y</v>
      </c>
      <c r="LDL1" s="154" t="str">
        <f t="shared" si="128"/>
        <v>y</v>
      </c>
      <c r="LDM1" s="154" t="str">
        <f t="shared" si="128"/>
        <v>y</v>
      </c>
      <c r="LDN1" s="154" t="str">
        <f t="shared" si="128"/>
        <v>y</v>
      </c>
      <c r="LDO1" s="154" t="str">
        <f t="shared" si="128"/>
        <v>y</v>
      </c>
      <c r="LDP1" s="154" t="str">
        <f t="shared" si="128"/>
        <v>y</v>
      </c>
      <c r="LDQ1" s="154" t="str">
        <f t="shared" si="128"/>
        <v>y</v>
      </c>
      <c r="LDR1" s="154" t="str">
        <f t="shared" si="128"/>
        <v>y</v>
      </c>
      <c r="LDS1" s="154" t="str">
        <f t="shared" si="128"/>
        <v>y</v>
      </c>
      <c r="LDT1" s="154" t="str">
        <f t="shared" si="128"/>
        <v>y</v>
      </c>
      <c r="LDU1" s="154" t="str">
        <f t="shared" si="128"/>
        <v>y</v>
      </c>
      <c r="LDV1" s="154" t="str">
        <f t="shared" si="128"/>
        <v>y</v>
      </c>
      <c r="LDW1" s="154" t="str">
        <f t="shared" si="128"/>
        <v>y</v>
      </c>
      <c r="LDX1" s="154" t="str">
        <f t="shared" si="128"/>
        <v>y</v>
      </c>
      <c r="LDY1" s="154" t="str">
        <f t="shared" si="128"/>
        <v>y</v>
      </c>
      <c r="LDZ1" s="154" t="str">
        <f t="shared" si="128"/>
        <v>y</v>
      </c>
      <c r="LEA1" s="154" t="str">
        <f t="shared" si="128"/>
        <v>y</v>
      </c>
      <c r="LEB1" s="154" t="str">
        <f t="shared" si="128"/>
        <v>y</v>
      </c>
      <c r="LEC1" s="154" t="str">
        <f t="shared" si="128"/>
        <v>y</v>
      </c>
      <c r="LED1" s="154" t="str">
        <f t="shared" si="128"/>
        <v>y</v>
      </c>
      <c r="LEE1" s="154" t="str">
        <f t="shared" si="128"/>
        <v>y</v>
      </c>
      <c r="LEF1" s="154" t="str">
        <f t="shared" si="128"/>
        <v>y</v>
      </c>
      <c r="LEG1" s="154" t="str">
        <f t="shared" si="128"/>
        <v>y</v>
      </c>
      <c r="LEH1" s="154" t="str">
        <f t="shared" si="128"/>
        <v>y</v>
      </c>
      <c r="LEI1" s="154" t="str">
        <f t="shared" si="128"/>
        <v>y</v>
      </c>
      <c r="LEJ1" s="154" t="str">
        <f t="shared" si="128"/>
        <v>y</v>
      </c>
      <c r="LEK1" s="154" t="str">
        <f t="shared" si="128"/>
        <v>y</v>
      </c>
      <c r="LEL1" s="154" t="str">
        <f t="shared" si="128"/>
        <v>y</v>
      </c>
      <c r="LEM1" s="154" t="str">
        <f t="shared" si="128"/>
        <v>y</v>
      </c>
      <c r="LEN1" s="154" t="str">
        <f t="shared" si="128"/>
        <v>y</v>
      </c>
      <c r="LEO1" s="154" t="str">
        <f t="shared" si="128"/>
        <v>y</v>
      </c>
      <c r="LEP1" s="154" t="str">
        <f t="shared" si="128"/>
        <v>y</v>
      </c>
      <c r="LEQ1" s="154" t="str">
        <f t="shared" si="128"/>
        <v>y</v>
      </c>
      <c r="LER1" s="154" t="str">
        <f t="shared" ref="LER1:LHC1" si="129">LER2&amp;"y"</f>
        <v>y</v>
      </c>
      <c r="LES1" s="154" t="str">
        <f t="shared" si="129"/>
        <v>y</v>
      </c>
      <c r="LET1" s="154" t="str">
        <f t="shared" si="129"/>
        <v>y</v>
      </c>
      <c r="LEU1" s="154" t="str">
        <f t="shared" si="129"/>
        <v>y</v>
      </c>
      <c r="LEV1" s="154" t="str">
        <f t="shared" si="129"/>
        <v>y</v>
      </c>
      <c r="LEW1" s="154" t="str">
        <f t="shared" si="129"/>
        <v>y</v>
      </c>
      <c r="LEX1" s="154" t="str">
        <f t="shared" si="129"/>
        <v>y</v>
      </c>
      <c r="LEY1" s="154" t="str">
        <f t="shared" si="129"/>
        <v>y</v>
      </c>
      <c r="LEZ1" s="154" t="str">
        <f t="shared" si="129"/>
        <v>y</v>
      </c>
      <c r="LFA1" s="154" t="str">
        <f t="shared" si="129"/>
        <v>y</v>
      </c>
      <c r="LFB1" s="154" t="str">
        <f t="shared" si="129"/>
        <v>y</v>
      </c>
      <c r="LFC1" s="154" t="str">
        <f t="shared" si="129"/>
        <v>y</v>
      </c>
      <c r="LFD1" s="154" t="str">
        <f t="shared" si="129"/>
        <v>y</v>
      </c>
      <c r="LFE1" s="154" t="str">
        <f t="shared" si="129"/>
        <v>y</v>
      </c>
      <c r="LFF1" s="154" t="str">
        <f t="shared" si="129"/>
        <v>y</v>
      </c>
      <c r="LFG1" s="154" t="str">
        <f t="shared" si="129"/>
        <v>y</v>
      </c>
      <c r="LFH1" s="154" t="str">
        <f t="shared" si="129"/>
        <v>y</v>
      </c>
      <c r="LFI1" s="154" t="str">
        <f t="shared" si="129"/>
        <v>y</v>
      </c>
      <c r="LFJ1" s="154" t="str">
        <f t="shared" si="129"/>
        <v>y</v>
      </c>
      <c r="LFK1" s="154" t="str">
        <f t="shared" si="129"/>
        <v>y</v>
      </c>
      <c r="LFL1" s="154" t="str">
        <f t="shared" si="129"/>
        <v>y</v>
      </c>
      <c r="LFM1" s="154" t="str">
        <f t="shared" si="129"/>
        <v>y</v>
      </c>
      <c r="LFN1" s="154" t="str">
        <f t="shared" si="129"/>
        <v>y</v>
      </c>
      <c r="LFO1" s="154" t="str">
        <f t="shared" si="129"/>
        <v>y</v>
      </c>
      <c r="LFP1" s="154" t="str">
        <f t="shared" si="129"/>
        <v>y</v>
      </c>
      <c r="LFQ1" s="154" t="str">
        <f t="shared" si="129"/>
        <v>y</v>
      </c>
      <c r="LFR1" s="154" t="str">
        <f t="shared" si="129"/>
        <v>y</v>
      </c>
      <c r="LFS1" s="154" t="str">
        <f t="shared" si="129"/>
        <v>y</v>
      </c>
      <c r="LFT1" s="154" t="str">
        <f t="shared" si="129"/>
        <v>y</v>
      </c>
      <c r="LFU1" s="154" t="str">
        <f t="shared" si="129"/>
        <v>y</v>
      </c>
      <c r="LFV1" s="154" t="str">
        <f t="shared" si="129"/>
        <v>y</v>
      </c>
      <c r="LFW1" s="154" t="str">
        <f t="shared" si="129"/>
        <v>y</v>
      </c>
      <c r="LFX1" s="154" t="str">
        <f t="shared" si="129"/>
        <v>y</v>
      </c>
      <c r="LFY1" s="154" t="str">
        <f t="shared" si="129"/>
        <v>y</v>
      </c>
      <c r="LFZ1" s="154" t="str">
        <f t="shared" si="129"/>
        <v>y</v>
      </c>
      <c r="LGA1" s="154" t="str">
        <f t="shared" si="129"/>
        <v>y</v>
      </c>
      <c r="LGB1" s="154" t="str">
        <f t="shared" si="129"/>
        <v>y</v>
      </c>
      <c r="LGC1" s="154" t="str">
        <f t="shared" si="129"/>
        <v>y</v>
      </c>
      <c r="LGD1" s="154" t="str">
        <f t="shared" si="129"/>
        <v>y</v>
      </c>
      <c r="LGE1" s="154" t="str">
        <f t="shared" si="129"/>
        <v>y</v>
      </c>
      <c r="LGF1" s="154" t="str">
        <f t="shared" si="129"/>
        <v>y</v>
      </c>
      <c r="LGG1" s="154" t="str">
        <f t="shared" si="129"/>
        <v>y</v>
      </c>
      <c r="LGH1" s="154" t="str">
        <f t="shared" si="129"/>
        <v>y</v>
      </c>
      <c r="LGI1" s="154" t="str">
        <f t="shared" si="129"/>
        <v>y</v>
      </c>
      <c r="LGJ1" s="154" t="str">
        <f t="shared" si="129"/>
        <v>y</v>
      </c>
      <c r="LGK1" s="154" t="str">
        <f t="shared" si="129"/>
        <v>y</v>
      </c>
      <c r="LGL1" s="154" t="str">
        <f t="shared" si="129"/>
        <v>y</v>
      </c>
      <c r="LGM1" s="154" t="str">
        <f t="shared" si="129"/>
        <v>y</v>
      </c>
      <c r="LGN1" s="154" t="str">
        <f t="shared" si="129"/>
        <v>y</v>
      </c>
      <c r="LGO1" s="154" t="str">
        <f t="shared" si="129"/>
        <v>y</v>
      </c>
      <c r="LGP1" s="154" t="str">
        <f t="shared" si="129"/>
        <v>y</v>
      </c>
      <c r="LGQ1" s="154" t="str">
        <f t="shared" si="129"/>
        <v>y</v>
      </c>
      <c r="LGR1" s="154" t="str">
        <f t="shared" si="129"/>
        <v>y</v>
      </c>
      <c r="LGS1" s="154" t="str">
        <f t="shared" si="129"/>
        <v>y</v>
      </c>
      <c r="LGT1" s="154" t="str">
        <f t="shared" si="129"/>
        <v>y</v>
      </c>
      <c r="LGU1" s="154" t="str">
        <f t="shared" si="129"/>
        <v>y</v>
      </c>
      <c r="LGV1" s="154" t="str">
        <f t="shared" si="129"/>
        <v>y</v>
      </c>
      <c r="LGW1" s="154" t="str">
        <f t="shared" si="129"/>
        <v>y</v>
      </c>
      <c r="LGX1" s="154" t="str">
        <f t="shared" si="129"/>
        <v>y</v>
      </c>
      <c r="LGY1" s="154" t="str">
        <f t="shared" si="129"/>
        <v>y</v>
      </c>
      <c r="LGZ1" s="154" t="str">
        <f t="shared" si="129"/>
        <v>y</v>
      </c>
      <c r="LHA1" s="154" t="str">
        <f t="shared" si="129"/>
        <v>y</v>
      </c>
      <c r="LHB1" s="154" t="str">
        <f t="shared" si="129"/>
        <v>y</v>
      </c>
      <c r="LHC1" s="154" t="str">
        <f t="shared" si="129"/>
        <v>y</v>
      </c>
      <c r="LHD1" s="154" t="str">
        <f t="shared" ref="LHD1:LJO1" si="130">LHD2&amp;"y"</f>
        <v>y</v>
      </c>
      <c r="LHE1" s="154" t="str">
        <f t="shared" si="130"/>
        <v>y</v>
      </c>
      <c r="LHF1" s="154" t="str">
        <f t="shared" si="130"/>
        <v>y</v>
      </c>
      <c r="LHG1" s="154" t="str">
        <f t="shared" si="130"/>
        <v>y</v>
      </c>
      <c r="LHH1" s="154" t="str">
        <f t="shared" si="130"/>
        <v>y</v>
      </c>
      <c r="LHI1" s="154" t="str">
        <f t="shared" si="130"/>
        <v>y</v>
      </c>
      <c r="LHJ1" s="154" t="str">
        <f t="shared" si="130"/>
        <v>y</v>
      </c>
      <c r="LHK1" s="154" t="str">
        <f t="shared" si="130"/>
        <v>y</v>
      </c>
      <c r="LHL1" s="154" t="str">
        <f t="shared" si="130"/>
        <v>y</v>
      </c>
      <c r="LHM1" s="154" t="str">
        <f t="shared" si="130"/>
        <v>y</v>
      </c>
      <c r="LHN1" s="154" t="str">
        <f t="shared" si="130"/>
        <v>y</v>
      </c>
      <c r="LHO1" s="154" t="str">
        <f t="shared" si="130"/>
        <v>y</v>
      </c>
      <c r="LHP1" s="154" t="str">
        <f t="shared" si="130"/>
        <v>y</v>
      </c>
      <c r="LHQ1" s="154" t="str">
        <f t="shared" si="130"/>
        <v>y</v>
      </c>
      <c r="LHR1" s="154" t="str">
        <f t="shared" si="130"/>
        <v>y</v>
      </c>
      <c r="LHS1" s="154" t="str">
        <f t="shared" si="130"/>
        <v>y</v>
      </c>
      <c r="LHT1" s="154" t="str">
        <f t="shared" si="130"/>
        <v>y</v>
      </c>
      <c r="LHU1" s="154" t="str">
        <f t="shared" si="130"/>
        <v>y</v>
      </c>
      <c r="LHV1" s="154" t="str">
        <f t="shared" si="130"/>
        <v>y</v>
      </c>
      <c r="LHW1" s="154" t="str">
        <f t="shared" si="130"/>
        <v>y</v>
      </c>
      <c r="LHX1" s="154" t="str">
        <f t="shared" si="130"/>
        <v>y</v>
      </c>
      <c r="LHY1" s="154" t="str">
        <f t="shared" si="130"/>
        <v>y</v>
      </c>
      <c r="LHZ1" s="154" t="str">
        <f t="shared" si="130"/>
        <v>y</v>
      </c>
      <c r="LIA1" s="154" t="str">
        <f t="shared" si="130"/>
        <v>y</v>
      </c>
      <c r="LIB1" s="154" t="str">
        <f t="shared" si="130"/>
        <v>y</v>
      </c>
      <c r="LIC1" s="154" t="str">
        <f t="shared" si="130"/>
        <v>y</v>
      </c>
      <c r="LID1" s="154" t="str">
        <f t="shared" si="130"/>
        <v>y</v>
      </c>
      <c r="LIE1" s="154" t="str">
        <f t="shared" si="130"/>
        <v>y</v>
      </c>
      <c r="LIF1" s="154" t="str">
        <f t="shared" si="130"/>
        <v>y</v>
      </c>
      <c r="LIG1" s="154" t="str">
        <f t="shared" si="130"/>
        <v>y</v>
      </c>
      <c r="LIH1" s="154" t="str">
        <f t="shared" si="130"/>
        <v>y</v>
      </c>
      <c r="LII1" s="154" t="str">
        <f t="shared" si="130"/>
        <v>y</v>
      </c>
      <c r="LIJ1" s="154" t="str">
        <f t="shared" si="130"/>
        <v>y</v>
      </c>
      <c r="LIK1" s="154" t="str">
        <f t="shared" si="130"/>
        <v>y</v>
      </c>
      <c r="LIL1" s="154" t="str">
        <f t="shared" si="130"/>
        <v>y</v>
      </c>
      <c r="LIM1" s="154" t="str">
        <f t="shared" si="130"/>
        <v>y</v>
      </c>
      <c r="LIN1" s="154" t="str">
        <f t="shared" si="130"/>
        <v>y</v>
      </c>
      <c r="LIO1" s="154" t="str">
        <f t="shared" si="130"/>
        <v>y</v>
      </c>
      <c r="LIP1" s="154" t="str">
        <f t="shared" si="130"/>
        <v>y</v>
      </c>
      <c r="LIQ1" s="154" t="str">
        <f t="shared" si="130"/>
        <v>y</v>
      </c>
      <c r="LIR1" s="154" t="str">
        <f t="shared" si="130"/>
        <v>y</v>
      </c>
      <c r="LIS1" s="154" t="str">
        <f t="shared" si="130"/>
        <v>y</v>
      </c>
      <c r="LIT1" s="154" t="str">
        <f t="shared" si="130"/>
        <v>y</v>
      </c>
      <c r="LIU1" s="154" t="str">
        <f t="shared" si="130"/>
        <v>y</v>
      </c>
      <c r="LIV1" s="154" t="str">
        <f t="shared" si="130"/>
        <v>y</v>
      </c>
      <c r="LIW1" s="154" t="str">
        <f t="shared" si="130"/>
        <v>y</v>
      </c>
      <c r="LIX1" s="154" t="str">
        <f t="shared" si="130"/>
        <v>y</v>
      </c>
      <c r="LIY1" s="154" t="str">
        <f t="shared" si="130"/>
        <v>y</v>
      </c>
      <c r="LIZ1" s="154" t="str">
        <f t="shared" si="130"/>
        <v>y</v>
      </c>
      <c r="LJA1" s="154" t="str">
        <f t="shared" si="130"/>
        <v>y</v>
      </c>
      <c r="LJB1" s="154" t="str">
        <f t="shared" si="130"/>
        <v>y</v>
      </c>
      <c r="LJC1" s="154" t="str">
        <f t="shared" si="130"/>
        <v>y</v>
      </c>
      <c r="LJD1" s="154" t="str">
        <f t="shared" si="130"/>
        <v>y</v>
      </c>
      <c r="LJE1" s="154" t="str">
        <f t="shared" si="130"/>
        <v>y</v>
      </c>
      <c r="LJF1" s="154" t="str">
        <f t="shared" si="130"/>
        <v>y</v>
      </c>
      <c r="LJG1" s="154" t="str">
        <f t="shared" si="130"/>
        <v>y</v>
      </c>
      <c r="LJH1" s="154" t="str">
        <f t="shared" si="130"/>
        <v>y</v>
      </c>
      <c r="LJI1" s="154" t="str">
        <f t="shared" si="130"/>
        <v>y</v>
      </c>
      <c r="LJJ1" s="154" t="str">
        <f t="shared" si="130"/>
        <v>y</v>
      </c>
      <c r="LJK1" s="154" t="str">
        <f t="shared" si="130"/>
        <v>y</v>
      </c>
      <c r="LJL1" s="154" t="str">
        <f t="shared" si="130"/>
        <v>y</v>
      </c>
      <c r="LJM1" s="154" t="str">
        <f t="shared" si="130"/>
        <v>y</v>
      </c>
      <c r="LJN1" s="154" t="str">
        <f t="shared" si="130"/>
        <v>y</v>
      </c>
      <c r="LJO1" s="154" t="str">
        <f t="shared" si="130"/>
        <v>y</v>
      </c>
      <c r="LJP1" s="154" t="str">
        <f t="shared" ref="LJP1:LMA1" si="131">LJP2&amp;"y"</f>
        <v>y</v>
      </c>
      <c r="LJQ1" s="154" t="str">
        <f t="shared" si="131"/>
        <v>y</v>
      </c>
      <c r="LJR1" s="154" t="str">
        <f t="shared" si="131"/>
        <v>y</v>
      </c>
      <c r="LJS1" s="154" t="str">
        <f t="shared" si="131"/>
        <v>y</v>
      </c>
      <c r="LJT1" s="154" t="str">
        <f t="shared" si="131"/>
        <v>y</v>
      </c>
      <c r="LJU1" s="154" t="str">
        <f t="shared" si="131"/>
        <v>y</v>
      </c>
      <c r="LJV1" s="154" t="str">
        <f t="shared" si="131"/>
        <v>y</v>
      </c>
      <c r="LJW1" s="154" t="str">
        <f t="shared" si="131"/>
        <v>y</v>
      </c>
      <c r="LJX1" s="154" t="str">
        <f t="shared" si="131"/>
        <v>y</v>
      </c>
      <c r="LJY1" s="154" t="str">
        <f t="shared" si="131"/>
        <v>y</v>
      </c>
      <c r="LJZ1" s="154" t="str">
        <f t="shared" si="131"/>
        <v>y</v>
      </c>
      <c r="LKA1" s="154" t="str">
        <f t="shared" si="131"/>
        <v>y</v>
      </c>
      <c r="LKB1" s="154" t="str">
        <f t="shared" si="131"/>
        <v>y</v>
      </c>
      <c r="LKC1" s="154" t="str">
        <f t="shared" si="131"/>
        <v>y</v>
      </c>
      <c r="LKD1" s="154" t="str">
        <f t="shared" si="131"/>
        <v>y</v>
      </c>
      <c r="LKE1" s="154" t="str">
        <f t="shared" si="131"/>
        <v>y</v>
      </c>
      <c r="LKF1" s="154" t="str">
        <f t="shared" si="131"/>
        <v>y</v>
      </c>
      <c r="LKG1" s="154" t="str">
        <f t="shared" si="131"/>
        <v>y</v>
      </c>
      <c r="LKH1" s="154" t="str">
        <f t="shared" si="131"/>
        <v>y</v>
      </c>
      <c r="LKI1" s="154" t="str">
        <f t="shared" si="131"/>
        <v>y</v>
      </c>
      <c r="LKJ1" s="154" t="str">
        <f t="shared" si="131"/>
        <v>y</v>
      </c>
      <c r="LKK1" s="154" t="str">
        <f t="shared" si="131"/>
        <v>y</v>
      </c>
      <c r="LKL1" s="154" t="str">
        <f t="shared" si="131"/>
        <v>y</v>
      </c>
      <c r="LKM1" s="154" t="str">
        <f t="shared" si="131"/>
        <v>y</v>
      </c>
      <c r="LKN1" s="154" t="str">
        <f t="shared" si="131"/>
        <v>y</v>
      </c>
      <c r="LKO1" s="154" t="str">
        <f t="shared" si="131"/>
        <v>y</v>
      </c>
      <c r="LKP1" s="154" t="str">
        <f t="shared" si="131"/>
        <v>y</v>
      </c>
      <c r="LKQ1" s="154" t="str">
        <f t="shared" si="131"/>
        <v>y</v>
      </c>
      <c r="LKR1" s="154" t="str">
        <f t="shared" si="131"/>
        <v>y</v>
      </c>
      <c r="LKS1" s="154" t="str">
        <f t="shared" si="131"/>
        <v>y</v>
      </c>
      <c r="LKT1" s="154" t="str">
        <f t="shared" si="131"/>
        <v>y</v>
      </c>
      <c r="LKU1" s="154" t="str">
        <f t="shared" si="131"/>
        <v>y</v>
      </c>
      <c r="LKV1" s="154" t="str">
        <f t="shared" si="131"/>
        <v>y</v>
      </c>
      <c r="LKW1" s="154" t="str">
        <f t="shared" si="131"/>
        <v>y</v>
      </c>
      <c r="LKX1" s="154" t="str">
        <f t="shared" si="131"/>
        <v>y</v>
      </c>
      <c r="LKY1" s="154" t="str">
        <f t="shared" si="131"/>
        <v>y</v>
      </c>
      <c r="LKZ1" s="154" t="str">
        <f t="shared" si="131"/>
        <v>y</v>
      </c>
      <c r="LLA1" s="154" t="str">
        <f t="shared" si="131"/>
        <v>y</v>
      </c>
      <c r="LLB1" s="154" t="str">
        <f t="shared" si="131"/>
        <v>y</v>
      </c>
      <c r="LLC1" s="154" t="str">
        <f t="shared" si="131"/>
        <v>y</v>
      </c>
      <c r="LLD1" s="154" t="str">
        <f t="shared" si="131"/>
        <v>y</v>
      </c>
      <c r="LLE1" s="154" t="str">
        <f t="shared" si="131"/>
        <v>y</v>
      </c>
      <c r="LLF1" s="154" t="str">
        <f t="shared" si="131"/>
        <v>y</v>
      </c>
      <c r="LLG1" s="154" t="str">
        <f t="shared" si="131"/>
        <v>y</v>
      </c>
      <c r="LLH1" s="154" t="str">
        <f t="shared" si="131"/>
        <v>y</v>
      </c>
      <c r="LLI1" s="154" t="str">
        <f t="shared" si="131"/>
        <v>y</v>
      </c>
      <c r="LLJ1" s="154" t="str">
        <f t="shared" si="131"/>
        <v>y</v>
      </c>
      <c r="LLK1" s="154" t="str">
        <f t="shared" si="131"/>
        <v>y</v>
      </c>
      <c r="LLL1" s="154" t="str">
        <f t="shared" si="131"/>
        <v>y</v>
      </c>
      <c r="LLM1" s="154" t="str">
        <f t="shared" si="131"/>
        <v>y</v>
      </c>
      <c r="LLN1" s="154" t="str">
        <f t="shared" si="131"/>
        <v>y</v>
      </c>
      <c r="LLO1" s="154" t="str">
        <f t="shared" si="131"/>
        <v>y</v>
      </c>
      <c r="LLP1" s="154" t="str">
        <f t="shared" si="131"/>
        <v>y</v>
      </c>
      <c r="LLQ1" s="154" t="str">
        <f t="shared" si="131"/>
        <v>y</v>
      </c>
      <c r="LLR1" s="154" t="str">
        <f t="shared" si="131"/>
        <v>y</v>
      </c>
      <c r="LLS1" s="154" t="str">
        <f t="shared" si="131"/>
        <v>y</v>
      </c>
      <c r="LLT1" s="154" t="str">
        <f t="shared" si="131"/>
        <v>y</v>
      </c>
      <c r="LLU1" s="154" t="str">
        <f t="shared" si="131"/>
        <v>y</v>
      </c>
      <c r="LLV1" s="154" t="str">
        <f t="shared" si="131"/>
        <v>y</v>
      </c>
      <c r="LLW1" s="154" t="str">
        <f t="shared" si="131"/>
        <v>y</v>
      </c>
      <c r="LLX1" s="154" t="str">
        <f t="shared" si="131"/>
        <v>y</v>
      </c>
      <c r="LLY1" s="154" t="str">
        <f t="shared" si="131"/>
        <v>y</v>
      </c>
      <c r="LLZ1" s="154" t="str">
        <f t="shared" si="131"/>
        <v>y</v>
      </c>
      <c r="LMA1" s="154" t="str">
        <f t="shared" si="131"/>
        <v>y</v>
      </c>
      <c r="LMB1" s="154" t="str">
        <f t="shared" ref="LMB1:LOM1" si="132">LMB2&amp;"y"</f>
        <v>y</v>
      </c>
      <c r="LMC1" s="154" t="str">
        <f t="shared" si="132"/>
        <v>y</v>
      </c>
      <c r="LMD1" s="154" t="str">
        <f t="shared" si="132"/>
        <v>y</v>
      </c>
      <c r="LME1" s="154" t="str">
        <f t="shared" si="132"/>
        <v>y</v>
      </c>
      <c r="LMF1" s="154" t="str">
        <f t="shared" si="132"/>
        <v>y</v>
      </c>
      <c r="LMG1" s="154" t="str">
        <f t="shared" si="132"/>
        <v>y</v>
      </c>
      <c r="LMH1" s="154" t="str">
        <f t="shared" si="132"/>
        <v>y</v>
      </c>
      <c r="LMI1" s="154" t="str">
        <f t="shared" si="132"/>
        <v>y</v>
      </c>
      <c r="LMJ1" s="154" t="str">
        <f t="shared" si="132"/>
        <v>y</v>
      </c>
      <c r="LMK1" s="154" t="str">
        <f t="shared" si="132"/>
        <v>y</v>
      </c>
      <c r="LML1" s="154" t="str">
        <f t="shared" si="132"/>
        <v>y</v>
      </c>
      <c r="LMM1" s="154" t="str">
        <f t="shared" si="132"/>
        <v>y</v>
      </c>
      <c r="LMN1" s="154" t="str">
        <f t="shared" si="132"/>
        <v>y</v>
      </c>
      <c r="LMO1" s="154" t="str">
        <f t="shared" si="132"/>
        <v>y</v>
      </c>
      <c r="LMP1" s="154" t="str">
        <f t="shared" si="132"/>
        <v>y</v>
      </c>
      <c r="LMQ1" s="154" t="str">
        <f t="shared" si="132"/>
        <v>y</v>
      </c>
      <c r="LMR1" s="154" t="str">
        <f t="shared" si="132"/>
        <v>y</v>
      </c>
      <c r="LMS1" s="154" t="str">
        <f t="shared" si="132"/>
        <v>y</v>
      </c>
      <c r="LMT1" s="154" t="str">
        <f t="shared" si="132"/>
        <v>y</v>
      </c>
      <c r="LMU1" s="154" t="str">
        <f t="shared" si="132"/>
        <v>y</v>
      </c>
      <c r="LMV1" s="154" t="str">
        <f t="shared" si="132"/>
        <v>y</v>
      </c>
      <c r="LMW1" s="154" t="str">
        <f t="shared" si="132"/>
        <v>y</v>
      </c>
      <c r="LMX1" s="154" t="str">
        <f t="shared" si="132"/>
        <v>y</v>
      </c>
      <c r="LMY1" s="154" t="str">
        <f t="shared" si="132"/>
        <v>y</v>
      </c>
      <c r="LMZ1" s="154" t="str">
        <f t="shared" si="132"/>
        <v>y</v>
      </c>
      <c r="LNA1" s="154" t="str">
        <f t="shared" si="132"/>
        <v>y</v>
      </c>
      <c r="LNB1" s="154" t="str">
        <f t="shared" si="132"/>
        <v>y</v>
      </c>
      <c r="LNC1" s="154" t="str">
        <f t="shared" si="132"/>
        <v>y</v>
      </c>
      <c r="LND1" s="154" t="str">
        <f t="shared" si="132"/>
        <v>y</v>
      </c>
      <c r="LNE1" s="154" t="str">
        <f t="shared" si="132"/>
        <v>y</v>
      </c>
      <c r="LNF1" s="154" t="str">
        <f t="shared" si="132"/>
        <v>y</v>
      </c>
      <c r="LNG1" s="154" t="str">
        <f t="shared" si="132"/>
        <v>y</v>
      </c>
      <c r="LNH1" s="154" t="str">
        <f t="shared" si="132"/>
        <v>y</v>
      </c>
      <c r="LNI1" s="154" t="str">
        <f t="shared" si="132"/>
        <v>y</v>
      </c>
      <c r="LNJ1" s="154" t="str">
        <f t="shared" si="132"/>
        <v>y</v>
      </c>
      <c r="LNK1" s="154" t="str">
        <f t="shared" si="132"/>
        <v>y</v>
      </c>
      <c r="LNL1" s="154" t="str">
        <f t="shared" si="132"/>
        <v>y</v>
      </c>
      <c r="LNM1" s="154" t="str">
        <f t="shared" si="132"/>
        <v>y</v>
      </c>
      <c r="LNN1" s="154" t="str">
        <f t="shared" si="132"/>
        <v>y</v>
      </c>
      <c r="LNO1" s="154" t="str">
        <f t="shared" si="132"/>
        <v>y</v>
      </c>
      <c r="LNP1" s="154" t="str">
        <f t="shared" si="132"/>
        <v>y</v>
      </c>
      <c r="LNQ1" s="154" t="str">
        <f t="shared" si="132"/>
        <v>y</v>
      </c>
      <c r="LNR1" s="154" t="str">
        <f t="shared" si="132"/>
        <v>y</v>
      </c>
      <c r="LNS1" s="154" t="str">
        <f t="shared" si="132"/>
        <v>y</v>
      </c>
      <c r="LNT1" s="154" t="str">
        <f t="shared" si="132"/>
        <v>y</v>
      </c>
      <c r="LNU1" s="154" t="str">
        <f t="shared" si="132"/>
        <v>y</v>
      </c>
      <c r="LNV1" s="154" t="str">
        <f t="shared" si="132"/>
        <v>y</v>
      </c>
      <c r="LNW1" s="154" t="str">
        <f t="shared" si="132"/>
        <v>y</v>
      </c>
      <c r="LNX1" s="154" t="str">
        <f t="shared" si="132"/>
        <v>y</v>
      </c>
      <c r="LNY1" s="154" t="str">
        <f t="shared" si="132"/>
        <v>y</v>
      </c>
      <c r="LNZ1" s="154" t="str">
        <f t="shared" si="132"/>
        <v>y</v>
      </c>
      <c r="LOA1" s="154" t="str">
        <f t="shared" si="132"/>
        <v>y</v>
      </c>
      <c r="LOB1" s="154" t="str">
        <f t="shared" si="132"/>
        <v>y</v>
      </c>
      <c r="LOC1" s="154" t="str">
        <f t="shared" si="132"/>
        <v>y</v>
      </c>
      <c r="LOD1" s="154" t="str">
        <f t="shared" si="132"/>
        <v>y</v>
      </c>
      <c r="LOE1" s="154" t="str">
        <f t="shared" si="132"/>
        <v>y</v>
      </c>
      <c r="LOF1" s="154" t="str">
        <f t="shared" si="132"/>
        <v>y</v>
      </c>
      <c r="LOG1" s="154" t="str">
        <f t="shared" si="132"/>
        <v>y</v>
      </c>
      <c r="LOH1" s="154" t="str">
        <f t="shared" si="132"/>
        <v>y</v>
      </c>
      <c r="LOI1" s="154" t="str">
        <f t="shared" si="132"/>
        <v>y</v>
      </c>
      <c r="LOJ1" s="154" t="str">
        <f t="shared" si="132"/>
        <v>y</v>
      </c>
      <c r="LOK1" s="154" t="str">
        <f t="shared" si="132"/>
        <v>y</v>
      </c>
      <c r="LOL1" s="154" t="str">
        <f t="shared" si="132"/>
        <v>y</v>
      </c>
      <c r="LOM1" s="154" t="str">
        <f t="shared" si="132"/>
        <v>y</v>
      </c>
      <c r="LON1" s="154" t="str">
        <f t="shared" ref="LON1:LQY1" si="133">LON2&amp;"y"</f>
        <v>y</v>
      </c>
      <c r="LOO1" s="154" t="str">
        <f t="shared" si="133"/>
        <v>y</v>
      </c>
      <c r="LOP1" s="154" t="str">
        <f t="shared" si="133"/>
        <v>y</v>
      </c>
      <c r="LOQ1" s="154" t="str">
        <f t="shared" si="133"/>
        <v>y</v>
      </c>
      <c r="LOR1" s="154" t="str">
        <f t="shared" si="133"/>
        <v>y</v>
      </c>
      <c r="LOS1" s="154" t="str">
        <f t="shared" si="133"/>
        <v>y</v>
      </c>
      <c r="LOT1" s="154" t="str">
        <f t="shared" si="133"/>
        <v>y</v>
      </c>
      <c r="LOU1" s="154" t="str">
        <f t="shared" si="133"/>
        <v>y</v>
      </c>
      <c r="LOV1" s="154" t="str">
        <f t="shared" si="133"/>
        <v>y</v>
      </c>
      <c r="LOW1" s="154" t="str">
        <f t="shared" si="133"/>
        <v>y</v>
      </c>
      <c r="LOX1" s="154" t="str">
        <f t="shared" si="133"/>
        <v>y</v>
      </c>
      <c r="LOY1" s="154" t="str">
        <f t="shared" si="133"/>
        <v>y</v>
      </c>
      <c r="LOZ1" s="154" t="str">
        <f t="shared" si="133"/>
        <v>y</v>
      </c>
      <c r="LPA1" s="154" t="str">
        <f t="shared" si="133"/>
        <v>y</v>
      </c>
      <c r="LPB1" s="154" t="str">
        <f t="shared" si="133"/>
        <v>y</v>
      </c>
      <c r="LPC1" s="154" t="str">
        <f t="shared" si="133"/>
        <v>y</v>
      </c>
      <c r="LPD1" s="154" t="str">
        <f t="shared" si="133"/>
        <v>y</v>
      </c>
      <c r="LPE1" s="154" t="str">
        <f t="shared" si="133"/>
        <v>y</v>
      </c>
      <c r="LPF1" s="154" t="str">
        <f t="shared" si="133"/>
        <v>y</v>
      </c>
      <c r="LPG1" s="154" t="str">
        <f t="shared" si="133"/>
        <v>y</v>
      </c>
      <c r="LPH1" s="154" t="str">
        <f t="shared" si="133"/>
        <v>y</v>
      </c>
      <c r="LPI1" s="154" t="str">
        <f t="shared" si="133"/>
        <v>y</v>
      </c>
      <c r="LPJ1" s="154" t="str">
        <f t="shared" si="133"/>
        <v>y</v>
      </c>
      <c r="LPK1" s="154" t="str">
        <f t="shared" si="133"/>
        <v>y</v>
      </c>
      <c r="LPL1" s="154" t="str">
        <f t="shared" si="133"/>
        <v>y</v>
      </c>
      <c r="LPM1" s="154" t="str">
        <f t="shared" si="133"/>
        <v>y</v>
      </c>
      <c r="LPN1" s="154" t="str">
        <f t="shared" si="133"/>
        <v>y</v>
      </c>
      <c r="LPO1" s="154" t="str">
        <f t="shared" si="133"/>
        <v>y</v>
      </c>
      <c r="LPP1" s="154" t="str">
        <f t="shared" si="133"/>
        <v>y</v>
      </c>
      <c r="LPQ1" s="154" t="str">
        <f t="shared" si="133"/>
        <v>y</v>
      </c>
      <c r="LPR1" s="154" t="str">
        <f t="shared" si="133"/>
        <v>y</v>
      </c>
      <c r="LPS1" s="154" t="str">
        <f t="shared" si="133"/>
        <v>y</v>
      </c>
      <c r="LPT1" s="154" t="str">
        <f t="shared" si="133"/>
        <v>y</v>
      </c>
      <c r="LPU1" s="154" t="str">
        <f t="shared" si="133"/>
        <v>y</v>
      </c>
      <c r="LPV1" s="154" t="str">
        <f t="shared" si="133"/>
        <v>y</v>
      </c>
      <c r="LPW1" s="154" t="str">
        <f t="shared" si="133"/>
        <v>y</v>
      </c>
      <c r="LPX1" s="154" t="str">
        <f t="shared" si="133"/>
        <v>y</v>
      </c>
      <c r="LPY1" s="154" t="str">
        <f t="shared" si="133"/>
        <v>y</v>
      </c>
      <c r="LPZ1" s="154" t="str">
        <f t="shared" si="133"/>
        <v>y</v>
      </c>
      <c r="LQA1" s="154" t="str">
        <f t="shared" si="133"/>
        <v>y</v>
      </c>
      <c r="LQB1" s="154" t="str">
        <f t="shared" si="133"/>
        <v>y</v>
      </c>
      <c r="LQC1" s="154" t="str">
        <f t="shared" si="133"/>
        <v>y</v>
      </c>
      <c r="LQD1" s="154" t="str">
        <f t="shared" si="133"/>
        <v>y</v>
      </c>
      <c r="LQE1" s="154" t="str">
        <f t="shared" si="133"/>
        <v>y</v>
      </c>
      <c r="LQF1" s="154" t="str">
        <f t="shared" si="133"/>
        <v>y</v>
      </c>
      <c r="LQG1" s="154" t="str">
        <f t="shared" si="133"/>
        <v>y</v>
      </c>
      <c r="LQH1" s="154" t="str">
        <f t="shared" si="133"/>
        <v>y</v>
      </c>
      <c r="LQI1" s="154" t="str">
        <f t="shared" si="133"/>
        <v>y</v>
      </c>
      <c r="LQJ1" s="154" t="str">
        <f t="shared" si="133"/>
        <v>y</v>
      </c>
      <c r="LQK1" s="154" t="str">
        <f t="shared" si="133"/>
        <v>y</v>
      </c>
      <c r="LQL1" s="154" t="str">
        <f t="shared" si="133"/>
        <v>y</v>
      </c>
      <c r="LQM1" s="154" t="str">
        <f t="shared" si="133"/>
        <v>y</v>
      </c>
      <c r="LQN1" s="154" t="str">
        <f t="shared" si="133"/>
        <v>y</v>
      </c>
      <c r="LQO1" s="154" t="str">
        <f t="shared" si="133"/>
        <v>y</v>
      </c>
      <c r="LQP1" s="154" t="str">
        <f t="shared" si="133"/>
        <v>y</v>
      </c>
      <c r="LQQ1" s="154" t="str">
        <f t="shared" si="133"/>
        <v>y</v>
      </c>
      <c r="LQR1" s="154" t="str">
        <f t="shared" si="133"/>
        <v>y</v>
      </c>
      <c r="LQS1" s="154" t="str">
        <f t="shared" si="133"/>
        <v>y</v>
      </c>
      <c r="LQT1" s="154" t="str">
        <f t="shared" si="133"/>
        <v>y</v>
      </c>
      <c r="LQU1" s="154" t="str">
        <f t="shared" si="133"/>
        <v>y</v>
      </c>
      <c r="LQV1" s="154" t="str">
        <f t="shared" si="133"/>
        <v>y</v>
      </c>
      <c r="LQW1" s="154" t="str">
        <f t="shared" si="133"/>
        <v>y</v>
      </c>
      <c r="LQX1" s="154" t="str">
        <f t="shared" si="133"/>
        <v>y</v>
      </c>
      <c r="LQY1" s="154" t="str">
        <f t="shared" si="133"/>
        <v>y</v>
      </c>
      <c r="LQZ1" s="154" t="str">
        <f t="shared" ref="LQZ1:LTK1" si="134">LQZ2&amp;"y"</f>
        <v>y</v>
      </c>
      <c r="LRA1" s="154" t="str">
        <f t="shared" si="134"/>
        <v>y</v>
      </c>
      <c r="LRB1" s="154" t="str">
        <f t="shared" si="134"/>
        <v>y</v>
      </c>
      <c r="LRC1" s="154" t="str">
        <f t="shared" si="134"/>
        <v>y</v>
      </c>
      <c r="LRD1" s="154" t="str">
        <f t="shared" si="134"/>
        <v>y</v>
      </c>
      <c r="LRE1" s="154" t="str">
        <f t="shared" si="134"/>
        <v>y</v>
      </c>
      <c r="LRF1" s="154" t="str">
        <f t="shared" si="134"/>
        <v>y</v>
      </c>
      <c r="LRG1" s="154" t="str">
        <f t="shared" si="134"/>
        <v>y</v>
      </c>
      <c r="LRH1" s="154" t="str">
        <f t="shared" si="134"/>
        <v>y</v>
      </c>
      <c r="LRI1" s="154" t="str">
        <f t="shared" si="134"/>
        <v>y</v>
      </c>
      <c r="LRJ1" s="154" t="str">
        <f t="shared" si="134"/>
        <v>y</v>
      </c>
      <c r="LRK1" s="154" t="str">
        <f t="shared" si="134"/>
        <v>y</v>
      </c>
      <c r="LRL1" s="154" t="str">
        <f t="shared" si="134"/>
        <v>y</v>
      </c>
      <c r="LRM1" s="154" t="str">
        <f t="shared" si="134"/>
        <v>y</v>
      </c>
      <c r="LRN1" s="154" t="str">
        <f t="shared" si="134"/>
        <v>y</v>
      </c>
      <c r="LRO1" s="154" t="str">
        <f t="shared" si="134"/>
        <v>y</v>
      </c>
      <c r="LRP1" s="154" t="str">
        <f t="shared" si="134"/>
        <v>y</v>
      </c>
      <c r="LRQ1" s="154" t="str">
        <f t="shared" si="134"/>
        <v>y</v>
      </c>
      <c r="LRR1" s="154" t="str">
        <f t="shared" si="134"/>
        <v>y</v>
      </c>
      <c r="LRS1" s="154" t="str">
        <f t="shared" si="134"/>
        <v>y</v>
      </c>
      <c r="LRT1" s="154" t="str">
        <f t="shared" si="134"/>
        <v>y</v>
      </c>
      <c r="LRU1" s="154" t="str">
        <f t="shared" si="134"/>
        <v>y</v>
      </c>
      <c r="LRV1" s="154" t="str">
        <f t="shared" si="134"/>
        <v>y</v>
      </c>
      <c r="LRW1" s="154" t="str">
        <f t="shared" si="134"/>
        <v>y</v>
      </c>
      <c r="LRX1" s="154" t="str">
        <f t="shared" si="134"/>
        <v>y</v>
      </c>
      <c r="LRY1" s="154" t="str">
        <f t="shared" si="134"/>
        <v>y</v>
      </c>
      <c r="LRZ1" s="154" t="str">
        <f t="shared" si="134"/>
        <v>y</v>
      </c>
      <c r="LSA1" s="154" t="str">
        <f t="shared" si="134"/>
        <v>y</v>
      </c>
      <c r="LSB1" s="154" t="str">
        <f t="shared" si="134"/>
        <v>y</v>
      </c>
      <c r="LSC1" s="154" t="str">
        <f t="shared" si="134"/>
        <v>y</v>
      </c>
      <c r="LSD1" s="154" t="str">
        <f t="shared" si="134"/>
        <v>y</v>
      </c>
      <c r="LSE1" s="154" t="str">
        <f t="shared" si="134"/>
        <v>y</v>
      </c>
      <c r="LSF1" s="154" t="str">
        <f t="shared" si="134"/>
        <v>y</v>
      </c>
      <c r="LSG1" s="154" t="str">
        <f t="shared" si="134"/>
        <v>y</v>
      </c>
      <c r="LSH1" s="154" t="str">
        <f t="shared" si="134"/>
        <v>y</v>
      </c>
      <c r="LSI1" s="154" t="str">
        <f t="shared" si="134"/>
        <v>y</v>
      </c>
      <c r="LSJ1" s="154" t="str">
        <f t="shared" si="134"/>
        <v>y</v>
      </c>
      <c r="LSK1" s="154" t="str">
        <f t="shared" si="134"/>
        <v>y</v>
      </c>
      <c r="LSL1" s="154" t="str">
        <f t="shared" si="134"/>
        <v>y</v>
      </c>
      <c r="LSM1" s="154" t="str">
        <f t="shared" si="134"/>
        <v>y</v>
      </c>
      <c r="LSN1" s="154" t="str">
        <f t="shared" si="134"/>
        <v>y</v>
      </c>
      <c r="LSO1" s="154" t="str">
        <f t="shared" si="134"/>
        <v>y</v>
      </c>
      <c r="LSP1" s="154" t="str">
        <f t="shared" si="134"/>
        <v>y</v>
      </c>
      <c r="LSQ1" s="154" t="str">
        <f t="shared" si="134"/>
        <v>y</v>
      </c>
      <c r="LSR1" s="154" t="str">
        <f t="shared" si="134"/>
        <v>y</v>
      </c>
      <c r="LSS1" s="154" t="str">
        <f t="shared" si="134"/>
        <v>y</v>
      </c>
      <c r="LST1" s="154" t="str">
        <f t="shared" si="134"/>
        <v>y</v>
      </c>
      <c r="LSU1" s="154" t="str">
        <f t="shared" si="134"/>
        <v>y</v>
      </c>
      <c r="LSV1" s="154" t="str">
        <f t="shared" si="134"/>
        <v>y</v>
      </c>
      <c r="LSW1" s="154" t="str">
        <f t="shared" si="134"/>
        <v>y</v>
      </c>
      <c r="LSX1" s="154" t="str">
        <f t="shared" si="134"/>
        <v>y</v>
      </c>
      <c r="LSY1" s="154" t="str">
        <f t="shared" si="134"/>
        <v>y</v>
      </c>
      <c r="LSZ1" s="154" t="str">
        <f t="shared" si="134"/>
        <v>y</v>
      </c>
      <c r="LTA1" s="154" t="str">
        <f t="shared" si="134"/>
        <v>y</v>
      </c>
      <c r="LTB1" s="154" t="str">
        <f t="shared" si="134"/>
        <v>y</v>
      </c>
      <c r="LTC1" s="154" t="str">
        <f t="shared" si="134"/>
        <v>y</v>
      </c>
      <c r="LTD1" s="154" t="str">
        <f t="shared" si="134"/>
        <v>y</v>
      </c>
      <c r="LTE1" s="154" t="str">
        <f t="shared" si="134"/>
        <v>y</v>
      </c>
      <c r="LTF1" s="154" t="str">
        <f t="shared" si="134"/>
        <v>y</v>
      </c>
      <c r="LTG1" s="154" t="str">
        <f t="shared" si="134"/>
        <v>y</v>
      </c>
      <c r="LTH1" s="154" t="str">
        <f t="shared" si="134"/>
        <v>y</v>
      </c>
      <c r="LTI1" s="154" t="str">
        <f t="shared" si="134"/>
        <v>y</v>
      </c>
      <c r="LTJ1" s="154" t="str">
        <f t="shared" si="134"/>
        <v>y</v>
      </c>
      <c r="LTK1" s="154" t="str">
        <f t="shared" si="134"/>
        <v>y</v>
      </c>
      <c r="LTL1" s="154" t="str">
        <f t="shared" ref="LTL1:LVW1" si="135">LTL2&amp;"y"</f>
        <v>y</v>
      </c>
      <c r="LTM1" s="154" t="str">
        <f t="shared" si="135"/>
        <v>y</v>
      </c>
      <c r="LTN1" s="154" t="str">
        <f t="shared" si="135"/>
        <v>y</v>
      </c>
      <c r="LTO1" s="154" t="str">
        <f t="shared" si="135"/>
        <v>y</v>
      </c>
      <c r="LTP1" s="154" t="str">
        <f t="shared" si="135"/>
        <v>y</v>
      </c>
      <c r="LTQ1" s="154" t="str">
        <f t="shared" si="135"/>
        <v>y</v>
      </c>
      <c r="LTR1" s="154" t="str">
        <f t="shared" si="135"/>
        <v>y</v>
      </c>
      <c r="LTS1" s="154" t="str">
        <f t="shared" si="135"/>
        <v>y</v>
      </c>
      <c r="LTT1" s="154" t="str">
        <f t="shared" si="135"/>
        <v>y</v>
      </c>
      <c r="LTU1" s="154" t="str">
        <f t="shared" si="135"/>
        <v>y</v>
      </c>
      <c r="LTV1" s="154" t="str">
        <f t="shared" si="135"/>
        <v>y</v>
      </c>
      <c r="LTW1" s="154" t="str">
        <f t="shared" si="135"/>
        <v>y</v>
      </c>
      <c r="LTX1" s="154" t="str">
        <f t="shared" si="135"/>
        <v>y</v>
      </c>
      <c r="LTY1" s="154" t="str">
        <f t="shared" si="135"/>
        <v>y</v>
      </c>
      <c r="LTZ1" s="154" t="str">
        <f t="shared" si="135"/>
        <v>y</v>
      </c>
      <c r="LUA1" s="154" t="str">
        <f t="shared" si="135"/>
        <v>y</v>
      </c>
      <c r="LUB1" s="154" t="str">
        <f t="shared" si="135"/>
        <v>y</v>
      </c>
      <c r="LUC1" s="154" t="str">
        <f t="shared" si="135"/>
        <v>y</v>
      </c>
      <c r="LUD1" s="154" t="str">
        <f t="shared" si="135"/>
        <v>y</v>
      </c>
      <c r="LUE1" s="154" t="str">
        <f t="shared" si="135"/>
        <v>y</v>
      </c>
      <c r="LUF1" s="154" t="str">
        <f t="shared" si="135"/>
        <v>y</v>
      </c>
      <c r="LUG1" s="154" t="str">
        <f t="shared" si="135"/>
        <v>y</v>
      </c>
      <c r="LUH1" s="154" t="str">
        <f t="shared" si="135"/>
        <v>y</v>
      </c>
      <c r="LUI1" s="154" t="str">
        <f t="shared" si="135"/>
        <v>y</v>
      </c>
      <c r="LUJ1" s="154" t="str">
        <f t="shared" si="135"/>
        <v>y</v>
      </c>
      <c r="LUK1" s="154" t="str">
        <f t="shared" si="135"/>
        <v>y</v>
      </c>
      <c r="LUL1" s="154" t="str">
        <f t="shared" si="135"/>
        <v>y</v>
      </c>
      <c r="LUM1" s="154" t="str">
        <f t="shared" si="135"/>
        <v>y</v>
      </c>
      <c r="LUN1" s="154" t="str">
        <f t="shared" si="135"/>
        <v>y</v>
      </c>
      <c r="LUO1" s="154" t="str">
        <f t="shared" si="135"/>
        <v>y</v>
      </c>
      <c r="LUP1" s="154" t="str">
        <f t="shared" si="135"/>
        <v>y</v>
      </c>
      <c r="LUQ1" s="154" t="str">
        <f t="shared" si="135"/>
        <v>y</v>
      </c>
      <c r="LUR1" s="154" t="str">
        <f t="shared" si="135"/>
        <v>y</v>
      </c>
      <c r="LUS1" s="154" t="str">
        <f t="shared" si="135"/>
        <v>y</v>
      </c>
      <c r="LUT1" s="154" t="str">
        <f t="shared" si="135"/>
        <v>y</v>
      </c>
      <c r="LUU1" s="154" t="str">
        <f t="shared" si="135"/>
        <v>y</v>
      </c>
      <c r="LUV1" s="154" t="str">
        <f t="shared" si="135"/>
        <v>y</v>
      </c>
      <c r="LUW1" s="154" t="str">
        <f t="shared" si="135"/>
        <v>y</v>
      </c>
      <c r="LUX1" s="154" t="str">
        <f t="shared" si="135"/>
        <v>y</v>
      </c>
      <c r="LUY1" s="154" t="str">
        <f t="shared" si="135"/>
        <v>y</v>
      </c>
      <c r="LUZ1" s="154" t="str">
        <f t="shared" si="135"/>
        <v>y</v>
      </c>
      <c r="LVA1" s="154" t="str">
        <f t="shared" si="135"/>
        <v>y</v>
      </c>
      <c r="LVB1" s="154" t="str">
        <f t="shared" si="135"/>
        <v>y</v>
      </c>
      <c r="LVC1" s="154" t="str">
        <f t="shared" si="135"/>
        <v>y</v>
      </c>
      <c r="LVD1" s="154" t="str">
        <f t="shared" si="135"/>
        <v>y</v>
      </c>
      <c r="LVE1" s="154" t="str">
        <f t="shared" si="135"/>
        <v>y</v>
      </c>
      <c r="LVF1" s="154" t="str">
        <f t="shared" si="135"/>
        <v>y</v>
      </c>
      <c r="LVG1" s="154" t="str">
        <f t="shared" si="135"/>
        <v>y</v>
      </c>
      <c r="LVH1" s="154" t="str">
        <f t="shared" si="135"/>
        <v>y</v>
      </c>
      <c r="LVI1" s="154" t="str">
        <f t="shared" si="135"/>
        <v>y</v>
      </c>
      <c r="LVJ1" s="154" t="str">
        <f t="shared" si="135"/>
        <v>y</v>
      </c>
      <c r="LVK1" s="154" t="str">
        <f t="shared" si="135"/>
        <v>y</v>
      </c>
      <c r="LVL1" s="154" t="str">
        <f t="shared" si="135"/>
        <v>y</v>
      </c>
      <c r="LVM1" s="154" t="str">
        <f t="shared" si="135"/>
        <v>y</v>
      </c>
      <c r="LVN1" s="154" t="str">
        <f t="shared" si="135"/>
        <v>y</v>
      </c>
      <c r="LVO1" s="154" t="str">
        <f t="shared" si="135"/>
        <v>y</v>
      </c>
      <c r="LVP1" s="154" t="str">
        <f t="shared" si="135"/>
        <v>y</v>
      </c>
      <c r="LVQ1" s="154" t="str">
        <f t="shared" si="135"/>
        <v>y</v>
      </c>
      <c r="LVR1" s="154" t="str">
        <f t="shared" si="135"/>
        <v>y</v>
      </c>
      <c r="LVS1" s="154" t="str">
        <f t="shared" si="135"/>
        <v>y</v>
      </c>
      <c r="LVT1" s="154" t="str">
        <f t="shared" si="135"/>
        <v>y</v>
      </c>
      <c r="LVU1" s="154" t="str">
        <f t="shared" si="135"/>
        <v>y</v>
      </c>
      <c r="LVV1" s="154" t="str">
        <f t="shared" si="135"/>
        <v>y</v>
      </c>
      <c r="LVW1" s="154" t="str">
        <f t="shared" si="135"/>
        <v>y</v>
      </c>
      <c r="LVX1" s="154" t="str">
        <f t="shared" ref="LVX1:LYI1" si="136">LVX2&amp;"y"</f>
        <v>y</v>
      </c>
      <c r="LVY1" s="154" t="str">
        <f t="shared" si="136"/>
        <v>y</v>
      </c>
      <c r="LVZ1" s="154" t="str">
        <f t="shared" si="136"/>
        <v>y</v>
      </c>
      <c r="LWA1" s="154" t="str">
        <f t="shared" si="136"/>
        <v>y</v>
      </c>
      <c r="LWB1" s="154" t="str">
        <f t="shared" si="136"/>
        <v>y</v>
      </c>
      <c r="LWC1" s="154" t="str">
        <f t="shared" si="136"/>
        <v>y</v>
      </c>
      <c r="LWD1" s="154" t="str">
        <f t="shared" si="136"/>
        <v>y</v>
      </c>
      <c r="LWE1" s="154" t="str">
        <f t="shared" si="136"/>
        <v>y</v>
      </c>
      <c r="LWF1" s="154" t="str">
        <f t="shared" si="136"/>
        <v>y</v>
      </c>
      <c r="LWG1" s="154" t="str">
        <f t="shared" si="136"/>
        <v>y</v>
      </c>
      <c r="LWH1" s="154" t="str">
        <f t="shared" si="136"/>
        <v>y</v>
      </c>
      <c r="LWI1" s="154" t="str">
        <f t="shared" si="136"/>
        <v>y</v>
      </c>
      <c r="LWJ1" s="154" t="str">
        <f t="shared" si="136"/>
        <v>y</v>
      </c>
      <c r="LWK1" s="154" t="str">
        <f t="shared" si="136"/>
        <v>y</v>
      </c>
      <c r="LWL1" s="154" t="str">
        <f t="shared" si="136"/>
        <v>y</v>
      </c>
      <c r="LWM1" s="154" t="str">
        <f t="shared" si="136"/>
        <v>y</v>
      </c>
      <c r="LWN1" s="154" t="str">
        <f t="shared" si="136"/>
        <v>y</v>
      </c>
      <c r="LWO1" s="154" t="str">
        <f t="shared" si="136"/>
        <v>y</v>
      </c>
      <c r="LWP1" s="154" t="str">
        <f t="shared" si="136"/>
        <v>y</v>
      </c>
      <c r="LWQ1" s="154" t="str">
        <f t="shared" si="136"/>
        <v>y</v>
      </c>
      <c r="LWR1" s="154" t="str">
        <f t="shared" si="136"/>
        <v>y</v>
      </c>
      <c r="LWS1" s="154" t="str">
        <f t="shared" si="136"/>
        <v>y</v>
      </c>
      <c r="LWT1" s="154" t="str">
        <f t="shared" si="136"/>
        <v>y</v>
      </c>
      <c r="LWU1" s="154" t="str">
        <f t="shared" si="136"/>
        <v>y</v>
      </c>
      <c r="LWV1" s="154" t="str">
        <f t="shared" si="136"/>
        <v>y</v>
      </c>
      <c r="LWW1" s="154" t="str">
        <f t="shared" si="136"/>
        <v>y</v>
      </c>
      <c r="LWX1" s="154" t="str">
        <f t="shared" si="136"/>
        <v>y</v>
      </c>
      <c r="LWY1" s="154" t="str">
        <f t="shared" si="136"/>
        <v>y</v>
      </c>
      <c r="LWZ1" s="154" t="str">
        <f t="shared" si="136"/>
        <v>y</v>
      </c>
      <c r="LXA1" s="154" t="str">
        <f t="shared" si="136"/>
        <v>y</v>
      </c>
      <c r="LXB1" s="154" t="str">
        <f t="shared" si="136"/>
        <v>y</v>
      </c>
      <c r="LXC1" s="154" t="str">
        <f t="shared" si="136"/>
        <v>y</v>
      </c>
      <c r="LXD1" s="154" t="str">
        <f t="shared" si="136"/>
        <v>y</v>
      </c>
      <c r="LXE1" s="154" t="str">
        <f t="shared" si="136"/>
        <v>y</v>
      </c>
      <c r="LXF1" s="154" t="str">
        <f t="shared" si="136"/>
        <v>y</v>
      </c>
      <c r="LXG1" s="154" t="str">
        <f t="shared" si="136"/>
        <v>y</v>
      </c>
      <c r="LXH1" s="154" t="str">
        <f t="shared" si="136"/>
        <v>y</v>
      </c>
      <c r="LXI1" s="154" t="str">
        <f t="shared" si="136"/>
        <v>y</v>
      </c>
      <c r="LXJ1" s="154" t="str">
        <f t="shared" si="136"/>
        <v>y</v>
      </c>
      <c r="LXK1" s="154" t="str">
        <f t="shared" si="136"/>
        <v>y</v>
      </c>
      <c r="LXL1" s="154" t="str">
        <f t="shared" si="136"/>
        <v>y</v>
      </c>
      <c r="LXM1" s="154" t="str">
        <f t="shared" si="136"/>
        <v>y</v>
      </c>
      <c r="LXN1" s="154" t="str">
        <f t="shared" si="136"/>
        <v>y</v>
      </c>
      <c r="LXO1" s="154" t="str">
        <f t="shared" si="136"/>
        <v>y</v>
      </c>
      <c r="LXP1" s="154" t="str">
        <f t="shared" si="136"/>
        <v>y</v>
      </c>
      <c r="LXQ1" s="154" t="str">
        <f t="shared" si="136"/>
        <v>y</v>
      </c>
      <c r="LXR1" s="154" t="str">
        <f t="shared" si="136"/>
        <v>y</v>
      </c>
      <c r="LXS1" s="154" t="str">
        <f t="shared" si="136"/>
        <v>y</v>
      </c>
      <c r="LXT1" s="154" t="str">
        <f t="shared" si="136"/>
        <v>y</v>
      </c>
      <c r="LXU1" s="154" t="str">
        <f t="shared" si="136"/>
        <v>y</v>
      </c>
      <c r="LXV1" s="154" t="str">
        <f t="shared" si="136"/>
        <v>y</v>
      </c>
      <c r="LXW1" s="154" t="str">
        <f t="shared" si="136"/>
        <v>y</v>
      </c>
      <c r="LXX1" s="154" t="str">
        <f t="shared" si="136"/>
        <v>y</v>
      </c>
      <c r="LXY1" s="154" t="str">
        <f t="shared" si="136"/>
        <v>y</v>
      </c>
      <c r="LXZ1" s="154" t="str">
        <f t="shared" si="136"/>
        <v>y</v>
      </c>
      <c r="LYA1" s="154" t="str">
        <f t="shared" si="136"/>
        <v>y</v>
      </c>
      <c r="LYB1" s="154" t="str">
        <f t="shared" si="136"/>
        <v>y</v>
      </c>
      <c r="LYC1" s="154" t="str">
        <f t="shared" si="136"/>
        <v>y</v>
      </c>
      <c r="LYD1" s="154" t="str">
        <f t="shared" si="136"/>
        <v>y</v>
      </c>
      <c r="LYE1" s="154" t="str">
        <f t="shared" si="136"/>
        <v>y</v>
      </c>
      <c r="LYF1" s="154" t="str">
        <f t="shared" si="136"/>
        <v>y</v>
      </c>
      <c r="LYG1" s="154" t="str">
        <f t="shared" si="136"/>
        <v>y</v>
      </c>
      <c r="LYH1" s="154" t="str">
        <f t="shared" si="136"/>
        <v>y</v>
      </c>
      <c r="LYI1" s="154" t="str">
        <f t="shared" si="136"/>
        <v>y</v>
      </c>
      <c r="LYJ1" s="154" t="str">
        <f t="shared" ref="LYJ1:MAU1" si="137">LYJ2&amp;"y"</f>
        <v>y</v>
      </c>
      <c r="LYK1" s="154" t="str">
        <f t="shared" si="137"/>
        <v>y</v>
      </c>
      <c r="LYL1" s="154" t="str">
        <f t="shared" si="137"/>
        <v>y</v>
      </c>
      <c r="LYM1" s="154" t="str">
        <f t="shared" si="137"/>
        <v>y</v>
      </c>
      <c r="LYN1" s="154" t="str">
        <f t="shared" si="137"/>
        <v>y</v>
      </c>
      <c r="LYO1" s="154" t="str">
        <f t="shared" si="137"/>
        <v>y</v>
      </c>
      <c r="LYP1" s="154" t="str">
        <f t="shared" si="137"/>
        <v>y</v>
      </c>
      <c r="LYQ1" s="154" t="str">
        <f t="shared" si="137"/>
        <v>y</v>
      </c>
      <c r="LYR1" s="154" t="str">
        <f t="shared" si="137"/>
        <v>y</v>
      </c>
      <c r="LYS1" s="154" t="str">
        <f t="shared" si="137"/>
        <v>y</v>
      </c>
      <c r="LYT1" s="154" t="str">
        <f t="shared" si="137"/>
        <v>y</v>
      </c>
      <c r="LYU1" s="154" t="str">
        <f t="shared" si="137"/>
        <v>y</v>
      </c>
      <c r="LYV1" s="154" t="str">
        <f t="shared" si="137"/>
        <v>y</v>
      </c>
      <c r="LYW1" s="154" t="str">
        <f t="shared" si="137"/>
        <v>y</v>
      </c>
      <c r="LYX1" s="154" t="str">
        <f t="shared" si="137"/>
        <v>y</v>
      </c>
      <c r="LYY1" s="154" t="str">
        <f t="shared" si="137"/>
        <v>y</v>
      </c>
      <c r="LYZ1" s="154" t="str">
        <f t="shared" si="137"/>
        <v>y</v>
      </c>
      <c r="LZA1" s="154" t="str">
        <f t="shared" si="137"/>
        <v>y</v>
      </c>
      <c r="LZB1" s="154" t="str">
        <f t="shared" si="137"/>
        <v>y</v>
      </c>
      <c r="LZC1" s="154" t="str">
        <f t="shared" si="137"/>
        <v>y</v>
      </c>
      <c r="LZD1" s="154" t="str">
        <f t="shared" si="137"/>
        <v>y</v>
      </c>
      <c r="LZE1" s="154" t="str">
        <f t="shared" si="137"/>
        <v>y</v>
      </c>
      <c r="LZF1" s="154" t="str">
        <f t="shared" si="137"/>
        <v>y</v>
      </c>
      <c r="LZG1" s="154" t="str">
        <f t="shared" si="137"/>
        <v>y</v>
      </c>
      <c r="LZH1" s="154" t="str">
        <f t="shared" si="137"/>
        <v>y</v>
      </c>
      <c r="LZI1" s="154" t="str">
        <f t="shared" si="137"/>
        <v>y</v>
      </c>
      <c r="LZJ1" s="154" t="str">
        <f t="shared" si="137"/>
        <v>y</v>
      </c>
      <c r="LZK1" s="154" t="str">
        <f t="shared" si="137"/>
        <v>y</v>
      </c>
      <c r="LZL1" s="154" t="str">
        <f t="shared" si="137"/>
        <v>y</v>
      </c>
      <c r="LZM1" s="154" t="str">
        <f t="shared" si="137"/>
        <v>y</v>
      </c>
      <c r="LZN1" s="154" t="str">
        <f t="shared" si="137"/>
        <v>y</v>
      </c>
      <c r="LZO1" s="154" t="str">
        <f t="shared" si="137"/>
        <v>y</v>
      </c>
      <c r="LZP1" s="154" t="str">
        <f t="shared" si="137"/>
        <v>y</v>
      </c>
      <c r="LZQ1" s="154" t="str">
        <f t="shared" si="137"/>
        <v>y</v>
      </c>
      <c r="LZR1" s="154" t="str">
        <f t="shared" si="137"/>
        <v>y</v>
      </c>
      <c r="LZS1" s="154" t="str">
        <f t="shared" si="137"/>
        <v>y</v>
      </c>
      <c r="LZT1" s="154" t="str">
        <f t="shared" si="137"/>
        <v>y</v>
      </c>
      <c r="LZU1" s="154" t="str">
        <f t="shared" si="137"/>
        <v>y</v>
      </c>
      <c r="LZV1" s="154" t="str">
        <f t="shared" si="137"/>
        <v>y</v>
      </c>
      <c r="LZW1" s="154" t="str">
        <f t="shared" si="137"/>
        <v>y</v>
      </c>
      <c r="LZX1" s="154" t="str">
        <f t="shared" si="137"/>
        <v>y</v>
      </c>
      <c r="LZY1" s="154" t="str">
        <f t="shared" si="137"/>
        <v>y</v>
      </c>
      <c r="LZZ1" s="154" t="str">
        <f t="shared" si="137"/>
        <v>y</v>
      </c>
      <c r="MAA1" s="154" t="str">
        <f t="shared" si="137"/>
        <v>y</v>
      </c>
      <c r="MAB1" s="154" t="str">
        <f t="shared" si="137"/>
        <v>y</v>
      </c>
      <c r="MAC1" s="154" t="str">
        <f t="shared" si="137"/>
        <v>y</v>
      </c>
      <c r="MAD1" s="154" t="str">
        <f t="shared" si="137"/>
        <v>y</v>
      </c>
      <c r="MAE1" s="154" t="str">
        <f t="shared" si="137"/>
        <v>y</v>
      </c>
      <c r="MAF1" s="154" t="str">
        <f t="shared" si="137"/>
        <v>y</v>
      </c>
      <c r="MAG1" s="154" t="str">
        <f t="shared" si="137"/>
        <v>y</v>
      </c>
      <c r="MAH1" s="154" t="str">
        <f t="shared" si="137"/>
        <v>y</v>
      </c>
      <c r="MAI1" s="154" t="str">
        <f t="shared" si="137"/>
        <v>y</v>
      </c>
      <c r="MAJ1" s="154" t="str">
        <f t="shared" si="137"/>
        <v>y</v>
      </c>
      <c r="MAK1" s="154" t="str">
        <f t="shared" si="137"/>
        <v>y</v>
      </c>
      <c r="MAL1" s="154" t="str">
        <f t="shared" si="137"/>
        <v>y</v>
      </c>
      <c r="MAM1" s="154" t="str">
        <f t="shared" si="137"/>
        <v>y</v>
      </c>
      <c r="MAN1" s="154" t="str">
        <f t="shared" si="137"/>
        <v>y</v>
      </c>
      <c r="MAO1" s="154" t="str">
        <f t="shared" si="137"/>
        <v>y</v>
      </c>
      <c r="MAP1" s="154" t="str">
        <f t="shared" si="137"/>
        <v>y</v>
      </c>
      <c r="MAQ1" s="154" t="str">
        <f t="shared" si="137"/>
        <v>y</v>
      </c>
      <c r="MAR1" s="154" t="str">
        <f t="shared" si="137"/>
        <v>y</v>
      </c>
      <c r="MAS1" s="154" t="str">
        <f t="shared" si="137"/>
        <v>y</v>
      </c>
      <c r="MAT1" s="154" t="str">
        <f t="shared" si="137"/>
        <v>y</v>
      </c>
      <c r="MAU1" s="154" t="str">
        <f t="shared" si="137"/>
        <v>y</v>
      </c>
      <c r="MAV1" s="154" t="str">
        <f t="shared" ref="MAV1:MDG1" si="138">MAV2&amp;"y"</f>
        <v>y</v>
      </c>
      <c r="MAW1" s="154" t="str">
        <f t="shared" si="138"/>
        <v>y</v>
      </c>
      <c r="MAX1" s="154" t="str">
        <f t="shared" si="138"/>
        <v>y</v>
      </c>
      <c r="MAY1" s="154" t="str">
        <f t="shared" si="138"/>
        <v>y</v>
      </c>
      <c r="MAZ1" s="154" t="str">
        <f t="shared" si="138"/>
        <v>y</v>
      </c>
      <c r="MBA1" s="154" t="str">
        <f t="shared" si="138"/>
        <v>y</v>
      </c>
      <c r="MBB1" s="154" t="str">
        <f t="shared" si="138"/>
        <v>y</v>
      </c>
      <c r="MBC1" s="154" t="str">
        <f t="shared" si="138"/>
        <v>y</v>
      </c>
      <c r="MBD1" s="154" t="str">
        <f t="shared" si="138"/>
        <v>y</v>
      </c>
      <c r="MBE1" s="154" t="str">
        <f t="shared" si="138"/>
        <v>y</v>
      </c>
      <c r="MBF1" s="154" t="str">
        <f t="shared" si="138"/>
        <v>y</v>
      </c>
      <c r="MBG1" s="154" t="str">
        <f t="shared" si="138"/>
        <v>y</v>
      </c>
      <c r="MBH1" s="154" t="str">
        <f t="shared" si="138"/>
        <v>y</v>
      </c>
      <c r="MBI1" s="154" t="str">
        <f t="shared" si="138"/>
        <v>y</v>
      </c>
      <c r="MBJ1" s="154" t="str">
        <f t="shared" si="138"/>
        <v>y</v>
      </c>
      <c r="MBK1" s="154" t="str">
        <f t="shared" si="138"/>
        <v>y</v>
      </c>
      <c r="MBL1" s="154" t="str">
        <f t="shared" si="138"/>
        <v>y</v>
      </c>
      <c r="MBM1" s="154" t="str">
        <f t="shared" si="138"/>
        <v>y</v>
      </c>
      <c r="MBN1" s="154" t="str">
        <f t="shared" si="138"/>
        <v>y</v>
      </c>
      <c r="MBO1" s="154" t="str">
        <f t="shared" si="138"/>
        <v>y</v>
      </c>
      <c r="MBP1" s="154" t="str">
        <f t="shared" si="138"/>
        <v>y</v>
      </c>
      <c r="MBQ1" s="154" t="str">
        <f t="shared" si="138"/>
        <v>y</v>
      </c>
      <c r="MBR1" s="154" t="str">
        <f t="shared" si="138"/>
        <v>y</v>
      </c>
      <c r="MBS1" s="154" t="str">
        <f t="shared" si="138"/>
        <v>y</v>
      </c>
      <c r="MBT1" s="154" t="str">
        <f t="shared" si="138"/>
        <v>y</v>
      </c>
      <c r="MBU1" s="154" t="str">
        <f t="shared" si="138"/>
        <v>y</v>
      </c>
      <c r="MBV1" s="154" t="str">
        <f t="shared" si="138"/>
        <v>y</v>
      </c>
      <c r="MBW1" s="154" t="str">
        <f t="shared" si="138"/>
        <v>y</v>
      </c>
      <c r="MBX1" s="154" t="str">
        <f t="shared" si="138"/>
        <v>y</v>
      </c>
      <c r="MBY1" s="154" t="str">
        <f t="shared" si="138"/>
        <v>y</v>
      </c>
      <c r="MBZ1" s="154" t="str">
        <f t="shared" si="138"/>
        <v>y</v>
      </c>
      <c r="MCA1" s="154" t="str">
        <f t="shared" si="138"/>
        <v>y</v>
      </c>
      <c r="MCB1" s="154" t="str">
        <f t="shared" si="138"/>
        <v>y</v>
      </c>
      <c r="MCC1" s="154" t="str">
        <f t="shared" si="138"/>
        <v>y</v>
      </c>
      <c r="MCD1" s="154" t="str">
        <f t="shared" si="138"/>
        <v>y</v>
      </c>
      <c r="MCE1" s="154" t="str">
        <f t="shared" si="138"/>
        <v>y</v>
      </c>
      <c r="MCF1" s="154" t="str">
        <f t="shared" si="138"/>
        <v>y</v>
      </c>
      <c r="MCG1" s="154" t="str">
        <f t="shared" si="138"/>
        <v>y</v>
      </c>
      <c r="MCH1" s="154" t="str">
        <f t="shared" si="138"/>
        <v>y</v>
      </c>
      <c r="MCI1" s="154" t="str">
        <f t="shared" si="138"/>
        <v>y</v>
      </c>
      <c r="MCJ1" s="154" t="str">
        <f t="shared" si="138"/>
        <v>y</v>
      </c>
      <c r="MCK1" s="154" t="str">
        <f t="shared" si="138"/>
        <v>y</v>
      </c>
      <c r="MCL1" s="154" t="str">
        <f t="shared" si="138"/>
        <v>y</v>
      </c>
      <c r="MCM1" s="154" t="str">
        <f t="shared" si="138"/>
        <v>y</v>
      </c>
      <c r="MCN1" s="154" t="str">
        <f t="shared" si="138"/>
        <v>y</v>
      </c>
      <c r="MCO1" s="154" t="str">
        <f t="shared" si="138"/>
        <v>y</v>
      </c>
      <c r="MCP1" s="154" t="str">
        <f t="shared" si="138"/>
        <v>y</v>
      </c>
      <c r="MCQ1" s="154" t="str">
        <f t="shared" si="138"/>
        <v>y</v>
      </c>
      <c r="MCR1" s="154" t="str">
        <f t="shared" si="138"/>
        <v>y</v>
      </c>
      <c r="MCS1" s="154" t="str">
        <f t="shared" si="138"/>
        <v>y</v>
      </c>
      <c r="MCT1" s="154" t="str">
        <f t="shared" si="138"/>
        <v>y</v>
      </c>
      <c r="MCU1" s="154" t="str">
        <f t="shared" si="138"/>
        <v>y</v>
      </c>
      <c r="MCV1" s="154" t="str">
        <f t="shared" si="138"/>
        <v>y</v>
      </c>
      <c r="MCW1" s="154" t="str">
        <f t="shared" si="138"/>
        <v>y</v>
      </c>
      <c r="MCX1" s="154" t="str">
        <f t="shared" si="138"/>
        <v>y</v>
      </c>
      <c r="MCY1" s="154" t="str">
        <f t="shared" si="138"/>
        <v>y</v>
      </c>
      <c r="MCZ1" s="154" t="str">
        <f t="shared" si="138"/>
        <v>y</v>
      </c>
      <c r="MDA1" s="154" t="str">
        <f t="shared" si="138"/>
        <v>y</v>
      </c>
      <c r="MDB1" s="154" t="str">
        <f t="shared" si="138"/>
        <v>y</v>
      </c>
      <c r="MDC1" s="154" t="str">
        <f t="shared" si="138"/>
        <v>y</v>
      </c>
      <c r="MDD1" s="154" t="str">
        <f t="shared" si="138"/>
        <v>y</v>
      </c>
      <c r="MDE1" s="154" t="str">
        <f t="shared" si="138"/>
        <v>y</v>
      </c>
      <c r="MDF1" s="154" t="str">
        <f t="shared" si="138"/>
        <v>y</v>
      </c>
      <c r="MDG1" s="154" t="str">
        <f t="shared" si="138"/>
        <v>y</v>
      </c>
      <c r="MDH1" s="154" t="str">
        <f t="shared" ref="MDH1:MFS1" si="139">MDH2&amp;"y"</f>
        <v>y</v>
      </c>
      <c r="MDI1" s="154" t="str">
        <f t="shared" si="139"/>
        <v>y</v>
      </c>
      <c r="MDJ1" s="154" t="str">
        <f t="shared" si="139"/>
        <v>y</v>
      </c>
      <c r="MDK1" s="154" t="str">
        <f t="shared" si="139"/>
        <v>y</v>
      </c>
      <c r="MDL1" s="154" t="str">
        <f t="shared" si="139"/>
        <v>y</v>
      </c>
      <c r="MDM1" s="154" t="str">
        <f t="shared" si="139"/>
        <v>y</v>
      </c>
      <c r="MDN1" s="154" t="str">
        <f t="shared" si="139"/>
        <v>y</v>
      </c>
      <c r="MDO1" s="154" t="str">
        <f t="shared" si="139"/>
        <v>y</v>
      </c>
      <c r="MDP1" s="154" t="str">
        <f t="shared" si="139"/>
        <v>y</v>
      </c>
      <c r="MDQ1" s="154" t="str">
        <f t="shared" si="139"/>
        <v>y</v>
      </c>
      <c r="MDR1" s="154" t="str">
        <f t="shared" si="139"/>
        <v>y</v>
      </c>
      <c r="MDS1" s="154" t="str">
        <f t="shared" si="139"/>
        <v>y</v>
      </c>
      <c r="MDT1" s="154" t="str">
        <f t="shared" si="139"/>
        <v>y</v>
      </c>
      <c r="MDU1" s="154" t="str">
        <f t="shared" si="139"/>
        <v>y</v>
      </c>
      <c r="MDV1" s="154" t="str">
        <f t="shared" si="139"/>
        <v>y</v>
      </c>
      <c r="MDW1" s="154" t="str">
        <f t="shared" si="139"/>
        <v>y</v>
      </c>
      <c r="MDX1" s="154" t="str">
        <f t="shared" si="139"/>
        <v>y</v>
      </c>
      <c r="MDY1" s="154" t="str">
        <f t="shared" si="139"/>
        <v>y</v>
      </c>
      <c r="MDZ1" s="154" t="str">
        <f t="shared" si="139"/>
        <v>y</v>
      </c>
      <c r="MEA1" s="154" t="str">
        <f t="shared" si="139"/>
        <v>y</v>
      </c>
      <c r="MEB1" s="154" t="str">
        <f t="shared" si="139"/>
        <v>y</v>
      </c>
      <c r="MEC1" s="154" t="str">
        <f t="shared" si="139"/>
        <v>y</v>
      </c>
      <c r="MED1" s="154" t="str">
        <f t="shared" si="139"/>
        <v>y</v>
      </c>
      <c r="MEE1" s="154" t="str">
        <f t="shared" si="139"/>
        <v>y</v>
      </c>
      <c r="MEF1" s="154" t="str">
        <f t="shared" si="139"/>
        <v>y</v>
      </c>
      <c r="MEG1" s="154" t="str">
        <f t="shared" si="139"/>
        <v>y</v>
      </c>
      <c r="MEH1" s="154" t="str">
        <f t="shared" si="139"/>
        <v>y</v>
      </c>
      <c r="MEI1" s="154" t="str">
        <f t="shared" si="139"/>
        <v>y</v>
      </c>
      <c r="MEJ1" s="154" t="str">
        <f t="shared" si="139"/>
        <v>y</v>
      </c>
      <c r="MEK1" s="154" t="str">
        <f t="shared" si="139"/>
        <v>y</v>
      </c>
      <c r="MEL1" s="154" t="str">
        <f t="shared" si="139"/>
        <v>y</v>
      </c>
      <c r="MEM1" s="154" t="str">
        <f t="shared" si="139"/>
        <v>y</v>
      </c>
      <c r="MEN1" s="154" t="str">
        <f t="shared" si="139"/>
        <v>y</v>
      </c>
      <c r="MEO1" s="154" t="str">
        <f t="shared" si="139"/>
        <v>y</v>
      </c>
      <c r="MEP1" s="154" t="str">
        <f t="shared" si="139"/>
        <v>y</v>
      </c>
      <c r="MEQ1" s="154" t="str">
        <f t="shared" si="139"/>
        <v>y</v>
      </c>
      <c r="MER1" s="154" t="str">
        <f t="shared" si="139"/>
        <v>y</v>
      </c>
      <c r="MES1" s="154" t="str">
        <f t="shared" si="139"/>
        <v>y</v>
      </c>
      <c r="MET1" s="154" t="str">
        <f t="shared" si="139"/>
        <v>y</v>
      </c>
      <c r="MEU1" s="154" t="str">
        <f t="shared" si="139"/>
        <v>y</v>
      </c>
      <c r="MEV1" s="154" t="str">
        <f t="shared" si="139"/>
        <v>y</v>
      </c>
      <c r="MEW1" s="154" t="str">
        <f t="shared" si="139"/>
        <v>y</v>
      </c>
      <c r="MEX1" s="154" t="str">
        <f t="shared" si="139"/>
        <v>y</v>
      </c>
      <c r="MEY1" s="154" t="str">
        <f t="shared" si="139"/>
        <v>y</v>
      </c>
      <c r="MEZ1" s="154" t="str">
        <f t="shared" si="139"/>
        <v>y</v>
      </c>
      <c r="MFA1" s="154" t="str">
        <f t="shared" si="139"/>
        <v>y</v>
      </c>
      <c r="MFB1" s="154" t="str">
        <f t="shared" si="139"/>
        <v>y</v>
      </c>
      <c r="MFC1" s="154" t="str">
        <f t="shared" si="139"/>
        <v>y</v>
      </c>
      <c r="MFD1" s="154" t="str">
        <f t="shared" si="139"/>
        <v>y</v>
      </c>
      <c r="MFE1" s="154" t="str">
        <f t="shared" si="139"/>
        <v>y</v>
      </c>
      <c r="MFF1" s="154" t="str">
        <f t="shared" si="139"/>
        <v>y</v>
      </c>
      <c r="MFG1" s="154" t="str">
        <f t="shared" si="139"/>
        <v>y</v>
      </c>
      <c r="MFH1" s="154" t="str">
        <f t="shared" si="139"/>
        <v>y</v>
      </c>
      <c r="MFI1" s="154" t="str">
        <f t="shared" si="139"/>
        <v>y</v>
      </c>
      <c r="MFJ1" s="154" t="str">
        <f t="shared" si="139"/>
        <v>y</v>
      </c>
      <c r="MFK1" s="154" t="str">
        <f t="shared" si="139"/>
        <v>y</v>
      </c>
      <c r="MFL1" s="154" t="str">
        <f t="shared" si="139"/>
        <v>y</v>
      </c>
      <c r="MFM1" s="154" t="str">
        <f t="shared" si="139"/>
        <v>y</v>
      </c>
      <c r="MFN1" s="154" t="str">
        <f t="shared" si="139"/>
        <v>y</v>
      </c>
      <c r="MFO1" s="154" t="str">
        <f t="shared" si="139"/>
        <v>y</v>
      </c>
      <c r="MFP1" s="154" t="str">
        <f t="shared" si="139"/>
        <v>y</v>
      </c>
      <c r="MFQ1" s="154" t="str">
        <f t="shared" si="139"/>
        <v>y</v>
      </c>
      <c r="MFR1" s="154" t="str">
        <f t="shared" si="139"/>
        <v>y</v>
      </c>
      <c r="MFS1" s="154" t="str">
        <f t="shared" si="139"/>
        <v>y</v>
      </c>
      <c r="MFT1" s="154" t="str">
        <f t="shared" ref="MFT1:MIE1" si="140">MFT2&amp;"y"</f>
        <v>y</v>
      </c>
      <c r="MFU1" s="154" t="str">
        <f t="shared" si="140"/>
        <v>y</v>
      </c>
      <c r="MFV1" s="154" t="str">
        <f t="shared" si="140"/>
        <v>y</v>
      </c>
      <c r="MFW1" s="154" t="str">
        <f t="shared" si="140"/>
        <v>y</v>
      </c>
      <c r="MFX1" s="154" t="str">
        <f t="shared" si="140"/>
        <v>y</v>
      </c>
      <c r="MFY1" s="154" t="str">
        <f t="shared" si="140"/>
        <v>y</v>
      </c>
      <c r="MFZ1" s="154" t="str">
        <f t="shared" si="140"/>
        <v>y</v>
      </c>
      <c r="MGA1" s="154" t="str">
        <f t="shared" si="140"/>
        <v>y</v>
      </c>
      <c r="MGB1" s="154" t="str">
        <f t="shared" si="140"/>
        <v>y</v>
      </c>
      <c r="MGC1" s="154" t="str">
        <f t="shared" si="140"/>
        <v>y</v>
      </c>
      <c r="MGD1" s="154" t="str">
        <f t="shared" si="140"/>
        <v>y</v>
      </c>
      <c r="MGE1" s="154" t="str">
        <f t="shared" si="140"/>
        <v>y</v>
      </c>
      <c r="MGF1" s="154" t="str">
        <f t="shared" si="140"/>
        <v>y</v>
      </c>
      <c r="MGG1" s="154" t="str">
        <f t="shared" si="140"/>
        <v>y</v>
      </c>
      <c r="MGH1" s="154" t="str">
        <f t="shared" si="140"/>
        <v>y</v>
      </c>
      <c r="MGI1" s="154" t="str">
        <f t="shared" si="140"/>
        <v>y</v>
      </c>
      <c r="MGJ1" s="154" t="str">
        <f t="shared" si="140"/>
        <v>y</v>
      </c>
      <c r="MGK1" s="154" t="str">
        <f t="shared" si="140"/>
        <v>y</v>
      </c>
      <c r="MGL1" s="154" t="str">
        <f t="shared" si="140"/>
        <v>y</v>
      </c>
      <c r="MGM1" s="154" t="str">
        <f t="shared" si="140"/>
        <v>y</v>
      </c>
      <c r="MGN1" s="154" t="str">
        <f t="shared" si="140"/>
        <v>y</v>
      </c>
      <c r="MGO1" s="154" t="str">
        <f t="shared" si="140"/>
        <v>y</v>
      </c>
      <c r="MGP1" s="154" t="str">
        <f t="shared" si="140"/>
        <v>y</v>
      </c>
      <c r="MGQ1" s="154" t="str">
        <f t="shared" si="140"/>
        <v>y</v>
      </c>
      <c r="MGR1" s="154" t="str">
        <f t="shared" si="140"/>
        <v>y</v>
      </c>
      <c r="MGS1" s="154" t="str">
        <f t="shared" si="140"/>
        <v>y</v>
      </c>
      <c r="MGT1" s="154" t="str">
        <f t="shared" si="140"/>
        <v>y</v>
      </c>
      <c r="MGU1" s="154" t="str">
        <f t="shared" si="140"/>
        <v>y</v>
      </c>
      <c r="MGV1" s="154" t="str">
        <f t="shared" si="140"/>
        <v>y</v>
      </c>
      <c r="MGW1" s="154" t="str">
        <f t="shared" si="140"/>
        <v>y</v>
      </c>
      <c r="MGX1" s="154" t="str">
        <f t="shared" si="140"/>
        <v>y</v>
      </c>
      <c r="MGY1" s="154" t="str">
        <f t="shared" si="140"/>
        <v>y</v>
      </c>
      <c r="MGZ1" s="154" t="str">
        <f t="shared" si="140"/>
        <v>y</v>
      </c>
      <c r="MHA1" s="154" t="str">
        <f t="shared" si="140"/>
        <v>y</v>
      </c>
      <c r="MHB1" s="154" t="str">
        <f t="shared" si="140"/>
        <v>y</v>
      </c>
      <c r="MHC1" s="154" t="str">
        <f t="shared" si="140"/>
        <v>y</v>
      </c>
      <c r="MHD1" s="154" t="str">
        <f t="shared" si="140"/>
        <v>y</v>
      </c>
      <c r="MHE1" s="154" t="str">
        <f t="shared" si="140"/>
        <v>y</v>
      </c>
      <c r="MHF1" s="154" t="str">
        <f t="shared" si="140"/>
        <v>y</v>
      </c>
      <c r="MHG1" s="154" t="str">
        <f t="shared" si="140"/>
        <v>y</v>
      </c>
      <c r="MHH1" s="154" t="str">
        <f t="shared" si="140"/>
        <v>y</v>
      </c>
      <c r="MHI1" s="154" t="str">
        <f t="shared" si="140"/>
        <v>y</v>
      </c>
      <c r="MHJ1" s="154" t="str">
        <f t="shared" si="140"/>
        <v>y</v>
      </c>
      <c r="MHK1" s="154" t="str">
        <f t="shared" si="140"/>
        <v>y</v>
      </c>
      <c r="MHL1" s="154" t="str">
        <f t="shared" si="140"/>
        <v>y</v>
      </c>
      <c r="MHM1" s="154" t="str">
        <f t="shared" si="140"/>
        <v>y</v>
      </c>
      <c r="MHN1" s="154" t="str">
        <f t="shared" si="140"/>
        <v>y</v>
      </c>
      <c r="MHO1" s="154" t="str">
        <f t="shared" si="140"/>
        <v>y</v>
      </c>
      <c r="MHP1" s="154" t="str">
        <f t="shared" si="140"/>
        <v>y</v>
      </c>
      <c r="MHQ1" s="154" t="str">
        <f t="shared" si="140"/>
        <v>y</v>
      </c>
      <c r="MHR1" s="154" t="str">
        <f t="shared" si="140"/>
        <v>y</v>
      </c>
      <c r="MHS1" s="154" t="str">
        <f t="shared" si="140"/>
        <v>y</v>
      </c>
      <c r="MHT1" s="154" t="str">
        <f t="shared" si="140"/>
        <v>y</v>
      </c>
      <c r="MHU1" s="154" t="str">
        <f t="shared" si="140"/>
        <v>y</v>
      </c>
      <c r="MHV1" s="154" t="str">
        <f t="shared" si="140"/>
        <v>y</v>
      </c>
      <c r="MHW1" s="154" t="str">
        <f t="shared" si="140"/>
        <v>y</v>
      </c>
      <c r="MHX1" s="154" t="str">
        <f t="shared" si="140"/>
        <v>y</v>
      </c>
      <c r="MHY1" s="154" t="str">
        <f t="shared" si="140"/>
        <v>y</v>
      </c>
      <c r="MHZ1" s="154" t="str">
        <f t="shared" si="140"/>
        <v>y</v>
      </c>
      <c r="MIA1" s="154" t="str">
        <f t="shared" si="140"/>
        <v>y</v>
      </c>
      <c r="MIB1" s="154" t="str">
        <f t="shared" si="140"/>
        <v>y</v>
      </c>
      <c r="MIC1" s="154" t="str">
        <f t="shared" si="140"/>
        <v>y</v>
      </c>
      <c r="MID1" s="154" t="str">
        <f t="shared" si="140"/>
        <v>y</v>
      </c>
      <c r="MIE1" s="154" t="str">
        <f t="shared" si="140"/>
        <v>y</v>
      </c>
      <c r="MIF1" s="154" t="str">
        <f t="shared" ref="MIF1:MKQ1" si="141">MIF2&amp;"y"</f>
        <v>y</v>
      </c>
      <c r="MIG1" s="154" t="str">
        <f t="shared" si="141"/>
        <v>y</v>
      </c>
      <c r="MIH1" s="154" t="str">
        <f t="shared" si="141"/>
        <v>y</v>
      </c>
      <c r="MII1" s="154" t="str">
        <f t="shared" si="141"/>
        <v>y</v>
      </c>
      <c r="MIJ1" s="154" t="str">
        <f t="shared" si="141"/>
        <v>y</v>
      </c>
      <c r="MIK1" s="154" t="str">
        <f t="shared" si="141"/>
        <v>y</v>
      </c>
      <c r="MIL1" s="154" t="str">
        <f t="shared" si="141"/>
        <v>y</v>
      </c>
      <c r="MIM1" s="154" t="str">
        <f t="shared" si="141"/>
        <v>y</v>
      </c>
      <c r="MIN1" s="154" t="str">
        <f t="shared" si="141"/>
        <v>y</v>
      </c>
      <c r="MIO1" s="154" t="str">
        <f t="shared" si="141"/>
        <v>y</v>
      </c>
      <c r="MIP1" s="154" t="str">
        <f t="shared" si="141"/>
        <v>y</v>
      </c>
      <c r="MIQ1" s="154" t="str">
        <f t="shared" si="141"/>
        <v>y</v>
      </c>
      <c r="MIR1" s="154" t="str">
        <f t="shared" si="141"/>
        <v>y</v>
      </c>
      <c r="MIS1" s="154" t="str">
        <f t="shared" si="141"/>
        <v>y</v>
      </c>
      <c r="MIT1" s="154" t="str">
        <f t="shared" si="141"/>
        <v>y</v>
      </c>
      <c r="MIU1" s="154" t="str">
        <f t="shared" si="141"/>
        <v>y</v>
      </c>
      <c r="MIV1" s="154" t="str">
        <f t="shared" si="141"/>
        <v>y</v>
      </c>
      <c r="MIW1" s="154" t="str">
        <f t="shared" si="141"/>
        <v>y</v>
      </c>
      <c r="MIX1" s="154" t="str">
        <f t="shared" si="141"/>
        <v>y</v>
      </c>
      <c r="MIY1" s="154" t="str">
        <f t="shared" si="141"/>
        <v>y</v>
      </c>
      <c r="MIZ1" s="154" t="str">
        <f t="shared" si="141"/>
        <v>y</v>
      </c>
      <c r="MJA1" s="154" t="str">
        <f t="shared" si="141"/>
        <v>y</v>
      </c>
      <c r="MJB1" s="154" t="str">
        <f t="shared" si="141"/>
        <v>y</v>
      </c>
      <c r="MJC1" s="154" t="str">
        <f t="shared" si="141"/>
        <v>y</v>
      </c>
      <c r="MJD1" s="154" t="str">
        <f t="shared" si="141"/>
        <v>y</v>
      </c>
      <c r="MJE1" s="154" t="str">
        <f t="shared" si="141"/>
        <v>y</v>
      </c>
      <c r="MJF1" s="154" t="str">
        <f t="shared" si="141"/>
        <v>y</v>
      </c>
      <c r="MJG1" s="154" t="str">
        <f t="shared" si="141"/>
        <v>y</v>
      </c>
      <c r="MJH1" s="154" t="str">
        <f t="shared" si="141"/>
        <v>y</v>
      </c>
      <c r="MJI1" s="154" t="str">
        <f t="shared" si="141"/>
        <v>y</v>
      </c>
      <c r="MJJ1" s="154" t="str">
        <f t="shared" si="141"/>
        <v>y</v>
      </c>
      <c r="MJK1" s="154" t="str">
        <f t="shared" si="141"/>
        <v>y</v>
      </c>
      <c r="MJL1" s="154" t="str">
        <f t="shared" si="141"/>
        <v>y</v>
      </c>
      <c r="MJM1" s="154" t="str">
        <f t="shared" si="141"/>
        <v>y</v>
      </c>
      <c r="MJN1" s="154" t="str">
        <f t="shared" si="141"/>
        <v>y</v>
      </c>
      <c r="MJO1" s="154" t="str">
        <f t="shared" si="141"/>
        <v>y</v>
      </c>
      <c r="MJP1" s="154" t="str">
        <f t="shared" si="141"/>
        <v>y</v>
      </c>
      <c r="MJQ1" s="154" t="str">
        <f t="shared" si="141"/>
        <v>y</v>
      </c>
      <c r="MJR1" s="154" t="str">
        <f t="shared" si="141"/>
        <v>y</v>
      </c>
      <c r="MJS1" s="154" t="str">
        <f t="shared" si="141"/>
        <v>y</v>
      </c>
      <c r="MJT1" s="154" t="str">
        <f t="shared" si="141"/>
        <v>y</v>
      </c>
      <c r="MJU1" s="154" t="str">
        <f t="shared" si="141"/>
        <v>y</v>
      </c>
      <c r="MJV1" s="154" t="str">
        <f t="shared" si="141"/>
        <v>y</v>
      </c>
      <c r="MJW1" s="154" t="str">
        <f t="shared" si="141"/>
        <v>y</v>
      </c>
      <c r="MJX1" s="154" t="str">
        <f t="shared" si="141"/>
        <v>y</v>
      </c>
      <c r="MJY1" s="154" t="str">
        <f t="shared" si="141"/>
        <v>y</v>
      </c>
      <c r="MJZ1" s="154" t="str">
        <f t="shared" si="141"/>
        <v>y</v>
      </c>
      <c r="MKA1" s="154" t="str">
        <f t="shared" si="141"/>
        <v>y</v>
      </c>
      <c r="MKB1" s="154" t="str">
        <f t="shared" si="141"/>
        <v>y</v>
      </c>
      <c r="MKC1" s="154" t="str">
        <f t="shared" si="141"/>
        <v>y</v>
      </c>
      <c r="MKD1" s="154" t="str">
        <f t="shared" si="141"/>
        <v>y</v>
      </c>
      <c r="MKE1" s="154" t="str">
        <f t="shared" si="141"/>
        <v>y</v>
      </c>
      <c r="MKF1" s="154" t="str">
        <f t="shared" si="141"/>
        <v>y</v>
      </c>
      <c r="MKG1" s="154" t="str">
        <f t="shared" si="141"/>
        <v>y</v>
      </c>
      <c r="MKH1" s="154" t="str">
        <f t="shared" si="141"/>
        <v>y</v>
      </c>
      <c r="MKI1" s="154" t="str">
        <f t="shared" si="141"/>
        <v>y</v>
      </c>
      <c r="MKJ1" s="154" t="str">
        <f t="shared" si="141"/>
        <v>y</v>
      </c>
      <c r="MKK1" s="154" t="str">
        <f t="shared" si="141"/>
        <v>y</v>
      </c>
      <c r="MKL1" s="154" t="str">
        <f t="shared" si="141"/>
        <v>y</v>
      </c>
      <c r="MKM1" s="154" t="str">
        <f t="shared" si="141"/>
        <v>y</v>
      </c>
      <c r="MKN1" s="154" t="str">
        <f t="shared" si="141"/>
        <v>y</v>
      </c>
      <c r="MKO1" s="154" t="str">
        <f t="shared" si="141"/>
        <v>y</v>
      </c>
      <c r="MKP1" s="154" t="str">
        <f t="shared" si="141"/>
        <v>y</v>
      </c>
      <c r="MKQ1" s="154" t="str">
        <f t="shared" si="141"/>
        <v>y</v>
      </c>
      <c r="MKR1" s="154" t="str">
        <f t="shared" ref="MKR1:MNC1" si="142">MKR2&amp;"y"</f>
        <v>y</v>
      </c>
      <c r="MKS1" s="154" t="str">
        <f t="shared" si="142"/>
        <v>y</v>
      </c>
      <c r="MKT1" s="154" t="str">
        <f t="shared" si="142"/>
        <v>y</v>
      </c>
      <c r="MKU1" s="154" t="str">
        <f t="shared" si="142"/>
        <v>y</v>
      </c>
      <c r="MKV1" s="154" t="str">
        <f t="shared" si="142"/>
        <v>y</v>
      </c>
      <c r="MKW1" s="154" t="str">
        <f t="shared" si="142"/>
        <v>y</v>
      </c>
      <c r="MKX1" s="154" t="str">
        <f t="shared" si="142"/>
        <v>y</v>
      </c>
      <c r="MKY1" s="154" t="str">
        <f t="shared" si="142"/>
        <v>y</v>
      </c>
      <c r="MKZ1" s="154" t="str">
        <f t="shared" si="142"/>
        <v>y</v>
      </c>
      <c r="MLA1" s="154" t="str">
        <f t="shared" si="142"/>
        <v>y</v>
      </c>
      <c r="MLB1" s="154" t="str">
        <f t="shared" si="142"/>
        <v>y</v>
      </c>
      <c r="MLC1" s="154" t="str">
        <f t="shared" si="142"/>
        <v>y</v>
      </c>
      <c r="MLD1" s="154" t="str">
        <f t="shared" si="142"/>
        <v>y</v>
      </c>
      <c r="MLE1" s="154" t="str">
        <f t="shared" si="142"/>
        <v>y</v>
      </c>
      <c r="MLF1" s="154" t="str">
        <f t="shared" si="142"/>
        <v>y</v>
      </c>
      <c r="MLG1" s="154" t="str">
        <f t="shared" si="142"/>
        <v>y</v>
      </c>
      <c r="MLH1" s="154" t="str">
        <f t="shared" si="142"/>
        <v>y</v>
      </c>
      <c r="MLI1" s="154" t="str">
        <f t="shared" si="142"/>
        <v>y</v>
      </c>
      <c r="MLJ1" s="154" t="str">
        <f t="shared" si="142"/>
        <v>y</v>
      </c>
      <c r="MLK1" s="154" t="str">
        <f t="shared" si="142"/>
        <v>y</v>
      </c>
      <c r="MLL1" s="154" t="str">
        <f t="shared" si="142"/>
        <v>y</v>
      </c>
      <c r="MLM1" s="154" t="str">
        <f t="shared" si="142"/>
        <v>y</v>
      </c>
      <c r="MLN1" s="154" t="str">
        <f t="shared" si="142"/>
        <v>y</v>
      </c>
      <c r="MLO1" s="154" t="str">
        <f t="shared" si="142"/>
        <v>y</v>
      </c>
      <c r="MLP1" s="154" t="str">
        <f t="shared" si="142"/>
        <v>y</v>
      </c>
      <c r="MLQ1" s="154" t="str">
        <f t="shared" si="142"/>
        <v>y</v>
      </c>
      <c r="MLR1" s="154" t="str">
        <f t="shared" si="142"/>
        <v>y</v>
      </c>
      <c r="MLS1" s="154" t="str">
        <f t="shared" si="142"/>
        <v>y</v>
      </c>
      <c r="MLT1" s="154" t="str">
        <f t="shared" si="142"/>
        <v>y</v>
      </c>
      <c r="MLU1" s="154" t="str">
        <f t="shared" si="142"/>
        <v>y</v>
      </c>
      <c r="MLV1" s="154" t="str">
        <f t="shared" si="142"/>
        <v>y</v>
      </c>
      <c r="MLW1" s="154" t="str">
        <f t="shared" si="142"/>
        <v>y</v>
      </c>
      <c r="MLX1" s="154" t="str">
        <f t="shared" si="142"/>
        <v>y</v>
      </c>
      <c r="MLY1" s="154" t="str">
        <f t="shared" si="142"/>
        <v>y</v>
      </c>
      <c r="MLZ1" s="154" t="str">
        <f t="shared" si="142"/>
        <v>y</v>
      </c>
      <c r="MMA1" s="154" t="str">
        <f t="shared" si="142"/>
        <v>y</v>
      </c>
      <c r="MMB1" s="154" t="str">
        <f t="shared" si="142"/>
        <v>y</v>
      </c>
      <c r="MMC1" s="154" t="str">
        <f t="shared" si="142"/>
        <v>y</v>
      </c>
      <c r="MMD1" s="154" t="str">
        <f t="shared" si="142"/>
        <v>y</v>
      </c>
      <c r="MME1" s="154" t="str">
        <f t="shared" si="142"/>
        <v>y</v>
      </c>
      <c r="MMF1" s="154" t="str">
        <f t="shared" si="142"/>
        <v>y</v>
      </c>
      <c r="MMG1" s="154" t="str">
        <f t="shared" si="142"/>
        <v>y</v>
      </c>
      <c r="MMH1" s="154" t="str">
        <f t="shared" si="142"/>
        <v>y</v>
      </c>
      <c r="MMI1" s="154" t="str">
        <f t="shared" si="142"/>
        <v>y</v>
      </c>
      <c r="MMJ1" s="154" t="str">
        <f t="shared" si="142"/>
        <v>y</v>
      </c>
      <c r="MMK1" s="154" t="str">
        <f t="shared" si="142"/>
        <v>y</v>
      </c>
      <c r="MML1" s="154" t="str">
        <f t="shared" si="142"/>
        <v>y</v>
      </c>
      <c r="MMM1" s="154" t="str">
        <f t="shared" si="142"/>
        <v>y</v>
      </c>
      <c r="MMN1" s="154" t="str">
        <f t="shared" si="142"/>
        <v>y</v>
      </c>
      <c r="MMO1" s="154" t="str">
        <f t="shared" si="142"/>
        <v>y</v>
      </c>
      <c r="MMP1" s="154" t="str">
        <f t="shared" si="142"/>
        <v>y</v>
      </c>
      <c r="MMQ1" s="154" t="str">
        <f t="shared" si="142"/>
        <v>y</v>
      </c>
      <c r="MMR1" s="154" t="str">
        <f t="shared" si="142"/>
        <v>y</v>
      </c>
      <c r="MMS1" s="154" t="str">
        <f t="shared" si="142"/>
        <v>y</v>
      </c>
      <c r="MMT1" s="154" t="str">
        <f t="shared" si="142"/>
        <v>y</v>
      </c>
      <c r="MMU1" s="154" t="str">
        <f t="shared" si="142"/>
        <v>y</v>
      </c>
      <c r="MMV1" s="154" t="str">
        <f t="shared" si="142"/>
        <v>y</v>
      </c>
      <c r="MMW1" s="154" t="str">
        <f t="shared" si="142"/>
        <v>y</v>
      </c>
      <c r="MMX1" s="154" t="str">
        <f t="shared" si="142"/>
        <v>y</v>
      </c>
      <c r="MMY1" s="154" t="str">
        <f t="shared" si="142"/>
        <v>y</v>
      </c>
      <c r="MMZ1" s="154" t="str">
        <f t="shared" si="142"/>
        <v>y</v>
      </c>
      <c r="MNA1" s="154" t="str">
        <f t="shared" si="142"/>
        <v>y</v>
      </c>
      <c r="MNB1" s="154" t="str">
        <f t="shared" si="142"/>
        <v>y</v>
      </c>
      <c r="MNC1" s="154" t="str">
        <f t="shared" si="142"/>
        <v>y</v>
      </c>
      <c r="MND1" s="154" t="str">
        <f t="shared" ref="MND1:MPO1" si="143">MND2&amp;"y"</f>
        <v>y</v>
      </c>
      <c r="MNE1" s="154" t="str">
        <f t="shared" si="143"/>
        <v>y</v>
      </c>
      <c r="MNF1" s="154" t="str">
        <f t="shared" si="143"/>
        <v>y</v>
      </c>
      <c r="MNG1" s="154" t="str">
        <f t="shared" si="143"/>
        <v>y</v>
      </c>
      <c r="MNH1" s="154" t="str">
        <f t="shared" si="143"/>
        <v>y</v>
      </c>
      <c r="MNI1" s="154" t="str">
        <f t="shared" si="143"/>
        <v>y</v>
      </c>
      <c r="MNJ1" s="154" t="str">
        <f t="shared" si="143"/>
        <v>y</v>
      </c>
      <c r="MNK1" s="154" t="str">
        <f t="shared" si="143"/>
        <v>y</v>
      </c>
      <c r="MNL1" s="154" t="str">
        <f t="shared" si="143"/>
        <v>y</v>
      </c>
      <c r="MNM1" s="154" t="str">
        <f t="shared" si="143"/>
        <v>y</v>
      </c>
      <c r="MNN1" s="154" t="str">
        <f t="shared" si="143"/>
        <v>y</v>
      </c>
      <c r="MNO1" s="154" t="str">
        <f t="shared" si="143"/>
        <v>y</v>
      </c>
      <c r="MNP1" s="154" t="str">
        <f t="shared" si="143"/>
        <v>y</v>
      </c>
      <c r="MNQ1" s="154" t="str">
        <f t="shared" si="143"/>
        <v>y</v>
      </c>
      <c r="MNR1" s="154" t="str">
        <f t="shared" si="143"/>
        <v>y</v>
      </c>
      <c r="MNS1" s="154" t="str">
        <f t="shared" si="143"/>
        <v>y</v>
      </c>
      <c r="MNT1" s="154" t="str">
        <f t="shared" si="143"/>
        <v>y</v>
      </c>
      <c r="MNU1" s="154" t="str">
        <f t="shared" si="143"/>
        <v>y</v>
      </c>
      <c r="MNV1" s="154" t="str">
        <f t="shared" si="143"/>
        <v>y</v>
      </c>
      <c r="MNW1" s="154" t="str">
        <f t="shared" si="143"/>
        <v>y</v>
      </c>
      <c r="MNX1" s="154" t="str">
        <f t="shared" si="143"/>
        <v>y</v>
      </c>
      <c r="MNY1" s="154" t="str">
        <f t="shared" si="143"/>
        <v>y</v>
      </c>
      <c r="MNZ1" s="154" t="str">
        <f t="shared" si="143"/>
        <v>y</v>
      </c>
      <c r="MOA1" s="154" t="str">
        <f t="shared" si="143"/>
        <v>y</v>
      </c>
      <c r="MOB1" s="154" t="str">
        <f t="shared" si="143"/>
        <v>y</v>
      </c>
      <c r="MOC1" s="154" t="str">
        <f t="shared" si="143"/>
        <v>y</v>
      </c>
      <c r="MOD1" s="154" t="str">
        <f t="shared" si="143"/>
        <v>y</v>
      </c>
      <c r="MOE1" s="154" t="str">
        <f t="shared" si="143"/>
        <v>y</v>
      </c>
      <c r="MOF1" s="154" t="str">
        <f t="shared" si="143"/>
        <v>y</v>
      </c>
      <c r="MOG1" s="154" t="str">
        <f t="shared" si="143"/>
        <v>y</v>
      </c>
      <c r="MOH1" s="154" t="str">
        <f t="shared" si="143"/>
        <v>y</v>
      </c>
      <c r="MOI1" s="154" t="str">
        <f t="shared" si="143"/>
        <v>y</v>
      </c>
      <c r="MOJ1" s="154" t="str">
        <f t="shared" si="143"/>
        <v>y</v>
      </c>
      <c r="MOK1" s="154" t="str">
        <f t="shared" si="143"/>
        <v>y</v>
      </c>
      <c r="MOL1" s="154" t="str">
        <f t="shared" si="143"/>
        <v>y</v>
      </c>
      <c r="MOM1" s="154" t="str">
        <f t="shared" si="143"/>
        <v>y</v>
      </c>
      <c r="MON1" s="154" t="str">
        <f t="shared" si="143"/>
        <v>y</v>
      </c>
      <c r="MOO1" s="154" t="str">
        <f t="shared" si="143"/>
        <v>y</v>
      </c>
      <c r="MOP1" s="154" t="str">
        <f t="shared" si="143"/>
        <v>y</v>
      </c>
      <c r="MOQ1" s="154" t="str">
        <f t="shared" si="143"/>
        <v>y</v>
      </c>
      <c r="MOR1" s="154" t="str">
        <f t="shared" si="143"/>
        <v>y</v>
      </c>
      <c r="MOS1" s="154" t="str">
        <f t="shared" si="143"/>
        <v>y</v>
      </c>
      <c r="MOT1" s="154" t="str">
        <f t="shared" si="143"/>
        <v>y</v>
      </c>
      <c r="MOU1" s="154" t="str">
        <f t="shared" si="143"/>
        <v>y</v>
      </c>
      <c r="MOV1" s="154" t="str">
        <f t="shared" si="143"/>
        <v>y</v>
      </c>
      <c r="MOW1" s="154" t="str">
        <f t="shared" si="143"/>
        <v>y</v>
      </c>
      <c r="MOX1" s="154" t="str">
        <f t="shared" si="143"/>
        <v>y</v>
      </c>
      <c r="MOY1" s="154" t="str">
        <f t="shared" si="143"/>
        <v>y</v>
      </c>
      <c r="MOZ1" s="154" t="str">
        <f t="shared" si="143"/>
        <v>y</v>
      </c>
      <c r="MPA1" s="154" t="str">
        <f t="shared" si="143"/>
        <v>y</v>
      </c>
      <c r="MPB1" s="154" t="str">
        <f t="shared" si="143"/>
        <v>y</v>
      </c>
      <c r="MPC1" s="154" t="str">
        <f t="shared" si="143"/>
        <v>y</v>
      </c>
      <c r="MPD1" s="154" t="str">
        <f t="shared" si="143"/>
        <v>y</v>
      </c>
      <c r="MPE1" s="154" t="str">
        <f t="shared" si="143"/>
        <v>y</v>
      </c>
      <c r="MPF1" s="154" t="str">
        <f t="shared" si="143"/>
        <v>y</v>
      </c>
      <c r="MPG1" s="154" t="str">
        <f t="shared" si="143"/>
        <v>y</v>
      </c>
      <c r="MPH1" s="154" t="str">
        <f t="shared" si="143"/>
        <v>y</v>
      </c>
      <c r="MPI1" s="154" t="str">
        <f t="shared" si="143"/>
        <v>y</v>
      </c>
      <c r="MPJ1" s="154" t="str">
        <f t="shared" si="143"/>
        <v>y</v>
      </c>
      <c r="MPK1" s="154" t="str">
        <f t="shared" si="143"/>
        <v>y</v>
      </c>
      <c r="MPL1" s="154" t="str">
        <f t="shared" si="143"/>
        <v>y</v>
      </c>
      <c r="MPM1" s="154" t="str">
        <f t="shared" si="143"/>
        <v>y</v>
      </c>
      <c r="MPN1" s="154" t="str">
        <f t="shared" si="143"/>
        <v>y</v>
      </c>
      <c r="MPO1" s="154" t="str">
        <f t="shared" si="143"/>
        <v>y</v>
      </c>
      <c r="MPP1" s="154" t="str">
        <f t="shared" ref="MPP1:MSA1" si="144">MPP2&amp;"y"</f>
        <v>y</v>
      </c>
      <c r="MPQ1" s="154" t="str">
        <f t="shared" si="144"/>
        <v>y</v>
      </c>
      <c r="MPR1" s="154" t="str">
        <f t="shared" si="144"/>
        <v>y</v>
      </c>
      <c r="MPS1" s="154" t="str">
        <f t="shared" si="144"/>
        <v>y</v>
      </c>
      <c r="MPT1" s="154" t="str">
        <f t="shared" si="144"/>
        <v>y</v>
      </c>
      <c r="MPU1" s="154" t="str">
        <f t="shared" si="144"/>
        <v>y</v>
      </c>
      <c r="MPV1" s="154" t="str">
        <f t="shared" si="144"/>
        <v>y</v>
      </c>
      <c r="MPW1" s="154" t="str">
        <f t="shared" si="144"/>
        <v>y</v>
      </c>
      <c r="MPX1" s="154" t="str">
        <f t="shared" si="144"/>
        <v>y</v>
      </c>
      <c r="MPY1" s="154" t="str">
        <f t="shared" si="144"/>
        <v>y</v>
      </c>
      <c r="MPZ1" s="154" t="str">
        <f t="shared" si="144"/>
        <v>y</v>
      </c>
      <c r="MQA1" s="154" t="str">
        <f t="shared" si="144"/>
        <v>y</v>
      </c>
      <c r="MQB1" s="154" t="str">
        <f t="shared" si="144"/>
        <v>y</v>
      </c>
      <c r="MQC1" s="154" t="str">
        <f t="shared" si="144"/>
        <v>y</v>
      </c>
      <c r="MQD1" s="154" t="str">
        <f t="shared" si="144"/>
        <v>y</v>
      </c>
      <c r="MQE1" s="154" t="str">
        <f t="shared" si="144"/>
        <v>y</v>
      </c>
      <c r="MQF1" s="154" t="str">
        <f t="shared" si="144"/>
        <v>y</v>
      </c>
      <c r="MQG1" s="154" t="str">
        <f t="shared" si="144"/>
        <v>y</v>
      </c>
      <c r="MQH1" s="154" t="str">
        <f t="shared" si="144"/>
        <v>y</v>
      </c>
      <c r="MQI1" s="154" t="str">
        <f t="shared" si="144"/>
        <v>y</v>
      </c>
      <c r="MQJ1" s="154" t="str">
        <f t="shared" si="144"/>
        <v>y</v>
      </c>
      <c r="MQK1" s="154" t="str">
        <f t="shared" si="144"/>
        <v>y</v>
      </c>
      <c r="MQL1" s="154" t="str">
        <f t="shared" si="144"/>
        <v>y</v>
      </c>
      <c r="MQM1" s="154" t="str">
        <f t="shared" si="144"/>
        <v>y</v>
      </c>
      <c r="MQN1" s="154" t="str">
        <f t="shared" si="144"/>
        <v>y</v>
      </c>
      <c r="MQO1" s="154" t="str">
        <f t="shared" si="144"/>
        <v>y</v>
      </c>
      <c r="MQP1" s="154" t="str">
        <f t="shared" si="144"/>
        <v>y</v>
      </c>
      <c r="MQQ1" s="154" t="str">
        <f t="shared" si="144"/>
        <v>y</v>
      </c>
      <c r="MQR1" s="154" t="str">
        <f t="shared" si="144"/>
        <v>y</v>
      </c>
      <c r="MQS1" s="154" t="str">
        <f t="shared" si="144"/>
        <v>y</v>
      </c>
      <c r="MQT1" s="154" t="str">
        <f t="shared" si="144"/>
        <v>y</v>
      </c>
      <c r="MQU1" s="154" t="str">
        <f t="shared" si="144"/>
        <v>y</v>
      </c>
      <c r="MQV1" s="154" t="str">
        <f t="shared" si="144"/>
        <v>y</v>
      </c>
      <c r="MQW1" s="154" t="str">
        <f t="shared" si="144"/>
        <v>y</v>
      </c>
      <c r="MQX1" s="154" t="str">
        <f t="shared" si="144"/>
        <v>y</v>
      </c>
      <c r="MQY1" s="154" t="str">
        <f t="shared" si="144"/>
        <v>y</v>
      </c>
      <c r="MQZ1" s="154" t="str">
        <f t="shared" si="144"/>
        <v>y</v>
      </c>
      <c r="MRA1" s="154" t="str">
        <f t="shared" si="144"/>
        <v>y</v>
      </c>
      <c r="MRB1" s="154" t="str">
        <f t="shared" si="144"/>
        <v>y</v>
      </c>
      <c r="MRC1" s="154" t="str">
        <f t="shared" si="144"/>
        <v>y</v>
      </c>
      <c r="MRD1" s="154" t="str">
        <f t="shared" si="144"/>
        <v>y</v>
      </c>
      <c r="MRE1" s="154" t="str">
        <f t="shared" si="144"/>
        <v>y</v>
      </c>
      <c r="MRF1" s="154" t="str">
        <f t="shared" si="144"/>
        <v>y</v>
      </c>
      <c r="MRG1" s="154" t="str">
        <f t="shared" si="144"/>
        <v>y</v>
      </c>
      <c r="MRH1" s="154" t="str">
        <f t="shared" si="144"/>
        <v>y</v>
      </c>
      <c r="MRI1" s="154" t="str">
        <f t="shared" si="144"/>
        <v>y</v>
      </c>
      <c r="MRJ1" s="154" t="str">
        <f t="shared" si="144"/>
        <v>y</v>
      </c>
      <c r="MRK1" s="154" t="str">
        <f t="shared" si="144"/>
        <v>y</v>
      </c>
      <c r="MRL1" s="154" t="str">
        <f t="shared" si="144"/>
        <v>y</v>
      </c>
      <c r="MRM1" s="154" t="str">
        <f t="shared" si="144"/>
        <v>y</v>
      </c>
      <c r="MRN1" s="154" t="str">
        <f t="shared" si="144"/>
        <v>y</v>
      </c>
      <c r="MRO1" s="154" t="str">
        <f t="shared" si="144"/>
        <v>y</v>
      </c>
      <c r="MRP1" s="154" t="str">
        <f t="shared" si="144"/>
        <v>y</v>
      </c>
      <c r="MRQ1" s="154" t="str">
        <f t="shared" si="144"/>
        <v>y</v>
      </c>
      <c r="MRR1" s="154" t="str">
        <f t="shared" si="144"/>
        <v>y</v>
      </c>
      <c r="MRS1" s="154" t="str">
        <f t="shared" si="144"/>
        <v>y</v>
      </c>
      <c r="MRT1" s="154" t="str">
        <f t="shared" si="144"/>
        <v>y</v>
      </c>
      <c r="MRU1" s="154" t="str">
        <f t="shared" si="144"/>
        <v>y</v>
      </c>
      <c r="MRV1" s="154" t="str">
        <f t="shared" si="144"/>
        <v>y</v>
      </c>
      <c r="MRW1" s="154" t="str">
        <f t="shared" si="144"/>
        <v>y</v>
      </c>
      <c r="MRX1" s="154" t="str">
        <f t="shared" si="144"/>
        <v>y</v>
      </c>
      <c r="MRY1" s="154" t="str">
        <f t="shared" si="144"/>
        <v>y</v>
      </c>
      <c r="MRZ1" s="154" t="str">
        <f t="shared" si="144"/>
        <v>y</v>
      </c>
      <c r="MSA1" s="154" t="str">
        <f t="shared" si="144"/>
        <v>y</v>
      </c>
      <c r="MSB1" s="154" t="str">
        <f t="shared" ref="MSB1:MUM1" si="145">MSB2&amp;"y"</f>
        <v>y</v>
      </c>
      <c r="MSC1" s="154" t="str">
        <f t="shared" si="145"/>
        <v>y</v>
      </c>
      <c r="MSD1" s="154" t="str">
        <f t="shared" si="145"/>
        <v>y</v>
      </c>
      <c r="MSE1" s="154" t="str">
        <f t="shared" si="145"/>
        <v>y</v>
      </c>
      <c r="MSF1" s="154" t="str">
        <f t="shared" si="145"/>
        <v>y</v>
      </c>
      <c r="MSG1" s="154" t="str">
        <f t="shared" si="145"/>
        <v>y</v>
      </c>
      <c r="MSH1" s="154" t="str">
        <f t="shared" si="145"/>
        <v>y</v>
      </c>
      <c r="MSI1" s="154" t="str">
        <f t="shared" si="145"/>
        <v>y</v>
      </c>
      <c r="MSJ1" s="154" t="str">
        <f t="shared" si="145"/>
        <v>y</v>
      </c>
      <c r="MSK1" s="154" t="str">
        <f t="shared" si="145"/>
        <v>y</v>
      </c>
      <c r="MSL1" s="154" t="str">
        <f t="shared" si="145"/>
        <v>y</v>
      </c>
      <c r="MSM1" s="154" t="str">
        <f t="shared" si="145"/>
        <v>y</v>
      </c>
      <c r="MSN1" s="154" t="str">
        <f t="shared" si="145"/>
        <v>y</v>
      </c>
      <c r="MSO1" s="154" t="str">
        <f t="shared" si="145"/>
        <v>y</v>
      </c>
      <c r="MSP1" s="154" t="str">
        <f t="shared" si="145"/>
        <v>y</v>
      </c>
      <c r="MSQ1" s="154" t="str">
        <f t="shared" si="145"/>
        <v>y</v>
      </c>
      <c r="MSR1" s="154" t="str">
        <f t="shared" si="145"/>
        <v>y</v>
      </c>
      <c r="MSS1" s="154" t="str">
        <f t="shared" si="145"/>
        <v>y</v>
      </c>
      <c r="MST1" s="154" t="str">
        <f t="shared" si="145"/>
        <v>y</v>
      </c>
      <c r="MSU1" s="154" t="str">
        <f t="shared" si="145"/>
        <v>y</v>
      </c>
      <c r="MSV1" s="154" t="str">
        <f t="shared" si="145"/>
        <v>y</v>
      </c>
      <c r="MSW1" s="154" t="str">
        <f t="shared" si="145"/>
        <v>y</v>
      </c>
      <c r="MSX1" s="154" t="str">
        <f t="shared" si="145"/>
        <v>y</v>
      </c>
      <c r="MSY1" s="154" t="str">
        <f t="shared" si="145"/>
        <v>y</v>
      </c>
      <c r="MSZ1" s="154" t="str">
        <f t="shared" si="145"/>
        <v>y</v>
      </c>
      <c r="MTA1" s="154" t="str">
        <f t="shared" si="145"/>
        <v>y</v>
      </c>
      <c r="MTB1" s="154" t="str">
        <f t="shared" si="145"/>
        <v>y</v>
      </c>
      <c r="MTC1" s="154" t="str">
        <f t="shared" si="145"/>
        <v>y</v>
      </c>
      <c r="MTD1" s="154" t="str">
        <f t="shared" si="145"/>
        <v>y</v>
      </c>
      <c r="MTE1" s="154" t="str">
        <f t="shared" si="145"/>
        <v>y</v>
      </c>
      <c r="MTF1" s="154" t="str">
        <f t="shared" si="145"/>
        <v>y</v>
      </c>
      <c r="MTG1" s="154" t="str">
        <f t="shared" si="145"/>
        <v>y</v>
      </c>
      <c r="MTH1" s="154" t="str">
        <f t="shared" si="145"/>
        <v>y</v>
      </c>
      <c r="MTI1" s="154" t="str">
        <f t="shared" si="145"/>
        <v>y</v>
      </c>
      <c r="MTJ1" s="154" t="str">
        <f t="shared" si="145"/>
        <v>y</v>
      </c>
      <c r="MTK1" s="154" t="str">
        <f t="shared" si="145"/>
        <v>y</v>
      </c>
      <c r="MTL1" s="154" t="str">
        <f t="shared" si="145"/>
        <v>y</v>
      </c>
      <c r="MTM1" s="154" t="str">
        <f t="shared" si="145"/>
        <v>y</v>
      </c>
      <c r="MTN1" s="154" t="str">
        <f t="shared" si="145"/>
        <v>y</v>
      </c>
      <c r="MTO1" s="154" t="str">
        <f t="shared" si="145"/>
        <v>y</v>
      </c>
      <c r="MTP1" s="154" t="str">
        <f t="shared" si="145"/>
        <v>y</v>
      </c>
      <c r="MTQ1" s="154" t="str">
        <f t="shared" si="145"/>
        <v>y</v>
      </c>
      <c r="MTR1" s="154" t="str">
        <f t="shared" si="145"/>
        <v>y</v>
      </c>
      <c r="MTS1" s="154" t="str">
        <f t="shared" si="145"/>
        <v>y</v>
      </c>
      <c r="MTT1" s="154" t="str">
        <f t="shared" si="145"/>
        <v>y</v>
      </c>
      <c r="MTU1" s="154" t="str">
        <f t="shared" si="145"/>
        <v>y</v>
      </c>
      <c r="MTV1" s="154" t="str">
        <f t="shared" si="145"/>
        <v>y</v>
      </c>
      <c r="MTW1" s="154" t="str">
        <f t="shared" si="145"/>
        <v>y</v>
      </c>
      <c r="MTX1" s="154" t="str">
        <f t="shared" si="145"/>
        <v>y</v>
      </c>
      <c r="MTY1" s="154" t="str">
        <f t="shared" si="145"/>
        <v>y</v>
      </c>
      <c r="MTZ1" s="154" t="str">
        <f t="shared" si="145"/>
        <v>y</v>
      </c>
      <c r="MUA1" s="154" t="str">
        <f t="shared" si="145"/>
        <v>y</v>
      </c>
      <c r="MUB1" s="154" t="str">
        <f t="shared" si="145"/>
        <v>y</v>
      </c>
      <c r="MUC1" s="154" t="str">
        <f t="shared" si="145"/>
        <v>y</v>
      </c>
      <c r="MUD1" s="154" t="str">
        <f t="shared" si="145"/>
        <v>y</v>
      </c>
      <c r="MUE1" s="154" t="str">
        <f t="shared" si="145"/>
        <v>y</v>
      </c>
      <c r="MUF1" s="154" t="str">
        <f t="shared" si="145"/>
        <v>y</v>
      </c>
      <c r="MUG1" s="154" t="str">
        <f t="shared" si="145"/>
        <v>y</v>
      </c>
      <c r="MUH1" s="154" t="str">
        <f t="shared" si="145"/>
        <v>y</v>
      </c>
      <c r="MUI1" s="154" t="str">
        <f t="shared" si="145"/>
        <v>y</v>
      </c>
      <c r="MUJ1" s="154" t="str">
        <f t="shared" si="145"/>
        <v>y</v>
      </c>
      <c r="MUK1" s="154" t="str">
        <f t="shared" si="145"/>
        <v>y</v>
      </c>
      <c r="MUL1" s="154" t="str">
        <f t="shared" si="145"/>
        <v>y</v>
      </c>
      <c r="MUM1" s="154" t="str">
        <f t="shared" si="145"/>
        <v>y</v>
      </c>
      <c r="MUN1" s="154" t="str">
        <f t="shared" ref="MUN1:MWY1" si="146">MUN2&amp;"y"</f>
        <v>y</v>
      </c>
      <c r="MUO1" s="154" t="str">
        <f t="shared" si="146"/>
        <v>y</v>
      </c>
      <c r="MUP1" s="154" t="str">
        <f t="shared" si="146"/>
        <v>y</v>
      </c>
      <c r="MUQ1" s="154" t="str">
        <f t="shared" si="146"/>
        <v>y</v>
      </c>
      <c r="MUR1" s="154" t="str">
        <f t="shared" si="146"/>
        <v>y</v>
      </c>
      <c r="MUS1" s="154" t="str">
        <f t="shared" si="146"/>
        <v>y</v>
      </c>
      <c r="MUT1" s="154" t="str">
        <f t="shared" si="146"/>
        <v>y</v>
      </c>
      <c r="MUU1" s="154" t="str">
        <f t="shared" si="146"/>
        <v>y</v>
      </c>
      <c r="MUV1" s="154" t="str">
        <f t="shared" si="146"/>
        <v>y</v>
      </c>
      <c r="MUW1" s="154" t="str">
        <f t="shared" si="146"/>
        <v>y</v>
      </c>
      <c r="MUX1" s="154" t="str">
        <f t="shared" si="146"/>
        <v>y</v>
      </c>
      <c r="MUY1" s="154" t="str">
        <f t="shared" si="146"/>
        <v>y</v>
      </c>
      <c r="MUZ1" s="154" t="str">
        <f t="shared" si="146"/>
        <v>y</v>
      </c>
      <c r="MVA1" s="154" t="str">
        <f t="shared" si="146"/>
        <v>y</v>
      </c>
      <c r="MVB1" s="154" t="str">
        <f t="shared" si="146"/>
        <v>y</v>
      </c>
      <c r="MVC1" s="154" t="str">
        <f t="shared" si="146"/>
        <v>y</v>
      </c>
      <c r="MVD1" s="154" t="str">
        <f t="shared" si="146"/>
        <v>y</v>
      </c>
      <c r="MVE1" s="154" t="str">
        <f t="shared" si="146"/>
        <v>y</v>
      </c>
      <c r="MVF1" s="154" t="str">
        <f t="shared" si="146"/>
        <v>y</v>
      </c>
      <c r="MVG1" s="154" t="str">
        <f t="shared" si="146"/>
        <v>y</v>
      </c>
      <c r="MVH1" s="154" t="str">
        <f t="shared" si="146"/>
        <v>y</v>
      </c>
      <c r="MVI1" s="154" t="str">
        <f t="shared" si="146"/>
        <v>y</v>
      </c>
      <c r="MVJ1" s="154" t="str">
        <f t="shared" si="146"/>
        <v>y</v>
      </c>
      <c r="MVK1" s="154" t="str">
        <f t="shared" si="146"/>
        <v>y</v>
      </c>
      <c r="MVL1" s="154" t="str">
        <f t="shared" si="146"/>
        <v>y</v>
      </c>
      <c r="MVM1" s="154" t="str">
        <f t="shared" si="146"/>
        <v>y</v>
      </c>
      <c r="MVN1" s="154" t="str">
        <f t="shared" si="146"/>
        <v>y</v>
      </c>
      <c r="MVO1" s="154" t="str">
        <f t="shared" si="146"/>
        <v>y</v>
      </c>
      <c r="MVP1" s="154" t="str">
        <f t="shared" si="146"/>
        <v>y</v>
      </c>
      <c r="MVQ1" s="154" t="str">
        <f t="shared" si="146"/>
        <v>y</v>
      </c>
      <c r="MVR1" s="154" t="str">
        <f t="shared" si="146"/>
        <v>y</v>
      </c>
      <c r="MVS1" s="154" t="str">
        <f t="shared" si="146"/>
        <v>y</v>
      </c>
      <c r="MVT1" s="154" t="str">
        <f t="shared" si="146"/>
        <v>y</v>
      </c>
      <c r="MVU1" s="154" t="str">
        <f t="shared" si="146"/>
        <v>y</v>
      </c>
      <c r="MVV1" s="154" t="str">
        <f t="shared" si="146"/>
        <v>y</v>
      </c>
      <c r="MVW1" s="154" t="str">
        <f t="shared" si="146"/>
        <v>y</v>
      </c>
      <c r="MVX1" s="154" t="str">
        <f t="shared" si="146"/>
        <v>y</v>
      </c>
      <c r="MVY1" s="154" t="str">
        <f t="shared" si="146"/>
        <v>y</v>
      </c>
      <c r="MVZ1" s="154" t="str">
        <f t="shared" si="146"/>
        <v>y</v>
      </c>
      <c r="MWA1" s="154" t="str">
        <f t="shared" si="146"/>
        <v>y</v>
      </c>
      <c r="MWB1" s="154" t="str">
        <f t="shared" si="146"/>
        <v>y</v>
      </c>
      <c r="MWC1" s="154" t="str">
        <f t="shared" si="146"/>
        <v>y</v>
      </c>
      <c r="MWD1" s="154" t="str">
        <f t="shared" si="146"/>
        <v>y</v>
      </c>
      <c r="MWE1" s="154" t="str">
        <f t="shared" si="146"/>
        <v>y</v>
      </c>
      <c r="MWF1" s="154" t="str">
        <f t="shared" si="146"/>
        <v>y</v>
      </c>
      <c r="MWG1" s="154" t="str">
        <f t="shared" si="146"/>
        <v>y</v>
      </c>
      <c r="MWH1" s="154" t="str">
        <f t="shared" si="146"/>
        <v>y</v>
      </c>
      <c r="MWI1" s="154" t="str">
        <f t="shared" si="146"/>
        <v>y</v>
      </c>
      <c r="MWJ1" s="154" t="str">
        <f t="shared" si="146"/>
        <v>y</v>
      </c>
      <c r="MWK1" s="154" t="str">
        <f t="shared" si="146"/>
        <v>y</v>
      </c>
      <c r="MWL1" s="154" t="str">
        <f t="shared" si="146"/>
        <v>y</v>
      </c>
      <c r="MWM1" s="154" t="str">
        <f t="shared" si="146"/>
        <v>y</v>
      </c>
      <c r="MWN1" s="154" t="str">
        <f t="shared" si="146"/>
        <v>y</v>
      </c>
      <c r="MWO1" s="154" t="str">
        <f t="shared" si="146"/>
        <v>y</v>
      </c>
      <c r="MWP1" s="154" t="str">
        <f t="shared" si="146"/>
        <v>y</v>
      </c>
      <c r="MWQ1" s="154" t="str">
        <f t="shared" si="146"/>
        <v>y</v>
      </c>
      <c r="MWR1" s="154" t="str">
        <f t="shared" si="146"/>
        <v>y</v>
      </c>
      <c r="MWS1" s="154" t="str">
        <f t="shared" si="146"/>
        <v>y</v>
      </c>
      <c r="MWT1" s="154" t="str">
        <f t="shared" si="146"/>
        <v>y</v>
      </c>
      <c r="MWU1" s="154" t="str">
        <f t="shared" si="146"/>
        <v>y</v>
      </c>
      <c r="MWV1" s="154" t="str">
        <f t="shared" si="146"/>
        <v>y</v>
      </c>
      <c r="MWW1" s="154" t="str">
        <f t="shared" si="146"/>
        <v>y</v>
      </c>
      <c r="MWX1" s="154" t="str">
        <f t="shared" si="146"/>
        <v>y</v>
      </c>
      <c r="MWY1" s="154" t="str">
        <f t="shared" si="146"/>
        <v>y</v>
      </c>
      <c r="MWZ1" s="154" t="str">
        <f t="shared" ref="MWZ1:MZK1" si="147">MWZ2&amp;"y"</f>
        <v>y</v>
      </c>
      <c r="MXA1" s="154" t="str">
        <f t="shared" si="147"/>
        <v>y</v>
      </c>
      <c r="MXB1" s="154" t="str">
        <f t="shared" si="147"/>
        <v>y</v>
      </c>
      <c r="MXC1" s="154" t="str">
        <f t="shared" si="147"/>
        <v>y</v>
      </c>
      <c r="MXD1" s="154" t="str">
        <f t="shared" si="147"/>
        <v>y</v>
      </c>
      <c r="MXE1" s="154" t="str">
        <f t="shared" si="147"/>
        <v>y</v>
      </c>
      <c r="MXF1" s="154" t="str">
        <f t="shared" si="147"/>
        <v>y</v>
      </c>
      <c r="MXG1" s="154" t="str">
        <f t="shared" si="147"/>
        <v>y</v>
      </c>
      <c r="MXH1" s="154" t="str">
        <f t="shared" si="147"/>
        <v>y</v>
      </c>
      <c r="MXI1" s="154" t="str">
        <f t="shared" si="147"/>
        <v>y</v>
      </c>
      <c r="MXJ1" s="154" t="str">
        <f t="shared" si="147"/>
        <v>y</v>
      </c>
      <c r="MXK1" s="154" t="str">
        <f t="shared" si="147"/>
        <v>y</v>
      </c>
      <c r="MXL1" s="154" t="str">
        <f t="shared" si="147"/>
        <v>y</v>
      </c>
      <c r="MXM1" s="154" t="str">
        <f t="shared" si="147"/>
        <v>y</v>
      </c>
      <c r="MXN1" s="154" t="str">
        <f t="shared" si="147"/>
        <v>y</v>
      </c>
      <c r="MXO1" s="154" t="str">
        <f t="shared" si="147"/>
        <v>y</v>
      </c>
      <c r="MXP1" s="154" t="str">
        <f t="shared" si="147"/>
        <v>y</v>
      </c>
      <c r="MXQ1" s="154" t="str">
        <f t="shared" si="147"/>
        <v>y</v>
      </c>
      <c r="MXR1" s="154" t="str">
        <f t="shared" si="147"/>
        <v>y</v>
      </c>
      <c r="MXS1" s="154" t="str">
        <f t="shared" si="147"/>
        <v>y</v>
      </c>
      <c r="MXT1" s="154" t="str">
        <f t="shared" si="147"/>
        <v>y</v>
      </c>
      <c r="MXU1" s="154" t="str">
        <f t="shared" si="147"/>
        <v>y</v>
      </c>
      <c r="MXV1" s="154" t="str">
        <f t="shared" si="147"/>
        <v>y</v>
      </c>
      <c r="MXW1" s="154" t="str">
        <f t="shared" si="147"/>
        <v>y</v>
      </c>
      <c r="MXX1" s="154" t="str">
        <f t="shared" si="147"/>
        <v>y</v>
      </c>
      <c r="MXY1" s="154" t="str">
        <f t="shared" si="147"/>
        <v>y</v>
      </c>
      <c r="MXZ1" s="154" t="str">
        <f t="shared" si="147"/>
        <v>y</v>
      </c>
      <c r="MYA1" s="154" t="str">
        <f t="shared" si="147"/>
        <v>y</v>
      </c>
      <c r="MYB1" s="154" t="str">
        <f t="shared" si="147"/>
        <v>y</v>
      </c>
      <c r="MYC1" s="154" t="str">
        <f t="shared" si="147"/>
        <v>y</v>
      </c>
      <c r="MYD1" s="154" t="str">
        <f t="shared" si="147"/>
        <v>y</v>
      </c>
      <c r="MYE1" s="154" t="str">
        <f t="shared" si="147"/>
        <v>y</v>
      </c>
      <c r="MYF1" s="154" t="str">
        <f t="shared" si="147"/>
        <v>y</v>
      </c>
      <c r="MYG1" s="154" t="str">
        <f t="shared" si="147"/>
        <v>y</v>
      </c>
      <c r="MYH1" s="154" t="str">
        <f t="shared" si="147"/>
        <v>y</v>
      </c>
      <c r="MYI1" s="154" t="str">
        <f t="shared" si="147"/>
        <v>y</v>
      </c>
      <c r="MYJ1" s="154" t="str">
        <f t="shared" si="147"/>
        <v>y</v>
      </c>
      <c r="MYK1" s="154" t="str">
        <f t="shared" si="147"/>
        <v>y</v>
      </c>
      <c r="MYL1" s="154" t="str">
        <f t="shared" si="147"/>
        <v>y</v>
      </c>
      <c r="MYM1" s="154" t="str">
        <f t="shared" si="147"/>
        <v>y</v>
      </c>
      <c r="MYN1" s="154" t="str">
        <f t="shared" si="147"/>
        <v>y</v>
      </c>
      <c r="MYO1" s="154" t="str">
        <f t="shared" si="147"/>
        <v>y</v>
      </c>
      <c r="MYP1" s="154" t="str">
        <f t="shared" si="147"/>
        <v>y</v>
      </c>
      <c r="MYQ1" s="154" t="str">
        <f t="shared" si="147"/>
        <v>y</v>
      </c>
      <c r="MYR1" s="154" t="str">
        <f t="shared" si="147"/>
        <v>y</v>
      </c>
      <c r="MYS1" s="154" t="str">
        <f t="shared" si="147"/>
        <v>y</v>
      </c>
      <c r="MYT1" s="154" t="str">
        <f t="shared" si="147"/>
        <v>y</v>
      </c>
      <c r="MYU1" s="154" t="str">
        <f t="shared" si="147"/>
        <v>y</v>
      </c>
      <c r="MYV1" s="154" t="str">
        <f t="shared" si="147"/>
        <v>y</v>
      </c>
      <c r="MYW1" s="154" t="str">
        <f t="shared" si="147"/>
        <v>y</v>
      </c>
      <c r="MYX1" s="154" t="str">
        <f t="shared" si="147"/>
        <v>y</v>
      </c>
      <c r="MYY1" s="154" t="str">
        <f t="shared" si="147"/>
        <v>y</v>
      </c>
      <c r="MYZ1" s="154" t="str">
        <f t="shared" si="147"/>
        <v>y</v>
      </c>
      <c r="MZA1" s="154" t="str">
        <f t="shared" si="147"/>
        <v>y</v>
      </c>
      <c r="MZB1" s="154" t="str">
        <f t="shared" si="147"/>
        <v>y</v>
      </c>
      <c r="MZC1" s="154" t="str">
        <f t="shared" si="147"/>
        <v>y</v>
      </c>
      <c r="MZD1" s="154" t="str">
        <f t="shared" si="147"/>
        <v>y</v>
      </c>
      <c r="MZE1" s="154" t="str">
        <f t="shared" si="147"/>
        <v>y</v>
      </c>
      <c r="MZF1" s="154" t="str">
        <f t="shared" si="147"/>
        <v>y</v>
      </c>
      <c r="MZG1" s="154" t="str">
        <f t="shared" si="147"/>
        <v>y</v>
      </c>
      <c r="MZH1" s="154" t="str">
        <f t="shared" si="147"/>
        <v>y</v>
      </c>
      <c r="MZI1" s="154" t="str">
        <f t="shared" si="147"/>
        <v>y</v>
      </c>
      <c r="MZJ1" s="154" t="str">
        <f t="shared" si="147"/>
        <v>y</v>
      </c>
      <c r="MZK1" s="154" t="str">
        <f t="shared" si="147"/>
        <v>y</v>
      </c>
      <c r="MZL1" s="154" t="str">
        <f t="shared" ref="MZL1:NBW1" si="148">MZL2&amp;"y"</f>
        <v>y</v>
      </c>
      <c r="MZM1" s="154" t="str">
        <f t="shared" si="148"/>
        <v>y</v>
      </c>
      <c r="MZN1" s="154" t="str">
        <f t="shared" si="148"/>
        <v>y</v>
      </c>
      <c r="MZO1" s="154" t="str">
        <f t="shared" si="148"/>
        <v>y</v>
      </c>
      <c r="MZP1" s="154" t="str">
        <f t="shared" si="148"/>
        <v>y</v>
      </c>
      <c r="MZQ1" s="154" t="str">
        <f t="shared" si="148"/>
        <v>y</v>
      </c>
      <c r="MZR1" s="154" t="str">
        <f t="shared" si="148"/>
        <v>y</v>
      </c>
      <c r="MZS1" s="154" t="str">
        <f t="shared" si="148"/>
        <v>y</v>
      </c>
      <c r="MZT1" s="154" t="str">
        <f t="shared" si="148"/>
        <v>y</v>
      </c>
      <c r="MZU1" s="154" t="str">
        <f t="shared" si="148"/>
        <v>y</v>
      </c>
      <c r="MZV1" s="154" t="str">
        <f t="shared" si="148"/>
        <v>y</v>
      </c>
      <c r="MZW1" s="154" t="str">
        <f t="shared" si="148"/>
        <v>y</v>
      </c>
      <c r="MZX1" s="154" t="str">
        <f t="shared" si="148"/>
        <v>y</v>
      </c>
      <c r="MZY1" s="154" t="str">
        <f t="shared" si="148"/>
        <v>y</v>
      </c>
      <c r="MZZ1" s="154" t="str">
        <f t="shared" si="148"/>
        <v>y</v>
      </c>
      <c r="NAA1" s="154" t="str">
        <f t="shared" si="148"/>
        <v>y</v>
      </c>
      <c r="NAB1" s="154" t="str">
        <f t="shared" si="148"/>
        <v>y</v>
      </c>
      <c r="NAC1" s="154" t="str">
        <f t="shared" si="148"/>
        <v>y</v>
      </c>
      <c r="NAD1" s="154" t="str">
        <f t="shared" si="148"/>
        <v>y</v>
      </c>
      <c r="NAE1" s="154" t="str">
        <f t="shared" si="148"/>
        <v>y</v>
      </c>
      <c r="NAF1" s="154" t="str">
        <f t="shared" si="148"/>
        <v>y</v>
      </c>
      <c r="NAG1" s="154" t="str">
        <f t="shared" si="148"/>
        <v>y</v>
      </c>
      <c r="NAH1" s="154" t="str">
        <f t="shared" si="148"/>
        <v>y</v>
      </c>
      <c r="NAI1" s="154" t="str">
        <f t="shared" si="148"/>
        <v>y</v>
      </c>
      <c r="NAJ1" s="154" t="str">
        <f t="shared" si="148"/>
        <v>y</v>
      </c>
      <c r="NAK1" s="154" t="str">
        <f t="shared" si="148"/>
        <v>y</v>
      </c>
      <c r="NAL1" s="154" t="str">
        <f t="shared" si="148"/>
        <v>y</v>
      </c>
      <c r="NAM1" s="154" t="str">
        <f t="shared" si="148"/>
        <v>y</v>
      </c>
      <c r="NAN1" s="154" t="str">
        <f t="shared" si="148"/>
        <v>y</v>
      </c>
      <c r="NAO1" s="154" t="str">
        <f t="shared" si="148"/>
        <v>y</v>
      </c>
      <c r="NAP1" s="154" t="str">
        <f t="shared" si="148"/>
        <v>y</v>
      </c>
      <c r="NAQ1" s="154" t="str">
        <f t="shared" si="148"/>
        <v>y</v>
      </c>
      <c r="NAR1" s="154" t="str">
        <f t="shared" si="148"/>
        <v>y</v>
      </c>
      <c r="NAS1" s="154" t="str">
        <f t="shared" si="148"/>
        <v>y</v>
      </c>
      <c r="NAT1" s="154" t="str">
        <f t="shared" si="148"/>
        <v>y</v>
      </c>
      <c r="NAU1" s="154" t="str">
        <f t="shared" si="148"/>
        <v>y</v>
      </c>
      <c r="NAV1" s="154" t="str">
        <f t="shared" si="148"/>
        <v>y</v>
      </c>
      <c r="NAW1" s="154" t="str">
        <f t="shared" si="148"/>
        <v>y</v>
      </c>
      <c r="NAX1" s="154" t="str">
        <f t="shared" si="148"/>
        <v>y</v>
      </c>
      <c r="NAY1" s="154" t="str">
        <f t="shared" si="148"/>
        <v>y</v>
      </c>
      <c r="NAZ1" s="154" t="str">
        <f t="shared" si="148"/>
        <v>y</v>
      </c>
      <c r="NBA1" s="154" t="str">
        <f t="shared" si="148"/>
        <v>y</v>
      </c>
      <c r="NBB1" s="154" t="str">
        <f t="shared" si="148"/>
        <v>y</v>
      </c>
      <c r="NBC1" s="154" t="str">
        <f t="shared" si="148"/>
        <v>y</v>
      </c>
      <c r="NBD1" s="154" t="str">
        <f t="shared" si="148"/>
        <v>y</v>
      </c>
      <c r="NBE1" s="154" t="str">
        <f t="shared" si="148"/>
        <v>y</v>
      </c>
      <c r="NBF1" s="154" t="str">
        <f t="shared" si="148"/>
        <v>y</v>
      </c>
      <c r="NBG1" s="154" t="str">
        <f t="shared" si="148"/>
        <v>y</v>
      </c>
      <c r="NBH1" s="154" t="str">
        <f t="shared" si="148"/>
        <v>y</v>
      </c>
      <c r="NBI1" s="154" t="str">
        <f t="shared" si="148"/>
        <v>y</v>
      </c>
      <c r="NBJ1" s="154" t="str">
        <f t="shared" si="148"/>
        <v>y</v>
      </c>
      <c r="NBK1" s="154" t="str">
        <f t="shared" si="148"/>
        <v>y</v>
      </c>
      <c r="NBL1" s="154" t="str">
        <f t="shared" si="148"/>
        <v>y</v>
      </c>
      <c r="NBM1" s="154" t="str">
        <f t="shared" si="148"/>
        <v>y</v>
      </c>
      <c r="NBN1" s="154" t="str">
        <f t="shared" si="148"/>
        <v>y</v>
      </c>
      <c r="NBO1" s="154" t="str">
        <f t="shared" si="148"/>
        <v>y</v>
      </c>
      <c r="NBP1" s="154" t="str">
        <f t="shared" si="148"/>
        <v>y</v>
      </c>
      <c r="NBQ1" s="154" t="str">
        <f t="shared" si="148"/>
        <v>y</v>
      </c>
      <c r="NBR1" s="154" t="str">
        <f t="shared" si="148"/>
        <v>y</v>
      </c>
      <c r="NBS1" s="154" t="str">
        <f t="shared" si="148"/>
        <v>y</v>
      </c>
      <c r="NBT1" s="154" t="str">
        <f t="shared" si="148"/>
        <v>y</v>
      </c>
      <c r="NBU1" s="154" t="str">
        <f t="shared" si="148"/>
        <v>y</v>
      </c>
      <c r="NBV1" s="154" t="str">
        <f t="shared" si="148"/>
        <v>y</v>
      </c>
      <c r="NBW1" s="154" t="str">
        <f t="shared" si="148"/>
        <v>y</v>
      </c>
      <c r="NBX1" s="154" t="str">
        <f t="shared" ref="NBX1:NEI1" si="149">NBX2&amp;"y"</f>
        <v>y</v>
      </c>
      <c r="NBY1" s="154" t="str">
        <f t="shared" si="149"/>
        <v>y</v>
      </c>
      <c r="NBZ1" s="154" t="str">
        <f t="shared" si="149"/>
        <v>y</v>
      </c>
      <c r="NCA1" s="154" t="str">
        <f t="shared" si="149"/>
        <v>y</v>
      </c>
      <c r="NCB1" s="154" t="str">
        <f t="shared" si="149"/>
        <v>y</v>
      </c>
      <c r="NCC1" s="154" t="str">
        <f t="shared" si="149"/>
        <v>y</v>
      </c>
      <c r="NCD1" s="154" t="str">
        <f t="shared" si="149"/>
        <v>y</v>
      </c>
      <c r="NCE1" s="154" t="str">
        <f t="shared" si="149"/>
        <v>y</v>
      </c>
      <c r="NCF1" s="154" t="str">
        <f t="shared" si="149"/>
        <v>y</v>
      </c>
      <c r="NCG1" s="154" t="str">
        <f t="shared" si="149"/>
        <v>y</v>
      </c>
      <c r="NCH1" s="154" t="str">
        <f t="shared" si="149"/>
        <v>y</v>
      </c>
      <c r="NCI1" s="154" t="str">
        <f t="shared" si="149"/>
        <v>y</v>
      </c>
      <c r="NCJ1" s="154" t="str">
        <f t="shared" si="149"/>
        <v>y</v>
      </c>
      <c r="NCK1" s="154" t="str">
        <f t="shared" si="149"/>
        <v>y</v>
      </c>
      <c r="NCL1" s="154" t="str">
        <f t="shared" si="149"/>
        <v>y</v>
      </c>
      <c r="NCM1" s="154" t="str">
        <f t="shared" si="149"/>
        <v>y</v>
      </c>
      <c r="NCN1" s="154" t="str">
        <f t="shared" si="149"/>
        <v>y</v>
      </c>
      <c r="NCO1" s="154" t="str">
        <f t="shared" si="149"/>
        <v>y</v>
      </c>
      <c r="NCP1" s="154" t="str">
        <f t="shared" si="149"/>
        <v>y</v>
      </c>
      <c r="NCQ1" s="154" t="str">
        <f t="shared" si="149"/>
        <v>y</v>
      </c>
      <c r="NCR1" s="154" t="str">
        <f t="shared" si="149"/>
        <v>y</v>
      </c>
      <c r="NCS1" s="154" t="str">
        <f t="shared" si="149"/>
        <v>y</v>
      </c>
      <c r="NCT1" s="154" t="str">
        <f t="shared" si="149"/>
        <v>y</v>
      </c>
      <c r="NCU1" s="154" t="str">
        <f t="shared" si="149"/>
        <v>y</v>
      </c>
      <c r="NCV1" s="154" t="str">
        <f t="shared" si="149"/>
        <v>y</v>
      </c>
      <c r="NCW1" s="154" t="str">
        <f t="shared" si="149"/>
        <v>y</v>
      </c>
      <c r="NCX1" s="154" t="str">
        <f t="shared" si="149"/>
        <v>y</v>
      </c>
      <c r="NCY1" s="154" t="str">
        <f t="shared" si="149"/>
        <v>y</v>
      </c>
      <c r="NCZ1" s="154" t="str">
        <f t="shared" si="149"/>
        <v>y</v>
      </c>
      <c r="NDA1" s="154" t="str">
        <f t="shared" si="149"/>
        <v>y</v>
      </c>
      <c r="NDB1" s="154" t="str">
        <f t="shared" si="149"/>
        <v>y</v>
      </c>
      <c r="NDC1" s="154" t="str">
        <f t="shared" si="149"/>
        <v>y</v>
      </c>
      <c r="NDD1" s="154" t="str">
        <f t="shared" si="149"/>
        <v>y</v>
      </c>
      <c r="NDE1" s="154" t="str">
        <f t="shared" si="149"/>
        <v>y</v>
      </c>
      <c r="NDF1" s="154" t="str">
        <f t="shared" si="149"/>
        <v>y</v>
      </c>
      <c r="NDG1" s="154" t="str">
        <f t="shared" si="149"/>
        <v>y</v>
      </c>
      <c r="NDH1" s="154" t="str">
        <f t="shared" si="149"/>
        <v>y</v>
      </c>
      <c r="NDI1" s="154" t="str">
        <f t="shared" si="149"/>
        <v>y</v>
      </c>
      <c r="NDJ1" s="154" t="str">
        <f t="shared" si="149"/>
        <v>y</v>
      </c>
      <c r="NDK1" s="154" t="str">
        <f t="shared" si="149"/>
        <v>y</v>
      </c>
      <c r="NDL1" s="154" t="str">
        <f t="shared" si="149"/>
        <v>y</v>
      </c>
      <c r="NDM1" s="154" t="str">
        <f t="shared" si="149"/>
        <v>y</v>
      </c>
      <c r="NDN1" s="154" t="str">
        <f t="shared" si="149"/>
        <v>y</v>
      </c>
      <c r="NDO1" s="154" t="str">
        <f t="shared" si="149"/>
        <v>y</v>
      </c>
      <c r="NDP1" s="154" t="str">
        <f t="shared" si="149"/>
        <v>y</v>
      </c>
      <c r="NDQ1" s="154" t="str">
        <f t="shared" si="149"/>
        <v>y</v>
      </c>
      <c r="NDR1" s="154" t="str">
        <f t="shared" si="149"/>
        <v>y</v>
      </c>
      <c r="NDS1" s="154" t="str">
        <f t="shared" si="149"/>
        <v>y</v>
      </c>
      <c r="NDT1" s="154" t="str">
        <f t="shared" si="149"/>
        <v>y</v>
      </c>
      <c r="NDU1" s="154" t="str">
        <f t="shared" si="149"/>
        <v>y</v>
      </c>
      <c r="NDV1" s="154" t="str">
        <f t="shared" si="149"/>
        <v>y</v>
      </c>
      <c r="NDW1" s="154" t="str">
        <f t="shared" si="149"/>
        <v>y</v>
      </c>
      <c r="NDX1" s="154" t="str">
        <f t="shared" si="149"/>
        <v>y</v>
      </c>
      <c r="NDY1" s="154" t="str">
        <f t="shared" si="149"/>
        <v>y</v>
      </c>
      <c r="NDZ1" s="154" t="str">
        <f t="shared" si="149"/>
        <v>y</v>
      </c>
      <c r="NEA1" s="154" t="str">
        <f t="shared" si="149"/>
        <v>y</v>
      </c>
      <c r="NEB1" s="154" t="str">
        <f t="shared" si="149"/>
        <v>y</v>
      </c>
      <c r="NEC1" s="154" t="str">
        <f t="shared" si="149"/>
        <v>y</v>
      </c>
      <c r="NED1" s="154" t="str">
        <f t="shared" si="149"/>
        <v>y</v>
      </c>
      <c r="NEE1" s="154" t="str">
        <f t="shared" si="149"/>
        <v>y</v>
      </c>
      <c r="NEF1" s="154" t="str">
        <f t="shared" si="149"/>
        <v>y</v>
      </c>
      <c r="NEG1" s="154" t="str">
        <f t="shared" si="149"/>
        <v>y</v>
      </c>
      <c r="NEH1" s="154" t="str">
        <f t="shared" si="149"/>
        <v>y</v>
      </c>
      <c r="NEI1" s="154" t="str">
        <f t="shared" si="149"/>
        <v>y</v>
      </c>
      <c r="NEJ1" s="154" t="str">
        <f t="shared" ref="NEJ1:NGU1" si="150">NEJ2&amp;"y"</f>
        <v>y</v>
      </c>
      <c r="NEK1" s="154" t="str">
        <f t="shared" si="150"/>
        <v>y</v>
      </c>
      <c r="NEL1" s="154" t="str">
        <f t="shared" si="150"/>
        <v>y</v>
      </c>
      <c r="NEM1" s="154" t="str">
        <f t="shared" si="150"/>
        <v>y</v>
      </c>
      <c r="NEN1" s="154" t="str">
        <f t="shared" si="150"/>
        <v>y</v>
      </c>
      <c r="NEO1" s="154" t="str">
        <f t="shared" si="150"/>
        <v>y</v>
      </c>
      <c r="NEP1" s="154" t="str">
        <f t="shared" si="150"/>
        <v>y</v>
      </c>
      <c r="NEQ1" s="154" t="str">
        <f t="shared" si="150"/>
        <v>y</v>
      </c>
      <c r="NER1" s="154" t="str">
        <f t="shared" si="150"/>
        <v>y</v>
      </c>
      <c r="NES1" s="154" t="str">
        <f t="shared" si="150"/>
        <v>y</v>
      </c>
      <c r="NET1" s="154" t="str">
        <f t="shared" si="150"/>
        <v>y</v>
      </c>
      <c r="NEU1" s="154" t="str">
        <f t="shared" si="150"/>
        <v>y</v>
      </c>
      <c r="NEV1" s="154" t="str">
        <f t="shared" si="150"/>
        <v>y</v>
      </c>
      <c r="NEW1" s="154" t="str">
        <f t="shared" si="150"/>
        <v>y</v>
      </c>
      <c r="NEX1" s="154" t="str">
        <f t="shared" si="150"/>
        <v>y</v>
      </c>
      <c r="NEY1" s="154" t="str">
        <f t="shared" si="150"/>
        <v>y</v>
      </c>
      <c r="NEZ1" s="154" t="str">
        <f t="shared" si="150"/>
        <v>y</v>
      </c>
      <c r="NFA1" s="154" t="str">
        <f t="shared" si="150"/>
        <v>y</v>
      </c>
      <c r="NFB1" s="154" t="str">
        <f t="shared" si="150"/>
        <v>y</v>
      </c>
      <c r="NFC1" s="154" t="str">
        <f t="shared" si="150"/>
        <v>y</v>
      </c>
      <c r="NFD1" s="154" t="str">
        <f t="shared" si="150"/>
        <v>y</v>
      </c>
      <c r="NFE1" s="154" t="str">
        <f t="shared" si="150"/>
        <v>y</v>
      </c>
      <c r="NFF1" s="154" t="str">
        <f t="shared" si="150"/>
        <v>y</v>
      </c>
      <c r="NFG1" s="154" t="str">
        <f t="shared" si="150"/>
        <v>y</v>
      </c>
      <c r="NFH1" s="154" t="str">
        <f t="shared" si="150"/>
        <v>y</v>
      </c>
      <c r="NFI1" s="154" t="str">
        <f t="shared" si="150"/>
        <v>y</v>
      </c>
      <c r="NFJ1" s="154" t="str">
        <f t="shared" si="150"/>
        <v>y</v>
      </c>
      <c r="NFK1" s="154" t="str">
        <f t="shared" si="150"/>
        <v>y</v>
      </c>
      <c r="NFL1" s="154" t="str">
        <f t="shared" si="150"/>
        <v>y</v>
      </c>
      <c r="NFM1" s="154" t="str">
        <f t="shared" si="150"/>
        <v>y</v>
      </c>
      <c r="NFN1" s="154" t="str">
        <f t="shared" si="150"/>
        <v>y</v>
      </c>
      <c r="NFO1" s="154" t="str">
        <f t="shared" si="150"/>
        <v>y</v>
      </c>
      <c r="NFP1" s="154" t="str">
        <f t="shared" si="150"/>
        <v>y</v>
      </c>
      <c r="NFQ1" s="154" t="str">
        <f t="shared" si="150"/>
        <v>y</v>
      </c>
      <c r="NFR1" s="154" t="str">
        <f t="shared" si="150"/>
        <v>y</v>
      </c>
      <c r="NFS1" s="154" t="str">
        <f t="shared" si="150"/>
        <v>y</v>
      </c>
      <c r="NFT1" s="154" t="str">
        <f t="shared" si="150"/>
        <v>y</v>
      </c>
      <c r="NFU1" s="154" t="str">
        <f t="shared" si="150"/>
        <v>y</v>
      </c>
      <c r="NFV1" s="154" t="str">
        <f t="shared" si="150"/>
        <v>y</v>
      </c>
      <c r="NFW1" s="154" t="str">
        <f t="shared" si="150"/>
        <v>y</v>
      </c>
      <c r="NFX1" s="154" t="str">
        <f t="shared" si="150"/>
        <v>y</v>
      </c>
      <c r="NFY1" s="154" t="str">
        <f t="shared" si="150"/>
        <v>y</v>
      </c>
      <c r="NFZ1" s="154" t="str">
        <f t="shared" si="150"/>
        <v>y</v>
      </c>
      <c r="NGA1" s="154" t="str">
        <f t="shared" si="150"/>
        <v>y</v>
      </c>
      <c r="NGB1" s="154" t="str">
        <f t="shared" si="150"/>
        <v>y</v>
      </c>
      <c r="NGC1" s="154" t="str">
        <f t="shared" si="150"/>
        <v>y</v>
      </c>
      <c r="NGD1" s="154" t="str">
        <f t="shared" si="150"/>
        <v>y</v>
      </c>
      <c r="NGE1" s="154" t="str">
        <f t="shared" si="150"/>
        <v>y</v>
      </c>
      <c r="NGF1" s="154" t="str">
        <f t="shared" si="150"/>
        <v>y</v>
      </c>
      <c r="NGG1" s="154" t="str">
        <f t="shared" si="150"/>
        <v>y</v>
      </c>
      <c r="NGH1" s="154" t="str">
        <f t="shared" si="150"/>
        <v>y</v>
      </c>
      <c r="NGI1" s="154" t="str">
        <f t="shared" si="150"/>
        <v>y</v>
      </c>
      <c r="NGJ1" s="154" t="str">
        <f t="shared" si="150"/>
        <v>y</v>
      </c>
      <c r="NGK1" s="154" t="str">
        <f t="shared" si="150"/>
        <v>y</v>
      </c>
      <c r="NGL1" s="154" t="str">
        <f t="shared" si="150"/>
        <v>y</v>
      </c>
      <c r="NGM1" s="154" t="str">
        <f t="shared" si="150"/>
        <v>y</v>
      </c>
      <c r="NGN1" s="154" t="str">
        <f t="shared" si="150"/>
        <v>y</v>
      </c>
      <c r="NGO1" s="154" t="str">
        <f t="shared" si="150"/>
        <v>y</v>
      </c>
      <c r="NGP1" s="154" t="str">
        <f t="shared" si="150"/>
        <v>y</v>
      </c>
      <c r="NGQ1" s="154" t="str">
        <f t="shared" si="150"/>
        <v>y</v>
      </c>
      <c r="NGR1" s="154" t="str">
        <f t="shared" si="150"/>
        <v>y</v>
      </c>
      <c r="NGS1" s="154" t="str">
        <f t="shared" si="150"/>
        <v>y</v>
      </c>
      <c r="NGT1" s="154" t="str">
        <f t="shared" si="150"/>
        <v>y</v>
      </c>
      <c r="NGU1" s="154" t="str">
        <f t="shared" si="150"/>
        <v>y</v>
      </c>
      <c r="NGV1" s="154" t="str">
        <f t="shared" ref="NGV1:NJG1" si="151">NGV2&amp;"y"</f>
        <v>y</v>
      </c>
      <c r="NGW1" s="154" t="str">
        <f t="shared" si="151"/>
        <v>y</v>
      </c>
      <c r="NGX1" s="154" t="str">
        <f t="shared" si="151"/>
        <v>y</v>
      </c>
      <c r="NGY1" s="154" t="str">
        <f t="shared" si="151"/>
        <v>y</v>
      </c>
      <c r="NGZ1" s="154" t="str">
        <f t="shared" si="151"/>
        <v>y</v>
      </c>
      <c r="NHA1" s="154" t="str">
        <f t="shared" si="151"/>
        <v>y</v>
      </c>
      <c r="NHB1" s="154" t="str">
        <f t="shared" si="151"/>
        <v>y</v>
      </c>
      <c r="NHC1" s="154" t="str">
        <f t="shared" si="151"/>
        <v>y</v>
      </c>
      <c r="NHD1" s="154" t="str">
        <f t="shared" si="151"/>
        <v>y</v>
      </c>
      <c r="NHE1" s="154" t="str">
        <f t="shared" si="151"/>
        <v>y</v>
      </c>
      <c r="NHF1" s="154" t="str">
        <f t="shared" si="151"/>
        <v>y</v>
      </c>
      <c r="NHG1" s="154" t="str">
        <f t="shared" si="151"/>
        <v>y</v>
      </c>
      <c r="NHH1" s="154" t="str">
        <f t="shared" si="151"/>
        <v>y</v>
      </c>
      <c r="NHI1" s="154" t="str">
        <f t="shared" si="151"/>
        <v>y</v>
      </c>
      <c r="NHJ1" s="154" t="str">
        <f t="shared" si="151"/>
        <v>y</v>
      </c>
      <c r="NHK1" s="154" t="str">
        <f t="shared" si="151"/>
        <v>y</v>
      </c>
      <c r="NHL1" s="154" t="str">
        <f t="shared" si="151"/>
        <v>y</v>
      </c>
      <c r="NHM1" s="154" t="str">
        <f t="shared" si="151"/>
        <v>y</v>
      </c>
      <c r="NHN1" s="154" t="str">
        <f t="shared" si="151"/>
        <v>y</v>
      </c>
      <c r="NHO1" s="154" t="str">
        <f t="shared" si="151"/>
        <v>y</v>
      </c>
      <c r="NHP1" s="154" t="str">
        <f t="shared" si="151"/>
        <v>y</v>
      </c>
      <c r="NHQ1" s="154" t="str">
        <f t="shared" si="151"/>
        <v>y</v>
      </c>
      <c r="NHR1" s="154" t="str">
        <f t="shared" si="151"/>
        <v>y</v>
      </c>
      <c r="NHS1" s="154" t="str">
        <f t="shared" si="151"/>
        <v>y</v>
      </c>
      <c r="NHT1" s="154" t="str">
        <f t="shared" si="151"/>
        <v>y</v>
      </c>
      <c r="NHU1" s="154" t="str">
        <f t="shared" si="151"/>
        <v>y</v>
      </c>
      <c r="NHV1" s="154" t="str">
        <f t="shared" si="151"/>
        <v>y</v>
      </c>
      <c r="NHW1" s="154" t="str">
        <f t="shared" si="151"/>
        <v>y</v>
      </c>
      <c r="NHX1" s="154" t="str">
        <f t="shared" si="151"/>
        <v>y</v>
      </c>
      <c r="NHY1" s="154" t="str">
        <f t="shared" si="151"/>
        <v>y</v>
      </c>
      <c r="NHZ1" s="154" t="str">
        <f t="shared" si="151"/>
        <v>y</v>
      </c>
      <c r="NIA1" s="154" t="str">
        <f t="shared" si="151"/>
        <v>y</v>
      </c>
      <c r="NIB1" s="154" t="str">
        <f t="shared" si="151"/>
        <v>y</v>
      </c>
      <c r="NIC1" s="154" t="str">
        <f t="shared" si="151"/>
        <v>y</v>
      </c>
      <c r="NID1" s="154" t="str">
        <f t="shared" si="151"/>
        <v>y</v>
      </c>
      <c r="NIE1" s="154" t="str">
        <f t="shared" si="151"/>
        <v>y</v>
      </c>
      <c r="NIF1" s="154" t="str">
        <f t="shared" si="151"/>
        <v>y</v>
      </c>
      <c r="NIG1" s="154" t="str">
        <f t="shared" si="151"/>
        <v>y</v>
      </c>
      <c r="NIH1" s="154" t="str">
        <f t="shared" si="151"/>
        <v>y</v>
      </c>
      <c r="NII1" s="154" t="str">
        <f t="shared" si="151"/>
        <v>y</v>
      </c>
      <c r="NIJ1" s="154" t="str">
        <f t="shared" si="151"/>
        <v>y</v>
      </c>
      <c r="NIK1" s="154" t="str">
        <f t="shared" si="151"/>
        <v>y</v>
      </c>
      <c r="NIL1" s="154" t="str">
        <f t="shared" si="151"/>
        <v>y</v>
      </c>
      <c r="NIM1" s="154" t="str">
        <f t="shared" si="151"/>
        <v>y</v>
      </c>
      <c r="NIN1" s="154" t="str">
        <f t="shared" si="151"/>
        <v>y</v>
      </c>
      <c r="NIO1" s="154" t="str">
        <f t="shared" si="151"/>
        <v>y</v>
      </c>
      <c r="NIP1" s="154" t="str">
        <f t="shared" si="151"/>
        <v>y</v>
      </c>
      <c r="NIQ1" s="154" t="str">
        <f t="shared" si="151"/>
        <v>y</v>
      </c>
      <c r="NIR1" s="154" t="str">
        <f t="shared" si="151"/>
        <v>y</v>
      </c>
      <c r="NIS1" s="154" t="str">
        <f t="shared" si="151"/>
        <v>y</v>
      </c>
      <c r="NIT1" s="154" t="str">
        <f t="shared" si="151"/>
        <v>y</v>
      </c>
      <c r="NIU1" s="154" t="str">
        <f t="shared" si="151"/>
        <v>y</v>
      </c>
      <c r="NIV1" s="154" t="str">
        <f t="shared" si="151"/>
        <v>y</v>
      </c>
      <c r="NIW1" s="154" t="str">
        <f t="shared" si="151"/>
        <v>y</v>
      </c>
      <c r="NIX1" s="154" t="str">
        <f t="shared" si="151"/>
        <v>y</v>
      </c>
      <c r="NIY1" s="154" t="str">
        <f t="shared" si="151"/>
        <v>y</v>
      </c>
      <c r="NIZ1" s="154" t="str">
        <f t="shared" si="151"/>
        <v>y</v>
      </c>
      <c r="NJA1" s="154" t="str">
        <f t="shared" si="151"/>
        <v>y</v>
      </c>
      <c r="NJB1" s="154" t="str">
        <f t="shared" si="151"/>
        <v>y</v>
      </c>
      <c r="NJC1" s="154" t="str">
        <f t="shared" si="151"/>
        <v>y</v>
      </c>
      <c r="NJD1" s="154" t="str">
        <f t="shared" si="151"/>
        <v>y</v>
      </c>
      <c r="NJE1" s="154" t="str">
        <f t="shared" si="151"/>
        <v>y</v>
      </c>
      <c r="NJF1" s="154" t="str">
        <f t="shared" si="151"/>
        <v>y</v>
      </c>
      <c r="NJG1" s="154" t="str">
        <f t="shared" si="151"/>
        <v>y</v>
      </c>
      <c r="NJH1" s="154" t="str">
        <f t="shared" ref="NJH1:NLS1" si="152">NJH2&amp;"y"</f>
        <v>y</v>
      </c>
      <c r="NJI1" s="154" t="str">
        <f t="shared" si="152"/>
        <v>y</v>
      </c>
      <c r="NJJ1" s="154" t="str">
        <f t="shared" si="152"/>
        <v>y</v>
      </c>
      <c r="NJK1" s="154" t="str">
        <f t="shared" si="152"/>
        <v>y</v>
      </c>
      <c r="NJL1" s="154" t="str">
        <f t="shared" si="152"/>
        <v>y</v>
      </c>
      <c r="NJM1" s="154" t="str">
        <f t="shared" si="152"/>
        <v>y</v>
      </c>
      <c r="NJN1" s="154" t="str">
        <f t="shared" si="152"/>
        <v>y</v>
      </c>
      <c r="NJO1" s="154" t="str">
        <f t="shared" si="152"/>
        <v>y</v>
      </c>
      <c r="NJP1" s="154" t="str">
        <f t="shared" si="152"/>
        <v>y</v>
      </c>
      <c r="NJQ1" s="154" t="str">
        <f t="shared" si="152"/>
        <v>y</v>
      </c>
      <c r="NJR1" s="154" t="str">
        <f t="shared" si="152"/>
        <v>y</v>
      </c>
      <c r="NJS1" s="154" t="str">
        <f t="shared" si="152"/>
        <v>y</v>
      </c>
      <c r="NJT1" s="154" t="str">
        <f t="shared" si="152"/>
        <v>y</v>
      </c>
      <c r="NJU1" s="154" t="str">
        <f t="shared" si="152"/>
        <v>y</v>
      </c>
      <c r="NJV1" s="154" t="str">
        <f t="shared" si="152"/>
        <v>y</v>
      </c>
      <c r="NJW1" s="154" t="str">
        <f t="shared" si="152"/>
        <v>y</v>
      </c>
      <c r="NJX1" s="154" t="str">
        <f t="shared" si="152"/>
        <v>y</v>
      </c>
      <c r="NJY1" s="154" t="str">
        <f t="shared" si="152"/>
        <v>y</v>
      </c>
      <c r="NJZ1" s="154" t="str">
        <f t="shared" si="152"/>
        <v>y</v>
      </c>
      <c r="NKA1" s="154" t="str">
        <f t="shared" si="152"/>
        <v>y</v>
      </c>
      <c r="NKB1" s="154" t="str">
        <f t="shared" si="152"/>
        <v>y</v>
      </c>
      <c r="NKC1" s="154" t="str">
        <f t="shared" si="152"/>
        <v>y</v>
      </c>
      <c r="NKD1" s="154" t="str">
        <f t="shared" si="152"/>
        <v>y</v>
      </c>
      <c r="NKE1" s="154" t="str">
        <f t="shared" si="152"/>
        <v>y</v>
      </c>
      <c r="NKF1" s="154" t="str">
        <f t="shared" si="152"/>
        <v>y</v>
      </c>
      <c r="NKG1" s="154" t="str">
        <f t="shared" si="152"/>
        <v>y</v>
      </c>
      <c r="NKH1" s="154" t="str">
        <f t="shared" si="152"/>
        <v>y</v>
      </c>
      <c r="NKI1" s="154" t="str">
        <f t="shared" si="152"/>
        <v>y</v>
      </c>
      <c r="NKJ1" s="154" t="str">
        <f t="shared" si="152"/>
        <v>y</v>
      </c>
      <c r="NKK1" s="154" t="str">
        <f t="shared" si="152"/>
        <v>y</v>
      </c>
      <c r="NKL1" s="154" t="str">
        <f t="shared" si="152"/>
        <v>y</v>
      </c>
      <c r="NKM1" s="154" t="str">
        <f t="shared" si="152"/>
        <v>y</v>
      </c>
      <c r="NKN1" s="154" t="str">
        <f t="shared" si="152"/>
        <v>y</v>
      </c>
      <c r="NKO1" s="154" t="str">
        <f t="shared" si="152"/>
        <v>y</v>
      </c>
      <c r="NKP1" s="154" t="str">
        <f t="shared" si="152"/>
        <v>y</v>
      </c>
      <c r="NKQ1" s="154" t="str">
        <f t="shared" si="152"/>
        <v>y</v>
      </c>
      <c r="NKR1" s="154" t="str">
        <f t="shared" si="152"/>
        <v>y</v>
      </c>
      <c r="NKS1" s="154" t="str">
        <f t="shared" si="152"/>
        <v>y</v>
      </c>
      <c r="NKT1" s="154" t="str">
        <f t="shared" si="152"/>
        <v>y</v>
      </c>
      <c r="NKU1" s="154" t="str">
        <f t="shared" si="152"/>
        <v>y</v>
      </c>
      <c r="NKV1" s="154" t="str">
        <f t="shared" si="152"/>
        <v>y</v>
      </c>
      <c r="NKW1" s="154" t="str">
        <f t="shared" si="152"/>
        <v>y</v>
      </c>
      <c r="NKX1" s="154" t="str">
        <f t="shared" si="152"/>
        <v>y</v>
      </c>
      <c r="NKY1" s="154" t="str">
        <f t="shared" si="152"/>
        <v>y</v>
      </c>
      <c r="NKZ1" s="154" t="str">
        <f t="shared" si="152"/>
        <v>y</v>
      </c>
      <c r="NLA1" s="154" t="str">
        <f t="shared" si="152"/>
        <v>y</v>
      </c>
      <c r="NLB1" s="154" t="str">
        <f t="shared" si="152"/>
        <v>y</v>
      </c>
      <c r="NLC1" s="154" t="str">
        <f t="shared" si="152"/>
        <v>y</v>
      </c>
      <c r="NLD1" s="154" t="str">
        <f t="shared" si="152"/>
        <v>y</v>
      </c>
      <c r="NLE1" s="154" t="str">
        <f t="shared" si="152"/>
        <v>y</v>
      </c>
      <c r="NLF1" s="154" t="str">
        <f t="shared" si="152"/>
        <v>y</v>
      </c>
      <c r="NLG1" s="154" t="str">
        <f t="shared" si="152"/>
        <v>y</v>
      </c>
      <c r="NLH1" s="154" t="str">
        <f t="shared" si="152"/>
        <v>y</v>
      </c>
      <c r="NLI1" s="154" t="str">
        <f t="shared" si="152"/>
        <v>y</v>
      </c>
      <c r="NLJ1" s="154" t="str">
        <f t="shared" si="152"/>
        <v>y</v>
      </c>
      <c r="NLK1" s="154" t="str">
        <f t="shared" si="152"/>
        <v>y</v>
      </c>
      <c r="NLL1" s="154" t="str">
        <f t="shared" si="152"/>
        <v>y</v>
      </c>
      <c r="NLM1" s="154" t="str">
        <f t="shared" si="152"/>
        <v>y</v>
      </c>
      <c r="NLN1" s="154" t="str">
        <f t="shared" si="152"/>
        <v>y</v>
      </c>
      <c r="NLO1" s="154" t="str">
        <f t="shared" si="152"/>
        <v>y</v>
      </c>
      <c r="NLP1" s="154" t="str">
        <f t="shared" si="152"/>
        <v>y</v>
      </c>
      <c r="NLQ1" s="154" t="str">
        <f t="shared" si="152"/>
        <v>y</v>
      </c>
      <c r="NLR1" s="154" t="str">
        <f t="shared" si="152"/>
        <v>y</v>
      </c>
      <c r="NLS1" s="154" t="str">
        <f t="shared" si="152"/>
        <v>y</v>
      </c>
      <c r="NLT1" s="154" t="str">
        <f t="shared" ref="NLT1:NOE1" si="153">NLT2&amp;"y"</f>
        <v>y</v>
      </c>
      <c r="NLU1" s="154" t="str">
        <f t="shared" si="153"/>
        <v>y</v>
      </c>
      <c r="NLV1" s="154" t="str">
        <f t="shared" si="153"/>
        <v>y</v>
      </c>
      <c r="NLW1" s="154" t="str">
        <f t="shared" si="153"/>
        <v>y</v>
      </c>
      <c r="NLX1" s="154" t="str">
        <f t="shared" si="153"/>
        <v>y</v>
      </c>
      <c r="NLY1" s="154" t="str">
        <f t="shared" si="153"/>
        <v>y</v>
      </c>
      <c r="NLZ1" s="154" t="str">
        <f t="shared" si="153"/>
        <v>y</v>
      </c>
      <c r="NMA1" s="154" t="str">
        <f t="shared" si="153"/>
        <v>y</v>
      </c>
      <c r="NMB1" s="154" t="str">
        <f t="shared" si="153"/>
        <v>y</v>
      </c>
      <c r="NMC1" s="154" t="str">
        <f t="shared" si="153"/>
        <v>y</v>
      </c>
      <c r="NMD1" s="154" t="str">
        <f t="shared" si="153"/>
        <v>y</v>
      </c>
      <c r="NME1" s="154" t="str">
        <f t="shared" si="153"/>
        <v>y</v>
      </c>
      <c r="NMF1" s="154" t="str">
        <f t="shared" si="153"/>
        <v>y</v>
      </c>
      <c r="NMG1" s="154" t="str">
        <f t="shared" si="153"/>
        <v>y</v>
      </c>
      <c r="NMH1" s="154" t="str">
        <f t="shared" si="153"/>
        <v>y</v>
      </c>
      <c r="NMI1" s="154" t="str">
        <f t="shared" si="153"/>
        <v>y</v>
      </c>
      <c r="NMJ1" s="154" t="str">
        <f t="shared" si="153"/>
        <v>y</v>
      </c>
      <c r="NMK1" s="154" t="str">
        <f t="shared" si="153"/>
        <v>y</v>
      </c>
      <c r="NML1" s="154" t="str">
        <f t="shared" si="153"/>
        <v>y</v>
      </c>
      <c r="NMM1" s="154" t="str">
        <f t="shared" si="153"/>
        <v>y</v>
      </c>
      <c r="NMN1" s="154" t="str">
        <f t="shared" si="153"/>
        <v>y</v>
      </c>
      <c r="NMO1" s="154" t="str">
        <f t="shared" si="153"/>
        <v>y</v>
      </c>
      <c r="NMP1" s="154" t="str">
        <f t="shared" si="153"/>
        <v>y</v>
      </c>
      <c r="NMQ1" s="154" t="str">
        <f t="shared" si="153"/>
        <v>y</v>
      </c>
      <c r="NMR1" s="154" t="str">
        <f t="shared" si="153"/>
        <v>y</v>
      </c>
      <c r="NMS1" s="154" t="str">
        <f t="shared" si="153"/>
        <v>y</v>
      </c>
      <c r="NMT1" s="154" t="str">
        <f t="shared" si="153"/>
        <v>y</v>
      </c>
      <c r="NMU1" s="154" t="str">
        <f t="shared" si="153"/>
        <v>y</v>
      </c>
      <c r="NMV1" s="154" t="str">
        <f t="shared" si="153"/>
        <v>y</v>
      </c>
      <c r="NMW1" s="154" t="str">
        <f t="shared" si="153"/>
        <v>y</v>
      </c>
      <c r="NMX1" s="154" t="str">
        <f t="shared" si="153"/>
        <v>y</v>
      </c>
      <c r="NMY1" s="154" t="str">
        <f t="shared" si="153"/>
        <v>y</v>
      </c>
      <c r="NMZ1" s="154" t="str">
        <f t="shared" si="153"/>
        <v>y</v>
      </c>
      <c r="NNA1" s="154" t="str">
        <f t="shared" si="153"/>
        <v>y</v>
      </c>
      <c r="NNB1" s="154" t="str">
        <f t="shared" si="153"/>
        <v>y</v>
      </c>
      <c r="NNC1" s="154" t="str">
        <f t="shared" si="153"/>
        <v>y</v>
      </c>
      <c r="NND1" s="154" t="str">
        <f t="shared" si="153"/>
        <v>y</v>
      </c>
      <c r="NNE1" s="154" t="str">
        <f t="shared" si="153"/>
        <v>y</v>
      </c>
      <c r="NNF1" s="154" t="str">
        <f t="shared" si="153"/>
        <v>y</v>
      </c>
      <c r="NNG1" s="154" t="str">
        <f t="shared" si="153"/>
        <v>y</v>
      </c>
      <c r="NNH1" s="154" t="str">
        <f t="shared" si="153"/>
        <v>y</v>
      </c>
      <c r="NNI1" s="154" t="str">
        <f t="shared" si="153"/>
        <v>y</v>
      </c>
      <c r="NNJ1" s="154" t="str">
        <f t="shared" si="153"/>
        <v>y</v>
      </c>
      <c r="NNK1" s="154" t="str">
        <f t="shared" si="153"/>
        <v>y</v>
      </c>
      <c r="NNL1" s="154" t="str">
        <f t="shared" si="153"/>
        <v>y</v>
      </c>
      <c r="NNM1" s="154" t="str">
        <f t="shared" si="153"/>
        <v>y</v>
      </c>
      <c r="NNN1" s="154" t="str">
        <f t="shared" si="153"/>
        <v>y</v>
      </c>
      <c r="NNO1" s="154" t="str">
        <f t="shared" si="153"/>
        <v>y</v>
      </c>
      <c r="NNP1" s="154" t="str">
        <f t="shared" si="153"/>
        <v>y</v>
      </c>
      <c r="NNQ1" s="154" t="str">
        <f t="shared" si="153"/>
        <v>y</v>
      </c>
      <c r="NNR1" s="154" t="str">
        <f t="shared" si="153"/>
        <v>y</v>
      </c>
      <c r="NNS1" s="154" t="str">
        <f t="shared" si="153"/>
        <v>y</v>
      </c>
      <c r="NNT1" s="154" t="str">
        <f t="shared" si="153"/>
        <v>y</v>
      </c>
      <c r="NNU1" s="154" t="str">
        <f t="shared" si="153"/>
        <v>y</v>
      </c>
      <c r="NNV1" s="154" t="str">
        <f t="shared" si="153"/>
        <v>y</v>
      </c>
      <c r="NNW1" s="154" t="str">
        <f t="shared" si="153"/>
        <v>y</v>
      </c>
      <c r="NNX1" s="154" t="str">
        <f t="shared" si="153"/>
        <v>y</v>
      </c>
      <c r="NNY1" s="154" t="str">
        <f t="shared" si="153"/>
        <v>y</v>
      </c>
      <c r="NNZ1" s="154" t="str">
        <f t="shared" si="153"/>
        <v>y</v>
      </c>
      <c r="NOA1" s="154" t="str">
        <f t="shared" si="153"/>
        <v>y</v>
      </c>
      <c r="NOB1" s="154" t="str">
        <f t="shared" si="153"/>
        <v>y</v>
      </c>
      <c r="NOC1" s="154" t="str">
        <f t="shared" si="153"/>
        <v>y</v>
      </c>
      <c r="NOD1" s="154" t="str">
        <f t="shared" si="153"/>
        <v>y</v>
      </c>
      <c r="NOE1" s="154" t="str">
        <f t="shared" si="153"/>
        <v>y</v>
      </c>
      <c r="NOF1" s="154" t="str">
        <f t="shared" ref="NOF1:NQQ1" si="154">NOF2&amp;"y"</f>
        <v>y</v>
      </c>
      <c r="NOG1" s="154" t="str">
        <f t="shared" si="154"/>
        <v>y</v>
      </c>
      <c r="NOH1" s="154" t="str">
        <f t="shared" si="154"/>
        <v>y</v>
      </c>
      <c r="NOI1" s="154" t="str">
        <f t="shared" si="154"/>
        <v>y</v>
      </c>
      <c r="NOJ1" s="154" t="str">
        <f t="shared" si="154"/>
        <v>y</v>
      </c>
      <c r="NOK1" s="154" t="str">
        <f t="shared" si="154"/>
        <v>y</v>
      </c>
      <c r="NOL1" s="154" t="str">
        <f t="shared" si="154"/>
        <v>y</v>
      </c>
      <c r="NOM1" s="154" t="str">
        <f t="shared" si="154"/>
        <v>y</v>
      </c>
      <c r="NON1" s="154" t="str">
        <f t="shared" si="154"/>
        <v>y</v>
      </c>
      <c r="NOO1" s="154" t="str">
        <f t="shared" si="154"/>
        <v>y</v>
      </c>
      <c r="NOP1" s="154" t="str">
        <f t="shared" si="154"/>
        <v>y</v>
      </c>
      <c r="NOQ1" s="154" t="str">
        <f t="shared" si="154"/>
        <v>y</v>
      </c>
      <c r="NOR1" s="154" t="str">
        <f t="shared" si="154"/>
        <v>y</v>
      </c>
      <c r="NOS1" s="154" t="str">
        <f t="shared" si="154"/>
        <v>y</v>
      </c>
      <c r="NOT1" s="154" t="str">
        <f t="shared" si="154"/>
        <v>y</v>
      </c>
      <c r="NOU1" s="154" t="str">
        <f t="shared" si="154"/>
        <v>y</v>
      </c>
      <c r="NOV1" s="154" t="str">
        <f t="shared" si="154"/>
        <v>y</v>
      </c>
      <c r="NOW1" s="154" t="str">
        <f t="shared" si="154"/>
        <v>y</v>
      </c>
      <c r="NOX1" s="154" t="str">
        <f t="shared" si="154"/>
        <v>y</v>
      </c>
      <c r="NOY1" s="154" t="str">
        <f t="shared" si="154"/>
        <v>y</v>
      </c>
      <c r="NOZ1" s="154" t="str">
        <f t="shared" si="154"/>
        <v>y</v>
      </c>
      <c r="NPA1" s="154" t="str">
        <f t="shared" si="154"/>
        <v>y</v>
      </c>
      <c r="NPB1" s="154" t="str">
        <f t="shared" si="154"/>
        <v>y</v>
      </c>
      <c r="NPC1" s="154" t="str">
        <f t="shared" si="154"/>
        <v>y</v>
      </c>
      <c r="NPD1" s="154" t="str">
        <f t="shared" si="154"/>
        <v>y</v>
      </c>
      <c r="NPE1" s="154" t="str">
        <f t="shared" si="154"/>
        <v>y</v>
      </c>
      <c r="NPF1" s="154" t="str">
        <f t="shared" si="154"/>
        <v>y</v>
      </c>
      <c r="NPG1" s="154" t="str">
        <f t="shared" si="154"/>
        <v>y</v>
      </c>
      <c r="NPH1" s="154" t="str">
        <f t="shared" si="154"/>
        <v>y</v>
      </c>
      <c r="NPI1" s="154" t="str">
        <f t="shared" si="154"/>
        <v>y</v>
      </c>
      <c r="NPJ1" s="154" t="str">
        <f t="shared" si="154"/>
        <v>y</v>
      </c>
      <c r="NPK1" s="154" t="str">
        <f t="shared" si="154"/>
        <v>y</v>
      </c>
      <c r="NPL1" s="154" t="str">
        <f t="shared" si="154"/>
        <v>y</v>
      </c>
      <c r="NPM1" s="154" t="str">
        <f t="shared" si="154"/>
        <v>y</v>
      </c>
      <c r="NPN1" s="154" t="str">
        <f t="shared" si="154"/>
        <v>y</v>
      </c>
      <c r="NPO1" s="154" t="str">
        <f t="shared" si="154"/>
        <v>y</v>
      </c>
      <c r="NPP1" s="154" t="str">
        <f t="shared" si="154"/>
        <v>y</v>
      </c>
      <c r="NPQ1" s="154" t="str">
        <f t="shared" si="154"/>
        <v>y</v>
      </c>
      <c r="NPR1" s="154" t="str">
        <f t="shared" si="154"/>
        <v>y</v>
      </c>
      <c r="NPS1" s="154" t="str">
        <f t="shared" si="154"/>
        <v>y</v>
      </c>
      <c r="NPT1" s="154" t="str">
        <f t="shared" si="154"/>
        <v>y</v>
      </c>
      <c r="NPU1" s="154" t="str">
        <f t="shared" si="154"/>
        <v>y</v>
      </c>
      <c r="NPV1" s="154" t="str">
        <f t="shared" si="154"/>
        <v>y</v>
      </c>
      <c r="NPW1" s="154" t="str">
        <f t="shared" si="154"/>
        <v>y</v>
      </c>
      <c r="NPX1" s="154" t="str">
        <f t="shared" si="154"/>
        <v>y</v>
      </c>
      <c r="NPY1" s="154" t="str">
        <f t="shared" si="154"/>
        <v>y</v>
      </c>
      <c r="NPZ1" s="154" t="str">
        <f t="shared" si="154"/>
        <v>y</v>
      </c>
      <c r="NQA1" s="154" t="str">
        <f t="shared" si="154"/>
        <v>y</v>
      </c>
      <c r="NQB1" s="154" t="str">
        <f t="shared" si="154"/>
        <v>y</v>
      </c>
      <c r="NQC1" s="154" t="str">
        <f t="shared" si="154"/>
        <v>y</v>
      </c>
      <c r="NQD1" s="154" t="str">
        <f t="shared" si="154"/>
        <v>y</v>
      </c>
      <c r="NQE1" s="154" t="str">
        <f t="shared" si="154"/>
        <v>y</v>
      </c>
      <c r="NQF1" s="154" t="str">
        <f t="shared" si="154"/>
        <v>y</v>
      </c>
      <c r="NQG1" s="154" t="str">
        <f t="shared" si="154"/>
        <v>y</v>
      </c>
      <c r="NQH1" s="154" t="str">
        <f t="shared" si="154"/>
        <v>y</v>
      </c>
      <c r="NQI1" s="154" t="str">
        <f t="shared" si="154"/>
        <v>y</v>
      </c>
      <c r="NQJ1" s="154" t="str">
        <f t="shared" si="154"/>
        <v>y</v>
      </c>
      <c r="NQK1" s="154" t="str">
        <f t="shared" si="154"/>
        <v>y</v>
      </c>
      <c r="NQL1" s="154" t="str">
        <f t="shared" si="154"/>
        <v>y</v>
      </c>
      <c r="NQM1" s="154" t="str">
        <f t="shared" si="154"/>
        <v>y</v>
      </c>
      <c r="NQN1" s="154" t="str">
        <f t="shared" si="154"/>
        <v>y</v>
      </c>
      <c r="NQO1" s="154" t="str">
        <f t="shared" si="154"/>
        <v>y</v>
      </c>
      <c r="NQP1" s="154" t="str">
        <f t="shared" si="154"/>
        <v>y</v>
      </c>
      <c r="NQQ1" s="154" t="str">
        <f t="shared" si="154"/>
        <v>y</v>
      </c>
      <c r="NQR1" s="154" t="str">
        <f t="shared" ref="NQR1:NTC1" si="155">NQR2&amp;"y"</f>
        <v>y</v>
      </c>
      <c r="NQS1" s="154" t="str">
        <f t="shared" si="155"/>
        <v>y</v>
      </c>
      <c r="NQT1" s="154" t="str">
        <f t="shared" si="155"/>
        <v>y</v>
      </c>
      <c r="NQU1" s="154" t="str">
        <f t="shared" si="155"/>
        <v>y</v>
      </c>
      <c r="NQV1" s="154" t="str">
        <f t="shared" si="155"/>
        <v>y</v>
      </c>
      <c r="NQW1" s="154" t="str">
        <f t="shared" si="155"/>
        <v>y</v>
      </c>
      <c r="NQX1" s="154" t="str">
        <f t="shared" si="155"/>
        <v>y</v>
      </c>
      <c r="NQY1" s="154" t="str">
        <f t="shared" si="155"/>
        <v>y</v>
      </c>
      <c r="NQZ1" s="154" t="str">
        <f t="shared" si="155"/>
        <v>y</v>
      </c>
      <c r="NRA1" s="154" t="str">
        <f t="shared" si="155"/>
        <v>y</v>
      </c>
      <c r="NRB1" s="154" t="str">
        <f t="shared" si="155"/>
        <v>y</v>
      </c>
      <c r="NRC1" s="154" t="str">
        <f t="shared" si="155"/>
        <v>y</v>
      </c>
      <c r="NRD1" s="154" t="str">
        <f t="shared" si="155"/>
        <v>y</v>
      </c>
      <c r="NRE1" s="154" t="str">
        <f t="shared" si="155"/>
        <v>y</v>
      </c>
      <c r="NRF1" s="154" t="str">
        <f t="shared" si="155"/>
        <v>y</v>
      </c>
      <c r="NRG1" s="154" t="str">
        <f t="shared" si="155"/>
        <v>y</v>
      </c>
      <c r="NRH1" s="154" t="str">
        <f t="shared" si="155"/>
        <v>y</v>
      </c>
      <c r="NRI1" s="154" t="str">
        <f t="shared" si="155"/>
        <v>y</v>
      </c>
      <c r="NRJ1" s="154" t="str">
        <f t="shared" si="155"/>
        <v>y</v>
      </c>
      <c r="NRK1" s="154" t="str">
        <f t="shared" si="155"/>
        <v>y</v>
      </c>
      <c r="NRL1" s="154" t="str">
        <f t="shared" si="155"/>
        <v>y</v>
      </c>
      <c r="NRM1" s="154" t="str">
        <f t="shared" si="155"/>
        <v>y</v>
      </c>
      <c r="NRN1" s="154" t="str">
        <f t="shared" si="155"/>
        <v>y</v>
      </c>
      <c r="NRO1" s="154" t="str">
        <f t="shared" si="155"/>
        <v>y</v>
      </c>
      <c r="NRP1" s="154" t="str">
        <f t="shared" si="155"/>
        <v>y</v>
      </c>
      <c r="NRQ1" s="154" t="str">
        <f t="shared" si="155"/>
        <v>y</v>
      </c>
      <c r="NRR1" s="154" t="str">
        <f t="shared" si="155"/>
        <v>y</v>
      </c>
      <c r="NRS1" s="154" t="str">
        <f t="shared" si="155"/>
        <v>y</v>
      </c>
      <c r="NRT1" s="154" t="str">
        <f t="shared" si="155"/>
        <v>y</v>
      </c>
      <c r="NRU1" s="154" t="str">
        <f t="shared" si="155"/>
        <v>y</v>
      </c>
      <c r="NRV1" s="154" t="str">
        <f t="shared" si="155"/>
        <v>y</v>
      </c>
      <c r="NRW1" s="154" t="str">
        <f t="shared" si="155"/>
        <v>y</v>
      </c>
      <c r="NRX1" s="154" t="str">
        <f t="shared" si="155"/>
        <v>y</v>
      </c>
      <c r="NRY1" s="154" t="str">
        <f t="shared" si="155"/>
        <v>y</v>
      </c>
      <c r="NRZ1" s="154" t="str">
        <f t="shared" si="155"/>
        <v>y</v>
      </c>
      <c r="NSA1" s="154" t="str">
        <f t="shared" si="155"/>
        <v>y</v>
      </c>
      <c r="NSB1" s="154" t="str">
        <f t="shared" si="155"/>
        <v>y</v>
      </c>
      <c r="NSC1" s="154" t="str">
        <f t="shared" si="155"/>
        <v>y</v>
      </c>
      <c r="NSD1" s="154" t="str">
        <f t="shared" si="155"/>
        <v>y</v>
      </c>
      <c r="NSE1" s="154" t="str">
        <f t="shared" si="155"/>
        <v>y</v>
      </c>
      <c r="NSF1" s="154" t="str">
        <f t="shared" si="155"/>
        <v>y</v>
      </c>
      <c r="NSG1" s="154" t="str">
        <f t="shared" si="155"/>
        <v>y</v>
      </c>
      <c r="NSH1" s="154" t="str">
        <f t="shared" si="155"/>
        <v>y</v>
      </c>
      <c r="NSI1" s="154" t="str">
        <f t="shared" si="155"/>
        <v>y</v>
      </c>
      <c r="NSJ1" s="154" t="str">
        <f t="shared" si="155"/>
        <v>y</v>
      </c>
      <c r="NSK1" s="154" t="str">
        <f t="shared" si="155"/>
        <v>y</v>
      </c>
      <c r="NSL1" s="154" t="str">
        <f t="shared" si="155"/>
        <v>y</v>
      </c>
      <c r="NSM1" s="154" t="str">
        <f t="shared" si="155"/>
        <v>y</v>
      </c>
      <c r="NSN1" s="154" t="str">
        <f t="shared" si="155"/>
        <v>y</v>
      </c>
      <c r="NSO1" s="154" t="str">
        <f t="shared" si="155"/>
        <v>y</v>
      </c>
      <c r="NSP1" s="154" t="str">
        <f t="shared" si="155"/>
        <v>y</v>
      </c>
      <c r="NSQ1" s="154" t="str">
        <f t="shared" si="155"/>
        <v>y</v>
      </c>
      <c r="NSR1" s="154" t="str">
        <f t="shared" si="155"/>
        <v>y</v>
      </c>
      <c r="NSS1" s="154" t="str">
        <f t="shared" si="155"/>
        <v>y</v>
      </c>
      <c r="NST1" s="154" t="str">
        <f t="shared" si="155"/>
        <v>y</v>
      </c>
      <c r="NSU1" s="154" t="str">
        <f t="shared" si="155"/>
        <v>y</v>
      </c>
      <c r="NSV1" s="154" t="str">
        <f t="shared" si="155"/>
        <v>y</v>
      </c>
      <c r="NSW1" s="154" t="str">
        <f t="shared" si="155"/>
        <v>y</v>
      </c>
      <c r="NSX1" s="154" t="str">
        <f t="shared" si="155"/>
        <v>y</v>
      </c>
      <c r="NSY1" s="154" t="str">
        <f t="shared" si="155"/>
        <v>y</v>
      </c>
      <c r="NSZ1" s="154" t="str">
        <f t="shared" si="155"/>
        <v>y</v>
      </c>
      <c r="NTA1" s="154" t="str">
        <f t="shared" si="155"/>
        <v>y</v>
      </c>
      <c r="NTB1" s="154" t="str">
        <f t="shared" si="155"/>
        <v>y</v>
      </c>
      <c r="NTC1" s="154" t="str">
        <f t="shared" si="155"/>
        <v>y</v>
      </c>
      <c r="NTD1" s="154" t="str">
        <f t="shared" ref="NTD1:NVO1" si="156">NTD2&amp;"y"</f>
        <v>y</v>
      </c>
      <c r="NTE1" s="154" t="str">
        <f t="shared" si="156"/>
        <v>y</v>
      </c>
      <c r="NTF1" s="154" t="str">
        <f t="shared" si="156"/>
        <v>y</v>
      </c>
      <c r="NTG1" s="154" t="str">
        <f t="shared" si="156"/>
        <v>y</v>
      </c>
      <c r="NTH1" s="154" t="str">
        <f t="shared" si="156"/>
        <v>y</v>
      </c>
      <c r="NTI1" s="154" t="str">
        <f t="shared" si="156"/>
        <v>y</v>
      </c>
      <c r="NTJ1" s="154" t="str">
        <f t="shared" si="156"/>
        <v>y</v>
      </c>
      <c r="NTK1" s="154" t="str">
        <f t="shared" si="156"/>
        <v>y</v>
      </c>
      <c r="NTL1" s="154" t="str">
        <f t="shared" si="156"/>
        <v>y</v>
      </c>
      <c r="NTM1" s="154" t="str">
        <f t="shared" si="156"/>
        <v>y</v>
      </c>
      <c r="NTN1" s="154" t="str">
        <f t="shared" si="156"/>
        <v>y</v>
      </c>
      <c r="NTO1" s="154" t="str">
        <f t="shared" si="156"/>
        <v>y</v>
      </c>
      <c r="NTP1" s="154" t="str">
        <f t="shared" si="156"/>
        <v>y</v>
      </c>
      <c r="NTQ1" s="154" t="str">
        <f t="shared" si="156"/>
        <v>y</v>
      </c>
      <c r="NTR1" s="154" t="str">
        <f t="shared" si="156"/>
        <v>y</v>
      </c>
      <c r="NTS1" s="154" t="str">
        <f t="shared" si="156"/>
        <v>y</v>
      </c>
      <c r="NTT1" s="154" t="str">
        <f t="shared" si="156"/>
        <v>y</v>
      </c>
      <c r="NTU1" s="154" t="str">
        <f t="shared" si="156"/>
        <v>y</v>
      </c>
      <c r="NTV1" s="154" t="str">
        <f t="shared" si="156"/>
        <v>y</v>
      </c>
      <c r="NTW1" s="154" t="str">
        <f t="shared" si="156"/>
        <v>y</v>
      </c>
      <c r="NTX1" s="154" t="str">
        <f t="shared" si="156"/>
        <v>y</v>
      </c>
      <c r="NTY1" s="154" t="str">
        <f t="shared" si="156"/>
        <v>y</v>
      </c>
      <c r="NTZ1" s="154" t="str">
        <f t="shared" si="156"/>
        <v>y</v>
      </c>
      <c r="NUA1" s="154" t="str">
        <f t="shared" si="156"/>
        <v>y</v>
      </c>
      <c r="NUB1" s="154" t="str">
        <f t="shared" si="156"/>
        <v>y</v>
      </c>
      <c r="NUC1" s="154" t="str">
        <f t="shared" si="156"/>
        <v>y</v>
      </c>
      <c r="NUD1" s="154" t="str">
        <f t="shared" si="156"/>
        <v>y</v>
      </c>
      <c r="NUE1" s="154" t="str">
        <f t="shared" si="156"/>
        <v>y</v>
      </c>
      <c r="NUF1" s="154" t="str">
        <f t="shared" si="156"/>
        <v>y</v>
      </c>
      <c r="NUG1" s="154" t="str">
        <f t="shared" si="156"/>
        <v>y</v>
      </c>
      <c r="NUH1" s="154" t="str">
        <f t="shared" si="156"/>
        <v>y</v>
      </c>
      <c r="NUI1" s="154" t="str">
        <f t="shared" si="156"/>
        <v>y</v>
      </c>
      <c r="NUJ1" s="154" t="str">
        <f t="shared" si="156"/>
        <v>y</v>
      </c>
      <c r="NUK1" s="154" t="str">
        <f t="shared" si="156"/>
        <v>y</v>
      </c>
      <c r="NUL1" s="154" t="str">
        <f t="shared" si="156"/>
        <v>y</v>
      </c>
      <c r="NUM1" s="154" t="str">
        <f t="shared" si="156"/>
        <v>y</v>
      </c>
      <c r="NUN1" s="154" t="str">
        <f t="shared" si="156"/>
        <v>y</v>
      </c>
      <c r="NUO1" s="154" t="str">
        <f t="shared" si="156"/>
        <v>y</v>
      </c>
      <c r="NUP1" s="154" t="str">
        <f t="shared" si="156"/>
        <v>y</v>
      </c>
      <c r="NUQ1" s="154" t="str">
        <f t="shared" si="156"/>
        <v>y</v>
      </c>
      <c r="NUR1" s="154" t="str">
        <f t="shared" si="156"/>
        <v>y</v>
      </c>
      <c r="NUS1" s="154" t="str">
        <f t="shared" si="156"/>
        <v>y</v>
      </c>
      <c r="NUT1" s="154" t="str">
        <f t="shared" si="156"/>
        <v>y</v>
      </c>
      <c r="NUU1" s="154" t="str">
        <f t="shared" si="156"/>
        <v>y</v>
      </c>
      <c r="NUV1" s="154" t="str">
        <f t="shared" si="156"/>
        <v>y</v>
      </c>
      <c r="NUW1" s="154" t="str">
        <f t="shared" si="156"/>
        <v>y</v>
      </c>
      <c r="NUX1" s="154" t="str">
        <f t="shared" si="156"/>
        <v>y</v>
      </c>
      <c r="NUY1" s="154" t="str">
        <f t="shared" si="156"/>
        <v>y</v>
      </c>
      <c r="NUZ1" s="154" t="str">
        <f t="shared" si="156"/>
        <v>y</v>
      </c>
      <c r="NVA1" s="154" t="str">
        <f t="shared" si="156"/>
        <v>y</v>
      </c>
      <c r="NVB1" s="154" t="str">
        <f t="shared" si="156"/>
        <v>y</v>
      </c>
      <c r="NVC1" s="154" t="str">
        <f t="shared" si="156"/>
        <v>y</v>
      </c>
      <c r="NVD1" s="154" t="str">
        <f t="shared" si="156"/>
        <v>y</v>
      </c>
      <c r="NVE1" s="154" t="str">
        <f t="shared" si="156"/>
        <v>y</v>
      </c>
      <c r="NVF1" s="154" t="str">
        <f t="shared" si="156"/>
        <v>y</v>
      </c>
      <c r="NVG1" s="154" t="str">
        <f t="shared" si="156"/>
        <v>y</v>
      </c>
      <c r="NVH1" s="154" t="str">
        <f t="shared" si="156"/>
        <v>y</v>
      </c>
      <c r="NVI1" s="154" t="str">
        <f t="shared" si="156"/>
        <v>y</v>
      </c>
      <c r="NVJ1" s="154" t="str">
        <f t="shared" si="156"/>
        <v>y</v>
      </c>
      <c r="NVK1" s="154" t="str">
        <f t="shared" si="156"/>
        <v>y</v>
      </c>
      <c r="NVL1" s="154" t="str">
        <f t="shared" si="156"/>
        <v>y</v>
      </c>
      <c r="NVM1" s="154" t="str">
        <f t="shared" si="156"/>
        <v>y</v>
      </c>
      <c r="NVN1" s="154" t="str">
        <f t="shared" si="156"/>
        <v>y</v>
      </c>
      <c r="NVO1" s="154" t="str">
        <f t="shared" si="156"/>
        <v>y</v>
      </c>
      <c r="NVP1" s="154" t="str">
        <f t="shared" ref="NVP1:NYA1" si="157">NVP2&amp;"y"</f>
        <v>y</v>
      </c>
      <c r="NVQ1" s="154" t="str">
        <f t="shared" si="157"/>
        <v>y</v>
      </c>
      <c r="NVR1" s="154" t="str">
        <f t="shared" si="157"/>
        <v>y</v>
      </c>
      <c r="NVS1" s="154" t="str">
        <f t="shared" si="157"/>
        <v>y</v>
      </c>
      <c r="NVT1" s="154" t="str">
        <f t="shared" si="157"/>
        <v>y</v>
      </c>
      <c r="NVU1" s="154" t="str">
        <f t="shared" si="157"/>
        <v>y</v>
      </c>
      <c r="NVV1" s="154" t="str">
        <f t="shared" si="157"/>
        <v>y</v>
      </c>
      <c r="NVW1" s="154" t="str">
        <f t="shared" si="157"/>
        <v>y</v>
      </c>
      <c r="NVX1" s="154" t="str">
        <f t="shared" si="157"/>
        <v>y</v>
      </c>
      <c r="NVY1" s="154" t="str">
        <f t="shared" si="157"/>
        <v>y</v>
      </c>
      <c r="NVZ1" s="154" t="str">
        <f t="shared" si="157"/>
        <v>y</v>
      </c>
      <c r="NWA1" s="154" t="str">
        <f t="shared" si="157"/>
        <v>y</v>
      </c>
      <c r="NWB1" s="154" t="str">
        <f t="shared" si="157"/>
        <v>y</v>
      </c>
      <c r="NWC1" s="154" t="str">
        <f t="shared" si="157"/>
        <v>y</v>
      </c>
      <c r="NWD1" s="154" t="str">
        <f t="shared" si="157"/>
        <v>y</v>
      </c>
      <c r="NWE1" s="154" t="str">
        <f t="shared" si="157"/>
        <v>y</v>
      </c>
      <c r="NWF1" s="154" t="str">
        <f t="shared" si="157"/>
        <v>y</v>
      </c>
      <c r="NWG1" s="154" t="str">
        <f t="shared" si="157"/>
        <v>y</v>
      </c>
      <c r="NWH1" s="154" t="str">
        <f t="shared" si="157"/>
        <v>y</v>
      </c>
      <c r="NWI1" s="154" t="str">
        <f t="shared" si="157"/>
        <v>y</v>
      </c>
      <c r="NWJ1" s="154" t="str">
        <f t="shared" si="157"/>
        <v>y</v>
      </c>
      <c r="NWK1" s="154" t="str">
        <f t="shared" si="157"/>
        <v>y</v>
      </c>
      <c r="NWL1" s="154" t="str">
        <f t="shared" si="157"/>
        <v>y</v>
      </c>
      <c r="NWM1" s="154" t="str">
        <f t="shared" si="157"/>
        <v>y</v>
      </c>
      <c r="NWN1" s="154" t="str">
        <f t="shared" si="157"/>
        <v>y</v>
      </c>
      <c r="NWO1" s="154" t="str">
        <f t="shared" si="157"/>
        <v>y</v>
      </c>
      <c r="NWP1" s="154" t="str">
        <f t="shared" si="157"/>
        <v>y</v>
      </c>
      <c r="NWQ1" s="154" t="str">
        <f t="shared" si="157"/>
        <v>y</v>
      </c>
      <c r="NWR1" s="154" t="str">
        <f t="shared" si="157"/>
        <v>y</v>
      </c>
      <c r="NWS1" s="154" t="str">
        <f t="shared" si="157"/>
        <v>y</v>
      </c>
      <c r="NWT1" s="154" t="str">
        <f t="shared" si="157"/>
        <v>y</v>
      </c>
      <c r="NWU1" s="154" t="str">
        <f t="shared" si="157"/>
        <v>y</v>
      </c>
      <c r="NWV1" s="154" t="str">
        <f t="shared" si="157"/>
        <v>y</v>
      </c>
      <c r="NWW1" s="154" t="str">
        <f t="shared" si="157"/>
        <v>y</v>
      </c>
      <c r="NWX1" s="154" t="str">
        <f t="shared" si="157"/>
        <v>y</v>
      </c>
      <c r="NWY1" s="154" t="str">
        <f t="shared" si="157"/>
        <v>y</v>
      </c>
      <c r="NWZ1" s="154" t="str">
        <f t="shared" si="157"/>
        <v>y</v>
      </c>
      <c r="NXA1" s="154" t="str">
        <f t="shared" si="157"/>
        <v>y</v>
      </c>
      <c r="NXB1" s="154" t="str">
        <f t="shared" si="157"/>
        <v>y</v>
      </c>
      <c r="NXC1" s="154" t="str">
        <f t="shared" si="157"/>
        <v>y</v>
      </c>
      <c r="NXD1" s="154" t="str">
        <f t="shared" si="157"/>
        <v>y</v>
      </c>
      <c r="NXE1" s="154" t="str">
        <f t="shared" si="157"/>
        <v>y</v>
      </c>
      <c r="NXF1" s="154" t="str">
        <f t="shared" si="157"/>
        <v>y</v>
      </c>
      <c r="NXG1" s="154" t="str">
        <f t="shared" si="157"/>
        <v>y</v>
      </c>
      <c r="NXH1" s="154" t="str">
        <f t="shared" si="157"/>
        <v>y</v>
      </c>
      <c r="NXI1" s="154" t="str">
        <f t="shared" si="157"/>
        <v>y</v>
      </c>
      <c r="NXJ1" s="154" t="str">
        <f t="shared" si="157"/>
        <v>y</v>
      </c>
      <c r="NXK1" s="154" t="str">
        <f t="shared" si="157"/>
        <v>y</v>
      </c>
      <c r="NXL1" s="154" t="str">
        <f t="shared" si="157"/>
        <v>y</v>
      </c>
      <c r="NXM1" s="154" t="str">
        <f t="shared" si="157"/>
        <v>y</v>
      </c>
      <c r="NXN1" s="154" t="str">
        <f t="shared" si="157"/>
        <v>y</v>
      </c>
      <c r="NXO1" s="154" t="str">
        <f t="shared" si="157"/>
        <v>y</v>
      </c>
      <c r="NXP1" s="154" t="str">
        <f t="shared" si="157"/>
        <v>y</v>
      </c>
      <c r="NXQ1" s="154" t="str">
        <f t="shared" si="157"/>
        <v>y</v>
      </c>
      <c r="NXR1" s="154" t="str">
        <f t="shared" si="157"/>
        <v>y</v>
      </c>
      <c r="NXS1" s="154" t="str">
        <f t="shared" si="157"/>
        <v>y</v>
      </c>
      <c r="NXT1" s="154" t="str">
        <f t="shared" si="157"/>
        <v>y</v>
      </c>
      <c r="NXU1" s="154" t="str">
        <f t="shared" si="157"/>
        <v>y</v>
      </c>
      <c r="NXV1" s="154" t="str">
        <f t="shared" si="157"/>
        <v>y</v>
      </c>
      <c r="NXW1" s="154" t="str">
        <f t="shared" si="157"/>
        <v>y</v>
      </c>
      <c r="NXX1" s="154" t="str">
        <f t="shared" si="157"/>
        <v>y</v>
      </c>
      <c r="NXY1" s="154" t="str">
        <f t="shared" si="157"/>
        <v>y</v>
      </c>
      <c r="NXZ1" s="154" t="str">
        <f t="shared" si="157"/>
        <v>y</v>
      </c>
      <c r="NYA1" s="154" t="str">
        <f t="shared" si="157"/>
        <v>y</v>
      </c>
      <c r="NYB1" s="154" t="str">
        <f t="shared" ref="NYB1:OAM1" si="158">NYB2&amp;"y"</f>
        <v>y</v>
      </c>
      <c r="NYC1" s="154" t="str">
        <f t="shared" si="158"/>
        <v>y</v>
      </c>
      <c r="NYD1" s="154" t="str">
        <f t="shared" si="158"/>
        <v>y</v>
      </c>
      <c r="NYE1" s="154" t="str">
        <f t="shared" si="158"/>
        <v>y</v>
      </c>
      <c r="NYF1" s="154" t="str">
        <f t="shared" si="158"/>
        <v>y</v>
      </c>
      <c r="NYG1" s="154" t="str">
        <f t="shared" si="158"/>
        <v>y</v>
      </c>
      <c r="NYH1" s="154" t="str">
        <f t="shared" si="158"/>
        <v>y</v>
      </c>
      <c r="NYI1" s="154" t="str">
        <f t="shared" si="158"/>
        <v>y</v>
      </c>
      <c r="NYJ1" s="154" t="str">
        <f t="shared" si="158"/>
        <v>y</v>
      </c>
      <c r="NYK1" s="154" t="str">
        <f t="shared" si="158"/>
        <v>y</v>
      </c>
      <c r="NYL1" s="154" t="str">
        <f t="shared" si="158"/>
        <v>y</v>
      </c>
      <c r="NYM1" s="154" t="str">
        <f t="shared" si="158"/>
        <v>y</v>
      </c>
      <c r="NYN1" s="154" t="str">
        <f t="shared" si="158"/>
        <v>y</v>
      </c>
      <c r="NYO1" s="154" t="str">
        <f t="shared" si="158"/>
        <v>y</v>
      </c>
      <c r="NYP1" s="154" t="str">
        <f t="shared" si="158"/>
        <v>y</v>
      </c>
      <c r="NYQ1" s="154" t="str">
        <f t="shared" si="158"/>
        <v>y</v>
      </c>
      <c r="NYR1" s="154" t="str">
        <f t="shared" si="158"/>
        <v>y</v>
      </c>
      <c r="NYS1" s="154" t="str">
        <f t="shared" si="158"/>
        <v>y</v>
      </c>
      <c r="NYT1" s="154" t="str">
        <f t="shared" si="158"/>
        <v>y</v>
      </c>
      <c r="NYU1" s="154" t="str">
        <f t="shared" si="158"/>
        <v>y</v>
      </c>
      <c r="NYV1" s="154" t="str">
        <f t="shared" si="158"/>
        <v>y</v>
      </c>
      <c r="NYW1" s="154" t="str">
        <f t="shared" si="158"/>
        <v>y</v>
      </c>
      <c r="NYX1" s="154" t="str">
        <f t="shared" si="158"/>
        <v>y</v>
      </c>
      <c r="NYY1" s="154" t="str">
        <f t="shared" si="158"/>
        <v>y</v>
      </c>
      <c r="NYZ1" s="154" t="str">
        <f t="shared" si="158"/>
        <v>y</v>
      </c>
      <c r="NZA1" s="154" t="str">
        <f t="shared" si="158"/>
        <v>y</v>
      </c>
      <c r="NZB1" s="154" t="str">
        <f t="shared" si="158"/>
        <v>y</v>
      </c>
      <c r="NZC1" s="154" t="str">
        <f t="shared" si="158"/>
        <v>y</v>
      </c>
      <c r="NZD1" s="154" t="str">
        <f t="shared" si="158"/>
        <v>y</v>
      </c>
      <c r="NZE1" s="154" t="str">
        <f t="shared" si="158"/>
        <v>y</v>
      </c>
      <c r="NZF1" s="154" t="str">
        <f t="shared" si="158"/>
        <v>y</v>
      </c>
      <c r="NZG1" s="154" t="str">
        <f t="shared" si="158"/>
        <v>y</v>
      </c>
      <c r="NZH1" s="154" t="str">
        <f t="shared" si="158"/>
        <v>y</v>
      </c>
      <c r="NZI1" s="154" t="str">
        <f t="shared" si="158"/>
        <v>y</v>
      </c>
      <c r="NZJ1" s="154" t="str">
        <f t="shared" si="158"/>
        <v>y</v>
      </c>
      <c r="NZK1" s="154" t="str">
        <f t="shared" si="158"/>
        <v>y</v>
      </c>
      <c r="NZL1" s="154" t="str">
        <f t="shared" si="158"/>
        <v>y</v>
      </c>
      <c r="NZM1" s="154" t="str">
        <f t="shared" si="158"/>
        <v>y</v>
      </c>
      <c r="NZN1" s="154" t="str">
        <f t="shared" si="158"/>
        <v>y</v>
      </c>
      <c r="NZO1" s="154" t="str">
        <f t="shared" si="158"/>
        <v>y</v>
      </c>
      <c r="NZP1" s="154" t="str">
        <f t="shared" si="158"/>
        <v>y</v>
      </c>
      <c r="NZQ1" s="154" t="str">
        <f t="shared" si="158"/>
        <v>y</v>
      </c>
      <c r="NZR1" s="154" t="str">
        <f t="shared" si="158"/>
        <v>y</v>
      </c>
      <c r="NZS1" s="154" t="str">
        <f t="shared" si="158"/>
        <v>y</v>
      </c>
      <c r="NZT1" s="154" t="str">
        <f t="shared" si="158"/>
        <v>y</v>
      </c>
      <c r="NZU1" s="154" t="str">
        <f t="shared" si="158"/>
        <v>y</v>
      </c>
      <c r="NZV1" s="154" t="str">
        <f t="shared" si="158"/>
        <v>y</v>
      </c>
      <c r="NZW1" s="154" t="str">
        <f t="shared" si="158"/>
        <v>y</v>
      </c>
      <c r="NZX1" s="154" t="str">
        <f t="shared" si="158"/>
        <v>y</v>
      </c>
      <c r="NZY1" s="154" t="str">
        <f t="shared" si="158"/>
        <v>y</v>
      </c>
      <c r="NZZ1" s="154" t="str">
        <f t="shared" si="158"/>
        <v>y</v>
      </c>
      <c r="OAA1" s="154" t="str">
        <f t="shared" si="158"/>
        <v>y</v>
      </c>
      <c r="OAB1" s="154" t="str">
        <f t="shared" si="158"/>
        <v>y</v>
      </c>
      <c r="OAC1" s="154" t="str">
        <f t="shared" si="158"/>
        <v>y</v>
      </c>
      <c r="OAD1" s="154" t="str">
        <f t="shared" si="158"/>
        <v>y</v>
      </c>
      <c r="OAE1" s="154" t="str">
        <f t="shared" si="158"/>
        <v>y</v>
      </c>
      <c r="OAF1" s="154" t="str">
        <f t="shared" si="158"/>
        <v>y</v>
      </c>
      <c r="OAG1" s="154" t="str">
        <f t="shared" si="158"/>
        <v>y</v>
      </c>
      <c r="OAH1" s="154" t="str">
        <f t="shared" si="158"/>
        <v>y</v>
      </c>
      <c r="OAI1" s="154" t="str">
        <f t="shared" si="158"/>
        <v>y</v>
      </c>
      <c r="OAJ1" s="154" t="str">
        <f t="shared" si="158"/>
        <v>y</v>
      </c>
      <c r="OAK1" s="154" t="str">
        <f t="shared" si="158"/>
        <v>y</v>
      </c>
      <c r="OAL1" s="154" t="str">
        <f t="shared" si="158"/>
        <v>y</v>
      </c>
      <c r="OAM1" s="154" t="str">
        <f t="shared" si="158"/>
        <v>y</v>
      </c>
      <c r="OAN1" s="154" t="str">
        <f t="shared" ref="OAN1:OCY1" si="159">OAN2&amp;"y"</f>
        <v>y</v>
      </c>
      <c r="OAO1" s="154" t="str">
        <f t="shared" si="159"/>
        <v>y</v>
      </c>
      <c r="OAP1" s="154" t="str">
        <f t="shared" si="159"/>
        <v>y</v>
      </c>
      <c r="OAQ1" s="154" t="str">
        <f t="shared" si="159"/>
        <v>y</v>
      </c>
      <c r="OAR1" s="154" t="str">
        <f t="shared" si="159"/>
        <v>y</v>
      </c>
      <c r="OAS1" s="154" t="str">
        <f t="shared" si="159"/>
        <v>y</v>
      </c>
      <c r="OAT1" s="154" t="str">
        <f t="shared" si="159"/>
        <v>y</v>
      </c>
      <c r="OAU1" s="154" t="str">
        <f t="shared" si="159"/>
        <v>y</v>
      </c>
      <c r="OAV1" s="154" t="str">
        <f t="shared" si="159"/>
        <v>y</v>
      </c>
      <c r="OAW1" s="154" t="str">
        <f t="shared" si="159"/>
        <v>y</v>
      </c>
      <c r="OAX1" s="154" t="str">
        <f t="shared" si="159"/>
        <v>y</v>
      </c>
      <c r="OAY1" s="154" t="str">
        <f t="shared" si="159"/>
        <v>y</v>
      </c>
      <c r="OAZ1" s="154" t="str">
        <f t="shared" si="159"/>
        <v>y</v>
      </c>
      <c r="OBA1" s="154" t="str">
        <f t="shared" si="159"/>
        <v>y</v>
      </c>
      <c r="OBB1" s="154" t="str">
        <f t="shared" si="159"/>
        <v>y</v>
      </c>
      <c r="OBC1" s="154" t="str">
        <f t="shared" si="159"/>
        <v>y</v>
      </c>
      <c r="OBD1" s="154" t="str">
        <f t="shared" si="159"/>
        <v>y</v>
      </c>
      <c r="OBE1" s="154" t="str">
        <f t="shared" si="159"/>
        <v>y</v>
      </c>
      <c r="OBF1" s="154" t="str">
        <f t="shared" si="159"/>
        <v>y</v>
      </c>
      <c r="OBG1" s="154" t="str">
        <f t="shared" si="159"/>
        <v>y</v>
      </c>
      <c r="OBH1" s="154" t="str">
        <f t="shared" si="159"/>
        <v>y</v>
      </c>
      <c r="OBI1" s="154" t="str">
        <f t="shared" si="159"/>
        <v>y</v>
      </c>
      <c r="OBJ1" s="154" t="str">
        <f t="shared" si="159"/>
        <v>y</v>
      </c>
      <c r="OBK1" s="154" t="str">
        <f t="shared" si="159"/>
        <v>y</v>
      </c>
      <c r="OBL1" s="154" t="str">
        <f t="shared" si="159"/>
        <v>y</v>
      </c>
      <c r="OBM1" s="154" t="str">
        <f t="shared" si="159"/>
        <v>y</v>
      </c>
      <c r="OBN1" s="154" t="str">
        <f t="shared" si="159"/>
        <v>y</v>
      </c>
      <c r="OBO1" s="154" t="str">
        <f t="shared" si="159"/>
        <v>y</v>
      </c>
      <c r="OBP1" s="154" t="str">
        <f t="shared" si="159"/>
        <v>y</v>
      </c>
      <c r="OBQ1" s="154" t="str">
        <f t="shared" si="159"/>
        <v>y</v>
      </c>
      <c r="OBR1" s="154" t="str">
        <f t="shared" si="159"/>
        <v>y</v>
      </c>
      <c r="OBS1" s="154" t="str">
        <f t="shared" si="159"/>
        <v>y</v>
      </c>
      <c r="OBT1" s="154" t="str">
        <f t="shared" si="159"/>
        <v>y</v>
      </c>
      <c r="OBU1" s="154" t="str">
        <f t="shared" si="159"/>
        <v>y</v>
      </c>
      <c r="OBV1" s="154" t="str">
        <f t="shared" si="159"/>
        <v>y</v>
      </c>
      <c r="OBW1" s="154" t="str">
        <f t="shared" si="159"/>
        <v>y</v>
      </c>
      <c r="OBX1" s="154" t="str">
        <f t="shared" si="159"/>
        <v>y</v>
      </c>
      <c r="OBY1" s="154" t="str">
        <f t="shared" si="159"/>
        <v>y</v>
      </c>
      <c r="OBZ1" s="154" t="str">
        <f t="shared" si="159"/>
        <v>y</v>
      </c>
      <c r="OCA1" s="154" t="str">
        <f t="shared" si="159"/>
        <v>y</v>
      </c>
      <c r="OCB1" s="154" t="str">
        <f t="shared" si="159"/>
        <v>y</v>
      </c>
      <c r="OCC1" s="154" t="str">
        <f t="shared" si="159"/>
        <v>y</v>
      </c>
      <c r="OCD1" s="154" t="str">
        <f t="shared" si="159"/>
        <v>y</v>
      </c>
      <c r="OCE1" s="154" t="str">
        <f t="shared" si="159"/>
        <v>y</v>
      </c>
      <c r="OCF1" s="154" t="str">
        <f t="shared" si="159"/>
        <v>y</v>
      </c>
      <c r="OCG1" s="154" t="str">
        <f t="shared" si="159"/>
        <v>y</v>
      </c>
      <c r="OCH1" s="154" t="str">
        <f t="shared" si="159"/>
        <v>y</v>
      </c>
      <c r="OCI1" s="154" t="str">
        <f t="shared" si="159"/>
        <v>y</v>
      </c>
      <c r="OCJ1" s="154" t="str">
        <f t="shared" si="159"/>
        <v>y</v>
      </c>
      <c r="OCK1" s="154" t="str">
        <f t="shared" si="159"/>
        <v>y</v>
      </c>
      <c r="OCL1" s="154" t="str">
        <f t="shared" si="159"/>
        <v>y</v>
      </c>
      <c r="OCM1" s="154" t="str">
        <f t="shared" si="159"/>
        <v>y</v>
      </c>
      <c r="OCN1" s="154" t="str">
        <f t="shared" si="159"/>
        <v>y</v>
      </c>
      <c r="OCO1" s="154" t="str">
        <f t="shared" si="159"/>
        <v>y</v>
      </c>
      <c r="OCP1" s="154" t="str">
        <f t="shared" si="159"/>
        <v>y</v>
      </c>
      <c r="OCQ1" s="154" t="str">
        <f t="shared" si="159"/>
        <v>y</v>
      </c>
      <c r="OCR1" s="154" t="str">
        <f t="shared" si="159"/>
        <v>y</v>
      </c>
      <c r="OCS1" s="154" t="str">
        <f t="shared" si="159"/>
        <v>y</v>
      </c>
      <c r="OCT1" s="154" t="str">
        <f t="shared" si="159"/>
        <v>y</v>
      </c>
      <c r="OCU1" s="154" t="str">
        <f t="shared" si="159"/>
        <v>y</v>
      </c>
      <c r="OCV1" s="154" t="str">
        <f t="shared" si="159"/>
        <v>y</v>
      </c>
      <c r="OCW1" s="154" t="str">
        <f t="shared" si="159"/>
        <v>y</v>
      </c>
      <c r="OCX1" s="154" t="str">
        <f t="shared" si="159"/>
        <v>y</v>
      </c>
      <c r="OCY1" s="154" t="str">
        <f t="shared" si="159"/>
        <v>y</v>
      </c>
      <c r="OCZ1" s="154" t="str">
        <f t="shared" ref="OCZ1:OFK1" si="160">OCZ2&amp;"y"</f>
        <v>y</v>
      </c>
      <c r="ODA1" s="154" t="str">
        <f t="shared" si="160"/>
        <v>y</v>
      </c>
      <c r="ODB1" s="154" t="str">
        <f t="shared" si="160"/>
        <v>y</v>
      </c>
      <c r="ODC1" s="154" t="str">
        <f t="shared" si="160"/>
        <v>y</v>
      </c>
      <c r="ODD1" s="154" t="str">
        <f t="shared" si="160"/>
        <v>y</v>
      </c>
      <c r="ODE1" s="154" t="str">
        <f t="shared" si="160"/>
        <v>y</v>
      </c>
      <c r="ODF1" s="154" t="str">
        <f t="shared" si="160"/>
        <v>y</v>
      </c>
      <c r="ODG1" s="154" t="str">
        <f t="shared" si="160"/>
        <v>y</v>
      </c>
      <c r="ODH1" s="154" t="str">
        <f t="shared" si="160"/>
        <v>y</v>
      </c>
      <c r="ODI1" s="154" t="str">
        <f t="shared" si="160"/>
        <v>y</v>
      </c>
      <c r="ODJ1" s="154" t="str">
        <f t="shared" si="160"/>
        <v>y</v>
      </c>
      <c r="ODK1" s="154" t="str">
        <f t="shared" si="160"/>
        <v>y</v>
      </c>
      <c r="ODL1" s="154" t="str">
        <f t="shared" si="160"/>
        <v>y</v>
      </c>
      <c r="ODM1" s="154" t="str">
        <f t="shared" si="160"/>
        <v>y</v>
      </c>
      <c r="ODN1" s="154" t="str">
        <f t="shared" si="160"/>
        <v>y</v>
      </c>
      <c r="ODO1" s="154" t="str">
        <f t="shared" si="160"/>
        <v>y</v>
      </c>
      <c r="ODP1" s="154" t="str">
        <f t="shared" si="160"/>
        <v>y</v>
      </c>
      <c r="ODQ1" s="154" t="str">
        <f t="shared" si="160"/>
        <v>y</v>
      </c>
      <c r="ODR1" s="154" t="str">
        <f t="shared" si="160"/>
        <v>y</v>
      </c>
      <c r="ODS1" s="154" t="str">
        <f t="shared" si="160"/>
        <v>y</v>
      </c>
      <c r="ODT1" s="154" t="str">
        <f t="shared" si="160"/>
        <v>y</v>
      </c>
      <c r="ODU1" s="154" t="str">
        <f t="shared" si="160"/>
        <v>y</v>
      </c>
      <c r="ODV1" s="154" t="str">
        <f t="shared" si="160"/>
        <v>y</v>
      </c>
      <c r="ODW1" s="154" t="str">
        <f t="shared" si="160"/>
        <v>y</v>
      </c>
      <c r="ODX1" s="154" t="str">
        <f t="shared" si="160"/>
        <v>y</v>
      </c>
      <c r="ODY1" s="154" t="str">
        <f t="shared" si="160"/>
        <v>y</v>
      </c>
      <c r="ODZ1" s="154" t="str">
        <f t="shared" si="160"/>
        <v>y</v>
      </c>
      <c r="OEA1" s="154" t="str">
        <f t="shared" si="160"/>
        <v>y</v>
      </c>
      <c r="OEB1" s="154" t="str">
        <f t="shared" si="160"/>
        <v>y</v>
      </c>
      <c r="OEC1" s="154" t="str">
        <f t="shared" si="160"/>
        <v>y</v>
      </c>
      <c r="OED1" s="154" t="str">
        <f t="shared" si="160"/>
        <v>y</v>
      </c>
      <c r="OEE1" s="154" t="str">
        <f t="shared" si="160"/>
        <v>y</v>
      </c>
      <c r="OEF1" s="154" t="str">
        <f t="shared" si="160"/>
        <v>y</v>
      </c>
      <c r="OEG1" s="154" t="str">
        <f t="shared" si="160"/>
        <v>y</v>
      </c>
      <c r="OEH1" s="154" t="str">
        <f t="shared" si="160"/>
        <v>y</v>
      </c>
      <c r="OEI1" s="154" t="str">
        <f t="shared" si="160"/>
        <v>y</v>
      </c>
      <c r="OEJ1" s="154" t="str">
        <f t="shared" si="160"/>
        <v>y</v>
      </c>
      <c r="OEK1" s="154" t="str">
        <f t="shared" si="160"/>
        <v>y</v>
      </c>
      <c r="OEL1" s="154" t="str">
        <f t="shared" si="160"/>
        <v>y</v>
      </c>
      <c r="OEM1" s="154" t="str">
        <f t="shared" si="160"/>
        <v>y</v>
      </c>
      <c r="OEN1" s="154" t="str">
        <f t="shared" si="160"/>
        <v>y</v>
      </c>
      <c r="OEO1" s="154" t="str">
        <f t="shared" si="160"/>
        <v>y</v>
      </c>
      <c r="OEP1" s="154" t="str">
        <f t="shared" si="160"/>
        <v>y</v>
      </c>
      <c r="OEQ1" s="154" t="str">
        <f t="shared" si="160"/>
        <v>y</v>
      </c>
      <c r="OER1" s="154" t="str">
        <f t="shared" si="160"/>
        <v>y</v>
      </c>
      <c r="OES1" s="154" t="str">
        <f t="shared" si="160"/>
        <v>y</v>
      </c>
      <c r="OET1" s="154" t="str">
        <f t="shared" si="160"/>
        <v>y</v>
      </c>
      <c r="OEU1" s="154" t="str">
        <f t="shared" si="160"/>
        <v>y</v>
      </c>
      <c r="OEV1" s="154" t="str">
        <f t="shared" si="160"/>
        <v>y</v>
      </c>
      <c r="OEW1" s="154" t="str">
        <f t="shared" si="160"/>
        <v>y</v>
      </c>
      <c r="OEX1" s="154" t="str">
        <f t="shared" si="160"/>
        <v>y</v>
      </c>
      <c r="OEY1" s="154" t="str">
        <f t="shared" si="160"/>
        <v>y</v>
      </c>
      <c r="OEZ1" s="154" t="str">
        <f t="shared" si="160"/>
        <v>y</v>
      </c>
      <c r="OFA1" s="154" t="str">
        <f t="shared" si="160"/>
        <v>y</v>
      </c>
      <c r="OFB1" s="154" t="str">
        <f t="shared" si="160"/>
        <v>y</v>
      </c>
      <c r="OFC1" s="154" t="str">
        <f t="shared" si="160"/>
        <v>y</v>
      </c>
      <c r="OFD1" s="154" t="str">
        <f t="shared" si="160"/>
        <v>y</v>
      </c>
      <c r="OFE1" s="154" t="str">
        <f t="shared" si="160"/>
        <v>y</v>
      </c>
      <c r="OFF1" s="154" t="str">
        <f t="shared" si="160"/>
        <v>y</v>
      </c>
      <c r="OFG1" s="154" t="str">
        <f t="shared" si="160"/>
        <v>y</v>
      </c>
      <c r="OFH1" s="154" t="str">
        <f t="shared" si="160"/>
        <v>y</v>
      </c>
      <c r="OFI1" s="154" t="str">
        <f t="shared" si="160"/>
        <v>y</v>
      </c>
      <c r="OFJ1" s="154" t="str">
        <f t="shared" si="160"/>
        <v>y</v>
      </c>
      <c r="OFK1" s="154" t="str">
        <f t="shared" si="160"/>
        <v>y</v>
      </c>
      <c r="OFL1" s="154" t="str">
        <f t="shared" ref="OFL1:OHW1" si="161">OFL2&amp;"y"</f>
        <v>y</v>
      </c>
      <c r="OFM1" s="154" t="str">
        <f t="shared" si="161"/>
        <v>y</v>
      </c>
      <c r="OFN1" s="154" t="str">
        <f t="shared" si="161"/>
        <v>y</v>
      </c>
      <c r="OFO1" s="154" t="str">
        <f t="shared" si="161"/>
        <v>y</v>
      </c>
      <c r="OFP1" s="154" t="str">
        <f t="shared" si="161"/>
        <v>y</v>
      </c>
      <c r="OFQ1" s="154" t="str">
        <f t="shared" si="161"/>
        <v>y</v>
      </c>
      <c r="OFR1" s="154" t="str">
        <f t="shared" si="161"/>
        <v>y</v>
      </c>
      <c r="OFS1" s="154" t="str">
        <f t="shared" si="161"/>
        <v>y</v>
      </c>
      <c r="OFT1" s="154" t="str">
        <f t="shared" si="161"/>
        <v>y</v>
      </c>
      <c r="OFU1" s="154" t="str">
        <f t="shared" si="161"/>
        <v>y</v>
      </c>
      <c r="OFV1" s="154" t="str">
        <f t="shared" si="161"/>
        <v>y</v>
      </c>
      <c r="OFW1" s="154" t="str">
        <f t="shared" si="161"/>
        <v>y</v>
      </c>
      <c r="OFX1" s="154" t="str">
        <f t="shared" si="161"/>
        <v>y</v>
      </c>
      <c r="OFY1" s="154" t="str">
        <f t="shared" si="161"/>
        <v>y</v>
      </c>
      <c r="OFZ1" s="154" t="str">
        <f t="shared" si="161"/>
        <v>y</v>
      </c>
      <c r="OGA1" s="154" t="str">
        <f t="shared" si="161"/>
        <v>y</v>
      </c>
      <c r="OGB1" s="154" t="str">
        <f t="shared" si="161"/>
        <v>y</v>
      </c>
      <c r="OGC1" s="154" t="str">
        <f t="shared" si="161"/>
        <v>y</v>
      </c>
      <c r="OGD1" s="154" t="str">
        <f t="shared" si="161"/>
        <v>y</v>
      </c>
      <c r="OGE1" s="154" t="str">
        <f t="shared" si="161"/>
        <v>y</v>
      </c>
      <c r="OGF1" s="154" t="str">
        <f t="shared" si="161"/>
        <v>y</v>
      </c>
      <c r="OGG1" s="154" t="str">
        <f t="shared" si="161"/>
        <v>y</v>
      </c>
      <c r="OGH1" s="154" t="str">
        <f t="shared" si="161"/>
        <v>y</v>
      </c>
      <c r="OGI1" s="154" t="str">
        <f t="shared" si="161"/>
        <v>y</v>
      </c>
      <c r="OGJ1" s="154" t="str">
        <f t="shared" si="161"/>
        <v>y</v>
      </c>
      <c r="OGK1" s="154" t="str">
        <f t="shared" si="161"/>
        <v>y</v>
      </c>
      <c r="OGL1" s="154" t="str">
        <f t="shared" si="161"/>
        <v>y</v>
      </c>
      <c r="OGM1" s="154" t="str">
        <f t="shared" si="161"/>
        <v>y</v>
      </c>
      <c r="OGN1" s="154" t="str">
        <f t="shared" si="161"/>
        <v>y</v>
      </c>
      <c r="OGO1" s="154" t="str">
        <f t="shared" si="161"/>
        <v>y</v>
      </c>
      <c r="OGP1" s="154" t="str">
        <f t="shared" si="161"/>
        <v>y</v>
      </c>
      <c r="OGQ1" s="154" t="str">
        <f t="shared" si="161"/>
        <v>y</v>
      </c>
      <c r="OGR1" s="154" t="str">
        <f t="shared" si="161"/>
        <v>y</v>
      </c>
      <c r="OGS1" s="154" t="str">
        <f t="shared" si="161"/>
        <v>y</v>
      </c>
      <c r="OGT1" s="154" t="str">
        <f t="shared" si="161"/>
        <v>y</v>
      </c>
      <c r="OGU1" s="154" t="str">
        <f t="shared" si="161"/>
        <v>y</v>
      </c>
      <c r="OGV1" s="154" t="str">
        <f t="shared" si="161"/>
        <v>y</v>
      </c>
      <c r="OGW1" s="154" t="str">
        <f t="shared" si="161"/>
        <v>y</v>
      </c>
      <c r="OGX1" s="154" t="str">
        <f t="shared" si="161"/>
        <v>y</v>
      </c>
      <c r="OGY1" s="154" t="str">
        <f t="shared" si="161"/>
        <v>y</v>
      </c>
      <c r="OGZ1" s="154" t="str">
        <f t="shared" si="161"/>
        <v>y</v>
      </c>
      <c r="OHA1" s="154" t="str">
        <f t="shared" si="161"/>
        <v>y</v>
      </c>
      <c r="OHB1" s="154" t="str">
        <f t="shared" si="161"/>
        <v>y</v>
      </c>
      <c r="OHC1" s="154" t="str">
        <f t="shared" si="161"/>
        <v>y</v>
      </c>
      <c r="OHD1" s="154" t="str">
        <f t="shared" si="161"/>
        <v>y</v>
      </c>
      <c r="OHE1" s="154" t="str">
        <f t="shared" si="161"/>
        <v>y</v>
      </c>
      <c r="OHF1" s="154" t="str">
        <f t="shared" si="161"/>
        <v>y</v>
      </c>
      <c r="OHG1" s="154" t="str">
        <f t="shared" si="161"/>
        <v>y</v>
      </c>
      <c r="OHH1" s="154" t="str">
        <f t="shared" si="161"/>
        <v>y</v>
      </c>
      <c r="OHI1" s="154" t="str">
        <f t="shared" si="161"/>
        <v>y</v>
      </c>
      <c r="OHJ1" s="154" t="str">
        <f t="shared" si="161"/>
        <v>y</v>
      </c>
      <c r="OHK1" s="154" t="str">
        <f t="shared" si="161"/>
        <v>y</v>
      </c>
      <c r="OHL1" s="154" t="str">
        <f t="shared" si="161"/>
        <v>y</v>
      </c>
      <c r="OHM1" s="154" t="str">
        <f t="shared" si="161"/>
        <v>y</v>
      </c>
      <c r="OHN1" s="154" t="str">
        <f t="shared" si="161"/>
        <v>y</v>
      </c>
      <c r="OHO1" s="154" t="str">
        <f t="shared" si="161"/>
        <v>y</v>
      </c>
      <c r="OHP1" s="154" t="str">
        <f t="shared" si="161"/>
        <v>y</v>
      </c>
      <c r="OHQ1" s="154" t="str">
        <f t="shared" si="161"/>
        <v>y</v>
      </c>
      <c r="OHR1" s="154" t="str">
        <f t="shared" si="161"/>
        <v>y</v>
      </c>
      <c r="OHS1" s="154" t="str">
        <f t="shared" si="161"/>
        <v>y</v>
      </c>
      <c r="OHT1" s="154" t="str">
        <f t="shared" si="161"/>
        <v>y</v>
      </c>
      <c r="OHU1" s="154" t="str">
        <f t="shared" si="161"/>
        <v>y</v>
      </c>
      <c r="OHV1" s="154" t="str">
        <f t="shared" si="161"/>
        <v>y</v>
      </c>
      <c r="OHW1" s="154" t="str">
        <f t="shared" si="161"/>
        <v>y</v>
      </c>
      <c r="OHX1" s="154" t="str">
        <f t="shared" ref="OHX1:OKI1" si="162">OHX2&amp;"y"</f>
        <v>y</v>
      </c>
      <c r="OHY1" s="154" t="str">
        <f t="shared" si="162"/>
        <v>y</v>
      </c>
      <c r="OHZ1" s="154" t="str">
        <f t="shared" si="162"/>
        <v>y</v>
      </c>
      <c r="OIA1" s="154" t="str">
        <f t="shared" si="162"/>
        <v>y</v>
      </c>
      <c r="OIB1" s="154" t="str">
        <f t="shared" si="162"/>
        <v>y</v>
      </c>
      <c r="OIC1" s="154" t="str">
        <f t="shared" si="162"/>
        <v>y</v>
      </c>
      <c r="OID1" s="154" t="str">
        <f t="shared" si="162"/>
        <v>y</v>
      </c>
      <c r="OIE1" s="154" t="str">
        <f t="shared" si="162"/>
        <v>y</v>
      </c>
      <c r="OIF1" s="154" t="str">
        <f t="shared" si="162"/>
        <v>y</v>
      </c>
      <c r="OIG1" s="154" t="str">
        <f t="shared" si="162"/>
        <v>y</v>
      </c>
      <c r="OIH1" s="154" t="str">
        <f t="shared" si="162"/>
        <v>y</v>
      </c>
      <c r="OII1" s="154" t="str">
        <f t="shared" si="162"/>
        <v>y</v>
      </c>
      <c r="OIJ1" s="154" t="str">
        <f t="shared" si="162"/>
        <v>y</v>
      </c>
      <c r="OIK1" s="154" t="str">
        <f t="shared" si="162"/>
        <v>y</v>
      </c>
      <c r="OIL1" s="154" t="str">
        <f t="shared" si="162"/>
        <v>y</v>
      </c>
      <c r="OIM1" s="154" t="str">
        <f t="shared" si="162"/>
        <v>y</v>
      </c>
      <c r="OIN1" s="154" t="str">
        <f t="shared" si="162"/>
        <v>y</v>
      </c>
      <c r="OIO1" s="154" t="str">
        <f t="shared" si="162"/>
        <v>y</v>
      </c>
      <c r="OIP1" s="154" t="str">
        <f t="shared" si="162"/>
        <v>y</v>
      </c>
      <c r="OIQ1" s="154" t="str">
        <f t="shared" si="162"/>
        <v>y</v>
      </c>
      <c r="OIR1" s="154" t="str">
        <f t="shared" si="162"/>
        <v>y</v>
      </c>
      <c r="OIS1" s="154" t="str">
        <f t="shared" si="162"/>
        <v>y</v>
      </c>
      <c r="OIT1" s="154" t="str">
        <f t="shared" si="162"/>
        <v>y</v>
      </c>
      <c r="OIU1" s="154" t="str">
        <f t="shared" si="162"/>
        <v>y</v>
      </c>
      <c r="OIV1" s="154" t="str">
        <f t="shared" si="162"/>
        <v>y</v>
      </c>
      <c r="OIW1" s="154" t="str">
        <f t="shared" si="162"/>
        <v>y</v>
      </c>
      <c r="OIX1" s="154" t="str">
        <f t="shared" si="162"/>
        <v>y</v>
      </c>
      <c r="OIY1" s="154" t="str">
        <f t="shared" si="162"/>
        <v>y</v>
      </c>
      <c r="OIZ1" s="154" t="str">
        <f t="shared" si="162"/>
        <v>y</v>
      </c>
      <c r="OJA1" s="154" t="str">
        <f t="shared" si="162"/>
        <v>y</v>
      </c>
      <c r="OJB1" s="154" t="str">
        <f t="shared" si="162"/>
        <v>y</v>
      </c>
      <c r="OJC1" s="154" t="str">
        <f t="shared" si="162"/>
        <v>y</v>
      </c>
      <c r="OJD1" s="154" t="str">
        <f t="shared" si="162"/>
        <v>y</v>
      </c>
      <c r="OJE1" s="154" t="str">
        <f t="shared" si="162"/>
        <v>y</v>
      </c>
      <c r="OJF1" s="154" t="str">
        <f t="shared" si="162"/>
        <v>y</v>
      </c>
      <c r="OJG1" s="154" t="str">
        <f t="shared" si="162"/>
        <v>y</v>
      </c>
      <c r="OJH1" s="154" t="str">
        <f t="shared" si="162"/>
        <v>y</v>
      </c>
      <c r="OJI1" s="154" t="str">
        <f t="shared" si="162"/>
        <v>y</v>
      </c>
      <c r="OJJ1" s="154" t="str">
        <f t="shared" si="162"/>
        <v>y</v>
      </c>
      <c r="OJK1" s="154" t="str">
        <f t="shared" si="162"/>
        <v>y</v>
      </c>
      <c r="OJL1" s="154" t="str">
        <f t="shared" si="162"/>
        <v>y</v>
      </c>
      <c r="OJM1" s="154" t="str">
        <f t="shared" si="162"/>
        <v>y</v>
      </c>
      <c r="OJN1" s="154" t="str">
        <f t="shared" si="162"/>
        <v>y</v>
      </c>
      <c r="OJO1" s="154" t="str">
        <f t="shared" si="162"/>
        <v>y</v>
      </c>
      <c r="OJP1" s="154" t="str">
        <f t="shared" si="162"/>
        <v>y</v>
      </c>
      <c r="OJQ1" s="154" t="str">
        <f t="shared" si="162"/>
        <v>y</v>
      </c>
      <c r="OJR1" s="154" t="str">
        <f t="shared" si="162"/>
        <v>y</v>
      </c>
      <c r="OJS1" s="154" t="str">
        <f t="shared" si="162"/>
        <v>y</v>
      </c>
      <c r="OJT1" s="154" t="str">
        <f t="shared" si="162"/>
        <v>y</v>
      </c>
      <c r="OJU1" s="154" t="str">
        <f t="shared" si="162"/>
        <v>y</v>
      </c>
      <c r="OJV1" s="154" t="str">
        <f t="shared" si="162"/>
        <v>y</v>
      </c>
      <c r="OJW1" s="154" t="str">
        <f t="shared" si="162"/>
        <v>y</v>
      </c>
      <c r="OJX1" s="154" t="str">
        <f t="shared" si="162"/>
        <v>y</v>
      </c>
      <c r="OJY1" s="154" t="str">
        <f t="shared" si="162"/>
        <v>y</v>
      </c>
      <c r="OJZ1" s="154" t="str">
        <f t="shared" si="162"/>
        <v>y</v>
      </c>
      <c r="OKA1" s="154" t="str">
        <f t="shared" si="162"/>
        <v>y</v>
      </c>
      <c r="OKB1" s="154" t="str">
        <f t="shared" si="162"/>
        <v>y</v>
      </c>
      <c r="OKC1" s="154" t="str">
        <f t="shared" si="162"/>
        <v>y</v>
      </c>
      <c r="OKD1" s="154" t="str">
        <f t="shared" si="162"/>
        <v>y</v>
      </c>
      <c r="OKE1" s="154" t="str">
        <f t="shared" si="162"/>
        <v>y</v>
      </c>
      <c r="OKF1" s="154" t="str">
        <f t="shared" si="162"/>
        <v>y</v>
      </c>
      <c r="OKG1" s="154" t="str">
        <f t="shared" si="162"/>
        <v>y</v>
      </c>
      <c r="OKH1" s="154" t="str">
        <f t="shared" si="162"/>
        <v>y</v>
      </c>
      <c r="OKI1" s="154" t="str">
        <f t="shared" si="162"/>
        <v>y</v>
      </c>
      <c r="OKJ1" s="154" t="str">
        <f t="shared" ref="OKJ1:OMU1" si="163">OKJ2&amp;"y"</f>
        <v>y</v>
      </c>
      <c r="OKK1" s="154" t="str">
        <f t="shared" si="163"/>
        <v>y</v>
      </c>
      <c r="OKL1" s="154" t="str">
        <f t="shared" si="163"/>
        <v>y</v>
      </c>
      <c r="OKM1" s="154" t="str">
        <f t="shared" si="163"/>
        <v>y</v>
      </c>
      <c r="OKN1" s="154" t="str">
        <f t="shared" si="163"/>
        <v>y</v>
      </c>
      <c r="OKO1" s="154" t="str">
        <f t="shared" si="163"/>
        <v>y</v>
      </c>
      <c r="OKP1" s="154" t="str">
        <f t="shared" si="163"/>
        <v>y</v>
      </c>
      <c r="OKQ1" s="154" t="str">
        <f t="shared" si="163"/>
        <v>y</v>
      </c>
      <c r="OKR1" s="154" t="str">
        <f t="shared" si="163"/>
        <v>y</v>
      </c>
      <c r="OKS1" s="154" t="str">
        <f t="shared" si="163"/>
        <v>y</v>
      </c>
      <c r="OKT1" s="154" t="str">
        <f t="shared" si="163"/>
        <v>y</v>
      </c>
      <c r="OKU1" s="154" t="str">
        <f t="shared" si="163"/>
        <v>y</v>
      </c>
      <c r="OKV1" s="154" t="str">
        <f t="shared" si="163"/>
        <v>y</v>
      </c>
      <c r="OKW1" s="154" t="str">
        <f t="shared" si="163"/>
        <v>y</v>
      </c>
      <c r="OKX1" s="154" t="str">
        <f t="shared" si="163"/>
        <v>y</v>
      </c>
      <c r="OKY1" s="154" t="str">
        <f t="shared" si="163"/>
        <v>y</v>
      </c>
      <c r="OKZ1" s="154" t="str">
        <f t="shared" si="163"/>
        <v>y</v>
      </c>
      <c r="OLA1" s="154" t="str">
        <f t="shared" si="163"/>
        <v>y</v>
      </c>
      <c r="OLB1" s="154" t="str">
        <f t="shared" si="163"/>
        <v>y</v>
      </c>
      <c r="OLC1" s="154" t="str">
        <f t="shared" si="163"/>
        <v>y</v>
      </c>
      <c r="OLD1" s="154" t="str">
        <f t="shared" si="163"/>
        <v>y</v>
      </c>
      <c r="OLE1" s="154" t="str">
        <f t="shared" si="163"/>
        <v>y</v>
      </c>
      <c r="OLF1" s="154" t="str">
        <f t="shared" si="163"/>
        <v>y</v>
      </c>
      <c r="OLG1" s="154" t="str">
        <f t="shared" si="163"/>
        <v>y</v>
      </c>
      <c r="OLH1" s="154" t="str">
        <f t="shared" si="163"/>
        <v>y</v>
      </c>
      <c r="OLI1" s="154" t="str">
        <f t="shared" si="163"/>
        <v>y</v>
      </c>
      <c r="OLJ1" s="154" t="str">
        <f t="shared" si="163"/>
        <v>y</v>
      </c>
      <c r="OLK1" s="154" t="str">
        <f t="shared" si="163"/>
        <v>y</v>
      </c>
      <c r="OLL1" s="154" t="str">
        <f t="shared" si="163"/>
        <v>y</v>
      </c>
      <c r="OLM1" s="154" t="str">
        <f t="shared" si="163"/>
        <v>y</v>
      </c>
      <c r="OLN1" s="154" t="str">
        <f t="shared" si="163"/>
        <v>y</v>
      </c>
      <c r="OLO1" s="154" t="str">
        <f t="shared" si="163"/>
        <v>y</v>
      </c>
      <c r="OLP1" s="154" t="str">
        <f t="shared" si="163"/>
        <v>y</v>
      </c>
      <c r="OLQ1" s="154" t="str">
        <f t="shared" si="163"/>
        <v>y</v>
      </c>
      <c r="OLR1" s="154" t="str">
        <f t="shared" si="163"/>
        <v>y</v>
      </c>
      <c r="OLS1" s="154" t="str">
        <f t="shared" si="163"/>
        <v>y</v>
      </c>
      <c r="OLT1" s="154" t="str">
        <f t="shared" si="163"/>
        <v>y</v>
      </c>
      <c r="OLU1" s="154" t="str">
        <f t="shared" si="163"/>
        <v>y</v>
      </c>
      <c r="OLV1" s="154" t="str">
        <f t="shared" si="163"/>
        <v>y</v>
      </c>
      <c r="OLW1" s="154" t="str">
        <f t="shared" si="163"/>
        <v>y</v>
      </c>
      <c r="OLX1" s="154" t="str">
        <f t="shared" si="163"/>
        <v>y</v>
      </c>
      <c r="OLY1" s="154" t="str">
        <f t="shared" si="163"/>
        <v>y</v>
      </c>
      <c r="OLZ1" s="154" t="str">
        <f t="shared" si="163"/>
        <v>y</v>
      </c>
      <c r="OMA1" s="154" t="str">
        <f t="shared" si="163"/>
        <v>y</v>
      </c>
      <c r="OMB1" s="154" t="str">
        <f t="shared" si="163"/>
        <v>y</v>
      </c>
      <c r="OMC1" s="154" t="str">
        <f t="shared" si="163"/>
        <v>y</v>
      </c>
      <c r="OMD1" s="154" t="str">
        <f t="shared" si="163"/>
        <v>y</v>
      </c>
      <c r="OME1" s="154" t="str">
        <f t="shared" si="163"/>
        <v>y</v>
      </c>
      <c r="OMF1" s="154" t="str">
        <f t="shared" si="163"/>
        <v>y</v>
      </c>
      <c r="OMG1" s="154" t="str">
        <f t="shared" si="163"/>
        <v>y</v>
      </c>
      <c r="OMH1" s="154" t="str">
        <f t="shared" si="163"/>
        <v>y</v>
      </c>
      <c r="OMI1" s="154" t="str">
        <f t="shared" si="163"/>
        <v>y</v>
      </c>
      <c r="OMJ1" s="154" t="str">
        <f t="shared" si="163"/>
        <v>y</v>
      </c>
      <c r="OMK1" s="154" t="str">
        <f t="shared" si="163"/>
        <v>y</v>
      </c>
      <c r="OML1" s="154" t="str">
        <f t="shared" si="163"/>
        <v>y</v>
      </c>
      <c r="OMM1" s="154" t="str">
        <f t="shared" si="163"/>
        <v>y</v>
      </c>
      <c r="OMN1" s="154" t="str">
        <f t="shared" si="163"/>
        <v>y</v>
      </c>
      <c r="OMO1" s="154" t="str">
        <f t="shared" si="163"/>
        <v>y</v>
      </c>
      <c r="OMP1" s="154" t="str">
        <f t="shared" si="163"/>
        <v>y</v>
      </c>
      <c r="OMQ1" s="154" t="str">
        <f t="shared" si="163"/>
        <v>y</v>
      </c>
      <c r="OMR1" s="154" t="str">
        <f t="shared" si="163"/>
        <v>y</v>
      </c>
      <c r="OMS1" s="154" t="str">
        <f t="shared" si="163"/>
        <v>y</v>
      </c>
      <c r="OMT1" s="154" t="str">
        <f t="shared" si="163"/>
        <v>y</v>
      </c>
      <c r="OMU1" s="154" t="str">
        <f t="shared" si="163"/>
        <v>y</v>
      </c>
      <c r="OMV1" s="154" t="str">
        <f t="shared" ref="OMV1:OPG1" si="164">OMV2&amp;"y"</f>
        <v>y</v>
      </c>
      <c r="OMW1" s="154" t="str">
        <f t="shared" si="164"/>
        <v>y</v>
      </c>
      <c r="OMX1" s="154" t="str">
        <f t="shared" si="164"/>
        <v>y</v>
      </c>
      <c r="OMY1" s="154" t="str">
        <f t="shared" si="164"/>
        <v>y</v>
      </c>
      <c r="OMZ1" s="154" t="str">
        <f t="shared" si="164"/>
        <v>y</v>
      </c>
      <c r="ONA1" s="154" t="str">
        <f t="shared" si="164"/>
        <v>y</v>
      </c>
      <c r="ONB1" s="154" t="str">
        <f t="shared" si="164"/>
        <v>y</v>
      </c>
      <c r="ONC1" s="154" t="str">
        <f t="shared" si="164"/>
        <v>y</v>
      </c>
      <c r="OND1" s="154" t="str">
        <f t="shared" si="164"/>
        <v>y</v>
      </c>
      <c r="ONE1" s="154" t="str">
        <f t="shared" si="164"/>
        <v>y</v>
      </c>
      <c r="ONF1" s="154" t="str">
        <f t="shared" si="164"/>
        <v>y</v>
      </c>
      <c r="ONG1" s="154" t="str">
        <f t="shared" si="164"/>
        <v>y</v>
      </c>
      <c r="ONH1" s="154" t="str">
        <f t="shared" si="164"/>
        <v>y</v>
      </c>
      <c r="ONI1" s="154" t="str">
        <f t="shared" si="164"/>
        <v>y</v>
      </c>
      <c r="ONJ1" s="154" t="str">
        <f t="shared" si="164"/>
        <v>y</v>
      </c>
      <c r="ONK1" s="154" t="str">
        <f t="shared" si="164"/>
        <v>y</v>
      </c>
      <c r="ONL1" s="154" t="str">
        <f t="shared" si="164"/>
        <v>y</v>
      </c>
      <c r="ONM1" s="154" t="str">
        <f t="shared" si="164"/>
        <v>y</v>
      </c>
      <c r="ONN1" s="154" t="str">
        <f t="shared" si="164"/>
        <v>y</v>
      </c>
      <c r="ONO1" s="154" t="str">
        <f t="shared" si="164"/>
        <v>y</v>
      </c>
      <c r="ONP1" s="154" t="str">
        <f t="shared" si="164"/>
        <v>y</v>
      </c>
      <c r="ONQ1" s="154" t="str">
        <f t="shared" si="164"/>
        <v>y</v>
      </c>
      <c r="ONR1" s="154" t="str">
        <f t="shared" si="164"/>
        <v>y</v>
      </c>
      <c r="ONS1" s="154" t="str">
        <f t="shared" si="164"/>
        <v>y</v>
      </c>
      <c r="ONT1" s="154" t="str">
        <f t="shared" si="164"/>
        <v>y</v>
      </c>
      <c r="ONU1" s="154" t="str">
        <f t="shared" si="164"/>
        <v>y</v>
      </c>
      <c r="ONV1" s="154" t="str">
        <f t="shared" si="164"/>
        <v>y</v>
      </c>
      <c r="ONW1" s="154" t="str">
        <f t="shared" si="164"/>
        <v>y</v>
      </c>
      <c r="ONX1" s="154" t="str">
        <f t="shared" si="164"/>
        <v>y</v>
      </c>
      <c r="ONY1" s="154" t="str">
        <f t="shared" si="164"/>
        <v>y</v>
      </c>
      <c r="ONZ1" s="154" t="str">
        <f t="shared" si="164"/>
        <v>y</v>
      </c>
      <c r="OOA1" s="154" t="str">
        <f t="shared" si="164"/>
        <v>y</v>
      </c>
      <c r="OOB1" s="154" t="str">
        <f t="shared" si="164"/>
        <v>y</v>
      </c>
      <c r="OOC1" s="154" t="str">
        <f t="shared" si="164"/>
        <v>y</v>
      </c>
      <c r="OOD1" s="154" t="str">
        <f t="shared" si="164"/>
        <v>y</v>
      </c>
      <c r="OOE1" s="154" t="str">
        <f t="shared" si="164"/>
        <v>y</v>
      </c>
      <c r="OOF1" s="154" t="str">
        <f t="shared" si="164"/>
        <v>y</v>
      </c>
      <c r="OOG1" s="154" t="str">
        <f t="shared" si="164"/>
        <v>y</v>
      </c>
      <c r="OOH1" s="154" t="str">
        <f t="shared" si="164"/>
        <v>y</v>
      </c>
      <c r="OOI1" s="154" t="str">
        <f t="shared" si="164"/>
        <v>y</v>
      </c>
      <c r="OOJ1" s="154" t="str">
        <f t="shared" si="164"/>
        <v>y</v>
      </c>
      <c r="OOK1" s="154" t="str">
        <f t="shared" si="164"/>
        <v>y</v>
      </c>
      <c r="OOL1" s="154" t="str">
        <f t="shared" si="164"/>
        <v>y</v>
      </c>
      <c r="OOM1" s="154" t="str">
        <f t="shared" si="164"/>
        <v>y</v>
      </c>
      <c r="OON1" s="154" t="str">
        <f t="shared" si="164"/>
        <v>y</v>
      </c>
      <c r="OOO1" s="154" t="str">
        <f t="shared" si="164"/>
        <v>y</v>
      </c>
      <c r="OOP1" s="154" t="str">
        <f t="shared" si="164"/>
        <v>y</v>
      </c>
      <c r="OOQ1" s="154" t="str">
        <f t="shared" si="164"/>
        <v>y</v>
      </c>
      <c r="OOR1" s="154" t="str">
        <f t="shared" si="164"/>
        <v>y</v>
      </c>
      <c r="OOS1" s="154" t="str">
        <f t="shared" si="164"/>
        <v>y</v>
      </c>
      <c r="OOT1" s="154" t="str">
        <f t="shared" si="164"/>
        <v>y</v>
      </c>
      <c r="OOU1" s="154" t="str">
        <f t="shared" si="164"/>
        <v>y</v>
      </c>
      <c r="OOV1" s="154" t="str">
        <f t="shared" si="164"/>
        <v>y</v>
      </c>
      <c r="OOW1" s="154" t="str">
        <f t="shared" si="164"/>
        <v>y</v>
      </c>
      <c r="OOX1" s="154" t="str">
        <f t="shared" si="164"/>
        <v>y</v>
      </c>
      <c r="OOY1" s="154" t="str">
        <f t="shared" si="164"/>
        <v>y</v>
      </c>
      <c r="OOZ1" s="154" t="str">
        <f t="shared" si="164"/>
        <v>y</v>
      </c>
      <c r="OPA1" s="154" t="str">
        <f t="shared" si="164"/>
        <v>y</v>
      </c>
      <c r="OPB1" s="154" t="str">
        <f t="shared" si="164"/>
        <v>y</v>
      </c>
      <c r="OPC1" s="154" t="str">
        <f t="shared" si="164"/>
        <v>y</v>
      </c>
      <c r="OPD1" s="154" t="str">
        <f t="shared" si="164"/>
        <v>y</v>
      </c>
      <c r="OPE1" s="154" t="str">
        <f t="shared" si="164"/>
        <v>y</v>
      </c>
      <c r="OPF1" s="154" t="str">
        <f t="shared" si="164"/>
        <v>y</v>
      </c>
      <c r="OPG1" s="154" t="str">
        <f t="shared" si="164"/>
        <v>y</v>
      </c>
      <c r="OPH1" s="154" t="str">
        <f t="shared" ref="OPH1:ORS1" si="165">OPH2&amp;"y"</f>
        <v>y</v>
      </c>
      <c r="OPI1" s="154" t="str">
        <f t="shared" si="165"/>
        <v>y</v>
      </c>
      <c r="OPJ1" s="154" t="str">
        <f t="shared" si="165"/>
        <v>y</v>
      </c>
      <c r="OPK1" s="154" t="str">
        <f t="shared" si="165"/>
        <v>y</v>
      </c>
      <c r="OPL1" s="154" t="str">
        <f t="shared" si="165"/>
        <v>y</v>
      </c>
      <c r="OPM1" s="154" t="str">
        <f t="shared" si="165"/>
        <v>y</v>
      </c>
      <c r="OPN1" s="154" t="str">
        <f t="shared" si="165"/>
        <v>y</v>
      </c>
      <c r="OPO1" s="154" t="str">
        <f t="shared" si="165"/>
        <v>y</v>
      </c>
      <c r="OPP1" s="154" t="str">
        <f t="shared" si="165"/>
        <v>y</v>
      </c>
      <c r="OPQ1" s="154" t="str">
        <f t="shared" si="165"/>
        <v>y</v>
      </c>
      <c r="OPR1" s="154" t="str">
        <f t="shared" si="165"/>
        <v>y</v>
      </c>
      <c r="OPS1" s="154" t="str">
        <f t="shared" si="165"/>
        <v>y</v>
      </c>
      <c r="OPT1" s="154" t="str">
        <f t="shared" si="165"/>
        <v>y</v>
      </c>
      <c r="OPU1" s="154" t="str">
        <f t="shared" si="165"/>
        <v>y</v>
      </c>
      <c r="OPV1" s="154" t="str">
        <f t="shared" si="165"/>
        <v>y</v>
      </c>
      <c r="OPW1" s="154" t="str">
        <f t="shared" si="165"/>
        <v>y</v>
      </c>
      <c r="OPX1" s="154" t="str">
        <f t="shared" si="165"/>
        <v>y</v>
      </c>
      <c r="OPY1" s="154" t="str">
        <f t="shared" si="165"/>
        <v>y</v>
      </c>
      <c r="OPZ1" s="154" t="str">
        <f t="shared" si="165"/>
        <v>y</v>
      </c>
      <c r="OQA1" s="154" t="str">
        <f t="shared" si="165"/>
        <v>y</v>
      </c>
      <c r="OQB1" s="154" t="str">
        <f t="shared" si="165"/>
        <v>y</v>
      </c>
      <c r="OQC1" s="154" t="str">
        <f t="shared" si="165"/>
        <v>y</v>
      </c>
      <c r="OQD1" s="154" t="str">
        <f t="shared" si="165"/>
        <v>y</v>
      </c>
      <c r="OQE1" s="154" t="str">
        <f t="shared" si="165"/>
        <v>y</v>
      </c>
      <c r="OQF1" s="154" t="str">
        <f t="shared" si="165"/>
        <v>y</v>
      </c>
      <c r="OQG1" s="154" t="str">
        <f t="shared" si="165"/>
        <v>y</v>
      </c>
      <c r="OQH1" s="154" t="str">
        <f t="shared" si="165"/>
        <v>y</v>
      </c>
      <c r="OQI1" s="154" t="str">
        <f t="shared" si="165"/>
        <v>y</v>
      </c>
      <c r="OQJ1" s="154" t="str">
        <f t="shared" si="165"/>
        <v>y</v>
      </c>
      <c r="OQK1" s="154" t="str">
        <f t="shared" si="165"/>
        <v>y</v>
      </c>
      <c r="OQL1" s="154" t="str">
        <f t="shared" si="165"/>
        <v>y</v>
      </c>
      <c r="OQM1" s="154" t="str">
        <f t="shared" si="165"/>
        <v>y</v>
      </c>
      <c r="OQN1" s="154" t="str">
        <f t="shared" si="165"/>
        <v>y</v>
      </c>
      <c r="OQO1" s="154" t="str">
        <f t="shared" si="165"/>
        <v>y</v>
      </c>
      <c r="OQP1" s="154" t="str">
        <f t="shared" si="165"/>
        <v>y</v>
      </c>
      <c r="OQQ1" s="154" t="str">
        <f t="shared" si="165"/>
        <v>y</v>
      </c>
      <c r="OQR1" s="154" t="str">
        <f t="shared" si="165"/>
        <v>y</v>
      </c>
      <c r="OQS1" s="154" t="str">
        <f t="shared" si="165"/>
        <v>y</v>
      </c>
      <c r="OQT1" s="154" t="str">
        <f t="shared" si="165"/>
        <v>y</v>
      </c>
      <c r="OQU1" s="154" t="str">
        <f t="shared" si="165"/>
        <v>y</v>
      </c>
      <c r="OQV1" s="154" t="str">
        <f t="shared" si="165"/>
        <v>y</v>
      </c>
      <c r="OQW1" s="154" t="str">
        <f t="shared" si="165"/>
        <v>y</v>
      </c>
      <c r="OQX1" s="154" t="str">
        <f t="shared" si="165"/>
        <v>y</v>
      </c>
      <c r="OQY1" s="154" t="str">
        <f t="shared" si="165"/>
        <v>y</v>
      </c>
      <c r="OQZ1" s="154" t="str">
        <f t="shared" si="165"/>
        <v>y</v>
      </c>
      <c r="ORA1" s="154" t="str">
        <f t="shared" si="165"/>
        <v>y</v>
      </c>
      <c r="ORB1" s="154" t="str">
        <f t="shared" si="165"/>
        <v>y</v>
      </c>
      <c r="ORC1" s="154" t="str">
        <f t="shared" si="165"/>
        <v>y</v>
      </c>
      <c r="ORD1" s="154" t="str">
        <f t="shared" si="165"/>
        <v>y</v>
      </c>
      <c r="ORE1" s="154" t="str">
        <f t="shared" si="165"/>
        <v>y</v>
      </c>
      <c r="ORF1" s="154" t="str">
        <f t="shared" si="165"/>
        <v>y</v>
      </c>
      <c r="ORG1" s="154" t="str">
        <f t="shared" si="165"/>
        <v>y</v>
      </c>
      <c r="ORH1" s="154" t="str">
        <f t="shared" si="165"/>
        <v>y</v>
      </c>
      <c r="ORI1" s="154" t="str">
        <f t="shared" si="165"/>
        <v>y</v>
      </c>
      <c r="ORJ1" s="154" t="str">
        <f t="shared" si="165"/>
        <v>y</v>
      </c>
      <c r="ORK1" s="154" t="str">
        <f t="shared" si="165"/>
        <v>y</v>
      </c>
      <c r="ORL1" s="154" t="str">
        <f t="shared" si="165"/>
        <v>y</v>
      </c>
      <c r="ORM1" s="154" t="str">
        <f t="shared" si="165"/>
        <v>y</v>
      </c>
      <c r="ORN1" s="154" t="str">
        <f t="shared" si="165"/>
        <v>y</v>
      </c>
      <c r="ORO1" s="154" t="str">
        <f t="shared" si="165"/>
        <v>y</v>
      </c>
      <c r="ORP1" s="154" t="str">
        <f t="shared" si="165"/>
        <v>y</v>
      </c>
      <c r="ORQ1" s="154" t="str">
        <f t="shared" si="165"/>
        <v>y</v>
      </c>
      <c r="ORR1" s="154" t="str">
        <f t="shared" si="165"/>
        <v>y</v>
      </c>
      <c r="ORS1" s="154" t="str">
        <f t="shared" si="165"/>
        <v>y</v>
      </c>
      <c r="ORT1" s="154" t="str">
        <f t="shared" ref="ORT1:OUE1" si="166">ORT2&amp;"y"</f>
        <v>y</v>
      </c>
      <c r="ORU1" s="154" t="str">
        <f t="shared" si="166"/>
        <v>y</v>
      </c>
      <c r="ORV1" s="154" t="str">
        <f t="shared" si="166"/>
        <v>y</v>
      </c>
      <c r="ORW1" s="154" t="str">
        <f t="shared" si="166"/>
        <v>y</v>
      </c>
      <c r="ORX1" s="154" t="str">
        <f t="shared" si="166"/>
        <v>y</v>
      </c>
      <c r="ORY1" s="154" t="str">
        <f t="shared" si="166"/>
        <v>y</v>
      </c>
      <c r="ORZ1" s="154" t="str">
        <f t="shared" si="166"/>
        <v>y</v>
      </c>
      <c r="OSA1" s="154" t="str">
        <f t="shared" si="166"/>
        <v>y</v>
      </c>
      <c r="OSB1" s="154" t="str">
        <f t="shared" si="166"/>
        <v>y</v>
      </c>
      <c r="OSC1" s="154" t="str">
        <f t="shared" si="166"/>
        <v>y</v>
      </c>
      <c r="OSD1" s="154" t="str">
        <f t="shared" si="166"/>
        <v>y</v>
      </c>
      <c r="OSE1" s="154" t="str">
        <f t="shared" si="166"/>
        <v>y</v>
      </c>
      <c r="OSF1" s="154" t="str">
        <f t="shared" si="166"/>
        <v>y</v>
      </c>
      <c r="OSG1" s="154" t="str">
        <f t="shared" si="166"/>
        <v>y</v>
      </c>
      <c r="OSH1" s="154" t="str">
        <f t="shared" si="166"/>
        <v>y</v>
      </c>
      <c r="OSI1" s="154" t="str">
        <f t="shared" si="166"/>
        <v>y</v>
      </c>
      <c r="OSJ1" s="154" t="str">
        <f t="shared" si="166"/>
        <v>y</v>
      </c>
      <c r="OSK1" s="154" t="str">
        <f t="shared" si="166"/>
        <v>y</v>
      </c>
      <c r="OSL1" s="154" t="str">
        <f t="shared" si="166"/>
        <v>y</v>
      </c>
      <c r="OSM1" s="154" t="str">
        <f t="shared" si="166"/>
        <v>y</v>
      </c>
      <c r="OSN1" s="154" t="str">
        <f t="shared" si="166"/>
        <v>y</v>
      </c>
      <c r="OSO1" s="154" t="str">
        <f t="shared" si="166"/>
        <v>y</v>
      </c>
      <c r="OSP1" s="154" t="str">
        <f t="shared" si="166"/>
        <v>y</v>
      </c>
      <c r="OSQ1" s="154" t="str">
        <f t="shared" si="166"/>
        <v>y</v>
      </c>
      <c r="OSR1" s="154" t="str">
        <f t="shared" si="166"/>
        <v>y</v>
      </c>
      <c r="OSS1" s="154" t="str">
        <f t="shared" si="166"/>
        <v>y</v>
      </c>
      <c r="OST1" s="154" t="str">
        <f t="shared" si="166"/>
        <v>y</v>
      </c>
      <c r="OSU1" s="154" t="str">
        <f t="shared" si="166"/>
        <v>y</v>
      </c>
      <c r="OSV1" s="154" t="str">
        <f t="shared" si="166"/>
        <v>y</v>
      </c>
      <c r="OSW1" s="154" t="str">
        <f t="shared" si="166"/>
        <v>y</v>
      </c>
      <c r="OSX1" s="154" t="str">
        <f t="shared" si="166"/>
        <v>y</v>
      </c>
      <c r="OSY1" s="154" t="str">
        <f t="shared" si="166"/>
        <v>y</v>
      </c>
      <c r="OSZ1" s="154" t="str">
        <f t="shared" si="166"/>
        <v>y</v>
      </c>
      <c r="OTA1" s="154" t="str">
        <f t="shared" si="166"/>
        <v>y</v>
      </c>
      <c r="OTB1" s="154" t="str">
        <f t="shared" si="166"/>
        <v>y</v>
      </c>
      <c r="OTC1" s="154" t="str">
        <f t="shared" si="166"/>
        <v>y</v>
      </c>
      <c r="OTD1" s="154" t="str">
        <f t="shared" si="166"/>
        <v>y</v>
      </c>
      <c r="OTE1" s="154" t="str">
        <f t="shared" si="166"/>
        <v>y</v>
      </c>
      <c r="OTF1" s="154" t="str">
        <f t="shared" si="166"/>
        <v>y</v>
      </c>
      <c r="OTG1" s="154" t="str">
        <f t="shared" si="166"/>
        <v>y</v>
      </c>
      <c r="OTH1" s="154" t="str">
        <f t="shared" si="166"/>
        <v>y</v>
      </c>
      <c r="OTI1" s="154" t="str">
        <f t="shared" si="166"/>
        <v>y</v>
      </c>
      <c r="OTJ1" s="154" t="str">
        <f t="shared" si="166"/>
        <v>y</v>
      </c>
      <c r="OTK1" s="154" t="str">
        <f t="shared" si="166"/>
        <v>y</v>
      </c>
      <c r="OTL1" s="154" t="str">
        <f t="shared" si="166"/>
        <v>y</v>
      </c>
      <c r="OTM1" s="154" t="str">
        <f t="shared" si="166"/>
        <v>y</v>
      </c>
      <c r="OTN1" s="154" t="str">
        <f t="shared" si="166"/>
        <v>y</v>
      </c>
      <c r="OTO1" s="154" t="str">
        <f t="shared" si="166"/>
        <v>y</v>
      </c>
      <c r="OTP1" s="154" t="str">
        <f t="shared" si="166"/>
        <v>y</v>
      </c>
      <c r="OTQ1" s="154" t="str">
        <f t="shared" si="166"/>
        <v>y</v>
      </c>
      <c r="OTR1" s="154" t="str">
        <f t="shared" si="166"/>
        <v>y</v>
      </c>
      <c r="OTS1" s="154" t="str">
        <f t="shared" si="166"/>
        <v>y</v>
      </c>
      <c r="OTT1" s="154" t="str">
        <f t="shared" si="166"/>
        <v>y</v>
      </c>
      <c r="OTU1" s="154" t="str">
        <f t="shared" si="166"/>
        <v>y</v>
      </c>
      <c r="OTV1" s="154" t="str">
        <f t="shared" si="166"/>
        <v>y</v>
      </c>
      <c r="OTW1" s="154" t="str">
        <f t="shared" si="166"/>
        <v>y</v>
      </c>
      <c r="OTX1" s="154" t="str">
        <f t="shared" si="166"/>
        <v>y</v>
      </c>
      <c r="OTY1" s="154" t="str">
        <f t="shared" si="166"/>
        <v>y</v>
      </c>
      <c r="OTZ1" s="154" t="str">
        <f t="shared" si="166"/>
        <v>y</v>
      </c>
      <c r="OUA1" s="154" t="str">
        <f t="shared" si="166"/>
        <v>y</v>
      </c>
      <c r="OUB1" s="154" t="str">
        <f t="shared" si="166"/>
        <v>y</v>
      </c>
      <c r="OUC1" s="154" t="str">
        <f t="shared" si="166"/>
        <v>y</v>
      </c>
      <c r="OUD1" s="154" t="str">
        <f t="shared" si="166"/>
        <v>y</v>
      </c>
      <c r="OUE1" s="154" t="str">
        <f t="shared" si="166"/>
        <v>y</v>
      </c>
      <c r="OUF1" s="154" t="str">
        <f t="shared" ref="OUF1:OWQ1" si="167">OUF2&amp;"y"</f>
        <v>y</v>
      </c>
      <c r="OUG1" s="154" t="str">
        <f t="shared" si="167"/>
        <v>y</v>
      </c>
      <c r="OUH1" s="154" t="str">
        <f t="shared" si="167"/>
        <v>y</v>
      </c>
      <c r="OUI1" s="154" t="str">
        <f t="shared" si="167"/>
        <v>y</v>
      </c>
      <c r="OUJ1" s="154" t="str">
        <f t="shared" si="167"/>
        <v>y</v>
      </c>
      <c r="OUK1" s="154" t="str">
        <f t="shared" si="167"/>
        <v>y</v>
      </c>
      <c r="OUL1" s="154" t="str">
        <f t="shared" si="167"/>
        <v>y</v>
      </c>
      <c r="OUM1" s="154" t="str">
        <f t="shared" si="167"/>
        <v>y</v>
      </c>
      <c r="OUN1" s="154" t="str">
        <f t="shared" si="167"/>
        <v>y</v>
      </c>
      <c r="OUO1" s="154" t="str">
        <f t="shared" si="167"/>
        <v>y</v>
      </c>
      <c r="OUP1" s="154" t="str">
        <f t="shared" si="167"/>
        <v>y</v>
      </c>
      <c r="OUQ1" s="154" t="str">
        <f t="shared" si="167"/>
        <v>y</v>
      </c>
      <c r="OUR1" s="154" t="str">
        <f t="shared" si="167"/>
        <v>y</v>
      </c>
      <c r="OUS1" s="154" t="str">
        <f t="shared" si="167"/>
        <v>y</v>
      </c>
      <c r="OUT1" s="154" t="str">
        <f t="shared" si="167"/>
        <v>y</v>
      </c>
      <c r="OUU1" s="154" t="str">
        <f t="shared" si="167"/>
        <v>y</v>
      </c>
      <c r="OUV1" s="154" t="str">
        <f t="shared" si="167"/>
        <v>y</v>
      </c>
      <c r="OUW1" s="154" t="str">
        <f t="shared" si="167"/>
        <v>y</v>
      </c>
      <c r="OUX1" s="154" t="str">
        <f t="shared" si="167"/>
        <v>y</v>
      </c>
      <c r="OUY1" s="154" t="str">
        <f t="shared" si="167"/>
        <v>y</v>
      </c>
      <c r="OUZ1" s="154" t="str">
        <f t="shared" si="167"/>
        <v>y</v>
      </c>
      <c r="OVA1" s="154" t="str">
        <f t="shared" si="167"/>
        <v>y</v>
      </c>
      <c r="OVB1" s="154" t="str">
        <f t="shared" si="167"/>
        <v>y</v>
      </c>
      <c r="OVC1" s="154" t="str">
        <f t="shared" si="167"/>
        <v>y</v>
      </c>
      <c r="OVD1" s="154" t="str">
        <f t="shared" si="167"/>
        <v>y</v>
      </c>
      <c r="OVE1" s="154" t="str">
        <f t="shared" si="167"/>
        <v>y</v>
      </c>
      <c r="OVF1" s="154" t="str">
        <f t="shared" si="167"/>
        <v>y</v>
      </c>
      <c r="OVG1" s="154" t="str">
        <f t="shared" si="167"/>
        <v>y</v>
      </c>
      <c r="OVH1" s="154" t="str">
        <f t="shared" si="167"/>
        <v>y</v>
      </c>
      <c r="OVI1" s="154" t="str">
        <f t="shared" si="167"/>
        <v>y</v>
      </c>
      <c r="OVJ1" s="154" t="str">
        <f t="shared" si="167"/>
        <v>y</v>
      </c>
      <c r="OVK1" s="154" t="str">
        <f t="shared" si="167"/>
        <v>y</v>
      </c>
      <c r="OVL1" s="154" t="str">
        <f t="shared" si="167"/>
        <v>y</v>
      </c>
      <c r="OVM1" s="154" t="str">
        <f t="shared" si="167"/>
        <v>y</v>
      </c>
      <c r="OVN1" s="154" t="str">
        <f t="shared" si="167"/>
        <v>y</v>
      </c>
      <c r="OVO1" s="154" t="str">
        <f t="shared" si="167"/>
        <v>y</v>
      </c>
      <c r="OVP1" s="154" t="str">
        <f t="shared" si="167"/>
        <v>y</v>
      </c>
      <c r="OVQ1" s="154" t="str">
        <f t="shared" si="167"/>
        <v>y</v>
      </c>
      <c r="OVR1" s="154" t="str">
        <f t="shared" si="167"/>
        <v>y</v>
      </c>
      <c r="OVS1" s="154" t="str">
        <f t="shared" si="167"/>
        <v>y</v>
      </c>
      <c r="OVT1" s="154" t="str">
        <f t="shared" si="167"/>
        <v>y</v>
      </c>
      <c r="OVU1" s="154" t="str">
        <f t="shared" si="167"/>
        <v>y</v>
      </c>
      <c r="OVV1" s="154" t="str">
        <f t="shared" si="167"/>
        <v>y</v>
      </c>
      <c r="OVW1" s="154" t="str">
        <f t="shared" si="167"/>
        <v>y</v>
      </c>
      <c r="OVX1" s="154" t="str">
        <f t="shared" si="167"/>
        <v>y</v>
      </c>
      <c r="OVY1" s="154" t="str">
        <f t="shared" si="167"/>
        <v>y</v>
      </c>
      <c r="OVZ1" s="154" t="str">
        <f t="shared" si="167"/>
        <v>y</v>
      </c>
      <c r="OWA1" s="154" t="str">
        <f t="shared" si="167"/>
        <v>y</v>
      </c>
      <c r="OWB1" s="154" t="str">
        <f t="shared" si="167"/>
        <v>y</v>
      </c>
      <c r="OWC1" s="154" t="str">
        <f t="shared" si="167"/>
        <v>y</v>
      </c>
      <c r="OWD1" s="154" t="str">
        <f t="shared" si="167"/>
        <v>y</v>
      </c>
      <c r="OWE1" s="154" t="str">
        <f t="shared" si="167"/>
        <v>y</v>
      </c>
      <c r="OWF1" s="154" t="str">
        <f t="shared" si="167"/>
        <v>y</v>
      </c>
      <c r="OWG1" s="154" t="str">
        <f t="shared" si="167"/>
        <v>y</v>
      </c>
      <c r="OWH1" s="154" t="str">
        <f t="shared" si="167"/>
        <v>y</v>
      </c>
      <c r="OWI1" s="154" t="str">
        <f t="shared" si="167"/>
        <v>y</v>
      </c>
      <c r="OWJ1" s="154" t="str">
        <f t="shared" si="167"/>
        <v>y</v>
      </c>
      <c r="OWK1" s="154" t="str">
        <f t="shared" si="167"/>
        <v>y</v>
      </c>
      <c r="OWL1" s="154" t="str">
        <f t="shared" si="167"/>
        <v>y</v>
      </c>
      <c r="OWM1" s="154" t="str">
        <f t="shared" si="167"/>
        <v>y</v>
      </c>
      <c r="OWN1" s="154" t="str">
        <f t="shared" si="167"/>
        <v>y</v>
      </c>
      <c r="OWO1" s="154" t="str">
        <f t="shared" si="167"/>
        <v>y</v>
      </c>
      <c r="OWP1" s="154" t="str">
        <f t="shared" si="167"/>
        <v>y</v>
      </c>
      <c r="OWQ1" s="154" t="str">
        <f t="shared" si="167"/>
        <v>y</v>
      </c>
      <c r="OWR1" s="154" t="str">
        <f t="shared" ref="OWR1:OZC1" si="168">OWR2&amp;"y"</f>
        <v>y</v>
      </c>
      <c r="OWS1" s="154" t="str">
        <f t="shared" si="168"/>
        <v>y</v>
      </c>
      <c r="OWT1" s="154" t="str">
        <f t="shared" si="168"/>
        <v>y</v>
      </c>
      <c r="OWU1" s="154" t="str">
        <f t="shared" si="168"/>
        <v>y</v>
      </c>
      <c r="OWV1" s="154" t="str">
        <f t="shared" si="168"/>
        <v>y</v>
      </c>
      <c r="OWW1" s="154" t="str">
        <f t="shared" si="168"/>
        <v>y</v>
      </c>
      <c r="OWX1" s="154" t="str">
        <f t="shared" si="168"/>
        <v>y</v>
      </c>
      <c r="OWY1" s="154" t="str">
        <f t="shared" si="168"/>
        <v>y</v>
      </c>
      <c r="OWZ1" s="154" t="str">
        <f t="shared" si="168"/>
        <v>y</v>
      </c>
      <c r="OXA1" s="154" t="str">
        <f t="shared" si="168"/>
        <v>y</v>
      </c>
      <c r="OXB1" s="154" t="str">
        <f t="shared" si="168"/>
        <v>y</v>
      </c>
      <c r="OXC1" s="154" t="str">
        <f t="shared" si="168"/>
        <v>y</v>
      </c>
      <c r="OXD1" s="154" t="str">
        <f t="shared" si="168"/>
        <v>y</v>
      </c>
      <c r="OXE1" s="154" t="str">
        <f t="shared" si="168"/>
        <v>y</v>
      </c>
      <c r="OXF1" s="154" t="str">
        <f t="shared" si="168"/>
        <v>y</v>
      </c>
      <c r="OXG1" s="154" t="str">
        <f t="shared" si="168"/>
        <v>y</v>
      </c>
      <c r="OXH1" s="154" t="str">
        <f t="shared" si="168"/>
        <v>y</v>
      </c>
      <c r="OXI1" s="154" t="str">
        <f t="shared" si="168"/>
        <v>y</v>
      </c>
      <c r="OXJ1" s="154" t="str">
        <f t="shared" si="168"/>
        <v>y</v>
      </c>
      <c r="OXK1" s="154" t="str">
        <f t="shared" si="168"/>
        <v>y</v>
      </c>
      <c r="OXL1" s="154" t="str">
        <f t="shared" si="168"/>
        <v>y</v>
      </c>
      <c r="OXM1" s="154" t="str">
        <f t="shared" si="168"/>
        <v>y</v>
      </c>
      <c r="OXN1" s="154" t="str">
        <f t="shared" si="168"/>
        <v>y</v>
      </c>
      <c r="OXO1" s="154" t="str">
        <f t="shared" si="168"/>
        <v>y</v>
      </c>
      <c r="OXP1" s="154" t="str">
        <f t="shared" si="168"/>
        <v>y</v>
      </c>
      <c r="OXQ1" s="154" t="str">
        <f t="shared" si="168"/>
        <v>y</v>
      </c>
      <c r="OXR1" s="154" t="str">
        <f t="shared" si="168"/>
        <v>y</v>
      </c>
      <c r="OXS1" s="154" t="str">
        <f t="shared" si="168"/>
        <v>y</v>
      </c>
      <c r="OXT1" s="154" t="str">
        <f t="shared" si="168"/>
        <v>y</v>
      </c>
      <c r="OXU1" s="154" t="str">
        <f t="shared" si="168"/>
        <v>y</v>
      </c>
      <c r="OXV1" s="154" t="str">
        <f t="shared" si="168"/>
        <v>y</v>
      </c>
      <c r="OXW1" s="154" t="str">
        <f t="shared" si="168"/>
        <v>y</v>
      </c>
      <c r="OXX1" s="154" t="str">
        <f t="shared" si="168"/>
        <v>y</v>
      </c>
      <c r="OXY1" s="154" t="str">
        <f t="shared" si="168"/>
        <v>y</v>
      </c>
      <c r="OXZ1" s="154" t="str">
        <f t="shared" si="168"/>
        <v>y</v>
      </c>
      <c r="OYA1" s="154" t="str">
        <f t="shared" si="168"/>
        <v>y</v>
      </c>
      <c r="OYB1" s="154" t="str">
        <f t="shared" si="168"/>
        <v>y</v>
      </c>
      <c r="OYC1" s="154" t="str">
        <f t="shared" si="168"/>
        <v>y</v>
      </c>
      <c r="OYD1" s="154" t="str">
        <f t="shared" si="168"/>
        <v>y</v>
      </c>
      <c r="OYE1" s="154" t="str">
        <f t="shared" si="168"/>
        <v>y</v>
      </c>
      <c r="OYF1" s="154" t="str">
        <f t="shared" si="168"/>
        <v>y</v>
      </c>
      <c r="OYG1" s="154" t="str">
        <f t="shared" si="168"/>
        <v>y</v>
      </c>
      <c r="OYH1" s="154" t="str">
        <f t="shared" si="168"/>
        <v>y</v>
      </c>
      <c r="OYI1" s="154" t="str">
        <f t="shared" si="168"/>
        <v>y</v>
      </c>
      <c r="OYJ1" s="154" t="str">
        <f t="shared" si="168"/>
        <v>y</v>
      </c>
      <c r="OYK1" s="154" t="str">
        <f t="shared" si="168"/>
        <v>y</v>
      </c>
      <c r="OYL1" s="154" t="str">
        <f t="shared" si="168"/>
        <v>y</v>
      </c>
      <c r="OYM1" s="154" t="str">
        <f t="shared" si="168"/>
        <v>y</v>
      </c>
      <c r="OYN1" s="154" t="str">
        <f t="shared" si="168"/>
        <v>y</v>
      </c>
      <c r="OYO1" s="154" t="str">
        <f t="shared" si="168"/>
        <v>y</v>
      </c>
      <c r="OYP1" s="154" t="str">
        <f t="shared" si="168"/>
        <v>y</v>
      </c>
      <c r="OYQ1" s="154" t="str">
        <f t="shared" si="168"/>
        <v>y</v>
      </c>
      <c r="OYR1" s="154" t="str">
        <f t="shared" si="168"/>
        <v>y</v>
      </c>
      <c r="OYS1" s="154" t="str">
        <f t="shared" si="168"/>
        <v>y</v>
      </c>
      <c r="OYT1" s="154" t="str">
        <f t="shared" si="168"/>
        <v>y</v>
      </c>
      <c r="OYU1" s="154" t="str">
        <f t="shared" si="168"/>
        <v>y</v>
      </c>
      <c r="OYV1" s="154" t="str">
        <f t="shared" si="168"/>
        <v>y</v>
      </c>
      <c r="OYW1" s="154" t="str">
        <f t="shared" si="168"/>
        <v>y</v>
      </c>
      <c r="OYX1" s="154" t="str">
        <f t="shared" si="168"/>
        <v>y</v>
      </c>
      <c r="OYY1" s="154" t="str">
        <f t="shared" si="168"/>
        <v>y</v>
      </c>
      <c r="OYZ1" s="154" t="str">
        <f t="shared" si="168"/>
        <v>y</v>
      </c>
      <c r="OZA1" s="154" t="str">
        <f t="shared" si="168"/>
        <v>y</v>
      </c>
      <c r="OZB1" s="154" t="str">
        <f t="shared" si="168"/>
        <v>y</v>
      </c>
      <c r="OZC1" s="154" t="str">
        <f t="shared" si="168"/>
        <v>y</v>
      </c>
      <c r="OZD1" s="154" t="str">
        <f t="shared" ref="OZD1:PBO1" si="169">OZD2&amp;"y"</f>
        <v>y</v>
      </c>
      <c r="OZE1" s="154" t="str">
        <f t="shared" si="169"/>
        <v>y</v>
      </c>
      <c r="OZF1" s="154" t="str">
        <f t="shared" si="169"/>
        <v>y</v>
      </c>
      <c r="OZG1" s="154" t="str">
        <f t="shared" si="169"/>
        <v>y</v>
      </c>
      <c r="OZH1" s="154" t="str">
        <f t="shared" si="169"/>
        <v>y</v>
      </c>
      <c r="OZI1" s="154" t="str">
        <f t="shared" si="169"/>
        <v>y</v>
      </c>
      <c r="OZJ1" s="154" t="str">
        <f t="shared" si="169"/>
        <v>y</v>
      </c>
      <c r="OZK1" s="154" t="str">
        <f t="shared" si="169"/>
        <v>y</v>
      </c>
      <c r="OZL1" s="154" t="str">
        <f t="shared" si="169"/>
        <v>y</v>
      </c>
      <c r="OZM1" s="154" t="str">
        <f t="shared" si="169"/>
        <v>y</v>
      </c>
      <c r="OZN1" s="154" t="str">
        <f t="shared" si="169"/>
        <v>y</v>
      </c>
      <c r="OZO1" s="154" t="str">
        <f t="shared" si="169"/>
        <v>y</v>
      </c>
      <c r="OZP1" s="154" t="str">
        <f t="shared" si="169"/>
        <v>y</v>
      </c>
      <c r="OZQ1" s="154" t="str">
        <f t="shared" si="169"/>
        <v>y</v>
      </c>
      <c r="OZR1" s="154" t="str">
        <f t="shared" si="169"/>
        <v>y</v>
      </c>
      <c r="OZS1" s="154" t="str">
        <f t="shared" si="169"/>
        <v>y</v>
      </c>
      <c r="OZT1" s="154" t="str">
        <f t="shared" si="169"/>
        <v>y</v>
      </c>
      <c r="OZU1" s="154" t="str">
        <f t="shared" si="169"/>
        <v>y</v>
      </c>
      <c r="OZV1" s="154" t="str">
        <f t="shared" si="169"/>
        <v>y</v>
      </c>
      <c r="OZW1" s="154" t="str">
        <f t="shared" si="169"/>
        <v>y</v>
      </c>
      <c r="OZX1" s="154" t="str">
        <f t="shared" si="169"/>
        <v>y</v>
      </c>
      <c r="OZY1" s="154" t="str">
        <f t="shared" si="169"/>
        <v>y</v>
      </c>
      <c r="OZZ1" s="154" t="str">
        <f t="shared" si="169"/>
        <v>y</v>
      </c>
      <c r="PAA1" s="154" t="str">
        <f t="shared" si="169"/>
        <v>y</v>
      </c>
      <c r="PAB1" s="154" t="str">
        <f t="shared" si="169"/>
        <v>y</v>
      </c>
      <c r="PAC1" s="154" t="str">
        <f t="shared" si="169"/>
        <v>y</v>
      </c>
      <c r="PAD1" s="154" t="str">
        <f t="shared" si="169"/>
        <v>y</v>
      </c>
      <c r="PAE1" s="154" t="str">
        <f t="shared" si="169"/>
        <v>y</v>
      </c>
      <c r="PAF1" s="154" t="str">
        <f t="shared" si="169"/>
        <v>y</v>
      </c>
      <c r="PAG1" s="154" t="str">
        <f t="shared" si="169"/>
        <v>y</v>
      </c>
      <c r="PAH1" s="154" t="str">
        <f t="shared" si="169"/>
        <v>y</v>
      </c>
      <c r="PAI1" s="154" t="str">
        <f t="shared" si="169"/>
        <v>y</v>
      </c>
      <c r="PAJ1" s="154" t="str">
        <f t="shared" si="169"/>
        <v>y</v>
      </c>
      <c r="PAK1" s="154" t="str">
        <f t="shared" si="169"/>
        <v>y</v>
      </c>
      <c r="PAL1" s="154" t="str">
        <f t="shared" si="169"/>
        <v>y</v>
      </c>
      <c r="PAM1" s="154" t="str">
        <f t="shared" si="169"/>
        <v>y</v>
      </c>
      <c r="PAN1" s="154" t="str">
        <f t="shared" si="169"/>
        <v>y</v>
      </c>
      <c r="PAO1" s="154" t="str">
        <f t="shared" si="169"/>
        <v>y</v>
      </c>
      <c r="PAP1" s="154" t="str">
        <f t="shared" si="169"/>
        <v>y</v>
      </c>
      <c r="PAQ1" s="154" t="str">
        <f t="shared" si="169"/>
        <v>y</v>
      </c>
      <c r="PAR1" s="154" t="str">
        <f t="shared" si="169"/>
        <v>y</v>
      </c>
      <c r="PAS1" s="154" t="str">
        <f t="shared" si="169"/>
        <v>y</v>
      </c>
      <c r="PAT1" s="154" t="str">
        <f t="shared" si="169"/>
        <v>y</v>
      </c>
      <c r="PAU1" s="154" t="str">
        <f t="shared" si="169"/>
        <v>y</v>
      </c>
      <c r="PAV1" s="154" t="str">
        <f t="shared" si="169"/>
        <v>y</v>
      </c>
      <c r="PAW1" s="154" t="str">
        <f t="shared" si="169"/>
        <v>y</v>
      </c>
      <c r="PAX1" s="154" t="str">
        <f t="shared" si="169"/>
        <v>y</v>
      </c>
      <c r="PAY1" s="154" t="str">
        <f t="shared" si="169"/>
        <v>y</v>
      </c>
      <c r="PAZ1" s="154" t="str">
        <f t="shared" si="169"/>
        <v>y</v>
      </c>
      <c r="PBA1" s="154" t="str">
        <f t="shared" si="169"/>
        <v>y</v>
      </c>
      <c r="PBB1" s="154" t="str">
        <f t="shared" si="169"/>
        <v>y</v>
      </c>
      <c r="PBC1" s="154" t="str">
        <f t="shared" si="169"/>
        <v>y</v>
      </c>
      <c r="PBD1" s="154" t="str">
        <f t="shared" si="169"/>
        <v>y</v>
      </c>
      <c r="PBE1" s="154" t="str">
        <f t="shared" si="169"/>
        <v>y</v>
      </c>
      <c r="PBF1" s="154" t="str">
        <f t="shared" si="169"/>
        <v>y</v>
      </c>
      <c r="PBG1" s="154" t="str">
        <f t="shared" si="169"/>
        <v>y</v>
      </c>
      <c r="PBH1" s="154" t="str">
        <f t="shared" si="169"/>
        <v>y</v>
      </c>
      <c r="PBI1" s="154" t="str">
        <f t="shared" si="169"/>
        <v>y</v>
      </c>
      <c r="PBJ1" s="154" t="str">
        <f t="shared" si="169"/>
        <v>y</v>
      </c>
      <c r="PBK1" s="154" t="str">
        <f t="shared" si="169"/>
        <v>y</v>
      </c>
      <c r="PBL1" s="154" t="str">
        <f t="shared" si="169"/>
        <v>y</v>
      </c>
      <c r="PBM1" s="154" t="str">
        <f t="shared" si="169"/>
        <v>y</v>
      </c>
      <c r="PBN1" s="154" t="str">
        <f t="shared" si="169"/>
        <v>y</v>
      </c>
      <c r="PBO1" s="154" t="str">
        <f t="shared" si="169"/>
        <v>y</v>
      </c>
      <c r="PBP1" s="154" t="str">
        <f t="shared" ref="PBP1:PEA1" si="170">PBP2&amp;"y"</f>
        <v>y</v>
      </c>
      <c r="PBQ1" s="154" t="str">
        <f t="shared" si="170"/>
        <v>y</v>
      </c>
      <c r="PBR1" s="154" t="str">
        <f t="shared" si="170"/>
        <v>y</v>
      </c>
      <c r="PBS1" s="154" t="str">
        <f t="shared" si="170"/>
        <v>y</v>
      </c>
      <c r="PBT1" s="154" t="str">
        <f t="shared" si="170"/>
        <v>y</v>
      </c>
      <c r="PBU1" s="154" t="str">
        <f t="shared" si="170"/>
        <v>y</v>
      </c>
      <c r="PBV1" s="154" t="str">
        <f t="shared" si="170"/>
        <v>y</v>
      </c>
      <c r="PBW1" s="154" t="str">
        <f t="shared" si="170"/>
        <v>y</v>
      </c>
      <c r="PBX1" s="154" t="str">
        <f t="shared" si="170"/>
        <v>y</v>
      </c>
      <c r="PBY1" s="154" t="str">
        <f t="shared" si="170"/>
        <v>y</v>
      </c>
      <c r="PBZ1" s="154" t="str">
        <f t="shared" si="170"/>
        <v>y</v>
      </c>
      <c r="PCA1" s="154" t="str">
        <f t="shared" si="170"/>
        <v>y</v>
      </c>
      <c r="PCB1" s="154" t="str">
        <f t="shared" si="170"/>
        <v>y</v>
      </c>
      <c r="PCC1" s="154" t="str">
        <f t="shared" si="170"/>
        <v>y</v>
      </c>
      <c r="PCD1" s="154" t="str">
        <f t="shared" si="170"/>
        <v>y</v>
      </c>
      <c r="PCE1" s="154" t="str">
        <f t="shared" si="170"/>
        <v>y</v>
      </c>
      <c r="PCF1" s="154" t="str">
        <f t="shared" si="170"/>
        <v>y</v>
      </c>
      <c r="PCG1" s="154" t="str">
        <f t="shared" si="170"/>
        <v>y</v>
      </c>
      <c r="PCH1" s="154" t="str">
        <f t="shared" si="170"/>
        <v>y</v>
      </c>
      <c r="PCI1" s="154" t="str">
        <f t="shared" si="170"/>
        <v>y</v>
      </c>
      <c r="PCJ1" s="154" t="str">
        <f t="shared" si="170"/>
        <v>y</v>
      </c>
      <c r="PCK1" s="154" t="str">
        <f t="shared" si="170"/>
        <v>y</v>
      </c>
      <c r="PCL1" s="154" t="str">
        <f t="shared" si="170"/>
        <v>y</v>
      </c>
      <c r="PCM1" s="154" t="str">
        <f t="shared" si="170"/>
        <v>y</v>
      </c>
      <c r="PCN1" s="154" t="str">
        <f t="shared" si="170"/>
        <v>y</v>
      </c>
      <c r="PCO1" s="154" t="str">
        <f t="shared" si="170"/>
        <v>y</v>
      </c>
      <c r="PCP1" s="154" t="str">
        <f t="shared" si="170"/>
        <v>y</v>
      </c>
      <c r="PCQ1" s="154" t="str">
        <f t="shared" si="170"/>
        <v>y</v>
      </c>
      <c r="PCR1" s="154" t="str">
        <f t="shared" si="170"/>
        <v>y</v>
      </c>
      <c r="PCS1" s="154" t="str">
        <f t="shared" si="170"/>
        <v>y</v>
      </c>
      <c r="PCT1" s="154" t="str">
        <f t="shared" si="170"/>
        <v>y</v>
      </c>
      <c r="PCU1" s="154" t="str">
        <f t="shared" si="170"/>
        <v>y</v>
      </c>
      <c r="PCV1" s="154" t="str">
        <f t="shared" si="170"/>
        <v>y</v>
      </c>
      <c r="PCW1" s="154" t="str">
        <f t="shared" si="170"/>
        <v>y</v>
      </c>
      <c r="PCX1" s="154" t="str">
        <f t="shared" si="170"/>
        <v>y</v>
      </c>
      <c r="PCY1" s="154" t="str">
        <f t="shared" si="170"/>
        <v>y</v>
      </c>
      <c r="PCZ1" s="154" t="str">
        <f t="shared" si="170"/>
        <v>y</v>
      </c>
      <c r="PDA1" s="154" t="str">
        <f t="shared" si="170"/>
        <v>y</v>
      </c>
      <c r="PDB1" s="154" t="str">
        <f t="shared" si="170"/>
        <v>y</v>
      </c>
      <c r="PDC1" s="154" t="str">
        <f t="shared" si="170"/>
        <v>y</v>
      </c>
      <c r="PDD1" s="154" t="str">
        <f t="shared" si="170"/>
        <v>y</v>
      </c>
      <c r="PDE1" s="154" t="str">
        <f t="shared" si="170"/>
        <v>y</v>
      </c>
      <c r="PDF1" s="154" t="str">
        <f t="shared" si="170"/>
        <v>y</v>
      </c>
      <c r="PDG1" s="154" t="str">
        <f t="shared" si="170"/>
        <v>y</v>
      </c>
      <c r="PDH1" s="154" t="str">
        <f t="shared" si="170"/>
        <v>y</v>
      </c>
      <c r="PDI1" s="154" t="str">
        <f t="shared" si="170"/>
        <v>y</v>
      </c>
      <c r="PDJ1" s="154" t="str">
        <f t="shared" si="170"/>
        <v>y</v>
      </c>
      <c r="PDK1" s="154" t="str">
        <f t="shared" si="170"/>
        <v>y</v>
      </c>
      <c r="PDL1" s="154" t="str">
        <f t="shared" si="170"/>
        <v>y</v>
      </c>
      <c r="PDM1" s="154" t="str">
        <f t="shared" si="170"/>
        <v>y</v>
      </c>
      <c r="PDN1" s="154" t="str">
        <f t="shared" si="170"/>
        <v>y</v>
      </c>
      <c r="PDO1" s="154" t="str">
        <f t="shared" si="170"/>
        <v>y</v>
      </c>
      <c r="PDP1" s="154" t="str">
        <f t="shared" si="170"/>
        <v>y</v>
      </c>
      <c r="PDQ1" s="154" t="str">
        <f t="shared" si="170"/>
        <v>y</v>
      </c>
      <c r="PDR1" s="154" t="str">
        <f t="shared" si="170"/>
        <v>y</v>
      </c>
      <c r="PDS1" s="154" t="str">
        <f t="shared" si="170"/>
        <v>y</v>
      </c>
      <c r="PDT1" s="154" t="str">
        <f t="shared" si="170"/>
        <v>y</v>
      </c>
      <c r="PDU1" s="154" t="str">
        <f t="shared" si="170"/>
        <v>y</v>
      </c>
      <c r="PDV1" s="154" t="str">
        <f t="shared" si="170"/>
        <v>y</v>
      </c>
      <c r="PDW1" s="154" t="str">
        <f t="shared" si="170"/>
        <v>y</v>
      </c>
      <c r="PDX1" s="154" t="str">
        <f t="shared" si="170"/>
        <v>y</v>
      </c>
      <c r="PDY1" s="154" t="str">
        <f t="shared" si="170"/>
        <v>y</v>
      </c>
      <c r="PDZ1" s="154" t="str">
        <f t="shared" si="170"/>
        <v>y</v>
      </c>
      <c r="PEA1" s="154" t="str">
        <f t="shared" si="170"/>
        <v>y</v>
      </c>
      <c r="PEB1" s="154" t="str">
        <f t="shared" ref="PEB1:PGM1" si="171">PEB2&amp;"y"</f>
        <v>y</v>
      </c>
      <c r="PEC1" s="154" t="str">
        <f t="shared" si="171"/>
        <v>y</v>
      </c>
      <c r="PED1" s="154" t="str">
        <f t="shared" si="171"/>
        <v>y</v>
      </c>
      <c r="PEE1" s="154" t="str">
        <f t="shared" si="171"/>
        <v>y</v>
      </c>
      <c r="PEF1" s="154" t="str">
        <f t="shared" si="171"/>
        <v>y</v>
      </c>
      <c r="PEG1" s="154" t="str">
        <f t="shared" si="171"/>
        <v>y</v>
      </c>
      <c r="PEH1" s="154" t="str">
        <f t="shared" si="171"/>
        <v>y</v>
      </c>
      <c r="PEI1" s="154" t="str">
        <f t="shared" si="171"/>
        <v>y</v>
      </c>
      <c r="PEJ1" s="154" t="str">
        <f t="shared" si="171"/>
        <v>y</v>
      </c>
      <c r="PEK1" s="154" t="str">
        <f t="shared" si="171"/>
        <v>y</v>
      </c>
      <c r="PEL1" s="154" t="str">
        <f t="shared" si="171"/>
        <v>y</v>
      </c>
      <c r="PEM1" s="154" t="str">
        <f t="shared" si="171"/>
        <v>y</v>
      </c>
      <c r="PEN1" s="154" t="str">
        <f t="shared" si="171"/>
        <v>y</v>
      </c>
      <c r="PEO1" s="154" t="str">
        <f t="shared" si="171"/>
        <v>y</v>
      </c>
      <c r="PEP1" s="154" t="str">
        <f t="shared" si="171"/>
        <v>y</v>
      </c>
      <c r="PEQ1" s="154" t="str">
        <f t="shared" si="171"/>
        <v>y</v>
      </c>
      <c r="PER1" s="154" t="str">
        <f t="shared" si="171"/>
        <v>y</v>
      </c>
      <c r="PES1" s="154" t="str">
        <f t="shared" si="171"/>
        <v>y</v>
      </c>
      <c r="PET1" s="154" t="str">
        <f t="shared" si="171"/>
        <v>y</v>
      </c>
      <c r="PEU1" s="154" t="str">
        <f t="shared" si="171"/>
        <v>y</v>
      </c>
      <c r="PEV1" s="154" t="str">
        <f t="shared" si="171"/>
        <v>y</v>
      </c>
      <c r="PEW1" s="154" t="str">
        <f t="shared" si="171"/>
        <v>y</v>
      </c>
      <c r="PEX1" s="154" t="str">
        <f t="shared" si="171"/>
        <v>y</v>
      </c>
      <c r="PEY1" s="154" t="str">
        <f t="shared" si="171"/>
        <v>y</v>
      </c>
      <c r="PEZ1" s="154" t="str">
        <f t="shared" si="171"/>
        <v>y</v>
      </c>
      <c r="PFA1" s="154" t="str">
        <f t="shared" si="171"/>
        <v>y</v>
      </c>
      <c r="PFB1" s="154" t="str">
        <f t="shared" si="171"/>
        <v>y</v>
      </c>
      <c r="PFC1" s="154" t="str">
        <f t="shared" si="171"/>
        <v>y</v>
      </c>
      <c r="PFD1" s="154" t="str">
        <f t="shared" si="171"/>
        <v>y</v>
      </c>
      <c r="PFE1" s="154" t="str">
        <f t="shared" si="171"/>
        <v>y</v>
      </c>
      <c r="PFF1" s="154" t="str">
        <f t="shared" si="171"/>
        <v>y</v>
      </c>
      <c r="PFG1" s="154" t="str">
        <f t="shared" si="171"/>
        <v>y</v>
      </c>
      <c r="PFH1" s="154" t="str">
        <f t="shared" si="171"/>
        <v>y</v>
      </c>
      <c r="PFI1" s="154" t="str">
        <f t="shared" si="171"/>
        <v>y</v>
      </c>
      <c r="PFJ1" s="154" t="str">
        <f t="shared" si="171"/>
        <v>y</v>
      </c>
      <c r="PFK1" s="154" t="str">
        <f t="shared" si="171"/>
        <v>y</v>
      </c>
      <c r="PFL1" s="154" t="str">
        <f t="shared" si="171"/>
        <v>y</v>
      </c>
      <c r="PFM1" s="154" t="str">
        <f t="shared" si="171"/>
        <v>y</v>
      </c>
      <c r="PFN1" s="154" t="str">
        <f t="shared" si="171"/>
        <v>y</v>
      </c>
      <c r="PFO1" s="154" t="str">
        <f t="shared" si="171"/>
        <v>y</v>
      </c>
      <c r="PFP1" s="154" t="str">
        <f t="shared" si="171"/>
        <v>y</v>
      </c>
      <c r="PFQ1" s="154" t="str">
        <f t="shared" si="171"/>
        <v>y</v>
      </c>
      <c r="PFR1" s="154" t="str">
        <f t="shared" si="171"/>
        <v>y</v>
      </c>
      <c r="PFS1" s="154" t="str">
        <f t="shared" si="171"/>
        <v>y</v>
      </c>
      <c r="PFT1" s="154" t="str">
        <f t="shared" si="171"/>
        <v>y</v>
      </c>
      <c r="PFU1" s="154" t="str">
        <f t="shared" si="171"/>
        <v>y</v>
      </c>
      <c r="PFV1" s="154" t="str">
        <f t="shared" si="171"/>
        <v>y</v>
      </c>
      <c r="PFW1" s="154" t="str">
        <f t="shared" si="171"/>
        <v>y</v>
      </c>
      <c r="PFX1" s="154" t="str">
        <f t="shared" si="171"/>
        <v>y</v>
      </c>
      <c r="PFY1" s="154" t="str">
        <f t="shared" si="171"/>
        <v>y</v>
      </c>
      <c r="PFZ1" s="154" t="str">
        <f t="shared" si="171"/>
        <v>y</v>
      </c>
      <c r="PGA1" s="154" t="str">
        <f t="shared" si="171"/>
        <v>y</v>
      </c>
      <c r="PGB1" s="154" t="str">
        <f t="shared" si="171"/>
        <v>y</v>
      </c>
      <c r="PGC1" s="154" t="str">
        <f t="shared" si="171"/>
        <v>y</v>
      </c>
      <c r="PGD1" s="154" t="str">
        <f t="shared" si="171"/>
        <v>y</v>
      </c>
      <c r="PGE1" s="154" t="str">
        <f t="shared" si="171"/>
        <v>y</v>
      </c>
      <c r="PGF1" s="154" t="str">
        <f t="shared" si="171"/>
        <v>y</v>
      </c>
      <c r="PGG1" s="154" t="str">
        <f t="shared" si="171"/>
        <v>y</v>
      </c>
      <c r="PGH1" s="154" t="str">
        <f t="shared" si="171"/>
        <v>y</v>
      </c>
      <c r="PGI1" s="154" t="str">
        <f t="shared" si="171"/>
        <v>y</v>
      </c>
      <c r="PGJ1" s="154" t="str">
        <f t="shared" si="171"/>
        <v>y</v>
      </c>
      <c r="PGK1" s="154" t="str">
        <f t="shared" si="171"/>
        <v>y</v>
      </c>
      <c r="PGL1" s="154" t="str">
        <f t="shared" si="171"/>
        <v>y</v>
      </c>
      <c r="PGM1" s="154" t="str">
        <f t="shared" si="171"/>
        <v>y</v>
      </c>
      <c r="PGN1" s="154" t="str">
        <f t="shared" ref="PGN1:PIY1" si="172">PGN2&amp;"y"</f>
        <v>y</v>
      </c>
      <c r="PGO1" s="154" t="str">
        <f t="shared" si="172"/>
        <v>y</v>
      </c>
      <c r="PGP1" s="154" t="str">
        <f t="shared" si="172"/>
        <v>y</v>
      </c>
      <c r="PGQ1" s="154" t="str">
        <f t="shared" si="172"/>
        <v>y</v>
      </c>
      <c r="PGR1" s="154" t="str">
        <f t="shared" si="172"/>
        <v>y</v>
      </c>
      <c r="PGS1" s="154" t="str">
        <f t="shared" si="172"/>
        <v>y</v>
      </c>
      <c r="PGT1" s="154" t="str">
        <f t="shared" si="172"/>
        <v>y</v>
      </c>
      <c r="PGU1" s="154" t="str">
        <f t="shared" si="172"/>
        <v>y</v>
      </c>
      <c r="PGV1" s="154" t="str">
        <f t="shared" si="172"/>
        <v>y</v>
      </c>
      <c r="PGW1" s="154" t="str">
        <f t="shared" si="172"/>
        <v>y</v>
      </c>
      <c r="PGX1" s="154" t="str">
        <f t="shared" si="172"/>
        <v>y</v>
      </c>
      <c r="PGY1" s="154" t="str">
        <f t="shared" si="172"/>
        <v>y</v>
      </c>
      <c r="PGZ1" s="154" t="str">
        <f t="shared" si="172"/>
        <v>y</v>
      </c>
      <c r="PHA1" s="154" t="str">
        <f t="shared" si="172"/>
        <v>y</v>
      </c>
      <c r="PHB1" s="154" t="str">
        <f t="shared" si="172"/>
        <v>y</v>
      </c>
      <c r="PHC1" s="154" t="str">
        <f t="shared" si="172"/>
        <v>y</v>
      </c>
      <c r="PHD1" s="154" t="str">
        <f t="shared" si="172"/>
        <v>y</v>
      </c>
      <c r="PHE1" s="154" t="str">
        <f t="shared" si="172"/>
        <v>y</v>
      </c>
      <c r="PHF1" s="154" t="str">
        <f t="shared" si="172"/>
        <v>y</v>
      </c>
      <c r="PHG1" s="154" t="str">
        <f t="shared" si="172"/>
        <v>y</v>
      </c>
      <c r="PHH1" s="154" t="str">
        <f t="shared" si="172"/>
        <v>y</v>
      </c>
      <c r="PHI1" s="154" t="str">
        <f t="shared" si="172"/>
        <v>y</v>
      </c>
      <c r="PHJ1" s="154" t="str">
        <f t="shared" si="172"/>
        <v>y</v>
      </c>
      <c r="PHK1" s="154" t="str">
        <f t="shared" si="172"/>
        <v>y</v>
      </c>
      <c r="PHL1" s="154" t="str">
        <f t="shared" si="172"/>
        <v>y</v>
      </c>
      <c r="PHM1" s="154" t="str">
        <f t="shared" si="172"/>
        <v>y</v>
      </c>
      <c r="PHN1" s="154" t="str">
        <f t="shared" si="172"/>
        <v>y</v>
      </c>
      <c r="PHO1" s="154" t="str">
        <f t="shared" si="172"/>
        <v>y</v>
      </c>
      <c r="PHP1" s="154" t="str">
        <f t="shared" si="172"/>
        <v>y</v>
      </c>
      <c r="PHQ1" s="154" t="str">
        <f t="shared" si="172"/>
        <v>y</v>
      </c>
      <c r="PHR1" s="154" t="str">
        <f t="shared" si="172"/>
        <v>y</v>
      </c>
      <c r="PHS1" s="154" t="str">
        <f t="shared" si="172"/>
        <v>y</v>
      </c>
      <c r="PHT1" s="154" t="str">
        <f t="shared" si="172"/>
        <v>y</v>
      </c>
      <c r="PHU1" s="154" t="str">
        <f t="shared" si="172"/>
        <v>y</v>
      </c>
      <c r="PHV1" s="154" t="str">
        <f t="shared" si="172"/>
        <v>y</v>
      </c>
      <c r="PHW1" s="154" t="str">
        <f t="shared" si="172"/>
        <v>y</v>
      </c>
      <c r="PHX1" s="154" t="str">
        <f t="shared" si="172"/>
        <v>y</v>
      </c>
      <c r="PHY1" s="154" t="str">
        <f t="shared" si="172"/>
        <v>y</v>
      </c>
      <c r="PHZ1" s="154" t="str">
        <f t="shared" si="172"/>
        <v>y</v>
      </c>
      <c r="PIA1" s="154" t="str">
        <f t="shared" si="172"/>
        <v>y</v>
      </c>
      <c r="PIB1" s="154" t="str">
        <f t="shared" si="172"/>
        <v>y</v>
      </c>
      <c r="PIC1" s="154" t="str">
        <f t="shared" si="172"/>
        <v>y</v>
      </c>
      <c r="PID1" s="154" t="str">
        <f t="shared" si="172"/>
        <v>y</v>
      </c>
      <c r="PIE1" s="154" t="str">
        <f t="shared" si="172"/>
        <v>y</v>
      </c>
      <c r="PIF1" s="154" t="str">
        <f t="shared" si="172"/>
        <v>y</v>
      </c>
      <c r="PIG1" s="154" t="str">
        <f t="shared" si="172"/>
        <v>y</v>
      </c>
      <c r="PIH1" s="154" t="str">
        <f t="shared" si="172"/>
        <v>y</v>
      </c>
      <c r="PII1" s="154" t="str">
        <f t="shared" si="172"/>
        <v>y</v>
      </c>
      <c r="PIJ1" s="154" t="str">
        <f t="shared" si="172"/>
        <v>y</v>
      </c>
      <c r="PIK1" s="154" t="str">
        <f t="shared" si="172"/>
        <v>y</v>
      </c>
      <c r="PIL1" s="154" t="str">
        <f t="shared" si="172"/>
        <v>y</v>
      </c>
      <c r="PIM1" s="154" t="str">
        <f t="shared" si="172"/>
        <v>y</v>
      </c>
      <c r="PIN1" s="154" t="str">
        <f t="shared" si="172"/>
        <v>y</v>
      </c>
      <c r="PIO1" s="154" t="str">
        <f t="shared" si="172"/>
        <v>y</v>
      </c>
      <c r="PIP1" s="154" t="str">
        <f t="shared" si="172"/>
        <v>y</v>
      </c>
      <c r="PIQ1" s="154" t="str">
        <f t="shared" si="172"/>
        <v>y</v>
      </c>
      <c r="PIR1" s="154" t="str">
        <f t="shared" si="172"/>
        <v>y</v>
      </c>
      <c r="PIS1" s="154" t="str">
        <f t="shared" si="172"/>
        <v>y</v>
      </c>
      <c r="PIT1" s="154" t="str">
        <f t="shared" si="172"/>
        <v>y</v>
      </c>
      <c r="PIU1" s="154" t="str">
        <f t="shared" si="172"/>
        <v>y</v>
      </c>
      <c r="PIV1" s="154" t="str">
        <f t="shared" si="172"/>
        <v>y</v>
      </c>
      <c r="PIW1" s="154" t="str">
        <f t="shared" si="172"/>
        <v>y</v>
      </c>
      <c r="PIX1" s="154" t="str">
        <f t="shared" si="172"/>
        <v>y</v>
      </c>
      <c r="PIY1" s="154" t="str">
        <f t="shared" si="172"/>
        <v>y</v>
      </c>
      <c r="PIZ1" s="154" t="str">
        <f t="shared" ref="PIZ1:PLK1" si="173">PIZ2&amp;"y"</f>
        <v>y</v>
      </c>
      <c r="PJA1" s="154" t="str">
        <f t="shared" si="173"/>
        <v>y</v>
      </c>
      <c r="PJB1" s="154" t="str">
        <f t="shared" si="173"/>
        <v>y</v>
      </c>
      <c r="PJC1" s="154" t="str">
        <f t="shared" si="173"/>
        <v>y</v>
      </c>
      <c r="PJD1" s="154" t="str">
        <f t="shared" si="173"/>
        <v>y</v>
      </c>
      <c r="PJE1" s="154" t="str">
        <f t="shared" si="173"/>
        <v>y</v>
      </c>
      <c r="PJF1" s="154" t="str">
        <f t="shared" si="173"/>
        <v>y</v>
      </c>
      <c r="PJG1" s="154" t="str">
        <f t="shared" si="173"/>
        <v>y</v>
      </c>
      <c r="PJH1" s="154" t="str">
        <f t="shared" si="173"/>
        <v>y</v>
      </c>
      <c r="PJI1" s="154" t="str">
        <f t="shared" si="173"/>
        <v>y</v>
      </c>
      <c r="PJJ1" s="154" t="str">
        <f t="shared" si="173"/>
        <v>y</v>
      </c>
      <c r="PJK1" s="154" t="str">
        <f t="shared" si="173"/>
        <v>y</v>
      </c>
      <c r="PJL1" s="154" t="str">
        <f t="shared" si="173"/>
        <v>y</v>
      </c>
      <c r="PJM1" s="154" t="str">
        <f t="shared" si="173"/>
        <v>y</v>
      </c>
      <c r="PJN1" s="154" t="str">
        <f t="shared" si="173"/>
        <v>y</v>
      </c>
      <c r="PJO1" s="154" t="str">
        <f t="shared" si="173"/>
        <v>y</v>
      </c>
      <c r="PJP1" s="154" t="str">
        <f t="shared" si="173"/>
        <v>y</v>
      </c>
      <c r="PJQ1" s="154" t="str">
        <f t="shared" si="173"/>
        <v>y</v>
      </c>
      <c r="PJR1" s="154" t="str">
        <f t="shared" si="173"/>
        <v>y</v>
      </c>
      <c r="PJS1" s="154" t="str">
        <f t="shared" si="173"/>
        <v>y</v>
      </c>
      <c r="PJT1" s="154" t="str">
        <f t="shared" si="173"/>
        <v>y</v>
      </c>
      <c r="PJU1" s="154" t="str">
        <f t="shared" si="173"/>
        <v>y</v>
      </c>
      <c r="PJV1" s="154" t="str">
        <f t="shared" si="173"/>
        <v>y</v>
      </c>
      <c r="PJW1" s="154" t="str">
        <f t="shared" si="173"/>
        <v>y</v>
      </c>
      <c r="PJX1" s="154" t="str">
        <f t="shared" si="173"/>
        <v>y</v>
      </c>
      <c r="PJY1" s="154" t="str">
        <f t="shared" si="173"/>
        <v>y</v>
      </c>
      <c r="PJZ1" s="154" t="str">
        <f t="shared" si="173"/>
        <v>y</v>
      </c>
      <c r="PKA1" s="154" t="str">
        <f t="shared" si="173"/>
        <v>y</v>
      </c>
      <c r="PKB1" s="154" t="str">
        <f t="shared" si="173"/>
        <v>y</v>
      </c>
      <c r="PKC1" s="154" t="str">
        <f t="shared" si="173"/>
        <v>y</v>
      </c>
      <c r="PKD1" s="154" t="str">
        <f t="shared" si="173"/>
        <v>y</v>
      </c>
      <c r="PKE1" s="154" t="str">
        <f t="shared" si="173"/>
        <v>y</v>
      </c>
      <c r="PKF1" s="154" t="str">
        <f t="shared" si="173"/>
        <v>y</v>
      </c>
      <c r="PKG1" s="154" t="str">
        <f t="shared" si="173"/>
        <v>y</v>
      </c>
      <c r="PKH1" s="154" t="str">
        <f t="shared" si="173"/>
        <v>y</v>
      </c>
      <c r="PKI1" s="154" t="str">
        <f t="shared" si="173"/>
        <v>y</v>
      </c>
      <c r="PKJ1" s="154" t="str">
        <f t="shared" si="173"/>
        <v>y</v>
      </c>
      <c r="PKK1" s="154" t="str">
        <f t="shared" si="173"/>
        <v>y</v>
      </c>
      <c r="PKL1" s="154" t="str">
        <f t="shared" si="173"/>
        <v>y</v>
      </c>
      <c r="PKM1" s="154" t="str">
        <f t="shared" si="173"/>
        <v>y</v>
      </c>
      <c r="PKN1" s="154" t="str">
        <f t="shared" si="173"/>
        <v>y</v>
      </c>
      <c r="PKO1" s="154" t="str">
        <f t="shared" si="173"/>
        <v>y</v>
      </c>
      <c r="PKP1" s="154" t="str">
        <f t="shared" si="173"/>
        <v>y</v>
      </c>
      <c r="PKQ1" s="154" t="str">
        <f t="shared" si="173"/>
        <v>y</v>
      </c>
      <c r="PKR1" s="154" t="str">
        <f t="shared" si="173"/>
        <v>y</v>
      </c>
      <c r="PKS1" s="154" t="str">
        <f t="shared" si="173"/>
        <v>y</v>
      </c>
      <c r="PKT1" s="154" t="str">
        <f t="shared" si="173"/>
        <v>y</v>
      </c>
      <c r="PKU1" s="154" t="str">
        <f t="shared" si="173"/>
        <v>y</v>
      </c>
      <c r="PKV1" s="154" t="str">
        <f t="shared" si="173"/>
        <v>y</v>
      </c>
      <c r="PKW1" s="154" t="str">
        <f t="shared" si="173"/>
        <v>y</v>
      </c>
      <c r="PKX1" s="154" t="str">
        <f t="shared" si="173"/>
        <v>y</v>
      </c>
      <c r="PKY1" s="154" t="str">
        <f t="shared" si="173"/>
        <v>y</v>
      </c>
      <c r="PKZ1" s="154" t="str">
        <f t="shared" si="173"/>
        <v>y</v>
      </c>
      <c r="PLA1" s="154" t="str">
        <f t="shared" si="173"/>
        <v>y</v>
      </c>
      <c r="PLB1" s="154" t="str">
        <f t="shared" si="173"/>
        <v>y</v>
      </c>
      <c r="PLC1" s="154" t="str">
        <f t="shared" si="173"/>
        <v>y</v>
      </c>
      <c r="PLD1" s="154" t="str">
        <f t="shared" si="173"/>
        <v>y</v>
      </c>
      <c r="PLE1" s="154" t="str">
        <f t="shared" si="173"/>
        <v>y</v>
      </c>
      <c r="PLF1" s="154" t="str">
        <f t="shared" si="173"/>
        <v>y</v>
      </c>
      <c r="PLG1" s="154" t="str">
        <f t="shared" si="173"/>
        <v>y</v>
      </c>
      <c r="PLH1" s="154" t="str">
        <f t="shared" si="173"/>
        <v>y</v>
      </c>
      <c r="PLI1" s="154" t="str">
        <f t="shared" si="173"/>
        <v>y</v>
      </c>
      <c r="PLJ1" s="154" t="str">
        <f t="shared" si="173"/>
        <v>y</v>
      </c>
      <c r="PLK1" s="154" t="str">
        <f t="shared" si="173"/>
        <v>y</v>
      </c>
      <c r="PLL1" s="154" t="str">
        <f t="shared" ref="PLL1:PNW1" si="174">PLL2&amp;"y"</f>
        <v>y</v>
      </c>
      <c r="PLM1" s="154" t="str">
        <f t="shared" si="174"/>
        <v>y</v>
      </c>
      <c r="PLN1" s="154" t="str">
        <f t="shared" si="174"/>
        <v>y</v>
      </c>
      <c r="PLO1" s="154" t="str">
        <f t="shared" si="174"/>
        <v>y</v>
      </c>
      <c r="PLP1" s="154" t="str">
        <f t="shared" si="174"/>
        <v>y</v>
      </c>
      <c r="PLQ1" s="154" t="str">
        <f t="shared" si="174"/>
        <v>y</v>
      </c>
      <c r="PLR1" s="154" t="str">
        <f t="shared" si="174"/>
        <v>y</v>
      </c>
      <c r="PLS1" s="154" t="str">
        <f t="shared" si="174"/>
        <v>y</v>
      </c>
      <c r="PLT1" s="154" t="str">
        <f t="shared" si="174"/>
        <v>y</v>
      </c>
      <c r="PLU1" s="154" t="str">
        <f t="shared" si="174"/>
        <v>y</v>
      </c>
      <c r="PLV1" s="154" t="str">
        <f t="shared" si="174"/>
        <v>y</v>
      </c>
      <c r="PLW1" s="154" t="str">
        <f t="shared" si="174"/>
        <v>y</v>
      </c>
      <c r="PLX1" s="154" t="str">
        <f t="shared" si="174"/>
        <v>y</v>
      </c>
      <c r="PLY1" s="154" t="str">
        <f t="shared" si="174"/>
        <v>y</v>
      </c>
      <c r="PLZ1" s="154" t="str">
        <f t="shared" si="174"/>
        <v>y</v>
      </c>
      <c r="PMA1" s="154" t="str">
        <f t="shared" si="174"/>
        <v>y</v>
      </c>
      <c r="PMB1" s="154" t="str">
        <f t="shared" si="174"/>
        <v>y</v>
      </c>
      <c r="PMC1" s="154" t="str">
        <f t="shared" si="174"/>
        <v>y</v>
      </c>
      <c r="PMD1" s="154" t="str">
        <f t="shared" si="174"/>
        <v>y</v>
      </c>
      <c r="PME1" s="154" t="str">
        <f t="shared" si="174"/>
        <v>y</v>
      </c>
      <c r="PMF1" s="154" t="str">
        <f t="shared" si="174"/>
        <v>y</v>
      </c>
      <c r="PMG1" s="154" t="str">
        <f t="shared" si="174"/>
        <v>y</v>
      </c>
      <c r="PMH1" s="154" t="str">
        <f t="shared" si="174"/>
        <v>y</v>
      </c>
      <c r="PMI1" s="154" t="str">
        <f t="shared" si="174"/>
        <v>y</v>
      </c>
      <c r="PMJ1" s="154" t="str">
        <f t="shared" si="174"/>
        <v>y</v>
      </c>
      <c r="PMK1" s="154" t="str">
        <f t="shared" si="174"/>
        <v>y</v>
      </c>
      <c r="PML1" s="154" t="str">
        <f t="shared" si="174"/>
        <v>y</v>
      </c>
      <c r="PMM1" s="154" t="str">
        <f t="shared" si="174"/>
        <v>y</v>
      </c>
      <c r="PMN1" s="154" t="str">
        <f t="shared" si="174"/>
        <v>y</v>
      </c>
      <c r="PMO1" s="154" t="str">
        <f t="shared" si="174"/>
        <v>y</v>
      </c>
      <c r="PMP1" s="154" t="str">
        <f t="shared" si="174"/>
        <v>y</v>
      </c>
      <c r="PMQ1" s="154" t="str">
        <f t="shared" si="174"/>
        <v>y</v>
      </c>
      <c r="PMR1" s="154" t="str">
        <f t="shared" si="174"/>
        <v>y</v>
      </c>
      <c r="PMS1" s="154" t="str">
        <f t="shared" si="174"/>
        <v>y</v>
      </c>
      <c r="PMT1" s="154" t="str">
        <f t="shared" si="174"/>
        <v>y</v>
      </c>
      <c r="PMU1" s="154" t="str">
        <f t="shared" si="174"/>
        <v>y</v>
      </c>
      <c r="PMV1" s="154" t="str">
        <f t="shared" si="174"/>
        <v>y</v>
      </c>
      <c r="PMW1" s="154" t="str">
        <f t="shared" si="174"/>
        <v>y</v>
      </c>
      <c r="PMX1" s="154" t="str">
        <f t="shared" si="174"/>
        <v>y</v>
      </c>
      <c r="PMY1" s="154" t="str">
        <f t="shared" si="174"/>
        <v>y</v>
      </c>
      <c r="PMZ1" s="154" t="str">
        <f t="shared" si="174"/>
        <v>y</v>
      </c>
      <c r="PNA1" s="154" t="str">
        <f t="shared" si="174"/>
        <v>y</v>
      </c>
      <c r="PNB1" s="154" t="str">
        <f t="shared" si="174"/>
        <v>y</v>
      </c>
      <c r="PNC1" s="154" t="str">
        <f t="shared" si="174"/>
        <v>y</v>
      </c>
      <c r="PND1" s="154" t="str">
        <f t="shared" si="174"/>
        <v>y</v>
      </c>
      <c r="PNE1" s="154" t="str">
        <f t="shared" si="174"/>
        <v>y</v>
      </c>
      <c r="PNF1" s="154" t="str">
        <f t="shared" si="174"/>
        <v>y</v>
      </c>
      <c r="PNG1" s="154" t="str">
        <f t="shared" si="174"/>
        <v>y</v>
      </c>
      <c r="PNH1" s="154" t="str">
        <f t="shared" si="174"/>
        <v>y</v>
      </c>
      <c r="PNI1" s="154" t="str">
        <f t="shared" si="174"/>
        <v>y</v>
      </c>
      <c r="PNJ1" s="154" t="str">
        <f t="shared" si="174"/>
        <v>y</v>
      </c>
      <c r="PNK1" s="154" t="str">
        <f t="shared" si="174"/>
        <v>y</v>
      </c>
      <c r="PNL1" s="154" t="str">
        <f t="shared" si="174"/>
        <v>y</v>
      </c>
      <c r="PNM1" s="154" t="str">
        <f t="shared" si="174"/>
        <v>y</v>
      </c>
      <c r="PNN1" s="154" t="str">
        <f t="shared" si="174"/>
        <v>y</v>
      </c>
      <c r="PNO1" s="154" t="str">
        <f t="shared" si="174"/>
        <v>y</v>
      </c>
      <c r="PNP1" s="154" t="str">
        <f t="shared" si="174"/>
        <v>y</v>
      </c>
      <c r="PNQ1" s="154" t="str">
        <f t="shared" si="174"/>
        <v>y</v>
      </c>
      <c r="PNR1" s="154" t="str">
        <f t="shared" si="174"/>
        <v>y</v>
      </c>
      <c r="PNS1" s="154" t="str">
        <f t="shared" si="174"/>
        <v>y</v>
      </c>
      <c r="PNT1" s="154" t="str">
        <f t="shared" si="174"/>
        <v>y</v>
      </c>
      <c r="PNU1" s="154" t="str">
        <f t="shared" si="174"/>
        <v>y</v>
      </c>
      <c r="PNV1" s="154" t="str">
        <f t="shared" si="174"/>
        <v>y</v>
      </c>
      <c r="PNW1" s="154" t="str">
        <f t="shared" si="174"/>
        <v>y</v>
      </c>
      <c r="PNX1" s="154" t="str">
        <f t="shared" ref="PNX1:PQI1" si="175">PNX2&amp;"y"</f>
        <v>y</v>
      </c>
      <c r="PNY1" s="154" t="str">
        <f t="shared" si="175"/>
        <v>y</v>
      </c>
      <c r="PNZ1" s="154" t="str">
        <f t="shared" si="175"/>
        <v>y</v>
      </c>
      <c r="POA1" s="154" t="str">
        <f t="shared" si="175"/>
        <v>y</v>
      </c>
      <c r="POB1" s="154" t="str">
        <f t="shared" si="175"/>
        <v>y</v>
      </c>
      <c r="POC1" s="154" t="str">
        <f t="shared" si="175"/>
        <v>y</v>
      </c>
      <c r="POD1" s="154" t="str">
        <f t="shared" si="175"/>
        <v>y</v>
      </c>
      <c r="POE1" s="154" t="str">
        <f t="shared" si="175"/>
        <v>y</v>
      </c>
      <c r="POF1" s="154" t="str">
        <f t="shared" si="175"/>
        <v>y</v>
      </c>
      <c r="POG1" s="154" t="str">
        <f t="shared" si="175"/>
        <v>y</v>
      </c>
      <c r="POH1" s="154" t="str">
        <f t="shared" si="175"/>
        <v>y</v>
      </c>
      <c r="POI1" s="154" t="str">
        <f t="shared" si="175"/>
        <v>y</v>
      </c>
      <c r="POJ1" s="154" t="str">
        <f t="shared" si="175"/>
        <v>y</v>
      </c>
      <c r="POK1" s="154" t="str">
        <f t="shared" si="175"/>
        <v>y</v>
      </c>
      <c r="POL1" s="154" t="str">
        <f t="shared" si="175"/>
        <v>y</v>
      </c>
      <c r="POM1" s="154" t="str">
        <f t="shared" si="175"/>
        <v>y</v>
      </c>
      <c r="PON1" s="154" t="str">
        <f t="shared" si="175"/>
        <v>y</v>
      </c>
      <c r="POO1" s="154" t="str">
        <f t="shared" si="175"/>
        <v>y</v>
      </c>
      <c r="POP1" s="154" t="str">
        <f t="shared" si="175"/>
        <v>y</v>
      </c>
      <c r="POQ1" s="154" t="str">
        <f t="shared" si="175"/>
        <v>y</v>
      </c>
      <c r="POR1" s="154" t="str">
        <f t="shared" si="175"/>
        <v>y</v>
      </c>
      <c r="POS1" s="154" t="str">
        <f t="shared" si="175"/>
        <v>y</v>
      </c>
      <c r="POT1" s="154" t="str">
        <f t="shared" si="175"/>
        <v>y</v>
      </c>
      <c r="POU1" s="154" t="str">
        <f t="shared" si="175"/>
        <v>y</v>
      </c>
      <c r="POV1" s="154" t="str">
        <f t="shared" si="175"/>
        <v>y</v>
      </c>
      <c r="POW1" s="154" t="str">
        <f t="shared" si="175"/>
        <v>y</v>
      </c>
      <c r="POX1" s="154" t="str">
        <f t="shared" si="175"/>
        <v>y</v>
      </c>
      <c r="POY1" s="154" t="str">
        <f t="shared" si="175"/>
        <v>y</v>
      </c>
      <c r="POZ1" s="154" t="str">
        <f t="shared" si="175"/>
        <v>y</v>
      </c>
      <c r="PPA1" s="154" t="str">
        <f t="shared" si="175"/>
        <v>y</v>
      </c>
      <c r="PPB1" s="154" t="str">
        <f t="shared" si="175"/>
        <v>y</v>
      </c>
      <c r="PPC1" s="154" t="str">
        <f t="shared" si="175"/>
        <v>y</v>
      </c>
      <c r="PPD1" s="154" t="str">
        <f t="shared" si="175"/>
        <v>y</v>
      </c>
      <c r="PPE1" s="154" t="str">
        <f t="shared" si="175"/>
        <v>y</v>
      </c>
      <c r="PPF1" s="154" t="str">
        <f t="shared" si="175"/>
        <v>y</v>
      </c>
      <c r="PPG1" s="154" t="str">
        <f t="shared" si="175"/>
        <v>y</v>
      </c>
      <c r="PPH1" s="154" t="str">
        <f t="shared" si="175"/>
        <v>y</v>
      </c>
      <c r="PPI1" s="154" t="str">
        <f t="shared" si="175"/>
        <v>y</v>
      </c>
      <c r="PPJ1" s="154" t="str">
        <f t="shared" si="175"/>
        <v>y</v>
      </c>
      <c r="PPK1" s="154" t="str">
        <f t="shared" si="175"/>
        <v>y</v>
      </c>
      <c r="PPL1" s="154" t="str">
        <f t="shared" si="175"/>
        <v>y</v>
      </c>
      <c r="PPM1" s="154" t="str">
        <f t="shared" si="175"/>
        <v>y</v>
      </c>
      <c r="PPN1" s="154" t="str">
        <f t="shared" si="175"/>
        <v>y</v>
      </c>
      <c r="PPO1" s="154" t="str">
        <f t="shared" si="175"/>
        <v>y</v>
      </c>
      <c r="PPP1" s="154" t="str">
        <f t="shared" si="175"/>
        <v>y</v>
      </c>
      <c r="PPQ1" s="154" t="str">
        <f t="shared" si="175"/>
        <v>y</v>
      </c>
      <c r="PPR1" s="154" t="str">
        <f t="shared" si="175"/>
        <v>y</v>
      </c>
      <c r="PPS1" s="154" t="str">
        <f t="shared" si="175"/>
        <v>y</v>
      </c>
      <c r="PPT1" s="154" t="str">
        <f t="shared" si="175"/>
        <v>y</v>
      </c>
      <c r="PPU1" s="154" t="str">
        <f t="shared" si="175"/>
        <v>y</v>
      </c>
      <c r="PPV1" s="154" t="str">
        <f t="shared" si="175"/>
        <v>y</v>
      </c>
      <c r="PPW1" s="154" t="str">
        <f t="shared" si="175"/>
        <v>y</v>
      </c>
      <c r="PPX1" s="154" t="str">
        <f t="shared" si="175"/>
        <v>y</v>
      </c>
      <c r="PPY1" s="154" t="str">
        <f t="shared" si="175"/>
        <v>y</v>
      </c>
      <c r="PPZ1" s="154" t="str">
        <f t="shared" si="175"/>
        <v>y</v>
      </c>
      <c r="PQA1" s="154" t="str">
        <f t="shared" si="175"/>
        <v>y</v>
      </c>
      <c r="PQB1" s="154" t="str">
        <f t="shared" si="175"/>
        <v>y</v>
      </c>
      <c r="PQC1" s="154" t="str">
        <f t="shared" si="175"/>
        <v>y</v>
      </c>
      <c r="PQD1" s="154" t="str">
        <f t="shared" si="175"/>
        <v>y</v>
      </c>
      <c r="PQE1" s="154" t="str">
        <f t="shared" si="175"/>
        <v>y</v>
      </c>
      <c r="PQF1" s="154" t="str">
        <f t="shared" si="175"/>
        <v>y</v>
      </c>
      <c r="PQG1" s="154" t="str">
        <f t="shared" si="175"/>
        <v>y</v>
      </c>
      <c r="PQH1" s="154" t="str">
        <f t="shared" si="175"/>
        <v>y</v>
      </c>
      <c r="PQI1" s="154" t="str">
        <f t="shared" si="175"/>
        <v>y</v>
      </c>
      <c r="PQJ1" s="154" t="str">
        <f t="shared" ref="PQJ1:PSU1" si="176">PQJ2&amp;"y"</f>
        <v>y</v>
      </c>
      <c r="PQK1" s="154" t="str">
        <f t="shared" si="176"/>
        <v>y</v>
      </c>
      <c r="PQL1" s="154" t="str">
        <f t="shared" si="176"/>
        <v>y</v>
      </c>
      <c r="PQM1" s="154" t="str">
        <f t="shared" si="176"/>
        <v>y</v>
      </c>
      <c r="PQN1" s="154" t="str">
        <f t="shared" si="176"/>
        <v>y</v>
      </c>
      <c r="PQO1" s="154" t="str">
        <f t="shared" si="176"/>
        <v>y</v>
      </c>
      <c r="PQP1" s="154" t="str">
        <f t="shared" si="176"/>
        <v>y</v>
      </c>
      <c r="PQQ1" s="154" t="str">
        <f t="shared" si="176"/>
        <v>y</v>
      </c>
      <c r="PQR1" s="154" t="str">
        <f t="shared" si="176"/>
        <v>y</v>
      </c>
      <c r="PQS1" s="154" t="str">
        <f t="shared" si="176"/>
        <v>y</v>
      </c>
      <c r="PQT1" s="154" t="str">
        <f t="shared" si="176"/>
        <v>y</v>
      </c>
      <c r="PQU1" s="154" t="str">
        <f t="shared" si="176"/>
        <v>y</v>
      </c>
      <c r="PQV1" s="154" t="str">
        <f t="shared" si="176"/>
        <v>y</v>
      </c>
      <c r="PQW1" s="154" t="str">
        <f t="shared" si="176"/>
        <v>y</v>
      </c>
      <c r="PQX1" s="154" t="str">
        <f t="shared" si="176"/>
        <v>y</v>
      </c>
      <c r="PQY1" s="154" t="str">
        <f t="shared" si="176"/>
        <v>y</v>
      </c>
      <c r="PQZ1" s="154" t="str">
        <f t="shared" si="176"/>
        <v>y</v>
      </c>
      <c r="PRA1" s="154" t="str">
        <f t="shared" si="176"/>
        <v>y</v>
      </c>
      <c r="PRB1" s="154" t="str">
        <f t="shared" si="176"/>
        <v>y</v>
      </c>
      <c r="PRC1" s="154" t="str">
        <f t="shared" si="176"/>
        <v>y</v>
      </c>
      <c r="PRD1" s="154" t="str">
        <f t="shared" si="176"/>
        <v>y</v>
      </c>
      <c r="PRE1" s="154" t="str">
        <f t="shared" si="176"/>
        <v>y</v>
      </c>
      <c r="PRF1" s="154" t="str">
        <f t="shared" si="176"/>
        <v>y</v>
      </c>
      <c r="PRG1" s="154" t="str">
        <f t="shared" si="176"/>
        <v>y</v>
      </c>
      <c r="PRH1" s="154" t="str">
        <f t="shared" si="176"/>
        <v>y</v>
      </c>
      <c r="PRI1" s="154" t="str">
        <f t="shared" si="176"/>
        <v>y</v>
      </c>
      <c r="PRJ1" s="154" t="str">
        <f t="shared" si="176"/>
        <v>y</v>
      </c>
      <c r="PRK1" s="154" t="str">
        <f t="shared" si="176"/>
        <v>y</v>
      </c>
      <c r="PRL1" s="154" t="str">
        <f t="shared" si="176"/>
        <v>y</v>
      </c>
      <c r="PRM1" s="154" t="str">
        <f t="shared" si="176"/>
        <v>y</v>
      </c>
      <c r="PRN1" s="154" t="str">
        <f t="shared" si="176"/>
        <v>y</v>
      </c>
      <c r="PRO1" s="154" t="str">
        <f t="shared" si="176"/>
        <v>y</v>
      </c>
      <c r="PRP1" s="154" t="str">
        <f t="shared" si="176"/>
        <v>y</v>
      </c>
      <c r="PRQ1" s="154" t="str">
        <f t="shared" si="176"/>
        <v>y</v>
      </c>
      <c r="PRR1" s="154" t="str">
        <f t="shared" si="176"/>
        <v>y</v>
      </c>
      <c r="PRS1" s="154" t="str">
        <f t="shared" si="176"/>
        <v>y</v>
      </c>
      <c r="PRT1" s="154" t="str">
        <f t="shared" si="176"/>
        <v>y</v>
      </c>
      <c r="PRU1" s="154" t="str">
        <f t="shared" si="176"/>
        <v>y</v>
      </c>
      <c r="PRV1" s="154" t="str">
        <f t="shared" si="176"/>
        <v>y</v>
      </c>
      <c r="PRW1" s="154" t="str">
        <f t="shared" si="176"/>
        <v>y</v>
      </c>
      <c r="PRX1" s="154" t="str">
        <f t="shared" si="176"/>
        <v>y</v>
      </c>
      <c r="PRY1" s="154" t="str">
        <f t="shared" si="176"/>
        <v>y</v>
      </c>
      <c r="PRZ1" s="154" t="str">
        <f t="shared" si="176"/>
        <v>y</v>
      </c>
      <c r="PSA1" s="154" t="str">
        <f t="shared" si="176"/>
        <v>y</v>
      </c>
      <c r="PSB1" s="154" t="str">
        <f t="shared" si="176"/>
        <v>y</v>
      </c>
      <c r="PSC1" s="154" t="str">
        <f t="shared" si="176"/>
        <v>y</v>
      </c>
      <c r="PSD1" s="154" t="str">
        <f t="shared" si="176"/>
        <v>y</v>
      </c>
      <c r="PSE1" s="154" t="str">
        <f t="shared" si="176"/>
        <v>y</v>
      </c>
      <c r="PSF1" s="154" t="str">
        <f t="shared" si="176"/>
        <v>y</v>
      </c>
      <c r="PSG1" s="154" t="str">
        <f t="shared" si="176"/>
        <v>y</v>
      </c>
      <c r="PSH1" s="154" t="str">
        <f t="shared" si="176"/>
        <v>y</v>
      </c>
      <c r="PSI1" s="154" t="str">
        <f t="shared" si="176"/>
        <v>y</v>
      </c>
      <c r="PSJ1" s="154" t="str">
        <f t="shared" si="176"/>
        <v>y</v>
      </c>
      <c r="PSK1" s="154" t="str">
        <f t="shared" si="176"/>
        <v>y</v>
      </c>
      <c r="PSL1" s="154" t="str">
        <f t="shared" si="176"/>
        <v>y</v>
      </c>
      <c r="PSM1" s="154" t="str">
        <f t="shared" si="176"/>
        <v>y</v>
      </c>
      <c r="PSN1" s="154" t="str">
        <f t="shared" si="176"/>
        <v>y</v>
      </c>
      <c r="PSO1" s="154" t="str">
        <f t="shared" si="176"/>
        <v>y</v>
      </c>
      <c r="PSP1" s="154" t="str">
        <f t="shared" si="176"/>
        <v>y</v>
      </c>
      <c r="PSQ1" s="154" t="str">
        <f t="shared" si="176"/>
        <v>y</v>
      </c>
      <c r="PSR1" s="154" t="str">
        <f t="shared" si="176"/>
        <v>y</v>
      </c>
      <c r="PSS1" s="154" t="str">
        <f t="shared" si="176"/>
        <v>y</v>
      </c>
      <c r="PST1" s="154" t="str">
        <f t="shared" si="176"/>
        <v>y</v>
      </c>
      <c r="PSU1" s="154" t="str">
        <f t="shared" si="176"/>
        <v>y</v>
      </c>
      <c r="PSV1" s="154" t="str">
        <f t="shared" ref="PSV1:PVG1" si="177">PSV2&amp;"y"</f>
        <v>y</v>
      </c>
      <c r="PSW1" s="154" t="str">
        <f t="shared" si="177"/>
        <v>y</v>
      </c>
      <c r="PSX1" s="154" t="str">
        <f t="shared" si="177"/>
        <v>y</v>
      </c>
      <c r="PSY1" s="154" t="str">
        <f t="shared" si="177"/>
        <v>y</v>
      </c>
      <c r="PSZ1" s="154" t="str">
        <f t="shared" si="177"/>
        <v>y</v>
      </c>
      <c r="PTA1" s="154" t="str">
        <f t="shared" si="177"/>
        <v>y</v>
      </c>
      <c r="PTB1" s="154" t="str">
        <f t="shared" si="177"/>
        <v>y</v>
      </c>
      <c r="PTC1" s="154" t="str">
        <f t="shared" si="177"/>
        <v>y</v>
      </c>
      <c r="PTD1" s="154" t="str">
        <f t="shared" si="177"/>
        <v>y</v>
      </c>
      <c r="PTE1" s="154" t="str">
        <f t="shared" si="177"/>
        <v>y</v>
      </c>
      <c r="PTF1" s="154" t="str">
        <f t="shared" si="177"/>
        <v>y</v>
      </c>
      <c r="PTG1" s="154" t="str">
        <f t="shared" si="177"/>
        <v>y</v>
      </c>
      <c r="PTH1" s="154" t="str">
        <f t="shared" si="177"/>
        <v>y</v>
      </c>
      <c r="PTI1" s="154" t="str">
        <f t="shared" si="177"/>
        <v>y</v>
      </c>
      <c r="PTJ1" s="154" t="str">
        <f t="shared" si="177"/>
        <v>y</v>
      </c>
      <c r="PTK1" s="154" t="str">
        <f t="shared" si="177"/>
        <v>y</v>
      </c>
      <c r="PTL1" s="154" t="str">
        <f t="shared" si="177"/>
        <v>y</v>
      </c>
      <c r="PTM1" s="154" t="str">
        <f t="shared" si="177"/>
        <v>y</v>
      </c>
      <c r="PTN1" s="154" t="str">
        <f t="shared" si="177"/>
        <v>y</v>
      </c>
      <c r="PTO1" s="154" t="str">
        <f t="shared" si="177"/>
        <v>y</v>
      </c>
      <c r="PTP1" s="154" t="str">
        <f t="shared" si="177"/>
        <v>y</v>
      </c>
      <c r="PTQ1" s="154" t="str">
        <f t="shared" si="177"/>
        <v>y</v>
      </c>
      <c r="PTR1" s="154" t="str">
        <f t="shared" si="177"/>
        <v>y</v>
      </c>
      <c r="PTS1" s="154" t="str">
        <f t="shared" si="177"/>
        <v>y</v>
      </c>
      <c r="PTT1" s="154" t="str">
        <f t="shared" si="177"/>
        <v>y</v>
      </c>
      <c r="PTU1" s="154" t="str">
        <f t="shared" si="177"/>
        <v>y</v>
      </c>
      <c r="PTV1" s="154" t="str">
        <f t="shared" si="177"/>
        <v>y</v>
      </c>
      <c r="PTW1" s="154" t="str">
        <f t="shared" si="177"/>
        <v>y</v>
      </c>
      <c r="PTX1" s="154" t="str">
        <f t="shared" si="177"/>
        <v>y</v>
      </c>
      <c r="PTY1" s="154" t="str">
        <f t="shared" si="177"/>
        <v>y</v>
      </c>
      <c r="PTZ1" s="154" t="str">
        <f t="shared" si="177"/>
        <v>y</v>
      </c>
      <c r="PUA1" s="154" t="str">
        <f t="shared" si="177"/>
        <v>y</v>
      </c>
      <c r="PUB1" s="154" t="str">
        <f t="shared" si="177"/>
        <v>y</v>
      </c>
      <c r="PUC1" s="154" t="str">
        <f t="shared" si="177"/>
        <v>y</v>
      </c>
      <c r="PUD1" s="154" t="str">
        <f t="shared" si="177"/>
        <v>y</v>
      </c>
      <c r="PUE1" s="154" t="str">
        <f t="shared" si="177"/>
        <v>y</v>
      </c>
      <c r="PUF1" s="154" t="str">
        <f t="shared" si="177"/>
        <v>y</v>
      </c>
      <c r="PUG1" s="154" t="str">
        <f t="shared" si="177"/>
        <v>y</v>
      </c>
      <c r="PUH1" s="154" t="str">
        <f t="shared" si="177"/>
        <v>y</v>
      </c>
      <c r="PUI1" s="154" t="str">
        <f t="shared" si="177"/>
        <v>y</v>
      </c>
      <c r="PUJ1" s="154" t="str">
        <f t="shared" si="177"/>
        <v>y</v>
      </c>
      <c r="PUK1" s="154" t="str">
        <f t="shared" si="177"/>
        <v>y</v>
      </c>
      <c r="PUL1" s="154" t="str">
        <f t="shared" si="177"/>
        <v>y</v>
      </c>
      <c r="PUM1" s="154" t="str">
        <f t="shared" si="177"/>
        <v>y</v>
      </c>
      <c r="PUN1" s="154" t="str">
        <f t="shared" si="177"/>
        <v>y</v>
      </c>
      <c r="PUO1" s="154" t="str">
        <f t="shared" si="177"/>
        <v>y</v>
      </c>
      <c r="PUP1" s="154" t="str">
        <f t="shared" si="177"/>
        <v>y</v>
      </c>
      <c r="PUQ1" s="154" t="str">
        <f t="shared" si="177"/>
        <v>y</v>
      </c>
      <c r="PUR1" s="154" t="str">
        <f t="shared" si="177"/>
        <v>y</v>
      </c>
      <c r="PUS1" s="154" t="str">
        <f t="shared" si="177"/>
        <v>y</v>
      </c>
      <c r="PUT1" s="154" t="str">
        <f t="shared" si="177"/>
        <v>y</v>
      </c>
      <c r="PUU1" s="154" t="str">
        <f t="shared" si="177"/>
        <v>y</v>
      </c>
      <c r="PUV1" s="154" t="str">
        <f t="shared" si="177"/>
        <v>y</v>
      </c>
      <c r="PUW1" s="154" t="str">
        <f t="shared" si="177"/>
        <v>y</v>
      </c>
      <c r="PUX1" s="154" t="str">
        <f t="shared" si="177"/>
        <v>y</v>
      </c>
      <c r="PUY1" s="154" t="str">
        <f t="shared" si="177"/>
        <v>y</v>
      </c>
      <c r="PUZ1" s="154" t="str">
        <f t="shared" si="177"/>
        <v>y</v>
      </c>
      <c r="PVA1" s="154" t="str">
        <f t="shared" si="177"/>
        <v>y</v>
      </c>
      <c r="PVB1" s="154" t="str">
        <f t="shared" si="177"/>
        <v>y</v>
      </c>
      <c r="PVC1" s="154" t="str">
        <f t="shared" si="177"/>
        <v>y</v>
      </c>
      <c r="PVD1" s="154" t="str">
        <f t="shared" si="177"/>
        <v>y</v>
      </c>
      <c r="PVE1" s="154" t="str">
        <f t="shared" si="177"/>
        <v>y</v>
      </c>
      <c r="PVF1" s="154" t="str">
        <f t="shared" si="177"/>
        <v>y</v>
      </c>
      <c r="PVG1" s="154" t="str">
        <f t="shared" si="177"/>
        <v>y</v>
      </c>
      <c r="PVH1" s="154" t="str">
        <f t="shared" ref="PVH1:PXS1" si="178">PVH2&amp;"y"</f>
        <v>y</v>
      </c>
      <c r="PVI1" s="154" t="str">
        <f t="shared" si="178"/>
        <v>y</v>
      </c>
      <c r="PVJ1" s="154" t="str">
        <f t="shared" si="178"/>
        <v>y</v>
      </c>
      <c r="PVK1" s="154" t="str">
        <f t="shared" si="178"/>
        <v>y</v>
      </c>
      <c r="PVL1" s="154" t="str">
        <f t="shared" si="178"/>
        <v>y</v>
      </c>
      <c r="PVM1" s="154" t="str">
        <f t="shared" si="178"/>
        <v>y</v>
      </c>
      <c r="PVN1" s="154" t="str">
        <f t="shared" si="178"/>
        <v>y</v>
      </c>
      <c r="PVO1" s="154" t="str">
        <f t="shared" si="178"/>
        <v>y</v>
      </c>
      <c r="PVP1" s="154" t="str">
        <f t="shared" si="178"/>
        <v>y</v>
      </c>
      <c r="PVQ1" s="154" t="str">
        <f t="shared" si="178"/>
        <v>y</v>
      </c>
      <c r="PVR1" s="154" t="str">
        <f t="shared" si="178"/>
        <v>y</v>
      </c>
      <c r="PVS1" s="154" t="str">
        <f t="shared" si="178"/>
        <v>y</v>
      </c>
      <c r="PVT1" s="154" t="str">
        <f t="shared" si="178"/>
        <v>y</v>
      </c>
      <c r="PVU1" s="154" t="str">
        <f t="shared" si="178"/>
        <v>y</v>
      </c>
      <c r="PVV1" s="154" t="str">
        <f t="shared" si="178"/>
        <v>y</v>
      </c>
      <c r="PVW1" s="154" t="str">
        <f t="shared" si="178"/>
        <v>y</v>
      </c>
      <c r="PVX1" s="154" t="str">
        <f t="shared" si="178"/>
        <v>y</v>
      </c>
      <c r="PVY1" s="154" t="str">
        <f t="shared" si="178"/>
        <v>y</v>
      </c>
      <c r="PVZ1" s="154" t="str">
        <f t="shared" si="178"/>
        <v>y</v>
      </c>
      <c r="PWA1" s="154" t="str">
        <f t="shared" si="178"/>
        <v>y</v>
      </c>
      <c r="PWB1" s="154" t="str">
        <f t="shared" si="178"/>
        <v>y</v>
      </c>
      <c r="PWC1" s="154" t="str">
        <f t="shared" si="178"/>
        <v>y</v>
      </c>
      <c r="PWD1" s="154" t="str">
        <f t="shared" si="178"/>
        <v>y</v>
      </c>
      <c r="PWE1" s="154" t="str">
        <f t="shared" si="178"/>
        <v>y</v>
      </c>
      <c r="PWF1" s="154" t="str">
        <f t="shared" si="178"/>
        <v>y</v>
      </c>
      <c r="PWG1" s="154" t="str">
        <f t="shared" si="178"/>
        <v>y</v>
      </c>
      <c r="PWH1" s="154" t="str">
        <f t="shared" si="178"/>
        <v>y</v>
      </c>
      <c r="PWI1" s="154" t="str">
        <f t="shared" si="178"/>
        <v>y</v>
      </c>
      <c r="PWJ1" s="154" t="str">
        <f t="shared" si="178"/>
        <v>y</v>
      </c>
      <c r="PWK1" s="154" t="str">
        <f t="shared" si="178"/>
        <v>y</v>
      </c>
      <c r="PWL1" s="154" t="str">
        <f t="shared" si="178"/>
        <v>y</v>
      </c>
      <c r="PWM1" s="154" t="str">
        <f t="shared" si="178"/>
        <v>y</v>
      </c>
      <c r="PWN1" s="154" t="str">
        <f t="shared" si="178"/>
        <v>y</v>
      </c>
      <c r="PWO1" s="154" t="str">
        <f t="shared" si="178"/>
        <v>y</v>
      </c>
      <c r="PWP1" s="154" t="str">
        <f t="shared" si="178"/>
        <v>y</v>
      </c>
      <c r="PWQ1" s="154" t="str">
        <f t="shared" si="178"/>
        <v>y</v>
      </c>
      <c r="PWR1" s="154" t="str">
        <f t="shared" si="178"/>
        <v>y</v>
      </c>
      <c r="PWS1" s="154" t="str">
        <f t="shared" si="178"/>
        <v>y</v>
      </c>
      <c r="PWT1" s="154" t="str">
        <f t="shared" si="178"/>
        <v>y</v>
      </c>
      <c r="PWU1" s="154" t="str">
        <f t="shared" si="178"/>
        <v>y</v>
      </c>
      <c r="PWV1" s="154" t="str">
        <f t="shared" si="178"/>
        <v>y</v>
      </c>
      <c r="PWW1" s="154" t="str">
        <f t="shared" si="178"/>
        <v>y</v>
      </c>
      <c r="PWX1" s="154" t="str">
        <f t="shared" si="178"/>
        <v>y</v>
      </c>
      <c r="PWY1" s="154" t="str">
        <f t="shared" si="178"/>
        <v>y</v>
      </c>
      <c r="PWZ1" s="154" t="str">
        <f t="shared" si="178"/>
        <v>y</v>
      </c>
      <c r="PXA1" s="154" t="str">
        <f t="shared" si="178"/>
        <v>y</v>
      </c>
      <c r="PXB1" s="154" t="str">
        <f t="shared" si="178"/>
        <v>y</v>
      </c>
      <c r="PXC1" s="154" t="str">
        <f t="shared" si="178"/>
        <v>y</v>
      </c>
      <c r="PXD1" s="154" t="str">
        <f t="shared" si="178"/>
        <v>y</v>
      </c>
      <c r="PXE1" s="154" t="str">
        <f t="shared" si="178"/>
        <v>y</v>
      </c>
      <c r="PXF1" s="154" t="str">
        <f t="shared" si="178"/>
        <v>y</v>
      </c>
      <c r="PXG1" s="154" t="str">
        <f t="shared" si="178"/>
        <v>y</v>
      </c>
      <c r="PXH1" s="154" t="str">
        <f t="shared" si="178"/>
        <v>y</v>
      </c>
      <c r="PXI1" s="154" t="str">
        <f t="shared" si="178"/>
        <v>y</v>
      </c>
      <c r="PXJ1" s="154" t="str">
        <f t="shared" si="178"/>
        <v>y</v>
      </c>
      <c r="PXK1" s="154" t="str">
        <f t="shared" si="178"/>
        <v>y</v>
      </c>
      <c r="PXL1" s="154" t="str">
        <f t="shared" si="178"/>
        <v>y</v>
      </c>
      <c r="PXM1" s="154" t="str">
        <f t="shared" si="178"/>
        <v>y</v>
      </c>
      <c r="PXN1" s="154" t="str">
        <f t="shared" si="178"/>
        <v>y</v>
      </c>
      <c r="PXO1" s="154" t="str">
        <f t="shared" si="178"/>
        <v>y</v>
      </c>
      <c r="PXP1" s="154" t="str">
        <f t="shared" si="178"/>
        <v>y</v>
      </c>
      <c r="PXQ1" s="154" t="str">
        <f t="shared" si="178"/>
        <v>y</v>
      </c>
      <c r="PXR1" s="154" t="str">
        <f t="shared" si="178"/>
        <v>y</v>
      </c>
      <c r="PXS1" s="154" t="str">
        <f t="shared" si="178"/>
        <v>y</v>
      </c>
      <c r="PXT1" s="154" t="str">
        <f t="shared" ref="PXT1:QAE1" si="179">PXT2&amp;"y"</f>
        <v>y</v>
      </c>
      <c r="PXU1" s="154" t="str">
        <f t="shared" si="179"/>
        <v>y</v>
      </c>
      <c r="PXV1" s="154" t="str">
        <f t="shared" si="179"/>
        <v>y</v>
      </c>
      <c r="PXW1" s="154" t="str">
        <f t="shared" si="179"/>
        <v>y</v>
      </c>
      <c r="PXX1" s="154" t="str">
        <f t="shared" si="179"/>
        <v>y</v>
      </c>
      <c r="PXY1" s="154" t="str">
        <f t="shared" si="179"/>
        <v>y</v>
      </c>
      <c r="PXZ1" s="154" t="str">
        <f t="shared" si="179"/>
        <v>y</v>
      </c>
      <c r="PYA1" s="154" t="str">
        <f t="shared" si="179"/>
        <v>y</v>
      </c>
      <c r="PYB1" s="154" t="str">
        <f t="shared" si="179"/>
        <v>y</v>
      </c>
      <c r="PYC1" s="154" t="str">
        <f t="shared" si="179"/>
        <v>y</v>
      </c>
      <c r="PYD1" s="154" t="str">
        <f t="shared" si="179"/>
        <v>y</v>
      </c>
      <c r="PYE1" s="154" t="str">
        <f t="shared" si="179"/>
        <v>y</v>
      </c>
      <c r="PYF1" s="154" t="str">
        <f t="shared" si="179"/>
        <v>y</v>
      </c>
      <c r="PYG1" s="154" t="str">
        <f t="shared" si="179"/>
        <v>y</v>
      </c>
      <c r="PYH1" s="154" t="str">
        <f t="shared" si="179"/>
        <v>y</v>
      </c>
      <c r="PYI1" s="154" t="str">
        <f t="shared" si="179"/>
        <v>y</v>
      </c>
      <c r="PYJ1" s="154" t="str">
        <f t="shared" si="179"/>
        <v>y</v>
      </c>
      <c r="PYK1" s="154" t="str">
        <f t="shared" si="179"/>
        <v>y</v>
      </c>
      <c r="PYL1" s="154" t="str">
        <f t="shared" si="179"/>
        <v>y</v>
      </c>
      <c r="PYM1" s="154" t="str">
        <f t="shared" si="179"/>
        <v>y</v>
      </c>
      <c r="PYN1" s="154" t="str">
        <f t="shared" si="179"/>
        <v>y</v>
      </c>
      <c r="PYO1" s="154" t="str">
        <f t="shared" si="179"/>
        <v>y</v>
      </c>
      <c r="PYP1" s="154" t="str">
        <f t="shared" si="179"/>
        <v>y</v>
      </c>
      <c r="PYQ1" s="154" t="str">
        <f t="shared" si="179"/>
        <v>y</v>
      </c>
      <c r="PYR1" s="154" t="str">
        <f t="shared" si="179"/>
        <v>y</v>
      </c>
      <c r="PYS1" s="154" t="str">
        <f t="shared" si="179"/>
        <v>y</v>
      </c>
      <c r="PYT1" s="154" t="str">
        <f t="shared" si="179"/>
        <v>y</v>
      </c>
      <c r="PYU1" s="154" t="str">
        <f t="shared" si="179"/>
        <v>y</v>
      </c>
      <c r="PYV1" s="154" t="str">
        <f t="shared" si="179"/>
        <v>y</v>
      </c>
      <c r="PYW1" s="154" t="str">
        <f t="shared" si="179"/>
        <v>y</v>
      </c>
      <c r="PYX1" s="154" t="str">
        <f t="shared" si="179"/>
        <v>y</v>
      </c>
      <c r="PYY1" s="154" t="str">
        <f t="shared" si="179"/>
        <v>y</v>
      </c>
      <c r="PYZ1" s="154" t="str">
        <f t="shared" si="179"/>
        <v>y</v>
      </c>
      <c r="PZA1" s="154" t="str">
        <f t="shared" si="179"/>
        <v>y</v>
      </c>
      <c r="PZB1" s="154" t="str">
        <f t="shared" si="179"/>
        <v>y</v>
      </c>
      <c r="PZC1" s="154" t="str">
        <f t="shared" si="179"/>
        <v>y</v>
      </c>
      <c r="PZD1" s="154" t="str">
        <f t="shared" si="179"/>
        <v>y</v>
      </c>
      <c r="PZE1" s="154" t="str">
        <f t="shared" si="179"/>
        <v>y</v>
      </c>
      <c r="PZF1" s="154" t="str">
        <f t="shared" si="179"/>
        <v>y</v>
      </c>
      <c r="PZG1" s="154" t="str">
        <f t="shared" si="179"/>
        <v>y</v>
      </c>
      <c r="PZH1" s="154" t="str">
        <f t="shared" si="179"/>
        <v>y</v>
      </c>
      <c r="PZI1" s="154" t="str">
        <f t="shared" si="179"/>
        <v>y</v>
      </c>
      <c r="PZJ1" s="154" t="str">
        <f t="shared" si="179"/>
        <v>y</v>
      </c>
      <c r="PZK1" s="154" t="str">
        <f t="shared" si="179"/>
        <v>y</v>
      </c>
      <c r="PZL1" s="154" t="str">
        <f t="shared" si="179"/>
        <v>y</v>
      </c>
      <c r="PZM1" s="154" t="str">
        <f t="shared" si="179"/>
        <v>y</v>
      </c>
      <c r="PZN1" s="154" t="str">
        <f t="shared" si="179"/>
        <v>y</v>
      </c>
      <c r="PZO1" s="154" t="str">
        <f t="shared" si="179"/>
        <v>y</v>
      </c>
      <c r="PZP1" s="154" t="str">
        <f t="shared" si="179"/>
        <v>y</v>
      </c>
      <c r="PZQ1" s="154" t="str">
        <f t="shared" si="179"/>
        <v>y</v>
      </c>
      <c r="PZR1" s="154" t="str">
        <f t="shared" si="179"/>
        <v>y</v>
      </c>
      <c r="PZS1" s="154" t="str">
        <f t="shared" si="179"/>
        <v>y</v>
      </c>
      <c r="PZT1" s="154" t="str">
        <f t="shared" si="179"/>
        <v>y</v>
      </c>
      <c r="PZU1" s="154" t="str">
        <f t="shared" si="179"/>
        <v>y</v>
      </c>
      <c r="PZV1" s="154" t="str">
        <f t="shared" si="179"/>
        <v>y</v>
      </c>
      <c r="PZW1" s="154" t="str">
        <f t="shared" si="179"/>
        <v>y</v>
      </c>
      <c r="PZX1" s="154" t="str">
        <f t="shared" si="179"/>
        <v>y</v>
      </c>
      <c r="PZY1" s="154" t="str">
        <f t="shared" si="179"/>
        <v>y</v>
      </c>
      <c r="PZZ1" s="154" t="str">
        <f t="shared" si="179"/>
        <v>y</v>
      </c>
      <c r="QAA1" s="154" t="str">
        <f t="shared" si="179"/>
        <v>y</v>
      </c>
      <c r="QAB1" s="154" t="str">
        <f t="shared" si="179"/>
        <v>y</v>
      </c>
      <c r="QAC1" s="154" t="str">
        <f t="shared" si="179"/>
        <v>y</v>
      </c>
      <c r="QAD1" s="154" t="str">
        <f t="shared" si="179"/>
        <v>y</v>
      </c>
      <c r="QAE1" s="154" t="str">
        <f t="shared" si="179"/>
        <v>y</v>
      </c>
      <c r="QAF1" s="154" t="str">
        <f t="shared" ref="QAF1:QCQ1" si="180">QAF2&amp;"y"</f>
        <v>y</v>
      </c>
      <c r="QAG1" s="154" t="str">
        <f t="shared" si="180"/>
        <v>y</v>
      </c>
      <c r="QAH1" s="154" t="str">
        <f t="shared" si="180"/>
        <v>y</v>
      </c>
      <c r="QAI1" s="154" t="str">
        <f t="shared" si="180"/>
        <v>y</v>
      </c>
      <c r="QAJ1" s="154" t="str">
        <f t="shared" si="180"/>
        <v>y</v>
      </c>
      <c r="QAK1" s="154" t="str">
        <f t="shared" si="180"/>
        <v>y</v>
      </c>
      <c r="QAL1" s="154" t="str">
        <f t="shared" si="180"/>
        <v>y</v>
      </c>
      <c r="QAM1" s="154" t="str">
        <f t="shared" si="180"/>
        <v>y</v>
      </c>
      <c r="QAN1" s="154" t="str">
        <f t="shared" si="180"/>
        <v>y</v>
      </c>
      <c r="QAO1" s="154" t="str">
        <f t="shared" si="180"/>
        <v>y</v>
      </c>
      <c r="QAP1" s="154" t="str">
        <f t="shared" si="180"/>
        <v>y</v>
      </c>
      <c r="QAQ1" s="154" t="str">
        <f t="shared" si="180"/>
        <v>y</v>
      </c>
      <c r="QAR1" s="154" t="str">
        <f t="shared" si="180"/>
        <v>y</v>
      </c>
      <c r="QAS1" s="154" t="str">
        <f t="shared" si="180"/>
        <v>y</v>
      </c>
      <c r="QAT1" s="154" t="str">
        <f t="shared" si="180"/>
        <v>y</v>
      </c>
      <c r="QAU1" s="154" t="str">
        <f t="shared" si="180"/>
        <v>y</v>
      </c>
      <c r="QAV1" s="154" t="str">
        <f t="shared" si="180"/>
        <v>y</v>
      </c>
      <c r="QAW1" s="154" t="str">
        <f t="shared" si="180"/>
        <v>y</v>
      </c>
      <c r="QAX1" s="154" t="str">
        <f t="shared" si="180"/>
        <v>y</v>
      </c>
      <c r="QAY1" s="154" t="str">
        <f t="shared" si="180"/>
        <v>y</v>
      </c>
      <c r="QAZ1" s="154" t="str">
        <f t="shared" si="180"/>
        <v>y</v>
      </c>
      <c r="QBA1" s="154" t="str">
        <f t="shared" si="180"/>
        <v>y</v>
      </c>
      <c r="QBB1" s="154" t="str">
        <f t="shared" si="180"/>
        <v>y</v>
      </c>
      <c r="QBC1" s="154" t="str">
        <f t="shared" si="180"/>
        <v>y</v>
      </c>
      <c r="QBD1" s="154" t="str">
        <f t="shared" si="180"/>
        <v>y</v>
      </c>
      <c r="QBE1" s="154" t="str">
        <f t="shared" si="180"/>
        <v>y</v>
      </c>
      <c r="QBF1" s="154" t="str">
        <f t="shared" si="180"/>
        <v>y</v>
      </c>
      <c r="QBG1" s="154" t="str">
        <f t="shared" si="180"/>
        <v>y</v>
      </c>
      <c r="QBH1" s="154" t="str">
        <f t="shared" si="180"/>
        <v>y</v>
      </c>
      <c r="QBI1" s="154" t="str">
        <f t="shared" si="180"/>
        <v>y</v>
      </c>
      <c r="QBJ1" s="154" t="str">
        <f t="shared" si="180"/>
        <v>y</v>
      </c>
      <c r="QBK1" s="154" t="str">
        <f t="shared" si="180"/>
        <v>y</v>
      </c>
      <c r="QBL1" s="154" t="str">
        <f t="shared" si="180"/>
        <v>y</v>
      </c>
      <c r="QBM1" s="154" t="str">
        <f t="shared" si="180"/>
        <v>y</v>
      </c>
      <c r="QBN1" s="154" t="str">
        <f t="shared" si="180"/>
        <v>y</v>
      </c>
      <c r="QBO1" s="154" t="str">
        <f t="shared" si="180"/>
        <v>y</v>
      </c>
      <c r="QBP1" s="154" t="str">
        <f t="shared" si="180"/>
        <v>y</v>
      </c>
      <c r="QBQ1" s="154" t="str">
        <f t="shared" si="180"/>
        <v>y</v>
      </c>
      <c r="QBR1" s="154" t="str">
        <f t="shared" si="180"/>
        <v>y</v>
      </c>
      <c r="QBS1" s="154" t="str">
        <f t="shared" si="180"/>
        <v>y</v>
      </c>
      <c r="QBT1" s="154" t="str">
        <f t="shared" si="180"/>
        <v>y</v>
      </c>
      <c r="QBU1" s="154" t="str">
        <f t="shared" si="180"/>
        <v>y</v>
      </c>
      <c r="QBV1" s="154" t="str">
        <f t="shared" si="180"/>
        <v>y</v>
      </c>
      <c r="QBW1" s="154" t="str">
        <f t="shared" si="180"/>
        <v>y</v>
      </c>
      <c r="QBX1" s="154" t="str">
        <f t="shared" si="180"/>
        <v>y</v>
      </c>
      <c r="QBY1" s="154" t="str">
        <f t="shared" si="180"/>
        <v>y</v>
      </c>
      <c r="QBZ1" s="154" t="str">
        <f t="shared" si="180"/>
        <v>y</v>
      </c>
      <c r="QCA1" s="154" t="str">
        <f t="shared" si="180"/>
        <v>y</v>
      </c>
      <c r="QCB1" s="154" t="str">
        <f t="shared" si="180"/>
        <v>y</v>
      </c>
      <c r="QCC1" s="154" t="str">
        <f t="shared" si="180"/>
        <v>y</v>
      </c>
      <c r="QCD1" s="154" t="str">
        <f t="shared" si="180"/>
        <v>y</v>
      </c>
      <c r="QCE1" s="154" t="str">
        <f t="shared" si="180"/>
        <v>y</v>
      </c>
      <c r="QCF1" s="154" t="str">
        <f t="shared" si="180"/>
        <v>y</v>
      </c>
      <c r="QCG1" s="154" t="str">
        <f t="shared" si="180"/>
        <v>y</v>
      </c>
      <c r="QCH1" s="154" t="str">
        <f t="shared" si="180"/>
        <v>y</v>
      </c>
      <c r="QCI1" s="154" t="str">
        <f t="shared" si="180"/>
        <v>y</v>
      </c>
      <c r="QCJ1" s="154" t="str">
        <f t="shared" si="180"/>
        <v>y</v>
      </c>
      <c r="QCK1" s="154" t="str">
        <f t="shared" si="180"/>
        <v>y</v>
      </c>
      <c r="QCL1" s="154" t="str">
        <f t="shared" si="180"/>
        <v>y</v>
      </c>
      <c r="QCM1" s="154" t="str">
        <f t="shared" si="180"/>
        <v>y</v>
      </c>
      <c r="QCN1" s="154" t="str">
        <f t="shared" si="180"/>
        <v>y</v>
      </c>
      <c r="QCO1" s="154" t="str">
        <f t="shared" si="180"/>
        <v>y</v>
      </c>
      <c r="QCP1" s="154" t="str">
        <f t="shared" si="180"/>
        <v>y</v>
      </c>
      <c r="QCQ1" s="154" t="str">
        <f t="shared" si="180"/>
        <v>y</v>
      </c>
      <c r="QCR1" s="154" t="str">
        <f t="shared" ref="QCR1:QFC1" si="181">QCR2&amp;"y"</f>
        <v>y</v>
      </c>
      <c r="QCS1" s="154" t="str">
        <f t="shared" si="181"/>
        <v>y</v>
      </c>
      <c r="QCT1" s="154" t="str">
        <f t="shared" si="181"/>
        <v>y</v>
      </c>
      <c r="QCU1" s="154" t="str">
        <f t="shared" si="181"/>
        <v>y</v>
      </c>
      <c r="QCV1" s="154" t="str">
        <f t="shared" si="181"/>
        <v>y</v>
      </c>
      <c r="QCW1" s="154" t="str">
        <f t="shared" si="181"/>
        <v>y</v>
      </c>
      <c r="QCX1" s="154" t="str">
        <f t="shared" si="181"/>
        <v>y</v>
      </c>
      <c r="QCY1" s="154" t="str">
        <f t="shared" si="181"/>
        <v>y</v>
      </c>
      <c r="QCZ1" s="154" t="str">
        <f t="shared" si="181"/>
        <v>y</v>
      </c>
      <c r="QDA1" s="154" t="str">
        <f t="shared" si="181"/>
        <v>y</v>
      </c>
      <c r="QDB1" s="154" t="str">
        <f t="shared" si="181"/>
        <v>y</v>
      </c>
      <c r="QDC1" s="154" t="str">
        <f t="shared" si="181"/>
        <v>y</v>
      </c>
      <c r="QDD1" s="154" t="str">
        <f t="shared" si="181"/>
        <v>y</v>
      </c>
      <c r="QDE1" s="154" t="str">
        <f t="shared" si="181"/>
        <v>y</v>
      </c>
      <c r="QDF1" s="154" t="str">
        <f t="shared" si="181"/>
        <v>y</v>
      </c>
      <c r="QDG1" s="154" t="str">
        <f t="shared" si="181"/>
        <v>y</v>
      </c>
      <c r="QDH1" s="154" t="str">
        <f t="shared" si="181"/>
        <v>y</v>
      </c>
      <c r="QDI1" s="154" t="str">
        <f t="shared" si="181"/>
        <v>y</v>
      </c>
      <c r="QDJ1" s="154" t="str">
        <f t="shared" si="181"/>
        <v>y</v>
      </c>
      <c r="QDK1" s="154" t="str">
        <f t="shared" si="181"/>
        <v>y</v>
      </c>
      <c r="QDL1" s="154" t="str">
        <f t="shared" si="181"/>
        <v>y</v>
      </c>
      <c r="QDM1" s="154" t="str">
        <f t="shared" si="181"/>
        <v>y</v>
      </c>
      <c r="QDN1" s="154" t="str">
        <f t="shared" si="181"/>
        <v>y</v>
      </c>
      <c r="QDO1" s="154" t="str">
        <f t="shared" si="181"/>
        <v>y</v>
      </c>
      <c r="QDP1" s="154" t="str">
        <f t="shared" si="181"/>
        <v>y</v>
      </c>
      <c r="QDQ1" s="154" t="str">
        <f t="shared" si="181"/>
        <v>y</v>
      </c>
      <c r="QDR1" s="154" t="str">
        <f t="shared" si="181"/>
        <v>y</v>
      </c>
      <c r="QDS1" s="154" t="str">
        <f t="shared" si="181"/>
        <v>y</v>
      </c>
      <c r="QDT1" s="154" t="str">
        <f t="shared" si="181"/>
        <v>y</v>
      </c>
      <c r="QDU1" s="154" t="str">
        <f t="shared" si="181"/>
        <v>y</v>
      </c>
      <c r="QDV1" s="154" t="str">
        <f t="shared" si="181"/>
        <v>y</v>
      </c>
      <c r="QDW1" s="154" t="str">
        <f t="shared" si="181"/>
        <v>y</v>
      </c>
      <c r="QDX1" s="154" t="str">
        <f t="shared" si="181"/>
        <v>y</v>
      </c>
      <c r="QDY1" s="154" t="str">
        <f t="shared" si="181"/>
        <v>y</v>
      </c>
      <c r="QDZ1" s="154" t="str">
        <f t="shared" si="181"/>
        <v>y</v>
      </c>
      <c r="QEA1" s="154" t="str">
        <f t="shared" si="181"/>
        <v>y</v>
      </c>
      <c r="QEB1" s="154" t="str">
        <f t="shared" si="181"/>
        <v>y</v>
      </c>
      <c r="QEC1" s="154" t="str">
        <f t="shared" si="181"/>
        <v>y</v>
      </c>
      <c r="QED1" s="154" t="str">
        <f t="shared" si="181"/>
        <v>y</v>
      </c>
      <c r="QEE1" s="154" t="str">
        <f t="shared" si="181"/>
        <v>y</v>
      </c>
      <c r="QEF1" s="154" t="str">
        <f t="shared" si="181"/>
        <v>y</v>
      </c>
      <c r="QEG1" s="154" t="str">
        <f t="shared" si="181"/>
        <v>y</v>
      </c>
      <c r="QEH1" s="154" t="str">
        <f t="shared" si="181"/>
        <v>y</v>
      </c>
      <c r="QEI1" s="154" t="str">
        <f t="shared" si="181"/>
        <v>y</v>
      </c>
      <c r="QEJ1" s="154" t="str">
        <f t="shared" si="181"/>
        <v>y</v>
      </c>
      <c r="QEK1" s="154" t="str">
        <f t="shared" si="181"/>
        <v>y</v>
      </c>
      <c r="QEL1" s="154" t="str">
        <f t="shared" si="181"/>
        <v>y</v>
      </c>
      <c r="QEM1" s="154" t="str">
        <f t="shared" si="181"/>
        <v>y</v>
      </c>
      <c r="QEN1" s="154" t="str">
        <f t="shared" si="181"/>
        <v>y</v>
      </c>
      <c r="QEO1" s="154" t="str">
        <f t="shared" si="181"/>
        <v>y</v>
      </c>
      <c r="QEP1" s="154" t="str">
        <f t="shared" si="181"/>
        <v>y</v>
      </c>
      <c r="QEQ1" s="154" t="str">
        <f t="shared" si="181"/>
        <v>y</v>
      </c>
      <c r="QER1" s="154" t="str">
        <f t="shared" si="181"/>
        <v>y</v>
      </c>
      <c r="QES1" s="154" t="str">
        <f t="shared" si="181"/>
        <v>y</v>
      </c>
      <c r="QET1" s="154" t="str">
        <f t="shared" si="181"/>
        <v>y</v>
      </c>
      <c r="QEU1" s="154" t="str">
        <f t="shared" si="181"/>
        <v>y</v>
      </c>
      <c r="QEV1" s="154" t="str">
        <f t="shared" si="181"/>
        <v>y</v>
      </c>
      <c r="QEW1" s="154" t="str">
        <f t="shared" si="181"/>
        <v>y</v>
      </c>
      <c r="QEX1" s="154" t="str">
        <f t="shared" si="181"/>
        <v>y</v>
      </c>
      <c r="QEY1" s="154" t="str">
        <f t="shared" si="181"/>
        <v>y</v>
      </c>
      <c r="QEZ1" s="154" t="str">
        <f t="shared" si="181"/>
        <v>y</v>
      </c>
      <c r="QFA1" s="154" t="str">
        <f t="shared" si="181"/>
        <v>y</v>
      </c>
      <c r="QFB1" s="154" t="str">
        <f t="shared" si="181"/>
        <v>y</v>
      </c>
      <c r="QFC1" s="154" t="str">
        <f t="shared" si="181"/>
        <v>y</v>
      </c>
      <c r="QFD1" s="154" t="str">
        <f t="shared" ref="QFD1:QHO1" si="182">QFD2&amp;"y"</f>
        <v>y</v>
      </c>
      <c r="QFE1" s="154" t="str">
        <f t="shared" si="182"/>
        <v>y</v>
      </c>
      <c r="QFF1" s="154" t="str">
        <f t="shared" si="182"/>
        <v>y</v>
      </c>
      <c r="QFG1" s="154" t="str">
        <f t="shared" si="182"/>
        <v>y</v>
      </c>
      <c r="QFH1" s="154" t="str">
        <f t="shared" si="182"/>
        <v>y</v>
      </c>
      <c r="QFI1" s="154" t="str">
        <f t="shared" si="182"/>
        <v>y</v>
      </c>
      <c r="QFJ1" s="154" t="str">
        <f t="shared" si="182"/>
        <v>y</v>
      </c>
      <c r="QFK1" s="154" t="str">
        <f t="shared" si="182"/>
        <v>y</v>
      </c>
      <c r="QFL1" s="154" t="str">
        <f t="shared" si="182"/>
        <v>y</v>
      </c>
      <c r="QFM1" s="154" t="str">
        <f t="shared" si="182"/>
        <v>y</v>
      </c>
      <c r="QFN1" s="154" t="str">
        <f t="shared" si="182"/>
        <v>y</v>
      </c>
      <c r="QFO1" s="154" t="str">
        <f t="shared" si="182"/>
        <v>y</v>
      </c>
      <c r="QFP1" s="154" t="str">
        <f t="shared" si="182"/>
        <v>y</v>
      </c>
      <c r="QFQ1" s="154" t="str">
        <f t="shared" si="182"/>
        <v>y</v>
      </c>
      <c r="QFR1" s="154" t="str">
        <f t="shared" si="182"/>
        <v>y</v>
      </c>
      <c r="QFS1" s="154" t="str">
        <f t="shared" si="182"/>
        <v>y</v>
      </c>
      <c r="QFT1" s="154" t="str">
        <f t="shared" si="182"/>
        <v>y</v>
      </c>
      <c r="QFU1" s="154" t="str">
        <f t="shared" si="182"/>
        <v>y</v>
      </c>
      <c r="QFV1" s="154" t="str">
        <f t="shared" si="182"/>
        <v>y</v>
      </c>
      <c r="QFW1" s="154" t="str">
        <f t="shared" si="182"/>
        <v>y</v>
      </c>
      <c r="QFX1" s="154" t="str">
        <f t="shared" si="182"/>
        <v>y</v>
      </c>
      <c r="QFY1" s="154" t="str">
        <f t="shared" si="182"/>
        <v>y</v>
      </c>
      <c r="QFZ1" s="154" t="str">
        <f t="shared" si="182"/>
        <v>y</v>
      </c>
      <c r="QGA1" s="154" t="str">
        <f t="shared" si="182"/>
        <v>y</v>
      </c>
      <c r="QGB1" s="154" t="str">
        <f t="shared" si="182"/>
        <v>y</v>
      </c>
      <c r="QGC1" s="154" t="str">
        <f t="shared" si="182"/>
        <v>y</v>
      </c>
      <c r="QGD1" s="154" t="str">
        <f t="shared" si="182"/>
        <v>y</v>
      </c>
      <c r="QGE1" s="154" t="str">
        <f t="shared" si="182"/>
        <v>y</v>
      </c>
      <c r="QGF1" s="154" t="str">
        <f t="shared" si="182"/>
        <v>y</v>
      </c>
      <c r="QGG1" s="154" t="str">
        <f t="shared" si="182"/>
        <v>y</v>
      </c>
      <c r="QGH1" s="154" t="str">
        <f t="shared" si="182"/>
        <v>y</v>
      </c>
      <c r="QGI1" s="154" t="str">
        <f t="shared" si="182"/>
        <v>y</v>
      </c>
      <c r="QGJ1" s="154" t="str">
        <f t="shared" si="182"/>
        <v>y</v>
      </c>
      <c r="QGK1" s="154" t="str">
        <f t="shared" si="182"/>
        <v>y</v>
      </c>
      <c r="QGL1" s="154" t="str">
        <f t="shared" si="182"/>
        <v>y</v>
      </c>
      <c r="QGM1" s="154" t="str">
        <f t="shared" si="182"/>
        <v>y</v>
      </c>
      <c r="QGN1" s="154" t="str">
        <f t="shared" si="182"/>
        <v>y</v>
      </c>
      <c r="QGO1" s="154" t="str">
        <f t="shared" si="182"/>
        <v>y</v>
      </c>
      <c r="QGP1" s="154" t="str">
        <f t="shared" si="182"/>
        <v>y</v>
      </c>
      <c r="QGQ1" s="154" t="str">
        <f t="shared" si="182"/>
        <v>y</v>
      </c>
      <c r="QGR1" s="154" t="str">
        <f t="shared" si="182"/>
        <v>y</v>
      </c>
      <c r="QGS1" s="154" t="str">
        <f t="shared" si="182"/>
        <v>y</v>
      </c>
      <c r="QGT1" s="154" t="str">
        <f t="shared" si="182"/>
        <v>y</v>
      </c>
      <c r="QGU1" s="154" t="str">
        <f t="shared" si="182"/>
        <v>y</v>
      </c>
      <c r="QGV1" s="154" t="str">
        <f t="shared" si="182"/>
        <v>y</v>
      </c>
      <c r="QGW1" s="154" t="str">
        <f t="shared" si="182"/>
        <v>y</v>
      </c>
      <c r="QGX1" s="154" t="str">
        <f t="shared" si="182"/>
        <v>y</v>
      </c>
      <c r="QGY1" s="154" t="str">
        <f t="shared" si="182"/>
        <v>y</v>
      </c>
      <c r="QGZ1" s="154" t="str">
        <f t="shared" si="182"/>
        <v>y</v>
      </c>
      <c r="QHA1" s="154" t="str">
        <f t="shared" si="182"/>
        <v>y</v>
      </c>
      <c r="QHB1" s="154" t="str">
        <f t="shared" si="182"/>
        <v>y</v>
      </c>
      <c r="QHC1" s="154" t="str">
        <f t="shared" si="182"/>
        <v>y</v>
      </c>
      <c r="QHD1" s="154" t="str">
        <f t="shared" si="182"/>
        <v>y</v>
      </c>
      <c r="QHE1" s="154" t="str">
        <f t="shared" si="182"/>
        <v>y</v>
      </c>
      <c r="QHF1" s="154" t="str">
        <f t="shared" si="182"/>
        <v>y</v>
      </c>
      <c r="QHG1" s="154" t="str">
        <f t="shared" si="182"/>
        <v>y</v>
      </c>
      <c r="QHH1" s="154" t="str">
        <f t="shared" si="182"/>
        <v>y</v>
      </c>
      <c r="QHI1" s="154" t="str">
        <f t="shared" si="182"/>
        <v>y</v>
      </c>
      <c r="QHJ1" s="154" t="str">
        <f t="shared" si="182"/>
        <v>y</v>
      </c>
      <c r="QHK1" s="154" t="str">
        <f t="shared" si="182"/>
        <v>y</v>
      </c>
      <c r="QHL1" s="154" t="str">
        <f t="shared" si="182"/>
        <v>y</v>
      </c>
      <c r="QHM1" s="154" t="str">
        <f t="shared" si="182"/>
        <v>y</v>
      </c>
      <c r="QHN1" s="154" t="str">
        <f t="shared" si="182"/>
        <v>y</v>
      </c>
      <c r="QHO1" s="154" t="str">
        <f t="shared" si="182"/>
        <v>y</v>
      </c>
      <c r="QHP1" s="154" t="str">
        <f t="shared" ref="QHP1:QKA1" si="183">QHP2&amp;"y"</f>
        <v>y</v>
      </c>
      <c r="QHQ1" s="154" t="str">
        <f t="shared" si="183"/>
        <v>y</v>
      </c>
      <c r="QHR1" s="154" t="str">
        <f t="shared" si="183"/>
        <v>y</v>
      </c>
      <c r="QHS1" s="154" t="str">
        <f t="shared" si="183"/>
        <v>y</v>
      </c>
      <c r="QHT1" s="154" t="str">
        <f t="shared" si="183"/>
        <v>y</v>
      </c>
      <c r="QHU1" s="154" t="str">
        <f t="shared" si="183"/>
        <v>y</v>
      </c>
      <c r="QHV1" s="154" t="str">
        <f t="shared" si="183"/>
        <v>y</v>
      </c>
      <c r="QHW1" s="154" t="str">
        <f t="shared" si="183"/>
        <v>y</v>
      </c>
      <c r="QHX1" s="154" t="str">
        <f t="shared" si="183"/>
        <v>y</v>
      </c>
      <c r="QHY1" s="154" t="str">
        <f t="shared" si="183"/>
        <v>y</v>
      </c>
      <c r="QHZ1" s="154" t="str">
        <f t="shared" si="183"/>
        <v>y</v>
      </c>
      <c r="QIA1" s="154" t="str">
        <f t="shared" si="183"/>
        <v>y</v>
      </c>
      <c r="QIB1" s="154" t="str">
        <f t="shared" si="183"/>
        <v>y</v>
      </c>
      <c r="QIC1" s="154" t="str">
        <f t="shared" si="183"/>
        <v>y</v>
      </c>
      <c r="QID1" s="154" t="str">
        <f t="shared" si="183"/>
        <v>y</v>
      </c>
      <c r="QIE1" s="154" t="str">
        <f t="shared" si="183"/>
        <v>y</v>
      </c>
      <c r="QIF1" s="154" t="str">
        <f t="shared" si="183"/>
        <v>y</v>
      </c>
      <c r="QIG1" s="154" t="str">
        <f t="shared" si="183"/>
        <v>y</v>
      </c>
      <c r="QIH1" s="154" t="str">
        <f t="shared" si="183"/>
        <v>y</v>
      </c>
      <c r="QII1" s="154" t="str">
        <f t="shared" si="183"/>
        <v>y</v>
      </c>
      <c r="QIJ1" s="154" t="str">
        <f t="shared" si="183"/>
        <v>y</v>
      </c>
      <c r="QIK1" s="154" t="str">
        <f t="shared" si="183"/>
        <v>y</v>
      </c>
      <c r="QIL1" s="154" t="str">
        <f t="shared" si="183"/>
        <v>y</v>
      </c>
      <c r="QIM1" s="154" t="str">
        <f t="shared" si="183"/>
        <v>y</v>
      </c>
      <c r="QIN1" s="154" t="str">
        <f t="shared" si="183"/>
        <v>y</v>
      </c>
      <c r="QIO1" s="154" t="str">
        <f t="shared" si="183"/>
        <v>y</v>
      </c>
      <c r="QIP1" s="154" t="str">
        <f t="shared" si="183"/>
        <v>y</v>
      </c>
      <c r="QIQ1" s="154" t="str">
        <f t="shared" si="183"/>
        <v>y</v>
      </c>
      <c r="QIR1" s="154" t="str">
        <f t="shared" si="183"/>
        <v>y</v>
      </c>
      <c r="QIS1" s="154" t="str">
        <f t="shared" si="183"/>
        <v>y</v>
      </c>
      <c r="QIT1" s="154" t="str">
        <f t="shared" si="183"/>
        <v>y</v>
      </c>
      <c r="QIU1" s="154" t="str">
        <f t="shared" si="183"/>
        <v>y</v>
      </c>
      <c r="QIV1" s="154" t="str">
        <f t="shared" si="183"/>
        <v>y</v>
      </c>
      <c r="QIW1" s="154" t="str">
        <f t="shared" si="183"/>
        <v>y</v>
      </c>
      <c r="QIX1" s="154" t="str">
        <f t="shared" si="183"/>
        <v>y</v>
      </c>
      <c r="QIY1" s="154" t="str">
        <f t="shared" si="183"/>
        <v>y</v>
      </c>
      <c r="QIZ1" s="154" t="str">
        <f t="shared" si="183"/>
        <v>y</v>
      </c>
      <c r="QJA1" s="154" t="str">
        <f t="shared" si="183"/>
        <v>y</v>
      </c>
      <c r="QJB1" s="154" t="str">
        <f t="shared" si="183"/>
        <v>y</v>
      </c>
      <c r="QJC1" s="154" t="str">
        <f t="shared" si="183"/>
        <v>y</v>
      </c>
      <c r="QJD1" s="154" t="str">
        <f t="shared" si="183"/>
        <v>y</v>
      </c>
      <c r="QJE1" s="154" t="str">
        <f t="shared" si="183"/>
        <v>y</v>
      </c>
      <c r="QJF1" s="154" t="str">
        <f t="shared" si="183"/>
        <v>y</v>
      </c>
      <c r="QJG1" s="154" t="str">
        <f t="shared" si="183"/>
        <v>y</v>
      </c>
      <c r="QJH1" s="154" t="str">
        <f t="shared" si="183"/>
        <v>y</v>
      </c>
      <c r="QJI1" s="154" t="str">
        <f t="shared" si="183"/>
        <v>y</v>
      </c>
      <c r="QJJ1" s="154" t="str">
        <f t="shared" si="183"/>
        <v>y</v>
      </c>
      <c r="QJK1" s="154" t="str">
        <f t="shared" si="183"/>
        <v>y</v>
      </c>
      <c r="QJL1" s="154" t="str">
        <f t="shared" si="183"/>
        <v>y</v>
      </c>
      <c r="QJM1" s="154" t="str">
        <f t="shared" si="183"/>
        <v>y</v>
      </c>
      <c r="QJN1" s="154" t="str">
        <f t="shared" si="183"/>
        <v>y</v>
      </c>
      <c r="QJO1" s="154" t="str">
        <f t="shared" si="183"/>
        <v>y</v>
      </c>
      <c r="QJP1" s="154" t="str">
        <f t="shared" si="183"/>
        <v>y</v>
      </c>
      <c r="QJQ1" s="154" t="str">
        <f t="shared" si="183"/>
        <v>y</v>
      </c>
      <c r="QJR1" s="154" t="str">
        <f t="shared" si="183"/>
        <v>y</v>
      </c>
      <c r="QJS1" s="154" t="str">
        <f t="shared" si="183"/>
        <v>y</v>
      </c>
      <c r="QJT1" s="154" t="str">
        <f t="shared" si="183"/>
        <v>y</v>
      </c>
      <c r="QJU1" s="154" t="str">
        <f t="shared" si="183"/>
        <v>y</v>
      </c>
      <c r="QJV1" s="154" t="str">
        <f t="shared" si="183"/>
        <v>y</v>
      </c>
      <c r="QJW1" s="154" t="str">
        <f t="shared" si="183"/>
        <v>y</v>
      </c>
      <c r="QJX1" s="154" t="str">
        <f t="shared" si="183"/>
        <v>y</v>
      </c>
      <c r="QJY1" s="154" t="str">
        <f t="shared" si="183"/>
        <v>y</v>
      </c>
      <c r="QJZ1" s="154" t="str">
        <f t="shared" si="183"/>
        <v>y</v>
      </c>
      <c r="QKA1" s="154" t="str">
        <f t="shared" si="183"/>
        <v>y</v>
      </c>
      <c r="QKB1" s="154" t="str">
        <f t="shared" ref="QKB1:QMM1" si="184">QKB2&amp;"y"</f>
        <v>y</v>
      </c>
      <c r="QKC1" s="154" t="str">
        <f t="shared" si="184"/>
        <v>y</v>
      </c>
      <c r="QKD1" s="154" t="str">
        <f t="shared" si="184"/>
        <v>y</v>
      </c>
      <c r="QKE1" s="154" t="str">
        <f t="shared" si="184"/>
        <v>y</v>
      </c>
      <c r="QKF1" s="154" t="str">
        <f t="shared" si="184"/>
        <v>y</v>
      </c>
      <c r="QKG1" s="154" t="str">
        <f t="shared" si="184"/>
        <v>y</v>
      </c>
      <c r="QKH1" s="154" t="str">
        <f t="shared" si="184"/>
        <v>y</v>
      </c>
      <c r="QKI1" s="154" t="str">
        <f t="shared" si="184"/>
        <v>y</v>
      </c>
      <c r="QKJ1" s="154" t="str">
        <f t="shared" si="184"/>
        <v>y</v>
      </c>
      <c r="QKK1" s="154" t="str">
        <f t="shared" si="184"/>
        <v>y</v>
      </c>
      <c r="QKL1" s="154" t="str">
        <f t="shared" si="184"/>
        <v>y</v>
      </c>
      <c r="QKM1" s="154" t="str">
        <f t="shared" si="184"/>
        <v>y</v>
      </c>
      <c r="QKN1" s="154" t="str">
        <f t="shared" si="184"/>
        <v>y</v>
      </c>
      <c r="QKO1" s="154" t="str">
        <f t="shared" si="184"/>
        <v>y</v>
      </c>
      <c r="QKP1" s="154" t="str">
        <f t="shared" si="184"/>
        <v>y</v>
      </c>
      <c r="QKQ1" s="154" t="str">
        <f t="shared" si="184"/>
        <v>y</v>
      </c>
      <c r="QKR1" s="154" t="str">
        <f t="shared" si="184"/>
        <v>y</v>
      </c>
      <c r="QKS1" s="154" t="str">
        <f t="shared" si="184"/>
        <v>y</v>
      </c>
      <c r="QKT1" s="154" t="str">
        <f t="shared" si="184"/>
        <v>y</v>
      </c>
      <c r="QKU1" s="154" t="str">
        <f t="shared" si="184"/>
        <v>y</v>
      </c>
      <c r="QKV1" s="154" t="str">
        <f t="shared" si="184"/>
        <v>y</v>
      </c>
      <c r="QKW1" s="154" t="str">
        <f t="shared" si="184"/>
        <v>y</v>
      </c>
      <c r="QKX1" s="154" t="str">
        <f t="shared" si="184"/>
        <v>y</v>
      </c>
      <c r="QKY1" s="154" t="str">
        <f t="shared" si="184"/>
        <v>y</v>
      </c>
      <c r="QKZ1" s="154" t="str">
        <f t="shared" si="184"/>
        <v>y</v>
      </c>
      <c r="QLA1" s="154" t="str">
        <f t="shared" si="184"/>
        <v>y</v>
      </c>
      <c r="QLB1" s="154" t="str">
        <f t="shared" si="184"/>
        <v>y</v>
      </c>
      <c r="QLC1" s="154" t="str">
        <f t="shared" si="184"/>
        <v>y</v>
      </c>
      <c r="QLD1" s="154" t="str">
        <f t="shared" si="184"/>
        <v>y</v>
      </c>
      <c r="QLE1" s="154" t="str">
        <f t="shared" si="184"/>
        <v>y</v>
      </c>
      <c r="QLF1" s="154" t="str">
        <f t="shared" si="184"/>
        <v>y</v>
      </c>
      <c r="QLG1" s="154" t="str">
        <f t="shared" si="184"/>
        <v>y</v>
      </c>
      <c r="QLH1" s="154" t="str">
        <f t="shared" si="184"/>
        <v>y</v>
      </c>
      <c r="QLI1" s="154" t="str">
        <f t="shared" si="184"/>
        <v>y</v>
      </c>
      <c r="QLJ1" s="154" t="str">
        <f t="shared" si="184"/>
        <v>y</v>
      </c>
      <c r="QLK1" s="154" t="str">
        <f t="shared" si="184"/>
        <v>y</v>
      </c>
      <c r="QLL1" s="154" t="str">
        <f t="shared" si="184"/>
        <v>y</v>
      </c>
      <c r="QLM1" s="154" t="str">
        <f t="shared" si="184"/>
        <v>y</v>
      </c>
      <c r="QLN1" s="154" t="str">
        <f t="shared" si="184"/>
        <v>y</v>
      </c>
      <c r="QLO1" s="154" t="str">
        <f t="shared" si="184"/>
        <v>y</v>
      </c>
      <c r="QLP1" s="154" t="str">
        <f t="shared" si="184"/>
        <v>y</v>
      </c>
      <c r="QLQ1" s="154" t="str">
        <f t="shared" si="184"/>
        <v>y</v>
      </c>
      <c r="QLR1" s="154" t="str">
        <f t="shared" si="184"/>
        <v>y</v>
      </c>
      <c r="QLS1" s="154" t="str">
        <f t="shared" si="184"/>
        <v>y</v>
      </c>
      <c r="QLT1" s="154" t="str">
        <f t="shared" si="184"/>
        <v>y</v>
      </c>
      <c r="QLU1" s="154" t="str">
        <f t="shared" si="184"/>
        <v>y</v>
      </c>
      <c r="QLV1" s="154" t="str">
        <f t="shared" si="184"/>
        <v>y</v>
      </c>
      <c r="QLW1" s="154" t="str">
        <f t="shared" si="184"/>
        <v>y</v>
      </c>
      <c r="QLX1" s="154" t="str">
        <f t="shared" si="184"/>
        <v>y</v>
      </c>
      <c r="QLY1" s="154" t="str">
        <f t="shared" si="184"/>
        <v>y</v>
      </c>
      <c r="QLZ1" s="154" t="str">
        <f t="shared" si="184"/>
        <v>y</v>
      </c>
      <c r="QMA1" s="154" t="str">
        <f t="shared" si="184"/>
        <v>y</v>
      </c>
      <c r="QMB1" s="154" t="str">
        <f t="shared" si="184"/>
        <v>y</v>
      </c>
      <c r="QMC1" s="154" t="str">
        <f t="shared" si="184"/>
        <v>y</v>
      </c>
      <c r="QMD1" s="154" t="str">
        <f t="shared" si="184"/>
        <v>y</v>
      </c>
      <c r="QME1" s="154" t="str">
        <f t="shared" si="184"/>
        <v>y</v>
      </c>
      <c r="QMF1" s="154" t="str">
        <f t="shared" si="184"/>
        <v>y</v>
      </c>
      <c r="QMG1" s="154" t="str">
        <f t="shared" si="184"/>
        <v>y</v>
      </c>
      <c r="QMH1" s="154" t="str">
        <f t="shared" si="184"/>
        <v>y</v>
      </c>
      <c r="QMI1" s="154" t="str">
        <f t="shared" si="184"/>
        <v>y</v>
      </c>
      <c r="QMJ1" s="154" t="str">
        <f t="shared" si="184"/>
        <v>y</v>
      </c>
      <c r="QMK1" s="154" t="str">
        <f t="shared" si="184"/>
        <v>y</v>
      </c>
      <c r="QML1" s="154" t="str">
        <f t="shared" si="184"/>
        <v>y</v>
      </c>
      <c r="QMM1" s="154" t="str">
        <f t="shared" si="184"/>
        <v>y</v>
      </c>
      <c r="QMN1" s="154" t="str">
        <f t="shared" ref="QMN1:QOY1" si="185">QMN2&amp;"y"</f>
        <v>y</v>
      </c>
      <c r="QMO1" s="154" t="str">
        <f t="shared" si="185"/>
        <v>y</v>
      </c>
      <c r="QMP1" s="154" t="str">
        <f t="shared" si="185"/>
        <v>y</v>
      </c>
      <c r="QMQ1" s="154" t="str">
        <f t="shared" si="185"/>
        <v>y</v>
      </c>
      <c r="QMR1" s="154" t="str">
        <f t="shared" si="185"/>
        <v>y</v>
      </c>
      <c r="QMS1" s="154" t="str">
        <f t="shared" si="185"/>
        <v>y</v>
      </c>
      <c r="QMT1" s="154" t="str">
        <f t="shared" si="185"/>
        <v>y</v>
      </c>
      <c r="QMU1" s="154" t="str">
        <f t="shared" si="185"/>
        <v>y</v>
      </c>
      <c r="QMV1" s="154" t="str">
        <f t="shared" si="185"/>
        <v>y</v>
      </c>
      <c r="QMW1" s="154" t="str">
        <f t="shared" si="185"/>
        <v>y</v>
      </c>
      <c r="QMX1" s="154" t="str">
        <f t="shared" si="185"/>
        <v>y</v>
      </c>
      <c r="QMY1" s="154" t="str">
        <f t="shared" si="185"/>
        <v>y</v>
      </c>
      <c r="QMZ1" s="154" t="str">
        <f t="shared" si="185"/>
        <v>y</v>
      </c>
      <c r="QNA1" s="154" t="str">
        <f t="shared" si="185"/>
        <v>y</v>
      </c>
      <c r="QNB1" s="154" t="str">
        <f t="shared" si="185"/>
        <v>y</v>
      </c>
      <c r="QNC1" s="154" t="str">
        <f t="shared" si="185"/>
        <v>y</v>
      </c>
      <c r="QND1" s="154" t="str">
        <f t="shared" si="185"/>
        <v>y</v>
      </c>
      <c r="QNE1" s="154" t="str">
        <f t="shared" si="185"/>
        <v>y</v>
      </c>
      <c r="QNF1" s="154" t="str">
        <f t="shared" si="185"/>
        <v>y</v>
      </c>
      <c r="QNG1" s="154" t="str">
        <f t="shared" si="185"/>
        <v>y</v>
      </c>
      <c r="QNH1" s="154" t="str">
        <f t="shared" si="185"/>
        <v>y</v>
      </c>
      <c r="QNI1" s="154" t="str">
        <f t="shared" si="185"/>
        <v>y</v>
      </c>
      <c r="QNJ1" s="154" t="str">
        <f t="shared" si="185"/>
        <v>y</v>
      </c>
      <c r="QNK1" s="154" t="str">
        <f t="shared" si="185"/>
        <v>y</v>
      </c>
      <c r="QNL1" s="154" t="str">
        <f t="shared" si="185"/>
        <v>y</v>
      </c>
      <c r="QNM1" s="154" t="str">
        <f t="shared" si="185"/>
        <v>y</v>
      </c>
      <c r="QNN1" s="154" t="str">
        <f t="shared" si="185"/>
        <v>y</v>
      </c>
      <c r="QNO1" s="154" t="str">
        <f t="shared" si="185"/>
        <v>y</v>
      </c>
      <c r="QNP1" s="154" t="str">
        <f t="shared" si="185"/>
        <v>y</v>
      </c>
      <c r="QNQ1" s="154" t="str">
        <f t="shared" si="185"/>
        <v>y</v>
      </c>
      <c r="QNR1" s="154" t="str">
        <f t="shared" si="185"/>
        <v>y</v>
      </c>
      <c r="QNS1" s="154" t="str">
        <f t="shared" si="185"/>
        <v>y</v>
      </c>
      <c r="QNT1" s="154" t="str">
        <f t="shared" si="185"/>
        <v>y</v>
      </c>
      <c r="QNU1" s="154" t="str">
        <f t="shared" si="185"/>
        <v>y</v>
      </c>
      <c r="QNV1" s="154" t="str">
        <f t="shared" si="185"/>
        <v>y</v>
      </c>
      <c r="QNW1" s="154" t="str">
        <f t="shared" si="185"/>
        <v>y</v>
      </c>
      <c r="QNX1" s="154" t="str">
        <f t="shared" si="185"/>
        <v>y</v>
      </c>
      <c r="QNY1" s="154" t="str">
        <f t="shared" si="185"/>
        <v>y</v>
      </c>
      <c r="QNZ1" s="154" t="str">
        <f t="shared" si="185"/>
        <v>y</v>
      </c>
      <c r="QOA1" s="154" t="str">
        <f t="shared" si="185"/>
        <v>y</v>
      </c>
      <c r="QOB1" s="154" t="str">
        <f t="shared" si="185"/>
        <v>y</v>
      </c>
      <c r="QOC1" s="154" t="str">
        <f t="shared" si="185"/>
        <v>y</v>
      </c>
      <c r="QOD1" s="154" t="str">
        <f t="shared" si="185"/>
        <v>y</v>
      </c>
      <c r="QOE1" s="154" t="str">
        <f t="shared" si="185"/>
        <v>y</v>
      </c>
      <c r="QOF1" s="154" t="str">
        <f t="shared" si="185"/>
        <v>y</v>
      </c>
      <c r="QOG1" s="154" t="str">
        <f t="shared" si="185"/>
        <v>y</v>
      </c>
      <c r="QOH1" s="154" t="str">
        <f t="shared" si="185"/>
        <v>y</v>
      </c>
      <c r="QOI1" s="154" t="str">
        <f t="shared" si="185"/>
        <v>y</v>
      </c>
      <c r="QOJ1" s="154" t="str">
        <f t="shared" si="185"/>
        <v>y</v>
      </c>
      <c r="QOK1" s="154" t="str">
        <f t="shared" si="185"/>
        <v>y</v>
      </c>
      <c r="QOL1" s="154" t="str">
        <f t="shared" si="185"/>
        <v>y</v>
      </c>
      <c r="QOM1" s="154" t="str">
        <f t="shared" si="185"/>
        <v>y</v>
      </c>
      <c r="QON1" s="154" t="str">
        <f t="shared" si="185"/>
        <v>y</v>
      </c>
      <c r="QOO1" s="154" t="str">
        <f t="shared" si="185"/>
        <v>y</v>
      </c>
      <c r="QOP1" s="154" t="str">
        <f t="shared" si="185"/>
        <v>y</v>
      </c>
      <c r="QOQ1" s="154" t="str">
        <f t="shared" si="185"/>
        <v>y</v>
      </c>
      <c r="QOR1" s="154" t="str">
        <f t="shared" si="185"/>
        <v>y</v>
      </c>
      <c r="QOS1" s="154" t="str">
        <f t="shared" si="185"/>
        <v>y</v>
      </c>
      <c r="QOT1" s="154" t="str">
        <f t="shared" si="185"/>
        <v>y</v>
      </c>
      <c r="QOU1" s="154" t="str">
        <f t="shared" si="185"/>
        <v>y</v>
      </c>
      <c r="QOV1" s="154" t="str">
        <f t="shared" si="185"/>
        <v>y</v>
      </c>
      <c r="QOW1" s="154" t="str">
        <f t="shared" si="185"/>
        <v>y</v>
      </c>
      <c r="QOX1" s="154" t="str">
        <f t="shared" si="185"/>
        <v>y</v>
      </c>
      <c r="QOY1" s="154" t="str">
        <f t="shared" si="185"/>
        <v>y</v>
      </c>
      <c r="QOZ1" s="154" t="str">
        <f t="shared" ref="QOZ1:QRK1" si="186">QOZ2&amp;"y"</f>
        <v>y</v>
      </c>
      <c r="QPA1" s="154" t="str">
        <f t="shared" si="186"/>
        <v>y</v>
      </c>
      <c r="QPB1" s="154" t="str">
        <f t="shared" si="186"/>
        <v>y</v>
      </c>
      <c r="QPC1" s="154" t="str">
        <f t="shared" si="186"/>
        <v>y</v>
      </c>
      <c r="QPD1" s="154" t="str">
        <f t="shared" si="186"/>
        <v>y</v>
      </c>
      <c r="QPE1" s="154" t="str">
        <f t="shared" si="186"/>
        <v>y</v>
      </c>
      <c r="QPF1" s="154" t="str">
        <f t="shared" si="186"/>
        <v>y</v>
      </c>
      <c r="QPG1" s="154" t="str">
        <f t="shared" si="186"/>
        <v>y</v>
      </c>
      <c r="QPH1" s="154" t="str">
        <f t="shared" si="186"/>
        <v>y</v>
      </c>
      <c r="QPI1" s="154" t="str">
        <f t="shared" si="186"/>
        <v>y</v>
      </c>
      <c r="QPJ1" s="154" t="str">
        <f t="shared" si="186"/>
        <v>y</v>
      </c>
      <c r="QPK1" s="154" t="str">
        <f t="shared" si="186"/>
        <v>y</v>
      </c>
      <c r="QPL1" s="154" t="str">
        <f t="shared" si="186"/>
        <v>y</v>
      </c>
      <c r="QPM1" s="154" t="str">
        <f t="shared" si="186"/>
        <v>y</v>
      </c>
      <c r="QPN1" s="154" t="str">
        <f t="shared" si="186"/>
        <v>y</v>
      </c>
      <c r="QPO1" s="154" t="str">
        <f t="shared" si="186"/>
        <v>y</v>
      </c>
      <c r="QPP1" s="154" t="str">
        <f t="shared" si="186"/>
        <v>y</v>
      </c>
      <c r="QPQ1" s="154" t="str">
        <f t="shared" si="186"/>
        <v>y</v>
      </c>
      <c r="QPR1" s="154" t="str">
        <f t="shared" si="186"/>
        <v>y</v>
      </c>
      <c r="QPS1" s="154" t="str">
        <f t="shared" si="186"/>
        <v>y</v>
      </c>
      <c r="QPT1" s="154" t="str">
        <f t="shared" si="186"/>
        <v>y</v>
      </c>
      <c r="QPU1" s="154" t="str">
        <f t="shared" si="186"/>
        <v>y</v>
      </c>
      <c r="QPV1" s="154" t="str">
        <f t="shared" si="186"/>
        <v>y</v>
      </c>
      <c r="QPW1" s="154" t="str">
        <f t="shared" si="186"/>
        <v>y</v>
      </c>
      <c r="QPX1" s="154" t="str">
        <f t="shared" si="186"/>
        <v>y</v>
      </c>
      <c r="QPY1" s="154" t="str">
        <f t="shared" si="186"/>
        <v>y</v>
      </c>
      <c r="QPZ1" s="154" t="str">
        <f t="shared" si="186"/>
        <v>y</v>
      </c>
      <c r="QQA1" s="154" t="str">
        <f t="shared" si="186"/>
        <v>y</v>
      </c>
      <c r="QQB1" s="154" t="str">
        <f t="shared" si="186"/>
        <v>y</v>
      </c>
      <c r="QQC1" s="154" t="str">
        <f t="shared" si="186"/>
        <v>y</v>
      </c>
      <c r="QQD1" s="154" t="str">
        <f t="shared" si="186"/>
        <v>y</v>
      </c>
      <c r="QQE1" s="154" t="str">
        <f t="shared" si="186"/>
        <v>y</v>
      </c>
      <c r="QQF1" s="154" t="str">
        <f t="shared" si="186"/>
        <v>y</v>
      </c>
      <c r="QQG1" s="154" t="str">
        <f t="shared" si="186"/>
        <v>y</v>
      </c>
      <c r="QQH1" s="154" t="str">
        <f t="shared" si="186"/>
        <v>y</v>
      </c>
      <c r="QQI1" s="154" t="str">
        <f t="shared" si="186"/>
        <v>y</v>
      </c>
      <c r="QQJ1" s="154" t="str">
        <f t="shared" si="186"/>
        <v>y</v>
      </c>
      <c r="QQK1" s="154" t="str">
        <f t="shared" si="186"/>
        <v>y</v>
      </c>
      <c r="QQL1" s="154" t="str">
        <f t="shared" si="186"/>
        <v>y</v>
      </c>
      <c r="QQM1" s="154" t="str">
        <f t="shared" si="186"/>
        <v>y</v>
      </c>
      <c r="QQN1" s="154" t="str">
        <f t="shared" si="186"/>
        <v>y</v>
      </c>
      <c r="QQO1" s="154" t="str">
        <f t="shared" si="186"/>
        <v>y</v>
      </c>
      <c r="QQP1" s="154" t="str">
        <f t="shared" si="186"/>
        <v>y</v>
      </c>
      <c r="QQQ1" s="154" t="str">
        <f t="shared" si="186"/>
        <v>y</v>
      </c>
      <c r="QQR1" s="154" t="str">
        <f t="shared" si="186"/>
        <v>y</v>
      </c>
      <c r="QQS1" s="154" t="str">
        <f t="shared" si="186"/>
        <v>y</v>
      </c>
      <c r="QQT1" s="154" t="str">
        <f t="shared" si="186"/>
        <v>y</v>
      </c>
      <c r="QQU1" s="154" t="str">
        <f t="shared" si="186"/>
        <v>y</v>
      </c>
      <c r="QQV1" s="154" t="str">
        <f t="shared" si="186"/>
        <v>y</v>
      </c>
      <c r="QQW1" s="154" t="str">
        <f t="shared" si="186"/>
        <v>y</v>
      </c>
      <c r="QQX1" s="154" t="str">
        <f t="shared" si="186"/>
        <v>y</v>
      </c>
      <c r="QQY1" s="154" t="str">
        <f t="shared" si="186"/>
        <v>y</v>
      </c>
      <c r="QQZ1" s="154" t="str">
        <f t="shared" si="186"/>
        <v>y</v>
      </c>
      <c r="QRA1" s="154" t="str">
        <f t="shared" si="186"/>
        <v>y</v>
      </c>
      <c r="QRB1" s="154" t="str">
        <f t="shared" si="186"/>
        <v>y</v>
      </c>
      <c r="QRC1" s="154" t="str">
        <f t="shared" si="186"/>
        <v>y</v>
      </c>
      <c r="QRD1" s="154" t="str">
        <f t="shared" si="186"/>
        <v>y</v>
      </c>
      <c r="QRE1" s="154" t="str">
        <f t="shared" si="186"/>
        <v>y</v>
      </c>
      <c r="QRF1" s="154" t="str">
        <f t="shared" si="186"/>
        <v>y</v>
      </c>
      <c r="QRG1" s="154" t="str">
        <f t="shared" si="186"/>
        <v>y</v>
      </c>
      <c r="QRH1" s="154" t="str">
        <f t="shared" si="186"/>
        <v>y</v>
      </c>
      <c r="QRI1" s="154" t="str">
        <f t="shared" si="186"/>
        <v>y</v>
      </c>
      <c r="QRJ1" s="154" t="str">
        <f t="shared" si="186"/>
        <v>y</v>
      </c>
      <c r="QRK1" s="154" t="str">
        <f t="shared" si="186"/>
        <v>y</v>
      </c>
      <c r="QRL1" s="154" t="str">
        <f t="shared" ref="QRL1:QTW1" si="187">QRL2&amp;"y"</f>
        <v>y</v>
      </c>
      <c r="QRM1" s="154" t="str">
        <f t="shared" si="187"/>
        <v>y</v>
      </c>
      <c r="QRN1" s="154" t="str">
        <f t="shared" si="187"/>
        <v>y</v>
      </c>
      <c r="QRO1" s="154" t="str">
        <f t="shared" si="187"/>
        <v>y</v>
      </c>
      <c r="QRP1" s="154" t="str">
        <f t="shared" si="187"/>
        <v>y</v>
      </c>
      <c r="QRQ1" s="154" t="str">
        <f t="shared" si="187"/>
        <v>y</v>
      </c>
      <c r="QRR1" s="154" t="str">
        <f t="shared" si="187"/>
        <v>y</v>
      </c>
      <c r="QRS1" s="154" t="str">
        <f t="shared" si="187"/>
        <v>y</v>
      </c>
      <c r="QRT1" s="154" t="str">
        <f t="shared" si="187"/>
        <v>y</v>
      </c>
      <c r="QRU1" s="154" t="str">
        <f t="shared" si="187"/>
        <v>y</v>
      </c>
      <c r="QRV1" s="154" t="str">
        <f t="shared" si="187"/>
        <v>y</v>
      </c>
      <c r="QRW1" s="154" t="str">
        <f t="shared" si="187"/>
        <v>y</v>
      </c>
      <c r="QRX1" s="154" t="str">
        <f t="shared" si="187"/>
        <v>y</v>
      </c>
      <c r="QRY1" s="154" t="str">
        <f t="shared" si="187"/>
        <v>y</v>
      </c>
      <c r="QRZ1" s="154" t="str">
        <f t="shared" si="187"/>
        <v>y</v>
      </c>
      <c r="QSA1" s="154" t="str">
        <f t="shared" si="187"/>
        <v>y</v>
      </c>
      <c r="QSB1" s="154" t="str">
        <f t="shared" si="187"/>
        <v>y</v>
      </c>
      <c r="QSC1" s="154" t="str">
        <f t="shared" si="187"/>
        <v>y</v>
      </c>
      <c r="QSD1" s="154" t="str">
        <f t="shared" si="187"/>
        <v>y</v>
      </c>
      <c r="QSE1" s="154" t="str">
        <f t="shared" si="187"/>
        <v>y</v>
      </c>
      <c r="QSF1" s="154" t="str">
        <f t="shared" si="187"/>
        <v>y</v>
      </c>
      <c r="QSG1" s="154" t="str">
        <f t="shared" si="187"/>
        <v>y</v>
      </c>
      <c r="QSH1" s="154" t="str">
        <f t="shared" si="187"/>
        <v>y</v>
      </c>
      <c r="QSI1" s="154" t="str">
        <f t="shared" si="187"/>
        <v>y</v>
      </c>
      <c r="QSJ1" s="154" t="str">
        <f t="shared" si="187"/>
        <v>y</v>
      </c>
      <c r="QSK1" s="154" t="str">
        <f t="shared" si="187"/>
        <v>y</v>
      </c>
      <c r="QSL1" s="154" t="str">
        <f t="shared" si="187"/>
        <v>y</v>
      </c>
      <c r="QSM1" s="154" t="str">
        <f t="shared" si="187"/>
        <v>y</v>
      </c>
      <c r="QSN1" s="154" t="str">
        <f t="shared" si="187"/>
        <v>y</v>
      </c>
      <c r="QSO1" s="154" t="str">
        <f t="shared" si="187"/>
        <v>y</v>
      </c>
      <c r="QSP1" s="154" t="str">
        <f t="shared" si="187"/>
        <v>y</v>
      </c>
      <c r="QSQ1" s="154" t="str">
        <f t="shared" si="187"/>
        <v>y</v>
      </c>
      <c r="QSR1" s="154" t="str">
        <f t="shared" si="187"/>
        <v>y</v>
      </c>
      <c r="QSS1" s="154" t="str">
        <f t="shared" si="187"/>
        <v>y</v>
      </c>
      <c r="QST1" s="154" t="str">
        <f t="shared" si="187"/>
        <v>y</v>
      </c>
      <c r="QSU1" s="154" t="str">
        <f t="shared" si="187"/>
        <v>y</v>
      </c>
      <c r="QSV1" s="154" t="str">
        <f t="shared" si="187"/>
        <v>y</v>
      </c>
      <c r="QSW1" s="154" t="str">
        <f t="shared" si="187"/>
        <v>y</v>
      </c>
      <c r="QSX1" s="154" t="str">
        <f t="shared" si="187"/>
        <v>y</v>
      </c>
      <c r="QSY1" s="154" t="str">
        <f t="shared" si="187"/>
        <v>y</v>
      </c>
      <c r="QSZ1" s="154" t="str">
        <f t="shared" si="187"/>
        <v>y</v>
      </c>
      <c r="QTA1" s="154" t="str">
        <f t="shared" si="187"/>
        <v>y</v>
      </c>
      <c r="QTB1" s="154" t="str">
        <f t="shared" si="187"/>
        <v>y</v>
      </c>
      <c r="QTC1" s="154" t="str">
        <f t="shared" si="187"/>
        <v>y</v>
      </c>
      <c r="QTD1" s="154" t="str">
        <f t="shared" si="187"/>
        <v>y</v>
      </c>
      <c r="QTE1" s="154" t="str">
        <f t="shared" si="187"/>
        <v>y</v>
      </c>
      <c r="QTF1" s="154" t="str">
        <f t="shared" si="187"/>
        <v>y</v>
      </c>
      <c r="QTG1" s="154" t="str">
        <f t="shared" si="187"/>
        <v>y</v>
      </c>
      <c r="QTH1" s="154" t="str">
        <f t="shared" si="187"/>
        <v>y</v>
      </c>
      <c r="QTI1" s="154" t="str">
        <f t="shared" si="187"/>
        <v>y</v>
      </c>
      <c r="QTJ1" s="154" t="str">
        <f t="shared" si="187"/>
        <v>y</v>
      </c>
      <c r="QTK1" s="154" t="str">
        <f t="shared" si="187"/>
        <v>y</v>
      </c>
      <c r="QTL1" s="154" t="str">
        <f t="shared" si="187"/>
        <v>y</v>
      </c>
      <c r="QTM1" s="154" t="str">
        <f t="shared" si="187"/>
        <v>y</v>
      </c>
      <c r="QTN1" s="154" t="str">
        <f t="shared" si="187"/>
        <v>y</v>
      </c>
      <c r="QTO1" s="154" t="str">
        <f t="shared" si="187"/>
        <v>y</v>
      </c>
      <c r="QTP1" s="154" t="str">
        <f t="shared" si="187"/>
        <v>y</v>
      </c>
      <c r="QTQ1" s="154" t="str">
        <f t="shared" si="187"/>
        <v>y</v>
      </c>
      <c r="QTR1" s="154" t="str">
        <f t="shared" si="187"/>
        <v>y</v>
      </c>
      <c r="QTS1" s="154" t="str">
        <f t="shared" si="187"/>
        <v>y</v>
      </c>
      <c r="QTT1" s="154" t="str">
        <f t="shared" si="187"/>
        <v>y</v>
      </c>
      <c r="QTU1" s="154" t="str">
        <f t="shared" si="187"/>
        <v>y</v>
      </c>
      <c r="QTV1" s="154" t="str">
        <f t="shared" si="187"/>
        <v>y</v>
      </c>
      <c r="QTW1" s="154" t="str">
        <f t="shared" si="187"/>
        <v>y</v>
      </c>
      <c r="QTX1" s="154" t="str">
        <f t="shared" ref="QTX1:QWI1" si="188">QTX2&amp;"y"</f>
        <v>y</v>
      </c>
      <c r="QTY1" s="154" t="str">
        <f t="shared" si="188"/>
        <v>y</v>
      </c>
      <c r="QTZ1" s="154" t="str">
        <f t="shared" si="188"/>
        <v>y</v>
      </c>
      <c r="QUA1" s="154" t="str">
        <f t="shared" si="188"/>
        <v>y</v>
      </c>
      <c r="QUB1" s="154" t="str">
        <f t="shared" si="188"/>
        <v>y</v>
      </c>
      <c r="QUC1" s="154" t="str">
        <f t="shared" si="188"/>
        <v>y</v>
      </c>
      <c r="QUD1" s="154" t="str">
        <f t="shared" si="188"/>
        <v>y</v>
      </c>
      <c r="QUE1" s="154" t="str">
        <f t="shared" si="188"/>
        <v>y</v>
      </c>
      <c r="QUF1" s="154" t="str">
        <f t="shared" si="188"/>
        <v>y</v>
      </c>
      <c r="QUG1" s="154" t="str">
        <f t="shared" si="188"/>
        <v>y</v>
      </c>
      <c r="QUH1" s="154" t="str">
        <f t="shared" si="188"/>
        <v>y</v>
      </c>
      <c r="QUI1" s="154" t="str">
        <f t="shared" si="188"/>
        <v>y</v>
      </c>
      <c r="QUJ1" s="154" t="str">
        <f t="shared" si="188"/>
        <v>y</v>
      </c>
      <c r="QUK1" s="154" t="str">
        <f t="shared" si="188"/>
        <v>y</v>
      </c>
      <c r="QUL1" s="154" t="str">
        <f t="shared" si="188"/>
        <v>y</v>
      </c>
      <c r="QUM1" s="154" t="str">
        <f t="shared" si="188"/>
        <v>y</v>
      </c>
      <c r="QUN1" s="154" t="str">
        <f t="shared" si="188"/>
        <v>y</v>
      </c>
      <c r="QUO1" s="154" t="str">
        <f t="shared" si="188"/>
        <v>y</v>
      </c>
      <c r="QUP1" s="154" t="str">
        <f t="shared" si="188"/>
        <v>y</v>
      </c>
      <c r="QUQ1" s="154" t="str">
        <f t="shared" si="188"/>
        <v>y</v>
      </c>
      <c r="QUR1" s="154" t="str">
        <f t="shared" si="188"/>
        <v>y</v>
      </c>
      <c r="QUS1" s="154" t="str">
        <f t="shared" si="188"/>
        <v>y</v>
      </c>
      <c r="QUT1" s="154" t="str">
        <f t="shared" si="188"/>
        <v>y</v>
      </c>
      <c r="QUU1" s="154" t="str">
        <f t="shared" si="188"/>
        <v>y</v>
      </c>
      <c r="QUV1" s="154" t="str">
        <f t="shared" si="188"/>
        <v>y</v>
      </c>
      <c r="QUW1" s="154" t="str">
        <f t="shared" si="188"/>
        <v>y</v>
      </c>
      <c r="QUX1" s="154" t="str">
        <f t="shared" si="188"/>
        <v>y</v>
      </c>
      <c r="QUY1" s="154" t="str">
        <f t="shared" si="188"/>
        <v>y</v>
      </c>
      <c r="QUZ1" s="154" t="str">
        <f t="shared" si="188"/>
        <v>y</v>
      </c>
      <c r="QVA1" s="154" t="str">
        <f t="shared" si="188"/>
        <v>y</v>
      </c>
      <c r="QVB1" s="154" t="str">
        <f t="shared" si="188"/>
        <v>y</v>
      </c>
      <c r="QVC1" s="154" t="str">
        <f t="shared" si="188"/>
        <v>y</v>
      </c>
      <c r="QVD1" s="154" t="str">
        <f t="shared" si="188"/>
        <v>y</v>
      </c>
      <c r="QVE1" s="154" t="str">
        <f t="shared" si="188"/>
        <v>y</v>
      </c>
      <c r="QVF1" s="154" t="str">
        <f t="shared" si="188"/>
        <v>y</v>
      </c>
      <c r="QVG1" s="154" t="str">
        <f t="shared" si="188"/>
        <v>y</v>
      </c>
      <c r="QVH1" s="154" t="str">
        <f t="shared" si="188"/>
        <v>y</v>
      </c>
      <c r="QVI1" s="154" t="str">
        <f t="shared" si="188"/>
        <v>y</v>
      </c>
      <c r="QVJ1" s="154" t="str">
        <f t="shared" si="188"/>
        <v>y</v>
      </c>
      <c r="QVK1" s="154" t="str">
        <f t="shared" si="188"/>
        <v>y</v>
      </c>
      <c r="QVL1" s="154" t="str">
        <f t="shared" si="188"/>
        <v>y</v>
      </c>
      <c r="QVM1" s="154" t="str">
        <f t="shared" si="188"/>
        <v>y</v>
      </c>
      <c r="QVN1" s="154" t="str">
        <f t="shared" si="188"/>
        <v>y</v>
      </c>
      <c r="QVO1" s="154" t="str">
        <f t="shared" si="188"/>
        <v>y</v>
      </c>
      <c r="QVP1" s="154" t="str">
        <f t="shared" si="188"/>
        <v>y</v>
      </c>
      <c r="QVQ1" s="154" t="str">
        <f t="shared" si="188"/>
        <v>y</v>
      </c>
      <c r="QVR1" s="154" t="str">
        <f t="shared" si="188"/>
        <v>y</v>
      </c>
      <c r="QVS1" s="154" t="str">
        <f t="shared" si="188"/>
        <v>y</v>
      </c>
      <c r="QVT1" s="154" t="str">
        <f t="shared" si="188"/>
        <v>y</v>
      </c>
      <c r="QVU1" s="154" t="str">
        <f t="shared" si="188"/>
        <v>y</v>
      </c>
      <c r="QVV1" s="154" t="str">
        <f t="shared" si="188"/>
        <v>y</v>
      </c>
      <c r="QVW1" s="154" t="str">
        <f t="shared" si="188"/>
        <v>y</v>
      </c>
      <c r="QVX1" s="154" t="str">
        <f t="shared" si="188"/>
        <v>y</v>
      </c>
      <c r="QVY1" s="154" t="str">
        <f t="shared" si="188"/>
        <v>y</v>
      </c>
      <c r="QVZ1" s="154" t="str">
        <f t="shared" si="188"/>
        <v>y</v>
      </c>
      <c r="QWA1" s="154" t="str">
        <f t="shared" si="188"/>
        <v>y</v>
      </c>
      <c r="QWB1" s="154" t="str">
        <f t="shared" si="188"/>
        <v>y</v>
      </c>
      <c r="QWC1" s="154" t="str">
        <f t="shared" si="188"/>
        <v>y</v>
      </c>
      <c r="QWD1" s="154" t="str">
        <f t="shared" si="188"/>
        <v>y</v>
      </c>
      <c r="QWE1" s="154" t="str">
        <f t="shared" si="188"/>
        <v>y</v>
      </c>
      <c r="QWF1" s="154" t="str">
        <f t="shared" si="188"/>
        <v>y</v>
      </c>
      <c r="QWG1" s="154" t="str">
        <f t="shared" si="188"/>
        <v>y</v>
      </c>
      <c r="QWH1" s="154" t="str">
        <f t="shared" si="188"/>
        <v>y</v>
      </c>
      <c r="QWI1" s="154" t="str">
        <f t="shared" si="188"/>
        <v>y</v>
      </c>
      <c r="QWJ1" s="154" t="str">
        <f t="shared" ref="QWJ1:QYU1" si="189">QWJ2&amp;"y"</f>
        <v>y</v>
      </c>
      <c r="QWK1" s="154" t="str">
        <f t="shared" si="189"/>
        <v>y</v>
      </c>
      <c r="QWL1" s="154" t="str">
        <f t="shared" si="189"/>
        <v>y</v>
      </c>
      <c r="QWM1" s="154" t="str">
        <f t="shared" si="189"/>
        <v>y</v>
      </c>
      <c r="QWN1" s="154" t="str">
        <f t="shared" si="189"/>
        <v>y</v>
      </c>
      <c r="QWO1" s="154" t="str">
        <f t="shared" si="189"/>
        <v>y</v>
      </c>
      <c r="QWP1" s="154" t="str">
        <f t="shared" si="189"/>
        <v>y</v>
      </c>
      <c r="QWQ1" s="154" t="str">
        <f t="shared" si="189"/>
        <v>y</v>
      </c>
      <c r="QWR1" s="154" t="str">
        <f t="shared" si="189"/>
        <v>y</v>
      </c>
      <c r="QWS1" s="154" t="str">
        <f t="shared" si="189"/>
        <v>y</v>
      </c>
      <c r="QWT1" s="154" t="str">
        <f t="shared" si="189"/>
        <v>y</v>
      </c>
      <c r="QWU1" s="154" t="str">
        <f t="shared" si="189"/>
        <v>y</v>
      </c>
      <c r="QWV1" s="154" t="str">
        <f t="shared" si="189"/>
        <v>y</v>
      </c>
      <c r="QWW1" s="154" t="str">
        <f t="shared" si="189"/>
        <v>y</v>
      </c>
      <c r="QWX1" s="154" t="str">
        <f t="shared" si="189"/>
        <v>y</v>
      </c>
      <c r="QWY1" s="154" t="str">
        <f t="shared" si="189"/>
        <v>y</v>
      </c>
      <c r="QWZ1" s="154" t="str">
        <f t="shared" si="189"/>
        <v>y</v>
      </c>
      <c r="QXA1" s="154" t="str">
        <f t="shared" si="189"/>
        <v>y</v>
      </c>
      <c r="QXB1" s="154" t="str">
        <f t="shared" si="189"/>
        <v>y</v>
      </c>
      <c r="QXC1" s="154" t="str">
        <f t="shared" si="189"/>
        <v>y</v>
      </c>
      <c r="QXD1" s="154" t="str">
        <f t="shared" si="189"/>
        <v>y</v>
      </c>
      <c r="QXE1" s="154" t="str">
        <f t="shared" si="189"/>
        <v>y</v>
      </c>
      <c r="QXF1" s="154" t="str">
        <f t="shared" si="189"/>
        <v>y</v>
      </c>
      <c r="QXG1" s="154" t="str">
        <f t="shared" si="189"/>
        <v>y</v>
      </c>
      <c r="QXH1" s="154" t="str">
        <f t="shared" si="189"/>
        <v>y</v>
      </c>
      <c r="QXI1" s="154" t="str">
        <f t="shared" si="189"/>
        <v>y</v>
      </c>
      <c r="QXJ1" s="154" t="str">
        <f t="shared" si="189"/>
        <v>y</v>
      </c>
      <c r="QXK1" s="154" t="str">
        <f t="shared" si="189"/>
        <v>y</v>
      </c>
      <c r="QXL1" s="154" t="str">
        <f t="shared" si="189"/>
        <v>y</v>
      </c>
      <c r="QXM1" s="154" t="str">
        <f t="shared" si="189"/>
        <v>y</v>
      </c>
      <c r="QXN1" s="154" t="str">
        <f t="shared" si="189"/>
        <v>y</v>
      </c>
      <c r="QXO1" s="154" t="str">
        <f t="shared" si="189"/>
        <v>y</v>
      </c>
      <c r="QXP1" s="154" t="str">
        <f t="shared" si="189"/>
        <v>y</v>
      </c>
      <c r="QXQ1" s="154" t="str">
        <f t="shared" si="189"/>
        <v>y</v>
      </c>
      <c r="QXR1" s="154" t="str">
        <f t="shared" si="189"/>
        <v>y</v>
      </c>
      <c r="QXS1" s="154" t="str">
        <f t="shared" si="189"/>
        <v>y</v>
      </c>
      <c r="QXT1" s="154" t="str">
        <f t="shared" si="189"/>
        <v>y</v>
      </c>
      <c r="QXU1" s="154" t="str">
        <f t="shared" si="189"/>
        <v>y</v>
      </c>
      <c r="QXV1" s="154" t="str">
        <f t="shared" si="189"/>
        <v>y</v>
      </c>
      <c r="QXW1" s="154" t="str">
        <f t="shared" si="189"/>
        <v>y</v>
      </c>
      <c r="QXX1" s="154" t="str">
        <f t="shared" si="189"/>
        <v>y</v>
      </c>
      <c r="QXY1" s="154" t="str">
        <f t="shared" si="189"/>
        <v>y</v>
      </c>
      <c r="QXZ1" s="154" t="str">
        <f t="shared" si="189"/>
        <v>y</v>
      </c>
      <c r="QYA1" s="154" t="str">
        <f t="shared" si="189"/>
        <v>y</v>
      </c>
      <c r="QYB1" s="154" t="str">
        <f t="shared" si="189"/>
        <v>y</v>
      </c>
      <c r="QYC1" s="154" t="str">
        <f t="shared" si="189"/>
        <v>y</v>
      </c>
      <c r="QYD1" s="154" t="str">
        <f t="shared" si="189"/>
        <v>y</v>
      </c>
      <c r="QYE1" s="154" t="str">
        <f t="shared" si="189"/>
        <v>y</v>
      </c>
      <c r="QYF1" s="154" t="str">
        <f t="shared" si="189"/>
        <v>y</v>
      </c>
      <c r="QYG1" s="154" t="str">
        <f t="shared" si="189"/>
        <v>y</v>
      </c>
      <c r="QYH1" s="154" t="str">
        <f t="shared" si="189"/>
        <v>y</v>
      </c>
      <c r="QYI1" s="154" t="str">
        <f t="shared" si="189"/>
        <v>y</v>
      </c>
      <c r="QYJ1" s="154" t="str">
        <f t="shared" si="189"/>
        <v>y</v>
      </c>
      <c r="QYK1" s="154" t="str">
        <f t="shared" si="189"/>
        <v>y</v>
      </c>
      <c r="QYL1" s="154" t="str">
        <f t="shared" si="189"/>
        <v>y</v>
      </c>
      <c r="QYM1" s="154" t="str">
        <f t="shared" si="189"/>
        <v>y</v>
      </c>
      <c r="QYN1" s="154" t="str">
        <f t="shared" si="189"/>
        <v>y</v>
      </c>
      <c r="QYO1" s="154" t="str">
        <f t="shared" si="189"/>
        <v>y</v>
      </c>
      <c r="QYP1" s="154" t="str">
        <f t="shared" si="189"/>
        <v>y</v>
      </c>
      <c r="QYQ1" s="154" t="str">
        <f t="shared" si="189"/>
        <v>y</v>
      </c>
      <c r="QYR1" s="154" t="str">
        <f t="shared" si="189"/>
        <v>y</v>
      </c>
      <c r="QYS1" s="154" t="str">
        <f t="shared" si="189"/>
        <v>y</v>
      </c>
      <c r="QYT1" s="154" t="str">
        <f t="shared" si="189"/>
        <v>y</v>
      </c>
      <c r="QYU1" s="154" t="str">
        <f t="shared" si="189"/>
        <v>y</v>
      </c>
      <c r="QYV1" s="154" t="str">
        <f t="shared" ref="QYV1:RBG1" si="190">QYV2&amp;"y"</f>
        <v>y</v>
      </c>
      <c r="QYW1" s="154" t="str">
        <f t="shared" si="190"/>
        <v>y</v>
      </c>
      <c r="QYX1" s="154" t="str">
        <f t="shared" si="190"/>
        <v>y</v>
      </c>
      <c r="QYY1" s="154" t="str">
        <f t="shared" si="190"/>
        <v>y</v>
      </c>
      <c r="QYZ1" s="154" t="str">
        <f t="shared" si="190"/>
        <v>y</v>
      </c>
      <c r="QZA1" s="154" t="str">
        <f t="shared" si="190"/>
        <v>y</v>
      </c>
      <c r="QZB1" s="154" t="str">
        <f t="shared" si="190"/>
        <v>y</v>
      </c>
      <c r="QZC1" s="154" t="str">
        <f t="shared" si="190"/>
        <v>y</v>
      </c>
      <c r="QZD1" s="154" t="str">
        <f t="shared" si="190"/>
        <v>y</v>
      </c>
      <c r="QZE1" s="154" t="str">
        <f t="shared" si="190"/>
        <v>y</v>
      </c>
      <c r="QZF1" s="154" t="str">
        <f t="shared" si="190"/>
        <v>y</v>
      </c>
      <c r="QZG1" s="154" t="str">
        <f t="shared" si="190"/>
        <v>y</v>
      </c>
      <c r="QZH1" s="154" t="str">
        <f t="shared" si="190"/>
        <v>y</v>
      </c>
      <c r="QZI1" s="154" t="str">
        <f t="shared" si="190"/>
        <v>y</v>
      </c>
      <c r="QZJ1" s="154" t="str">
        <f t="shared" si="190"/>
        <v>y</v>
      </c>
      <c r="QZK1" s="154" t="str">
        <f t="shared" si="190"/>
        <v>y</v>
      </c>
      <c r="QZL1" s="154" t="str">
        <f t="shared" si="190"/>
        <v>y</v>
      </c>
      <c r="QZM1" s="154" t="str">
        <f t="shared" si="190"/>
        <v>y</v>
      </c>
      <c r="QZN1" s="154" t="str">
        <f t="shared" si="190"/>
        <v>y</v>
      </c>
      <c r="QZO1" s="154" t="str">
        <f t="shared" si="190"/>
        <v>y</v>
      </c>
      <c r="QZP1" s="154" t="str">
        <f t="shared" si="190"/>
        <v>y</v>
      </c>
      <c r="QZQ1" s="154" t="str">
        <f t="shared" si="190"/>
        <v>y</v>
      </c>
      <c r="QZR1" s="154" t="str">
        <f t="shared" si="190"/>
        <v>y</v>
      </c>
      <c r="QZS1" s="154" t="str">
        <f t="shared" si="190"/>
        <v>y</v>
      </c>
      <c r="QZT1" s="154" t="str">
        <f t="shared" si="190"/>
        <v>y</v>
      </c>
      <c r="QZU1" s="154" t="str">
        <f t="shared" si="190"/>
        <v>y</v>
      </c>
      <c r="QZV1" s="154" t="str">
        <f t="shared" si="190"/>
        <v>y</v>
      </c>
      <c r="QZW1" s="154" t="str">
        <f t="shared" si="190"/>
        <v>y</v>
      </c>
      <c r="QZX1" s="154" t="str">
        <f t="shared" si="190"/>
        <v>y</v>
      </c>
      <c r="QZY1" s="154" t="str">
        <f t="shared" si="190"/>
        <v>y</v>
      </c>
      <c r="QZZ1" s="154" t="str">
        <f t="shared" si="190"/>
        <v>y</v>
      </c>
      <c r="RAA1" s="154" t="str">
        <f t="shared" si="190"/>
        <v>y</v>
      </c>
      <c r="RAB1" s="154" t="str">
        <f t="shared" si="190"/>
        <v>y</v>
      </c>
      <c r="RAC1" s="154" t="str">
        <f t="shared" si="190"/>
        <v>y</v>
      </c>
      <c r="RAD1" s="154" t="str">
        <f t="shared" si="190"/>
        <v>y</v>
      </c>
      <c r="RAE1" s="154" t="str">
        <f t="shared" si="190"/>
        <v>y</v>
      </c>
      <c r="RAF1" s="154" t="str">
        <f t="shared" si="190"/>
        <v>y</v>
      </c>
      <c r="RAG1" s="154" t="str">
        <f t="shared" si="190"/>
        <v>y</v>
      </c>
      <c r="RAH1" s="154" t="str">
        <f t="shared" si="190"/>
        <v>y</v>
      </c>
      <c r="RAI1" s="154" t="str">
        <f t="shared" si="190"/>
        <v>y</v>
      </c>
      <c r="RAJ1" s="154" t="str">
        <f t="shared" si="190"/>
        <v>y</v>
      </c>
      <c r="RAK1" s="154" t="str">
        <f t="shared" si="190"/>
        <v>y</v>
      </c>
      <c r="RAL1" s="154" t="str">
        <f t="shared" si="190"/>
        <v>y</v>
      </c>
      <c r="RAM1" s="154" t="str">
        <f t="shared" si="190"/>
        <v>y</v>
      </c>
      <c r="RAN1" s="154" t="str">
        <f t="shared" si="190"/>
        <v>y</v>
      </c>
      <c r="RAO1" s="154" t="str">
        <f t="shared" si="190"/>
        <v>y</v>
      </c>
      <c r="RAP1" s="154" t="str">
        <f t="shared" si="190"/>
        <v>y</v>
      </c>
      <c r="RAQ1" s="154" t="str">
        <f t="shared" si="190"/>
        <v>y</v>
      </c>
      <c r="RAR1" s="154" t="str">
        <f t="shared" si="190"/>
        <v>y</v>
      </c>
      <c r="RAS1" s="154" t="str">
        <f t="shared" si="190"/>
        <v>y</v>
      </c>
      <c r="RAT1" s="154" t="str">
        <f t="shared" si="190"/>
        <v>y</v>
      </c>
      <c r="RAU1" s="154" t="str">
        <f t="shared" si="190"/>
        <v>y</v>
      </c>
      <c r="RAV1" s="154" t="str">
        <f t="shared" si="190"/>
        <v>y</v>
      </c>
      <c r="RAW1" s="154" t="str">
        <f t="shared" si="190"/>
        <v>y</v>
      </c>
      <c r="RAX1" s="154" t="str">
        <f t="shared" si="190"/>
        <v>y</v>
      </c>
      <c r="RAY1" s="154" t="str">
        <f t="shared" si="190"/>
        <v>y</v>
      </c>
      <c r="RAZ1" s="154" t="str">
        <f t="shared" si="190"/>
        <v>y</v>
      </c>
      <c r="RBA1" s="154" t="str">
        <f t="shared" si="190"/>
        <v>y</v>
      </c>
      <c r="RBB1" s="154" t="str">
        <f t="shared" si="190"/>
        <v>y</v>
      </c>
      <c r="RBC1" s="154" t="str">
        <f t="shared" si="190"/>
        <v>y</v>
      </c>
      <c r="RBD1" s="154" t="str">
        <f t="shared" si="190"/>
        <v>y</v>
      </c>
      <c r="RBE1" s="154" t="str">
        <f t="shared" si="190"/>
        <v>y</v>
      </c>
      <c r="RBF1" s="154" t="str">
        <f t="shared" si="190"/>
        <v>y</v>
      </c>
      <c r="RBG1" s="154" t="str">
        <f t="shared" si="190"/>
        <v>y</v>
      </c>
      <c r="RBH1" s="154" t="str">
        <f t="shared" ref="RBH1:RDS1" si="191">RBH2&amp;"y"</f>
        <v>y</v>
      </c>
      <c r="RBI1" s="154" t="str">
        <f t="shared" si="191"/>
        <v>y</v>
      </c>
      <c r="RBJ1" s="154" t="str">
        <f t="shared" si="191"/>
        <v>y</v>
      </c>
      <c r="RBK1" s="154" t="str">
        <f t="shared" si="191"/>
        <v>y</v>
      </c>
      <c r="RBL1" s="154" t="str">
        <f t="shared" si="191"/>
        <v>y</v>
      </c>
      <c r="RBM1" s="154" t="str">
        <f t="shared" si="191"/>
        <v>y</v>
      </c>
      <c r="RBN1" s="154" t="str">
        <f t="shared" si="191"/>
        <v>y</v>
      </c>
      <c r="RBO1" s="154" t="str">
        <f t="shared" si="191"/>
        <v>y</v>
      </c>
      <c r="RBP1" s="154" t="str">
        <f t="shared" si="191"/>
        <v>y</v>
      </c>
      <c r="RBQ1" s="154" t="str">
        <f t="shared" si="191"/>
        <v>y</v>
      </c>
      <c r="RBR1" s="154" t="str">
        <f t="shared" si="191"/>
        <v>y</v>
      </c>
      <c r="RBS1" s="154" t="str">
        <f t="shared" si="191"/>
        <v>y</v>
      </c>
      <c r="RBT1" s="154" t="str">
        <f t="shared" si="191"/>
        <v>y</v>
      </c>
      <c r="RBU1" s="154" t="str">
        <f t="shared" si="191"/>
        <v>y</v>
      </c>
      <c r="RBV1" s="154" t="str">
        <f t="shared" si="191"/>
        <v>y</v>
      </c>
      <c r="RBW1" s="154" t="str">
        <f t="shared" si="191"/>
        <v>y</v>
      </c>
      <c r="RBX1" s="154" t="str">
        <f t="shared" si="191"/>
        <v>y</v>
      </c>
      <c r="RBY1" s="154" t="str">
        <f t="shared" si="191"/>
        <v>y</v>
      </c>
      <c r="RBZ1" s="154" t="str">
        <f t="shared" si="191"/>
        <v>y</v>
      </c>
      <c r="RCA1" s="154" t="str">
        <f t="shared" si="191"/>
        <v>y</v>
      </c>
      <c r="RCB1" s="154" t="str">
        <f t="shared" si="191"/>
        <v>y</v>
      </c>
      <c r="RCC1" s="154" t="str">
        <f t="shared" si="191"/>
        <v>y</v>
      </c>
      <c r="RCD1" s="154" t="str">
        <f t="shared" si="191"/>
        <v>y</v>
      </c>
      <c r="RCE1" s="154" t="str">
        <f t="shared" si="191"/>
        <v>y</v>
      </c>
      <c r="RCF1" s="154" t="str">
        <f t="shared" si="191"/>
        <v>y</v>
      </c>
      <c r="RCG1" s="154" t="str">
        <f t="shared" si="191"/>
        <v>y</v>
      </c>
      <c r="RCH1" s="154" t="str">
        <f t="shared" si="191"/>
        <v>y</v>
      </c>
      <c r="RCI1" s="154" t="str">
        <f t="shared" si="191"/>
        <v>y</v>
      </c>
      <c r="RCJ1" s="154" t="str">
        <f t="shared" si="191"/>
        <v>y</v>
      </c>
      <c r="RCK1" s="154" t="str">
        <f t="shared" si="191"/>
        <v>y</v>
      </c>
      <c r="RCL1" s="154" t="str">
        <f t="shared" si="191"/>
        <v>y</v>
      </c>
      <c r="RCM1" s="154" t="str">
        <f t="shared" si="191"/>
        <v>y</v>
      </c>
      <c r="RCN1" s="154" t="str">
        <f t="shared" si="191"/>
        <v>y</v>
      </c>
      <c r="RCO1" s="154" t="str">
        <f t="shared" si="191"/>
        <v>y</v>
      </c>
      <c r="RCP1" s="154" t="str">
        <f t="shared" si="191"/>
        <v>y</v>
      </c>
      <c r="RCQ1" s="154" t="str">
        <f t="shared" si="191"/>
        <v>y</v>
      </c>
      <c r="RCR1" s="154" t="str">
        <f t="shared" si="191"/>
        <v>y</v>
      </c>
      <c r="RCS1" s="154" t="str">
        <f t="shared" si="191"/>
        <v>y</v>
      </c>
      <c r="RCT1" s="154" t="str">
        <f t="shared" si="191"/>
        <v>y</v>
      </c>
      <c r="RCU1" s="154" t="str">
        <f t="shared" si="191"/>
        <v>y</v>
      </c>
      <c r="RCV1" s="154" t="str">
        <f t="shared" si="191"/>
        <v>y</v>
      </c>
      <c r="RCW1" s="154" t="str">
        <f t="shared" si="191"/>
        <v>y</v>
      </c>
      <c r="RCX1" s="154" t="str">
        <f t="shared" si="191"/>
        <v>y</v>
      </c>
      <c r="RCY1" s="154" t="str">
        <f t="shared" si="191"/>
        <v>y</v>
      </c>
      <c r="RCZ1" s="154" t="str">
        <f t="shared" si="191"/>
        <v>y</v>
      </c>
      <c r="RDA1" s="154" t="str">
        <f t="shared" si="191"/>
        <v>y</v>
      </c>
      <c r="RDB1" s="154" t="str">
        <f t="shared" si="191"/>
        <v>y</v>
      </c>
      <c r="RDC1" s="154" t="str">
        <f t="shared" si="191"/>
        <v>y</v>
      </c>
      <c r="RDD1" s="154" t="str">
        <f t="shared" si="191"/>
        <v>y</v>
      </c>
      <c r="RDE1" s="154" t="str">
        <f t="shared" si="191"/>
        <v>y</v>
      </c>
      <c r="RDF1" s="154" t="str">
        <f t="shared" si="191"/>
        <v>y</v>
      </c>
      <c r="RDG1" s="154" t="str">
        <f t="shared" si="191"/>
        <v>y</v>
      </c>
      <c r="RDH1" s="154" t="str">
        <f t="shared" si="191"/>
        <v>y</v>
      </c>
      <c r="RDI1" s="154" t="str">
        <f t="shared" si="191"/>
        <v>y</v>
      </c>
      <c r="RDJ1" s="154" t="str">
        <f t="shared" si="191"/>
        <v>y</v>
      </c>
      <c r="RDK1" s="154" t="str">
        <f t="shared" si="191"/>
        <v>y</v>
      </c>
      <c r="RDL1" s="154" t="str">
        <f t="shared" si="191"/>
        <v>y</v>
      </c>
      <c r="RDM1" s="154" t="str">
        <f t="shared" si="191"/>
        <v>y</v>
      </c>
      <c r="RDN1" s="154" t="str">
        <f t="shared" si="191"/>
        <v>y</v>
      </c>
      <c r="RDO1" s="154" t="str">
        <f t="shared" si="191"/>
        <v>y</v>
      </c>
      <c r="RDP1" s="154" t="str">
        <f t="shared" si="191"/>
        <v>y</v>
      </c>
      <c r="RDQ1" s="154" t="str">
        <f t="shared" si="191"/>
        <v>y</v>
      </c>
      <c r="RDR1" s="154" t="str">
        <f t="shared" si="191"/>
        <v>y</v>
      </c>
      <c r="RDS1" s="154" t="str">
        <f t="shared" si="191"/>
        <v>y</v>
      </c>
      <c r="RDT1" s="154" t="str">
        <f t="shared" ref="RDT1:RGE1" si="192">RDT2&amp;"y"</f>
        <v>y</v>
      </c>
      <c r="RDU1" s="154" t="str">
        <f t="shared" si="192"/>
        <v>y</v>
      </c>
      <c r="RDV1" s="154" t="str">
        <f t="shared" si="192"/>
        <v>y</v>
      </c>
      <c r="RDW1" s="154" t="str">
        <f t="shared" si="192"/>
        <v>y</v>
      </c>
      <c r="RDX1" s="154" t="str">
        <f t="shared" si="192"/>
        <v>y</v>
      </c>
      <c r="RDY1" s="154" t="str">
        <f t="shared" si="192"/>
        <v>y</v>
      </c>
      <c r="RDZ1" s="154" t="str">
        <f t="shared" si="192"/>
        <v>y</v>
      </c>
      <c r="REA1" s="154" t="str">
        <f t="shared" si="192"/>
        <v>y</v>
      </c>
      <c r="REB1" s="154" t="str">
        <f t="shared" si="192"/>
        <v>y</v>
      </c>
      <c r="REC1" s="154" t="str">
        <f t="shared" si="192"/>
        <v>y</v>
      </c>
      <c r="RED1" s="154" t="str">
        <f t="shared" si="192"/>
        <v>y</v>
      </c>
      <c r="REE1" s="154" t="str">
        <f t="shared" si="192"/>
        <v>y</v>
      </c>
      <c r="REF1" s="154" t="str">
        <f t="shared" si="192"/>
        <v>y</v>
      </c>
      <c r="REG1" s="154" t="str">
        <f t="shared" si="192"/>
        <v>y</v>
      </c>
      <c r="REH1" s="154" t="str">
        <f t="shared" si="192"/>
        <v>y</v>
      </c>
      <c r="REI1" s="154" t="str">
        <f t="shared" si="192"/>
        <v>y</v>
      </c>
      <c r="REJ1" s="154" t="str">
        <f t="shared" si="192"/>
        <v>y</v>
      </c>
      <c r="REK1" s="154" t="str">
        <f t="shared" si="192"/>
        <v>y</v>
      </c>
      <c r="REL1" s="154" t="str">
        <f t="shared" si="192"/>
        <v>y</v>
      </c>
      <c r="REM1" s="154" t="str">
        <f t="shared" si="192"/>
        <v>y</v>
      </c>
      <c r="REN1" s="154" t="str">
        <f t="shared" si="192"/>
        <v>y</v>
      </c>
      <c r="REO1" s="154" t="str">
        <f t="shared" si="192"/>
        <v>y</v>
      </c>
      <c r="REP1" s="154" t="str">
        <f t="shared" si="192"/>
        <v>y</v>
      </c>
      <c r="REQ1" s="154" t="str">
        <f t="shared" si="192"/>
        <v>y</v>
      </c>
      <c r="RER1" s="154" t="str">
        <f t="shared" si="192"/>
        <v>y</v>
      </c>
      <c r="RES1" s="154" t="str">
        <f t="shared" si="192"/>
        <v>y</v>
      </c>
      <c r="RET1" s="154" t="str">
        <f t="shared" si="192"/>
        <v>y</v>
      </c>
      <c r="REU1" s="154" t="str">
        <f t="shared" si="192"/>
        <v>y</v>
      </c>
      <c r="REV1" s="154" t="str">
        <f t="shared" si="192"/>
        <v>y</v>
      </c>
      <c r="REW1" s="154" t="str">
        <f t="shared" si="192"/>
        <v>y</v>
      </c>
      <c r="REX1" s="154" t="str">
        <f t="shared" si="192"/>
        <v>y</v>
      </c>
      <c r="REY1" s="154" t="str">
        <f t="shared" si="192"/>
        <v>y</v>
      </c>
      <c r="REZ1" s="154" t="str">
        <f t="shared" si="192"/>
        <v>y</v>
      </c>
      <c r="RFA1" s="154" t="str">
        <f t="shared" si="192"/>
        <v>y</v>
      </c>
      <c r="RFB1" s="154" t="str">
        <f t="shared" si="192"/>
        <v>y</v>
      </c>
      <c r="RFC1" s="154" t="str">
        <f t="shared" si="192"/>
        <v>y</v>
      </c>
      <c r="RFD1" s="154" t="str">
        <f t="shared" si="192"/>
        <v>y</v>
      </c>
      <c r="RFE1" s="154" t="str">
        <f t="shared" si="192"/>
        <v>y</v>
      </c>
      <c r="RFF1" s="154" t="str">
        <f t="shared" si="192"/>
        <v>y</v>
      </c>
      <c r="RFG1" s="154" t="str">
        <f t="shared" si="192"/>
        <v>y</v>
      </c>
      <c r="RFH1" s="154" t="str">
        <f t="shared" si="192"/>
        <v>y</v>
      </c>
      <c r="RFI1" s="154" t="str">
        <f t="shared" si="192"/>
        <v>y</v>
      </c>
      <c r="RFJ1" s="154" t="str">
        <f t="shared" si="192"/>
        <v>y</v>
      </c>
      <c r="RFK1" s="154" t="str">
        <f t="shared" si="192"/>
        <v>y</v>
      </c>
      <c r="RFL1" s="154" t="str">
        <f t="shared" si="192"/>
        <v>y</v>
      </c>
      <c r="RFM1" s="154" t="str">
        <f t="shared" si="192"/>
        <v>y</v>
      </c>
      <c r="RFN1" s="154" t="str">
        <f t="shared" si="192"/>
        <v>y</v>
      </c>
      <c r="RFO1" s="154" t="str">
        <f t="shared" si="192"/>
        <v>y</v>
      </c>
      <c r="RFP1" s="154" t="str">
        <f t="shared" si="192"/>
        <v>y</v>
      </c>
      <c r="RFQ1" s="154" t="str">
        <f t="shared" si="192"/>
        <v>y</v>
      </c>
      <c r="RFR1" s="154" t="str">
        <f t="shared" si="192"/>
        <v>y</v>
      </c>
      <c r="RFS1" s="154" t="str">
        <f t="shared" si="192"/>
        <v>y</v>
      </c>
      <c r="RFT1" s="154" t="str">
        <f t="shared" si="192"/>
        <v>y</v>
      </c>
      <c r="RFU1" s="154" t="str">
        <f t="shared" si="192"/>
        <v>y</v>
      </c>
      <c r="RFV1" s="154" t="str">
        <f t="shared" si="192"/>
        <v>y</v>
      </c>
      <c r="RFW1" s="154" t="str">
        <f t="shared" si="192"/>
        <v>y</v>
      </c>
      <c r="RFX1" s="154" t="str">
        <f t="shared" si="192"/>
        <v>y</v>
      </c>
      <c r="RFY1" s="154" t="str">
        <f t="shared" si="192"/>
        <v>y</v>
      </c>
      <c r="RFZ1" s="154" t="str">
        <f t="shared" si="192"/>
        <v>y</v>
      </c>
      <c r="RGA1" s="154" t="str">
        <f t="shared" si="192"/>
        <v>y</v>
      </c>
      <c r="RGB1" s="154" t="str">
        <f t="shared" si="192"/>
        <v>y</v>
      </c>
      <c r="RGC1" s="154" t="str">
        <f t="shared" si="192"/>
        <v>y</v>
      </c>
      <c r="RGD1" s="154" t="str">
        <f t="shared" si="192"/>
        <v>y</v>
      </c>
      <c r="RGE1" s="154" t="str">
        <f t="shared" si="192"/>
        <v>y</v>
      </c>
      <c r="RGF1" s="154" t="str">
        <f t="shared" ref="RGF1:RIQ1" si="193">RGF2&amp;"y"</f>
        <v>y</v>
      </c>
      <c r="RGG1" s="154" t="str">
        <f t="shared" si="193"/>
        <v>y</v>
      </c>
      <c r="RGH1" s="154" t="str">
        <f t="shared" si="193"/>
        <v>y</v>
      </c>
      <c r="RGI1" s="154" t="str">
        <f t="shared" si="193"/>
        <v>y</v>
      </c>
      <c r="RGJ1" s="154" t="str">
        <f t="shared" si="193"/>
        <v>y</v>
      </c>
      <c r="RGK1" s="154" t="str">
        <f t="shared" si="193"/>
        <v>y</v>
      </c>
      <c r="RGL1" s="154" t="str">
        <f t="shared" si="193"/>
        <v>y</v>
      </c>
      <c r="RGM1" s="154" t="str">
        <f t="shared" si="193"/>
        <v>y</v>
      </c>
      <c r="RGN1" s="154" t="str">
        <f t="shared" si="193"/>
        <v>y</v>
      </c>
      <c r="RGO1" s="154" t="str">
        <f t="shared" si="193"/>
        <v>y</v>
      </c>
      <c r="RGP1" s="154" t="str">
        <f t="shared" si="193"/>
        <v>y</v>
      </c>
      <c r="RGQ1" s="154" t="str">
        <f t="shared" si="193"/>
        <v>y</v>
      </c>
      <c r="RGR1" s="154" t="str">
        <f t="shared" si="193"/>
        <v>y</v>
      </c>
      <c r="RGS1" s="154" t="str">
        <f t="shared" si="193"/>
        <v>y</v>
      </c>
      <c r="RGT1" s="154" t="str">
        <f t="shared" si="193"/>
        <v>y</v>
      </c>
      <c r="RGU1" s="154" t="str">
        <f t="shared" si="193"/>
        <v>y</v>
      </c>
      <c r="RGV1" s="154" t="str">
        <f t="shared" si="193"/>
        <v>y</v>
      </c>
      <c r="RGW1" s="154" t="str">
        <f t="shared" si="193"/>
        <v>y</v>
      </c>
      <c r="RGX1" s="154" t="str">
        <f t="shared" si="193"/>
        <v>y</v>
      </c>
      <c r="RGY1" s="154" t="str">
        <f t="shared" si="193"/>
        <v>y</v>
      </c>
      <c r="RGZ1" s="154" t="str">
        <f t="shared" si="193"/>
        <v>y</v>
      </c>
      <c r="RHA1" s="154" t="str">
        <f t="shared" si="193"/>
        <v>y</v>
      </c>
      <c r="RHB1" s="154" t="str">
        <f t="shared" si="193"/>
        <v>y</v>
      </c>
      <c r="RHC1" s="154" t="str">
        <f t="shared" si="193"/>
        <v>y</v>
      </c>
      <c r="RHD1" s="154" t="str">
        <f t="shared" si="193"/>
        <v>y</v>
      </c>
      <c r="RHE1" s="154" t="str">
        <f t="shared" si="193"/>
        <v>y</v>
      </c>
      <c r="RHF1" s="154" t="str">
        <f t="shared" si="193"/>
        <v>y</v>
      </c>
      <c r="RHG1" s="154" t="str">
        <f t="shared" si="193"/>
        <v>y</v>
      </c>
      <c r="RHH1" s="154" t="str">
        <f t="shared" si="193"/>
        <v>y</v>
      </c>
      <c r="RHI1" s="154" t="str">
        <f t="shared" si="193"/>
        <v>y</v>
      </c>
      <c r="RHJ1" s="154" t="str">
        <f t="shared" si="193"/>
        <v>y</v>
      </c>
      <c r="RHK1" s="154" t="str">
        <f t="shared" si="193"/>
        <v>y</v>
      </c>
      <c r="RHL1" s="154" t="str">
        <f t="shared" si="193"/>
        <v>y</v>
      </c>
      <c r="RHM1" s="154" t="str">
        <f t="shared" si="193"/>
        <v>y</v>
      </c>
      <c r="RHN1" s="154" t="str">
        <f t="shared" si="193"/>
        <v>y</v>
      </c>
      <c r="RHO1" s="154" t="str">
        <f t="shared" si="193"/>
        <v>y</v>
      </c>
      <c r="RHP1" s="154" t="str">
        <f t="shared" si="193"/>
        <v>y</v>
      </c>
      <c r="RHQ1" s="154" t="str">
        <f t="shared" si="193"/>
        <v>y</v>
      </c>
      <c r="RHR1" s="154" t="str">
        <f t="shared" si="193"/>
        <v>y</v>
      </c>
      <c r="RHS1" s="154" t="str">
        <f t="shared" si="193"/>
        <v>y</v>
      </c>
      <c r="RHT1" s="154" t="str">
        <f t="shared" si="193"/>
        <v>y</v>
      </c>
      <c r="RHU1" s="154" t="str">
        <f t="shared" si="193"/>
        <v>y</v>
      </c>
      <c r="RHV1" s="154" t="str">
        <f t="shared" si="193"/>
        <v>y</v>
      </c>
      <c r="RHW1" s="154" t="str">
        <f t="shared" si="193"/>
        <v>y</v>
      </c>
      <c r="RHX1" s="154" t="str">
        <f t="shared" si="193"/>
        <v>y</v>
      </c>
      <c r="RHY1" s="154" t="str">
        <f t="shared" si="193"/>
        <v>y</v>
      </c>
      <c r="RHZ1" s="154" t="str">
        <f t="shared" si="193"/>
        <v>y</v>
      </c>
      <c r="RIA1" s="154" t="str">
        <f t="shared" si="193"/>
        <v>y</v>
      </c>
      <c r="RIB1" s="154" t="str">
        <f t="shared" si="193"/>
        <v>y</v>
      </c>
      <c r="RIC1" s="154" t="str">
        <f t="shared" si="193"/>
        <v>y</v>
      </c>
      <c r="RID1" s="154" t="str">
        <f t="shared" si="193"/>
        <v>y</v>
      </c>
      <c r="RIE1" s="154" t="str">
        <f t="shared" si="193"/>
        <v>y</v>
      </c>
      <c r="RIF1" s="154" t="str">
        <f t="shared" si="193"/>
        <v>y</v>
      </c>
      <c r="RIG1" s="154" t="str">
        <f t="shared" si="193"/>
        <v>y</v>
      </c>
      <c r="RIH1" s="154" t="str">
        <f t="shared" si="193"/>
        <v>y</v>
      </c>
      <c r="RII1" s="154" t="str">
        <f t="shared" si="193"/>
        <v>y</v>
      </c>
      <c r="RIJ1" s="154" t="str">
        <f t="shared" si="193"/>
        <v>y</v>
      </c>
      <c r="RIK1" s="154" t="str">
        <f t="shared" si="193"/>
        <v>y</v>
      </c>
      <c r="RIL1" s="154" t="str">
        <f t="shared" si="193"/>
        <v>y</v>
      </c>
      <c r="RIM1" s="154" t="str">
        <f t="shared" si="193"/>
        <v>y</v>
      </c>
      <c r="RIN1" s="154" t="str">
        <f t="shared" si="193"/>
        <v>y</v>
      </c>
      <c r="RIO1" s="154" t="str">
        <f t="shared" si="193"/>
        <v>y</v>
      </c>
      <c r="RIP1" s="154" t="str">
        <f t="shared" si="193"/>
        <v>y</v>
      </c>
      <c r="RIQ1" s="154" t="str">
        <f t="shared" si="193"/>
        <v>y</v>
      </c>
      <c r="RIR1" s="154" t="str">
        <f t="shared" ref="RIR1:RLC1" si="194">RIR2&amp;"y"</f>
        <v>y</v>
      </c>
      <c r="RIS1" s="154" t="str">
        <f t="shared" si="194"/>
        <v>y</v>
      </c>
      <c r="RIT1" s="154" t="str">
        <f t="shared" si="194"/>
        <v>y</v>
      </c>
      <c r="RIU1" s="154" t="str">
        <f t="shared" si="194"/>
        <v>y</v>
      </c>
      <c r="RIV1" s="154" t="str">
        <f t="shared" si="194"/>
        <v>y</v>
      </c>
      <c r="RIW1" s="154" t="str">
        <f t="shared" si="194"/>
        <v>y</v>
      </c>
      <c r="RIX1" s="154" t="str">
        <f t="shared" si="194"/>
        <v>y</v>
      </c>
      <c r="RIY1" s="154" t="str">
        <f t="shared" si="194"/>
        <v>y</v>
      </c>
      <c r="RIZ1" s="154" t="str">
        <f t="shared" si="194"/>
        <v>y</v>
      </c>
      <c r="RJA1" s="154" t="str">
        <f t="shared" si="194"/>
        <v>y</v>
      </c>
      <c r="RJB1" s="154" t="str">
        <f t="shared" si="194"/>
        <v>y</v>
      </c>
      <c r="RJC1" s="154" t="str">
        <f t="shared" si="194"/>
        <v>y</v>
      </c>
      <c r="RJD1" s="154" t="str">
        <f t="shared" si="194"/>
        <v>y</v>
      </c>
      <c r="RJE1" s="154" t="str">
        <f t="shared" si="194"/>
        <v>y</v>
      </c>
      <c r="RJF1" s="154" t="str">
        <f t="shared" si="194"/>
        <v>y</v>
      </c>
      <c r="RJG1" s="154" t="str">
        <f t="shared" si="194"/>
        <v>y</v>
      </c>
      <c r="RJH1" s="154" t="str">
        <f t="shared" si="194"/>
        <v>y</v>
      </c>
      <c r="RJI1" s="154" t="str">
        <f t="shared" si="194"/>
        <v>y</v>
      </c>
      <c r="RJJ1" s="154" t="str">
        <f t="shared" si="194"/>
        <v>y</v>
      </c>
      <c r="RJK1" s="154" t="str">
        <f t="shared" si="194"/>
        <v>y</v>
      </c>
      <c r="RJL1" s="154" t="str">
        <f t="shared" si="194"/>
        <v>y</v>
      </c>
      <c r="RJM1" s="154" t="str">
        <f t="shared" si="194"/>
        <v>y</v>
      </c>
      <c r="RJN1" s="154" t="str">
        <f t="shared" si="194"/>
        <v>y</v>
      </c>
      <c r="RJO1" s="154" t="str">
        <f t="shared" si="194"/>
        <v>y</v>
      </c>
      <c r="RJP1" s="154" t="str">
        <f t="shared" si="194"/>
        <v>y</v>
      </c>
      <c r="RJQ1" s="154" t="str">
        <f t="shared" si="194"/>
        <v>y</v>
      </c>
      <c r="RJR1" s="154" t="str">
        <f t="shared" si="194"/>
        <v>y</v>
      </c>
      <c r="RJS1" s="154" t="str">
        <f t="shared" si="194"/>
        <v>y</v>
      </c>
      <c r="RJT1" s="154" t="str">
        <f t="shared" si="194"/>
        <v>y</v>
      </c>
      <c r="RJU1" s="154" t="str">
        <f t="shared" si="194"/>
        <v>y</v>
      </c>
      <c r="RJV1" s="154" t="str">
        <f t="shared" si="194"/>
        <v>y</v>
      </c>
      <c r="RJW1" s="154" t="str">
        <f t="shared" si="194"/>
        <v>y</v>
      </c>
      <c r="RJX1" s="154" t="str">
        <f t="shared" si="194"/>
        <v>y</v>
      </c>
      <c r="RJY1" s="154" t="str">
        <f t="shared" si="194"/>
        <v>y</v>
      </c>
      <c r="RJZ1" s="154" t="str">
        <f t="shared" si="194"/>
        <v>y</v>
      </c>
      <c r="RKA1" s="154" t="str">
        <f t="shared" si="194"/>
        <v>y</v>
      </c>
      <c r="RKB1" s="154" t="str">
        <f t="shared" si="194"/>
        <v>y</v>
      </c>
      <c r="RKC1" s="154" t="str">
        <f t="shared" si="194"/>
        <v>y</v>
      </c>
      <c r="RKD1" s="154" t="str">
        <f t="shared" si="194"/>
        <v>y</v>
      </c>
      <c r="RKE1" s="154" t="str">
        <f t="shared" si="194"/>
        <v>y</v>
      </c>
      <c r="RKF1" s="154" t="str">
        <f t="shared" si="194"/>
        <v>y</v>
      </c>
      <c r="RKG1" s="154" t="str">
        <f t="shared" si="194"/>
        <v>y</v>
      </c>
      <c r="RKH1" s="154" t="str">
        <f t="shared" si="194"/>
        <v>y</v>
      </c>
      <c r="RKI1" s="154" t="str">
        <f t="shared" si="194"/>
        <v>y</v>
      </c>
      <c r="RKJ1" s="154" t="str">
        <f t="shared" si="194"/>
        <v>y</v>
      </c>
      <c r="RKK1" s="154" t="str">
        <f t="shared" si="194"/>
        <v>y</v>
      </c>
      <c r="RKL1" s="154" t="str">
        <f t="shared" si="194"/>
        <v>y</v>
      </c>
      <c r="RKM1" s="154" t="str">
        <f t="shared" si="194"/>
        <v>y</v>
      </c>
      <c r="RKN1" s="154" t="str">
        <f t="shared" si="194"/>
        <v>y</v>
      </c>
      <c r="RKO1" s="154" t="str">
        <f t="shared" si="194"/>
        <v>y</v>
      </c>
      <c r="RKP1" s="154" t="str">
        <f t="shared" si="194"/>
        <v>y</v>
      </c>
      <c r="RKQ1" s="154" t="str">
        <f t="shared" si="194"/>
        <v>y</v>
      </c>
      <c r="RKR1" s="154" t="str">
        <f t="shared" si="194"/>
        <v>y</v>
      </c>
      <c r="RKS1" s="154" t="str">
        <f t="shared" si="194"/>
        <v>y</v>
      </c>
      <c r="RKT1" s="154" t="str">
        <f t="shared" si="194"/>
        <v>y</v>
      </c>
      <c r="RKU1" s="154" t="str">
        <f t="shared" si="194"/>
        <v>y</v>
      </c>
      <c r="RKV1" s="154" t="str">
        <f t="shared" si="194"/>
        <v>y</v>
      </c>
      <c r="RKW1" s="154" t="str">
        <f t="shared" si="194"/>
        <v>y</v>
      </c>
      <c r="RKX1" s="154" t="str">
        <f t="shared" si="194"/>
        <v>y</v>
      </c>
      <c r="RKY1" s="154" t="str">
        <f t="shared" si="194"/>
        <v>y</v>
      </c>
      <c r="RKZ1" s="154" t="str">
        <f t="shared" si="194"/>
        <v>y</v>
      </c>
      <c r="RLA1" s="154" t="str">
        <f t="shared" si="194"/>
        <v>y</v>
      </c>
      <c r="RLB1" s="154" t="str">
        <f t="shared" si="194"/>
        <v>y</v>
      </c>
      <c r="RLC1" s="154" t="str">
        <f t="shared" si="194"/>
        <v>y</v>
      </c>
      <c r="RLD1" s="154" t="str">
        <f t="shared" ref="RLD1:RNO1" si="195">RLD2&amp;"y"</f>
        <v>y</v>
      </c>
      <c r="RLE1" s="154" t="str">
        <f t="shared" si="195"/>
        <v>y</v>
      </c>
      <c r="RLF1" s="154" t="str">
        <f t="shared" si="195"/>
        <v>y</v>
      </c>
      <c r="RLG1" s="154" t="str">
        <f t="shared" si="195"/>
        <v>y</v>
      </c>
      <c r="RLH1" s="154" t="str">
        <f t="shared" si="195"/>
        <v>y</v>
      </c>
      <c r="RLI1" s="154" t="str">
        <f t="shared" si="195"/>
        <v>y</v>
      </c>
      <c r="RLJ1" s="154" t="str">
        <f t="shared" si="195"/>
        <v>y</v>
      </c>
      <c r="RLK1" s="154" t="str">
        <f t="shared" si="195"/>
        <v>y</v>
      </c>
      <c r="RLL1" s="154" t="str">
        <f t="shared" si="195"/>
        <v>y</v>
      </c>
      <c r="RLM1" s="154" t="str">
        <f t="shared" si="195"/>
        <v>y</v>
      </c>
      <c r="RLN1" s="154" t="str">
        <f t="shared" si="195"/>
        <v>y</v>
      </c>
      <c r="RLO1" s="154" t="str">
        <f t="shared" si="195"/>
        <v>y</v>
      </c>
      <c r="RLP1" s="154" t="str">
        <f t="shared" si="195"/>
        <v>y</v>
      </c>
      <c r="RLQ1" s="154" t="str">
        <f t="shared" si="195"/>
        <v>y</v>
      </c>
      <c r="RLR1" s="154" t="str">
        <f t="shared" si="195"/>
        <v>y</v>
      </c>
      <c r="RLS1" s="154" t="str">
        <f t="shared" si="195"/>
        <v>y</v>
      </c>
      <c r="RLT1" s="154" t="str">
        <f t="shared" si="195"/>
        <v>y</v>
      </c>
      <c r="RLU1" s="154" t="str">
        <f t="shared" si="195"/>
        <v>y</v>
      </c>
      <c r="RLV1" s="154" t="str">
        <f t="shared" si="195"/>
        <v>y</v>
      </c>
      <c r="RLW1" s="154" t="str">
        <f t="shared" si="195"/>
        <v>y</v>
      </c>
      <c r="RLX1" s="154" t="str">
        <f t="shared" si="195"/>
        <v>y</v>
      </c>
      <c r="RLY1" s="154" t="str">
        <f t="shared" si="195"/>
        <v>y</v>
      </c>
      <c r="RLZ1" s="154" t="str">
        <f t="shared" si="195"/>
        <v>y</v>
      </c>
      <c r="RMA1" s="154" t="str">
        <f t="shared" si="195"/>
        <v>y</v>
      </c>
      <c r="RMB1" s="154" t="str">
        <f t="shared" si="195"/>
        <v>y</v>
      </c>
      <c r="RMC1" s="154" t="str">
        <f t="shared" si="195"/>
        <v>y</v>
      </c>
      <c r="RMD1" s="154" t="str">
        <f t="shared" si="195"/>
        <v>y</v>
      </c>
      <c r="RME1" s="154" t="str">
        <f t="shared" si="195"/>
        <v>y</v>
      </c>
      <c r="RMF1" s="154" t="str">
        <f t="shared" si="195"/>
        <v>y</v>
      </c>
      <c r="RMG1" s="154" t="str">
        <f t="shared" si="195"/>
        <v>y</v>
      </c>
      <c r="RMH1" s="154" t="str">
        <f t="shared" si="195"/>
        <v>y</v>
      </c>
      <c r="RMI1" s="154" t="str">
        <f t="shared" si="195"/>
        <v>y</v>
      </c>
      <c r="RMJ1" s="154" t="str">
        <f t="shared" si="195"/>
        <v>y</v>
      </c>
      <c r="RMK1" s="154" t="str">
        <f t="shared" si="195"/>
        <v>y</v>
      </c>
      <c r="RML1" s="154" t="str">
        <f t="shared" si="195"/>
        <v>y</v>
      </c>
      <c r="RMM1" s="154" t="str">
        <f t="shared" si="195"/>
        <v>y</v>
      </c>
      <c r="RMN1" s="154" t="str">
        <f t="shared" si="195"/>
        <v>y</v>
      </c>
      <c r="RMO1" s="154" t="str">
        <f t="shared" si="195"/>
        <v>y</v>
      </c>
      <c r="RMP1" s="154" t="str">
        <f t="shared" si="195"/>
        <v>y</v>
      </c>
      <c r="RMQ1" s="154" t="str">
        <f t="shared" si="195"/>
        <v>y</v>
      </c>
      <c r="RMR1" s="154" t="str">
        <f t="shared" si="195"/>
        <v>y</v>
      </c>
      <c r="RMS1" s="154" t="str">
        <f t="shared" si="195"/>
        <v>y</v>
      </c>
      <c r="RMT1" s="154" t="str">
        <f t="shared" si="195"/>
        <v>y</v>
      </c>
      <c r="RMU1" s="154" t="str">
        <f t="shared" si="195"/>
        <v>y</v>
      </c>
      <c r="RMV1" s="154" t="str">
        <f t="shared" si="195"/>
        <v>y</v>
      </c>
      <c r="RMW1" s="154" t="str">
        <f t="shared" si="195"/>
        <v>y</v>
      </c>
      <c r="RMX1" s="154" t="str">
        <f t="shared" si="195"/>
        <v>y</v>
      </c>
      <c r="RMY1" s="154" t="str">
        <f t="shared" si="195"/>
        <v>y</v>
      </c>
      <c r="RMZ1" s="154" t="str">
        <f t="shared" si="195"/>
        <v>y</v>
      </c>
      <c r="RNA1" s="154" t="str">
        <f t="shared" si="195"/>
        <v>y</v>
      </c>
      <c r="RNB1" s="154" t="str">
        <f t="shared" si="195"/>
        <v>y</v>
      </c>
      <c r="RNC1" s="154" t="str">
        <f t="shared" si="195"/>
        <v>y</v>
      </c>
      <c r="RND1" s="154" t="str">
        <f t="shared" si="195"/>
        <v>y</v>
      </c>
      <c r="RNE1" s="154" t="str">
        <f t="shared" si="195"/>
        <v>y</v>
      </c>
      <c r="RNF1" s="154" t="str">
        <f t="shared" si="195"/>
        <v>y</v>
      </c>
      <c r="RNG1" s="154" t="str">
        <f t="shared" si="195"/>
        <v>y</v>
      </c>
      <c r="RNH1" s="154" t="str">
        <f t="shared" si="195"/>
        <v>y</v>
      </c>
      <c r="RNI1" s="154" t="str">
        <f t="shared" si="195"/>
        <v>y</v>
      </c>
      <c r="RNJ1" s="154" t="str">
        <f t="shared" si="195"/>
        <v>y</v>
      </c>
      <c r="RNK1" s="154" t="str">
        <f t="shared" si="195"/>
        <v>y</v>
      </c>
      <c r="RNL1" s="154" t="str">
        <f t="shared" si="195"/>
        <v>y</v>
      </c>
      <c r="RNM1" s="154" t="str">
        <f t="shared" si="195"/>
        <v>y</v>
      </c>
      <c r="RNN1" s="154" t="str">
        <f t="shared" si="195"/>
        <v>y</v>
      </c>
      <c r="RNO1" s="154" t="str">
        <f t="shared" si="195"/>
        <v>y</v>
      </c>
      <c r="RNP1" s="154" t="str">
        <f t="shared" ref="RNP1:RQA1" si="196">RNP2&amp;"y"</f>
        <v>y</v>
      </c>
      <c r="RNQ1" s="154" t="str">
        <f t="shared" si="196"/>
        <v>y</v>
      </c>
      <c r="RNR1" s="154" t="str">
        <f t="shared" si="196"/>
        <v>y</v>
      </c>
      <c r="RNS1" s="154" t="str">
        <f t="shared" si="196"/>
        <v>y</v>
      </c>
      <c r="RNT1" s="154" t="str">
        <f t="shared" si="196"/>
        <v>y</v>
      </c>
      <c r="RNU1" s="154" t="str">
        <f t="shared" si="196"/>
        <v>y</v>
      </c>
      <c r="RNV1" s="154" t="str">
        <f t="shared" si="196"/>
        <v>y</v>
      </c>
      <c r="RNW1" s="154" t="str">
        <f t="shared" si="196"/>
        <v>y</v>
      </c>
      <c r="RNX1" s="154" t="str">
        <f t="shared" si="196"/>
        <v>y</v>
      </c>
      <c r="RNY1" s="154" t="str">
        <f t="shared" si="196"/>
        <v>y</v>
      </c>
      <c r="RNZ1" s="154" t="str">
        <f t="shared" si="196"/>
        <v>y</v>
      </c>
      <c r="ROA1" s="154" t="str">
        <f t="shared" si="196"/>
        <v>y</v>
      </c>
      <c r="ROB1" s="154" t="str">
        <f t="shared" si="196"/>
        <v>y</v>
      </c>
      <c r="ROC1" s="154" t="str">
        <f t="shared" si="196"/>
        <v>y</v>
      </c>
      <c r="ROD1" s="154" t="str">
        <f t="shared" si="196"/>
        <v>y</v>
      </c>
      <c r="ROE1" s="154" t="str">
        <f t="shared" si="196"/>
        <v>y</v>
      </c>
      <c r="ROF1" s="154" t="str">
        <f t="shared" si="196"/>
        <v>y</v>
      </c>
      <c r="ROG1" s="154" t="str">
        <f t="shared" si="196"/>
        <v>y</v>
      </c>
      <c r="ROH1" s="154" t="str">
        <f t="shared" si="196"/>
        <v>y</v>
      </c>
      <c r="ROI1" s="154" t="str">
        <f t="shared" si="196"/>
        <v>y</v>
      </c>
      <c r="ROJ1" s="154" t="str">
        <f t="shared" si="196"/>
        <v>y</v>
      </c>
      <c r="ROK1" s="154" t="str">
        <f t="shared" si="196"/>
        <v>y</v>
      </c>
      <c r="ROL1" s="154" t="str">
        <f t="shared" si="196"/>
        <v>y</v>
      </c>
      <c r="ROM1" s="154" t="str">
        <f t="shared" si="196"/>
        <v>y</v>
      </c>
      <c r="RON1" s="154" t="str">
        <f t="shared" si="196"/>
        <v>y</v>
      </c>
      <c r="ROO1" s="154" t="str">
        <f t="shared" si="196"/>
        <v>y</v>
      </c>
      <c r="ROP1" s="154" t="str">
        <f t="shared" si="196"/>
        <v>y</v>
      </c>
      <c r="ROQ1" s="154" t="str">
        <f t="shared" si="196"/>
        <v>y</v>
      </c>
      <c r="ROR1" s="154" t="str">
        <f t="shared" si="196"/>
        <v>y</v>
      </c>
      <c r="ROS1" s="154" t="str">
        <f t="shared" si="196"/>
        <v>y</v>
      </c>
      <c r="ROT1" s="154" t="str">
        <f t="shared" si="196"/>
        <v>y</v>
      </c>
      <c r="ROU1" s="154" t="str">
        <f t="shared" si="196"/>
        <v>y</v>
      </c>
      <c r="ROV1" s="154" t="str">
        <f t="shared" si="196"/>
        <v>y</v>
      </c>
      <c r="ROW1" s="154" t="str">
        <f t="shared" si="196"/>
        <v>y</v>
      </c>
      <c r="ROX1" s="154" t="str">
        <f t="shared" si="196"/>
        <v>y</v>
      </c>
      <c r="ROY1" s="154" t="str">
        <f t="shared" si="196"/>
        <v>y</v>
      </c>
      <c r="ROZ1" s="154" t="str">
        <f t="shared" si="196"/>
        <v>y</v>
      </c>
      <c r="RPA1" s="154" t="str">
        <f t="shared" si="196"/>
        <v>y</v>
      </c>
      <c r="RPB1" s="154" t="str">
        <f t="shared" si="196"/>
        <v>y</v>
      </c>
      <c r="RPC1" s="154" t="str">
        <f t="shared" si="196"/>
        <v>y</v>
      </c>
      <c r="RPD1" s="154" t="str">
        <f t="shared" si="196"/>
        <v>y</v>
      </c>
      <c r="RPE1" s="154" t="str">
        <f t="shared" si="196"/>
        <v>y</v>
      </c>
      <c r="RPF1" s="154" t="str">
        <f t="shared" si="196"/>
        <v>y</v>
      </c>
      <c r="RPG1" s="154" t="str">
        <f t="shared" si="196"/>
        <v>y</v>
      </c>
      <c r="RPH1" s="154" t="str">
        <f t="shared" si="196"/>
        <v>y</v>
      </c>
      <c r="RPI1" s="154" t="str">
        <f t="shared" si="196"/>
        <v>y</v>
      </c>
      <c r="RPJ1" s="154" t="str">
        <f t="shared" si="196"/>
        <v>y</v>
      </c>
      <c r="RPK1" s="154" t="str">
        <f t="shared" si="196"/>
        <v>y</v>
      </c>
      <c r="RPL1" s="154" t="str">
        <f t="shared" si="196"/>
        <v>y</v>
      </c>
      <c r="RPM1" s="154" t="str">
        <f t="shared" si="196"/>
        <v>y</v>
      </c>
      <c r="RPN1" s="154" t="str">
        <f t="shared" si="196"/>
        <v>y</v>
      </c>
      <c r="RPO1" s="154" t="str">
        <f t="shared" si="196"/>
        <v>y</v>
      </c>
      <c r="RPP1" s="154" t="str">
        <f t="shared" si="196"/>
        <v>y</v>
      </c>
      <c r="RPQ1" s="154" t="str">
        <f t="shared" si="196"/>
        <v>y</v>
      </c>
      <c r="RPR1" s="154" t="str">
        <f t="shared" si="196"/>
        <v>y</v>
      </c>
      <c r="RPS1" s="154" t="str">
        <f t="shared" si="196"/>
        <v>y</v>
      </c>
      <c r="RPT1" s="154" t="str">
        <f t="shared" si="196"/>
        <v>y</v>
      </c>
      <c r="RPU1" s="154" t="str">
        <f t="shared" si="196"/>
        <v>y</v>
      </c>
      <c r="RPV1" s="154" t="str">
        <f t="shared" si="196"/>
        <v>y</v>
      </c>
      <c r="RPW1" s="154" t="str">
        <f t="shared" si="196"/>
        <v>y</v>
      </c>
      <c r="RPX1" s="154" t="str">
        <f t="shared" si="196"/>
        <v>y</v>
      </c>
      <c r="RPY1" s="154" t="str">
        <f t="shared" si="196"/>
        <v>y</v>
      </c>
      <c r="RPZ1" s="154" t="str">
        <f t="shared" si="196"/>
        <v>y</v>
      </c>
      <c r="RQA1" s="154" t="str">
        <f t="shared" si="196"/>
        <v>y</v>
      </c>
      <c r="RQB1" s="154" t="str">
        <f t="shared" ref="RQB1:RSM1" si="197">RQB2&amp;"y"</f>
        <v>y</v>
      </c>
      <c r="RQC1" s="154" t="str">
        <f t="shared" si="197"/>
        <v>y</v>
      </c>
      <c r="RQD1" s="154" t="str">
        <f t="shared" si="197"/>
        <v>y</v>
      </c>
      <c r="RQE1" s="154" t="str">
        <f t="shared" si="197"/>
        <v>y</v>
      </c>
      <c r="RQF1" s="154" t="str">
        <f t="shared" si="197"/>
        <v>y</v>
      </c>
      <c r="RQG1" s="154" t="str">
        <f t="shared" si="197"/>
        <v>y</v>
      </c>
      <c r="RQH1" s="154" t="str">
        <f t="shared" si="197"/>
        <v>y</v>
      </c>
      <c r="RQI1" s="154" t="str">
        <f t="shared" si="197"/>
        <v>y</v>
      </c>
      <c r="RQJ1" s="154" t="str">
        <f t="shared" si="197"/>
        <v>y</v>
      </c>
      <c r="RQK1" s="154" t="str">
        <f t="shared" si="197"/>
        <v>y</v>
      </c>
      <c r="RQL1" s="154" t="str">
        <f t="shared" si="197"/>
        <v>y</v>
      </c>
      <c r="RQM1" s="154" t="str">
        <f t="shared" si="197"/>
        <v>y</v>
      </c>
      <c r="RQN1" s="154" t="str">
        <f t="shared" si="197"/>
        <v>y</v>
      </c>
      <c r="RQO1" s="154" t="str">
        <f t="shared" si="197"/>
        <v>y</v>
      </c>
      <c r="RQP1" s="154" t="str">
        <f t="shared" si="197"/>
        <v>y</v>
      </c>
      <c r="RQQ1" s="154" t="str">
        <f t="shared" si="197"/>
        <v>y</v>
      </c>
      <c r="RQR1" s="154" t="str">
        <f t="shared" si="197"/>
        <v>y</v>
      </c>
      <c r="RQS1" s="154" t="str">
        <f t="shared" si="197"/>
        <v>y</v>
      </c>
      <c r="RQT1" s="154" t="str">
        <f t="shared" si="197"/>
        <v>y</v>
      </c>
      <c r="RQU1" s="154" t="str">
        <f t="shared" si="197"/>
        <v>y</v>
      </c>
      <c r="RQV1" s="154" t="str">
        <f t="shared" si="197"/>
        <v>y</v>
      </c>
      <c r="RQW1" s="154" t="str">
        <f t="shared" si="197"/>
        <v>y</v>
      </c>
      <c r="RQX1" s="154" t="str">
        <f t="shared" si="197"/>
        <v>y</v>
      </c>
      <c r="RQY1" s="154" t="str">
        <f t="shared" si="197"/>
        <v>y</v>
      </c>
      <c r="RQZ1" s="154" t="str">
        <f t="shared" si="197"/>
        <v>y</v>
      </c>
      <c r="RRA1" s="154" t="str">
        <f t="shared" si="197"/>
        <v>y</v>
      </c>
      <c r="RRB1" s="154" t="str">
        <f t="shared" si="197"/>
        <v>y</v>
      </c>
      <c r="RRC1" s="154" t="str">
        <f t="shared" si="197"/>
        <v>y</v>
      </c>
      <c r="RRD1" s="154" t="str">
        <f t="shared" si="197"/>
        <v>y</v>
      </c>
      <c r="RRE1" s="154" t="str">
        <f t="shared" si="197"/>
        <v>y</v>
      </c>
      <c r="RRF1" s="154" t="str">
        <f t="shared" si="197"/>
        <v>y</v>
      </c>
      <c r="RRG1" s="154" t="str">
        <f t="shared" si="197"/>
        <v>y</v>
      </c>
      <c r="RRH1" s="154" t="str">
        <f t="shared" si="197"/>
        <v>y</v>
      </c>
      <c r="RRI1" s="154" t="str">
        <f t="shared" si="197"/>
        <v>y</v>
      </c>
      <c r="RRJ1" s="154" t="str">
        <f t="shared" si="197"/>
        <v>y</v>
      </c>
      <c r="RRK1" s="154" t="str">
        <f t="shared" si="197"/>
        <v>y</v>
      </c>
      <c r="RRL1" s="154" t="str">
        <f t="shared" si="197"/>
        <v>y</v>
      </c>
      <c r="RRM1" s="154" t="str">
        <f t="shared" si="197"/>
        <v>y</v>
      </c>
      <c r="RRN1" s="154" t="str">
        <f t="shared" si="197"/>
        <v>y</v>
      </c>
      <c r="RRO1" s="154" t="str">
        <f t="shared" si="197"/>
        <v>y</v>
      </c>
      <c r="RRP1" s="154" t="str">
        <f t="shared" si="197"/>
        <v>y</v>
      </c>
      <c r="RRQ1" s="154" t="str">
        <f t="shared" si="197"/>
        <v>y</v>
      </c>
      <c r="RRR1" s="154" t="str">
        <f t="shared" si="197"/>
        <v>y</v>
      </c>
      <c r="RRS1" s="154" t="str">
        <f t="shared" si="197"/>
        <v>y</v>
      </c>
      <c r="RRT1" s="154" t="str">
        <f t="shared" si="197"/>
        <v>y</v>
      </c>
      <c r="RRU1" s="154" t="str">
        <f t="shared" si="197"/>
        <v>y</v>
      </c>
      <c r="RRV1" s="154" t="str">
        <f t="shared" si="197"/>
        <v>y</v>
      </c>
      <c r="RRW1" s="154" t="str">
        <f t="shared" si="197"/>
        <v>y</v>
      </c>
      <c r="RRX1" s="154" t="str">
        <f t="shared" si="197"/>
        <v>y</v>
      </c>
      <c r="RRY1" s="154" t="str">
        <f t="shared" si="197"/>
        <v>y</v>
      </c>
      <c r="RRZ1" s="154" t="str">
        <f t="shared" si="197"/>
        <v>y</v>
      </c>
      <c r="RSA1" s="154" t="str">
        <f t="shared" si="197"/>
        <v>y</v>
      </c>
      <c r="RSB1" s="154" t="str">
        <f t="shared" si="197"/>
        <v>y</v>
      </c>
      <c r="RSC1" s="154" t="str">
        <f t="shared" si="197"/>
        <v>y</v>
      </c>
      <c r="RSD1" s="154" t="str">
        <f t="shared" si="197"/>
        <v>y</v>
      </c>
      <c r="RSE1" s="154" t="str">
        <f t="shared" si="197"/>
        <v>y</v>
      </c>
      <c r="RSF1" s="154" t="str">
        <f t="shared" si="197"/>
        <v>y</v>
      </c>
      <c r="RSG1" s="154" t="str">
        <f t="shared" si="197"/>
        <v>y</v>
      </c>
      <c r="RSH1" s="154" t="str">
        <f t="shared" si="197"/>
        <v>y</v>
      </c>
      <c r="RSI1" s="154" t="str">
        <f t="shared" si="197"/>
        <v>y</v>
      </c>
      <c r="RSJ1" s="154" t="str">
        <f t="shared" si="197"/>
        <v>y</v>
      </c>
      <c r="RSK1" s="154" t="str">
        <f t="shared" si="197"/>
        <v>y</v>
      </c>
      <c r="RSL1" s="154" t="str">
        <f t="shared" si="197"/>
        <v>y</v>
      </c>
      <c r="RSM1" s="154" t="str">
        <f t="shared" si="197"/>
        <v>y</v>
      </c>
      <c r="RSN1" s="154" t="str">
        <f t="shared" ref="RSN1:RUY1" si="198">RSN2&amp;"y"</f>
        <v>y</v>
      </c>
      <c r="RSO1" s="154" t="str">
        <f t="shared" si="198"/>
        <v>y</v>
      </c>
      <c r="RSP1" s="154" t="str">
        <f t="shared" si="198"/>
        <v>y</v>
      </c>
      <c r="RSQ1" s="154" t="str">
        <f t="shared" si="198"/>
        <v>y</v>
      </c>
      <c r="RSR1" s="154" t="str">
        <f t="shared" si="198"/>
        <v>y</v>
      </c>
      <c r="RSS1" s="154" t="str">
        <f t="shared" si="198"/>
        <v>y</v>
      </c>
      <c r="RST1" s="154" t="str">
        <f t="shared" si="198"/>
        <v>y</v>
      </c>
      <c r="RSU1" s="154" t="str">
        <f t="shared" si="198"/>
        <v>y</v>
      </c>
      <c r="RSV1" s="154" t="str">
        <f t="shared" si="198"/>
        <v>y</v>
      </c>
      <c r="RSW1" s="154" t="str">
        <f t="shared" si="198"/>
        <v>y</v>
      </c>
      <c r="RSX1" s="154" t="str">
        <f t="shared" si="198"/>
        <v>y</v>
      </c>
      <c r="RSY1" s="154" t="str">
        <f t="shared" si="198"/>
        <v>y</v>
      </c>
      <c r="RSZ1" s="154" t="str">
        <f t="shared" si="198"/>
        <v>y</v>
      </c>
      <c r="RTA1" s="154" t="str">
        <f t="shared" si="198"/>
        <v>y</v>
      </c>
      <c r="RTB1" s="154" t="str">
        <f t="shared" si="198"/>
        <v>y</v>
      </c>
      <c r="RTC1" s="154" t="str">
        <f t="shared" si="198"/>
        <v>y</v>
      </c>
      <c r="RTD1" s="154" t="str">
        <f t="shared" si="198"/>
        <v>y</v>
      </c>
      <c r="RTE1" s="154" t="str">
        <f t="shared" si="198"/>
        <v>y</v>
      </c>
      <c r="RTF1" s="154" t="str">
        <f t="shared" si="198"/>
        <v>y</v>
      </c>
      <c r="RTG1" s="154" t="str">
        <f t="shared" si="198"/>
        <v>y</v>
      </c>
      <c r="RTH1" s="154" t="str">
        <f t="shared" si="198"/>
        <v>y</v>
      </c>
      <c r="RTI1" s="154" t="str">
        <f t="shared" si="198"/>
        <v>y</v>
      </c>
      <c r="RTJ1" s="154" t="str">
        <f t="shared" si="198"/>
        <v>y</v>
      </c>
      <c r="RTK1" s="154" t="str">
        <f t="shared" si="198"/>
        <v>y</v>
      </c>
      <c r="RTL1" s="154" t="str">
        <f t="shared" si="198"/>
        <v>y</v>
      </c>
      <c r="RTM1" s="154" t="str">
        <f t="shared" si="198"/>
        <v>y</v>
      </c>
      <c r="RTN1" s="154" t="str">
        <f t="shared" si="198"/>
        <v>y</v>
      </c>
      <c r="RTO1" s="154" t="str">
        <f t="shared" si="198"/>
        <v>y</v>
      </c>
      <c r="RTP1" s="154" t="str">
        <f t="shared" si="198"/>
        <v>y</v>
      </c>
      <c r="RTQ1" s="154" t="str">
        <f t="shared" si="198"/>
        <v>y</v>
      </c>
      <c r="RTR1" s="154" t="str">
        <f t="shared" si="198"/>
        <v>y</v>
      </c>
      <c r="RTS1" s="154" t="str">
        <f t="shared" si="198"/>
        <v>y</v>
      </c>
      <c r="RTT1" s="154" t="str">
        <f t="shared" si="198"/>
        <v>y</v>
      </c>
      <c r="RTU1" s="154" t="str">
        <f t="shared" si="198"/>
        <v>y</v>
      </c>
      <c r="RTV1" s="154" t="str">
        <f t="shared" si="198"/>
        <v>y</v>
      </c>
      <c r="RTW1" s="154" t="str">
        <f t="shared" si="198"/>
        <v>y</v>
      </c>
      <c r="RTX1" s="154" t="str">
        <f t="shared" si="198"/>
        <v>y</v>
      </c>
      <c r="RTY1" s="154" t="str">
        <f t="shared" si="198"/>
        <v>y</v>
      </c>
      <c r="RTZ1" s="154" t="str">
        <f t="shared" si="198"/>
        <v>y</v>
      </c>
      <c r="RUA1" s="154" t="str">
        <f t="shared" si="198"/>
        <v>y</v>
      </c>
      <c r="RUB1" s="154" t="str">
        <f t="shared" si="198"/>
        <v>y</v>
      </c>
      <c r="RUC1" s="154" t="str">
        <f t="shared" si="198"/>
        <v>y</v>
      </c>
      <c r="RUD1" s="154" t="str">
        <f t="shared" si="198"/>
        <v>y</v>
      </c>
      <c r="RUE1" s="154" t="str">
        <f t="shared" si="198"/>
        <v>y</v>
      </c>
      <c r="RUF1" s="154" t="str">
        <f t="shared" si="198"/>
        <v>y</v>
      </c>
      <c r="RUG1" s="154" t="str">
        <f t="shared" si="198"/>
        <v>y</v>
      </c>
      <c r="RUH1" s="154" t="str">
        <f t="shared" si="198"/>
        <v>y</v>
      </c>
      <c r="RUI1" s="154" t="str">
        <f t="shared" si="198"/>
        <v>y</v>
      </c>
      <c r="RUJ1" s="154" t="str">
        <f t="shared" si="198"/>
        <v>y</v>
      </c>
      <c r="RUK1" s="154" t="str">
        <f t="shared" si="198"/>
        <v>y</v>
      </c>
      <c r="RUL1" s="154" t="str">
        <f t="shared" si="198"/>
        <v>y</v>
      </c>
      <c r="RUM1" s="154" t="str">
        <f t="shared" si="198"/>
        <v>y</v>
      </c>
      <c r="RUN1" s="154" t="str">
        <f t="shared" si="198"/>
        <v>y</v>
      </c>
      <c r="RUO1" s="154" t="str">
        <f t="shared" si="198"/>
        <v>y</v>
      </c>
      <c r="RUP1" s="154" t="str">
        <f t="shared" si="198"/>
        <v>y</v>
      </c>
      <c r="RUQ1" s="154" t="str">
        <f t="shared" si="198"/>
        <v>y</v>
      </c>
      <c r="RUR1" s="154" t="str">
        <f t="shared" si="198"/>
        <v>y</v>
      </c>
      <c r="RUS1" s="154" t="str">
        <f t="shared" si="198"/>
        <v>y</v>
      </c>
      <c r="RUT1" s="154" t="str">
        <f t="shared" si="198"/>
        <v>y</v>
      </c>
      <c r="RUU1" s="154" t="str">
        <f t="shared" si="198"/>
        <v>y</v>
      </c>
      <c r="RUV1" s="154" t="str">
        <f t="shared" si="198"/>
        <v>y</v>
      </c>
      <c r="RUW1" s="154" t="str">
        <f t="shared" si="198"/>
        <v>y</v>
      </c>
      <c r="RUX1" s="154" t="str">
        <f t="shared" si="198"/>
        <v>y</v>
      </c>
      <c r="RUY1" s="154" t="str">
        <f t="shared" si="198"/>
        <v>y</v>
      </c>
      <c r="RUZ1" s="154" t="str">
        <f t="shared" ref="RUZ1:RXK1" si="199">RUZ2&amp;"y"</f>
        <v>y</v>
      </c>
      <c r="RVA1" s="154" t="str">
        <f t="shared" si="199"/>
        <v>y</v>
      </c>
      <c r="RVB1" s="154" t="str">
        <f t="shared" si="199"/>
        <v>y</v>
      </c>
      <c r="RVC1" s="154" t="str">
        <f t="shared" si="199"/>
        <v>y</v>
      </c>
      <c r="RVD1" s="154" t="str">
        <f t="shared" si="199"/>
        <v>y</v>
      </c>
      <c r="RVE1" s="154" t="str">
        <f t="shared" si="199"/>
        <v>y</v>
      </c>
      <c r="RVF1" s="154" t="str">
        <f t="shared" si="199"/>
        <v>y</v>
      </c>
      <c r="RVG1" s="154" t="str">
        <f t="shared" si="199"/>
        <v>y</v>
      </c>
      <c r="RVH1" s="154" t="str">
        <f t="shared" si="199"/>
        <v>y</v>
      </c>
      <c r="RVI1" s="154" t="str">
        <f t="shared" si="199"/>
        <v>y</v>
      </c>
      <c r="RVJ1" s="154" t="str">
        <f t="shared" si="199"/>
        <v>y</v>
      </c>
      <c r="RVK1" s="154" t="str">
        <f t="shared" si="199"/>
        <v>y</v>
      </c>
      <c r="RVL1" s="154" t="str">
        <f t="shared" si="199"/>
        <v>y</v>
      </c>
      <c r="RVM1" s="154" t="str">
        <f t="shared" si="199"/>
        <v>y</v>
      </c>
      <c r="RVN1" s="154" t="str">
        <f t="shared" si="199"/>
        <v>y</v>
      </c>
      <c r="RVO1" s="154" t="str">
        <f t="shared" si="199"/>
        <v>y</v>
      </c>
      <c r="RVP1" s="154" t="str">
        <f t="shared" si="199"/>
        <v>y</v>
      </c>
      <c r="RVQ1" s="154" t="str">
        <f t="shared" si="199"/>
        <v>y</v>
      </c>
      <c r="RVR1" s="154" t="str">
        <f t="shared" si="199"/>
        <v>y</v>
      </c>
      <c r="RVS1" s="154" t="str">
        <f t="shared" si="199"/>
        <v>y</v>
      </c>
      <c r="RVT1" s="154" t="str">
        <f t="shared" si="199"/>
        <v>y</v>
      </c>
      <c r="RVU1" s="154" t="str">
        <f t="shared" si="199"/>
        <v>y</v>
      </c>
      <c r="RVV1" s="154" t="str">
        <f t="shared" si="199"/>
        <v>y</v>
      </c>
      <c r="RVW1" s="154" t="str">
        <f t="shared" si="199"/>
        <v>y</v>
      </c>
      <c r="RVX1" s="154" t="str">
        <f t="shared" si="199"/>
        <v>y</v>
      </c>
      <c r="RVY1" s="154" t="str">
        <f t="shared" si="199"/>
        <v>y</v>
      </c>
      <c r="RVZ1" s="154" t="str">
        <f t="shared" si="199"/>
        <v>y</v>
      </c>
      <c r="RWA1" s="154" t="str">
        <f t="shared" si="199"/>
        <v>y</v>
      </c>
      <c r="RWB1" s="154" t="str">
        <f t="shared" si="199"/>
        <v>y</v>
      </c>
      <c r="RWC1" s="154" t="str">
        <f t="shared" si="199"/>
        <v>y</v>
      </c>
      <c r="RWD1" s="154" t="str">
        <f t="shared" si="199"/>
        <v>y</v>
      </c>
      <c r="RWE1" s="154" t="str">
        <f t="shared" si="199"/>
        <v>y</v>
      </c>
      <c r="RWF1" s="154" t="str">
        <f t="shared" si="199"/>
        <v>y</v>
      </c>
      <c r="RWG1" s="154" t="str">
        <f t="shared" si="199"/>
        <v>y</v>
      </c>
      <c r="RWH1" s="154" t="str">
        <f t="shared" si="199"/>
        <v>y</v>
      </c>
      <c r="RWI1" s="154" t="str">
        <f t="shared" si="199"/>
        <v>y</v>
      </c>
      <c r="RWJ1" s="154" t="str">
        <f t="shared" si="199"/>
        <v>y</v>
      </c>
      <c r="RWK1" s="154" t="str">
        <f t="shared" si="199"/>
        <v>y</v>
      </c>
      <c r="RWL1" s="154" t="str">
        <f t="shared" si="199"/>
        <v>y</v>
      </c>
      <c r="RWM1" s="154" t="str">
        <f t="shared" si="199"/>
        <v>y</v>
      </c>
      <c r="RWN1" s="154" t="str">
        <f t="shared" si="199"/>
        <v>y</v>
      </c>
      <c r="RWO1" s="154" t="str">
        <f t="shared" si="199"/>
        <v>y</v>
      </c>
      <c r="RWP1" s="154" t="str">
        <f t="shared" si="199"/>
        <v>y</v>
      </c>
      <c r="RWQ1" s="154" t="str">
        <f t="shared" si="199"/>
        <v>y</v>
      </c>
      <c r="RWR1" s="154" t="str">
        <f t="shared" si="199"/>
        <v>y</v>
      </c>
      <c r="RWS1" s="154" t="str">
        <f t="shared" si="199"/>
        <v>y</v>
      </c>
      <c r="RWT1" s="154" t="str">
        <f t="shared" si="199"/>
        <v>y</v>
      </c>
      <c r="RWU1" s="154" t="str">
        <f t="shared" si="199"/>
        <v>y</v>
      </c>
      <c r="RWV1" s="154" t="str">
        <f t="shared" si="199"/>
        <v>y</v>
      </c>
      <c r="RWW1" s="154" t="str">
        <f t="shared" si="199"/>
        <v>y</v>
      </c>
      <c r="RWX1" s="154" t="str">
        <f t="shared" si="199"/>
        <v>y</v>
      </c>
      <c r="RWY1" s="154" t="str">
        <f t="shared" si="199"/>
        <v>y</v>
      </c>
      <c r="RWZ1" s="154" t="str">
        <f t="shared" si="199"/>
        <v>y</v>
      </c>
      <c r="RXA1" s="154" t="str">
        <f t="shared" si="199"/>
        <v>y</v>
      </c>
      <c r="RXB1" s="154" t="str">
        <f t="shared" si="199"/>
        <v>y</v>
      </c>
      <c r="RXC1" s="154" t="str">
        <f t="shared" si="199"/>
        <v>y</v>
      </c>
      <c r="RXD1" s="154" t="str">
        <f t="shared" si="199"/>
        <v>y</v>
      </c>
      <c r="RXE1" s="154" t="str">
        <f t="shared" si="199"/>
        <v>y</v>
      </c>
      <c r="RXF1" s="154" t="str">
        <f t="shared" si="199"/>
        <v>y</v>
      </c>
      <c r="RXG1" s="154" t="str">
        <f t="shared" si="199"/>
        <v>y</v>
      </c>
      <c r="RXH1" s="154" t="str">
        <f t="shared" si="199"/>
        <v>y</v>
      </c>
      <c r="RXI1" s="154" t="str">
        <f t="shared" si="199"/>
        <v>y</v>
      </c>
      <c r="RXJ1" s="154" t="str">
        <f t="shared" si="199"/>
        <v>y</v>
      </c>
      <c r="RXK1" s="154" t="str">
        <f t="shared" si="199"/>
        <v>y</v>
      </c>
      <c r="RXL1" s="154" t="str">
        <f t="shared" ref="RXL1:RZW1" si="200">RXL2&amp;"y"</f>
        <v>y</v>
      </c>
      <c r="RXM1" s="154" t="str">
        <f t="shared" si="200"/>
        <v>y</v>
      </c>
      <c r="RXN1" s="154" t="str">
        <f t="shared" si="200"/>
        <v>y</v>
      </c>
      <c r="RXO1" s="154" t="str">
        <f t="shared" si="200"/>
        <v>y</v>
      </c>
      <c r="RXP1" s="154" t="str">
        <f t="shared" si="200"/>
        <v>y</v>
      </c>
      <c r="RXQ1" s="154" t="str">
        <f t="shared" si="200"/>
        <v>y</v>
      </c>
      <c r="RXR1" s="154" t="str">
        <f t="shared" si="200"/>
        <v>y</v>
      </c>
      <c r="RXS1" s="154" t="str">
        <f t="shared" si="200"/>
        <v>y</v>
      </c>
      <c r="RXT1" s="154" t="str">
        <f t="shared" si="200"/>
        <v>y</v>
      </c>
      <c r="RXU1" s="154" t="str">
        <f t="shared" si="200"/>
        <v>y</v>
      </c>
      <c r="RXV1" s="154" t="str">
        <f t="shared" si="200"/>
        <v>y</v>
      </c>
      <c r="RXW1" s="154" t="str">
        <f t="shared" si="200"/>
        <v>y</v>
      </c>
      <c r="RXX1" s="154" t="str">
        <f t="shared" si="200"/>
        <v>y</v>
      </c>
      <c r="RXY1" s="154" t="str">
        <f t="shared" si="200"/>
        <v>y</v>
      </c>
      <c r="RXZ1" s="154" t="str">
        <f t="shared" si="200"/>
        <v>y</v>
      </c>
      <c r="RYA1" s="154" t="str">
        <f t="shared" si="200"/>
        <v>y</v>
      </c>
      <c r="RYB1" s="154" t="str">
        <f t="shared" si="200"/>
        <v>y</v>
      </c>
      <c r="RYC1" s="154" t="str">
        <f t="shared" si="200"/>
        <v>y</v>
      </c>
      <c r="RYD1" s="154" t="str">
        <f t="shared" si="200"/>
        <v>y</v>
      </c>
      <c r="RYE1" s="154" t="str">
        <f t="shared" si="200"/>
        <v>y</v>
      </c>
      <c r="RYF1" s="154" t="str">
        <f t="shared" si="200"/>
        <v>y</v>
      </c>
      <c r="RYG1" s="154" t="str">
        <f t="shared" si="200"/>
        <v>y</v>
      </c>
      <c r="RYH1" s="154" t="str">
        <f t="shared" si="200"/>
        <v>y</v>
      </c>
      <c r="RYI1" s="154" t="str">
        <f t="shared" si="200"/>
        <v>y</v>
      </c>
      <c r="RYJ1" s="154" t="str">
        <f t="shared" si="200"/>
        <v>y</v>
      </c>
      <c r="RYK1" s="154" t="str">
        <f t="shared" si="200"/>
        <v>y</v>
      </c>
      <c r="RYL1" s="154" t="str">
        <f t="shared" si="200"/>
        <v>y</v>
      </c>
      <c r="RYM1" s="154" t="str">
        <f t="shared" si="200"/>
        <v>y</v>
      </c>
      <c r="RYN1" s="154" t="str">
        <f t="shared" si="200"/>
        <v>y</v>
      </c>
      <c r="RYO1" s="154" t="str">
        <f t="shared" si="200"/>
        <v>y</v>
      </c>
      <c r="RYP1" s="154" t="str">
        <f t="shared" si="200"/>
        <v>y</v>
      </c>
      <c r="RYQ1" s="154" t="str">
        <f t="shared" si="200"/>
        <v>y</v>
      </c>
      <c r="RYR1" s="154" t="str">
        <f t="shared" si="200"/>
        <v>y</v>
      </c>
      <c r="RYS1" s="154" t="str">
        <f t="shared" si="200"/>
        <v>y</v>
      </c>
      <c r="RYT1" s="154" t="str">
        <f t="shared" si="200"/>
        <v>y</v>
      </c>
      <c r="RYU1" s="154" t="str">
        <f t="shared" si="200"/>
        <v>y</v>
      </c>
      <c r="RYV1" s="154" t="str">
        <f t="shared" si="200"/>
        <v>y</v>
      </c>
      <c r="RYW1" s="154" t="str">
        <f t="shared" si="200"/>
        <v>y</v>
      </c>
      <c r="RYX1" s="154" t="str">
        <f t="shared" si="200"/>
        <v>y</v>
      </c>
      <c r="RYY1" s="154" t="str">
        <f t="shared" si="200"/>
        <v>y</v>
      </c>
      <c r="RYZ1" s="154" t="str">
        <f t="shared" si="200"/>
        <v>y</v>
      </c>
      <c r="RZA1" s="154" t="str">
        <f t="shared" si="200"/>
        <v>y</v>
      </c>
      <c r="RZB1" s="154" t="str">
        <f t="shared" si="200"/>
        <v>y</v>
      </c>
      <c r="RZC1" s="154" t="str">
        <f t="shared" si="200"/>
        <v>y</v>
      </c>
      <c r="RZD1" s="154" t="str">
        <f t="shared" si="200"/>
        <v>y</v>
      </c>
      <c r="RZE1" s="154" t="str">
        <f t="shared" si="200"/>
        <v>y</v>
      </c>
      <c r="RZF1" s="154" t="str">
        <f t="shared" si="200"/>
        <v>y</v>
      </c>
      <c r="RZG1" s="154" t="str">
        <f t="shared" si="200"/>
        <v>y</v>
      </c>
      <c r="RZH1" s="154" t="str">
        <f t="shared" si="200"/>
        <v>y</v>
      </c>
      <c r="RZI1" s="154" t="str">
        <f t="shared" si="200"/>
        <v>y</v>
      </c>
      <c r="RZJ1" s="154" t="str">
        <f t="shared" si="200"/>
        <v>y</v>
      </c>
      <c r="RZK1" s="154" t="str">
        <f t="shared" si="200"/>
        <v>y</v>
      </c>
      <c r="RZL1" s="154" t="str">
        <f t="shared" si="200"/>
        <v>y</v>
      </c>
      <c r="RZM1" s="154" t="str">
        <f t="shared" si="200"/>
        <v>y</v>
      </c>
      <c r="RZN1" s="154" t="str">
        <f t="shared" si="200"/>
        <v>y</v>
      </c>
      <c r="RZO1" s="154" t="str">
        <f t="shared" si="200"/>
        <v>y</v>
      </c>
      <c r="RZP1" s="154" t="str">
        <f t="shared" si="200"/>
        <v>y</v>
      </c>
      <c r="RZQ1" s="154" t="str">
        <f t="shared" si="200"/>
        <v>y</v>
      </c>
      <c r="RZR1" s="154" t="str">
        <f t="shared" si="200"/>
        <v>y</v>
      </c>
      <c r="RZS1" s="154" t="str">
        <f t="shared" si="200"/>
        <v>y</v>
      </c>
      <c r="RZT1" s="154" t="str">
        <f t="shared" si="200"/>
        <v>y</v>
      </c>
      <c r="RZU1" s="154" t="str">
        <f t="shared" si="200"/>
        <v>y</v>
      </c>
      <c r="RZV1" s="154" t="str">
        <f t="shared" si="200"/>
        <v>y</v>
      </c>
      <c r="RZW1" s="154" t="str">
        <f t="shared" si="200"/>
        <v>y</v>
      </c>
      <c r="RZX1" s="154" t="str">
        <f t="shared" ref="RZX1:SCI1" si="201">RZX2&amp;"y"</f>
        <v>y</v>
      </c>
      <c r="RZY1" s="154" t="str">
        <f t="shared" si="201"/>
        <v>y</v>
      </c>
      <c r="RZZ1" s="154" t="str">
        <f t="shared" si="201"/>
        <v>y</v>
      </c>
      <c r="SAA1" s="154" t="str">
        <f t="shared" si="201"/>
        <v>y</v>
      </c>
      <c r="SAB1" s="154" t="str">
        <f t="shared" si="201"/>
        <v>y</v>
      </c>
      <c r="SAC1" s="154" t="str">
        <f t="shared" si="201"/>
        <v>y</v>
      </c>
      <c r="SAD1" s="154" t="str">
        <f t="shared" si="201"/>
        <v>y</v>
      </c>
      <c r="SAE1" s="154" t="str">
        <f t="shared" si="201"/>
        <v>y</v>
      </c>
      <c r="SAF1" s="154" t="str">
        <f t="shared" si="201"/>
        <v>y</v>
      </c>
      <c r="SAG1" s="154" t="str">
        <f t="shared" si="201"/>
        <v>y</v>
      </c>
      <c r="SAH1" s="154" t="str">
        <f t="shared" si="201"/>
        <v>y</v>
      </c>
      <c r="SAI1" s="154" t="str">
        <f t="shared" si="201"/>
        <v>y</v>
      </c>
      <c r="SAJ1" s="154" t="str">
        <f t="shared" si="201"/>
        <v>y</v>
      </c>
      <c r="SAK1" s="154" t="str">
        <f t="shared" si="201"/>
        <v>y</v>
      </c>
      <c r="SAL1" s="154" t="str">
        <f t="shared" si="201"/>
        <v>y</v>
      </c>
      <c r="SAM1" s="154" t="str">
        <f t="shared" si="201"/>
        <v>y</v>
      </c>
      <c r="SAN1" s="154" t="str">
        <f t="shared" si="201"/>
        <v>y</v>
      </c>
      <c r="SAO1" s="154" t="str">
        <f t="shared" si="201"/>
        <v>y</v>
      </c>
      <c r="SAP1" s="154" t="str">
        <f t="shared" si="201"/>
        <v>y</v>
      </c>
      <c r="SAQ1" s="154" t="str">
        <f t="shared" si="201"/>
        <v>y</v>
      </c>
      <c r="SAR1" s="154" t="str">
        <f t="shared" si="201"/>
        <v>y</v>
      </c>
      <c r="SAS1" s="154" t="str">
        <f t="shared" si="201"/>
        <v>y</v>
      </c>
      <c r="SAT1" s="154" t="str">
        <f t="shared" si="201"/>
        <v>y</v>
      </c>
      <c r="SAU1" s="154" t="str">
        <f t="shared" si="201"/>
        <v>y</v>
      </c>
      <c r="SAV1" s="154" t="str">
        <f t="shared" si="201"/>
        <v>y</v>
      </c>
      <c r="SAW1" s="154" t="str">
        <f t="shared" si="201"/>
        <v>y</v>
      </c>
      <c r="SAX1" s="154" t="str">
        <f t="shared" si="201"/>
        <v>y</v>
      </c>
      <c r="SAY1" s="154" t="str">
        <f t="shared" si="201"/>
        <v>y</v>
      </c>
      <c r="SAZ1" s="154" t="str">
        <f t="shared" si="201"/>
        <v>y</v>
      </c>
      <c r="SBA1" s="154" t="str">
        <f t="shared" si="201"/>
        <v>y</v>
      </c>
      <c r="SBB1" s="154" t="str">
        <f t="shared" si="201"/>
        <v>y</v>
      </c>
      <c r="SBC1" s="154" t="str">
        <f t="shared" si="201"/>
        <v>y</v>
      </c>
      <c r="SBD1" s="154" t="str">
        <f t="shared" si="201"/>
        <v>y</v>
      </c>
      <c r="SBE1" s="154" t="str">
        <f t="shared" si="201"/>
        <v>y</v>
      </c>
      <c r="SBF1" s="154" t="str">
        <f t="shared" si="201"/>
        <v>y</v>
      </c>
      <c r="SBG1" s="154" t="str">
        <f t="shared" si="201"/>
        <v>y</v>
      </c>
      <c r="SBH1" s="154" t="str">
        <f t="shared" si="201"/>
        <v>y</v>
      </c>
      <c r="SBI1" s="154" t="str">
        <f t="shared" si="201"/>
        <v>y</v>
      </c>
      <c r="SBJ1" s="154" t="str">
        <f t="shared" si="201"/>
        <v>y</v>
      </c>
      <c r="SBK1" s="154" t="str">
        <f t="shared" si="201"/>
        <v>y</v>
      </c>
      <c r="SBL1" s="154" t="str">
        <f t="shared" si="201"/>
        <v>y</v>
      </c>
      <c r="SBM1" s="154" t="str">
        <f t="shared" si="201"/>
        <v>y</v>
      </c>
      <c r="SBN1" s="154" t="str">
        <f t="shared" si="201"/>
        <v>y</v>
      </c>
      <c r="SBO1" s="154" t="str">
        <f t="shared" si="201"/>
        <v>y</v>
      </c>
      <c r="SBP1" s="154" t="str">
        <f t="shared" si="201"/>
        <v>y</v>
      </c>
      <c r="SBQ1" s="154" t="str">
        <f t="shared" si="201"/>
        <v>y</v>
      </c>
      <c r="SBR1" s="154" t="str">
        <f t="shared" si="201"/>
        <v>y</v>
      </c>
      <c r="SBS1" s="154" t="str">
        <f t="shared" si="201"/>
        <v>y</v>
      </c>
      <c r="SBT1" s="154" t="str">
        <f t="shared" si="201"/>
        <v>y</v>
      </c>
      <c r="SBU1" s="154" t="str">
        <f t="shared" si="201"/>
        <v>y</v>
      </c>
      <c r="SBV1" s="154" t="str">
        <f t="shared" si="201"/>
        <v>y</v>
      </c>
      <c r="SBW1" s="154" t="str">
        <f t="shared" si="201"/>
        <v>y</v>
      </c>
      <c r="SBX1" s="154" t="str">
        <f t="shared" si="201"/>
        <v>y</v>
      </c>
      <c r="SBY1" s="154" t="str">
        <f t="shared" si="201"/>
        <v>y</v>
      </c>
      <c r="SBZ1" s="154" t="str">
        <f t="shared" si="201"/>
        <v>y</v>
      </c>
      <c r="SCA1" s="154" t="str">
        <f t="shared" si="201"/>
        <v>y</v>
      </c>
      <c r="SCB1" s="154" t="str">
        <f t="shared" si="201"/>
        <v>y</v>
      </c>
      <c r="SCC1" s="154" t="str">
        <f t="shared" si="201"/>
        <v>y</v>
      </c>
      <c r="SCD1" s="154" t="str">
        <f t="shared" si="201"/>
        <v>y</v>
      </c>
      <c r="SCE1" s="154" t="str">
        <f t="shared" si="201"/>
        <v>y</v>
      </c>
      <c r="SCF1" s="154" t="str">
        <f t="shared" si="201"/>
        <v>y</v>
      </c>
      <c r="SCG1" s="154" t="str">
        <f t="shared" si="201"/>
        <v>y</v>
      </c>
      <c r="SCH1" s="154" t="str">
        <f t="shared" si="201"/>
        <v>y</v>
      </c>
      <c r="SCI1" s="154" t="str">
        <f t="shared" si="201"/>
        <v>y</v>
      </c>
      <c r="SCJ1" s="154" t="str">
        <f t="shared" ref="SCJ1:SEU1" si="202">SCJ2&amp;"y"</f>
        <v>y</v>
      </c>
      <c r="SCK1" s="154" t="str">
        <f t="shared" si="202"/>
        <v>y</v>
      </c>
      <c r="SCL1" s="154" t="str">
        <f t="shared" si="202"/>
        <v>y</v>
      </c>
      <c r="SCM1" s="154" t="str">
        <f t="shared" si="202"/>
        <v>y</v>
      </c>
      <c r="SCN1" s="154" t="str">
        <f t="shared" si="202"/>
        <v>y</v>
      </c>
      <c r="SCO1" s="154" t="str">
        <f t="shared" si="202"/>
        <v>y</v>
      </c>
      <c r="SCP1" s="154" t="str">
        <f t="shared" si="202"/>
        <v>y</v>
      </c>
      <c r="SCQ1" s="154" t="str">
        <f t="shared" si="202"/>
        <v>y</v>
      </c>
      <c r="SCR1" s="154" t="str">
        <f t="shared" si="202"/>
        <v>y</v>
      </c>
      <c r="SCS1" s="154" t="str">
        <f t="shared" si="202"/>
        <v>y</v>
      </c>
      <c r="SCT1" s="154" t="str">
        <f t="shared" si="202"/>
        <v>y</v>
      </c>
      <c r="SCU1" s="154" t="str">
        <f t="shared" si="202"/>
        <v>y</v>
      </c>
      <c r="SCV1" s="154" t="str">
        <f t="shared" si="202"/>
        <v>y</v>
      </c>
      <c r="SCW1" s="154" t="str">
        <f t="shared" si="202"/>
        <v>y</v>
      </c>
      <c r="SCX1" s="154" t="str">
        <f t="shared" si="202"/>
        <v>y</v>
      </c>
      <c r="SCY1" s="154" t="str">
        <f t="shared" si="202"/>
        <v>y</v>
      </c>
      <c r="SCZ1" s="154" t="str">
        <f t="shared" si="202"/>
        <v>y</v>
      </c>
      <c r="SDA1" s="154" t="str">
        <f t="shared" si="202"/>
        <v>y</v>
      </c>
      <c r="SDB1" s="154" t="str">
        <f t="shared" si="202"/>
        <v>y</v>
      </c>
      <c r="SDC1" s="154" t="str">
        <f t="shared" si="202"/>
        <v>y</v>
      </c>
      <c r="SDD1" s="154" t="str">
        <f t="shared" si="202"/>
        <v>y</v>
      </c>
      <c r="SDE1" s="154" t="str">
        <f t="shared" si="202"/>
        <v>y</v>
      </c>
      <c r="SDF1" s="154" t="str">
        <f t="shared" si="202"/>
        <v>y</v>
      </c>
      <c r="SDG1" s="154" t="str">
        <f t="shared" si="202"/>
        <v>y</v>
      </c>
      <c r="SDH1" s="154" t="str">
        <f t="shared" si="202"/>
        <v>y</v>
      </c>
      <c r="SDI1" s="154" t="str">
        <f t="shared" si="202"/>
        <v>y</v>
      </c>
      <c r="SDJ1" s="154" t="str">
        <f t="shared" si="202"/>
        <v>y</v>
      </c>
      <c r="SDK1" s="154" t="str">
        <f t="shared" si="202"/>
        <v>y</v>
      </c>
      <c r="SDL1" s="154" t="str">
        <f t="shared" si="202"/>
        <v>y</v>
      </c>
      <c r="SDM1" s="154" t="str">
        <f t="shared" si="202"/>
        <v>y</v>
      </c>
      <c r="SDN1" s="154" t="str">
        <f t="shared" si="202"/>
        <v>y</v>
      </c>
      <c r="SDO1" s="154" t="str">
        <f t="shared" si="202"/>
        <v>y</v>
      </c>
      <c r="SDP1" s="154" t="str">
        <f t="shared" si="202"/>
        <v>y</v>
      </c>
      <c r="SDQ1" s="154" t="str">
        <f t="shared" si="202"/>
        <v>y</v>
      </c>
      <c r="SDR1" s="154" t="str">
        <f t="shared" si="202"/>
        <v>y</v>
      </c>
      <c r="SDS1" s="154" t="str">
        <f t="shared" si="202"/>
        <v>y</v>
      </c>
      <c r="SDT1" s="154" t="str">
        <f t="shared" si="202"/>
        <v>y</v>
      </c>
      <c r="SDU1" s="154" t="str">
        <f t="shared" si="202"/>
        <v>y</v>
      </c>
      <c r="SDV1" s="154" t="str">
        <f t="shared" si="202"/>
        <v>y</v>
      </c>
      <c r="SDW1" s="154" t="str">
        <f t="shared" si="202"/>
        <v>y</v>
      </c>
      <c r="SDX1" s="154" t="str">
        <f t="shared" si="202"/>
        <v>y</v>
      </c>
      <c r="SDY1" s="154" t="str">
        <f t="shared" si="202"/>
        <v>y</v>
      </c>
      <c r="SDZ1" s="154" t="str">
        <f t="shared" si="202"/>
        <v>y</v>
      </c>
      <c r="SEA1" s="154" t="str">
        <f t="shared" si="202"/>
        <v>y</v>
      </c>
      <c r="SEB1" s="154" t="str">
        <f t="shared" si="202"/>
        <v>y</v>
      </c>
      <c r="SEC1" s="154" t="str">
        <f t="shared" si="202"/>
        <v>y</v>
      </c>
      <c r="SED1" s="154" t="str">
        <f t="shared" si="202"/>
        <v>y</v>
      </c>
      <c r="SEE1" s="154" t="str">
        <f t="shared" si="202"/>
        <v>y</v>
      </c>
      <c r="SEF1" s="154" t="str">
        <f t="shared" si="202"/>
        <v>y</v>
      </c>
      <c r="SEG1" s="154" t="str">
        <f t="shared" si="202"/>
        <v>y</v>
      </c>
      <c r="SEH1" s="154" t="str">
        <f t="shared" si="202"/>
        <v>y</v>
      </c>
      <c r="SEI1" s="154" t="str">
        <f t="shared" si="202"/>
        <v>y</v>
      </c>
      <c r="SEJ1" s="154" t="str">
        <f t="shared" si="202"/>
        <v>y</v>
      </c>
      <c r="SEK1" s="154" t="str">
        <f t="shared" si="202"/>
        <v>y</v>
      </c>
      <c r="SEL1" s="154" t="str">
        <f t="shared" si="202"/>
        <v>y</v>
      </c>
      <c r="SEM1" s="154" t="str">
        <f t="shared" si="202"/>
        <v>y</v>
      </c>
      <c r="SEN1" s="154" t="str">
        <f t="shared" si="202"/>
        <v>y</v>
      </c>
      <c r="SEO1" s="154" t="str">
        <f t="shared" si="202"/>
        <v>y</v>
      </c>
      <c r="SEP1" s="154" t="str">
        <f t="shared" si="202"/>
        <v>y</v>
      </c>
      <c r="SEQ1" s="154" t="str">
        <f t="shared" si="202"/>
        <v>y</v>
      </c>
      <c r="SER1" s="154" t="str">
        <f t="shared" si="202"/>
        <v>y</v>
      </c>
      <c r="SES1" s="154" t="str">
        <f t="shared" si="202"/>
        <v>y</v>
      </c>
      <c r="SET1" s="154" t="str">
        <f t="shared" si="202"/>
        <v>y</v>
      </c>
      <c r="SEU1" s="154" t="str">
        <f t="shared" si="202"/>
        <v>y</v>
      </c>
      <c r="SEV1" s="154" t="str">
        <f t="shared" ref="SEV1:SHG1" si="203">SEV2&amp;"y"</f>
        <v>y</v>
      </c>
      <c r="SEW1" s="154" t="str">
        <f t="shared" si="203"/>
        <v>y</v>
      </c>
      <c r="SEX1" s="154" t="str">
        <f t="shared" si="203"/>
        <v>y</v>
      </c>
      <c r="SEY1" s="154" t="str">
        <f t="shared" si="203"/>
        <v>y</v>
      </c>
      <c r="SEZ1" s="154" t="str">
        <f t="shared" si="203"/>
        <v>y</v>
      </c>
      <c r="SFA1" s="154" t="str">
        <f t="shared" si="203"/>
        <v>y</v>
      </c>
      <c r="SFB1" s="154" t="str">
        <f t="shared" si="203"/>
        <v>y</v>
      </c>
      <c r="SFC1" s="154" t="str">
        <f t="shared" si="203"/>
        <v>y</v>
      </c>
      <c r="SFD1" s="154" t="str">
        <f t="shared" si="203"/>
        <v>y</v>
      </c>
      <c r="SFE1" s="154" t="str">
        <f t="shared" si="203"/>
        <v>y</v>
      </c>
      <c r="SFF1" s="154" t="str">
        <f t="shared" si="203"/>
        <v>y</v>
      </c>
      <c r="SFG1" s="154" t="str">
        <f t="shared" si="203"/>
        <v>y</v>
      </c>
      <c r="SFH1" s="154" t="str">
        <f t="shared" si="203"/>
        <v>y</v>
      </c>
      <c r="SFI1" s="154" t="str">
        <f t="shared" si="203"/>
        <v>y</v>
      </c>
      <c r="SFJ1" s="154" t="str">
        <f t="shared" si="203"/>
        <v>y</v>
      </c>
      <c r="SFK1" s="154" t="str">
        <f t="shared" si="203"/>
        <v>y</v>
      </c>
      <c r="SFL1" s="154" t="str">
        <f t="shared" si="203"/>
        <v>y</v>
      </c>
      <c r="SFM1" s="154" t="str">
        <f t="shared" si="203"/>
        <v>y</v>
      </c>
      <c r="SFN1" s="154" t="str">
        <f t="shared" si="203"/>
        <v>y</v>
      </c>
      <c r="SFO1" s="154" t="str">
        <f t="shared" si="203"/>
        <v>y</v>
      </c>
      <c r="SFP1" s="154" t="str">
        <f t="shared" si="203"/>
        <v>y</v>
      </c>
      <c r="SFQ1" s="154" t="str">
        <f t="shared" si="203"/>
        <v>y</v>
      </c>
      <c r="SFR1" s="154" t="str">
        <f t="shared" si="203"/>
        <v>y</v>
      </c>
      <c r="SFS1" s="154" t="str">
        <f t="shared" si="203"/>
        <v>y</v>
      </c>
      <c r="SFT1" s="154" t="str">
        <f t="shared" si="203"/>
        <v>y</v>
      </c>
      <c r="SFU1" s="154" t="str">
        <f t="shared" si="203"/>
        <v>y</v>
      </c>
      <c r="SFV1" s="154" t="str">
        <f t="shared" si="203"/>
        <v>y</v>
      </c>
      <c r="SFW1" s="154" t="str">
        <f t="shared" si="203"/>
        <v>y</v>
      </c>
      <c r="SFX1" s="154" t="str">
        <f t="shared" si="203"/>
        <v>y</v>
      </c>
      <c r="SFY1" s="154" t="str">
        <f t="shared" si="203"/>
        <v>y</v>
      </c>
      <c r="SFZ1" s="154" t="str">
        <f t="shared" si="203"/>
        <v>y</v>
      </c>
      <c r="SGA1" s="154" t="str">
        <f t="shared" si="203"/>
        <v>y</v>
      </c>
      <c r="SGB1" s="154" t="str">
        <f t="shared" si="203"/>
        <v>y</v>
      </c>
      <c r="SGC1" s="154" t="str">
        <f t="shared" si="203"/>
        <v>y</v>
      </c>
      <c r="SGD1" s="154" t="str">
        <f t="shared" si="203"/>
        <v>y</v>
      </c>
      <c r="SGE1" s="154" t="str">
        <f t="shared" si="203"/>
        <v>y</v>
      </c>
      <c r="SGF1" s="154" t="str">
        <f t="shared" si="203"/>
        <v>y</v>
      </c>
      <c r="SGG1" s="154" t="str">
        <f t="shared" si="203"/>
        <v>y</v>
      </c>
      <c r="SGH1" s="154" t="str">
        <f t="shared" si="203"/>
        <v>y</v>
      </c>
      <c r="SGI1" s="154" t="str">
        <f t="shared" si="203"/>
        <v>y</v>
      </c>
      <c r="SGJ1" s="154" t="str">
        <f t="shared" si="203"/>
        <v>y</v>
      </c>
      <c r="SGK1" s="154" t="str">
        <f t="shared" si="203"/>
        <v>y</v>
      </c>
      <c r="SGL1" s="154" t="str">
        <f t="shared" si="203"/>
        <v>y</v>
      </c>
      <c r="SGM1" s="154" t="str">
        <f t="shared" si="203"/>
        <v>y</v>
      </c>
      <c r="SGN1" s="154" t="str">
        <f t="shared" si="203"/>
        <v>y</v>
      </c>
      <c r="SGO1" s="154" t="str">
        <f t="shared" si="203"/>
        <v>y</v>
      </c>
      <c r="SGP1" s="154" t="str">
        <f t="shared" si="203"/>
        <v>y</v>
      </c>
      <c r="SGQ1" s="154" t="str">
        <f t="shared" si="203"/>
        <v>y</v>
      </c>
      <c r="SGR1" s="154" t="str">
        <f t="shared" si="203"/>
        <v>y</v>
      </c>
      <c r="SGS1" s="154" t="str">
        <f t="shared" si="203"/>
        <v>y</v>
      </c>
      <c r="SGT1" s="154" t="str">
        <f t="shared" si="203"/>
        <v>y</v>
      </c>
      <c r="SGU1" s="154" t="str">
        <f t="shared" si="203"/>
        <v>y</v>
      </c>
      <c r="SGV1" s="154" t="str">
        <f t="shared" si="203"/>
        <v>y</v>
      </c>
      <c r="SGW1" s="154" t="str">
        <f t="shared" si="203"/>
        <v>y</v>
      </c>
      <c r="SGX1" s="154" t="str">
        <f t="shared" si="203"/>
        <v>y</v>
      </c>
      <c r="SGY1" s="154" t="str">
        <f t="shared" si="203"/>
        <v>y</v>
      </c>
      <c r="SGZ1" s="154" t="str">
        <f t="shared" si="203"/>
        <v>y</v>
      </c>
      <c r="SHA1" s="154" t="str">
        <f t="shared" si="203"/>
        <v>y</v>
      </c>
      <c r="SHB1" s="154" t="str">
        <f t="shared" si="203"/>
        <v>y</v>
      </c>
      <c r="SHC1" s="154" t="str">
        <f t="shared" si="203"/>
        <v>y</v>
      </c>
      <c r="SHD1" s="154" t="str">
        <f t="shared" si="203"/>
        <v>y</v>
      </c>
      <c r="SHE1" s="154" t="str">
        <f t="shared" si="203"/>
        <v>y</v>
      </c>
      <c r="SHF1" s="154" t="str">
        <f t="shared" si="203"/>
        <v>y</v>
      </c>
      <c r="SHG1" s="154" t="str">
        <f t="shared" si="203"/>
        <v>y</v>
      </c>
      <c r="SHH1" s="154" t="str">
        <f t="shared" ref="SHH1:SJS1" si="204">SHH2&amp;"y"</f>
        <v>y</v>
      </c>
      <c r="SHI1" s="154" t="str">
        <f t="shared" si="204"/>
        <v>y</v>
      </c>
      <c r="SHJ1" s="154" t="str">
        <f t="shared" si="204"/>
        <v>y</v>
      </c>
      <c r="SHK1" s="154" t="str">
        <f t="shared" si="204"/>
        <v>y</v>
      </c>
      <c r="SHL1" s="154" t="str">
        <f t="shared" si="204"/>
        <v>y</v>
      </c>
      <c r="SHM1" s="154" t="str">
        <f t="shared" si="204"/>
        <v>y</v>
      </c>
      <c r="SHN1" s="154" t="str">
        <f t="shared" si="204"/>
        <v>y</v>
      </c>
      <c r="SHO1" s="154" t="str">
        <f t="shared" si="204"/>
        <v>y</v>
      </c>
      <c r="SHP1" s="154" t="str">
        <f t="shared" si="204"/>
        <v>y</v>
      </c>
      <c r="SHQ1" s="154" t="str">
        <f t="shared" si="204"/>
        <v>y</v>
      </c>
      <c r="SHR1" s="154" t="str">
        <f t="shared" si="204"/>
        <v>y</v>
      </c>
      <c r="SHS1" s="154" t="str">
        <f t="shared" si="204"/>
        <v>y</v>
      </c>
      <c r="SHT1" s="154" t="str">
        <f t="shared" si="204"/>
        <v>y</v>
      </c>
      <c r="SHU1" s="154" t="str">
        <f t="shared" si="204"/>
        <v>y</v>
      </c>
      <c r="SHV1" s="154" t="str">
        <f t="shared" si="204"/>
        <v>y</v>
      </c>
      <c r="SHW1" s="154" t="str">
        <f t="shared" si="204"/>
        <v>y</v>
      </c>
      <c r="SHX1" s="154" t="str">
        <f t="shared" si="204"/>
        <v>y</v>
      </c>
      <c r="SHY1" s="154" t="str">
        <f t="shared" si="204"/>
        <v>y</v>
      </c>
      <c r="SHZ1" s="154" t="str">
        <f t="shared" si="204"/>
        <v>y</v>
      </c>
      <c r="SIA1" s="154" t="str">
        <f t="shared" si="204"/>
        <v>y</v>
      </c>
      <c r="SIB1" s="154" t="str">
        <f t="shared" si="204"/>
        <v>y</v>
      </c>
      <c r="SIC1" s="154" t="str">
        <f t="shared" si="204"/>
        <v>y</v>
      </c>
      <c r="SID1" s="154" t="str">
        <f t="shared" si="204"/>
        <v>y</v>
      </c>
      <c r="SIE1" s="154" t="str">
        <f t="shared" si="204"/>
        <v>y</v>
      </c>
      <c r="SIF1" s="154" t="str">
        <f t="shared" si="204"/>
        <v>y</v>
      </c>
      <c r="SIG1" s="154" t="str">
        <f t="shared" si="204"/>
        <v>y</v>
      </c>
      <c r="SIH1" s="154" t="str">
        <f t="shared" si="204"/>
        <v>y</v>
      </c>
      <c r="SII1" s="154" t="str">
        <f t="shared" si="204"/>
        <v>y</v>
      </c>
      <c r="SIJ1" s="154" t="str">
        <f t="shared" si="204"/>
        <v>y</v>
      </c>
      <c r="SIK1" s="154" t="str">
        <f t="shared" si="204"/>
        <v>y</v>
      </c>
      <c r="SIL1" s="154" t="str">
        <f t="shared" si="204"/>
        <v>y</v>
      </c>
      <c r="SIM1" s="154" t="str">
        <f t="shared" si="204"/>
        <v>y</v>
      </c>
      <c r="SIN1" s="154" t="str">
        <f t="shared" si="204"/>
        <v>y</v>
      </c>
      <c r="SIO1" s="154" t="str">
        <f t="shared" si="204"/>
        <v>y</v>
      </c>
      <c r="SIP1" s="154" t="str">
        <f t="shared" si="204"/>
        <v>y</v>
      </c>
      <c r="SIQ1" s="154" t="str">
        <f t="shared" si="204"/>
        <v>y</v>
      </c>
      <c r="SIR1" s="154" t="str">
        <f t="shared" si="204"/>
        <v>y</v>
      </c>
      <c r="SIS1" s="154" t="str">
        <f t="shared" si="204"/>
        <v>y</v>
      </c>
      <c r="SIT1" s="154" t="str">
        <f t="shared" si="204"/>
        <v>y</v>
      </c>
      <c r="SIU1" s="154" t="str">
        <f t="shared" si="204"/>
        <v>y</v>
      </c>
      <c r="SIV1" s="154" t="str">
        <f t="shared" si="204"/>
        <v>y</v>
      </c>
      <c r="SIW1" s="154" t="str">
        <f t="shared" si="204"/>
        <v>y</v>
      </c>
      <c r="SIX1" s="154" t="str">
        <f t="shared" si="204"/>
        <v>y</v>
      </c>
      <c r="SIY1" s="154" t="str">
        <f t="shared" si="204"/>
        <v>y</v>
      </c>
      <c r="SIZ1" s="154" t="str">
        <f t="shared" si="204"/>
        <v>y</v>
      </c>
      <c r="SJA1" s="154" t="str">
        <f t="shared" si="204"/>
        <v>y</v>
      </c>
      <c r="SJB1" s="154" t="str">
        <f t="shared" si="204"/>
        <v>y</v>
      </c>
      <c r="SJC1" s="154" t="str">
        <f t="shared" si="204"/>
        <v>y</v>
      </c>
      <c r="SJD1" s="154" t="str">
        <f t="shared" si="204"/>
        <v>y</v>
      </c>
      <c r="SJE1" s="154" t="str">
        <f t="shared" si="204"/>
        <v>y</v>
      </c>
      <c r="SJF1" s="154" t="str">
        <f t="shared" si="204"/>
        <v>y</v>
      </c>
      <c r="SJG1" s="154" t="str">
        <f t="shared" si="204"/>
        <v>y</v>
      </c>
      <c r="SJH1" s="154" t="str">
        <f t="shared" si="204"/>
        <v>y</v>
      </c>
      <c r="SJI1" s="154" t="str">
        <f t="shared" si="204"/>
        <v>y</v>
      </c>
      <c r="SJJ1" s="154" t="str">
        <f t="shared" si="204"/>
        <v>y</v>
      </c>
      <c r="SJK1" s="154" t="str">
        <f t="shared" si="204"/>
        <v>y</v>
      </c>
      <c r="SJL1" s="154" t="str">
        <f t="shared" si="204"/>
        <v>y</v>
      </c>
      <c r="SJM1" s="154" t="str">
        <f t="shared" si="204"/>
        <v>y</v>
      </c>
      <c r="SJN1" s="154" t="str">
        <f t="shared" si="204"/>
        <v>y</v>
      </c>
      <c r="SJO1" s="154" t="str">
        <f t="shared" si="204"/>
        <v>y</v>
      </c>
      <c r="SJP1" s="154" t="str">
        <f t="shared" si="204"/>
        <v>y</v>
      </c>
      <c r="SJQ1" s="154" t="str">
        <f t="shared" si="204"/>
        <v>y</v>
      </c>
      <c r="SJR1" s="154" t="str">
        <f t="shared" si="204"/>
        <v>y</v>
      </c>
      <c r="SJS1" s="154" t="str">
        <f t="shared" si="204"/>
        <v>y</v>
      </c>
      <c r="SJT1" s="154" t="str">
        <f t="shared" ref="SJT1:SME1" si="205">SJT2&amp;"y"</f>
        <v>y</v>
      </c>
      <c r="SJU1" s="154" t="str">
        <f t="shared" si="205"/>
        <v>y</v>
      </c>
      <c r="SJV1" s="154" t="str">
        <f t="shared" si="205"/>
        <v>y</v>
      </c>
      <c r="SJW1" s="154" t="str">
        <f t="shared" si="205"/>
        <v>y</v>
      </c>
      <c r="SJX1" s="154" t="str">
        <f t="shared" si="205"/>
        <v>y</v>
      </c>
      <c r="SJY1" s="154" t="str">
        <f t="shared" si="205"/>
        <v>y</v>
      </c>
      <c r="SJZ1" s="154" t="str">
        <f t="shared" si="205"/>
        <v>y</v>
      </c>
      <c r="SKA1" s="154" t="str">
        <f t="shared" si="205"/>
        <v>y</v>
      </c>
      <c r="SKB1" s="154" t="str">
        <f t="shared" si="205"/>
        <v>y</v>
      </c>
      <c r="SKC1" s="154" t="str">
        <f t="shared" si="205"/>
        <v>y</v>
      </c>
      <c r="SKD1" s="154" t="str">
        <f t="shared" si="205"/>
        <v>y</v>
      </c>
      <c r="SKE1" s="154" t="str">
        <f t="shared" si="205"/>
        <v>y</v>
      </c>
      <c r="SKF1" s="154" t="str">
        <f t="shared" si="205"/>
        <v>y</v>
      </c>
      <c r="SKG1" s="154" t="str">
        <f t="shared" si="205"/>
        <v>y</v>
      </c>
      <c r="SKH1" s="154" t="str">
        <f t="shared" si="205"/>
        <v>y</v>
      </c>
      <c r="SKI1" s="154" t="str">
        <f t="shared" si="205"/>
        <v>y</v>
      </c>
      <c r="SKJ1" s="154" t="str">
        <f t="shared" si="205"/>
        <v>y</v>
      </c>
      <c r="SKK1" s="154" t="str">
        <f t="shared" si="205"/>
        <v>y</v>
      </c>
      <c r="SKL1" s="154" t="str">
        <f t="shared" si="205"/>
        <v>y</v>
      </c>
      <c r="SKM1" s="154" t="str">
        <f t="shared" si="205"/>
        <v>y</v>
      </c>
      <c r="SKN1" s="154" t="str">
        <f t="shared" si="205"/>
        <v>y</v>
      </c>
      <c r="SKO1" s="154" t="str">
        <f t="shared" si="205"/>
        <v>y</v>
      </c>
      <c r="SKP1" s="154" t="str">
        <f t="shared" si="205"/>
        <v>y</v>
      </c>
      <c r="SKQ1" s="154" t="str">
        <f t="shared" si="205"/>
        <v>y</v>
      </c>
      <c r="SKR1" s="154" t="str">
        <f t="shared" si="205"/>
        <v>y</v>
      </c>
      <c r="SKS1" s="154" t="str">
        <f t="shared" si="205"/>
        <v>y</v>
      </c>
      <c r="SKT1" s="154" t="str">
        <f t="shared" si="205"/>
        <v>y</v>
      </c>
      <c r="SKU1" s="154" t="str">
        <f t="shared" si="205"/>
        <v>y</v>
      </c>
      <c r="SKV1" s="154" t="str">
        <f t="shared" si="205"/>
        <v>y</v>
      </c>
      <c r="SKW1" s="154" t="str">
        <f t="shared" si="205"/>
        <v>y</v>
      </c>
      <c r="SKX1" s="154" t="str">
        <f t="shared" si="205"/>
        <v>y</v>
      </c>
      <c r="SKY1" s="154" t="str">
        <f t="shared" si="205"/>
        <v>y</v>
      </c>
      <c r="SKZ1" s="154" t="str">
        <f t="shared" si="205"/>
        <v>y</v>
      </c>
      <c r="SLA1" s="154" t="str">
        <f t="shared" si="205"/>
        <v>y</v>
      </c>
      <c r="SLB1" s="154" t="str">
        <f t="shared" si="205"/>
        <v>y</v>
      </c>
      <c r="SLC1" s="154" t="str">
        <f t="shared" si="205"/>
        <v>y</v>
      </c>
      <c r="SLD1" s="154" t="str">
        <f t="shared" si="205"/>
        <v>y</v>
      </c>
      <c r="SLE1" s="154" t="str">
        <f t="shared" si="205"/>
        <v>y</v>
      </c>
      <c r="SLF1" s="154" t="str">
        <f t="shared" si="205"/>
        <v>y</v>
      </c>
      <c r="SLG1" s="154" t="str">
        <f t="shared" si="205"/>
        <v>y</v>
      </c>
      <c r="SLH1" s="154" t="str">
        <f t="shared" si="205"/>
        <v>y</v>
      </c>
      <c r="SLI1" s="154" t="str">
        <f t="shared" si="205"/>
        <v>y</v>
      </c>
      <c r="SLJ1" s="154" t="str">
        <f t="shared" si="205"/>
        <v>y</v>
      </c>
      <c r="SLK1" s="154" t="str">
        <f t="shared" si="205"/>
        <v>y</v>
      </c>
      <c r="SLL1" s="154" t="str">
        <f t="shared" si="205"/>
        <v>y</v>
      </c>
      <c r="SLM1" s="154" t="str">
        <f t="shared" si="205"/>
        <v>y</v>
      </c>
      <c r="SLN1" s="154" t="str">
        <f t="shared" si="205"/>
        <v>y</v>
      </c>
      <c r="SLO1" s="154" t="str">
        <f t="shared" si="205"/>
        <v>y</v>
      </c>
      <c r="SLP1" s="154" t="str">
        <f t="shared" si="205"/>
        <v>y</v>
      </c>
      <c r="SLQ1" s="154" t="str">
        <f t="shared" si="205"/>
        <v>y</v>
      </c>
      <c r="SLR1" s="154" t="str">
        <f t="shared" si="205"/>
        <v>y</v>
      </c>
      <c r="SLS1" s="154" t="str">
        <f t="shared" si="205"/>
        <v>y</v>
      </c>
      <c r="SLT1" s="154" t="str">
        <f t="shared" si="205"/>
        <v>y</v>
      </c>
      <c r="SLU1" s="154" t="str">
        <f t="shared" si="205"/>
        <v>y</v>
      </c>
      <c r="SLV1" s="154" t="str">
        <f t="shared" si="205"/>
        <v>y</v>
      </c>
      <c r="SLW1" s="154" t="str">
        <f t="shared" si="205"/>
        <v>y</v>
      </c>
      <c r="SLX1" s="154" t="str">
        <f t="shared" si="205"/>
        <v>y</v>
      </c>
      <c r="SLY1" s="154" t="str">
        <f t="shared" si="205"/>
        <v>y</v>
      </c>
      <c r="SLZ1" s="154" t="str">
        <f t="shared" si="205"/>
        <v>y</v>
      </c>
      <c r="SMA1" s="154" t="str">
        <f t="shared" si="205"/>
        <v>y</v>
      </c>
      <c r="SMB1" s="154" t="str">
        <f t="shared" si="205"/>
        <v>y</v>
      </c>
      <c r="SMC1" s="154" t="str">
        <f t="shared" si="205"/>
        <v>y</v>
      </c>
      <c r="SMD1" s="154" t="str">
        <f t="shared" si="205"/>
        <v>y</v>
      </c>
      <c r="SME1" s="154" t="str">
        <f t="shared" si="205"/>
        <v>y</v>
      </c>
      <c r="SMF1" s="154" t="str">
        <f t="shared" ref="SMF1:SOQ1" si="206">SMF2&amp;"y"</f>
        <v>y</v>
      </c>
      <c r="SMG1" s="154" t="str">
        <f t="shared" si="206"/>
        <v>y</v>
      </c>
      <c r="SMH1" s="154" t="str">
        <f t="shared" si="206"/>
        <v>y</v>
      </c>
      <c r="SMI1" s="154" t="str">
        <f t="shared" si="206"/>
        <v>y</v>
      </c>
      <c r="SMJ1" s="154" t="str">
        <f t="shared" si="206"/>
        <v>y</v>
      </c>
      <c r="SMK1" s="154" t="str">
        <f t="shared" si="206"/>
        <v>y</v>
      </c>
      <c r="SML1" s="154" t="str">
        <f t="shared" si="206"/>
        <v>y</v>
      </c>
      <c r="SMM1" s="154" t="str">
        <f t="shared" si="206"/>
        <v>y</v>
      </c>
      <c r="SMN1" s="154" t="str">
        <f t="shared" si="206"/>
        <v>y</v>
      </c>
      <c r="SMO1" s="154" t="str">
        <f t="shared" si="206"/>
        <v>y</v>
      </c>
      <c r="SMP1" s="154" t="str">
        <f t="shared" si="206"/>
        <v>y</v>
      </c>
      <c r="SMQ1" s="154" t="str">
        <f t="shared" si="206"/>
        <v>y</v>
      </c>
      <c r="SMR1" s="154" t="str">
        <f t="shared" si="206"/>
        <v>y</v>
      </c>
      <c r="SMS1" s="154" t="str">
        <f t="shared" si="206"/>
        <v>y</v>
      </c>
      <c r="SMT1" s="154" t="str">
        <f t="shared" si="206"/>
        <v>y</v>
      </c>
      <c r="SMU1" s="154" t="str">
        <f t="shared" si="206"/>
        <v>y</v>
      </c>
      <c r="SMV1" s="154" t="str">
        <f t="shared" si="206"/>
        <v>y</v>
      </c>
      <c r="SMW1" s="154" t="str">
        <f t="shared" si="206"/>
        <v>y</v>
      </c>
      <c r="SMX1" s="154" t="str">
        <f t="shared" si="206"/>
        <v>y</v>
      </c>
      <c r="SMY1" s="154" t="str">
        <f t="shared" si="206"/>
        <v>y</v>
      </c>
      <c r="SMZ1" s="154" t="str">
        <f t="shared" si="206"/>
        <v>y</v>
      </c>
      <c r="SNA1" s="154" t="str">
        <f t="shared" si="206"/>
        <v>y</v>
      </c>
      <c r="SNB1" s="154" t="str">
        <f t="shared" si="206"/>
        <v>y</v>
      </c>
      <c r="SNC1" s="154" t="str">
        <f t="shared" si="206"/>
        <v>y</v>
      </c>
      <c r="SND1" s="154" t="str">
        <f t="shared" si="206"/>
        <v>y</v>
      </c>
      <c r="SNE1" s="154" t="str">
        <f t="shared" si="206"/>
        <v>y</v>
      </c>
      <c r="SNF1" s="154" t="str">
        <f t="shared" si="206"/>
        <v>y</v>
      </c>
      <c r="SNG1" s="154" t="str">
        <f t="shared" si="206"/>
        <v>y</v>
      </c>
      <c r="SNH1" s="154" t="str">
        <f t="shared" si="206"/>
        <v>y</v>
      </c>
      <c r="SNI1" s="154" t="str">
        <f t="shared" si="206"/>
        <v>y</v>
      </c>
      <c r="SNJ1" s="154" t="str">
        <f t="shared" si="206"/>
        <v>y</v>
      </c>
      <c r="SNK1" s="154" t="str">
        <f t="shared" si="206"/>
        <v>y</v>
      </c>
      <c r="SNL1" s="154" t="str">
        <f t="shared" si="206"/>
        <v>y</v>
      </c>
      <c r="SNM1" s="154" t="str">
        <f t="shared" si="206"/>
        <v>y</v>
      </c>
      <c r="SNN1" s="154" t="str">
        <f t="shared" si="206"/>
        <v>y</v>
      </c>
      <c r="SNO1" s="154" t="str">
        <f t="shared" si="206"/>
        <v>y</v>
      </c>
      <c r="SNP1" s="154" t="str">
        <f t="shared" si="206"/>
        <v>y</v>
      </c>
      <c r="SNQ1" s="154" t="str">
        <f t="shared" si="206"/>
        <v>y</v>
      </c>
      <c r="SNR1" s="154" t="str">
        <f t="shared" si="206"/>
        <v>y</v>
      </c>
      <c r="SNS1" s="154" t="str">
        <f t="shared" si="206"/>
        <v>y</v>
      </c>
      <c r="SNT1" s="154" t="str">
        <f t="shared" si="206"/>
        <v>y</v>
      </c>
      <c r="SNU1" s="154" t="str">
        <f t="shared" si="206"/>
        <v>y</v>
      </c>
      <c r="SNV1" s="154" t="str">
        <f t="shared" si="206"/>
        <v>y</v>
      </c>
      <c r="SNW1" s="154" t="str">
        <f t="shared" si="206"/>
        <v>y</v>
      </c>
      <c r="SNX1" s="154" t="str">
        <f t="shared" si="206"/>
        <v>y</v>
      </c>
      <c r="SNY1" s="154" t="str">
        <f t="shared" si="206"/>
        <v>y</v>
      </c>
      <c r="SNZ1" s="154" t="str">
        <f t="shared" si="206"/>
        <v>y</v>
      </c>
      <c r="SOA1" s="154" t="str">
        <f t="shared" si="206"/>
        <v>y</v>
      </c>
      <c r="SOB1" s="154" t="str">
        <f t="shared" si="206"/>
        <v>y</v>
      </c>
      <c r="SOC1" s="154" t="str">
        <f t="shared" si="206"/>
        <v>y</v>
      </c>
      <c r="SOD1" s="154" t="str">
        <f t="shared" si="206"/>
        <v>y</v>
      </c>
      <c r="SOE1" s="154" t="str">
        <f t="shared" si="206"/>
        <v>y</v>
      </c>
      <c r="SOF1" s="154" t="str">
        <f t="shared" si="206"/>
        <v>y</v>
      </c>
      <c r="SOG1" s="154" t="str">
        <f t="shared" si="206"/>
        <v>y</v>
      </c>
      <c r="SOH1" s="154" t="str">
        <f t="shared" si="206"/>
        <v>y</v>
      </c>
      <c r="SOI1" s="154" t="str">
        <f t="shared" si="206"/>
        <v>y</v>
      </c>
      <c r="SOJ1" s="154" t="str">
        <f t="shared" si="206"/>
        <v>y</v>
      </c>
      <c r="SOK1" s="154" t="str">
        <f t="shared" si="206"/>
        <v>y</v>
      </c>
      <c r="SOL1" s="154" t="str">
        <f t="shared" si="206"/>
        <v>y</v>
      </c>
      <c r="SOM1" s="154" t="str">
        <f t="shared" si="206"/>
        <v>y</v>
      </c>
      <c r="SON1" s="154" t="str">
        <f t="shared" si="206"/>
        <v>y</v>
      </c>
      <c r="SOO1" s="154" t="str">
        <f t="shared" si="206"/>
        <v>y</v>
      </c>
      <c r="SOP1" s="154" t="str">
        <f t="shared" si="206"/>
        <v>y</v>
      </c>
      <c r="SOQ1" s="154" t="str">
        <f t="shared" si="206"/>
        <v>y</v>
      </c>
      <c r="SOR1" s="154" t="str">
        <f t="shared" ref="SOR1:SRC1" si="207">SOR2&amp;"y"</f>
        <v>y</v>
      </c>
      <c r="SOS1" s="154" t="str">
        <f t="shared" si="207"/>
        <v>y</v>
      </c>
      <c r="SOT1" s="154" t="str">
        <f t="shared" si="207"/>
        <v>y</v>
      </c>
      <c r="SOU1" s="154" t="str">
        <f t="shared" si="207"/>
        <v>y</v>
      </c>
      <c r="SOV1" s="154" t="str">
        <f t="shared" si="207"/>
        <v>y</v>
      </c>
      <c r="SOW1" s="154" t="str">
        <f t="shared" si="207"/>
        <v>y</v>
      </c>
      <c r="SOX1" s="154" t="str">
        <f t="shared" si="207"/>
        <v>y</v>
      </c>
      <c r="SOY1" s="154" t="str">
        <f t="shared" si="207"/>
        <v>y</v>
      </c>
      <c r="SOZ1" s="154" t="str">
        <f t="shared" si="207"/>
        <v>y</v>
      </c>
      <c r="SPA1" s="154" t="str">
        <f t="shared" si="207"/>
        <v>y</v>
      </c>
      <c r="SPB1" s="154" t="str">
        <f t="shared" si="207"/>
        <v>y</v>
      </c>
      <c r="SPC1" s="154" t="str">
        <f t="shared" si="207"/>
        <v>y</v>
      </c>
      <c r="SPD1" s="154" t="str">
        <f t="shared" si="207"/>
        <v>y</v>
      </c>
      <c r="SPE1" s="154" t="str">
        <f t="shared" si="207"/>
        <v>y</v>
      </c>
      <c r="SPF1" s="154" t="str">
        <f t="shared" si="207"/>
        <v>y</v>
      </c>
      <c r="SPG1" s="154" t="str">
        <f t="shared" si="207"/>
        <v>y</v>
      </c>
      <c r="SPH1" s="154" t="str">
        <f t="shared" si="207"/>
        <v>y</v>
      </c>
      <c r="SPI1" s="154" t="str">
        <f t="shared" si="207"/>
        <v>y</v>
      </c>
      <c r="SPJ1" s="154" t="str">
        <f t="shared" si="207"/>
        <v>y</v>
      </c>
      <c r="SPK1" s="154" t="str">
        <f t="shared" si="207"/>
        <v>y</v>
      </c>
      <c r="SPL1" s="154" t="str">
        <f t="shared" si="207"/>
        <v>y</v>
      </c>
      <c r="SPM1" s="154" t="str">
        <f t="shared" si="207"/>
        <v>y</v>
      </c>
      <c r="SPN1" s="154" t="str">
        <f t="shared" si="207"/>
        <v>y</v>
      </c>
      <c r="SPO1" s="154" t="str">
        <f t="shared" si="207"/>
        <v>y</v>
      </c>
      <c r="SPP1" s="154" t="str">
        <f t="shared" si="207"/>
        <v>y</v>
      </c>
      <c r="SPQ1" s="154" t="str">
        <f t="shared" si="207"/>
        <v>y</v>
      </c>
      <c r="SPR1" s="154" t="str">
        <f t="shared" si="207"/>
        <v>y</v>
      </c>
      <c r="SPS1" s="154" t="str">
        <f t="shared" si="207"/>
        <v>y</v>
      </c>
      <c r="SPT1" s="154" t="str">
        <f t="shared" si="207"/>
        <v>y</v>
      </c>
      <c r="SPU1" s="154" t="str">
        <f t="shared" si="207"/>
        <v>y</v>
      </c>
      <c r="SPV1" s="154" t="str">
        <f t="shared" si="207"/>
        <v>y</v>
      </c>
      <c r="SPW1" s="154" t="str">
        <f t="shared" si="207"/>
        <v>y</v>
      </c>
      <c r="SPX1" s="154" t="str">
        <f t="shared" si="207"/>
        <v>y</v>
      </c>
      <c r="SPY1" s="154" t="str">
        <f t="shared" si="207"/>
        <v>y</v>
      </c>
      <c r="SPZ1" s="154" t="str">
        <f t="shared" si="207"/>
        <v>y</v>
      </c>
      <c r="SQA1" s="154" t="str">
        <f t="shared" si="207"/>
        <v>y</v>
      </c>
      <c r="SQB1" s="154" t="str">
        <f t="shared" si="207"/>
        <v>y</v>
      </c>
      <c r="SQC1" s="154" t="str">
        <f t="shared" si="207"/>
        <v>y</v>
      </c>
      <c r="SQD1" s="154" t="str">
        <f t="shared" si="207"/>
        <v>y</v>
      </c>
      <c r="SQE1" s="154" t="str">
        <f t="shared" si="207"/>
        <v>y</v>
      </c>
      <c r="SQF1" s="154" t="str">
        <f t="shared" si="207"/>
        <v>y</v>
      </c>
      <c r="SQG1" s="154" t="str">
        <f t="shared" si="207"/>
        <v>y</v>
      </c>
      <c r="SQH1" s="154" t="str">
        <f t="shared" si="207"/>
        <v>y</v>
      </c>
      <c r="SQI1" s="154" t="str">
        <f t="shared" si="207"/>
        <v>y</v>
      </c>
      <c r="SQJ1" s="154" t="str">
        <f t="shared" si="207"/>
        <v>y</v>
      </c>
      <c r="SQK1" s="154" t="str">
        <f t="shared" si="207"/>
        <v>y</v>
      </c>
      <c r="SQL1" s="154" t="str">
        <f t="shared" si="207"/>
        <v>y</v>
      </c>
      <c r="SQM1" s="154" t="str">
        <f t="shared" si="207"/>
        <v>y</v>
      </c>
      <c r="SQN1" s="154" t="str">
        <f t="shared" si="207"/>
        <v>y</v>
      </c>
      <c r="SQO1" s="154" t="str">
        <f t="shared" si="207"/>
        <v>y</v>
      </c>
      <c r="SQP1" s="154" t="str">
        <f t="shared" si="207"/>
        <v>y</v>
      </c>
      <c r="SQQ1" s="154" t="str">
        <f t="shared" si="207"/>
        <v>y</v>
      </c>
      <c r="SQR1" s="154" t="str">
        <f t="shared" si="207"/>
        <v>y</v>
      </c>
      <c r="SQS1" s="154" t="str">
        <f t="shared" si="207"/>
        <v>y</v>
      </c>
      <c r="SQT1" s="154" t="str">
        <f t="shared" si="207"/>
        <v>y</v>
      </c>
      <c r="SQU1" s="154" t="str">
        <f t="shared" si="207"/>
        <v>y</v>
      </c>
      <c r="SQV1" s="154" t="str">
        <f t="shared" si="207"/>
        <v>y</v>
      </c>
      <c r="SQW1" s="154" t="str">
        <f t="shared" si="207"/>
        <v>y</v>
      </c>
      <c r="SQX1" s="154" t="str">
        <f t="shared" si="207"/>
        <v>y</v>
      </c>
      <c r="SQY1" s="154" t="str">
        <f t="shared" si="207"/>
        <v>y</v>
      </c>
      <c r="SQZ1" s="154" t="str">
        <f t="shared" si="207"/>
        <v>y</v>
      </c>
      <c r="SRA1" s="154" t="str">
        <f t="shared" si="207"/>
        <v>y</v>
      </c>
      <c r="SRB1" s="154" t="str">
        <f t="shared" si="207"/>
        <v>y</v>
      </c>
      <c r="SRC1" s="154" t="str">
        <f t="shared" si="207"/>
        <v>y</v>
      </c>
      <c r="SRD1" s="154" t="str">
        <f t="shared" ref="SRD1:STO1" si="208">SRD2&amp;"y"</f>
        <v>y</v>
      </c>
      <c r="SRE1" s="154" t="str">
        <f t="shared" si="208"/>
        <v>y</v>
      </c>
      <c r="SRF1" s="154" t="str">
        <f t="shared" si="208"/>
        <v>y</v>
      </c>
      <c r="SRG1" s="154" t="str">
        <f t="shared" si="208"/>
        <v>y</v>
      </c>
      <c r="SRH1" s="154" t="str">
        <f t="shared" si="208"/>
        <v>y</v>
      </c>
      <c r="SRI1" s="154" t="str">
        <f t="shared" si="208"/>
        <v>y</v>
      </c>
      <c r="SRJ1" s="154" t="str">
        <f t="shared" si="208"/>
        <v>y</v>
      </c>
      <c r="SRK1" s="154" t="str">
        <f t="shared" si="208"/>
        <v>y</v>
      </c>
      <c r="SRL1" s="154" t="str">
        <f t="shared" si="208"/>
        <v>y</v>
      </c>
      <c r="SRM1" s="154" t="str">
        <f t="shared" si="208"/>
        <v>y</v>
      </c>
      <c r="SRN1" s="154" t="str">
        <f t="shared" si="208"/>
        <v>y</v>
      </c>
      <c r="SRO1" s="154" t="str">
        <f t="shared" si="208"/>
        <v>y</v>
      </c>
      <c r="SRP1" s="154" t="str">
        <f t="shared" si="208"/>
        <v>y</v>
      </c>
      <c r="SRQ1" s="154" t="str">
        <f t="shared" si="208"/>
        <v>y</v>
      </c>
      <c r="SRR1" s="154" t="str">
        <f t="shared" si="208"/>
        <v>y</v>
      </c>
      <c r="SRS1" s="154" t="str">
        <f t="shared" si="208"/>
        <v>y</v>
      </c>
      <c r="SRT1" s="154" t="str">
        <f t="shared" si="208"/>
        <v>y</v>
      </c>
      <c r="SRU1" s="154" t="str">
        <f t="shared" si="208"/>
        <v>y</v>
      </c>
      <c r="SRV1" s="154" t="str">
        <f t="shared" si="208"/>
        <v>y</v>
      </c>
      <c r="SRW1" s="154" t="str">
        <f t="shared" si="208"/>
        <v>y</v>
      </c>
      <c r="SRX1" s="154" t="str">
        <f t="shared" si="208"/>
        <v>y</v>
      </c>
      <c r="SRY1" s="154" t="str">
        <f t="shared" si="208"/>
        <v>y</v>
      </c>
      <c r="SRZ1" s="154" t="str">
        <f t="shared" si="208"/>
        <v>y</v>
      </c>
      <c r="SSA1" s="154" t="str">
        <f t="shared" si="208"/>
        <v>y</v>
      </c>
      <c r="SSB1" s="154" t="str">
        <f t="shared" si="208"/>
        <v>y</v>
      </c>
      <c r="SSC1" s="154" t="str">
        <f t="shared" si="208"/>
        <v>y</v>
      </c>
      <c r="SSD1" s="154" t="str">
        <f t="shared" si="208"/>
        <v>y</v>
      </c>
      <c r="SSE1" s="154" t="str">
        <f t="shared" si="208"/>
        <v>y</v>
      </c>
      <c r="SSF1" s="154" t="str">
        <f t="shared" si="208"/>
        <v>y</v>
      </c>
      <c r="SSG1" s="154" t="str">
        <f t="shared" si="208"/>
        <v>y</v>
      </c>
      <c r="SSH1" s="154" t="str">
        <f t="shared" si="208"/>
        <v>y</v>
      </c>
      <c r="SSI1" s="154" t="str">
        <f t="shared" si="208"/>
        <v>y</v>
      </c>
      <c r="SSJ1" s="154" t="str">
        <f t="shared" si="208"/>
        <v>y</v>
      </c>
      <c r="SSK1" s="154" t="str">
        <f t="shared" si="208"/>
        <v>y</v>
      </c>
      <c r="SSL1" s="154" t="str">
        <f t="shared" si="208"/>
        <v>y</v>
      </c>
      <c r="SSM1" s="154" t="str">
        <f t="shared" si="208"/>
        <v>y</v>
      </c>
      <c r="SSN1" s="154" t="str">
        <f t="shared" si="208"/>
        <v>y</v>
      </c>
      <c r="SSO1" s="154" t="str">
        <f t="shared" si="208"/>
        <v>y</v>
      </c>
      <c r="SSP1" s="154" t="str">
        <f t="shared" si="208"/>
        <v>y</v>
      </c>
      <c r="SSQ1" s="154" t="str">
        <f t="shared" si="208"/>
        <v>y</v>
      </c>
      <c r="SSR1" s="154" t="str">
        <f t="shared" si="208"/>
        <v>y</v>
      </c>
      <c r="SSS1" s="154" t="str">
        <f t="shared" si="208"/>
        <v>y</v>
      </c>
      <c r="SST1" s="154" t="str">
        <f t="shared" si="208"/>
        <v>y</v>
      </c>
      <c r="SSU1" s="154" t="str">
        <f t="shared" si="208"/>
        <v>y</v>
      </c>
      <c r="SSV1" s="154" t="str">
        <f t="shared" si="208"/>
        <v>y</v>
      </c>
      <c r="SSW1" s="154" t="str">
        <f t="shared" si="208"/>
        <v>y</v>
      </c>
      <c r="SSX1" s="154" t="str">
        <f t="shared" si="208"/>
        <v>y</v>
      </c>
      <c r="SSY1" s="154" t="str">
        <f t="shared" si="208"/>
        <v>y</v>
      </c>
      <c r="SSZ1" s="154" t="str">
        <f t="shared" si="208"/>
        <v>y</v>
      </c>
      <c r="STA1" s="154" t="str">
        <f t="shared" si="208"/>
        <v>y</v>
      </c>
      <c r="STB1" s="154" t="str">
        <f t="shared" si="208"/>
        <v>y</v>
      </c>
      <c r="STC1" s="154" t="str">
        <f t="shared" si="208"/>
        <v>y</v>
      </c>
      <c r="STD1" s="154" t="str">
        <f t="shared" si="208"/>
        <v>y</v>
      </c>
      <c r="STE1" s="154" t="str">
        <f t="shared" si="208"/>
        <v>y</v>
      </c>
      <c r="STF1" s="154" t="str">
        <f t="shared" si="208"/>
        <v>y</v>
      </c>
      <c r="STG1" s="154" t="str">
        <f t="shared" si="208"/>
        <v>y</v>
      </c>
      <c r="STH1" s="154" t="str">
        <f t="shared" si="208"/>
        <v>y</v>
      </c>
      <c r="STI1" s="154" t="str">
        <f t="shared" si="208"/>
        <v>y</v>
      </c>
      <c r="STJ1" s="154" t="str">
        <f t="shared" si="208"/>
        <v>y</v>
      </c>
      <c r="STK1" s="154" t="str">
        <f t="shared" si="208"/>
        <v>y</v>
      </c>
      <c r="STL1" s="154" t="str">
        <f t="shared" si="208"/>
        <v>y</v>
      </c>
      <c r="STM1" s="154" t="str">
        <f t="shared" si="208"/>
        <v>y</v>
      </c>
      <c r="STN1" s="154" t="str">
        <f t="shared" si="208"/>
        <v>y</v>
      </c>
      <c r="STO1" s="154" t="str">
        <f t="shared" si="208"/>
        <v>y</v>
      </c>
      <c r="STP1" s="154" t="str">
        <f t="shared" ref="STP1:SWA1" si="209">STP2&amp;"y"</f>
        <v>y</v>
      </c>
      <c r="STQ1" s="154" t="str">
        <f t="shared" si="209"/>
        <v>y</v>
      </c>
      <c r="STR1" s="154" t="str">
        <f t="shared" si="209"/>
        <v>y</v>
      </c>
      <c r="STS1" s="154" t="str">
        <f t="shared" si="209"/>
        <v>y</v>
      </c>
      <c r="STT1" s="154" t="str">
        <f t="shared" si="209"/>
        <v>y</v>
      </c>
      <c r="STU1" s="154" t="str">
        <f t="shared" si="209"/>
        <v>y</v>
      </c>
      <c r="STV1" s="154" t="str">
        <f t="shared" si="209"/>
        <v>y</v>
      </c>
      <c r="STW1" s="154" t="str">
        <f t="shared" si="209"/>
        <v>y</v>
      </c>
      <c r="STX1" s="154" t="str">
        <f t="shared" si="209"/>
        <v>y</v>
      </c>
      <c r="STY1" s="154" t="str">
        <f t="shared" si="209"/>
        <v>y</v>
      </c>
      <c r="STZ1" s="154" t="str">
        <f t="shared" si="209"/>
        <v>y</v>
      </c>
      <c r="SUA1" s="154" t="str">
        <f t="shared" si="209"/>
        <v>y</v>
      </c>
      <c r="SUB1" s="154" t="str">
        <f t="shared" si="209"/>
        <v>y</v>
      </c>
      <c r="SUC1" s="154" t="str">
        <f t="shared" si="209"/>
        <v>y</v>
      </c>
      <c r="SUD1" s="154" t="str">
        <f t="shared" si="209"/>
        <v>y</v>
      </c>
      <c r="SUE1" s="154" t="str">
        <f t="shared" si="209"/>
        <v>y</v>
      </c>
      <c r="SUF1" s="154" t="str">
        <f t="shared" si="209"/>
        <v>y</v>
      </c>
      <c r="SUG1" s="154" t="str">
        <f t="shared" si="209"/>
        <v>y</v>
      </c>
      <c r="SUH1" s="154" t="str">
        <f t="shared" si="209"/>
        <v>y</v>
      </c>
      <c r="SUI1" s="154" t="str">
        <f t="shared" si="209"/>
        <v>y</v>
      </c>
      <c r="SUJ1" s="154" t="str">
        <f t="shared" si="209"/>
        <v>y</v>
      </c>
      <c r="SUK1" s="154" t="str">
        <f t="shared" si="209"/>
        <v>y</v>
      </c>
      <c r="SUL1" s="154" t="str">
        <f t="shared" si="209"/>
        <v>y</v>
      </c>
      <c r="SUM1" s="154" t="str">
        <f t="shared" si="209"/>
        <v>y</v>
      </c>
      <c r="SUN1" s="154" t="str">
        <f t="shared" si="209"/>
        <v>y</v>
      </c>
      <c r="SUO1" s="154" t="str">
        <f t="shared" si="209"/>
        <v>y</v>
      </c>
      <c r="SUP1" s="154" t="str">
        <f t="shared" si="209"/>
        <v>y</v>
      </c>
      <c r="SUQ1" s="154" t="str">
        <f t="shared" si="209"/>
        <v>y</v>
      </c>
      <c r="SUR1" s="154" t="str">
        <f t="shared" si="209"/>
        <v>y</v>
      </c>
      <c r="SUS1" s="154" t="str">
        <f t="shared" si="209"/>
        <v>y</v>
      </c>
      <c r="SUT1" s="154" t="str">
        <f t="shared" si="209"/>
        <v>y</v>
      </c>
      <c r="SUU1" s="154" t="str">
        <f t="shared" si="209"/>
        <v>y</v>
      </c>
      <c r="SUV1" s="154" t="str">
        <f t="shared" si="209"/>
        <v>y</v>
      </c>
      <c r="SUW1" s="154" t="str">
        <f t="shared" si="209"/>
        <v>y</v>
      </c>
      <c r="SUX1" s="154" t="str">
        <f t="shared" si="209"/>
        <v>y</v>
      </c>
      <c r="SUY1" s="154" t="str">
        <f t="shared" si="209"/>
        <v>y</v>
      </c>
      <c r="SUZ1" s="154" t="str">
        <f t="shared" si="209"/>
        <v>y</v>
      </c>
      <c r="SVA1" s="154" t="str">
        <f t="shared" si="209"/>
        <v>y</v>
      </c>
      <c r="SVB1" s="154" t="str">
        <f t="shared" si="209"/>
        <v>y</v>
      </c>
      <c r="SVC1" s="154" t="str">
        <f t="shared" si="209"/>
        <v>y</v>
      </c>
      <c r="SVD1" s="154" t="str">
        <f t="shared" si="209"/>
        <v>y</v>
      </c>
      <c r="SVE1" s="154" t="str">
        <f t="shared" si="209"/>
        <v>y</v>
      </c>
      <c r="SVF1" s="154" t="str">
        <f t="shared" si="209"/>
        <v>y</v>
      </c>
      <c r="SVG1" s="154" t="str">
        <f t="shared" si="209"/>
        <v>y</v>
      </c>
      <c r="SVH1" s="154" t="str">
        <f t="shared" si="209"/>
        <v>y</v>
      </c>
      <c r="SVI1" s="154" t="str">
        <f t="shared" si="209"/>
        <v>y</v>
      </c>
      <c r="SVJ1" s="154" t="str">
        <f t="shared" si="209"/>
        <v>y</v>
      </c>
      <c r="SVK1" s="154" t="str">
        <f t="shared" si="209"/>
        <v>y</v>
      </c>
      <c r="SVL1" s="154" t="str">
        <f t="shared" si="209"/>
        <v>y</v>
      </c>
      <c r="SVM1" s="154" t="str">
        <f t="shared" si="209"/>
        <v>y</v>
      </c>
      <c r="SVN1" s="154" t="str">
        <f t="shared" si="209"/>
        <v>y</v>
      </c>
      <c r="SVO1" s="154" t="str">
        <f t="shared" si="209"/>
        <v>y</v>
      </c>
      <c r="SVP1" s="154" t="str">
        <f t="shared" si="209"/>
        <v>y</v>
      </c>
      <c r="SVQ1" s="154" t="str">
        <f t="shared" si="209"/>
        <v>y</v>
      </c>
      <c r="SVR1" s="154" t="str">
        <f t="shared" si="209"/>
        <v>y</v>
      </c>
      <c r="SVS1" s="154" t="str">
        <f t="shared" si="209"/>
        <v>y</v>
      </c>
      <c r="SVT1" s="154" t="str">
        <f t="shared" si="209"/>
        <v>y</v>
      </c>
      <c r="SVU1" s="154" t="str">
        <f t="shared" si="209"/>
        <v>y</v>
      </c>
      <c r="SVV1" s="154" t="str">
        <f t="shared" si="209"/>
        <v>y</v>
      </c>
      <c r="SVW1" s="154" t="str">
        <f t="shared" si="209"/>
        <v>y</v>
      </c>
      <c r="SVX1" s="154" t="str">
        <f t="shared" si="209"/>
        <v>y</v>
      </c>
      <c r="SVY1" s="154" t="str">
        <f t="shared" si="209"/>
        <v>y</v>
      </c>
      <c r="SVZ1" s="154" t="str">
        <f t="shared" si="209"/>
        <v>y</v>
      </c>
      <c r="SWA1" s="154" t="str">
        <f t="shared" si="209"/>
        <v>y</v>
      </c>
      <c r="SWB1" s="154" t="str">
        <f t="shared" ref="SWB1:SYM1" si="210">SWB2&amp;"y"</f>
        <v>y</v>
      </c>
      <c r="SWC1" s="154" t="str">
        <f t="shared" si="210"/>
        <v>y</v>
      </c>
      <c r="SWD1" s="154" t="str">
        <f t="shared" si="210"/>
        <v>y</v>
      </c>
      <c r="SWE1" s="154" t="str">
        <f t="shared" si="210"/>
        <v>y</v>
      </c>
      <c r="SWF1" s="154" t="str">
        <f t="shared" si="210"/>
        <v>y</v>
      </c>
      <c r="SWG1" s="154" t="str">
        <f t="shared" si="210"/>
        <v>y</v>
      </c>
      <c r="SWH1" s="154" t="str">
        <f t="shared" si="210"/>
        <v>y</v>
      </c>
      <c r="SWI1" s="154" t="str">
        <f t="shared" si="210"/>
        <v>y</v>
      </c>
      <c r="SWJ1" s="154" t="str">
        <f t="shared" si="210"/>
        <v>y</v>
      </c>
      <c r="SWK1" s="154" t="str">
        <f t="shared" si="210"/>
        <v>y</v>
      </c>
      <c r="SWL1" s="154" t="str">
        <f t="shared" si="210"/>
        <v>y</v>
      </c>
      <c r="SWM1" s="154" t="str">
        <f t="shared" si="210"/>
        <v>y</v>
      </c>
      <c r="SWN1" s="154" t="str">
        <f t="shared" si="210"/>
        <v>y</v>
      </c>
      <c r="SWO1" s="154" t="str">
        <f t="shared" si="210"/>
        <v>y</v>
      </c>
      <c r="SWP1" s="154" t="str">
        <f t="shared" si="210"/>
        <v>y</v>
      </c>
      <c r="SWQ1" s="154" t="str">
        <f t="shared" si="210"/>
        <v>y</v>
      </c>
      <c r="SWR1" s="154" t="str">
        <f t="shared" si="210"/>
        <v>y</v>
      </c>
      <c r="SWS1" s="154" t="str">
        <f t="shared" si="210"/>
        <v>y</v>
      </c>
      <c r="SWT1" s="154" t="str">
        <f t="shared" si="210"/>
        <v>y</v>
      </c>
      <c r="SWU1" s="154" t="str">
        <f t="shared" si="210"/>
        <v>y</v>
      </c>
      <c r="SWV1" s="154" t="str">
        <f t="shared" si="210"/>
        <v>y</v>
      </c>
      <c r="SWW1" s="154" t="str">
        <f t="shared" si="210"/>
        <v>y</v>
      </c>
      <c r="SWX1" s="154" t="str">
        <f t="shared" si="210"/>
        <v>y</v>
      </c>
      <c r="SWY1" s="154" t="str">
        <f t="shared" si="210"/>
        <v>y</v>
      </c>
      <c r="SWZ1" s="154" t="str">
        <f t="shared" si="210"/>
        <v>y</v>
      </c>
      <c r="SXA1" s="154" t="str">
        <f t="shared" si="210"/>
        <v>y</v>
      </c>
      <c r="SXB1" s="154" t="str">
        <f t="shared" si="210"/>
        <v>y</v>
      </c>
      <c r="SXC1" s="154" t="str">
        <f t="shared" si="210"/>
        <v>y</v>
      </c>
      <c r="SXD1" s="154" t="str">
        <f t="shared" si="210"/>
        <v>y</v>
      </c>
      <c r="SXE1" s="154" t="str">
        <f t="shared" si="210"/>
        <v>y</v>
      </c>
      <c r="SXF1" s="154" t="str">
        <f t="shared" si="210"/>
        <v>y</v>
      </c>
      <c r="SXG1" s="154" t="str">
        <f t="shared" si="210"/>
        <v>y</v>
      </c>
      <c r="SXH1" s="154" t="str">
        <f t="shared" si="210"/>
        <v>y</v>
      </c>
      <c r="SXI1" s="154" t="str">
        <f t="shared" si="210"/>
        <v>y</v>
      </c>
      <c r="SXJ1" s="154" t="str">
        <f t="shared" si="210"/>
        <v>y</v>
      </c>
      <c r="SXK1" s="154" t="str">
        <f t="shared" si="210"/>
        <v>y</v>
      </c>
      <c r="SXL1" s="154" t="str">
        <f t="shared" si="210"/>
        <v>y</v>
      </c>
      <c r="SXM1" s="154" t="str">
        <f t="shared" si="210"/>
        <v>y</v>
      </c>
      <c r="SXN1" s="154" t="str">
        <f t="shared" si="210"/>
        <v>y</v>
      </c>
      <c r="SXO1" s="154" t="str">
        <f t="shared" si="210"/>
        <v>y</v>
      </c>
      <c r="SXP1" s="154" t="str">
        <f t="shared" si="210"/>
        <v>y</v>
      </c>
      <c r="SXQ1" s="154" t="str">
        <f t="shared" si="210"/>
        <v>y</v>
      </c>
      <c r="SXR1" s="154" t="str">
        <f t="shared" si="210"/>
        <v>y</v>
      </c>
      <c r="SXS1" s="154" t="str">
        <f t="shared" si="210"/>
        <v>y</v>
      </c>
      <c r="SXT1" s="154" t="str">
        <f t="shared" si="210"/>
        <v>y</v>
      </c>
      <c r="SXU1" s="154" t="str">
        <f t="shared" si="210"/>
        <v>y</v>
      </c>
      <c r="SXV1" s="154" t="str">
        <f t="shared" si="210"/>
        <v>y</v>
      </c>
      <c r="SXW1" s="154" t="str">
        <f t="shared" si="210"/>
        <v>y</v>
      </c>
      <c r="SXX1" s="154" t="str">
        <f t="shared" si="210"/>
        <v>y</v>
      </c>
      <c r="SXY1" s="154" t="str">
        <f t="shared" si="210"/>
        <v>y</v>
      </c>
      <c r="SXZ1" s="154" t="str">
        <f t="shared" si="210"/>
        <v>y</v>
      </c>
      <c r="SYA1" s="154" t="str">
        <f t="shared" si="210"/>
        <v>y</v>
      </c>
      <c r="SYB1" s="154" t="str">
        <f t="shared" si="210"/>
        <v>y</v>
      </c>
      <c r="SYC1" s="154" t="str">
        <f t="shared" si="210"/>
        <v>y</v>
      </c>
      <c r="SYD1" s="154" t="str">
        <f t="shared" si="210"/>
        <v>y</v>
      </c>
      <c r="SYE1" s="154" t="str">
        <f t="shared" si="210"/>
        <v>y</v>
      </c>
      <c r="SYF1" s="154" t="str">
        <f t="shared" si="210"/>
        <v>y</v>
      </c>
      <c r="SYG1" s="154" t="str">
        <f t="shared" si="210"/>
        <v>y</v>
      </c>
      <c r="SYH1" s="154" t="str">
        <f t="shared" si="210"/>
        <v>y</v>
      </c>
      <c r="SYI1" s="154" t="str">
        <f t="shared" si="210"/>
        <v>y</v>
      </c>
      <c r="SYJ1" s="154" t="str">
        <f t="shared" si="210"/>
        <v>y</v>
      </c>
      <c r="SYK1" s="154" t="str">
        <f t="shared" si="210"/>
        <v>y</v>
      </c>
      <c r="SYL1" s="154" t="str">
        <f t="shared" si="210"/>
        <v>y</v>
      </c>
      <c r="SYM1" s="154" t="str">
        <f t="shared" si="210"/>
        <v>y</v>
      </c>
      <c r="SYN1" s="154" t="str">
        <f t="shared" ref="SYN1:TAY1" si="211">SYN2&amp;"y"</f>
        <v>y</v>
      </c>
      <c r="SYO1" s="154" t="str">
        <f t="shared" si="211"/>
        <v>y</v>
      </c>
      <c r="SYP1" s="154" t="str">
        <f t="shared" si="211"/>
        <v>y</v>
      </c>
      <c r="SYQ1" s="154" t="str">
        <f t="shared" si="211"/>
        <v>y</v>
      </c>
      <c r="SYR1" s="154" t="str">
        <f t="shared" si="211"/>
        <v>y</v>
      </c>
      <c r="SYS1" s="154" t="str">
        <f t="shared" si="211"/>
        <v>y</v>
      </c>
      <c r="SYT1" s="154" t="str">
        <f t="shared" si="211"/>
        <v>y</v>
      </c>
      <c r="SYU1" s="154" t="str">
        <f t="shared" si="211"/>
        <v>y</v>
      </c>
      <c r="SYV1" s="154" t="str">
        <f t="shared" si="211"/>
        <v>y</v>
      </c>
      <c r="SYW1" s="154" t="str">
        <f t="shared" si="211"/>
        <v>y</v>
      </c>
      <c r="SYX1" s="154" t="str">
        <f t="shared" si="211"/>
        <v>y</v>
      </c>
      <c r="SYY1" s="154" t="str">
        <f t="shared" si="211"/>
        <v>y</v>
      </c>
      <c r="SYZ1" s="154" t="str">
        <f t="shared" si="211"/>
        <v>y</v>
      </c>
      <c r="SZA1" s="154" t="str">
        <f t="shared" si="211"/>
        <v>y</v>
      </c>
      <c r="SZB1" s="154" t="str">
        <f t="shared" si="211"/>
        <v>y</v>
      </c>
      <c r="SZC1" s="154" t="str">
        <f t="shared" si="211"/>
        <v>y</v>
      </c>
      <c r="SZD1" s="154" t="str">
        <f t="shared" si="211"/>
        <v>y</v>
      </c>
      <c r="SZE1" s="154" t="str">
        <f t="shared" si="211"/>
        <v>y</v>
      </c>
      <c r="SZF1" s="154" t="str">
        <f t="shared" si="211"/>
        <v>y</v>
      </c>
      <c r="SZG1" s="154" t="str">
        <f t="shared" si="211"/>
        <v>y</v>
      </c>
      <c r="SZH1" s="154" t="str">
        <f t="shared" si="211"/>
        <v>y</v>
      </c>
      <c r="SZI1" s="154" t="str">
        <f t="shared" si="211"/>
        <v>y</v>
      </c>
      <c r="SZJ1" s="154" t="str">
        <f t="shared" si="211"/>
        <v>y</v>
      </c>
      <c r="SZK1" s="154" t="str">
        <f t="shared" si="211"/>
        <v>y</v>
      </c>
      <c r="SZL1" s="154" t="str">
        <f t="shared" si="211"/>
        <v>y</v>
      </c>
      <c r="SZM1" s="154" t="str">
        <f t="shared" si="211"/>
        <v>y</v>
      </c>
      <c r="SZN1" s="154" t="str">
        <f t="shared" si="211"/>
        <v>y</v>
      </c>
      <c r="SZO1" s="154" t="str">
        <f t="shared" si="211"/>
        <v>y</v>
      </c>
      <c r="SZP1" s="154" t="str">
        <f t="shared" si="211"/>
        <v>y</v>
      </c>
      <c r="SZQ1" s="154" t="str">
        <f t="shared" si="211"/>
        <v>y</v>
      </c>
      <c r="SZR1" s="154" t="str">
        <f t="shared" si="211"/>
        <v>y</v>
      </c>
      <c r="SZS1" s="154" t="str">
        <f t="shared" si="211"/>
        <v>y</v>
      </c>
      <c r="SZT1" s="154" t="str">
        <f t="shared" si="211"/>
        <v>y</v>
      </c>
      <c r="SZU1" s="154" t="str">
        <f t="shared" si="211"/>
        <v>y</v>
      </c>
      <c r="SZV1" s="154" t="str">
        <f t="shared" si="211"/>
        <v>y</v>
      </c>
      <c r="SZW1" s="154" t="str">
        <f t="shared" si="211"/>
        <v>y</v>
      </c>
      <c r="SZX1" s="154" t="str">
        <f t="shared" si="211"/>
        <v>y</v>
      </c>
      <c r="SZY1" s="154" t="str">
        <f t="shared" si="211"/>
        <v>y</v>
      </c>
      <c r="SZZ1" s="154" t="str">
        <f t="shared" si="211"/>
        <v>y</v>
      </c>
      <c r="TAA1" s="154" t="str">
        <f t="shared" si="211"/>
        <v>y</v>
      </c>
      <c r="TAB1" s="154" t="str">
        <f t="shared" si="211"/>
        <v>y</v>
      </c>
      <c r="TAC1" s="154" t="str">
        <f t="shared" si="211"/>
        <v>y</v>
      </c>
      <c r="TAD1" s="154" t="str">
        <f t="shared" si="211"/>
        <v>y</v>
      </c>
      <c r="TAE1" s="154" t="str">
        <f t="shared" si="211"/>
        <v>y</v>
      </c>
      <c r="TAF1" s="154" t="str">
        <f t="shared" si="211"/>
        <v>y</v>
      </c>
      <c r="TAG1" s="154" t="str">
        <f t="shared" si="211"/>
        <v>y</v>
      </c>
      <c r="TAH1" s="154" t="str">
        <f t="shared" si="211"/>
        <v>y</v>
      </c>
      <c r="TAI1" s="154" t="str">
        <f t="shared" si="211"/>
        <v>y</v>
      </c>
      <c r="TAJ1" s="154" t="str">
        <f t="shared" si="211"/>
        <v>y</v>
      </c>
      <c r="TAK1" s="154" t="str">
        <f t="shared" si="211"/>
        <v>y</v>
      </c>
      <c r="TAL1" s="154" t="str">
        <f t="shared" si="211"/>
        <v>y</v>
      </c>
      <c r="TAM1" s="154" t="str">
        <f t="shared" si="211"/>
        <v>y</v>
      </c>
      <c r="TAN1" s="154" t="str">
        <f t="shared" si="211"/>
        <v>y</v>
      </c>
      <c r="TAO1" s="154" t="str">
        <f t="shared" si="211"/>
        <v>y</v>
      </c>
      <c r="TAP1" s="154" t="str">
        <f t="shared" si="211"/>
        <v>y</v>
      </c>
      <c r="TAQ1" s="154" t="str">
        <f t="shared" si="211"/>
        <v>y</v>
      </c>
      <c r="TAR1" s="154" t="str">
        <f t="shared" si="211"/>
        <v>y</v>
      </c>
      <c r="TAS1" s="154" t="str">
        <f t="shared" si="211"/>
        <v>y</v>
      </c>
      <c r="TAT1" s="154" t="str">
        <f t="shared" si="211"/>
        <v>y</v>
      </c>
      <c r="TAU1" s="154" t="str">
        <f t="shared" si="211"/>
        <v>y</v>
      </c>
      <c r="TAV1" s="154" t="str">
        <f t="shared" si="211"/>
        <v>y</v>
      </c>
      <c r="TAW1" s="154" t="str">
        <f t="shared" si="211"/>
        <v>y</v>
      </c>
      <c r="TAX1" s="154" t="str">
        <f t="shared" si="211"/>
        <v>y</v>
      </c>
      <c r="TAY1" s="154" t="str">
        <f t="shared" si="211"/>
        <v>y</v>
      </c>
      <c r="TAZ1" s="154" t="str">
        <f t="shared" ref="TAZ1:TDK1" si="212">TAZ2&amp;"y"</f>
        <v>y</v>
      </c>
      <c r="TBA1" s="154" t="str">
        <f t="shared" si="212"/>
        <v>y</v>
      </c>
      <c r="TBB1" s="154" t="str">
        <f t="shared" si="212"/>
        <v>y</v>
      </c>
      <c r="TBC1" s="154" t="str">
        <f t="shared" si="212"/>
        <v>y</v>
      </c>
      <c r="TBD1" s="154" t="str">
        <f t="shared" si="212"/>
        <v>y</v>
      </c>
      <c r="TBE1" s="154" t="str">
        <f t="shared" si="212"/>
        <v>y</v>
      </c>
      <c r="TBF1" s="154" t="str">
        <f t="shared" si="212"/>
        <v>y</v>
      </c>
      <c r="TBG1" s="154" t="str">
        <f t="shared" si="212"/>
        <v>y</v>
      </c>
      <c r="TBH1" s="154" t="str">
        <f t="shared" si="212"/>
        <v>y</v>
      </c>
      <c r="TBI1" s="154" t="str">
        <f t="shared" si="212"/>
        <v>y</v>
      </c>
      <c r="TBJ1" s="154" t="str">
        <f t="shared" si="212"/>
        <v>y</v>
      </c>
      <c r="TBK1" s="154" t="str">
        <f t="shared" si="212"/>
        <v>y</v>
      </c>
      <c r="TBL1" s="154" t="str">
        <f t="shared" si="212"/>
        <v>y</v>
      </c>
      <c r="TBM1" s="154" t="str">
        <f t="shared" si="212"/>
        <v>y</v>
      </c>
      <c r="TBN1" s="154" t="str">
        <f t="shared" si="212"/>
        <v>y</v>
      </c>
      <c r="TBO1" s="154" t="str">
        <f t="shared" si="212"/>
        <v>y</v>
      </c>
      <c r="TBP1" s="154" t="str">
        <f t="shared" si="212"/>
        <v>y</v>
      </c>
      <c r="TBQ1" s="154" t="str">
        <f t="shared" si="212"/>
        <v>y</v>
      </c>
      <c r="TBR1" s="154" t="str">
        <f t="shared" si="212"/>
        <v>y</v>
      </c>
      <c r="TBS1" s="154" t="str">
        <f t="shared" si="212"/>
        <v>y</v>
      </c>
      <c r="TBT1" s="154" t="str">
        <f t="shared" si="212"/>
        <v>y</v>
      </c>
      <c r="TBU1" s="154" t="str">
        <f t="shared" si="212"/>
        <v>y</v>
      </c>
      <c r="TBV1" s="154" t="str">
        <f t="shared" si="212"/>
        <v>y</v>
      </c>
      <c r="TBW1" s="154" t="str">
        <f t="shared" si="212"/>
        <v>y</v>
      </c>
      <c r="TBX1" s="154" t="str">
        <f t="shared" si="212"/>
        <v>y</v>
      </c>
      <c r="TBY1" s="154" t="str">
        <f t="shared" si="212"/>
        <v>y</v>
      </c>
      <c r="TBZ1" s="154" t="str">
        <f t="shared" si="212"/>
        <v>y</v>
      </c>
      <c r="TCA1" s="154" t="str">
        <f t="shared" si="212"/>
        <v>y</v>
      </c>
      <c r="TCB1" s="154" t="str">
        <f t="shared" si="212"/>
        <v>y</v>
      </c>
      <c r="TCC1" s="154" t="str">
        <f t="shared" si="212"/>
        <v>y</v>
      </c>
      <c r="TCD1" s="154" t="str">
        <f t="shared" si="212"/>
        <v>y</v>
      </c>
      <c r="TCE1" s="154" t="str">
        <f t="shared" si="212"/>
        <v>y</v>
      </c>
      <c r="TCF1" s="154" t="str">
        <f t="shared" si="212"/>
        <v>y</v>
      </c>
      <c r="TCG1" s="154" t="str">
        <f t="shared" si="212"/>
        <v>y</v>
      </c>
      <c r="TCH1" s="154" t="str">
        <f t="shared" si="212"/>
        <v>y</v>
      </c>
      <c r="TCI1" s="154" t="str">
        <f t="shared" si="212"/>
        <v>y</v>
      </c>
      <c r="TCJ1" s="154" t="str">
        <f t="shared" si="212"/>
        <v>y</v>
      </c>
      <c r="TCK1" s="154" t="str">
        <f t="shared" si="212"/>
        <v>y</v>
      </c>
      <c r="TCL1" s="154" t="str">
        <f t="shared" si="212"/>
        <v>y</v>
      </c>
      <c r="TCM1" s="154" t="str">
        <f t="shared" si="212"/>
        <v>y</v>
      </c>
      <c r="TCN1" s="154" t="str">
        <f t="shared" si="212"/>
        <v>y</v>
      </c>
      <c r="TCO1" s="154" t="str">
        <f t="shared" si="212"/>
        <v>y</v>
      </c>
      <c r="TCP1" s="154" t="str">
        <f t="shared" si="212"/>
        <v>y</v>
      </c>
      <c r="TCQ1" s="154" t="str">
        <f t="shared" si="212"/>
        <v>y</v>
      </c>
      <c r="TCR1" s="154" t="str">
        <f t="shared" si="212"/>
        <v>y</v>
      </c>
      <c r="TCS1" s="154" t="str">
        <f t="shared" si="212"/>
        <v>y</v>
      </c>
      <c r="TCT1" s="154" t="str">
        <f t="shared" si="212"/>
        <v>y</v>
      </c>
      <c r="TCU1" s="154" t="str">
        <f t="shared" si="212"/>
        <v>y</v>
      </c>
      <c r="TCV1" s="154" t="str">
        <f t="shared" si="212"/>
        <v>y</v>
      </c>
      <c r="TCW1" s="154" t="str">
        <f t="shared" si="212"/>
        <v>y</v>
      </c>
      <c r="TCX1" s="154" t="str">
        <f t="shared" si="212"/>
        <v>y</v>
      </c>
      <c r="TCY1" s="154" t="str">
        <f t="shared" si="212"/>
        <v>y</v>
      </c>
      <c r="TCZ1" s="154" t="str">
        <f t="shared" si="212"/>
        <v>y</v>
      </c>
      <c r="TDA1" s="154" t="str">
        <f t="shared" si="212"/>
        <v>y</v>
      </c>
      <c r="TDB1" s="154" t="str">
        <f t="shared" si="212"/>
        <v>y</v>
      </c>
      <c r="TDC1" s="154" t="str">
        <f t="shared" si="212"/>
        <v>y</v>
      </c>
      <c r="TDD1" s="154" t="str">
        <f t="shared" si="212"/>
        <v>y</v>
      </c>
      <c r="TDE1" s="154" t="str">
        <f t="shared" si="212"/>
        <v>y</v>
      </c>
      <c r="TDF1" s="154" t="str">
        <f t="shared" si="212"/>
        <v>y</v>
      </c>
      <c r="TDG1" s="154" t="str">
        <f t="shared" si="212"/>
        <v>y</v>
      </c>
      <c r="TDH1" s="154" t="str">
        <f t="shared" si="212"/>
        <v>y</v>
      </c>
      <c r="TDI1" s="154" t="str">
        <f t="shared" si="212"/>
        <v>y</v>
      </c>
      <c r="TDJ1" s="154" t="str">
        <f t="shared" si="212"/>
        <v>y</v>
      </c>
      <c r="TDK1" s="154" t="str">
        <f t="shared" si="212"/>
        <v>y</v>
      </c>
      <c r="TDL1" s="154" t="str">
        <f t="shared" ref="TDL1:TFW1" si="213">TDL2&amp;"y"</f>
        <v>y</v>
      </c>
      <c r="TDM1" s="154" t="str">
        <f t="shared" si="213"/>
        <v>y</v>
      </c>
      <c r="TDN1" s="154" t="str">
        <f t="shared" si="213"/>
        <v>y</v>
      </c>
      <c r="TDO1" s="154" t="str">
        <f t="shared" si="213"/>
        <v>y</v>
      </c>
      <c r="TDP1" s="154" t="str">
        <f t="shared" si="213"/>
        <v>y</v>
      </c>
      <c r="TDQ1" s="154" t="str">
        <f t="shared" si="213"/>
        <v>y</v>
      </c>
      <c r="TDR1" s="154" t="str">
        <f t="shared" si="213"/>
        <v>y</v>
      </c>
      <c r="TDS1" s="154" t="str">
        <f t="shared" si="213"/>
        <v>y</v>
      </c>
      <c r="TDT1" s="154" t="str">
        <f t="shared" si="213"/>
        <v>y</v>
      </c>
      <c r="TDU1" s="154" t="str">
        <f t="shared" si="213"/>
        <v>y</v>
      </c>
      <c r="TDV1" s="154" t="str">
        <f t="shared" si="213"/>
        <v>y</v>
      </c>
      <c r="TDW1" s="154" t="str">
        <f t="shared" si="213"/>
        <v>y</v>
      </c>
      <c r="TDX1" s="154" t="str">
        <f t="shared" si="213"/>
        <v>y</v>
      </c>
      <c r="TDY1" s="154" t="str">
        <f t="shared" si="213"/>
        <v>y</v>
      </c>
      <c r="TDZ1" s="154" t="str">
        <f t="shared" si="213"/>
        <v>y</v>
      </c>
      <c r="TEA1" s="154" t="str">
        <f t="shared" si="213"/>
        <v>y</v>
      </c>
      <c r="TEB1" s="154" t="str">
        <f t="shared" si="213"/>
        <v>y</v>
      </c>
      <c r="TEC1" s="154" t="str">
        <f t="shared" si="213"/>
        <v>y</v>
      </c>
      <c r="TED1" s="154" t="str">
        <f t="shared" si="213"/>
        <v>y</v>
      </c>
      <c r="TEE1" s="154" t="str">
        <f t="shared" si="213"/>
        <v>y</v>
      </c>
      <c r="TEF1" s="154" t="str">
        <f t="shared" si="213"/>
        <v>y</v>
      </c>
      <c r="TEG1" s="154" t="str">
        <f t="shared" si="213"/>
        <v>y</v>
      </c>
      <c r="TEH1" s="154" t="str">
        <f t="shared" si="213"/>
        <v>y</v>
      </c>
      <c r="TEI1" s="154" t="str">
        <f t="shared" si="213"/>
        <v>y</v>
      </c>
      <c r="TEJ1" s="154" t="str">
        <f t="shared" si="213"/>
        <v>y</v>
      </c>
      <c r="TEK1" s="154" t="str">
        <f t="shared" si="213"/>
        <v>y</v>
      </c>
      <c r="TEL1" s="154" t="str">
        <f t="shared" si="213"/>
        <v>y</v>
      </c>
      <c r="TEM1" s="154" t="str">
        <f t="shared" si="213"/>
        <v>y</v>
      </c>
      <c r="TEN1" s="154" t="str">
        <f t="shared" si="213"/>
        <v>y</v>
      </c>
      <c r="TEO1" s="154" t="str">
        <f t="shared" si="213"/>
        <v>y</v>
      </c>
      <c r="TEP1" s="154" t="str">
        <f t="shared" si="213"/>
        <v>y</v>
      </c>
      <c r="TEQ1" s="154" t="str">
        <f t="shared" si="213"/>
        <v>y</v>
      </c>
      <c r="TER1" s="154" t="str">
        <f t="shared" si="213"/>
        <v>y</v>
      </c>
      <c r="TES1" s="154" t="str">
        <f t="shared" si="213"/>
        <v>y</v>
      </c>
      <c r="TET1" s="154" t="str">
        <f t="shared" si="213"/>
        <v>y</v>
      </c>
      <c r="TEU1" s="154" t="str">
        <f t="shared" si="213"/>
        <v>y</v>
      </c>
      <c r="TEV1" s="154" t="str">
        <f t="shared" si="213"/>
        <v>y</v>
      </c>
      <c r="TEW1" s="154" t="str">
        <f t="shared" si="213"/>
        <v>y</v>
      </c>
      <c r="TEX1" s="154" t="str">
        <f t="shared" si="213"/>
        <v>y</v>
      </c>
      <c r="TEY1" s="154" t="str">
        <f t="shared" si="213"/>
        <v>y</v>
      </c>
      <c r="TEZ1" s="154" t="str">
        <f t="shared" si="213"/>
        <v>y</v>
      </c>
      <c r="TFA1" s="154" t="str">
        <f t="shared" si="213"/>
        <v>y</v>
      </c>
      <c r="TFB1" s="154" t="str">
        <f t="shared" si="213"/>
        <v>y</v>
      </c>
      <c r="TFC1" s="154" t="str">
        <f t="shared" si="213"/>
        <v>y</v>
      </c>
      <c r="TFD1" s="154" t="str">
        <f t="shared" si="213"/>
        <v>y</v>
      </c>
      <c r="TFE1" s="154" t="str">
        <f t="shared" si="213"/>
        <v>y</v>
      </c>
      <c r="TFF1" s="154" t="str">
        <f t="shared" si="213"/>
        <v>y</v>
      </c>
      <c r="TFG1" s="154" t="str">
        <f t="shared" si="213"/>
        <v>y</v>
      </c>
      <c r="TFH1" s="154" t="str">
        <f t="shared" si="213"/>
        <v>y</v>
      </c>
      <c r="TFI1" s="154" t="str">
        <f t="shared" si="213"/>
        <v>y</v>
      </c>
      <c r="TFJ1" s="154" t="str">
        <f t="shared" si="213"/>
        <v>y</v>
      </c>
      <c r="TFK1" s="154" t="str">
        <f t="shared" si="213"/>
        <v>y</v>
      </c>
      <c r="TFL1" s="154" t="str">
        <f t="shared" si="213"/>
        <v>y</v>
      </c>
      <c r="TFM1" s="154" t="str">
        <f t="shared" si="213"/>
        <v>y</v>
      </c>
      <c r="TFN1" s="154" t="str">
        <f t="shared" si="213"/>
        <v>y</v>
      </c>
      <c r="TFO1" s="154" t="str">
        <f t="shared" si="213"/>
        <v>y</v>
      </c>
      <c r="TFP1" s="154" t="str">
        <f t="shared" si="213"/>
        <v>y</v>
      </c>
      <c r="TFQ1" s="154" t="str">
        <f t="shared" si="213"/>
        <v>y</v>
      </c>
      <c r="TFR1" s="154" t="str">
        <f t="shared" si="213"/>
        <v>y</v>
      </c>
      <c r="TFS1" s="154" t="str">
        <f t="shared" si="213"/>
        <v>y</v>
      </c>
      <c r="TFT1" s="154" t="str">
        <f t="shared" si="213"/>
        <v>y</v>
      </c>
      <c r="TFU1" s="154" t="str">
        <f t="shared" si="213"/>
        <v>y</v>
      </c>
      <c r="TFV1" s="154" t="str">
        <f t="shared" si="213"/>
        <v>y</v>
      </c>
      <c r="TFW1" s="154" t="str">
        <f t="shared" si="213"/>
        <v>y</v>
      </c>
      <c r="TFX1" s="154" t="str">
        <f t="shared" ref="TFX1:TII1" si="214">TFX2&amp;"y"</f>
        <v>y</v>
      </c>
      <c r="TFY1" s="154" t="str">
        <f t="shared" si="214"/>
        <v>y</v>
      </c>
      <c r="TFZ1" s="154" t="str">
        <f t="shared" si="214"/>
        <v>y</v>
      </c>
      <c r="TGA1" s="154" t="str">
        <f t="shared" si="214"/>
        <v>y</v>
      </c>
      <c r="TGB1" s="154" t="str">
        <f t="shared" si="214"/>
        <v>y</v>
      </c>
      <c r="TGC1" s="154" t="str">
        <f t="shared" si="214"/>
        <v>y</v>
      </c>
      <c r="TGD1" s="154" t="str">
        <f t="shared" si="214"/>
        <v>y</v>
      </c>
      <c r="TGE1" s="154" t="str">
        <f t="shared" si="214"/>
        <v>y</v>
      </c>
      <c r="TGF1" s="154" t="str">
        <f t="shared" si="214"/>
        <v>y</v>
      </c>
      <c r="TGG1" s="154" t="str">
        <f t="shared" si="214"/>
        <v>y</v>
      </c>
      <c r="TGH1" s="154" t="str">
        <f t="shared" si="214"/>
        <v>y</v>
      </c>
      <c r="TGI1" s="154" t="str">
        <f t="shared" si="214"/>
        <v>y</v>
      </c>
      <c r="TGJ1" s="154" t="str">
        <f t="shared" si="214"/>
        <v>y</v>
      </c>
      <c r="TGK1" s="154" t="str">
        <f t="shared" si="214"/>
        <v>y</v>
      </c>
      <c r="TGL1" s="154" t="str">
        <f t="shared" si="214"/>
        <v>y</v>
      </c>
      <c r="TGM1" s="154" t="str">
        <f t="shared" si="214"/>
        <v>y</v>
      </c>
      <c r="TGN1" s="154" t="str">
        <f t="shared" si="214"/>
        <v>y</v>
      </c>
      <c r="TGO1" s="154" t="str">
        <f t="shared" si="214"/>
        <v>y</v>
      </c>
      <c r="TGP1" s="154" t="str">
        <f t="shared" si="214"/>
        <v>y</v>
      </c>
      <c r="TGQ1" s="154" t="str">
        <f t="shared" si="214"/>
        <v>y</v>
      </c>
      <c r="TGR1" s="154" t="str">
        <f t="shared" si="214"/>
        <v>y</v>
      </c>
      <c r="TGS1" s="154" t="str">
        <f t="shared" si="214"/>
        <v>y</v>
      </c>
      <c r="TGT1" s="154" t="str">
        <f t="shared" si="214"/>
        <v>y</v>
      </c>
      <c r="TGU1" s="154" t="str">
        <f t="shared" si="214"/>
        <v>y</v>
      </c>
      <c r="TGV1" s="154" t="str">
        <f t="shared" si="214"/>
        <v>y</v>
      </c>
      <c r="TGW1" s="154" t="str">
        <f t="shared" si="214"/>
        <v>y</v>
      </c>
      <c r="TGX1" s="154" t="str">
        <f t="shared" si="214"/>
        <v>y</v>
      </c>
      <c r="TGY1" s="154" t="str">
        <f t="shared" si="214"/>
        <v>y</v>
      </c>
      <c r="TGZ1" s="154" t="str">
        <f t="shared" si="214"/>
        <v>y</v>
      </c>
      <c r="THA1" s="154" t="str">
        <f t="shared" si="214"/>
        <v>y</v>
      </c>
      <c r="THB1" s="154" t="str">
        <f t="shared" si="214"/>
        <v>y</v>
      </c>
      <c r="THC1" s="154" t="str">
        <f t="shared" si="214"/>
        <v>y</v>
      </c>
      <c r="THD1" s="154" t="str">
        <f t="shared" si="214"/>
        <v>y</v>
      </c>
      <c r="THE1" s="154" t="str">
        <f t="shared" si="214"/>
        <v>y</v>
      </c>
      <c r="THF1" s="154" t="str">
        <f t="shared" si="214"/>
        <v>y</v>
      </c>
      <c r="THG1" s="154" t="str">
        <f t="shared" si="214"/>
        <v>y</v>
      </c>
      <c r="THH1" s="154" t="str">
        <f t="shared" si="214"/>
        <v>y</v>
      </c>
      <c r="THI1" s="154" t="str">
        <f t="shared" si="214"/>
        <v>y</v>
      </c>
      <c r="THJ1" s="154" t="str">
        <f t="shared" si="214"/>
        <v>y</v>
      </c>
      <c r="THK1" s="154" t="str">
        <f t="shared" si="214"/>
        <v>y</v>
      </c>
      <c r="THL1" s="154" t="str">
        <f t="shared" si="214"/>
        <v>y</v>
      </c>
      <c r="THM1" s="154" t="str">
        <f t="shared" si="214"/>
        <v>y</v>
      </c>
      <c r="THN1" s="154" t="str">
        <f t="shared" si="214"/>
        <v>y</v>
      </c>
      <c r="THO1" s="154" t="str">
        <f t="shared" si="214"/>
        <v>y</v>
      </c>
      <c r="THP1" s="154" t="str">
        <f t="shared" si="214"/>
        <v>y</v>
      </c>
      <c r="THQ1" s="154" t="str">
        <f t="shared" si="214"/>
        <v>y</v>
      </c>
      <c r="THR1" s="154" t="str">
        <f t="shared" si="214"/>
        <v>y</v>
      </c>
      <c r="THS1" s="154" t="str">
        <f t="shared" si="214"/>
        <v>y</v>
      </c>
      <c r="THT1" s="154" t="str">
        <f t="shared" si="214"/>
        <v>y</v>
      </c>
      <c r="THU1" s="154" t="str">
        <f t="shared" si="214"/>
        <v>y</v>
      </c>
      <c r="THV1" s="154" t="str">
        <f t="shared" si="214"/>
        <v>y</v>
      </c>
      <c r="THW1" s="154" t="str">
        <f t="shared" si="214"/>
        <v>y</v>
      </c>
      <c r="THX1" s="154" t="str">
        <f t="shared" si="214"/>
        <v>y</v>
      </c>
      <c r="THY1" s="154" t="str">
        <f t="shared" si="214"/>
        <v>y</v>
      </c>
      <c r="THZ1" s="154" t="str">
        <f t="shared" si="214"/>
        <v>y</v>
      </c>
      <c r="TIA1" s="154" t="str">
        <f t="shared" si="214"/>
        <v>y</v>
      </c>
      <c r="TIB1" s="154" t="str">
        <f t="shared" si="214"/>
        <v>y</v>
      </c>
      <c r="TIC1" s="154" t="str">
        <f t="shared" si="214"/>
        <v>y</v>
      </c>
      <c r="TID1" s="154" t="str">
        <f t="shared" si="214"/>
        <v>y</v>
      </c>
      <c r="TIE1" s="154" t="str">
        <f t="shared" si="214"/>
        <v>y</v>
      </c>
      <c r="TIF1" s="154" t="str">
        <f t="shared" si="214"/>
        <v>y</v>
      </c>
      <c r="TIG1" s="154" t="str">
        <f t="shared" si="214"/>
        <v>y</v>
      </c>
      <c r="TIH1" s="154" t="str">
        <f t="shared" si="214"/>
        <v>y</v>
      </c>
      <c r="TII1" s="154" t="str">
        <f t="shared" si="214"/>
        <v>y</v>
      </c>
      <c r="TIJ1" s="154" t="str">
        <f t="shared" ref="TIJ1:TKU1" si="215">TIJ2&amp;"y"</f>
        <v>y</v>
      </c>
      <c r="TIK1" s="154" t="str">
        <f t="shared" si="215"/>
        <v>y</v>
      </c>
      <c r="TIL1" s="154" t="str">
        <f t="shared" si="215"/>
        <v>y</v>
      </c>
      <c r="TIM1" s="154" t="str">
        <f t="shared" si="215"/>
        <v>y</v>
      </c>
      <c r="TIN1" s="154" t="str">
        <f t="shared" si="215"/>
        <v>y</v>
      </c>
      <c r="TIO1" s="154" t="str">
        <f t="shared" si="215"/>
        <v>y</v>
      </c>
      <c r="TIP1" s="154" t="str">
        <f t="shared" si="215"/>
        <v>y</v>
      </c>
      <c r="TIQ1" s="154" t="str">
        <f t="shared" si="215"/>
        <v>y</v>
      </c>
      <c r="TIR1" s="154" t="str">
        <f t="shared" si="215"/>
        <v>y</v>
      </c>
      <c r="TIS1" s="154" t="str">
        <f t="shared" si="215"/>
        <v>y</v>
      </c>
      <c r="TIT1" s="154" t="str">
        <f t="shared" si="215"/>
        <v>y</v>
      </c>
      <c r="TIU1" s="154" t="str">
        <f t="shared" si="215"/>
        <v>y</v>
      </c>
      <c r="TIV1" s="154" t="str">
        <f t="shared" si="215"/>
        <v>y</v>
      </c>
      <c r="TIW1" s="154" t="str">
        <f t="shared" si="215"/>
        <v>y</v>
      </c>
      <c r="TIX1" s="154" t="str">
        <f t="shared" si="215"/>
        <v>y</v>
      </c>
      <c r="TIY1" s="154" t="str">
        <f t="shared" si="215"/>
        <v>y</v>
      </c>
      <c r="TIZ1" s="154" t="str">
        <f t="shared" si="215"/>
        <v>y</v>
      </c>
      <c r="TJA1" s="154" t="str">
        <f t="shared" si="215"/>
        <v>y</v>
      </c>
      <c r="TJB1" s="154" t="str">
        <f t="shared" si="215"/>
        <v>y</v>
      </c>
      <c r="TJC1" s="154" t="str">
        <f t="shared" si="215"/>
        <v>y</v>
      </c>
      <c r="TJD1" s="154" t="str">
        <f t="shared" si="215"/>
        <v>y</v>
      </c>
      <c r="TJE1" s="154" t="str">
        <f t="shared" si="215"/>
        <v>y</v>
      </c>
      <c r="TJF1" s="154" t="str">
        <f t="shared" si="215"/>
        <v>y</v>
      </c>
      <c r="TJG1" s="154" t="str">
        <f t="shared" si="215"/>
        <v>y</v>
      </c>
      <c r="TJH1" s="154" t="str">
        <f t="shared" si="215"/>
        <v>y</v>
      </c>
      <c r="TJI1" s="154" t="str">
        <f t="shared" si="215"/>
        <v>y</v>
      </c>
      <c r="TJJ1" s="154" t="str">
        <f t="shared" si="215"/>
        <v>y</v>
      </c>
      <c r="TJK1" s="154" t="str">
        <f t="shared" si="215"/>
        <v>y</v>
      </c>
      <c r="TJL1" s="154" t="str">
        <f t="shared" si="215"/>
        <v>y</v>
      </c>
      <c r="TJM1" s="154" t="str">
        <f t="shared" si="215"/>
        <v>y</v>
      </c>
      <c r="TJN1" s="154" t="str">
        <f t="shared" si="215"/>
        <v>y</v>
      </c>
      <c r="TJO1" s="154" t="str">
        <f t="shared" si="215"/>
        <v>y</v>
      </c>
      <c r="TJP1" s="154" t="str">
        <f t="shared" si="215"/>
        <v>y</v>
      </c>
      <c r="TJQ1" s="154" t="str">
        <f t="shared" si="215"/>
        <v>y</v>
      </c>
      <c r="TJR1" s="154" t="str">
        <f t="shared" si="215"/>
        <v>y</v>
      </c>
      <c r="TJS1" s="154" t="str">
        <f t="shared" si="215"/>
        <v>y</v>
      </c>
      <c r="TJT1" s="154" t="str">
        <f t="shared" si="215"/>
        <v>y</v>
      </c>
      <c r="TJU1" s="154" t="str">
        <f t="shared" si="215"/>
        <v>y</v>
      </c>
      <c r="TJV1" s="154" t="str">
        <f t="shared" si="215"/>
        <v>y</v>
      </c>
      <c r="TJW1" s="154" t="str">
        <f t="shared" si="215"/>
        <v>y</v>
      </c>
      <c r="TJX1" s="154" t="str">
        <f t="shared" si="215"/>
        <v>y</v>
      </c>
      <c r="TJY1" s="154" t="str">
        <f t="shared" si="215"/>
        <v>y</v>
      </c>
      <c r="TJZ1" s="154" t="str">
        <f t="shared" si="215"/>
        <v>y</v>
      </c>
      <c r="TKA1" s="154" t="str">
        <f t="shared" si="215"/>
        <v>y</v>
      </c>
      <c r="TKB1" s="154" t="str">
        <f t="shared" si="215"/>
        <v>y</v>
      </c>
      <c r="TKC1" s="154" t="str">
        <f t="shared" si="215"/>
        <v>y</v>
      </c>
      <c r="TKD1" s="154" t="str">
        <f t="shared" si="215"/>
        <v>y</v>
      </c>
      <c r="TKE1" s="154" t="str">
        <f t="shared" si="215"/>
        <v>y</v>
      </c>
      <c r="TKF1" s="154" t="str">
        <f t="shared" si="215"/>
        <v>y</v>
      </c>
      <c r="TKG1" s="154" t="str">
        <f t="shared" si="215"/>
        <v>y</v>
      </c>
      <c r="TKH1" s="154" t="str">
        <f t="shared" si="215"/>
        <v>y</v>
      </c>
      <c r="TKI1" s="154" t="str">
        <f t="shared" si="215"/>
        <v>y</v>
      </c>
      <c r="TKJ1" s="154" t="str">
        <f t="shared" si="215"/>
        <v>y</v>
      </c>
      <c r="TKK1" s="154" t="str">
        <f t="shared" si="215"/>
        <v>y</v>
      </c>
      <c r="TKL1" s="154" t="str">
        <f t="shared" si="215"/>
        <v>y</v>
      </c>
      <c r="TKM1" s="154" t="str">
        <f t="shared" si="215"/>
        <v>y</v>
      </c>
      <c r="TKN1" s="154" t="str">
        <f t="shared" si="215"/>
        <v>y</v>
      </c>
      <c r="TKO1" s="154" t="str">
        <f t="shared" si="215"/>
        <v>y</v>
      </c>
      <c r="TKP1" s="154" t="str">
        <f t="shared" si="215"/>
        <v>y</v>
      </c>
      <c r="TKQ1" s="154" t="str">
        <f t="shared" si="215"/>
        <v>y</v>
      </c>
      <c r="TKR1" s="154" t="str">
        <f t="shared" si="215"/>
        <v>y</v>
      </c>
      <c r="TKS1" s="154" t="str">
        <f t="shared" si="215"/>
        <v>y</v>
      </c>
      <c r="TKT1" s="154" t="str">
        <f t="shared" si="215"/>
        <v>y</v>
      </c>
      <c r="TKU1" s="154" t="str">
        <f t="shared" si="215"/>
        <v>y</v>
      </c>
      <c r="TKV1" s="154" t="str">
        <f t="shared" ref="TKV1:TNG1" si="216">TKV2&amp;"y"</f>
        <v>y</v>
      </c>
      <c r="TKW1" s="154" t="str">
        <f t="shared" si="216"/>
        <v>y</v>
      </c>
      <c r="TKX1" s="154" t="str">
        <f t="shared" si="216"/>
        <v>y</v>
      </c>
      <c r="TKY1" s="154" t="str">
        <f t="shared" si="216"/>
        <v>y</v>
      </c>
      <c r="TKZ1" s="154" t="str">
        <f t="shared" si="216"/>
        <v>y</v>
      </c>
      <c r="TLA1" s="154" t="str">
        <f t="shared" si="216"/>
        <v>y</v>
      </c>
      <c r="TLB1" s="154" t="str">
        <f t="shared" si="216"/>
        <v>y</v>
      </c>
      <c r="TLC1" s="154" t="str">
        <f t="shared" si="216"/>
        <v>y</v>
      </c>
      <c r="TLD1" s="154" t="str">
        <f t="shared" si="216"/>
        <v>y</v>
      </c>
      <c r="TLE1" s="154" t="str">
        <f t="shared" si="216"/>
        <v>y</v>
      </c>
      <c r="TLF1" s="154" t="str">
        <f t="shared" si="216"/>
        <v>y</v>
      </c>
      <c r="TLG1" s="154" t="str">
        <f t="shared" si="216"/>
        <v>y</v>
      </c>
      <c r="TLH1" s="154" t="str">
        <f t="shared" si="216"/>
        <v>y</v>
      </c>
      <c r="TLI1" s="154" t="str">
        <f t="shared" si="216"/>
        <v>y</v>
      </c>
      <c r="TLJ1" s="154" t="str">
        <f t="shared" si="216"/>
        <v>y</v>
      </c>
      <c r="TLK1" s="154" t="str">
        <f t="shared" si="216"/>
        <v>y</v>
      </c>
      <c r="TLL1" s="154" t="str">
        <f t="shared" si="216"/>
        <v>y</v>
      </c>
      <c r="TLM1" s="154" t="str">
        <f t="shared" si="216"/>
        <v>y</v>
      </c>
      <c r="TLN1" s="154" t="str">
        <f t="shared" si="216"/>
        <v>y</v>
      </c>
      <c r="TLO1" s="154" t="str">
        <f t="shared" si="216"/>
        <v>y</v>
      </c>
      <c r="TLP1" s="154" t="str">
        <f t="shared" si="216"/>
        <v>y</v>
      </c>
      <c r="TLQ1" s="154" t="str">
        <f t="shared" si="216"/>
        <v>y</v>
      </c>
      <c r="TLR1" s="154" t="str">
        <f t="shared" si="216"/>
        <v>y</v>
      </c>
      <c r="TLS1" s="154" t="str">
        <f t="shared" si="216"/>
        <v>y</v>
      </c>
      <c r="TLT1" s="154" t="str">
        <f t="shared" si="216"/>
        <v>y</v>
      </c>
      <c r="TLU1" s="154" t="str">
        <f t="shared" si="216"/>
        <v>y</v>
      </c>
      <c r="TLV1" s="154" t="str">
        <f t="shared" si="216"/>
        <v>y</v>
      </c>
      <c r="TLW1" s="154" t="str">
        <f t="shared" si="216"/>
        <v>y</v>
      </c>
      <c r="TLX1" s="154" t="str">
        <f t="shared" si="216"/>
        <v>y</v>
      </c>
      <c r="TLY1" s="154" t="str">
        <f t="shared" si="216"/>
        <v>y</v>
      </c>
      <c r="TLZ1" s="154" t="str">
        <f t="shared" si="216"/>
        <v>y</v>
      </c>
      <c r="TMA1" s="154" t="str">
        <f t="shared" si="216"/>
        <v>y</v>
      </c>
      <c r="TMB1" s="154" t="str">
        <f t="shared" si="216"/>
        <v>y</v>
      </c>
      <c r="TMC1" s="154" t="str">
        <f t="shared" si="216"/>
        <v>y</v>
      </c>
      <c r="TMD1" s="154" t="str">
        <f t="shared" si="216"/>
        <v>y</v>
      </c>
      <c r="TME1" s="154" t="str">
        <f t="shared" si="216"/>
        <v>y</v>
      </c>
      <c r="TMF1" s="154" t="str">
        <f t="shared" si="216"/>
        <v>y</v>
      </c>
      <c r="TMG1" s="154" t="str">
        <f t="shared" si="216"/>
        <v>y</v>
      </c>
      <c r="TMH1" s="154" t="str">
        <f t="shared" si="216"/>
        <v>y</v>
      </c>
      <c r="TMI1" s="154" t="str">
        <f t="shared" si="216"/>
        <v>y</v>
      </c>
      <c r="TMJ1" s="154" t="str">
        <f t="shared" si="216"/>
        <v>y</v>
      </c>
      <c r="TMK1" s="154" t="str">
        <f t="shared" si="216"/>
        <v>y</v>
      </c>
      <c r="TML1" s="154" t="str">
        <f t="shared" si="216"/>
        <v>y</v>
      </c>
      <c r="TMM1" s="154" t="str">
        <f t="shared" si="216"/>
        <v>y</v>
      </c>
      <c r="TMN1" s="154" t="str">
        <f t="shared" si="216"/>
        <v>y</v>
      </c>
      <c r="TMO1" s="154" t="str">
        <f t="shared" si="216"/>
        <v>y</v>
      </c>
      <c r="TMP1" s="154" t="str">
        <f t="shared" si="216"/>
        <v>y</v>
      </c>
      <c r="TMQ1" s="154" t="str">
        <f t="shared" si="216"/>
        <v>y</v>
      </c>
      <c r="TMR1" s="154" t="str">
        <f t="shared" si="216"/>
        <v>y</v>
      </c>
      <c r="TMS1" s="154" t="str">
        <f t="shared" si="216"/>
        <v>y</v>
      </c>
      <c r="TMT1" s="154" t="str">
        <f t="shared" si="216"/>
        <v>y</v>
      </c>
      <c r="TMU1" s="154" t="str">
        <f t="shared" si="216"/>
        <v>y</v>
      </c>
      <c r="TMV1" s="154" t="str">
        <f t="shared" si="216"/>
        <v>y</v>
      </c>
      <c r="TMW1" s="154" t="str">
        <f t="shared" si="216"/>
        <v>y</v>
      </c>
      <c r="TMX1" s="154" t="str">
        <f t="shared" si="216"/>
        <v>y</v>
      </c>
      <c r="TMY1" s="154" t="str">
        <f t="shared" si="216"/>
        <v>y</v>
      </c>
      <c r="TMZ1" s="154" t="str">
        <f t="shared" si="216"/>
        <v>y</v>
      </c>
      <c r="TNA1" s="154" t="str">
        <f t="shared" si="216"/>
        <v>y</v>
      </c>
      <c r="TNB1" s="154" t="str">
        <f t="shared" si="216"/>
        <v>y</v>
      </c>
      <c r="TNC1" s="154" t="str">
        <f t="shared" si="216"/>
        <v>y</v>
      </c>
      <c r="TND1" s="154" t="str">
        <f t="shared" si="216"/>
        <v>y</v>
      </c>
      <c r="TNE1" s="154" t="str">
        <f t="shared" si="216"/>
        <v>y</v>
      </c>
      <c r="TNF1" s="154" t="str">
        <f t="shared" si="216"/>
        <v>y</v>
      </c>
      <c r="TNG1" s="154" t="str">
        <f t="shared" si="216"/>
        <v>y</v>
      </c>
      <c r="TNH1" s="154" t="str">
        <f t="shared" ref="TNH1:TPS1" si="217">TNH2&amp;"y"</f>
        <v>y</v>
      </c>
      <c r="TNI1" s="154" t="str">
        <f t="shared" si="217"/>
        <v>y</v>
      </c>
      <c r="TNJ1" s="154" t="str">
        <f t="shared" si="217"/>
        <v>y</v>
      </c>
      <c r="TNK1" s="154" t="str">
        <f t="shared" si="217"/>
        <v>y</v>
      </c>
      <c r="TNL1" s="154" t="str">
        <f t="shared" si="217"/>
        <v>y</v>
      </c>
      <c r="TNM1" s="154" t="str">
        <f t="shared" si="217"/>
        <v>y</v>
      </c>
      <c r="TNN1" s="154" t="str">
        <f t="shared" si="217"/>
        <v>y</v>
      </c>
      <c r="TNO1" s="154" t="str">
        <f t="shared" si="217"/>
        <v>y</v>
      </c>
      <c r="TNP1" s="154" t="str">
        <f t="shared" si="217"/>
        <v>y</v>
      </c>
      <c r="TNQ1" s="154" t="str">
        <f t="shared" si="217"/>
        <v>y</v>
      </c>
      <c r="TNR1" s="154" t="str">
        <f t="shared" si="217"/>
        <v>y</v>
      </c>
      <c r="TNS1" s="154" t="str">
        <f t="shared" si="217"/>
        <v>y</v>
      </c>
      <c r="TNT1" s="154" t="str">
        <f t="shared" si="217"/>
        <v>y</v>
      </c>
      <c r="TNU1" s="154" t="str">
        <f t="shared" si="217"/>
        <v>y</v>
      </c>
      <c r="TNV1" s="154" t="str">
        <f t="shared" si="217"/>
        <v>y</v>
      </c>
      <c r="TNW1" s="154" t="str">
        <f t="shared" si="217"/>
        <v>y</v>
      </c>
      <c r="TNX1" s="154" t="str">
        <f t="shared" si="217"/>
        <v>y</v>
      </c>
      <c r="TNY1" s="154" t="str">
        <f t="shared" si="217"/>
        <v>y</v>
      </c>
      <c r="TNZ1" s="154" t="str">
        <f t="shared" si="217"/>
        <v>y</v>
      </c>
      <c r="TOA1" s="154" t="str">
        <f t="shared" si="217"/>
        <v>y</v>
      </c>
      <c r="TOB1" s="154" t="str">
        <f t="shared" si="217"/>
        <v>y</v>
      </c>
      <c r="TOC1" s="154" t="str">
        <f t="shared" si="217"/>
        <v>y</v>
      </c>
      <c r="TOD1" s="154" t="str">
        <f t="shared" si="217"/>
        <v>y</v>
      </c>
      <c r="TOE1" s="154" t="str">
        <f t="shared" si="217"/>
        <v>y</v>
      </c>
      <c r="TOF1" s="154" t="str">
        <f t="shared" si="217"/>
        <v>y</v>
      </c>
      <c r="TOG1" s="154" t="str">
        <f t="shared" si="217"/>
        <v>y</v>
      </c>
      <c r="TOH1" s="154" t="str">
        <f t="shared" si="217"/>
        <v>y</v>
      </c>
      <c r="TOI1" s="154" t="str">
        <f t="shared" si="217"/>
        <v>y</v>
      </c>
      <c r="TOJ1" s="154" t="str">
        <f t="shared" si="217"/>
        <v>y</v>
      </c>
      <c r="TOK1" s="154" t="str">
        <f t="shared" si="217"/>
        <v>y</v>
      </c>
      <c r="TOL1" s="154" t="str">
        <f t="shared" si="217"/>
        <v>y</v>
      </c>
      <c r="TOM1" s="154" t="str">
        <f t="shared" si="217"/>
        <v>y</v>
      </c>
      <c r="TON1" s="154" t="str">
        <f t="shared" si="217"/>
        <v>y</v>
      </c>
      <c r="TOO1" s="154" t="str">
        <f t="shared" si="217"/>
        <v>y</v>
      </c>
      <c r="TOP1" s="154" t="str">
        <f t="shared" si="217"/>
        <v>y</v>
      </c>
      <c r="TOQ1" s="154" t="str">
        <f t="shared" si="217"/>
        <v>y</v>
      </c>
      <c r="TOR1" s="154" t="str">
        <f t="shared" si="217"/>
        <v>y</v>
      </c>
      <c r="TOS1" s="154" t="str">
        <f t="shared" si="217"/>
        <v>y</v>
      </c>
      <c r="TOT1" s="154" t="str">
        <f t="shared" si="217"/>
        <v>y</v>
      </c>
      <c r="TOU1" s="154" t="str">
        <f t="shared" si="217"/>
        <v>y</v>
      </c>
      <c r="TOV1" s="154" t="str">
        <f t="shared" si="217"/>
        <v>y</v>
      </c>
      <c r="TOW1" s="154" t="str">
        <f t="shared" si="217"/>
        <v>y</v>
      </c>
      <c r="TOX1" s="154" t="str">
        <f t="shared" si="217"/>
        <v>y</v>
      </c>
      <c r="TOY1" s="154" t="str">
        <f t="shared" si="217"/>
        <v>y</v>
      </c>
      <c r="TOZ1" s="154" t="str">
        <f t="shared" si="217"/>
        <v>y</v>
      </c>
      <c r="TPA1" s="154" t="str">
        <f t="shared" si="217"/>
        <v>y</v>
      </c>
      <c r="TPB1" s="154" t="str">
        <f t="shared" si="217"/>
        <v>y</v>
      </c>
      <c r="TPC1" s="154" t="str">
        <f t="shared" si="217"/>
        <v>y</v>
      </c>
      <c r="TPD1" s="154" t="str">
        <f t="shared" si="217"/>
        <v>y</v>
      </c>
      <c r="TPE1" s="154" t="str">
        <f t="shared" si="217"/>
        <v>y</v>
      </c>
      <c r="TPF1" s="154" t="str">
        <f t="shared" si="217"/>
        <v>y</v>
      </c>
      <c r="TPG1" s="154" t="str">
        <f t="shared" si="217"/>
        <v>y</v>
      </c>
      <c r="TPH1" s="154" t="str">
        <f t="shared" si="217"/>
        <v>y</v>
      </c>
      <c r="TPI1" s="154" t="str">
        <f t="shared" si="217"/>
        <v>y</v>
      </c>
      <c r="TPJ1" s="154" t="str">
        <f t="shared" si="217"/>
        <v>y</v>
      </c>
      <c r="TPK1" s="154" t="str">
        <f t="shared" si="217"/>
        <v>y</v>
      </c>
      <c r="TPL1" s="154" t="str">
        <f t="shared" si="217"/>
        <v>y</v>
      </c>
      <c r="TPM1" s="154" t="str">
        <f t="shared" si="217"/>
        <v>y</v>
      </c>
      <c r="TPN1" s="154" t="str">
        <f t="shared" si="217"/>
        <v>y</v>
      </c>
      <c r="TPO1" s="154" t="str">
        <f t="shared" si="217"/>
        <v>y</v>
      </c>
      <c r="TPP1" s="154" t="str">
        <f t="shared" si="217"/>
        <v>y</v>
      </c>
      <c r="TPQ1" s="154" t="str">
        <f t="shared" si="217"/>
        <v>y</v>
      </c>
      <c r="TPR1" s="154" t="str">
        <f t="shared" si="217"/>
        <v>y</v>
      </c>
      <c r="TPS1" s="154" t="str">
        <f t="shared" si="217"/>
        <v>y</v>
      </c>
      <c r="TPT1" s="154" t="str">
        <f t="shared" ref="TPT1:TSE1" si="218">TPT2&amp;"y"</f>
        <v>y</v>
      </c>
      <c r="TPU1" s="154" t="str">
        <f t="shared" si="218"/>
        <v>y</v>
      </c>
      <c r="TPV1" s="154" t="str">
        <f t="shared" si="218"/>
        <v>y</v>
      </c>
      <c r="TPW1" s="154" t="str">
        <f t="shared" si="218"/>
        <v>y</v>
      </c>
      <c r="TPX1" s="154" t="str">
        <f t="shared" si="218"/>
        <v>y</v>
      </c>
      <c r="TPY1" s="154" t="str">
        <f t="shared" si="218"/>
        <v>y</v>
      </c>
      <c r="TPZ1" s="154" t="str">
        <f t="shared" si="218"/>
        <v>y</v>
      </c>
      <c r="TQA1" s="154" t="str">
        <f t="shared" si="218"/>
        <v>y</v>
      </c>
      <c r="TQB1" s="154" t="str">
        <f t="shared" si="218"/>
        <v>y</v>
      </c>
      <c r="TQC1" s="154" t="str">
        <f t="shared" si="218"/>
        <v>y</v>
      </c>
      <c r="TQD1" s="154" t="str">
        <f t="shared" si="218"/>
        <v>y</v>
      </c>
      <c r="TQE1" s="154" t="str">
        <f t="shared" si="218"/>
        <v>y</v>
      </c>
      <c r="TQF1" s="154" t="str">
        <f t="shared" si="218"/>
        <v>y</v>
      </c>
      <c r="TQG1" s="154" t="str">
        <f t="shared" si="218"/>
        <v>y</v>
      </c>
      <c r="TQH1" s="154" t="str">
        <f t="shared" si="218"/>
        <v>y</v>
      </c>
      <c r="TQI1" s="154" t="str">
        <f t="shared" si="218"/>
        <v>y</v>
      </c>
      <c r="TQJ1" s="154" t="str">
        <f t="shared" si="218"/>
        <v>y</v>
      </c>
      <c r="TQK1" s="154" t="str">
        <f t="shared" si="218"/>
        <v>y</v>
      </c>
      <c r="TQL1" s="154" t="str">
        <f t="shared" si="218"/>
        <v>y</v>
      </c>
      <c r="TQM1" s="154" t="str">
        <f t="shared" si="218"/>
        <v>y</v>
      </c>
      <c r="TQN1" s="154" t="str">
        <f t="shared" si="218"/>
        <v>y</v>
      </c>
      <c r="TQO1" s="154" t="str">
        <f t="shared" si="218"/>
        <v>y</v>
      </c>
      <c r="TQP1" s="154" t="str">
        <f t="shared" si="218"/>
        <v>y</v>
      </c>
      <c r="TQQ1" s="154" t="str">
        <f t="shared" si="218"/>
        <v>y</v>
      </c>
      <c r="TQR1" s="154" t="str">
        <f t="shared" si="218"/>
        <v>y</v>
      </c>
      <c r="TQS1" s="154" t="str">
        <f t="shared" si="218"/>
        <v>y</v>
      </c>
      <c r="TQT1" s="154" t="str">
        <f t="shared" si="218"/>
        <v>y</v>
      </c>
      <c r="TQU1" s="154" t="str">
        <f t="shared" si="218"/>
        <v>y</v>
      </c>
      <c r="TQV1" s="154" t="str">
        <f t="shared" si="218"/>
        <v>y</v>
      </c>
      <c r="TQW1" s="154" t="str">
        <f t="shared" si="218"/>
        <v>y</v>
      </c>
      <c r="TQX1" s="154" t="str">
        <f t="shared" si="218"/>
        <v>y</v>
      </c>
      <c r="TQY1" s="154" t="str">
        <f t="shared" si="218"/>
        <v>y</v>
      </c>
      <c r="TQZ1" s="154" t="str">
        <f t="shared" si="218"/>
        <v>y</v>
      </c>
      <c r="TRA1" s="154" t="str">
        <f t="shared" si="218"/>
        <v>y</v>
      </c>
      <c r="TRB1" s="154" t="str">
        <f t="shared" si="218"/>
        <v>y</v>
      </c>
      <c r="TRC1" s="154" t="str">
        <f t="shared" si="218"/>
        <v>y</v>
      </c>
      <c r="TRD1" s="154" t="str">
        <f t="shared" si="218"/>
        <v>y</v>
      </c>
      <c r="TRE1" s="154" t="str">
        <f t="shared" si="218"/>
        <v>y</v>
      </c>
      <c r="TRF1" s="154" t="str">
        <f t="shared" si="218"/>
        <v>y</v>
      </c>
      <c r="TRG1" s="154" t="str">
        <f t="shared" si="218"/>
        <v>y</v>
      </c>
      <c r="TRH1" s="154" t="str">
        <f t="shared" si="218"/>
        <v>y</v>
      </c>
      <c r="TRI1" s="154" t="str">
        <f t="shared" si="218"/>
        <v>y</v>
      </c>
      <c r="TRJ1" s="154" t="str">
        <f t="shared" si="218"/>
        <v>y</v>
      </c>
      <c r="TRK1" s="154" t="str">
        <f t="shared" si="218"/>
        <v>y</v>
      </c>
      <c r="TRL1" s="154" t="str">
        <f t="shared" si="218"/>
        <v>y</v>
      </c>
      <c r="TRM1" s="154" t="str">
        <f t="shared" si="218"/>
        <v>y</v>
      </c>
      <c r="TRN1" s="154" t="str">
        <f t="shared" si="218"/>
        <v>y</v>
      </c>
      <c r="TRO1" s="154" t="str">
        <f t="shared" si="218"/>
        <v>y</v>
      </c>
      <c r="TRP1" s="154" t="str">
        <f t="shared" si="218"/>
        <v>y</v>
      </c>
      <c r="TRQ1" s="154" t="str">
        <f t="shared" si="218"/>
        <v>y</v>
      </c>
      <c r="TRR1" s="154" t="str">
        <f t="shared" si="218"/>
        <v>y</v>
      </c>
      <c r="TRS1" s="154" t="str">
        <f t="shared" si="218"/>
        <v>y</v>
      </c>
      <c r="TRT1" s="154" t="str">
        <f t="shared" si="218"/>
        <v>y</v>
      </c>
      <c r="TRU1" s="154" t="str">
        <f t="shared" si="218"/>
        <v>y</v>
      </c>
      <c r="TRV1" s="154" t="str">
        <f t="shared" si="218"/>
        <v>y</v>
      </c>
      <c r="TRW1" s="154" t="str">
        <f t="shared" si="218"/>
        <v>y</v>
      </c>
      <c r="TRX1" s="154" t="str">
        <f t="shared" si="218"/>
        <v>y</v>
      </c>
      <c r="TRY1" s="154" t="str">
        <f t="shared" si="218"/>
        <v>y</v>
      </c>
      <c r="TRZ1" s="154" t="str">
        <f t="shared" si="218"/>
        <v>y</v>
      </c>
      <c r="TSA1" s="154" t="str">
        <f t="shared" si="218"/>
        <v>y</v>
      </c>
      <c r="TSB1" s="154" t="str">
        <f t="shared" si="218"/>
        <v>y</v>
      </c>
      <c r="TSC1" s="154" t="str">
        <f t="shared" si="218"/>
        <v>y</v>
      </c>
      <c r="TSD1" s="154" t="str">
        <f t="shared" si="218"/>
        <v>y</v>
      </c>
      <c r="TSE1" s="154" t="str">
        <f t="shared" si="218"/>
        <v>y</v>
      </c>
      <c r="TSF1" s="154" t="str">
        <f t="shared" ref="TSF1:TUQ1" si="219">TSF2&amp;"y"</f>
        <v>y</v>
      </c>
      <c r="TSG1" s="154" t="str">
        <f t="shared" si="219"/>
        <v>y</v>
      </c>
      <c r="TSH1" s="154" t="str">
        <f t="shared" si="219"/>
        <v>y</v>
      </c>
      <c r="TSI1" s="154" t="str">
        <f t="shared" si="219"/>
        <v>y</v>
      </c>
      <c r="TSJ1" s="154" t="str">
        <f t="shared" si="219"/>
        <v>y</v>
      </c>
      <c r="TSK1" s="154" t="str">
        <f t="shared" si="219"/>
        <v>y</v>
      </c>
      <c r="TSL1" s="154" t="str">
        <f t="shared" si="219"/>
        <v>y</v>
      </c>
      <c r="TSM1" s="154" t="str">
        <f t="shared" si="219"/>
        <v>y</v>
      </c>
      <c r="TSN1" s="154" t="str">
        <f t="shared" si="219"/>
        <v>y</v>
      </c>
      <c r="TSO1" s="154" t="str">
        <f t="shared" si="219"/>
        <v>y</v>
      </c>
      <c r="TSP1" s="154" t="str">
        <f t="shared" si="219"/>
        <v>y</v>
      </c>
      <c r="TSQ1" s="154" t="str">
        <f t="shared" si="219"/>
        <v>y</v>
      </c>
      <c r="TSR1" s="154" t="str">
        <f t="shared" si="219"/>
        <v>y</v>
      </c>
      <c r="TSS1" s="154" t="str">
        <f t="shared" si="219"/>
        <v>y</v>
      </c>
      <c r="TST1" s="154" t="str">
        <f t="shared" si="219"/>
        <v>y</v>
      </c>
      <c r="TSU1" s="154" t="str">
        <f t="shared" si="219"/>
        <v>y</v>
      </c>
      <c r="TSV1" s="154" t="str">
        <f t="shared" si="219"/>
        <v>y</v>
      </c>
      <c r="TSW1" s="154" t="str">
        <f t="shared" si="219"/>
        <v>y</v>
      </c>
      <c r="TSX1" s="154" t="str">
        <f t="shared" si="219"/>
        <v>y</v>
      </c>
      <c r="TSY1" s="154" t="str">
        <f t="shared" si="219"/>
        <v>y</v>
      </c>
      <c r="TSZ1" s="154" t="str">
        <f t="shared" si="219"/>
        <v>y</v>
      </c>
      <c r="TTA1" s="154" t="str">
        <f t="shared" si="219"/>
        <v>y</v>
      </c>
      <c r="TTB1" s="154" t="str">
        <f t="shared" si="219"/>
        <v>y</v>
      </c>
      <c r="TTC1" s="154" t="str">
        <f t="shared" si="219"/>
        <v>y</v>
      </c>
      <c r="TTD1" s="154" t="str">
        <f t="shared" si="219"/>
        <v>y</v>
      </c>
      <c r="TTE1" s="154" t="str">
        <f t="shared" si="219"/>
        <v>y</v>
      </c>
      <c r="TTF1" s="154" t="str">
        <f t="shared" si="219"/>
        <v>y</v>
      </c>
      <c r="TTG1" s="154" t="str">
        <f t="shared" si="219"/>
        <v>y</v>
      </c>
      <c r="TTH1" s="154" t="str">
        <f t="shared" si="219"/>
        <v>y</v>
      </c>
      <c r="TTI1" s="154" t="str">
        <f t="shared" si="219"/>
        <v>y</v>
      </c>
      <c r="TTJ1" s="154" t="str">
        <f t="shared" si="219"/>
        <v>y</v>
      </c>
      <c r="TTK1" s="154" t="str">
        <f t="shared" si="219"/>
        <v>y</v>
      </c>
      <c r="TTL1" s="154" t="str">
        <f t="shared" si="219"/>
        <v>y</v>
      </c>
      <c r="TTM1" s="154" t="str">
        <f t="shared" si="219"/>
        <v>y</v>
      </c>
      <c r="TTN1" s="154" t="str">
        <f t="shared" si="219"/>
        <v>y</v>
      </c>
      <c r="TTO1" s="154" t="str">
        <f t="shared" si="219"/>
        <v>y</v>
      </c>
      <c r="TTP1" s="154" t="str">
        <f t="shared" si="219"/>
        <v>y</v>
      </c>
      <c r="TTQ1" s="154" t="str">
        <f t="shared" si="219"/>
        <v>y</v>
      </c>
      <c r="TTR1" s="154" t="str">
        <f t="shared" si="219"/>
        <v>y</v>
      </c>
      <c r="TTS1" s="154" t="str">
        <f t="shared" si="219"/>
        <v>y</v>
      </c>
      <c r="TTT1" s="154" t="str">
        <f t="shared" si="219"/>
        <v>y</v>
      </c>
      <c r="TTU1" s="154" t="str">
        <f t="shared" si="219"/>
        <v>y</v>
      </c>
      <c r="TTV1" s="154" t="str">
        <f t="shared" si="219"/>
        <v>y</v>
      </c>
      <c r="TTW1" s="154" t="str">
        <f t="shared" si="219"/>
        <v>y</v>
      </c>
      <c r="TTX1" s="154" t="str">
        <f t="shared" si="219"/>
        <v>y</v>
      </c>
      <c r="TTY1" s="154" t="str">
        <f t="shared" si="219"/>
        <v>y</v>
      </c>
      <c r="TTZ1" s="154" t="str">
        <f t="shared" si="219"/>
        <v>y</v>
      </c>
      <c r="TUA1" s="154" t="str">
        <f t="shared" si="219"/>
        <v>y</v>
      </c>
      <c r="TUB1" s="154" t="str">
        <f t="shared" si="219"/>
        <v>y</v>
      </c>
      <c r="TUC1" s="154" t="str">
        <f t="shared" si="219"/>
        <v>y</v>
      </c>
      <c r="TUD1" s="154" t="str">
        <f t="shared" si="219"/>
        <v>y</v>
      </c>
      <c r="TUE1" s="154" t="str">
        <f t="shared" si="219"/>
        <v>y</v>
      </c>
      <c r="TUF1" s="154" t="str">
        <f t="shared" si="219"/>
        <v>y</v>
      </c>
      <c r="TUG1" s="154" t="str">
        <f t="shared" si="219"/>
        <v>y</v>
      </c>
      <c r="TUH1" s="154" t="str">
        <f t="shared" si="219"/>
        <v>y</v>
      </c>
      <c r="TUI1" s="154" t="str">
        <f t="shared" si="219"/>
        <v>y</v>
      </c>
      <c r="TUJ1" s="154" t="str">
        <f t="shared" si="219"/>
        <v>y</v>
      </c>
      <c r="TUK1" s="154" t="str">
        <f t="shared" si="219"/>
        <v>y</v>
      </c>
      <c r="TUL1" s="154" t="str">
        <f t="shared" si="219"/>
        <v>y</v>
      </c>
      <c r="TUM1" s="154" t="str">
        <f t="shared" si="219"/>
        <v>y</v>
      </c>
      <c r="TUN1" s="154" t="str">
        <f t="shared" si="219"/>
        <v>y</v>
      </c>
      <c r="TUO1" s="154" t="str">
        <f t="shared" si="219"/>
        <v>y</v>
      </c>
      <c r="TUP1" s="154" t="str">
        <f t="shared" si="219"/>
        <v>y</v>
      </c>
      <c r="TUQ1" s="154" t="str">
        <f t="shared" si="219"/>
        <v>y</v>
      </c>
      <c r="TUR1" s="154" t="str">
        <f t="shared" ref="TUR1:TXC1" si="220">TUR2&amp;"y"</f>
        <v>y</v>
      </c>
      <c r="TUS1" s="154" t="str">
        <f t="shared" si="220"/>
        <v>y</v>
      </c>
      <c r="TUT1" s="154" t="str">
        <f t="shared" si="220"/>
        <v>y</v>
      </c>
      <c r="TUU1" s="154" t="str">
        <f t="shared" si="220"/>
        <v>y</v>
      </c>
      <c r="TUV1" s="154" t="str">
        <f t="shared" si="220"/>
        <v>y</v>
      </c>
      <c r="TUW1" s="154" t="str">
        <f t="shared" si="220"/>
        <v>y</v>
      </c>
      <c r="TUX1" s="154" t="str">
        <f t="shared" si="220"/>
        <v>y</v>
      </c>
      <c r="TUY1" s="154" t="str">
        <f t="shared" si="220"/>
        <v>y</v>
      </c>
      <c r="TUZ1" s="154" t="str">
        <f t="shared" si="220"/>
        <v>y</v>
      </c>
      <c r="TVA1" s="154" t="str">
        <f t="shared" si="220"/>
        <v>y</v>
      </c>
      <c r="TVB1" s="154" t="str">
        <f t="shared" si="220"/>
        <v>y</v>
      </c>
      <c r="TVC1" s="154" t="str">
        <f t="shared" si="220"/>
        <v>y</v>
      </c>
      <c r="TVD1" s="154" t="str">
        <f t="shared" si="220"/>
        <v>y</v>
      </c>
      <c r="TVE1" s="154" t="str">
        <f t="shared" si="220"/>
        <v>y</v>
      </c>
      <c r="TVF1" s="154" t="str">
        <f t="shared" si="220"/>
        <v>y</v>
      </c>
      <c r="TVG1" s="154" t="str">
        <f t="shared" si="220"/>
        <v>y</v>
      </c>
      <c r="TVH1" s="154" t="str">
        <f t="shared" si="220"/>
        <v>y</v>
      </c>
      <c r="TVI1" s="154" t="str">
        <f t="shared" si="220"/>
        <v>y</v>
      </c>
      <c r="TVJ1" s="154" t="str">
        <f t="shared" si="220"/>
        <v>y</v>
      </c>
      <c r="TVK1" s="154" t="str">
        <f t="shared" si="220"/>
        <v>y</v>
      </c>
      <c r="TVL1" s="154" t="str">
        <f t="shared" si="220"/>
        <v>y</v>
      </c>
      <c r="TVM1" s="154" t="str">
        <f t="shared" si="220"/>
        <v>y</v>
      </c>
      <c r="TVN1" s="154" t="str">
        <f t="shared" si="220"/>
        <v>y</v>
      </c>
      <c r="TVO1" s="154" t="str">
        <f t="shared" si="220"/>
        <v>y</v>
      </c>
      <c r="TVP1" s="154" t="str">
        <f t="shared" si="220"/>
        <v>y</v>
      </c>
      <c r="TVQ1" s="154" t="str">
        <f t="shared" si="220"/>
        <v>y</v>
      </c>
      <c r="TVR1" s="154" t="str">
        <f t="shared" si="220"/>
        <v>y</v>
      </c>
      <c r="TVS1" s="154" t="str">
        <f t="shared" si="220"/>
        <v>y</v>
      </c>
      <c r="TVT1" s="154" t="str">
        <f t="shared" si="220"/>
        <v>y</v>
      </c>
      <c r="TVU1" s="154" t="str">
        <f t="shared" si="220"/>
        <v>y</v>
      </c>
      <c r="TVV1" s="154" t="str">
        <f t="shared" si="220"/>
        <v>y</v>
      </c>
      <c r="TVW1" s="154" t="str">
        <f t="shared" si="220"/>
        <v>y</v>
      </c>
      <c r="TVX1" s="154" t="str">
        <f t="shared" si="220"/>
        <v>y</v>
      </c>
      <c r="TVY1" s="154" t="str">
        <f t="shared" si="220"/>
        <v>y</v>
      </c>
      <c r="TVZ1" s="154" t="str">
        <f t="shared" si="220"/>
        <v>y</v>
      </c>
      <c r="TWA1" s="154" t="str">
        <f t="shared" si="220"/>
        <v>y</v>
      </c>
      <c r="TWB1" s="154" t="str">
        <f t="shared" si="220"/>
        <v>y</v>
      </c>
      <c r="TWC1" s="154" t="str">
        <f t="shared" si="220"/>
        <v>y</v>
      </c>
      <c r="TWD1" s="154" t="str">
        <f t="shared" si="220"/>
        <v>y</v>
      </c>
      <c r="TWE1" s="154" t="str">
        <f t="shared" si="220"/>
        <v>y</v>
      </c>
      <c r="TWF1" s="154" t="str">
        <f t="shared" si="220"/>
        <v>y</v>
      </c>
      <c r="TWG1" s="154" t="str">
        <f t="shared" si="220"/>
        <v>y</v>
      </c>
      <c r="TWH1" s="154" t="str">
        <f t="shared" si="220"/>
        <v>y</v>
      </c>
      <c r="TWI1" s="154" t="str">
        <f t="shared" si="220"/>
        <v>y</v>
      </c>
      <c r="TWJ1" s="154" t="str">
        <f t="shared" si="220"/>
        <v>y</v>
      </c>
      <c r="TWK1" s="154" t="str">
        <f t="shared" si="220"/>
        <v>y</v>
      </c>
      <c r="TWL1" s="154" t="str">
        <f t="shared" si="220"/>
        <v>y</v>
      </c>
      <c r="TWM1" s="154" t="str">
        <f t="shared" si="220"/>
        <v>y</v>
      </c>
      <c r="TWN1" s="154" t="str">
        <f t="shared" si="220"/>
        <v>y</v>
      </c>
      <c r="TWO1" s="154" t="str">
        <f t="shared" si="220"/>
        <v>y</v>
      </c>
      <c r="TWP1" s="154" t="str">
        <f t="shared" si="220"/>
        <v>y</v>
      </c>
      <c r="TWQ1" s="154" t="str">
        <f t="shared" si="220"/>
        <v>y</v>
      </c>
      <c r="TWR1" s="154" t="str">
        <f t="shared" si="220"/>
        <v>y</v>
      </c>
      <c r="TWS1" s="154" t="str">
        <f t="shared" si="220"/>
        <v>y</v>
      </c>
      <c r="TWT1" s="154" t="str">
        <f t="shared" si="220"/>
        <v>y</v>
      </c>
      <c r="TWU1" s="154" t="str">
        <f t="shared" si="220"/>
        <v>y</v>
      </c>
      <c r="TWV1" s="154" t="str">
        <f t="shared" si="220"/>
        <v>y</v>
      </c>
      <c r="TWW1" s="154" t="str">
        <f t="shared" si="220"/>
        <v>y</v>
      </c>
      <c r="TWX1" s="154" t="str">
        <f t="shared" si="220"/>
        <v>y</v>
      </c>
      <c r="TWY1" s="154" t="str">
        <f t="shared" si="220"/>
        <v>y</v>
      </c>
      <c r="TWZ1" s="154" t="str">
        <f t="shared" si="220"/>
        <v>y</v>
      </c>
      <c r="TXA1" s="154" t="str">
        <f t="shared" si="220"/>
        <v>y</v>
      </c>
      <c r="TXB1" s="154" t="str">
        <f t="shared" si="220"/>
        <v>y</v>
      </c>
      <c r="TXC1" s="154" t="str">
        <f t="shared" si="220"/>
        <v>y</v>
      </c>
      <c r="TXD1" s="154" t="str">
        <f t="shared" ref="TXD1:TZO1" si="221">TXD2&amp;"y"</f>
        <v>y</v>
      </c>
      <c r="TXE1" s="154" t="str">
        <f t="shared" si="221"/>
        <v>y</v>
      </c>
      <c r="TXF1" s="154" t="str">
        <f t="shared" si="221"/>
        <v>y</v>
      </c>
      <c r="TXG1" s="154" t="str">
        <f t="shared" si="221"/>
        <v>y</v>
      </c>
      <c r="TXH1" s="154" t="str">
        <f t="shared" si="221"/>
        <v>y</v>
      </c>
      <c r="TXI1" s="154" t="str">
        <f t="shared" si="221"/>
        <v>y</v>
      </c>
      <c r="TXJ1" s="154" t="str">
        <f t="shared" si="221"/>
        <v>y</v>
      </c>
      <c r="TXK1" s="154" t="str">
        <f t="shared" si="221"/>
        <v>y</v>
      </c>
      <c r="TXL1" s="154" t="str">
        <f t="shared" si="221"/>
        <v>y</v>
      </c>
      <c r="TXM1" s="154" t="str">
        <f t="shared" si="221"/>
        <v>y</v>
      </c>
      <c r="TXN1" s="154" t="str">
        <f t="shared" si="221"/>
        <v>y</v>
      </c>
      <c r="TXO1" s="154" t="str">
        <f t="shared" si="221"/>
        <v>y</v>
      </c>
      <c r="TXP1" s="154" t="str">
        <f t="shared" si="221"/>
        <v>y</v>
      </c>
      <c r="TXQ1" s="154" t="str">
        <f t="shared" si="221"/>
        <v>y</v>
      </c>
      <c r="TXR1" s="154" t="str">
        <f t="shared" si="221"/>
        <v>y</v>
      </c>
      <c r="TXS1" s="154" t="str">
        <f t="shared" si="221"/>
        <v>y</v>
      </c>
      <c r="TXT1" s="154" t="str">
        <f t="shared" si="221"/>
        <v>y</v>
      </c>
      <c r="TXU1" s="154" t="str">
        <f t="shared" si="221"/>
        <v>y</v>
      </c>
      <c r="TXV1" s="154" t="str">
        <f t="shared" si="221"/>
        <v>y</v>
      </c>
      <c r="TXW1" s="154" t="str">
        <f t="shared" si="221"/>
        <v>y</v>
      </c>
      <c r="TXX1" s="154" t="str">
        <f t="shared" si="221"/>
        <v>y</v>
      </c>
      <c r="TXY1" s="154" t="str">
        <f t="shared" si="221"/>
        <v>y</v>
      </c>
      <c r="TXZ1" s="154" t="str">
        <f t="shared" si="221"/>
        <v>y</v>
      </c>
      <c r="TYA1" s="154" t="str">
        <f t="shared" si="221"/>
        <v>y</v>
      </c>
      <c r="TYB1" s="154" t="str">
        <f t="shared" si="221"/>
        <v>y</v>
      </c>
      <c r="TYC1" s="154" t="str">
        <f t="shared" si="221"/>
        <v>y</v>
      </c>
      <c r="TYD1" s="154" t="str">
        <f t="shared" si="221"/>
        <v>y</v>
      </c>
      <c r="TYE1" s="154" t="str">
        <f t="shared" si="221"/>
        <v>y</v>
      </c>
      <c r="TYF1" s="154" t="str">
        <f t="shared" si="221"/>
        <v>y</v>
      </c>
      <c r="TYG1" s="154" t="str">
        <f t="shared" si="221"/>
        <v>y</v>
      </c>
      <c r="TYH1" s="154" t="str">
        <f t="shared" si="221"/>
        <v>y</v>
      </c>
      <c r="TYI1" s="154" t="str">
        <f t="shared" si="221"/>
        <v>y</v>
      </c>
      <c r="TYJ1" s="154" t="str">
        <f t="shared" si="221"/>
        <v>y</v>
      </c>
      <c r="TYK1" s="154" t="str">
        <f t="shared" si="221"/>
        <v>y</v>
      </c>
      <c r="TYL1" s="154" t="str">
        <f t="shared" si="221"/>
        <v>y</v>
      </c>
      <c r="TYM1" s="154" t="str">
        <f t="shared" si="221"/>
        <v>y</v>
      </c>
      <c r="TYN1" s="154" t="str">
        <f t="shared" si="221"/>
        <v>y</v>
      </c>
      <c r="TYO1" s="154" t="str">
        <f t="shared" si="221"/>
        <v>y</v>
      </c>
      <c r="TYP1" s="154" t="str">
        <f t="shared" si="221"/>
        <v>y</v>
      </c>
      <c r="TYQ1" s="154" t="str">
        <f t="shared" si="221"/>
        <v>y</v>
      </c>
      <c r="TYR1" s="154" t="str">
        <f t="shared" si="221"/>
        <v>y</v>
      </c>
      <c r="TYS1" s="154" t="str">
        <f t="shared" si="221"/>
        <v>y</v>
      </c>
      <c r="TYT1" s="154" t="str">
        <f t="shared" si="221"/>
        <v>y</v>
      </c>
      <c r="TYU1" s="154" t="str">
        <f t="shared" si="221"/>
        <v>y</v>
      </c>
      <c r="TYV1" s="154" t="str">
        <f t="shared" si="221"/>
        <v>y</v>
      </c>
      <c r="TYW1" s="154" t="str">
        <f t="shared" si="221"/>
        <v>y</v>
      </c>
      <c r="TYX1" s="154" t="str">
        <f t="shared" si="221"/>
        <v>y</v>
      </c>
      <c r="TYY1" s="154" t="str">
        <f t="shared" si="221"/>
        <v>y</v>
      </c>
      <c r="TYZ1" s="154" t="str">
        <f t="shared" si="221"/>
        <v>y</v>
      </c>
      <c r="TZA1" s="154" t="str">
        <f t="shared" si="221"/>
        <v>y</v>
      </c>
      <c r="TZB1" s="154" t="str">
        <f t="shared" si="221"/>
        <v>y</v>
      </c>
      <c r="TZC1" s="154" t="str">
        <f t="shared" si="221"/>
        <v>y</v>
      </c>
      <c r="TZD1" s="154" t="str">
        <f t="shared" si="221"/>
        <v>y</v>
      </c>
      <c r="TZE1" s="154" t="str">
        <f t="shared" si="221"/>
        <v>y</v>
      </c>
      <c r="TZF1" s="154" t="str">
        <f t="shared" si="221"/>
        <v>y</v>
      </c>
      <c r="TZG1" s="154" t="str">
        <f t="shared" si="221"/>
        <v>y</v>
      </c>
      <c r="TZH1" s="154" t="str">
        <f t="shared" si="221"/>
        <v>y</v>
      </c>
      <c r="TZI1" s="154" t="str">
        <f t="shared" si="221"/>
        <v>y</v>
      </c>
      <c r="TZJ1" s="154" t="str">
        <f t="shared" si="221"/>
        <v>y</v>
      </c>
      <c r="TZK1" s="154" t="str">
        <f t="shared" si="221"/>
        <v>y</v>
      </c>
      <c r="TZL1" s="154" t="str">
        <f t="shared" si="221"/>
        <v>y</v>
      </c>
      <c r="TZM1" s="154" t="str">
        <f t="shared" si="221"/>
        <v>y</v>
      </c>
      <c r="TZN1" s="154" t="str">
        <f t="shared" si="221"/>
        <v>y</v>
      </c>
      <c r="TZO1" s="154" t="str">
        <f t="shared" si="221"/>
        <v>y</v>
      </c>
      <c r="TZP1" s="154" t="str">
        <f t="shared" ref="TZP1:UCA1" si="222">TZP2&amp;"y"</f>
        <v>y</v>
      </c>
      <c r="TZQ1" s="154" t="str">
        <f t="shared" si="222"/>
        <v>y</v>
      </c>
      <c r="TZR1" s="154" t="str">
        <f t="shared" si="222"/>
        <v>y</v>
      </c>
      <c r="TZS1" s="154" t="str">
        <f t="shared" si="222"/>
        <v>y</v>
      </c>
      <c r="TZT1" s="154" t="str">
        <f t="shared" si="222"/>
        <v>y</v>
      </c>
      <c r="TZU1" s="154" t="str">
        <f t="shared" si="222"/>
        <v>y</v>
      </c>
      <c r="TZV1" s="154" t="str">
        <f t="shared" si="222"/>
        <v>y</v>
      </c>
      <c r="TZW1" s="154" t="str">
        <f t="shared" si="222"/>
        <v>y</v>
      </c>
      <c r="TZX1" s="154" t="str">
        <f t="shared" si="222"/>
        <v>y</v>
      </c>
      <c r="TZY1" s="154" t="str">
        <f t="shared" si="222"/>
        <v>y</v>
      </c>
      <c r="TZZ1" s="154" t="str">
        <f t="shared" si="222"/>
        <v>y</v>
      </c>
      <c r="UAA1" s="154" t="str">
        <f t="shared" si="222"/>
        <v>y</v>
      </c>
      <c r="UAB1" s="154" t="str">
        <f t="shared" si="222"/>
        <v>y</v>
      </c>
      <c r="UAC1" s="154" t="str">
        <f t="shared" si="222"/>
        <v>y</v>
      </c>
      <c r="UAD1" s="154" t="str">
        <f t="shared" si="222"/>
        <v>y</v>
      </c>
      <c r="UAE1" s="154" t="str">
        <f t="shared" si="222"/>
        <v>y</v>
      </c>
      <c r="UAF1" s="154" t="str">
        <f t="shared" si="222"/>
        <v>y</v>
      </c>
      <c r="UAG1" s="154" t="str">
        <f t="shared" si="222"/>
        <v>y</v>
      </c>
      <c r="UAH1" s="154" t="str">
        <f t="shared" si="222"/>
        <v>y</v>
      </c>
      <c r="UAI1" s="154" t="str">
        <f t="shared" si="222"/>
        <v>y</v>
      </c>
      <c r="UAJ1" s="154" t="str">
        <f t="shared" si="222"/>
        <v>y</v>
      </c>
      <c r="UAK1" s="154" t="str">
        <f t="shared" si="222"/>
        <v>y</v>
      </c>
      <c r="UAL1" s="154" t="str">
        <f t="shared" si="222"/>
        <v>y</v>
      </c>
      <c r="UAM1" s="154" t="str">
        <f t="shared" si="222"/>
        <v>y</v>
      </c>
      <c r="UAN1" s="154" t="str">
        <f t="shared" si="222"/>
        <v>y</v>
      </c>
      <c r="UAO1" s="154" t="str">
        <f t="shared" si="222"/>
        <v>y</v>
      </c>
      <c r="UAP1" s="154" t="str">
        <f t="shared" si="222"/>
        <v>y</v>
      </c>
      <c r="UAQ1" s="154" t="str">
        <f t="shared" si="222"/>
        <v>y</v>
      </c>
      <c r="UAR1" s="154" t="str">
        <f t="shared" si="222"/>
        <v>y</v>
      </c>
      <c r="UAS1" s="154" t="str">
        <f t="shared" si="222"/>
        <v>y</v>
      </c>
      <c r="UAT1" s="154" t="str">
        <f t="shared" si="222"/>
        <v>y</v>
      </c>
      <c r="UAU1" s="154" t="str">
        <f t="shared" si="222"/>
        <v>y</v>
      </c>
      <c r="UAV1" s="154" t="str">
        <f t="shared" si="222"/>
        <v>y</v>
      </c>
      <c r="UAW1" s="154" t="str">
        <f t="shared" si="222"/>
        <v>y</v>
      </c>
      <c r="UAX1" s="154" t="str">
        <f t="shared" si="222"/>
        <v>y</v>
      </c>
      <c r="UAY1" s="154" t="str">
        <f t="shared" si="222"/>
        <v>y</v>
      </c>
      <c r="UAZ1" s="154" t="str">
        <f t="shared" si="222"/>
        <v>y</v>
      </c>
      <c r="UBA1" s="154" t="str">
        <f t="shared" si="222"/>
        <v>y</v>
      </c>
      <c r="UBB1" s="154" t="str">
        <f t="shared" si="222"/>
        <v>y</v>
      </c>
      <c r="UBC1" s="154" t="str">
        <f t="shared" si="222"/>
        <v>y</v>
      </c>
      <c r="UBD1" s="154" t="str">
        <f t="shared" si="222"/>
        <v>y</v>
      </c>
      <c r="UBE1" s="154" t="str">
        <f t="shared" si="222"/>
        <v>y</v>
      </c>
      <c r="UBF1" s="154" t="str">
        <f t="shared" si="222"/>
        <v>y</v>
      </c>
      <c r="UBG1" s="154" t="str">
        <f t="shared" si="222"/>
        <v>y</v>
      </c>
      <c r="UBH1" s="154" t="str">
        <f t="shared" si="222"/>
        <v>y</v>
      </c>
      <c r="UBI1" s="154" t="str">
        <f t="shared" si="222"/>
        <v>y</v>
      </c>
      <c r="UBJ1" s="154" t="str">
        <f t="shared" si="222"/>
        <v>y</v>
      </c>
      <c r="UBK1" s="154" t="str">
        <f t="shared" si="222"/>
        <v>y</v>
      </c>
      <c r="UBL1" s="154" t="str">
        <f t="shared" si="222"/>
        <v>y</v>
      </c>
      <c r="UBM1" s="154" t="str">
        <f t="shared" si="222"/>
        <v>y</v>
      </c>
      <c r="UBN1" s="154" t="str">
        <f t="shared" si="222"/>
        <v>y</v>
      </c>
      <c r="UBO1" s="154" t="str">
        <f t="shared" si="222"/>
        <v>y</v>
      </c>
      <c r="UBP1" s="154" t="str">
        <f t="shared" si="222"/>
        <v>y</v>
      </c>
      <c r="UBQ1" s="154" t="str">
        <f t="shared" si="222"/>
        <v>y</v>
      </c>
      <c r="UBR1" s="154" t="str">
        <f t="shared" si="222"/>
        <v>y</v>
      </c>
      <c r="UBS1" s="154" t="str">
        <f t="shared" si="222"/>
        <v>y</v>
      </c>
      <c r="UBT1" s="154" t="str">
        <f t="shared" si="222"/>
        <v>y</v>
      </c>
      <c r="UBU1" s="154" t="str">
        <f t="shared" si="222"/>
        <v>y</v>
      </c>
      <c r="UBV1" s="154" t="str">
        <f t="shared" si="222"/>
        <v>y</v>
      </c>
      <c r="UBW1" s="154" t="str">
        <f t="shared" si="222"/>
        <v>y</v>
      </c>
      <c r="UBX1" s="154" t="str">
        <f t="shared" si="222"/>
        <v>y</v>
      </c>
      <c r="UBY1" s="154" t="str">
        <f t="shared" si="222"/>
        <v>y</v>
      </c>
      <c r="UBZ1" s="154" t="str">
        <f t="shared" si="222"/>
        <v>y</v>
      </c>
      <c r="UCA1" s="154" t="str">
        <f t="shared" si="222"/>
        <v>y</v>
      </c>
      <c r="UCB1" s="154" t="str">
        <f t="shared" ref="UCB1:UEM1" si="223">UCB2&amp;"y"</f>
        <v>y</v>
      </c>
      <c r="UCC1" s="154" t="str">
        <f t="shared" si="223"/>
        <v>y</v>
      </c>
      <c r="UCD1" s="154" t="str">
        <f t="shared" si="223"/>
        <v>y</v>
      </c>
      <c r="UCE1" s="154" t="str">
        <f t="shared" si="223"/>
        <v>y</v>
      </c>
      <c r="UCF1" s="154" t="str">
        <f t="shared" si="223"/>
        <v>y</v>
      </c>
      <c r="UCG1" s="154" t="str">
        <f t="shared" si="223"/>
        <v>y</v>
      </c>
      <c r="UCH1" s="154" t="str">
        <f t="shared" si="223"/>
        <v>y</v>
      </c>
      <c r="UCI1" s="154" t="str">
        <f t="shared" si="223"/>
        <v>y</v>
      </c>
      <c r="UCJ1" s="154" t="str">
        <f t="shared" si="223"/>
        <v>y</v>
      </c>
      <c r="UCK1" s="154" t="str">
        <f t="shared" si="223"/>
        <v>y</v>
      </c>
      <c r="UCL1" s="154" t="str">
        <f t="shared" si="223"/>
        <v>y</v>
      </c>
      <c r="UCM1" s="154" t="str">
        <f t="shared" si="223"/>
        <v>y</v>
      </c>
      <c r="UCN1" s="154" t="str">
        <f t="shared" si="223"/>
        <v>y</v>
      </c>
      <c r="UCO1" s="154" t="str">
        <f t="shared" si="223"/>
        <v>y</v>
      </c>
      <c r="UCP1" s="154" t="str">
        <f t="shared" si="223"/>
        <v>y</v>
      </c>
      <c r="UCQ1" s="154" t="str">
        <f t="shared" si="223"/>
        <v>y</v>
      </c>
      <c r="UCR1" s="154" t="str">
        <f t="shared" si="223"/>
        <v>y</v>
      </c>
      <c r="UCS1" s="154" t="str">
        <f t="shared" si="223"/>
        <v>y</v>
      </c>
      <c r="UCT1" s="154" t="str">
        <f t="shared" si="223"/>
        <v>y</v>
      </c>
      <c r="UCU1" s="154" t="str">
        <f t="shared" si="223"/>
        <v>y</v>
      </c>
      <c r="UCV1" s="154" t="str">
        <f t="shared" si="223"/>
        <v>y</v>
      </c>
      <c r="UCW1" s="154" t="str">
        <f t="shared" si="223"/>
        <v>y</v>
      </c>
      <c r="UCX1" s="154" t="str">
        <f t="shared" si="223"/>
        <v>y</v>
      </c>
      <c r="UCY1" s="154" t="str">
        <f t="shared" si="223"/>
        <v>y</v>
      </c>
      <c r="UCZ1" s="154" t="str">
        <f t="shared" si="223"/>
        <v>y</v>
      </c>
      <c r="UDA1" s="154" t="str">
        <f t="shared" si="223"/>
        <v>y</v>
      </c>
      <c r="UDB1" s="154" t="str">
        <f t="shared" si="223"/>
        <v>y</v>
      </c>
      <c r="UDC1" s="154" t="str">
        <f t="shared" si="223"/>
        <v>y</v>
      </c>
      <c r="UDD1" s="154" t="str">
        <f t="shared" si="223"/>
        <v>y</v>
      </c>
      <c r="UDE1" s="154" t="str">
        <f t="shared" si="223"/>
        <v>y</v>
      </c>
      <c r="UDF1" s="154" t="str">
        <f t="shared" si="223"/>
        <v>y</v>
      </c>
      <c r="UDG1" s="154" t="str">
        <f t="shared" si="223"/>
        <v>y</v>
      </c>
      <c r="UDH1" s="154" t="str">
        <f t="shared" si="223"/>
        <v>y</v>
      </c>
      <c r="UDI1" s="154" t="str">
        <f t="shared" si="223"/>
        <v>y</v>
      </c>
      <c r="UDJ1" s="154" t="str">
        <f t="shared" si="223"/>
        <v>y</v>
      </c>
      <c r="UDK1" s="154" t="str">
        <f t="shared" si="223"/>
        <v>y</v>
      </c>
      <c r="UDL1" s="154" t="str">
        <f t="shared" si="223"/>
        <v>y</v>
      </c>
      <c r="UDM1" s="154" t="str">
        <f t="shared" si="223"/>
        <v>y</v>
      </c>
      <c r="UDN1" s="154" t="str">
        <f t="shared" si="223"/>
        <v>y</v>
      </c>
      <c r="UDO1" s="154" t="str">
        <f t="shared" si="223"/>
        <v>y</v>
      </c>
      <c r="UDP1" s="154" t="str">
        <f t="shared" si="223"/>
        <v>y</v>
      </c>
      <c r="UDQ1" s="154" t="str">
        <f t="shared" si="223"/>
        <v>y</v>
      </c>
      <c r="UDR1" s="154" t="str">
        <f t="shared" si="223"/>
        <v>y</v>
      </c>
      <c r="UDS1" s="154" t="str">
        <f t="shared" si="223"/>
        <v>y</v>
      </c>
      <c r="UDT1" s="154" t="str">
        <f t="shared" si="223"/>
        <v>y</v>
      </c>
      <c r="UDU1" s="154" t="str">
        <f t="shared" si="223"/>
        <v>y</v>
      </c>
      <c r="UDV1" s="154" t="str">
        <f t="shared" si="223"/>
        <v>y</v>
      </c>
      <c r="UDW1" s="154" t="str">
        <f t="shared" si="223"/>
        <v>y</v>
      </c>
      <c r="UDX1" s="154" t="str">
        <f t="shared" si="223"/>
        <v>y</v>
      </c>
      <c r="UDY1" s="154" t="str">
        <f t="shared" si="223"/>
        <v>y</v>
      </c>
      <c r="UDZ1" s="154" t="str">
        <f t="shared" si="223"/>
        <v>y</v>
      </c>
      <c r="UEA1" s="154" t="str">
        <f t="shared" si="223"/>
        <v>y</v>
      </c>
      <c r="UEB1" s="154" t="str">
        <f t="shared" si="223"/>
        <v>y</v>
      </c>
      <c r="UEC1" s="154" t="str">
        <f t="shared" si="223"/>
        <v>y</v>
      </c>
      <c r="UED1" s="154" t="str">
        <f t="shared" si="223"/>
        <v>y</v>
      </c>
      <c r="UEE1" s="154" t="str">
        <f t="shared" si="223"/>
        <v>y</v>
      </c>
      <c r="UEF1" s="154" t="str">
        <f t="shared" si="223"/>
        <v>y</v>
      </c>
      <c r="UEG1" s="154" t="str">
        <f t="shared" si="223"/>
        <v>y</v>
      </c>
      <c r="UEH1" s="154" t="str">
        <f t="shared" si="223"/>
        <v>y</v>
      </c>
      <c r="UEI1" s="154" t="str">
        <f t="shared" si="223"/>
        <v>y</v>
      </c>
      <c r="UEJ1" s="154" t="str">
        <f t="shared" si="223"/>
        <v>y</v>
      </c>
      <c r="UEK1" s="154" t="str">
        <f t="shared" si="223"/>
        <v>y</v>
      </c>
      <c r="UEL1" s="154" t="str">
        <f t="shared" si="223"/>
        <v>y</v>
      </c>
      <c r="UEM1" s="154" t="str">
        <f t="shared" si="223"/>
        <v>y</v>
      </c>
      <c r="UEN1" s="154" t="str">
        <f t="shared" ref="UEN1:UGY1" si="224">UEN2&amp;"y"</f>
        <v>y</v>
      </c>
      <c r="UEO1" s="154" t="str">
        <f t="shared" si="224"/>
        <v>y</v>
      </c>
      <c r="UEP1" s="154" t="str">
        <f t="shared" si="224"/>
        <v>y</v>
      </c>
      <c r="UEQ1" s="154" t="str">
        <f t="shared" si="224"/>
        <v>y</v>
      </c>
      <c r="UER1" s="154" t="str">
        <f t="shared" si="224"/>
        <v>y</v>
      </c>
      <c r="UES1" s="154" t="str">
        <f t="shared" si="224"/>
        <v>y</v>
      </c>
      <c r="UET1" s="154" t="str">
        <f t="shared" si="224"/>
        <v>y</v>
      </c>
      <c r="UEU1" s="154" t="str">
        <f t="shared" si="224"/>
        <v>y</v>
      </c>
      <c r="UEV1" s="154" t="str">
        <f t="shared" si="224"/>
        <v>y</v>
      </c>
      <c r="UEW1" s="154" t="str">
        <f t="shared" si="224"/>
        <v>y</v>
      </c>
      <c r="UEX1" s="154" t="str">
        <f t="shared" si="224"/>
        <v>y</v>
      </c>
      <c r="UEY1" s="154" t="str">
        <f t="shared" si="224"/>
        <v>y</v>
      </c>
      <c r="UEZ1" s="154" t="str">
        <f t="shared" si="224"/>
        <v>y</v>
      </c>
      <c r="UFA1" s="154" t="str">
        <f t="shared" si="224"/>
        <v>y</v>
      </c>
      <c r="UFB1" s="154" t="str">
        <f t="shared" si="224"/>
        <v>y</v>
      </c>
      <c r="UFC1" s="154" t="str">
        <f t="shared" si="224"/>
        <v>y</v>
      </c>
      <c r="UFD1" s="154" t="str">
        <f t="shared" si="224"/>
        <v>y</v>
      </c>
      <c r="UFE1" s="154" t="str">
        <f t="shared" si="224"/>
        <v>y</v>
      </c>
      <c r="UFF1" s="154" t="str">
        <f t="shared" si="224"/>
        <v>y</v>
      </c>
      <c r="UFG1" s="154" t="str">
        <f t="shared" si="224"/>
        <v>y</v>
      </c>
      <c r="UFH1" s="154" t="str">
        <f t="shared" si="224"/>
        <v>y</v>
      </c>
      <c r="UFI1" s="154" t="str">
        <f t="shared" si="224"/>
        <v>y</v>
      </c>
      <c r="UFJ1" s="154" t="str">
        <f t="shared" si="224"/>
        <v>y</v>
      </c>
      <c r="UFK1" s="154" t="str">
        <f t="shared" si="224"/>
        <v>y</v>
      </c>
      <c r="UFL1" s="154" t="str">
        <f t="shared" si="224"/>
        <v>y</v>
      </c>
      <c r="UFM1" s="154" t="str">
        <f t="shared" si="224"/>
        <v>y</v>
      </c>
      <c r="UFN1" s="154" t="str">
        <f t="shared" si="224"/>
        <v>y</v>
      </c>
      <c r="UFO1" s="154" t="str">
        <f t="shared" si="224"/>
        <v>y</v>
      </c>
      <c r="UFP1" s="154" t="str">
        <f t="shared" si="224"/>
        <v>y</v>
      </c>
      <c r="UFQ1" s="154" t="str">
        <f t="shared" si="224"/>
        <v>y</v>
      </c>
      <c r="UFR1" s="154" t="str">
        <f t="shared" si="224"/>
        <v>y</v>
      </c>
      <c r="UFS1" s="154" t="str">
        <f t="shared" si="224"/>
        <v>y</v>
      </c>
      <c r="UFT1" s="154" t="str">
        <f t="shared" si="224"/>
        <v>y</v>
      </c>
      <c r="UFU1" s="154" t="str">
        <f t="shared" si="224"/>
        <v>y</v>
      </c>
      <c r="UFV1" s="154" t="str">
        <f t="shared" si="224"/>
        <v>y</v>
      </c>
      <c r="UFW1" s="154" t="str">
        <f t="shared" si="224"/>
        <v>y</v>
      </c>
      <c r="UFX1" s="154" t="str">
        <f t="shared" si="224"/>
        <v>y</v>
      </c>
      <c r="UFY1" s="154" t="str">
        <f t="shared" si="224"/>
        <v>y</v>
      </c>
      <c r="UFZ1" s="154" t="str">
        <f t="shared" si="224"/>
        <v>y</v>
      </c>
      <c r="UGA1" s="154" t="str">
        <f t="shared" si="224"/>
        <v>y</v>
      </c>
      <c r="UGB1" s="154" t="str">
        <f t="shared" si="224"/>
        <v>y</v>
      </c>
      <c r="UGC1" s="154" t="str">
        <f t="shared" si="224"/>
        <v>y</v>
      </c>
      <c r="UGD1" s="154" t="str">
        <f t="shared" si="224"/>
        <v>y</v>
      </c>
      <c r="UGE1" s="154" t="str">
        <f t="shared" si="224"/>
        <v>y</v>
      </c>
      <c r="UGF1" s="154" t="str">
        <f t="shared" si="224"/>
        <v>y</v>
      </c>
      <c r="UGG1" s="154" t="str">
        <f t="shared" si="224"/>
        <v>y</v>
      </c>
      <c r="UGH1" s="154" t="str">
        <f t="shared" si="224"/>
        <v>y</v>
      </c>
      <c r="UGI1" s="154" t="str">
        <f t="shared" si="224"/>
        <v>y</v>
      </c>
      <c r="UGJ1" s="154" t="str">
        <f t="shared" si="224"/>
        <v>y</v>
      </c>
      <c r="UGK1" s="154" t="str">
        <f t="shared" si="224"/>
        <v>y</v>
      </c>
      <c r="UGL1" s="154" t="str">
        <f t="shared" si="224"/>
        <v>y</v>
      </c>
      <c r="UGM1" s="154" t="str">
        <f t="shared" si="224"/>
        <v>y</v>
      </c>
      <c r="UGN1" s="154" t="str">
        <f t="shared" si="224"/>
        <v>y</v>
      </c>
      <c r="UGO1" s="154" t="str">
        <f t="shared" si="224"/>
        <v>y</v>
      </c>
      <c r="UGP1" s="154" t="str">
        <f t="shared" si="224"/>
        <v>y</v>
      </c>
      <c r="UGQ1" s="154" t="str">
        <f t="shared" si="224"/>
        <v>y</v>
      </c>
      <c r="UGR1" s="154" t="str">
        <f t="shared" si="224"/>
        <v>y</v>
      </c>
      <c r="UGS1" s="154" t="str">
        <f t="shared" si="224"/>
        <v>y</v>
      </c>
      <c r="UGT1" s="154" t="str">
        <f t="shared" si="224"/>
        <v>y</v>
      </c>
      <c r="UGU1" s="154" t="str">
        <f t="shared" si="224"/>
        <v>y</v>
      </c>
      <c r="UGV1" s="154" t="str">
        <f t="shared" si="224"/>
        <v>y</v>
      </c>
      <c r="UGW1" s="154" t="str">
        <f t="shared" si="224"/>
        <v>y</v>
      </c>
      <c r="UGX1" s="154" t="str">
        <f t="shared" si="224"/>
        <v>y</v>
      </c>
      <c r="UGY1" s="154" t="str">
        <f t="shared" si="224"/>
        <v>y</v>
      </c>
      <c r="UGZ1" s="154" t="str">
        <f t="shared" ref="UGZ1:UJK1" si="225">UGZ2&amp;"y"</f>
        <v>y</v>
      </c>
      <c r="UHA1" s="154" t="str">
        <f t="shared" si="225"/>
        <v>y</v>
      </c>
      <c r="UHB1" s="154" t="str">
        <f t="shared" si="225"/>
        <v>y</v>
      </c>
      <c r="UHC1" s="154" t="str">
        <f t="shared" si="225"/>
        <v>y</v>
      </c>
      <c r="UHD1" s="154" t="str">
        <f t="shared" si="225"/>
        <v>y</v>
      </c>
      <c r="UHE1" s="154" t="str">
        <f t="shared" si="225"/>
        <v>y</v>
      </c>
      <c r="UHF1" s="154" t="str">
        <f t="shared" si="225"/>
        <v>y</v>
      </c>
      <c r="UHG1" s="154" t="str">
        <f t="shared" si="225"/>
        <v>y</v>
      </c>
      <c r="UHH1" s="154" t="str">
        <f t="shared" si="225"/>
        <v>y</v>
      </c>
      <c r="UHI1" s="154" t="str">
        <f t="shared" si="225"/>
        <v>y</v>
      </c>
      <c r="UHJ1" s="154" t="str">
        <f t="shared" si="225"/>
        <v>y</v>
      </c>
      <c r="UHK1" s="154" t="str">
        <f t="shared" si="225"/>
        <v>y</v>
      </c>
      <c r="UHL1" s="154" t="str">
        <f t="shared" si="225"/>
        <v>y</v>
      </c>
      <c r="UHM1" s="154" t="str">
        <f t="shared" si="225"/>
        <v>y</v>
      </c>
      <c r="UHN1" s="154" t="str">
        <f t="shared" si="225"/>
        <v>y</v>
      </c>
      <c r="UHO1" s="154" t="str">
        <f t="shared" si="225"/>
        <v>y</v>
      </c>
      <c r="UHP1" s="154" t="str">
        <f t="shared" si="225"/>
        <v>y</v>
      </c>
      <c r="UHQ1" s="154" t="str">
        <f t="shared" si="225"/>
        <v>y</v>
      </c>
      <c r="UHR1" s="154" t="str">
        <f t="shared" si="225"/>
        <v>y</v>
      </c>
      <c r="UHS1" s="154" t="str">
        <f t="shared" si="225"/>
        <v>y</v>
      </c>
      <c r="UHT1" s="154" t="str">
        <f t="shared" si="225"/>
        <v>y</v>
      </c>
      <c r="UHU1" s="154" t="str">
        <f t="shared" si="225"/>
        <v>y</v>
      </c>
      <c r="UHV1" s="154" t="str">
        <f t="shared" si="225"/>
        <v>y</v>
      </c>
      <c r="UHW1" s="154" t="str">
        <f t="shared" si="225"/>
        <v>y</v>
      </c>
      <c r="UHX1" s="154" t="str">
        <f t="shared" si="225"/>
        <v>y</v>
      </c>
      <c r="UHY1" s="154" t="str">
        <f t="shared" si="225"/>
        <v>y</v>
      </c>
      <c r="UHZ1" s="154" t="str">
        <f t="shared" si="225"/>
        <v>y</v>
      </c>
      <c r="UIA1" s="154" t="str">
        <f t="shared" si="225"/>
        <v>y</v>
      </c>
      <c r="UIB1" s="154" t="str">
        <f t="shared" si="225"/>
        <v>y</v>
      </c>
      <c r="UIC1" s="154" t="str">
        <f t="shared" si="225"/>
        <v>y</v>
      </c>
      <c r="UID1" s="154" t="str">
        <f t="shared" si="225"/>
        <v>y</v>
      </c>
      <c r="UIE1" s="154" t="str">
        <f t="shared" si="225"/>
        <v>y</v>
      </c>
      <c r="UIF1" s="154" t="str">
        <f t="shared" si="225"/>
        <v>y</v>
      </c>
      <c r="UIG1" s="154" t="str">
        <f t="shared" si="225"/>
        <v>y</v>
      </c>
      <c r="UIH1" s="154" t="str">
        <f t="shared" si="225"/>
        <v>y</v>
      </c>
      <c r="UII1" s="154" t="str">
        <f t="shared" si="225"/>
        <v>y</v>
      </c>
      <c r="UIJ1" s="154" t="str">
        <f t="shared" si="225"/>
        <v>y</v>
      </c>
      <c r="UIK1" s="154" t="str">
        <f t="shared" si="225"/>
        <v>y</v>
      </c>
      <c r="UIL1" s="154" t="str">
        <f t="shared" si="225"/>
        <v>y</v>
      </c>
      <c r="UIM1" s="154" t="str">
        <f t="shared" si="225"/>
        <v>y</v>
      </c>
      <c r="UIN1" s="154" t="str">
        <f t="shared" si="225"/>
        <v>y</v>
      </c>
      <c r="UIO1" s="154" t="str">
        <f t="shared" si="225"/>
        <v>y</v>
      </c>
      <c r="UIP1" s="154" t="str">
        <f t="shared" si="225"/>
        <v>y</v>
      </c>
      <c r="UIQ1" s="154" t="str">
        <f t="shared" si="225"/>
        <v>y</v>
      </c>
      <c r="UIR1" s="154" t="str">
        <f t="shared" si="225"/>
        <v>y</v>
      </c>
      <c r="UIS1" s="154" t="str">
        <f t="shared" si="225"/>
        <v>y</v>
      </c>
      <c r="UIT1" s="154" t="str">
        <f t="shared" si="225"/>
        <v>y</v>
      </c>
      <c r="UIU1" s="154" t="str">
        <f t="shared" si="225"/>
        <v>y</v>
      </c>
      <c r="UIV1" s="154" t="str">
        <f t="shared" si="225"/>
        <v>y</v>
      </c>
      <c r="UIW1" s="154" t="str">
        <f t="shared" si="225"/>
        <v>y</v>
      </c>
      <c r="UIX1" s="154" t="str">
        <f t="shared" si="225"/>
        <v>y</v>
      </c>
      <c r="UIY1" s="154" t="str">
        <f t="shared" si="225"/>
        <v>y</v>
      </c>
      <c r="UIZ1" s="154" t="str">
        <f t="shared" si="225"/>
        <v>y</v>
      </c>
      <c r="UJA1" s="154" t="str">
        <f t="shared" si="225"/>
        <v>y</v>
      </c>
      <c r="UJB1" s="154" t="str">
        <f t="shared" si="225"/>
        <v>y</v>
      </c>
      <c r="UJC1" s="154" t="str">
        <f t="shared" si="225"/>
        <v>y</v>
      </c>
      <c r="UJD1" s="154" t="str">
        <f t="shared" si="225"/>
        <v>y</v>
      </c>
      <c r="UJE1" s="154" t="str">
        <f t="shared" si="225"/>
        <v>y</v>
      </c>
      <c r="UJF1" s="154" t="str">
        <f t="shared" si="225"/>
        <v>y</v>
      </c>
      <c r="UJG1" s="154" t="str">
        <f t="shared" si="225"/>
        <v>y</v>
      </c>
      <c r="UJH1" s="154" t="str">
        <f t="shared" si="225"/>
        <v>y</v>
      </c>
      <c r="UJI1" s="154" t="str">
        <f t="shared" si="225"/>
        <v>y</v>
      </c>
      <c r="UJJ1" s="154" t="str">
        <f t="shared" si="225"/>
        <v>y</v>
      </c>
      <c r="UJK1" s="154" t="str">
        <f t="shared" si="225"/>
        <v>y</v>
      </c>
      <c r="UJL1" s="154" t="str">
        <f t="shared" ref="UJL1:ULW1" si="226">UJL2&amp;"y"</f>
        <v>y</v>
      </c>
      <c r="UJM1" s="154" t="str">
        <f t="shared" si="226"/>
        <v>y</v>
      </c>
      <c r="UJN1" s="154" t="str">
        <f t="shared" si="226"/>
        <v>y</v>
      </c>
      <c r="UJO1" s="154" t="str">
        <f t="shared" si="226"/>
        <v>y</v>
      </c>
      <c r="UJP1" s="154" t="str">
        <f t="shared" si="226"/>
        <v>y</v>
      </c>
      <c r="UJQ1" s="154" t="str">
        <f t="shared" si="226"/>
        <v>y</v>
      </c>
      <c r="UJR1" s="154" t="str">
        <f t="shared" si="226"/>
        <v>y</v>
      </c>
      <c r="UJS1" s="154" t="str">
        <f t="shared" si="226"/>
        <v>y</v>
      </c>
      <c r="UJT1" s="154" t="str">
        <f t="shared" si="226"/>
        <v>y</v>
      </c>
      <c r="UJU1" s="154" t="str">
        <f t="shared" si="226"/>
        <v>y</v>
      </c>
      <c r="UJV1" s="154" t="str">
        <f t="shared" si="226"/>
        <v>y</v>
      </c>
      <c r="UJW1" s="154" t="str">
        <f t="shared" si="226"/>
        <v>y</v>
      </c>
      <c r="UJX1" s="154" t="str">
        <f t="shared" si="226"/>
        <v>y</v>
      </c>
      <c r="UJY1" s="154" t="str">
        <f t="shared" si="226"/>
        <v>y</v>
      </c>
      <c r="UJZ1" s="154" t="str">
        <f t="shared" si="226"/>
        <v>y</v>
      </c>
      <c r="UKA1" s="154" t="str">
        <f t="shared" si="226"/>
        <v>y</v>
      </c>
      <c r="UKB1" s="154" t="str">
        <f t="shared" si="226"/>
        <v>y</v>
      </c>
      <c r="UKC1" s="154" t="str">
        <f t="shared" si="226"/>
        <v>y</v>
      </c>
      <c r="UKD1" s="154" t="str">
        <f t="shared" si="226"/>
        <v>y</v>
      </c>
      <c r="UKE1" s="154" t="str">
        <f t="shared" si="226"/>
        <v>y</v>
      </c>
      <c r="UKF1" s="154" t="str">
        <f t="shared" si="226"/>
        <v>y</v>
      </c>
      <c r="UKG1" s="154" t="str">
        <f t="shared" si="226"/>
        <v>y</v>
      </c>
      <c r="UKH1" s="154" t="str">
        <f t="shared" si="226"/>
        <v>y</v>
      </c>
      <c r="UKI1" s="154" t="str">
        <f t="shared" si="226"/>
        <v>y</v>
      </c>
      <c r="UKJ1" s="154" t="str">
        <f t="shared" si="226"/>
        <v>y</v>
      </c>
      <c r="UKK1" s="154" t="str">
        <f t="shared" si="226"/>
        <v>y</v>
      </c>
      <c r="UKL1" s="154" t="str">
        <f t="shared" si="226"/>
        <v>y</v>
      </c>
      <c r="UKM1" s="154" t="str">
        <f t="shared" si="226"/>
        <v>y</v>
      </c>
      <c r="UKN1" s="154" t="str">
        <f t="shared" si="226"/>
        <v>y</v>
      </c>
      <c r="UKO1" s="154" t="str">
        <f t="shared" si="226"/>
        <v>y</v>
      </c>
      <c r="UKP1" s="154" t="str">
        <f t="shared" si="226"/>
        <v>y</v>
      </c>
      <c r="UKQ1" s="154" t="str">
        <f t="shared" si="226"/>
        <v>y</v>
      </c>
      <c r="UKR1" s="154" t="str">
        <f t="shared" si="226"/>
        <v>y</v>
      </c>
      <c r="UKS1" s="154" t="str">
        <f t="shared" si="226"/>
        <v>y</v>
      </c>
      <c r="UKT1" s="154" t="str">
        <f t="shared" si="226"/>
        <v>y</v>
      </c>
      <c r="UKU1" s="154" t="str">
        <f t="shared" si="226"/>
        <v>y</v>
      </c>
      <c r="UKV1" s="154" t="str">
        <f t="shared" si="226"/>
        <v>y</v>
      </c>
      <c r="UKW1" s="154" t="str">
        <f t="shared" si="226"/>
        <v>y</v>
      </c>
      <c r="UKX1" s="154" t="str">
        <f t="shared" si="226"/>
        <v>y</v>
      </c>
      <c r="UKY1" s="154" t="str">
        <f t="shared" si="226"/>
        <v>y</v>
      </c>
      <c r="UKZ1" s="154" t="str">
        <f t="shared" si="226"/>
        <v>y</v>
      </c>
      <c r="ULA1" s="154" t="str">
        <f t="shared" si="226"/>
        <v>y</v>
      </c>
      <c r="ULB1" s="154" t="str">
        <f t="shared" si="226"/>
        <v>y</v>
      </c>
      <c r="ULC1" s="154" t="str">
        <f t="shared" si="226"/>
        <v>y</v>
      </c>
      <c r="ULD1" s="154" t="str">
        <f t="shared" si="226"/>
        <v>y</v>
      </c>
      <c r="ULE1" s="154" t="str">
        <f t="shared" si="226"/>
        <v>y</v>
      </c>
      <c r="ULF1" s="154" t="str">
        <f t="shared" si="226"/>
        <v>y</v>
      </c>
      <c r="ULG1" s="154" t="str">
        <f t="shared" si="226"/>
        <v>y</v>
      </c>
      <c r="ULH1" s="154" t="str">
        <f t="shared" si="226"/>
        <v>y</v>
      </c>
      <c r="ULI1" s="154" t="str">
        <f t="shared" si="226"/>
        <v>y</v>
      </c>
      <c r="ULJ1" s="154" t="str">
        <f t="shared" si="226"/>
        <v>y</v>
      </c>
      <c r="ULK1" s="154" t="str">
        <f t="shared" si="226"/>
        <v>y</v>
      </c>
      <c r="ULL1" s="154" t="str">
        <f t="shared" si="226"/>
        <v>y</v>
      </c>
      <c r="ULM1" s="154" t="str">
        <f t="shared" si="226"/>
        <v>y</v>
      </c>
      <c r="ULN1" s="154" t="str">
        <f t="shared" si="226"/>
        <v>y</v>
      </c>
      <c r="ULO1" s="154" t="str">
        <f t="shared" si="226"/>
        <v>y</v>
      </c>
      <c r="ULP1" s="154" t="str">
        <f t="shared" si="226"/>
        <v>y</v>
      </c>
      <c r="ULQ1" s="154" t="str">
        <f t="shared" si="226"/>
        <v>y</v>
      </c>
      <c r="ULR1" s="154" t="str">
        <f t="shared" si="226"/>
        <v>y</v>
      </c>
      <c r="ULS1" s="154" t="str">
        <f t="shared" si="226"/>
        <v>y</v>
      </c>
      <c r="ULT1" s="154" t="str">
        <f t="shared" si="226"/>
        <v>y</v>
      </c>
      <c r="ULU1" s="154" t="str">
        <f t="shared" si="226"/>
        <v>y</v>
      </c>
      <c r="ULV1" s="154" t="str">
        <f t="shared" si="226"/>
        <v>y</v>
      </c>
      <c r="ULW1" s="154" t="str">
        <f t="shared" si="226"/>
        <v>y</v>
      </c>
      <c r="ULX1" s="154" t="str">
        <f t="shared" ref="ULX1:UOI1" si="227">ULX2&amp;"y"</f>
        <v>y</v>
      </c>
      <c r="ULY1" s="154" t="str">
        <f t="shared" si="227"/>
        <v>y</v>
      </c>
      <c r="ULZ1" s="154" t="str">
        <f t="shared" si="227"/>
        <v>y</v>
      </c>
      <c r="UMA1" s="154" t="str">
        <f t="shared" si="227"/>
        <v>y</v>
      </c>
      <c r="UMB1" s="154" t="str">
        <f t="shared" si="227"/>
        <v>y</v>
      </c>
      <c r="UMC1" s="154" t="str">
        <f t="shared" si="227"/>
        <v>y</v>
      </c>
      <c r="UMD1" s="154" t="str">
        <f t="shared" si="227"/>
        <v>y</v>
      </c>
      <c r="UME1" s="154" t="str">
        <f t="shared" si="227"/>
        <v>y</v>
      </c>
      <c r="UMF1" s="154" t="str">
        <f t="shared" si="227"/>
        <v>y</v>
      </c>
      <c r="UMG1" s="154" t="str">
        <f t="shared" si="227"/>
        <v>y</v>
      </c>
      <c r="UMH1" s="154" t="str">
        <f t="shared" si="227"/>
        <v>y</v>
      </c>
      <c r="UMI1" s="154" t="str">
        <f t="shared" si="227"/>
        <v>y</v>
      </c>
      <c r="UMJ1" s="154" t="str">
        <f t="shared" si="227"/>
        <v>y</v>
      </c>
      <c r="UMK1" s="154" t="str">
        <f t="shared" si="227"/>
        <v>y</v>
      </c>
      <c r="UML1" s="154" t="str">
        <f t="shared" si="227"/>
        <v>y</v>
      </c>
      <c r="UMM1" s="154" t="str">
        <f t="shared" si="227"/>
        <v>y</v>
      </c>
      <c r="UMN1" s="154" t="str">
        <f t="shared" si="227"/>
        <v>y</v>
      </c>
      <c r="UMO1" s="154" t="str">
        <f t="shared" si="227"/>
        <v>y</v>
      </c>
      <c r="UMP1" s="154" t="str">
        <f t="shared" si="227"/>
        <v>y</v>
      </c>
      <c r="UMQ1" s="154" t="str">
        <f t="shared" si="227"/>
        <v>y</v>
      </c>
      <c r="UMR1" s="154" t="str">
        <f t="shared" si="227"/>
        <v>y</v>
      </c>
      <c r="UMS1" s="154" t="str">
        <f t="shared" si="227"/>
        <v>y</v>
      </c>
      <c r="UMT1" s="154" t="str">
        <f t="shared" si="227"/>
        <v>y</v>
      </c>
      <c r="UMU1" s="154" t="str">
        <f t="shared" si="227"/>
        <v>y</v>
      </c>
      <c r="UMV1" s="154" t="str">
        <f t="shared" si="227"/>
        <v>y</v>
      </c>
      <c r="UMW1" s="154" t="str">
        <f t="shared" si="227"/>
        <v>y</v>
      </c>
      <c r="UMX1" s="154" t="str">
        <f t="shared" si="227"/>
        <v>y</v>
      </c>
      <c r="UMY1" s="154" t="str">
        <f t="shared" si="227"/>
        <v>y</v>
      </c>
      <c r="UMZ1" s="154" t="str">
        <f t="shared" si="227"/>
        <v>y</v>
      </c>
      <c r="UNA1" s="154" t="str">
        <f t="shared" si="227"/>
        <v>y</v>
      </c>
      <c r="UNB1" s="154" t="str">
        <f t="shared" si="227"/>
        <v>y</v>
      </c>
      <c r="UNC1" s="154" t="str">
        <f t="shared" si="227"/>
        <v>y</v>
      </c>
      <c r="UND1" s="154" t="str">
        <f t="shared" si="227"/>
        <v>y</v>
      </c>
      <c r="UNE1" s="154" t="str">
        <f t="shared" si="227"/>
        <v>y</v>
      </c>
      <c r="UNF1" s="154" t="str">
        <f t="shared" si="227"/>
        <v>y</v>
      </c>
      <c r="UNG1" s="154" t="str">
        <f t="shared" si="227"/>
        <v>y</v>
      </c>
      <c r="UNH1" s="154" t="str">
        <f t="shared" si="227"/>
        <v>y</v>
      </c>
      <c r="UNI1" s="154" t="str">
        <f t="shared" si="227"/>
        <v>y</v>
      </c>
      <c r="UNJ1" s="154" t="str">
        <f t="shared" si="227"/>
        <v>y</v>
      </c>
      <c r="UNK1" s="154" t="str">
        <f t="shared" si="227"/>
        <v>y</v>
      </c>
      <c r="UNL1" s="154" t="str">
        <f t="shared" si="227"/>
        <v>y</v>
      </c>
      <c r="UNM1" s="154" t="str">
        <f t="shared" si="227"/>
        <v>y</v>
      </c>
      <c r="UNN1" s="154" t="str">
        <f t="shared" si="227"/>
        <v>y</v>
      </c>
      <c r="UNO1" s="154" t="str">
        <f t="shared" si="227"/>
        <v>y</v>
      </c>
      <c r="UNP1" s="154" t="str">
        <f t="shared" si="227"/>
        <v>y</v>
      </c>
      <c r="UNQ1" s="154" t="str">
        <f t="shared" si="227"/>
        <v>y</v>
      </c>
      <c r="UNR1" s="154" t="str">
        <f t="shared" si="227"/>
        <v>y</v>
      </c>
      <c r="UNS1" s="154" t="str">
        <f t="shared" si="227"/>
        <v>y</v>
      </c>
      <c r="UNT1" s="154" t="str">
        <f t="shared" si="227"/>
        <v>y</v>
      </c>
      <c r="UNU1" s="154" t="str">
        <f t="shared" si="227"/>
        <v>y</v>
      </c>
      <c r="UNV1" s="154" t="str">
        <f t="shared" si="227"/>
        <v>y</v>
      </c>
      <c r="UNW1" s="154" t="str">
        <f t="shared" si="227"/>
        <v>y</v>
      </c>
      <c r="UNX1" s="154" t="str">
        <f t="shared" si="227"/>
        <v>y</v>
      </c>
      <c r="UNY1" s="154" t="str">
        <f t="shared" si="227"/>
        <v>y</v>
      </c>
      <c r="UNZ1" s="154" t="str">
        <f t="shared" si="227"/>
        <v>y</v>
      </c>
      <c r="UOA1" s="154" t="str">
        <f t="shared" si="227"/>
        <v>y</v>
      </c>
      <c r="UOB1" s="154" t="str">
        <f t="shared" si="227"/>
        <v>y</v>
      </c>
      <c r="UOC1" s="154" t="str">
        <f t="shared" si="227"/>
        <v>y</v>
      </c>
      <c r="UOD1" s="154" t="str">
        <f t="shared" si="227"/>
        <v>y</v>
      </c>
      <c r="UOE1" s="154" t="str">
        <f t="shared" si="227"/>
        <v>y</v>
      </c>
      <c r="UOF1" s="154" t="str">
        <f t="shared" si="227"/>
        <v>y</v>
      </c>
      <c r="UOG1" s="154" t="str">
        <f t="shared" si="227"/>
        <v>y</v>
      </c>
      <c r="UOH1" s="154" t="str">
        <f t="shared" si="227"/>
        <v>y</v>
      </c>
      <c r="UOI1" s="154" t="str">
        <f t="shared" si="227"/>
        <v>y</v>
      </c>
      <c r="UOJ1" s="154" t="str">
        <f t="shared" ref="UOJ1:UQU1" si="228">UOJ2&amp;"y"</f>
        <v>y</v>
      </c>
      <c r="UOK1" s="154" t="str">
        <f t="shared" si="228"/>
        <v>y</v>
      </c>
      <c r="UOL1" s="154" t="str">
        <f t="shared" si="228"/>
        <v>y</v>
      </c>
      <c r="UOM1" s="154" t="str">
        <f t="shared" si="228"/>
        <v>y</v>
      </c>
      <c r="UON1" s="154" t="str">
        <f t="shared" si="228"/>
        <v>y</v>
      </c>
      <c r="UOO1" s="154" t="str">
        <f t="shared" si="228"/>
        <v>y</v>
      </c>
      <c r="UOP1" s="154" t="str">
        <f t="shared" si="228"/>
        <v>y</v>
      </c>
      <c r="UOQ1" s="154" t="str">
        <f t="shared" si="228"/>
        <v>y</v>
      </c>
      <c r="UOR1" s="154" t="str">
        <f t="shared" si="228"/>
        <v>y</v>
      </c>
      <c r="UOS1" s="154" t="str">
        <f t="shared" si="228"/>
        <v>y</v>
      </c>
      <c r="UOT1" s="154" t="str">
        <f t="shared" si="228"/>
        <v>y</v>
      </c>
      <c r="UOU1" s="154" t="str">
        <f t="shared" si="228"/>
        <v>y</v>
      </c>
      <c r="UOV1" s="154" t="str">
        <f t="shared" si="228"/>
        <v>y</v>
      </c>
      <c r="UOW1" s="154" t="str">
        <f t="shared" si="228"/>
        <v>y</v>
      </c>
      <c r="UOX1" s="154" t="str">
        <f t="shared" si="228"/>
        <v>y</v>
      </c>
      <c r="UOY1" s="154" t="str">
        <f t="shared" si="228"/>
        <v>y</v>
      </c>
      <c r="UOZ1" s="154" t="str">
        <f t="shared" si="228"/>
        <v>y</v>
      </c>
      <c r="UPA1" s="154" t="str">
        <f t="shared" si="228"/>
        <v>y</v>
      </c>
      <c r="UPB1" s="154" t="str">
        <f t="shared" si="228"/>
        <v>y</v>
      </c>
      <c r="UPC1" s="154" t="str">
        <f t="shared" si="228"/>
        <v>y</v>
      </c>
      <c r="UPD1" s="154" t="str">
        <f t="shared" si="228"/>
        <v>y</v>
      </c>
      <c r="UPE1" s="154" t="str">
        <f t="shared" si="228"/>
        <v>y</v>
      </c>
      <c r="UPF1" s="154" t="str">
        <f t="shared" si="228"/>
        <v>y</v>
      </c>
      <c r="UPG1" s="154" t="str">
        <f t="shared" si="228"/>
        <v>y</v>
      </c>
      <c r="UPH1" s="154" t="str">
        <f t="shared" si="228"/>
        <v>y</v>
      </c>
      <c r="UPI1" s="154" t="str">
        <f t="shared" si="228"/>
        <v>y</v>
      </c>
      <c r="UPJ1" s="154" t="str">
        <f t="shared" si="228"/>
        <v>y</v>
      </c>
      <c r="UPK1" s="154" t="str">
        <f t="shared" si="228"/>
        <v>y</v>
      </c>
      <c r="UPL1" s="154" t="str">
        <f t="shared" si="228"/>
        <v>y</v>
      </c>
      <c r="UPM1" s="154" t="str">
        <f t="shared" si="228"/>
        <v>y</v>
      </c>
      <c r="UPN1" s="154" t="str">
        <f t="shared" si="228"/>
        <v>y</v>
      </c>
      <c r="UPO1" s="154" t="str">
        <f t="shared" si="228"/>
        <v>y</v>
      </c>
      <c r="UPP1" s="154" t="str">
        <f t="shared" si="228"/>
        <v>y</v>
      </c>
      <c r="UPQ1" s="154" t="str">
        <f t="shared" si="228"/>
        <v>y</v>
      </c>
      <c r="UPR1" s="154" t="str">
        <f t="shared" si="228"/>
        <v>y</v>
      </c>
      <c r="UPS1" s="154" t="str">
        <f t="shared" si="228"/>
        <v>y</v>
      </c>
      <c r="UPT1" s="154" t="str">
        <f t="shared" si="228"/>
        <v>y</v>
      </c>
      <c r="UPU1" s="154" t="str">
        <f t="shared" si="228"/>
        <v>y</v>
      </c>
      <c r="UPV1" s="154" t="str">
        <f t="shared" si="228"/>
        <v>y</v>
      </c>
      <c r="UPW1" s="154" t="str">
        <f t="shared" si="228"/>
        <v>y</v>
      </c>
      <c r="UPX1" s="154" t="str">
        <f t="shared" si="228"/>
        <v>y</v>
      </c>
      <c r="UPY1" s="154" t="str">
        <f t="shared" si="228"/>
        <v>y</v>
      </c>
      <c r="UPZ1" s="154" t="str">
        <f t="shared" si="228"/>
        <v>y</v>
      </c>
      <c r="UQA1" s="154" t="str">
        <f t="shared" si="228"/>
        <v>y</v>
      </c>
      <c r="UQB1" s="154" t="str">
        <f t="shared" si="228"/>
        <v>y</v>
      </c>
      <c r="UQC1" s="154" t="str">
        <f t="shared" si="228"/>
        <v>y</v>
      </c>
      <c r="UQD1" s="154" t="str">
        <f t="shared" si="228"/>
        <v>y</v>
      </c>
      <c r="UQE1" s="154" t="str">
        <f t="shared" si="228"/>
        <v>y</v>
      </c>
      <c r="UQF1" s="154" t="str">
        <f t="shared" si="228"/>
        <v>y</v>
      </c>
      <c r="UQG1" s="154" t="str">
        <f t="shared" si="228"/>
        <v>y</v>
      </c>
      <c r="UQH1" s="154" t="str">
        <f t="shared" si="228"/>
        <v>y</v>
      </c>
      <c r="UQI1" s="154" t="str">
        <f t="shared" si="228"/>
        <v>y</v>
      </c>
      <c r="UQJ1" s="154" t="str">
        <f t="shared" si="228"/>
        <v>y</v>
      </c>
      <c r="UQK1" s="154" t="str">
        <f t="shared" si="228"/>
        <v>y</v>
      </c>
      <c r="UQL1" s="154" t="str">
        <f t="shared" si="228"/>
        <v>y</v>
      </c>
      <c r="UQM1" s="154" t="str">
        <f t="shared" si="228"/>
        <v>y</v>
      </c>
      <c r="UQN1" s="154" t="str">
        <f t="shared" si="228"/>
        <v>y</v>
      </c>
      <c r="UQO1" s="154" t="str">
        <f t="shared" si="228"/>
        <v>y</v>
      </c>
      <c r="UQP1" s="154" t="str">
        <f t="shared" si="228"/>
        <v>y</v>
      </c>
      <c r="UQQ1" s="154" t="str">
        <f t="shared" si="228"/>
        <v>y</v>
      </c>
      <c r="UQR1" s="154" t="str">
        <f t="shared" si="228"/>
        <v>y</v>
      </c>
      <c r="UQS1" s="154" t="str">
        <f t="shared" si="228"/>
        <v>y</v>
      </c>
      <c r="UQT1" s="154" t="str">
        <f t="shared" si="228"/>
        <v>y</v>
      </c>
      <c r="UQU1" s="154" t="str">
        <f t="shared" si="228"/>
        <v>y</v>
      </c>
      <c r="UQV1" s="154" t="str">
        <f t="shared" ref="UQV1:UTG1" si="229">UQV2&amp;"y"</f>
        <v>y</v>
      </c>
      <c r="UQW1" s="154" t="str">
        <f t="shared" si="229"/>
        <v>y</v>
      </c>
      <c r="UQX1" s="154" t="str">
        <f t="shared" si="229"/>
        <v>y</v>
      </c>
      <c r="UQY1" s="154" t="str">
        <f t="shared" si="229"/>
        <v>y</v>
      </c>
      <c r="UQZ1" s="154" t="str">
        <f t="shared" si="229"/>
        <v>y</v>
      </c>
      <c r="URA1" s="154" t="str">
        <f t="shared" si="229"/>
        <v>y</v>
      </c>
      <c r="URB1" s="154" t="str">
        <f t="shared" si="229"/>
        <v>y</v>
      </c>
      <c r="URC1" s="154" t="str">
        <f t="shared" si="229"/>
        <v>y</v>
      </c>
      <c r="URD1" s="154" t="str">
        <f t="shared" si="229"/>
        <v>y</v>
      </c>
      <c r="URE1" s="154" t="str">
        <f t="shared" si="229"/>
        <v>y</v>
      </c>
      <c r="URF1" s="154" t="str">
        <f t="shared" si="229"/>
        <v>y</v>
      </c>
      <c r="URG1" s="154" t="str">
        <f t="shared" si="229"/>
        <v>y</v>
      </c>
      <c r="URH1" s="154" t="str">
        <f t="shared" si="229"/>
        <v>y</v>
      </c>
      <c r="URI1" s="154" t="str">
        <f t="shared" si="229"/>
        <v>y</v>
      </c>
      <c r="URJ1" s="154" t="str">
        <f t="shared" si="229"/>
        <v>y</v>
      </c>
      <c r="URK1" s="154" t="str">
        <f t="shared" si="229"/>
        <v>y</v>
      </c>
      <c r="URL1" s="154" t="str">
        <f t="shared" si="229"/>
        <v>y</v>
      </c>
      <c r="URM1" s="154" t="str">
        <f t="shared" si="229"/>
        <v>y</v>
      </c>
      <c r="URN1" s="154" t="str">
        <f t="shared" si="229"/>
        <v>y</v>
      </c>
      <c r="URO1" s="154" t="str">
        <f t="shared" si="229"/>
        <v>y</v>
      </c>
      <c r="URP1" s="154" t="str">
        <f t="shared" si="229"/>
        <v>y</v>
      </c>
      <c r="URQ1" s="154" t="str">
        <f t="shared" si="229"/>
        <v>y</v>
      </c>
      <c r="URR1" s="154" t="str">
        <f t="shared" si="229"/>
        <v>y</v>
      </c>
      <c r="URS1" s="154" t="str">
        <f t="shared" si="229"/>
        <v>y</v>
      </c>
      <c r="URT1" s="154" t="str">
        <f t="shared" si="229"/>
        <v>y</v>
      </c>
      <c r="URU1" s="154" t="str">
        <f t="shared" si="229"/>
        <v>y</v>
      </c>
      <c r="URV1" s="154" t="str">
        <f t="shared" si="229"/>
        <v>y</v>
      </c>
      <c r="URW1" s="154" t="str">
        <f t="shared" si="229"/>
        <v>y</v>
      </c>
      <c r="URX1" s="154" t="str">
        <f t="shared" si="229"/>
        <v>y</v>
      </c>
      <c r="URY1" s="154" t="str">
        <f t="shared" si="229"/>
        <v>y</v>
      </c>
      <c r="URZ1" s="154" t="str">
        <f t="shared" si="229"/>
        <v>y</v>
      </c>
      <c r="USA1" s="154" t="str">
        <f t="shared" si="229"/>
        <v>y</v>
      </c>
      <c r="USB1" s="154" t="str">
        <f t="shared" si="229"/>
        <v>y</v>
      </c>
      <c r="USC1" s="154" t="str">
        <f t="shared" si="229"/>
        <v>y</v>
      </c>
      <c r="USD1" s="154" t="str">
        <f t="shared" si="229"/>
        <v>y</v>
      </c>
      <c r="USE1" s="154" t="str">
        <f t="shared" si="229"/>
        <v>y</v>
      </c>
      <c r="USF1" s="154" t="str">
        <f t="shared" si="229"/>
        <v>y</v>
      </c>
      <c r="USG1" s="154" t="str">
        <f t="shared" si="229"/>
        <v>y</v>
      </c>
      <c r="USH1" s="154" t="str">
        <f t="shared" si="229"/>
        <v>y</v>
      </c>
      <c r="USI1" s="154" t="str">
        <f t="shared" si="229"/>
        <v>y</v>
      </c>
      <c r="USJ1" s="154" t="str">
        <f t="shared" si="229"/>
        <v>y</v>
      </c>
      <c r="USK1" s="154" t="str">
        <f t="shared" si="229"/>
        <v>y</v>
      </c>
      <c r="USL1" s="154" t="str">
        <f t="shared" si="229"/>
        <v>y</v>
      </c>
      <c r="USM1" s="154" t="str">
        <f t="shared" si="229"/>
        <v>y</v>
      </c>
      <c r="USN1" s="154" t="str">
        <f t="shared" si="229"/>
        <v>y</v>
      </c>
      <c r="USO1" s="154" t="str">
        <f t="shared" si="229"/>
        <v>y</v>
      </c>
      <c r="USP1" s="154" t="str">
        <f t="shared" si="229"/>
        <v>y</v>
      </c>
      <c r="USQ1" s="154" t="str">
        <f t="shared" si="229"/>
        <v>y</v>
      </c>
      <c r="USR1" s="154" t="str">
        <f t="shared" si="229"/>
        <v>y</v>
      </c>
      <c r="USS1" s="154" t="str">
        <f t="shared" si="229"/>
        <v>y</v>
      </c>
      <c r="UST1" s="154" t="str">
        <f t="shared" si="229"/>
        <v>y</v>
      </c>
      <c r="USU1" s="154" t="str">
        <f t="shared" si="229"/>
        <v>y</v>
      </c>
      <c r="USV1" s="154" t="str">
        <f t="shared" si="229"/>
        <v>y</v>
      </c>
      <c r="USW1" s="154" t="str">
        <f t="shared" si="229"/>
        <v>y</v>
      </c>
      <c r="USX1" s="154" t="str">
        <f t="shared" si="229"/>
        <v>y</v>
      </c>
      <c r="USY1" s="154" t="str">
        <f t="shared" si="229"/>
        <v>y</v>
      </c>
      <c r="USZ1" s="154" t="str">
        <f t="shared" si="229"/>
        <v>y</v>
      </c>
      <c r="UTA1" s="154" t="str">
        <f t="shared" si="229"/>
        <v>y</v>
      </c>
      <c r="UTB1" s="154" t="str">
        <f t="shared" si="229"/>
        <v>y</v>
      </c>
      <c r="UTC1" s="154" t="str">
        <f t="shared" si="229"/>
        <v>y</v>
      </c>
      <c r="UTD1" s="154" t="str">
        <f t="shared" si="229"/>
        <v>y</v>
      </c>
      <c r="UTE1" s="154" t="str">
        <f t="shared" si="229"/>
        <v>y</v>
      </c>
      <c r="UTF1" s="154" t="str">
        <f t="shared" si="229"/>
        <v>y</v>
      </c>
      <c r="UTG1" s="154" t="str">
        <f t="shared" si="229"/>
        <v>y</v>
      </c>
      <c r="UTH1" s="154" t="str">
        <f t="shared" ref="UTH1:UVS1" si="230">UTH2&amp;"y"</f>
        <v>y</v>
      </c>
      <c r="UTI1" s="154" t="str">
        <f t="shared" si="230"/>
        <v>y</v>
      </c>
      <c r="UTJ1" s="154" t="str">
        <f t="shared" si="230"/>
        <v>y</v>
      </c>
      <c r="UTK1" s="154" t="str">
        <f t="shared" si="230"/>
        <v>y</v>
      </c>
      <c r="UTL1" s="154" t="str">
        <f t="shared" si="230"/>
        <v>y</v>
      </c>
      <c r="UTM1" s="154" t="str">
        <f t="shared" si="230"/>
        <v>y</v>
      </c>
      <c r="UTN1" s="154" t="str">
        <f t="shared" si="230"/>
        <v>y</v>
      </c>
      <c r="UTO1" s="154" t="str">
        <f t="shared" si="230"/>
        <v>y</v>
      </c>
      <c r="UTP1" s="154" t="str">
        <f t="shared" si="230"/>
        <v>y</v>
      </c>
      <c r="UTQ1" s="154" t="str">
        <f t="shared" si="230"/>
        <v>y</v>
      </c>
      <c r="UTR1" s="154" t="str">
        <f t="shared" si="230"/>
        <v>y</v>
      </c>
      <c r="UTS1" s="154" t="str">
        <f t="shared" si="230"/>
        <v>y</v>
      </c>
      <c r="UTT1" s="154" t="str">
        <f t="shared" si="230"/>
        <v>y</v>
      </c>
      <c r="UTU1" s="154" t="str">
        <f t="shared" si="230"/>
        <v>y</v>
      </c>
      <c r="UTV1" s="154" t="str">
        <f t="shared" si="230"/>
        <v>y</v>
      </c>
      <c r="UTW1" s="154" t="str">
        <f t="shared" si="230"/>
        <v>y</v>
      </c>
      <c r="UTX1" s="154" t="str">
        <f t="shared" si="230"/>
        <v>y</v>
      </c>
      <c r="UTY1" s="154" t="str">
        <f t="shared" si="230"/>
        <v>y</v>
      </c>
      <c r="UTZ1" s="154" t="str">
        <f t="shared" si="230"/>
        <v>y</v>
      </c>
      <c r="UUA1" s="154" t="str">
        <f t="shared" si="230"/>
        <v>y</v>
      </c>
      <c r="UUB1" s="154" t="str">
        <f t="shared" si="230"/>
        <v>y</v>
      </c>
      <c r="UUC1" s="154" t="str">
        <f t="shared" si="230"/>
        <v>y</v>
      </c>
      <c r="UUD1" s="154" t="str">
        <f t="shared" si="230"/>
        <v>y</v>
      </c>
      <c r="UUE1" s="154" t="str">
        <f t="shared" si="230"/>
        <v>y</v>
      </c>
      <c r="UUF1" s="154" t="str">
        <f t="shared" si="230"/>
        <v>y</v>
      </c>
      <c r="UUG1" s="154" t="str">
        <f t="shared" si="230"/>
        <v>y</v>
      </c>
      <c r="UUH1" s="154" t="str">
        <f t="shared" si="230"/>
        <v>y</v>
      </c>
      <c r="UUI1" s="154" t="str">
        <f t="shared" si="230"/>
        <v>y</v>
      </c>
      <c r="UUJ1" s="154" t="str">
        <f t="shared" si="230"/>
        <v>y</v>
      </c>
      <c r="UUK1" s="154" t="str">
        <f t="shared" si="230"/>
        <v>y</v>
      </c>
      <c r="UUL1" s="154" t="str">
        <f t="shared" si="230"/>
        <v>y</v>
      </c>
      <c r="UUM1" s="154" t="str">
        <f t="shared" si="230"/>
        <v>y</v>
      </c>
      <c r="UUN1" s="154" t="str">
        <f t="shared" si="230"/>
        <v>y</v>
      </c>
      <c r="UUO1" s="154" t="str">
        <f t="shared" si="230"/>
        <v>y</v>
      </c>
      <c r="UUP1" s="154" t="str">
        <f t="shared" si="230"/>
        <v>y</v>
      </c>
      <c r="UUQ1" s="154" t="str">
        <f t="shared" si="230"/>
        <v>y</v>
      </c>
      <c r="UUR1" s="154" t="str">
        <f t="shared" si="230"/>
        <v>y</v>
      </c>
      <c r="UUS1" s="154" t="str">
        <f t="shared" si="230"/>
        <v>y</v>
      </c>
      <c r="UUT1" s="154" t="str">
        <f t="shared" si="230"/>
        <v>y</v>
      </c>
      <c r="UUU1" s="154" t="str">
        <f t="shared" si="230"/>
        <v>y</v>
      </c>
      <c r="UUV1" s="154" t="str">
        <f t="shared" si="230"/>
        <v>y</v>
      </c>
      <c r="UUW1" s="154" t="str">
        <f t="shared" si="230"/>
        <v>y</v>
      </c>
      <c r="UUX1" s="154" t="str">
        <f t="shared" si="230"/>
        <v>y</v>
      </c>
      <c r="UUY1" s="154" t="str">
        <f t="shared" si="230"/>
        <v>y</v>
      </c>
      <c r="UUZ1" s="154" t="str">
        <f t="shared" si="230"/>
        <v>y</v>
      </c>
      <c r="UVA1" s="154" t="str">
        <f t="shared" si="230"/>
        <v>y</v>
      </c>
      <c r="UVB1" s="154" t="str">
        <f t="shared" si="230"/>
        <v>y</v>
      </c>
      <c r="UVC1" s="154" t="str">
        <f t="shared" si="230"/>
        <v>y</v>
      </c>
      <c r="UVD1" s="154" t="str">
        <f t="shared" si="230"/>
        <v>y</v>
      </c>
      <c r="UVE1" s="154" t="str">
        <f t="shared" si="230"/>
        <v>y</v>
      </c>
      <c r="UVF1" s="154" t="str">
        <f t="shared" si="230"/>
        <v>y</v>
      </c>
      <c r="UVG1" s="154" t="str">
        <f t="shared" si="230"/>
        <v>y</v>
      </c>
      <c r="UVH1" s="154" t="str">
        <f t="shared" si="230"/>
        <v>y</v>
      </c>
      <c r="UVI1" s="154" t="str">
        <f t="shared" si="230"/>
        <v>y</v>
      </c>
      <c r="UVJ1" s="154" t="str">
        <f t="shared" si="230"/>
        <v>y</v>
      </c>
      <c r="UVK1" s="154" t="str">
        <f t="shared" si="230"/>
        <v>y</v>
      </c>
      <c r="UVL1" s="154" t="str">
        <f t="shared" si="230"/>
        <v>y</v>
      </c>
      <c r="UVM1" s="154" t="str">
        <f t="shared" si="230"/>
        <v>y</v>
      </c>
      <c r="UVN1" s="154" t="str">
        <f t="shared" si="230"/>
        <v>y</v>
      </c>
      <c r="UVO1" s="154" t="str">
        <f t="shared" si="230"/>
        <v>y</v>
      </c>
      <c r="UVP1" s="154" t="str">
        <f t="shared" si="230"/>
        <v>y</v>
      </c>
      <c r="UVQ1" s="154" t="str">
        <f t="shared" si="230"/>
        <v>y</v>
      </c>
      <c r="UVR1" s="154" t="str">
        <f t="shared" si="230"/>
        <v>y</v>
      </c>
      <c r="UVS1" s="154" t="str">
        <f t="shared" si="230"/>
        <v>y</v>
      </c>
      <c r="UVT1" s="154" t="str">
        <f t="shared" ref="UVT1:UYE1" si="231">UVT2&amp;"y"</f>
        <v>y</v>
      </c>
      <c r="UVU1" s="154" t="str">
        <f t="shared" si="231"/>
        <v>y</v>
      </c>
      <c r="UVV1" s="154" t="str">
        <f t="shared" si="231"/>
        <v>y</v>
      </c>
      <c r="UVW1" s="154" t="str">
        <f t="shared" si="231"/>
        <v>y</v>
      </c>
      <c r="UVX1" s="154" t="str">
        <f t="shared" si="231"/>
        <v>y</v>
      </c>
      <c r="UVY1" s="154" t="str">
        <f t="shared" si="231"/>
        <v>y</v>
      </c>
      <c r="UVZ1" s="154" t="str">
        <f t="shared" si="231"/>
        <v>y</v>
      </c>
      <c r="UWA1" s="154" t="str">
        <f t="shared" si="231"/>
        <v>y</v>
      </c>
      <c r="UWB1" s="154" t="str">
        <f t="shared" si="231"/>
        <v>y</v>
      </c>
      <c r="UWC1" s="154" t="str">
        <f t="shared" si="231"/>
        <v>y</v>
      </c>
      <c r="UWD1" s="154" t="str">
        <f t="shared" si="231"/>
        <v>y</v>
      </c>
      <c r="UWE1" s="154" t="str">
        <f t="shared" si="231"/>
        <v>y</v>
      </c>
      <c r="UWF1" s="154" t="str">
        <f t="shared" si="231"/>
        <v>y</v>
      </c>
      <c r="UWG1" s="154" t="str">
        <f t="shared" si="231"/>
        <v>y</v>
      </c>
      <c r="UWH1" s="154" t="str">
        <f t="shared" si="231"/>
        <v>y</v>
      </c>
      <c r="UWI1" s="154" t="str">
        <f t="shared" si="231"/>
        <v>y</v>
      </c>
      <c r="UWJ1" s="154" t="str">
        <f t="shared" si="231"/>
        <v>y</v>
      </c>
      <c r="UWK1" s="154" t="str">
        <f t="shared" si="231"/>
        <v>y</v>
      </c>
      <c r="UWL1" s="154" t="str">
        <f t="shared" si="231"/>
        <v>y</v>
      </c>
      <c r="UWM1" s="154" t="str">
        <f t="shared" si="231"/>
        <v>y</v>
      </c>
      <c r="UWN1" s="154" t="str">
        <f t="shared" si="231"/>
        <v>y</v>
      </c>
      <c r="UWO1" s="154" t="str">
        <f t="shared" si="231"/>
        <v>y</v>
      </c>
      <c r="UWP1" s="154" t="str">
        <f t="shared" si="231"/>
        <v>y</v>
      </c>
      <c r="UWQ1" s="154" t="str">
        <f t="shared" si="231"/>
        <v>y</v>
      </c>
      <c r="UWR1" s="154" t="str">
        <f t="shared" si="231"/>
        <v>y</v>
      </c>
      <c r="UWS1" s="154" t="str">
        <f t="shared" si="231"/>
        <v>y</v>
      </c>
      <c r="UWT1" s="154" t="str">
        <f t="shared" si="231"/>
        <v>y</v>
      </c>
      <c r="UWU1" s="154" t="str">
        <f t="shared" si="231"/>
        <v>y</v>
      </c>
      <c r="UWV1" s="154" t="str">
        <f t="shared" si="231"/>
        <v>y</v>
      </c>
      <c r="UWW1" s="154" t="str">
        <f t="shared" si="231"/>
        <v>y</v>
      </c>
      <c r="UWX1" s="154" t="str">
        <f t="shared" si="231"/>
        <v>y</v>
      </c>
      <c r="UWY1" s="154" t="str">
        <f t="shared" si="231"/>
        <v>y</v>
      </c>
      <c r="UWZ1" s="154" t="str">
        <f t="shared" si="231"/>
        <v>y</v>
      </c>
      <c r="UXA1" s="154" t="str">
        <f t="shared" si="231"/>
        <v>y</v>
      </c>
      <c r="UXB1" s="154" t="str">
        <f t="shared" si="231"/>
        <v>y</v>
      </c>
      <c r="UXC1" s="154" t="str">
        <f t="shared" si="231"/>
        <v>y</v>
      </c>
      <c r="UXD1" s="154" t="str">
        <f t="shared" si="231"/>
        <v>y</v>
      </c>
      <c r="UXE1" s="154" t="str">
        <f t="shared" si="231"/>
        <v>y</v>
      </c>
      <c r="UXF1" s="154" t="str">
        <f t="shared" si="231"/>
        <v>y</v>
      </c>
      <c r="UXG1" s="154" t="str">
        <f t="shared" si="231"/>
        <v>y</v>
      </c>
      <c r="UXH1" s="154" t="str">
        <f t="shared" si="231"/>
        <v>y</v>
      </c>
      <c r="UXI1" s="154" t="str">
        <f t="shared" si="231"/>
        <v>y</v>
      </c>
      <c r="UXJ1" s="154" t="str">
        <f t="shared" si="231"/>
        <v>y</v>
      </c>
      <c r="UXK1" s="154" t="str">
        <f t="shared" si="231"/>
        <v>y</v>
      </c>
      <c r="UXL1" s="154" t="str">
        <f t="shared" si="231"/>
        <v>y</v>
      </c>
      <c r="UXM1" s="154" t="str">
        <f t="shared" si="231"/>
        <v>y</v>
      </c>
      <c r="UXN1" s="154" t="str">
        <f t="shared" si="231"/>
        <v>y</v>
      </c>
      <c r="UXO1" s="154" t="str">
        <f t="shared" si="231"/>
        <v>y</v>
      </c>
      <c r="UXP1" s="154" t="str">
        <f t="shared" si="231"/>
        <v>y</v>
      </c>
      <c r="UXQ1" s="154" t="str">
        <f t="shared" si="231"/>
        <v>y</v>
      </c>
      <c r="UXR1" s="154" t="str">
        <f t="shared" si="231"/>
        <v>y</v>
      </c>
      <c r="UXS1" s="154" t="str">
        <f t="shared" si="231"/>
        <v>y</v>
      </c>
      <c r="UXT1" s="154" t="str">
        <f t="shared" si="231"/>
        <v>y</v>
      </c>
      <c r="UXU1" s="154" t="str">
        <f t="shared" si="231"/>
        <v>y</v>
      </c>
      <c r="UXV1" s="154" t="str">
        <f t="shared" si="231"/>
        <v>y</v>
      </c>
      <c r="UXW1" s="154" t="str">
        <f t="shared" si="231"/>
        <v>y</v>
      </c>
      <c r="UXX1" s="154" t="str">
        <f t="shared" si="231"/>
        <v>y</v>
      </c>
      <c r="UXY1" s="154" t="str">
        <f t="shared" si="231"/>
        <v>y</v>
      </c>
      <c r="UXZ1" s="154" t="str">
        <f t="shared" si="231"/>
        <v>y</v>
      </c>
      <c r="UYA1" s="154" t="str">
        <f t="shared" si="231"/>
        <v>y</v>
      </c>
      <c r="UYB1" s="154" t="str">
        <f t="shared" si="231"/>
        <v>y</v>
      </c>
      <c r="UYC1" s="154" t="str">
        <f t="shared" si="231"/>
        <v>y</v>
      </c>
      <c r="UYD1" s="154" t="str">
        <f t="shared" si="231"/>
        <v>y</v>
      </c>
      <c r="UYE1" s="154" t="str">
        <f t="shared" si="231"/>
        <v>y</v>
      </c>
      <c r="UYF1" s="154" t="str">
        <f t="shared" ref="UYF1:VAQ1" si="232">UYF2&amp;"y"</f>
        <v>y</v>
      </c>
      <c r="UYG1" s="154" t="str">
        <f t="shared" si="232"/>
        <v>y</v>
      </c>
      <c r="UYH1" s="154" t="str">
        <f t="shared" si="232"/>
        <v>y</v>
      </c>
      <c r="UYI1" s="154" t="str">
        <f t="shared" si="232"/>
        <v>y</v>
      </c>
      <c r="UYJ1" s="154" t="str">
        <f t="shared" si="232"/>
        <v>y</v>
      </c>
      <c r="UYK1" s="154" t="str">
        <f t="shared" si="232"/>
        <v>y</v>
      </c>
      <c r="UYL1" s="154" t="str">
        <f t="shared" si="232"/>
        <v>y</v>
      </c>
      <c r="UYM1" s="154" t="str">
        <f t="shared" si="232"/>
        <v>y</v>
      </c>
      <c r="UYN1" s="154" t="str">
        <f t="shared" si="232"/>
        <v>y</v>
      </c>
      <c r="UYO1" s="154" t="str">
        <f t="shared" si="232"/>
        <v>y</v>
      </c>
      <c r="UYP1" s="154" t="str">
        <f t="shared" si="232"/>
        <v>y</v>
      </c>
      <c r="UYQ1" s="154" t="str">
        <f t="shared" si="232"/>
        <v>y</v>
      </c>
      <c r="UYR1" s="154" t="str">
        <f t="shared" si="232"/>
        <v>y</v>
      </c>
      <c r="UYS1" s="154" t="str">
        <f t="shared" si="232"/>
        <v>y</v>
      </c>
      <c r="UYT1" s="154" t="str">
        <f t="shared" si="232"/>
        <v>y</v>
      </c>
      <c r="UYU1" s="154" t="str">
        <f t="shared" si="232"/>
        <v>y</v>
      </c>
      <c r="UYV1" s="154" t="str">
        <f t="shared" si="232"/>
        <v>y</v>
      </c>
      <c r="UYW1" s="154" t="str">
        <f t="shared" si="232"/>
        <v>y</v>
      </c>
      <c r="UYX1" s="154" t="str">
        <f t="shared" si="232"/>
        <v>y</v>
      </c>
      <c r="UYY1" s="154" t="str">
        <f t="shared" si="232"/>
        <v>y</v>
      </c>
      <c r="UYZ1" s="154" t="str">
        <f t="shared" si="232"/>
        <v>y</v>
      </c>
      <c r="UZA1" s="154" t="str">
        <f t="shared" si="232"/>
        <v>y</v>
      </c>
      <c r="UZB1" s="154" t="str">
        <f t="shared" si="232"/>
        <v>y</v>
      </c>
      <c r="UZC1" s="154" t="str">
        <f t="shared" si="232"/>
        <v>y</v>
      </c>
      <c r="UZD1" s="154" t="str">
        <f t="shared" si="232"/>
        <v>y</v>
      </c>
      <c r="UZE1" s="154" t="str">
        <f t="shared" si="232"/>
        <v>y</v>
      </c>
      <c r="UZF1" s="154" t="str">
        <f t="shared" si="232"/>
        <v>y</v>
      </c>
      <c r="UZG1" s="154" t="str">
        <f t="shared" si="232"/>
        <v>y</v>
      </c>
      <c r="UZH1" s="154" t="str">
        <f t="shared" si="232"/>
        <v>y</v>
      </c>
      <c r="UZI1" s="154" t="str">
        <f t="shared" si="232"/>
        <v>y</v>
      </c>
      <c r="UZJ1" s="154" t="str">
        <f t="shared" si="232"/>
        <v>y</v>
      </c>
      <c r="UZK1" s="154" t="str">
        <f t="shared" si="232"/>
        <v>y</v>
      </c>
      <c r="UZL1" s="154" t="str">
        <f t="shared" si="232"/>
        <v>y</v>
      </c>
      <c r="UZM1" s="154" t="str">
        <f t="shared" si="232"/>
        <v>y</v>
      </c>
      <c r="UZN1" s="154" t="str">
        <f t="shared" si="232"/>
        <v>y</v>
      </c>
      <c r="UZO1" s="154" t="str">
        <f t="shared" si="232"/>
        <v>y</v>
      </c>
      <c r="UZP1" s="154" t="str">
        <f t="shared" si="232"/>
        <v>y</v>
      </c>
      <c r="UZQ1" s="154" t="str">
        <f t="shared" si="232"/>
        <v>y</v>
      </c>
      <c r="UZR1" s="154" t="str">
        <f t="shared" si="232"/>
        <v>y</v>
      </c>
      <c r="UZS1" s="154" t="str">
        <f t="shared" si="232"/>
        <v>y</v>
      </c>
      <c r="UZT1" s="154" t="str">
        <f t="shared" si="232"/>
        <v>y</v>
      </c>
      <c r="UZU1" s="154" t="str">
        <f t="shared" si="232"/>
        <v>y</v>
      </c>
      <c r="UZV1" s="154" t="str">
        <f t="shared" si="232"/>
        <v>y</v>
      </c>
      <c r="UZW1" s="154" t="str">
        <f t="shared" si="232"/>
        <v>y</v>
      </c>
      <c r="UZX1" s="154" t="str">
        <f t="shared" si="232"/>
        <v>y</v>
      </c>
      <c r="UZY1" s="154" t="str">
        <f t="shared" si="232"/>
        <v>y</v>
      </c>
      <c r="UZZ1" s="154" t="str">
        <f t="shared" si="232"/>
        <v>y</v>
      </c>
      <c r="VAA1" s="154" t="str">
        <f t="shared" si="232"/>
        <v>y</v>
      </c>
      <c r="VAB1" s="154" t="str">
        <f t="shared" si="232"/>
        <v>y</v>
      </c>
      <c r="VAC1" s="154" t="str">
        <f t="shared" si="232"/>
        <v>y</v>
      </c>
      <c r="VAD1" s="154" t="str">
        <f t="shared" si="232"/>
        <v>y</v>
      </c>
      <c r="VAE1" s="154" t="str">
        <f t="shared" si="232"/>
        <v>y</v>
      </c>
      <c r="VAF1" s="154" t="str">
        <f t="shared" si="232"/>
        <v>y</v>
      </c>
      <c r="VAG1" s="154" t="str">
        <f t="shared" si="232"/>
        <v>y</v>
      </c>
      <c r="VAH1" s="154" t="str">
        <f t="shared" si="232"/>
        <v>y</v>
      </c>
      <c r="VAI1" s="154" t="str">
        <f t="shared" si="232"/>
        <v>y</v>
      </c>
      <c r="VAJ1" s="154" t="str">
        <f t="shared" si="232"/>
        <v>y</v>
      </c>
      <c r="VAK1" s="154" t="str">
        <f t="shared" si="232"/>
        <v>y</v>
      </c>
      <c r="VAL1" s="154" t="str">
        <f t="shared" si="232"/>
        <v>y</v>
      </c>
      <c r="VAM1" s="154" t="str">
        <f t="shared" si="232"/>
        <v>y</v>
      </c>
      <c r="VAN1" s="154" t="str">
        <f t="shared" si="232"/>
        <v>y</v>
      </c>
      <c r="VAO1" s="154" t="str">
        <f t="shared" si="232"/>
        <v>y</v>
      </c>
      <c r="VAP1" s="154" t="str">
        <f t="shared" si="232"/>
        <v>y</v>
      </c>
      <c r="VAQ1" s="154" t="str">
        <f t="shared" si="232"/>
        <v>y</v>
      </c>
      <c r="VAR1" s="154" t="str">
        <f t="shared" ref="VAR1:VDC1" si="233">VAR2&amp;"y"</f>
        <v>y</v>
      </c>
      <c r="VAS1" s="154" t="str">
        <f t="shared" si="233"/>
        <v>y</v>
      </c>
      <c r="VAT1" s="154" t="str">
        <f t="shared" si="233"/>
        <v>y</v>
      </c>
      <c r="VAU1" s="154" t="str">
        <f t="shared" si="233"/>
        <v>y</v>
      </c>
      <c r="VAV1" s="154" t="str">
        <f t="shared" si="233"/>
        <v>y</v>
      </c>
      <c r="VAW1" s="154" t="str">
        <f t="shared" si="233"/>
        <v>y</v>
      </c>
      <c r="VAX1" s="154" t="str">
        <f t="shared" si="233"/>
        <v>y</v>
      </c>
      <c r="VAY1" s="154" t="str">
        <f t="shared" si="233"/>
        <v>y</v>
      </c>
      <c r="VAZ1" s="154" t="str">
        <f t="shared" si="233"/>
        <v>y</v>
      </c>
      <c r="VBA1" s="154" t="str">
        <f t="shared" si="233"/>
        <v>y</v>
      </c>
      <c r="VBB1" s="154" t="str">
        <f t="shared" si="233"/>
        <v>y</v>
      </c>
      <c r="VBC1" s="154" t="str">
        <f t="shared" si="233"/>
        <v>y</v>
      </c>
      <c r="VBD1" s="154" t="str">
        <f t="shared" si="233"/>
        <v>y</v>
      </c>
      <c r="VBE1" s="154" t="str">
        <f t="shared" si="233"/>
        <v>y</v>
      </c>
      <c r="VBF1" s="154" t="str">
        <f t="shared" si="233"/>
        <v>y</v>
      </c>
      <c r="VBG1" s="154" t="str">
        <f t="shared" si="233"/>
        <v>y</v>
      </c>
      <c r="VBH1" s="154" t="str">
        <f t="shared" si="233"/>
        <v>y</v>
      </c>
      <c r="VBI1" s="154" t="str">
        <f t="shared" si="233"/>
        <v>y</v>
      </c>
      <c r="VBJ1" s="154" t="str">
        <f t="shared" si="233"/>
        <v>y</v>
      </c>
      <c r="VBK1" s="154" t="str">
        <f t="shared" si="233"/>
        <v>y</v>
      </c>
      <c r="VBL1" s="154" t="str">
        <f t="shared" si="233"/>
        <v>y</v>
      </c>
      <c r="VBM1" s="154" t="str">
        <f t="shared" si="233"/>
        <v>y</v>
      </c>
      <c r="VBN1" s="154" t="str">
        <f t="shared" si="233"/>
        <v>y</v>
      </c>
      <c r="VBO1" s="154" t="str">
        <f t="shared" si="233"/>
        <v>y</v>
      </c>
      <c r="VBP1" s="154" t="str">
        <f t="shared" si="233"/>
        <v>y</v>
      </c>
      <c r="VBQ1" s="154" t="str">
        <f t="shared" si="233"/>
        <v>y</v>
      </c>
      <c r="VBR1" s="154" t="str">
        <f t="shared" si="233"/>
        <v>y</v>
      </c>
      <c r="VBS1" s="154" t="str">
        <f t="shared" si="233"/>
        <v>y</v>
      </c>
      <c r="VBT1" s="154" t="str">
        <f t="shared" si="233"/>
        <v>y</v>
      </c>
      <c r="VBU1" s="154" t="str">
        <f t="shared" si="233"/>
        <v>y</v>
      </c>
      <c r="VBV1" s="154" t="str">
        <f t="shared" si="233"/>
        <v>y</v>
      </c>
      <c r="VBW1" s="154" t="str">
        <f t="shared" si="233"/>
        <v>y</v>
      </c>
      <c r="VBX1" s="154" t="str">
        <f t="shared" si="233"/>
        <v>y</v>
      </c>
      <c r="VBY1" s="154" t="str">
        <f t="shared" si="233"/>
        <v>y</v>
      </c>
      <c r="VBZ1" s="154" t="str">
        <f t="shared" si="233"/>
        <v>y</v>
      </c>
      <c r="VCA1" s="154" t="str">
        <f t="shared" si="233"/>
        <v>y</v>
      </c>
      <c r="VCB1" s="154" t="str">
        <f t="shared" si="233"/>
        <v>y</v>
      </c>
      <c r="VCC1" s="154" t="str">
        <f t="shared" si="233"/>
        <v>y</v>
      </c>
      <c r="VCD1" s="154" t="str">
        <f t="shared" si="233"/>
        <v>y</v>
      </c>
      <c r="VCE1" s="154" t="str">
        <f t="shared" si="233"/>
        <v>y</v>
      </c>
      <c r="VCF1" s="154" t="str">
        <f t="shared" si="233"/>
        <v>y</v>
      </c>
      <c r="VCG1" s="154" t="str">
        <f t="shared" si="233"/>
        <v>y</v>
      </c>
      <c r="VCH1" s="154" t="str">
        <f t="shared" si="233"/>
        <v>y</v>
      </c>
      <c r="VCI1" s="154" t="str">
        <f t="shared" si="233"/>
        <v>y</v>
      </c>
      <c r="VCJ1" s="154" t="str">
        <f t="shared" si="233"/>
        <v>y</v>
      </c>
      <c r="VCK1" s="154" t="str">
        <f t="shared" si="233"/>
        <v>y</v>
      </c>
      <c r="VCL1" s="154" t="str">
        <f t="shared" si="233"/>
        <v>y</v>
      </c>
      <c r="VCM1" s="154" t="str">
        <f t="shared" si="233"/>
        <v>y</v>
      </c>
      <c r="VCN1" s="154" t="str">
        <f t="shared" si="233"/>
        <v>y</v>
      </c>
      <c r="VCO1" s="154" t="str">
        <f t="shared" si="233"/>
        <v>y</v>
      </c>
      <c r="VCP1" s="154" t="str">
        <f t="shared" si="233"/>
        <v>y</v>
      </c>
      <c r="VCQ1" s="154" t="str">
        <f t="shared" si="233"/>
        <v>y</v>
      </c>
      <c r="VCR1" s="154" t="str">
        <f t="shared" si="233"/>
        <v>y</v>
      </c>
      <c r="VCS1" s="154" t="str">
        <f t="shared" si="233"/>
        <v>y</v>
      </c>
      <c r="VCT1" s="154" t="str">
        <f t="shared" si="233"/>
        <v>y</v>
      </c>
      <c r="VCU1" s="154" t="str">
        <f t="shared" si="233"/>
        <v>y</v>
      </c>
      <c r="VCV1" s="154" t="str">
        <f t="shared" si="233"/>
        <v>y</v>
      </c>
      <c r="VCW1" s="154" t="str">
        <f t="shared" si="233"/>
        <v>y</v>
      </c>
      <c r="VCX1" s="154" t="str">
        <f t="shared" si="233"/>
        <v>y</v>
      </c>
      <c r="VCY1" s="154" t="str">
        <f t="shared" si="233"/>
        <v>y</v>
      </c>
      <c r="VCZ1" s="154" t="str">
        <f t="shared" si="233"/>
        <v>y</v>
      </c>
      <c r="VDA1" s="154" t="str">
        <f t="shared" si="233"/>
        <v>y</v>
      </c>
      <c r="VDB1" s="154" t="str">
        <f t="shared" si="233"/>
        <v>y</v>
      </c>
      <c r="VDC1" s="154" t="str">
        <f t="shared" si="233"/>
        <v>y</v>
      </c>
      <c r="VDD1" s="154" t="str">
        <f t="shared" ref="VDD1:VFO1" si="234">VDD2&amp;"y"</f>
        <v>y</v>
      </c>
      <c r="VDE1" s="154" t="str">
        <f t="shared" si="234"/>
        <v>y</v>
      </c>
      <c r="VDF1" s="154" t="str">
        <f t="shared" si="234"/>
        <v>y</v>
      </c>
      <c r="VDG1" s="154" t="str">
        <f t="shared" si="234"/>
        <v>y</v>
      </c>
      <c r="VDH1" s="154" t="str">
        <f t="shared" si="234"/>
        <v>y</v>
      </c>
      <c r="VDI1" s="154" t="str">
        <f t="shared" si="234"/>
        <v>y</v>
      </c>
      <c r="VDJ1" s="154" t="str">
        <f t="shared" si="234"/>
        <v>y</v>
      </c>
      <c r="VDK1" s="154" t="str">
        <f t="shared" si="234"/>
        <v>y</v>
      </c>
      <c r="VDL1" s="154" t="str">
        <f t="shared" si="234"/>
        <v>y</v>
      </c>
      <c r="VDM1" s="154" t="str">
        <f t="shared" si="234"/>
        <v>y</v>
      </c>
      <c r="VDN1" s="154" t="str">
        <f t="shared" si="234"/>
        <v>y</v>
      </c>
      <c r="VDO1" s="154" t="str">
        <f t="shared" si="234"/>
        <v>y</v>
      </c>
      <c r="VDP1" s="154" t="str">
        <f t="shared" si="234"/>
        <v>y</v>
      </c>
      <c r="VDQ1" s="154" t="str">
        <f t="shared" si="234"/>
        <v>y</v>
      </c>
      <c r="VDR1" s="154" t="str">
        <f t="shared" si="234"/>
        <v>y</v>
      </c>
      <c r="VDS1" s="154" t="str">
        <f t="shared" si="234"/>
        <v>y</v>
      </c>
      <c r="VDT1" s="154" t="str">
        <f t="shared" si="234"/>
        <v>y</v>
      </c>
      <c r="VDU1" s="154" t="str">
        <f t="shared" si="234"/>
        <v>y</v>
      </c>
      <c r="VDV1" s="154" t="str">
        <f t="shared" si="234"/>
        <v>y</v>
      </c>
      <c r="VDW1" s="154" t="str">
        <f t="shared" si="234"/>
        <v>y</v>
      </c>
      <c r="VDX1" s="154" t="str">
        <f t="shared" si="234"/>
        <v>y</v>
      </c>
      <c r="VDY1" s="154" t="str">
        <f t="shared" si="234"/>
        <v>y</v>
      </c>
      <c r="VDZ1" s="154" t="str">
        <f t="shared" si="234"/>
        <v>y</v>
      </c>
      <c r="VEA1" s="154" t="str">
        <f t="shared" si="234"/>
        <v>y</v>
      </c>
      <c r="VEB1" s="154" t="str">
        <f t="shared" si="234"/>
        <v>y</v>
      </c>
      <c r="VEC1" s="154" t="str">
        <f t="shared" si="234"/>
        <v>y</v>
      </c>
      <c r="VED1" s="154" t="str">
        <f t="shared" si="234"/>
        <v>y</v>
      </c>
      <c r="VEE1" s="154" t="str">
        <f t="shared" si="234"/>
        <v>y</v>
      </c>
      <c r="VEF1" s="154" t="str">
        <f t="shared" si="234"/>
        <v>y</v>
      </c>
      <c r="VEG1" s="154" t="str">
        <f t="shared" si="234"/>
        <v>y</v>
      </c>
      <c r="VEH1" s="154" t="str">
        <f t="shared" si="234"/>
        <v>y</v>
      </c>
      <c r="VEI1" s="154" t="str">
        <f t="shared" si="234"/>
        <v>y</v>
      </c>
      <c r="VEJ1" s="154" t="str">
        <f t="shared" si="234"/>
        <v>y</v>
      </c>
      <c r="VEK1" s="154" t="str">
        <f t="shared" si="234"/>
        <v>y</v>
      </c>
      <c r="VEL1" s="154" t="str">
        <f t="shared" si="234"/>
        <v>y</v>
      </c>
      <c r="VEM1" s="154" t="str">
        <f t="shared" si="234"/>
        <v>y</v>
      </c>
      <c r="VEN1" s="154" t="str">
        <f t="shared" si="234"/>
        <v>y</v>
      </c>
      <c r="VEO1" s="154" t="str">
        <f t="shared" si="234"/>
        <v>y</v>
      </c>
      <c r="VEP1" s="154" t="str">
        <f t="shared" si="234"/>
        <v>y</v>
      </c>
      <c r="VEQ1" s="154" t="str">
        <f t="shared" si="234"/>
        <v>y</v>
      </c>
      <c r="VER1" s="154" t="str">
        <f t="shared" si="234"/>
        <v>y</v>
      </c>
      <c r="VES1" s="154" t="str">
        <f t="shared" si="234"/>
        <v>y</v>
      </c>
      <c r="VET1" s="154" t="str">
        <f t="shared" si="234"/>
        <v>y</v>
      </c>
      <c r="VEU1" s="154" t="str">
        <f t="shared" si="234"/>
        <v>y</v>
      </c>
      <c r="VEV1" s="154" t="str">
        <f t="shared" si="234"/>
        <v>y</v>
      </c>
      <c r="VEW1" s="154" t="str">
        <f t="shared" si="234"/>
        <v>y</v>
      </c>
      <c r="VEX1" s="154" t="str">
        <f t="shared" si="234"/>
        <v>y</v>
      </c>
      <c r="VEY1" s="154" t="str">
        <f t="shared" si="234"/>
        <v>y</v>
      </c>
      <c r="VEZ1" s="154" t="str">
        <f t="shared" si="234"/>
        <v>y</v>
      </c>
      <c r="VFA1" s="154" t="str">
        <f t="shared" si="234"/>
        <v>y</v>
      </c>
      <c r="VFB1" s="154" t="str">
        <f t="shared" si="234"/>
        <v>y</v>
      </c>
      <c r="VFC1" s="154" t="str">
        <f t="shared" si="234"/>
        <v>y</v>
      </c>
      <c r="VFD1" s="154" t="str">
        <f t="shared" si="234"/>
        <v>y</v>
      </c>
      <c r="VFE1" s="154" t="str">
        <f t="shared" si="234"/>
        <v>y</v>
      </c>
      <c r="VFF1" s="154" t="str">
        <f t="shared" si="234"/>
        <v>y</v>
      </c>
      <c r="VFG1" s="154" t="str">
        <f t="shared" si="234"/>
        <v>y</v>
      </c>
      <c r="VFH1" s="154" t="str">
        <f t="shared" si="234"/>
        <v>y</v>
      </c>
      <c r="VFI1" s="154" t="str">
        <f t="shared" si="234"/>
        <v>y</v>
      </c>
      <c r="VFJ1" s="154" t="str">
        <f t="shared" si="234"/>
        <v>y</v>
      </c>
      <c r="VFK1" s="154" t="str">
        <f t="shared" si="234"/>
        <v>y</v>
      </c>
      <c r="VFL1" s="154" t="str">
        <f t="shared" si="234"/>
        <v>y</v>
      </c>
      <c r="VFM1" s="154" t="str">
        <f t="shared" si="234"/>
        <v>y</v>
      </c>
      <c r="VFN1" s="154" t="str">
        <f t="shared" si="234"/>
        <v>y</v>
      </c>
      <c r="VFO1" s="154" t="str">
        <f t="shared" si="234"/>
        <v>y</v>
      </c>
      <c r="VFP1" s="154" t="str">
        <f t="shared" ref="VFP1:VIA1" si="235">VFP2&amp;"y"</f>
        <v>y</v>
      </c>
      <c r="VFQ1" s="154" t="str">
        <f t="shared" si="235"/>
        <v>y</v>
      </c>
      <c r="VFR1" s="154" t="str">
        <f t="shared" si="235"/>
        <v>y</v>
      </c>
      <c r="VFS1" s="154" t="str">
        <f t="shared" si="235"/>
        <v>y</v>
      </c>
      <c r="VFT1" s="154" t="str">
        <f t="shared" si="235"/>
        <v>y</v>
      </c>
      <c r="VFU1" s="154" t="str">
        <f t="shared" si="235"/>
        <v>y</v>
      </c>
      <c r="VFV1" s="154" t="str">
        <f t="shared" si="235"/>
        <v>y</v>
      </c>
      <c r="VFW1" s="154" t="str">
        <f t="shared" si="235"/>
        <v>y</v>
      </c>
      <c r="VFX1" s="154" t="str">
        <f t="shared" si="235"/>
        <v>y</v>
      </c>
      <c r="VFY1" s="154" t="str">
        <f t="shared" si="235"/>
        <v>y</v>
      </c>
      <c r="VFZ1" s="154" t="str">
        <f t="shared" si="235"/>
        <v>y</v>
      </c>
      <c r="VGA1" s="154" t="str">
        <f t="shared" si="235"/>
        <v>y</v>
      </c>
      <c r="VGB1" s="154" t="str">
        <f t="shared" si="235"/>
        <v>y</v>
      </c>
      <c r="VGC1" s="154" t="str">
        <f t="shared" si="235"/>
        <v>y</v>
      </c>
      <c r="VGD1" s="154" t="str">
        <f t="shared" si="235"/>
        <v>y</v>
      </c>
      <c r="VGE1" s="154" t="str">
        <f t="shared" si="235"/>
        <v>y</v>
      </c>
      <c r="VGF1" s="154" t="str">
        <f t="shared" si="235"/>
        <v>y</v>
      </c>
      <c r="VGG1" s="154" t="str">
        <f t="shared" si="235"/>
        <v>y</v>
      </c>
      <c r="VGH1" s="154" t="str">
        <f t="shared" si="235"/>
        <v>y</v>
      </c>
      <c r="VGI1" s="154" t="str">
        <f t="shared" si="235"/>
        <v>y</v>
      </c>
      <c r="VGJ1" s="154" t="str">
        <f t="shared" si="235"/>
        <v>y</v>
      </c>
      <c r="VGK1" s="154" t="str">
        <f t="shared" si="235"/>
        <v>y</v>
      </c>
      <c r="VGL1" s="154" t="str">
        <f t="shared" si="235"/>
        <v>y</v>
      </c>
      <c r="VGM1" s="154" t="str">
        <f t="shared" si="235"/>
        <v>y</v>
      </c>
      <c r="VGN1" s="154" t="str">
        <f t="shared" si="235"/>
        <v>y</v>
      </c>
      <c r="VGO1" s="154" t="str">
        <f t="shared" si="235"/>
        <v>y</v>
      </c>
      <c r="VGP1" s="154" t="str">
        <f t="shared" si="235"/>
        <v>y</v>
      </c>
      <c r="VGQ1" s="154" t="str">
        <f t="shared" si="235"/>
        <v>y</v>
      </c>
      <c r="VGR1" s="154" t="str">
        <f t="shared" si="235"/>
        <v>y</v>
      </c>
      <c r="VGS1" s="154" t="str">
        <f t="shared" si="235"/>
        <v>y</v>
      </c>
      <c r="VGT1" s="154" t="str">
        <f t="shared" si="235"/>
        <v>y</v>
      </c>
      <c r="VGU1" s="154" t="str">
        <f t="shared" si="235"/>
        <v>y</v>
      </c>
      <c r="VGV1" s="154" t="str">
        <f t="shared" si="235"/>
        <v>y</v>
      </c>
      <c r="VGW1" s="154" t="str">
        <f t="shared" si="235"/>
        <v>y</v>
      </c>
      <c r="VGX1" s="154" t="str">
        <f t="shared" si="235"/>
        <v>y</v>
      </c>
      <c r="VGY1" s="154" t="str">
        <f t="shared" si="235"/>
        <v>y</v>
      </c>
      <c r="VGZ1" s="154" t="str">
        <f t="shared" si="235"/>
        <v>y</v>
      </c>
      <c r="VHA1" s="154" t="str">
        <f t="shared" si="235"/>
        <v>y</v>
      </c>
      <c r="VHB1" s="154" t="str">
        <f t="shared" si="235"/>
        <v>y</v>
      </c>
      <c r="VHC1" s="154" t="str">
        <f t="shared" si="235"/>
        <v>y</v>
      </c>
      <c r="VHD1" s="154" t="str">
        <f t="shared" si="235"/>
        <v>y</v>
      </c>
      <c r="VHE1" s="154" t="str">
        <f t="shared" si="235"/>
        <v>y</v>
      </c>
      <c r="VHF1" s="154" t="str">
        <f t="shared" si="235"/>
        <v>y</v>
      </c>
      <c r="VHG1" s="154" t="str">
        <f t="shared" si="235"/>
        <v>y</v>
      </c>
      <c r="VHH1" s="154" t="str">
        <f t="shared" si="235"/>
        <v>y</v>
      </c>
      <c r="VHI1" s="154" t="str">
        <f t="shared" si="235"/>
        <v>y</v>
      </c>
      <c r="VHJ1" s="154" t="str">
        <f t="shared" si="235"/>
        <v>y</v>
      </c>
      <c r="VHK1" s="154" t="str">
        <f t="shared" si="235"/>
        <v>y</v>
      </c>
      <c r="VHL1" s="154" t="str">
        <f t="shared" si="235"/>
        <v>y</v>
      </c>
      <c r="VHM1" s="154" t="str">
        <f t="shared" si="235"/>
        <v>y</v>
      </c>
      <c r="VHN1" s="154" t="str">
        <f t="shared" si="235"/>
        <v>y</v>
      </c>
      <c r="VHO1" s="154" t="str">
        <f t="shared" si="235"/>
        <v>y</v>
      </c>
      <c r="VHP1" s="154" t="str">
        <f t="shared" si="235"/>
        <v>y</v>
      </c>
      <c r="VHQ1" s="154" t="str">
        <f t="shared" si="235"/>
        <v>y</v>
      </c>
      <c r="VHR1" s="154" t="str">
        <f t="shared" si="235"/>
        <v>y</v>
      </c>
      <c r="VHS1" s="154" t="str">
        <f t="shared" si="235"/>
        <v>y</v>
      </c>
      <c r="VHT1" s="154" t="str">
        <f t="shared" si="235"/>
        <v>y</v>
      </c>
      <c r="VHU1" s="154" t="str">
        <f t="shared" si="235"/>
        <v>y</v>
      </c>
      <c r="VHV1" s="154" t="str">
        <f t="shared" si="235"/>
        <v>y</v>
      </c>
      <c r="VHW1" s="154" t="str">
        <f t="shared" si="235"/>
        <v>y</v>
      </c>
      <c r="VHX1" s="154" t="str">
        <f t="shared" si="235"/>
        <v>y</v>
      </c>
      <c r="VHY1" s="154" t="str">
        <f t="shared" si="235"/>
        <v>y</v>
      </c>
      <c r="VHZ1" s="154" t="str">
        <f t="shared" si="235"/>
        <v>y</v>
      </c>
      <c r="VIA1" s="154" t="str">
        <f t="shared" si="235"/>
        <v>y</v>
      </c>
      <c r="VIB1" s="154" t="str">
        <f t="shared" ref="VIB1:VKM1" si="236">VIB2&amp;"y"</f>
        <v>y</v>
      </c>
      <c r="VIC1" s="154" t="str">
        <f t="shared" si="236"/>
        <v>y</v>
      </c>
      <c r="VID1" s="154" t="str">
        <f t="shared" si="236"/>
        <v>y</v>
      </c>
      <c r="VIE1" s="154" t="str">
        <f t="shared" si="236"/>
        <v>y</v>
      </c>
      <c r="VIF1" s="154" t="str">
        <f t="shared" si="236"/>
        <v>y</v>
      </c>
      <c r="VIG1" s="154" t="str">
        <f t="shared" si="236"/>
        <v>y</v>
      </c>
      <c r="VIH1" s="154" t="str">
        <f t="shared" si="236"/>
        <v>y</v>
      </c>
      <c r="VII1" s="154" t="str">
        <f t="shared" si="236"/>
        <v>y</v>
      </c>
      <c r="VIJ1" s="154" t="str">
        <f t="shared" si="236"/>
        <v>y</v>
      </c>
      <c r="VIK1" s="154" t="str">
        <f t="shared" si="236"/>
        <v>y</v>
      </c>
      <c r="VIL1" s="154" t="str">
        <f t="shared" si="236"/>
        <v>y</v>
      </c>
      <c r="VIM1" s="154" t="str">
        <f t="shared" si="236"/>
        <v>y</v>
      </c>
      <c r="VIN1" s="154" t="str">
        <f t="shared" si="236"/>
        <v>y</v>
      </c>
      <c r="VIO1" s="154" t="str">
        <f t="shared" si="236"/>
        <v>y</v>
      </c>
      <c r="VIP1" s="154" t="str">
        <f t="shared" si="236"/>
        <v>y</v>
      </c>
      <c r="VIQ1" s="154" t="str">
        <f t="shared" si="236"/>
        <v>y</v>
      </c>
      <c r="VIR1" s="154" t="str">
        <f t="shared" si="236"/>
        <v>y</v>
      </c>
      <c r="VIS1" s="154" t="str">
        <f t="shared" si="236"/>
        <v>y</v>
      </c>
      <c r="VIT1" s="154" t="str">
        <f t="shared" si="236"/>
        <v>y</v>
      </c>
      <c r="VIU1" s="154" t="str">
        <f t="shared" si="236"/>
        <v>y</v>
      </c>
      <c r="VIV1" s="154" t="str">
        <f t="shared" si="236"/>
        <v>y</v>
      </c>
      <c r="VIW1" s="154" t="str">
        <f t="shared" si="236"/>
        <v>y</v>
      </c>
      <c r="VIX1" s="154" t="str">
        <f t="shared" si="236"/>
        <v>y</v>
      </c>
      <c r="VIY1" s="154" t="str">
        <f t="shared" si="236"/>
        <v>y</v>
      </c>
      <c r="VIZ1" s="154" t="str">
        <f t="shared" si="236"/>
        <v>y</v>
      </c>
      <c r="VJA1" s="154" t="str">
        <f t="shared" si="236"/>
        <v>y</v>
      </c>
      <c r="VJB1" s="154" t="str">
        <f t="shared" si="236"/>
        <v>y</v>
      </c>
      <c r="VJC1" s="154" t="str">
        <f t="shared" si="236"/>
        <v>y</v>
      </c>
      <c r="VJD1" s="154" t="str">
        <f t="shared" si="236"/>
        <v>y</v>
      </c>
      <c r="VJE1" s="154" t="str">
        <f t="shared" si="236"/>
        <v>y</v>
      </c>
      <c r="VJF1" s="154" t="str">
        <f t="shared" si="236"/>
        <v>y</v>
      </c>
      <c r="VJG1" s="154" t="str">
        <f t="shared" si="236"/>
        <v>y</v>
      </c>
      <c r="VJH1" s="154" t="str">
        <f t="shared" si="236"/>
        <v>y</v>
      </c>
      <c r="VJI1" s="154" t="str">
        <f t="shared" si="236"/>
        <v>y</v>
      </c>
      <c r="VJJ1" s="154" t="str">
        <f t="shared" si="236"/>
        <v>y</v>
      </c>
      <c r="VJK1" s="154" t="str">
        <f t="shared" si="236"/>
        <v>y</v>
      </c>
      <c r="VJL1" s="154" t="str">
        <f t="shared" si="236"/>
        <v>y</v>
      </c>
      <c r="VJM1" s="154" t="str">
        <f t="shared" si="236"/>
        <v>y</v>
      </c>
      <c r="VJN1" s="154" t="str">
        <f t="shared" si="236"/>
        <v>y</v>
      </c>
      <c r="VJO1" s="154" t="str">
        <f t="shared" si="236"/>
        <v>y</v>
      </c>
      <c r="VJP1" s="154" t="str">
        <f t="shared" si="236"/>
        <v>y</v>
      </c>
      <c r="VJQ1" s="154" t="str">
        <f t="shared" si="236"/>
        <v>y</v>
      </c>
      <c r="VJR1" s="154" t="str">
        <f t="shared" si="236"/>
        <v>y</v>
      </c>
      <c r="VJS1" s="154" t="str">
        <f t="shared" si="236"/>
        <v>y</v>
      </c>
      <c r="VJT1" s="154" t="str">
        <f t="shared" si="236"/>
        <v>y</v>
      </c>
      <c r="VJU1" s="154" t="str">
        <f t="shared" si="236"/>
        <v>y</v>
      </c>
      <c r="VJV1" s="154" t="str">
        <f t="shared" si="236"/>
        <v>y</v>
      </c>
      <c r="VJW1" s="154" t="str">
        <f t="shared" si="236"/>
        <v>y</v>
      </c>
      <c r="VJX1" s="154" t="str">
        <f t="shared" si="236"/>
        <v>y</v>
      </c>
      <c r="VJY1" s="154" t="str">
        <f t="shared" si="236"/>
        <v>y</v>
      </c>
      <c r="VJZ1" s="154" t="str">
        <f t="shared" si="236"/>
        <v>y</v>
      </c>
      <c r="VKA1" s="154" t="str">
        <f t="shared" si="236"/>
        <v>y</v>
      </c>
      <c r="VKB1" s="154" t="str">
        <f t="shared" si="236"/>
        <v>y</v>
      </c>
      <c r="VKC1" s="154" t="str">
        <f t="shared" si="236"/>
        <v>y</v>
      </c>
      <c r="VKD1" s="154" t="str">
        <f t="shared" si="236"/>
        <v>y</v>
      </c>
      <c r="VKE1" s="154" t="str">
        <f t="shared" si="236"/>
        <v>y</v>
      </c>
      <c r="VKF1" s="154" t="str">
        <f t="shared" si="236"/>
        <v>y</v>
      </c>
      <c r="VKG1" s="154" t="str">
        <f t="shared" si="236"/>
        <v>y</v>
      </c>
      <c r="VKH1" s="154" t="str">
        <f t="shared" si="236"/>
        <v>y</v>
      </c>
      <c r="VKI1" s="154" t="str">
        <f t="shared" si="236"/>
        <v>y</v>
      </c>
      <c r="VKJ1" s="154" t="str">
        <f t="shared" si="236"/>
        <v>y</v>
      </c>
      <c r="VKK1" s="154" t="str">
        <f t="shared" si="236"/>
        <v>y</v>
      </c>
      <c r="VKL1" s="154" t="str">
        <f t="shared" si="236"/>
        <v>y</v>
      </c>
      <c r="VKM1" s="154" t="str">
        <f t="shared" si="236"/>
        <v>y</v>
      </c>
      <c r="VKN1" s="154" t="str">
        <f t="shared" ref="VKN1:VMY1" si="237">VKN2&amp;"y"</f>
        <v>y</v>
      </c>
      <c r="VKO1" s="154" t="str">
        <f t="shared" si="237"/>
        <v>y</v>
      </c>
      <c r="VKP1" s="154" t="str">
        <f t="shared" si="237"/>
        <v>y</v>
      </c>
      <c r="VKQ1" s="154" t="str">
        <f t="shared" si="237"/>
        <v>y</v>
      </c>
      <c r="VKR1" s="154" t="str">
        <f t="shared" si="237"/>
        <v>y</v>
      </c>
      <c r="VKS1" s="154" t="str">
        <f t="shared" si="237"/>
        <v>y</v>
      </c>
      <c r="VKT1" s="154" t="str">
        <f t="shared" si="237"/>
        <v>y</v>
      </c>
      <c r="VKU1" s="154" t="str">
        <f t="shared" si="237"/>
        <v>y</v>
      </c>
      <c r="VKV1" s="154" t="str">
        <f t="shared" si="237"/>
        <v>y</v>
      </c>
      <c r="VKW1" s="154" t="str">
        <f t="shared" si="237"/>
        <v>y</v>
      </c>
      <c r="VKX1" s="154" t="str">
        <f t="shared" si="237"/>
        <v>y</v>
      </c>
      <c r="VKY1" s="154" t="str">
        <f t="shared" si="237"/>
        <v>y</v>
      </c>
      <c r="VKZ1" s="154" t="str">
        <f t="shared" si="237"/>
        <v>y</v>
      </c>
      <c r="VLA1" s="154" t="str">
        <f t="shared" si="237"/>
        <v>y</v>
      </c>
      <c r="VLB1" s="154" t="str">
        <f t="shared" si="237"/>
        <v>y</v>
      </c>
      <c r="VLC1" s="154" t="str">
        <f t="shared" si="237"/>
        <v>y</v>
      </c>
      <c r="VLD1" s="154" t="str">
        <f t="shared" si="237"/>
        <v>y</v>
      </c>
      <c r="VLE1" s="154" t="str">
        <f t="shared" si="237"/>
        <v>y</v>
      </c>
      <c r="VLF1" s="154" t="str">
        <f t="shared" si="237"/>
        <v>y</v>
      </c>
      <c r="VLG1" s="154" t="str">
        <f t="shared" si="237"/>
        <v>y</v>
      </c>
      <c r="VLH1" s="154" t="str">
        <f t="shared" si="237"/>
        <v>y</v>
      </c>
      <c r="VLI1" s="154" t="str">
        <f t="shared" si="237"/>
        <v>y</v>
      </c>
      <c r="VLJ1" s="154" t="str">
        <f t="shared" si="237"/>
        <v>y</v>
      </c>
      <c r="VLK1" s="154" t="str">
        <f t="shared" si="237"/>
        <v>y</v>
      </c>
      <c r="VLL1" s="154" t="str">
        <f t="shared" si="237"/>
        <v>y</v>
      </c>
      <c r="VLM1" s="154" t="str">
        <f t="shared" si="237"/>
        <v>y</v>
      </c>
      <c r="VLN1" s="154" t="str">
        <f t="shared" si="237"/>
        <v>y</v>
      </c>
      <c r="VLO1" s="154" t="str">
        <f t="shared" si="237"/>
        <v>y</v>
      </c>
      <c r="VLP1" s="154" t="str">
        <f t="shared" si="237"/>
        <v>y</v>
      </c>
      <c r="VLQ1" s="154" t="str">
        <f t="shared" si="237"/>
        <v>y</v>
      </c>
      <c r="VLR1" s="154" t="str">
        <f t="shared" si="237"/>
        <v>y</v>
      </c>
      <c r="VLS1" s="154" t="str">
        <f t="shared" si="237"/>
        <v>y</v>
      </c>
      <c r="VLT1" s="154" t="str">
        <f t="shared" si="237"/>
        <v>y</v>
      </c>
      <c r="VLU1" s="154" t="str">
        <f t="shared" si="237"/>
        <v>y</v>
      </c>
      <c r="VLV1" s="154" t="str">
        <f t="shared" si="237"/>
        <v>y</v>
      </c>
      <c r="VLW1" s="154" t="str">
        <f t="shared" si="237"/>
        <v>y</v>
      </c>
      <c r="VLX1" s="154" t="str">
        <f t="shared" si="237"/>
        <v>y</v>
      </c>
      <c r="VLY1" s="154" t="str">
        <f t="shared" si="237"/>
        <v>y</v>
      </c>
      <c r="VLZ1" s="154" t="str">
        <f t="shared" si="237"/>
        <v>y</v>
      </c>
      <c r="VMA1" s="154" t="str">
        <f t="shared" si="237"/>
        <v>y</v>
      </c>
      <c r="VMB1" s="154" t="str">
        <f t="shared" si="237"/>
        <v>y</v>
      </c>
      <c r="VMC1" s="154" t="str">
        <f t="shared" si="237"/>
        <v>y</v>
      </c>
      <c r="VMD1" s="154" t="str">
        <f t="shared" si="237"/>
        <v>y</v>
      </c>
      <c r="VME1" s="154" t="str">
        <f t="shared" si="237"/>
        <v>y</v>
      </c>
      <c r="VMF1" s="154" t="str">
        <f t="shared" si="237"/>
        <v>y</v>
      </c>
      <c r="VMG1" s="154" t="str">
        <f t="shared" si="237"/>
        <v>y</v>
      </c>
      <c r="VMH1" s="154" t="str">
        <f t="shared" si="237"/>
        <v>y</v>
      </c>
      <c r="VMI1" s="154" t="str">
        <f t="shared" si="237"/>
        <v>y</v>
      </c>
      <c r="VMJ1" s="154" t="str">
        <f t="shared" si="237"/>
        <v>y</v>
      </c>
      <c r="VMK1" s="154" t="str">
        <f t="shared" si="237"/>
        <v>y</v>
      </c>
      <c r="VML1" s="154" t="str">
        <f t="shared" si="237"/>
        <v>y</v>
      </c>
      <c r="VMM1" s="154" t="str">
        <f t="shared" si="237"/>
        <v>y</v>
      </c>
      <c r="VMN1" s="154" t="str">
        <f t="shared" si="237"/>
        <v>y</v>
      </c>
      <c r="VMO1" s="154" t="str">
        <f t="shared" si="237"/>
        <v>y</v>
      </c>
      <c r="VMP1" s="154" t="str">
        <f t="shared" si="237"/>
        <v>y</v>
      </c>
      <c r="VMQ1" s="154" t="str">
        <f t="shared" si="237"/>
        <v>y</v>
      </c>
      <c r="VMR1" s="154" t="str">
        <f t="shared" si="237"/>
        <v>y</v>
      </c>
      <c r="VMS1" s="154" t="str">
        <f t="shared" si="237"/>
        <v>y</v>
      </c>
      <c r="VMT1" s="154" t="str">
        <f t="shared" si="237"/>
        <v>y</v>
      </c>
      <c r="VMU1" s="154" t="str">
        <f t="shared" si="237"/>
        <v>y</v>
      </c>
      <c r="VMV1" s="154" t="str">
        <f t="shared" si="237"/>
        <v>y</v>
      </c>
      <c r="VMW1" s="154" t="str">
        <f t="shared" si="237"/>
        <v>y</v>
      </c>
      <c r="VMX1" s="154" t="str">
        <f t="shared" si="237"/>
        <v>y</v>
      </c>
      <c r="VMY1" s="154" t="str">
        <f t="shared" si="237"/>
        <v>y</v>
      </c>
      <c r="VMZ1" s="154" t="str">
        <f t="shared" ref="VMZ1:VPK1" si="238">VMZ2&amp;"y"</f>
        <v>y</v>
      </c>
      <c r="VNA1" s="154" t="str">
        <f t="shared" si="238"/>
        <v>y</v>
      </c>
      <c r="VNB1" s="154" t="str">
        <f t="shared" si="238"/>
        <v>y</v>
      </c>
      <c r="VNC1" s="154" t="str">
        <f t="shared" si="238"/>
        <v>y</v>
      </c>
      <c r="VND1" s="154" t="str">
        <f t="shared" si="238"/>
        <v>y</v>
      </c>
      <c r="VNE1" s="154" t="str">
        <f t="shared" si="238"/>
        <v>y</v>
      </c>
      <c r="VNF1" s="154" t="str">
        <f t="shared" si="238"/>
        <v>y</v>
      </c>
      <c r="VNG1" s="154" t="str">
        <f t="shared" si="238"/>
        <v>y</v>
      </c>
      <c r="VNH1" s="154" t="str">
        <f t="shared" si="238"/>
        <v>y</v>
      </c>
      <c r="VNI1" s="154" t="str">
        <f t="shared" si="238"/>
        <v>y</v>
      </c>
      <c r="VNJ1" s="154" t="str">
        <f t="shared" si="238"/>
        <v>y</v>
      </c>
      <c r="VNK1" s="154" t="str">
        <f t="shared" si="238"/>
        <v>y</v>
      </c>
      <c r="VNL1" s="154" t="str">
        <f t="shared" si="238"/>
        <v>y</v>
      </c>
      <c r="VNM1" s="154" t="str">
        <f t="shared" si="238"/>
        <v>y</v>
      </c>
      <c r="VNN1" s="154" t="str">
        <f t="shared" si="238"/>
        <v>y</v>
      </c>
      <c r="VNO1" s="154" t="str">
        <f t="shared" si="238"/>
        <v>y</v>
      </c>
      <c r="VNP1" s="154" t="str">
        <f t="shared" si="238"/>
        <v>y</v>
      </c>
      <c r="VNQ1" s="154" t="str">
        <f t="shared" si="238"/>
        <v>y</v>
      </c>
      <c r="VNR1" s="154" t="str">
        <f t="shared" si="238"/>
        <v>y</v>
      </c>
      <c r="VNS1" s="154" t="str">
        <f t="shared" si="238"/>
        <v>y</v>
      </c>
      <c r="VNT1" s="154" t="str">
        <f t="shared" si="238"/>
        <v>y</v>
      </c>
      <c r="VNU1" s="154" t="str">
        <f t="shared" si="238"/>
        <v>y</v>
      </c>
      <c r="VNV1" s="154" t="str">
        <f t="shared" si="238"/>
        <v>y</v>
      </c>
      <c r="VNW1" s="154" t="str">
        <f t="shared" si="238"/>
        <v>y</v>
      </c>
      <c r="VNX1" s="154" t="str">
        <f t="shared" si="238"/>
        <v>y</v>
      </c>
      <c r="VNY1" s="154" t="str">
        <f t="shared" si="238"/>
        <v>y</v>
      </c>
      <c r="VNZ1" s="154" t="str">
        <f t="shared" si="238"/>
        <v>y</v>
      </c>
      <c r="VOA1" s="154" t="str">
        <f t="shared" si="238"/>
        <v>y</v>
      </c>
      <c r="VOB1" s="154" t="str">
        <f t="shared" si="238"/>
        <v>y</v>
      </c>
      <c r="VOC1" s="154" t="str">
        <f t="shared" si="238"/>
        <v>y</v>
      </c>
      <c r="VOD1" s="154" t="str">
        <f t="shared" si="238"/>
        <v>y</v>
      </c>
      <c r="VOE1" s="154" t="str">
        <f t="shared" si="238"/>
        <v>y</v>
      </c>
      <c r="VOF1" s="154" t="str">
        <f t="shared" si="238"/>
        <v>y</v>
      </c>
      <c r="VOG1" s="154" t="str">
        <f t="shared" si="238"/>
        <v>y</v>
      </c>
      <c r="VOH1" s="154" t="str">
        <f t="shared" si="238"/>
        <v>y</v>
      </c>
      <c r="VOI1" s="154" t="str">
        <f t="shared" si="238"/>
        <v>y</v>
      </c>
      <c r="VOJ1" s="154" t="str">
        <f t="shared" si="238"/>
        <v>y</v>
      </c>
      <c r="VOK1" s="154" t="str">
        <f t="shared" si="238"/>
        <v>y</v>
      </c>
      <c r="VOL1" s="154" t="str">
        <f t="shared" si="238"/>
        <v>y</v>
      </c>
      <c r="VOM1" s="154" t="str">
        <f t="shared" si="238"/>
        <v>y</v>
      </c>
      <c r="VON1" s="154" t="str">
        <f t="shared" si="238"/>
        <v>y</v>
      </c>
      <c r="VOO1" s="154" t="str">
        <f t="shared" si="238"/>
        <v>y</v>
      </c>
      <c r="VOP1" s="154" t="str">
        <f t="shared" si="238"/>
        <v>y</v>
      </c>
      <c r="VOQ1" s="154" t="str">
        <f t="shared" si="238"/>
        <v>y</v>
      </c>
      <c r="VOR1" s="154" t="str">
        <f t="shared" si="238"/>
        <v>y</v>
      </c>
      <c r="VOS1" s="154" t="str">
        <f t="shared" si="238"/>
        <v>y</v>
      </c>
      <c r="VOT1" s="154" t="str">
        <f t="shared" si="238"/>
        <v>y</v>
      </c>
      <c r="VOU1" s="154" t="str">
        <f t="shared" si="238"/>
        <v>y</v>
      </c>
      <c r="VOV1" s="154" t="str">
        <f t="shared" si="238"/>
        <v>y</v>
      </c>
      <c r="VOW1" s="154" t="str">
        <f t="shared" si="238"/>
        <v>y</v>
      </c>
      <c r="VOX1" s="154" t="str">
        <f t="shared" si="238"/>
        <v>y</v>
      </c>
      <c r="VOY1" s="154" t="str">
        <f t="shared" si="238"/>
        <v>y</v>
      </c>
      <c r="VOZ1" s="154" t="str">
        <f t="shared" si="238"/>
        <v>y</v>
      </c>
      <c r="VPA1" s="154" t="str">
        <f t="shared" si="238"/>
        <v>y</v>
      </c>
      <c r="VPB1" s="154" t="str">
        <f t="shared" si="238"/>
        <v>y</v>
      </c>
      <c r="VPC1" s="154" t="str">
        <f t="shared" si="238"/>
        <v>y</v>
      </c>
      <c r="VPD1" s="154" t="str">
        <f t="shared" si="238"/>
        <v>y</v>
      </c>
      <c r="VPE1" s="154" t="str">
        <f t="shared" si="238"/>
        <v>y</v>
      </c>
      <c r="VPF1" s="154" t="str">
        <f t="shared" si="238"/>
        <v>y</v>
      </c>
      <c r="VPG1" s="154" t="str">
        <f t="shared" si="238"/>
        <v>y</v>
      </c>
      <c r="VPH1" s="154" t="str">
        <f t="shared" si="238"/>
        <v>y</v>
      </c>
      <c r="VPI1" s="154" t="str">
        <f t="shared" si="238"/>
        <v>y</v>
      </c>
      <c r="VPJ1" s="154" t="str">
        <f t="shared" si="238"/>
        <v>y</v>
      </c>
      <c r="VPK1" s="154" t="str">
        <f t="shared" si="238"/>
        <v>y</v>
      </c>
      <c r="VPL1" s="154" t="str">
        <f t="shared" ref="VPL1:VRW1" si="239">VPL2&amp;"y"</f>
        <v>y</v>
      </c>
      <c r="VPM1" s="154" t="str">
        <f t="shared" si="239"/>
        <v>y</v>
      </c>
      <c r="VPN1" s="154" t="str">
        <f t="shared" si="239"/>
        <v>y</v>
      </c>
      <c r="VPO1" s="154" t="str">
        <f t="shared" si="239"/>
        <v>y</v>
      </c>
      <c r="VPP1" s="154" t="str">
        <f t="shared" si="239"/>
        <v>y</v>
      </c>
      <c r="VPQ1" s="154" t="str">
        <f t="shared" si="239"/>
        <v>y</v>
      </c>
      <c r="VPR1" s="154" t="str">
        <f t="shared" si="239"/>
        <v>y</v>
      </c>
      <c r="VPS1" s="154" t="str">
        <f t="shared" si="239"/>
        <v>y</v>
      </c>
      <c r="VPT1" s="154" t="str">
        <f t="shared" si="239"/>
        <v>y</v>
      </c>
      <c r="VPU1" s="154" t="str">
        <f t="shared" si="239"/>
        <v>y</v>
      </c>
      <c r="VPV1" s="154" t="str">
        <f t="shared" si="239"/>
        <v>y</v>
      </c>
      <c r="VPW1" s="154" t="str">
        <f t="shared" si="239"/>
        <v>y</v>
      </c>
      <c r="VPX1" s="154" t="str">
        <f t="shared" si="239"/>
        <v>y</v>
      </c>
      <c r="VPY1" s="154" t="str">
        <f t="shared" si="239"/>
        <v>y</v>
      </c>
      <c r="VPZ1" s="154" t="str">
        <f t="shared" si="239"/>
        <v>y</v>
      </c>
      <c r="VQA1" s="154" t="str">
        <f t="shared" si="239"/>
        <v>y</v>
      </c>
      <c r="VQB1" s="154" t="str">
        <f t="shared" si="239"/>
        <v>y</v>
      </c>
      <c r="VQC1" s="154" t="str">
        <f t="shared" si="239"/>
        <v>y</v>
      </c>
      <c r="VQD1" s="154" t="str">
        <f t="shared" si="239"/>
        <v>y</v>
      </c>
      <c r="VQE1" s="154" t="str">
        <f t="shared" si="239"/>
        <v>y</v>
      </c>
      <c r="VQF1" s="154" t="str">
        <f t="shared" si="239"/>
        <v>y</v>
      </c>
      <c r="VQG1" s="154" t="str">
        <f t="shared" si="239"/>
        <v>y</v>
      </c>
      <c r="VQH1" s="154" t="str">
        <f t="shared" si="239"/>
        <v>y</v>
      </c>
      <c r="VQI1" s="154" t="str">
        <f t="shared" si="239"/>
        <v>y</v>
      </c>
      <c r="VQJ1" s="154" t="str">
        <f t="shared" si="239"/>
        <v>y</v>
      </c>
      <c r="VQK1" s="154" t="str">
        <f t="shared" si="239"/>
        <v>y</v>
      </c>
      <c r="VQL1" s="154" t="str">
        <f t="shared" si="239"/>
        <v>y</v>
      </c>
      <c r="VQM1" s="154" t="str">
        <f t="shared" si="239"/>
        <v>y</v>
      </c>
      <c r="VQN1" s="154" t="str">
        <f t="shared" si="239"/>
        <v>y</v>
      </c>
      <c r="VQO1" s="154" t="str">
        <f t="shared" si="239"/>
        <v>y</v>
      </c>
      <c r="VQP1" s="154" t="str">
        <f t="shared" si="239"/>
        <v>y</v>
      </c>
      <c r="VQQ1" s="154" t="str">
        <f t="shared" si="239"/>
        <v>y</v>
      </c>
      <c r="VQR1" s="154" t="str">
        <f t="shared" si="239"/>
        <v>y</v>
      </c>
      <c r="VQS1" s="154" t="str">
        <f t="shared" si="239"/>
        <v>y</v>
      </c>
      <c r="VQT1" s="154" t="str">
        <f t="shared" si="239"/>
        <v>y</v>
      </c>
      <c r="VQU1" s="154" t="str">
        <f t="shared" si="239"/>
        <v>y</v>
      </c>
      <c r="VQV1" s="154" t="str">
        <f t="shared" si="239"/>
        <v>y</v>
      </c>
      <c r="VQW1" s="154" t="str">
        <f t="shared" si="239"/>
        <v>y</v>
      </c>
      <c r="VQX1" s="154" t="str">
        <f t="shared" si="239"/>
        <v>y</v>
      </c>
      <c r="VQY1" s="154" t="str">
        <f t="shared" si="239"/>
        <v>y</v>
      </c>
      <c r="VQZ1" s="154" t="str">
        <f t="shared" si="239"/>
        <v>y</v>
      </c>
      <c r="VRA1" s="154" t="str">
        <f t="shared" si="239"/>
        <v>y</v>
      </c>
      <c r="VRB1" s="154" t="str">
        <f t="shared" si="239"/>
        <v>y</v>
      </c>
      <c r="VRC1" s="154" t="str">
        <f t="shared" si="239"/>
        <v>y</v>
      </c>
      <c r="VRD1" s="154" t="str">
        <f t="shared" si="239"/>
        <v>y</v>
      </c>
      <c r="VRE1" s="154" t="str">
        <f t="shared" si="239"/>
        <v>y</v>
      </c>
      <c r="VRF1" s="154" t="str">
        <f t="shared" si="239"/>
        <v>y</v>
      </c>
      <c r="VRG1" s="154" t="str">
        <f t="shared" si="239"/>
        <v>y</v>
      </c>
      <c r="VRH1" s="154" t="str">
        <f t="shared" si="239"/>
        <v>y</v>
      </c>
      <c r="VRI1" s="154" t="str">
        <f t="shared" si="239"/>
        <v>y</v>
      </c>
      <c r="VRJ1" s="154" t="str">
        <f t="shared" si="239"/>
        <v>y</v>
      </c>
      <c r="VRK1" s="154" t="str">
        <f t="shared" si="239"/>
        <v>y</v>
      </c>
      <c r="VRL1" s="154" t="str">
        <f t="shared" si="239"/>
        <v>y</v>
      </c>
      <c r="VRM1" s="154" t="str">
        <f t="shared" si="239"/>
        <v>y</v>
      </c>
      <c r="VRN1" s="154" t="str">
        <f t="shared" si="239"/>
        <v>y</v>
      </c>
      <c r="VRO1" s="154" t="str">
        <f t="shared" si="239"/>
        <v>y</v>
      </c>
      <c r="VRP1" s="154" t="str">
        <f t="shared" si="239"/>
        <v>y</v>
      </c>
      <c r="VRQ1" s="154" t="str">
        <f t="shared" si="239"/>
        <v>y</v>
      </c>
      <c r="VRR1" s="154" t="str">
        <f t="shared" si="239"/>
        <v>y</v>
      </c>
      <c r="VRS1" s="154" t="str">
        <f t="shared" si="239"/>
        <v>y</v>
      </c>
      <c r="VRT1" s="154" t="str">
        <f t="shared" si="239"/>
        <v>y</v>
      </c>
      <c r="VRU1" s="154" t="str">
        <f t="shared" si="239"/>
        <v>y</v>
      </c>
      <c r="VRV1" s="154" t="str">
        <f t="shared" si="239"/>
        <v>y</v>
      </c>
      <c r="VRW1" s="154" t="str">
        <f t="shared" si="239"/>
        <v>y</v>
      </c>
      <c r="VRX1" s="154" t="str">
        <f t="shared" ref="VRX1:VUI1" si="240">VRX2&amp;"y"</f>
        <v>y</v>
      </c>
      <c r="VRY1" s="154" t="str">
        <f t="shared" si="240"/>
        <v>y</v>
      </c>
      <c r="VRZ1" s="154" t="str">
        <f t="shared" si="240"/>
        <v>y</v>
      </c>
      <c r="VSA1" s="154" t="str">
        <f t="shared" si="240"/>
        <v>y</v>
      </c>
      <c r="VSB1" s="154" t="str">
        <f t="shared" si="240"/>
        <v>y</v>
      </c>
      <c r="VSC1" s="154" t="str">
        <f t="shared" si="240"/>
        <v>y</v>
      </c>
      <c r="VSD1" s="154" t="str">
        <f t="shared" si="240"/>
        <v>y</v>
      </c>
      <c r="VSE1" s="154" t="str">
        <f t="shared" si="240"/>
        <v>y</v>
      </c>
      <c r="VSF1" s="154" t="str">
        <f t="shared" si="240"/>
        <v>y</v>
      </c>
      <c r="VSG1" s="154" t="str">
        <f t="shared" si="240"/>
        <v>y</v>
      </c>
      <c r="VSH1" s="154" t="str">
        <f t="shared" si="240"/>
        <v>y</v>
      </c>
      <c r="VSI1" s="154" t="str">
        <f t="shared" si="240"/>
        <v>y</v>
      </c>
      <c r="VSJ1" s="154" t="str">
        <f t="shared" si="240"/>
        <v>y</v>
      </c>
      <c r="VSK1" s="154" t="str">
        <f t="shared" si="240"/>
        <v>y</v>
      </c>
      <c r="VSL1" s="154" t="str">
        <f t="shared" si="240"/>
        <v>y</v>
      </c>
      <c r="VSM1" s="154" t="str">
        <f t="shared" si="240"/>
        <v>y</v>
      </c>
      <c r="VSN1" s="154" t="str">
        <f t="shared" si="240"/>
        <v>y</v>
      </c>
      <c r="VSO1" s="154" t="str">
        <f t="shared" si="240"/>
        <v>y</v>
      </c>
      <c r="VSP1" s="154" t="str">
        <f t="shared" si="240"/>
        <v>y</v>
      </c>
      <c r="VSQ1" s="154" t="str">
        <f t="shared" si="240"/>
        <v>y</v>
      </c>
      <c r="VSR1" s="154" t="str">
        <f t="shared" si="240"/>
        <v>y</v>
      </c>
      <c r="VSS1" s="154" t="str">
        <f t="shared" si="240"/>
        <v>y</v>
      </c>
      <c r="VST1" s="154" t="str">
        <f t="shared" si="240"/>
        <v>y</v>
      </c>
      <c r="VSU1" s="154" t="str">
        <f t="shared" si="240"/>
        <v>y</v>
      </c>
      <c r="VSV1" s="154" t="str">
        <f t="shared" si="240"/>
        <v>y</v>
      </c>
      <c r="VSW1" s="154" t="str">
        <f t="shared" si="240"/>
        <v>y</v>
      </c>
      <c r="VSX1" s="154" t="str">
        <f t="shared" si="240"/>
        <v>y</v>
      </c>
      <c r="VSY1" s="154" t="str">
        <f t="shared" si="240"/>
        <v>y</v>
      </c>
      <c r="VSZ1" s="154" t="str">
        <f t="shared" si="240"/>
        <v>y</v>
      </c>
      <c r="VTA1" s="154" t="str">
        <f t="shared" si="240"/>
        <v>y</v>
      </c>
      <c r="VTB1" s="154" t="str">
        <f t="shared" si="240"/>
        <v>y</v>
      </c>
      <c r="VTC1" s="154" t="str">
        <f t="shared" si="240"/>
        <v>y</v>
      </c>
      <c r="VTD1" s="154" t="str">
        <f t="shared" si="240"/>
        <v>y</v>
      </c>
      <c r="VTE1" s="154" t="str">
        <f t="shared" si="240"/>
        <v>y</v>
      </c>
      <c r="VTF1" s="154" t="str">
        <f t="shared" si="240"/>
        <v>y</v>
      </c>
      <c r="VTG1" s="154" t="str">
        <f t="shared" si="240"/>
        <v>y</v>
      </c>
      <c r="VTH1" s="154" t="str">
        <f t="shared" si="240"/>
        <v>y</v>
      </c>
      <c r="VTI1" s="154" t="str">
        <f t="shared" si="240"/>
        <v>y</v>
      </c>
      <c r="VTJ1" s="154" t="str">
        <f t="shared" si="240"/>
        <v>y</v>
      </c>
      <c r="VTK1" s="154" t="str">
        <f t="shared" si="240"/>
        <v>y</v>
      </c>
      <c r="VTL1" s="154" t="str">
        <f t="shared" si="240"/>
        <v>y</v>
      </c>
      <c r="VTM1" s="154" t="str">
        <f t="shared" si="240"/>
        <v>y</v>
      </c>
      <c r="VTN1" s="154" t="str">
        <f t="shared" si="240"/>
        <v>y</v>
      </c>
      <c r="VTO1" s="154" t="str">
        <f t="shared" si="240"/>
        <v>y</v>
      </c>
      <c r="VTP1" s="154" t="str">
        <f t="shared" si="240"/>
        <v>y</v>
      </c>
      <c r="VTQ1" s="154" t="str">
        <f t="shared" si="240"/>
        <v>y</v>
      </c>
      <c r="VTR1" s="154" t="str">
        <f t="shared" si="240"/>
        <v>y</v>
      </c>
      <c r="VTS1" s="154" t="str">
        <f t="shared" si="240"/>
        <v>y</v>
      </c>
      <c r="VTT1" s="154" t="str">
        <f t="shared" si="240"/>
        <v>y</v>
      </c>
      <c r="VTU1" s="154" t="str">
        <f t="shared" si="240"/>
        <v>y</v>
      </c>
      <c r="VTV1" s="154" t="str">
        <f t="shared" si="240"/>
        <v>y</v>
      </c>
      <c r="VTW1" s="154" t="str">
        <f t="shared" si="240"/>
        <v>y</v>
      </c>
      <c r="VTX1" s="154" t="str">
        <f t="shared" si="240"/>
        <v>y</v>
      </c>
      <c r="VTY1" s="154" t="str">
        <f t="shared" si="240"/>
        <v>y</v>
      </c>
      <c r="VTZ1" s="154" t="str">
        <f t="shared" si="240"/>
        <v>y</v>
      </c>
      <c r="VUA1" s="154" t="str">
        <f t="shared" si="240"/>
        <v>y</v>
      </c>
      <c r="VUB1" s="154" t="str">
        <f t="shared" si="240"/>
        <v>y</v>
      </c>
      <c r="VUC1" s="154" t="str">
        <f t="shared" si="240"/>
        <v>y</v>
      </c>
      <c r="VUD1" s="154" t="str">
        <f t="shared" si="240"/>
        <v>y</v>
      </c>
      <c r="VUE1" s="154" t="str">
        <f t="shared" si="240"/>
        <v>y</v>
      </c>
      <c r="VUF1" s="154" t="str">
        <f t="shared" si="240"/>
        <v>y</v>
      </c>
      <c r="VUG1" s="154" t="str">
        <f t="shared" si="240"/>
        <v>y</v>
      </c>
      <c r="VUH1" s="154" t="str">
        <f t="shared" si="240"/>
        <v>y</v>
      </c>
      <c r="VUI1" s="154" t="str">
        <f t="shared" si="240"/>
        <v>y</v>
      </c>
      <c r="VUJ1" s="154" t="str">
        <f t="shared" ref="VUJ1:VWU1" si="241">VUJ2&amp;"y"</f>
        <v>y</v>
      </c>
      <c r="VUK1" s="154" t="str">
        <f t="shared" si="241"/>
        <v>y</v>
      </c>
      <c r="VUL1" s="154" t="str">
        <f t="shared" si="241"/>
        <v>y</v>
      </c>
      <c r="VUM1" s="154" t="str">
        <f t="shared" si="241"/>
        <v>y</v>
      </c>
      <c r="VUN1" s="154" t="str">
        <f t="shared" si="241"/>
        <v>y</v>
      </c>
      <c r="VUO1" s="154" t="str">
        <f t="shared" si="241"/>
        <v>y</v>
      </c>
      <c r="VUP1" s="154" t="str">
        <f t="shared" si="241"/>
        <v>y</v>
      </c>
      <c r="VUQ1" s="154" t="str">
        <f t="shared" si="241"/>
        <v>y</v>
      </c>
      <c r="VUR1" s="154" t="str">
        <f t="shared" si="241"/>
        <v>y</v>
      </c>
      <c r="VUS1" s="154" t="str">
        <f t="shared" si="241"/>
        <v>y</v>
      </c>
      <c r="VUT1" s="154" t="str">
        <f t="shared" si="241"/>
        <v>y</v>
      </c>
      <c r="VUU1" s="154" t="str">
        <f t="shared" si="241"/>
        <v>y</v>
      </c>
      <c r="VUV1" s="154" t="str">
        <f t="shared" si="241"/>
        <v>y</v>
      </c>
      <c r="VUW1" s="154" t="str">
        <f t="shared" si="241"/>
        <v>y</v>
      </c>
      <c r="VUX1" s="154" t="str">
        <f t="shared" si="241"/>
        <v>y</v>
      </c>
      <c r="VUY1" s="154" t="str">
        <f t="shared" si="241"/>
        <v>y</v>
      </c>
      <c r="VUZ1" s="154" t="str">
        <f t="shared" si="241"/>
        <v>y</v>
      </c>
      <c r="VVA1" s="154" t="str">
        <f t="shared" si="241"/>
        <v>y</v>
      </c>
      <c r="VVB1" s="154" t="str">
        <f t="shared" si="241"/>
        <v>y</v>
      </c>
      <c r="VVC1" s="154" t="str">
        <f t="shared" si="241"/>
        <v>y</v>
      </c>
      <c r="VVD1" s="154" t="str">
        <f t="shared" si="241"/>
        <v>y</v>
      </c>
      <c r="VVE1" s="154" t="str">
        <f t="shared" si="241"/>
        <v>y</v>
      </c>
      <c r="VVF1" s="154" t="str">
        <f t="shared" si="241"/>
        <v>y</v>
      </c>
      <c r="VVG1" s="154" t="str">
        <f t="shared" si="241"/>
        <v>y</v>
      </c>
      <c r="VVH1" s="154" t="str">
        <f t="shared" si="241"/>
        <v>y</v>
      </c>
      <c r="VVI1" s="154" t="str">
        <f t="shared" si="241"/>
        <v>y</v>
      </c>
      <c r="VVJ1" s="154" t="str">
        <f t="shared" si="241"/>
        <v>y</v>
      </c>
      <c r="VVK1" s="154" t="str">
        <f t="shared" si="241"/>
        <v>y</v>
      </c>
      <c r="VVL1" s="154" t="str">
        <f t="shared" si="241"/>
        <v>y</v>
      </c>
      <c r="VVM1" s="154" t="str">
        <f t="shared" si="241"/>
        <v>y</v>
      </c>
      <c r="VVN1" s="154" t="str">
        <f t="shared" si="241"/>
        <v>y</v>
      </c>
      <c r="VVO1" s="154" t="str">
        <f t="shared" si="241"/>
        <v>y</v>
      </c>
      <c r="VVP1" s="154" t="str">
        <f t="shared" si="241"/>
        <v>y</v>
      </c>
      <c r="VVQ1" s="154" t="str">
        <f t="shared" si="241"/>
        <v>y</v>
      </c>
      <c r="VVR1" s="154" t="str">
        <f t="shared" si="241"/>
        <v>y</v>
      </c>
      <c r="VVS1" s="154" t="str">
        <f t="shared" si="241"/>
        <v>y</v>
      </c>
      <c r="VVT1" s="154" t="str">
        <f t="shared" si="241"/>
        <v>y</v>
      </c>
      <c r="VVU1" s="154" t="str">
        <f t="shared" si="241"/>
        <v>y</v>
      </c>
      <c r="VVV1" s="154" t="str">
        <f t="shared" si="241"/>
        <v>y</v>
      </c>
      <c r="VVW1" s="154" t="str">
        <f t="shared" si="241"/>
        <v>y</v>
      </c>
      <c r="VVX1" s="154" t="str">
        <f t="shared" si="241"/>
        <v>y</v>
      </c>
      <c r="VVY1" s="154" t="str">
        <f t="shared" si="241"/>
        <v>y</v>
      </c>
      <c r="VVZ1" s="154" t="str">
        <f t="shared" si="241"/>
        <v>y</v>
      </c>
      <c r="VWA1" s="154" t="str">
        <f t="shared" si="241"/>
        <v>y</v>
      </c>
      <c r="VWB1" s="154" t="str">
        <f t="shared" si="241"/>
        <v>y</v>
      </c>
      <c r="VWC1" s="154" t="str">
        <f t="shared" si="241"/>
        <v>y</v>
      </c>
      <c r="VWD1" s="154" t="str">
        <f t="shared" si="241"/>
        <v>y</v>
      </c>
      <c r="VWE1" s="154" t="str">
        <f t="shared" si="241"/>
        <v>y</v>
      </c>
      <c r="VWF1" s="154" t="str">
        <f t="shared" si="241"/>
        <v>y</v>
      </c>
      <c r="VWG1" s="154" t="str">
        <f t="shared" si="241"/>
        <v>y</v>
      </c>
      <c r="VWH1" s="154" t="str">
        <f t="shared" si="241"/>
        <v>y</v>
      </c>
      <c r="VWI1" s="154" t="str">
        <f t="shared" si="241"/>
        <v>y</v>
      </c>
      <c r="VWJ1" s="154" t="str">
        <f t="shared" si="241"/>
        <v>y</v>
      </c>
      <c r="VWK1" s="154" t="str">
        <f t="shared" si="241"/>
        <v>y</v>
      </c>
      <c r="VWL1" s="154" t="str">
        <f t="shared" si="241"/>
        <v>y</v>
      </c>
      <c r="VWM1" s="154" t="str">
        <f t="shared" si="241"/>
        <v>y</v>
      </c>
      <c r="VWN1" s="154" t="str">
        <f t="shared" si="241"/>
        <v>y</v>
      </c>
      <c r="VWO1" s="154" t="str">
        <f t="shared" si="241"/>
        <v>y</v>
      </c>
      <c r="VWP1" s="154" t="str">
        <f t="shared" si="241"/>
        <v>y</v>
      </c>
      <c r="VWQ1" s="154" t="str">
        <f t="shared" si="241"/>
        <v>y</v>
      </c>
      <c r="VWR1" s="154" t="str">
        <f t="shared" si="241"/>
        <v>y</v>
      </c>
      <c r="VWS1" s="154" t="str">
        <f t="shared" si="241"/>
        <v>y</v>
      </c>
      <c r="VWT1" s="154" t="str">
        <f t="shared" si="241"/>
        <v>y</v>
      </c>
      <c r="VWU1" s="154" t="str">
        <f t="shared" si="241"/>
        <v>y</v>
      </c>
      <c r="VWV1" s="154" t="str">
        <f t="shared" ref="VWV1:VZG1" si="242">VWV2&amp;"y"</f>
        <v>y</v>
      </c>
      <c r="VWW1" s="154" t="str">
        <f t="shared" si="242"/>
        <v>y</v>
      </c>
      <c r="VWX1" s="154" t="str">
        <f t="shared" si="242"/>
        <v>y</v>
      </c>
      <c r="VWY1" s="154" t="str">
        <f t="shared" si="242"/>
        <v>y</v>
      </c>
      <c r="VWZ1" s="154" t="str">
        <f t="shared" si="242"/>
        <v>y</v>
      </c>
      <c r="VXA1" s="154" t="str">
        <f t="shared" si="242"/>
        <v>y</v>
      </c>
      <c r="VXB1" s="154" t="str">
        <f t="shared" si="242"/>
        <v>y</v>
      </c>
      <c r="VXC1" s="154" t="str">
        <f t="shared" si="242"/>
        <v>y</v>
      </c>
      <c r="VXD1" s="154" t="str">
        <f t="shared" si="242"/>
        <v>y</v>
      </c>
      <c r="VXE1" s="154" t="str">
        <f t="shared" si="242"/>
        <v>y</v>
      </c>
      <c r="VXF1" s="154" t="str">
        <f t="shared" si="242"/>
        <v>y</v>
      </c>
      <c r="VXG1" s="154" t="str">
        <f t="shared" si="242"/>
        <v>y</v>
      </c>
      <c r="VXH1" s="154" t="str">
        <f t="shared" si="242"/>
        <v>y</v>
      </c>
      <c r="VXI1" s="154" t="str">
        <f t="shared" si="242"/>
        <v>y</v>
      </c>
      <c r="VXJ1" s="154" t="str">
        <f t="shared" si="242"/>
        <v>y</v>
      </c>
      <c r="VXK1" s="154" t="str">
        <f t="shared" si="242"/>
        <v>y</v>
      </c>
      <c r="VXL1" s="154" t="str">
        <f t="shared" si="242"/>
        <v>y</v>
      </c>
      <c r="VXM1" s="154" t="str">
        <f t="shared" si="242"/>
        <v>y</v>
      </c>
      <c r="VXN1" s="154" t="str">
        <f t="shared" si="242"/>
        <v>y</v>
      </c>
      <c r="VXO1" s="154" t="str">
        <f t="shared" si="242"/>
        <v>y</v>
      </c>
      <c r="VXP1" s="154" t="str">
        <f t="shared" si="242"/>
        <v>y</v>
      </c>
      <c r="VXQ1" s="154" t="str">
        <f t="shared" si="242"/>
        <v>y</v>
      </c>
      <c r="VXR1" s="154" t="str">
        <f t="shared" si="242"/>
        <v>y</v>
      </c>
      <c r="VXS1" s="154" t="str">
        <f t="shared" si="242"/>
        <v>y</v>
      </c>
      <c r="VXT1" s="154" t="str">
        <f t="shared" si="242"/>
        <v>y</v>
      </c>
      <c r="VXU1" s="154" t="str">
        <f t="shared" si="242"/>
        <v>y</v>
      </c>
      <c r="VXV1" s="154" t="str">
        <f t="shared" si="242"/>
        <v>y</v>
      </c>
      <c r="VXW1" s="154" t="str">
        <f t="shared" si="242"/>
        <v>y</v>
      </c>
      <c r="VXX1" s="154" t="str">
        <f t="shared" si="242"/>
        <v>y</v>
      </c>
      <c r="VXY1" s="154" t="str">
        <f t="shared" si="242"/>
        <v>y</v>
      </c>
      <c r="VXZ1" s="154" t="str">
        <f t="shared" si="242"/>
        <v>y</v>
      </c>
      <c r="VYA1" s="154" t="str">
        <f t="shared" si="242"/>
        <v>y</v>
      </c>
      <c r="VYB1" s="154" t="str">
        <f t="shared" si="242"/>
        <v>y</v>
      </c>
      <c r="VYC1" s="154" t="str">
        <f t="shared" si="242"/>
        <v>y</v>
      </c>
      <c r="VYD1" s="154" t="str">
        <f t="shared" si="242"/>
        <v>y</v>
      </c>
      <c r="VYE1" s="154" t="str">
        <f t="shared" si="242"/>
        <v>y</v>
      </c>
      <c r="VYF1" s="154" t="str">
        <f t="shared" si="242"/>
        <v>y</v>
      </c>
      <c r="VYG1" s="154" t="str">
        <f t="shared" si="242"/>
        <v>y</v>
      </c>
      <c r="VYH1" s="154" t="str">
        <f t="shared" si="242"/>
        <v>y</v>
      </c>
      <c r="VYI1" s="154" t="str">
        <f t="shared" si="242"/>
        <v>y</v>
      </c>
      <c r="VYJ1" s="154" t="str">
        <f t="shared" si="242"/>
        <v>y</v>
      </c>
      <c r="VYK1" s="154" t="str">
        <f t="shared" si="242"/>
        <v>y</v>
      </c>
      <c r="VYL1" s="154" t="str">
        <f t="shared" si="242"/>
        <v>y</v>
      </c>
      <c r="VYM1" s="154" t="str">
        <f t="shared" si="242"/>
        <v>y</v>
      </c>
      <c r="VYN1" s="154" t="str">
        <f t="shared" si="242"/>
        <v>y</v>
      </c>
      <c r="VYO1" s="154" t="str">
        <f t="shared" si="242"/>
        <v>y</v>
      </c>
      <c r="VYP1" s="154" t="str">
        <f t="shared" si="242"/>
        <v>y</v>
      </c>
      <c r="VYQ1" s="154" t="str">
        <f t="shared" si="242"/>
        <v>y</v>
      </c>
      <c r="VYR1" s="154" t="str">
        <f t="shared" si="242"/>
        <v>y</v>
      </c>
      <c r="VYS1" s="154" t="str">
        <f t="shared" si="242"/>
        <v>y</v>
      </c>
      <c r="VYT1" s="154" t="str">
        <f t="shared" si="242"/>
        <v>y</v>
      </c>
      <c r="VYU1" s="154" t="str">
        <f t="shared" si="242"/>
        <v>y</v>
      </c>
      <c r="VYV1" s="154" t="str">
        <f t="shared" si="242"/>
        <v>y</v>
      </c>
      <c r="VYW1" s="154" t="str">
        <f t="shared" si="242"/>
        <v>y</v>
      </c>
      <c r="VYX1" s="154" t="str">
        <f t="shared" si="242"/>
        <v>y</v>
      </c>
      <c r="VYY1" s="154" t="str">
        <f t="shared" si="242"/>
        <v>y</v>
      </c>
      <c r="VYZ1" s="154" t="str">
        <f t="shared" si="242"/>
        <v>y</v>
      </c>
      <c r="VZA1" s="154" t="str">
        <f t="shared" si="242"/>
        <v>y</v>
      </c>
      <c r="VZB1" s="154" t="str">
        <f t="shared" si="242"/>
        <v>y</v>
      </c>
      <c r="VZC1" s="154" t="str">
        <f t="shared" si="242"/>
        <v>y</v>
      </c>
      <c r="VZD1" s="154" t="str">
        <f t="shared" si="242"/>
        <v>y</v>
      </c>
      <c r="VZE1" s="154" t="str">
        <f t="shared" si="242"/>
        <v>y</v>
      </c>
      <c r="VZF1" s="154" t="str">
        <f t="shared" si="242"/>
        <v>y</v>
      </c>
      <c r="VZG1" s="154" t="str">
        <f t="shared" si="242"/>
        <v>y</v>
      </c>
      <c r="VZH1" s="154" t="str">
        <f t="shared" ref="VZH1:WBS1" si="243">VZH2&amp;"y"</f>
        <v>y</v>
      </c>
      <c r="VZI1" s="154" t="str">
        <f t="shared" si="243"/>
        <v>y</v>
      </c>
      <c r="VZJ1" s="154" t="str">
        <f t="shared" si="243"/>
        <v>y</v>
      </c>
      <c r="VZK1" s="154" t="str">
        <f t="shared" si="243"/>
        <v>y</v>
      </c>
      <c r="VZL1" s="154" t="str">
        <f t="shared" si="243"/>
        <v>y</v>
      </c>
      <c r="VZM1" s="154" t="str">
        <f t="shared" si="243"/>
        <v>y</v>
      </c>
      <c r="VZN1" s="154" t="str">
        <f t="shared" si="243"/>
        <v>y</v>
      </c>
      <c r="VZO1" s="154" t="str">
        <f t="shared" si="243"/>
        <v>y</v>
      </c>
      <c r="VZP1" s="154" t="str">
        <f t="shared" si="243"/>
        <v>y</v>
      </c>
      <c r="VZQ1" s="154" t="str">
        <f t="shared" si="243"/>
        <v>y</v>
      </c>
      <c r="VZR1" s="154" t="str">
        <f t="shared" si="243"/>
        <v>y</v>
      </c>
      <c r="VZS1" s="154" t="str">
        <f t="shared" si="243"/>
        <v>y</v>
      </c>
      <c r="VZT1" s="154" t="str">
        <f t="shared" si="243"/>
        <v>y</v>
      </c>
      <c r="VZU1" s="154" t="str">
        <f t="shared" si="243"/>
        <v>y</v>
      </c>
      <c r="VZV1" s="154" t="str">
        <f t="shared" si="243"/>
        <v>y</v>
      </c>
      <c r="VZW1" s="154" t="str">
        <f t="shared" si="243"/>
        <v>y</v>
      </c>
      <c r="VZX1" s="154" t="str">
        <f t="shared" si="243"/>
        <v>y</v>
      </c>
      <c r="VZY1" s="154" t="str">
        <f t="shared" si="243"/>
        <v>y</v>
      </c>
      <c r="VZZ1" s="154" t="str">
        <f t="shared" si="243"/>
        <v>y</v>
      </c>
      <c r="WAA1" s="154" t="str">
        <f t="shared" si="243"/>
        <v>y</v>
      </c>
      <c r="WAB1" s="154" t="str">
        <f t="shared" si="243"/>
        <v>y</v>
      </c>
      <c r="WAC1" s="154" t="str">
        <f t="shared" si="243"/>
        <v>y</v>
      </c>
      <c r="WAD1" s="154" t="str">
        <f t="shared" si="243"/>
        <v>y</v>
      </c>
      <c r="WAE1" s="154" t="str">
        <f t="shared" si="243"/>
        <v>y</v>
      </c>
      <c r="WAF1" s="154" t="str">
        <f t="shared" si="243"/>
        <v>y</v>
      </c>
      <c r="WAG1" s="154" t="str">
        <f t="shared" si="243"/>
        <v>y</v>
      </c>
      <c r="WAH1" s="154" t="str">
        <f t="shared" si="243"/>
        <v>y</v>
      </c>
      <c r="WAI1" s="154" t="str">
        <f t="shared" si="243"/>
        <v>y</v>
      </c>
      <c r="WAJ1" s="154" t="str">
        <f t="shared" si="243"/>
        <v>y</v>
      </c>
      <c r="WAK1" s="154" t="str">
        <f t="shared" si="243"/>
        <v>y</v>
      </c>
      <c r="WAL1" s="154" t="str">
        <f t="shared" si="243"/>
        <v>y</v>
      </c>
      <c r="WAM1" s="154" t="str">
        <f t="shared" si="243"/>
        <v>y</v>
      </c>
      <c r="WAN1" s="154" t="str">
        <f t="shared" si="243"/>
        <v>y</v>
      </c>
      <c r="WAO1" s="154" t="str">
        <f t="shared" si="243"/>
        <v>y</v>
      </c>
      <c r="WAP1" s="154" t="str">
        <f t="shared" si="243"/>
        <v>y</v>
      </c>
      <c r="WAQ1" s="154" t="str">
        <f t="shared" si="243"/>
        <v>y</v>
      </c>
      <c r="WAR1" s="154" t="str">
        <f t="shared" si="243"/>
        <v>y</v>
      </c>
      <c r="WAS1" s="154" t="str">
        <f t="shared" si="243"/>
        <v>y</v>
      </c>
      <c r="WAT1" s="154" t="str">
        <f t="shared" si="243"/>
        <v>y</v>
      </c>
      <c r="WAU1" s="154" t="str">
        <f t="shared" si="243"/>
        <v>y</v>
      </c>
      <c r="WAV1" s="154" t="str">
        <f t="shared" si="243"/>
        <v>y</v>
      </c>
      <c r="WAW1" s="154" t="str">
        <f t="shared" si="243"/>
        <v>y</v>
      </c>
      <c r="WAX1" s="154" t="str">
        <f t="shared" si="243"/>
        <v>y</v>
      </c>
      <c r="WAY1" s="154" t="str">
        <f t="shared" si="243"/>
        <v>y</v>
      </c>
      <c r="WAZ1" s="154" t="str">
        <f t="shared" si="243"/>
        <v>y</v>
      </c>
      <c r="WBA1" s="154" t="str">
        <f t="shared" si="243"/>
        <v>y</v>
      </c>
      <c r="WBB1" s="154" t="str">
        <f t="shared" si="243"/>
        <v>y</v>
      </c>
      <c r="WBC1" s="154" t="str">
        <f t="shared" si="243"/>
        <v>y</v>
      </c>
      <c r="WBD1" s="154" t="str">
        <f t="shared" si="243"/>
        <v>y</v>
      </c>
      <c r="WBE1" s="154" t="str">
        <f t="shared" si="243"/>
        <v>y</v>
      </c>
      <c r="WBF1" s="154" t="str">
        <f t="shared" si="243"/>
        <v>y</v>
      </c>
      <c r="WBG1" s="154" t="str">
        <f t="shared" si="243"/>
        <v>y</v>
      </c>
      <c r="WBH1" s="154" t="str">
        <f t="shared" si="243"/>
        <v>y</v>
      </c>
      <c r="WBI1" s="154" t="str">
        <f t="shared" si="243"/>
        <v>y</v>
      </c>
      <c r="WBJ1" s="154" t="str">
        <f t="shared" si="243"/>
        <v>y</v>
      </c>
      <c r="WBK1" s="154" t="str">
        <f t="shared" si="243"/>
        <v>y</v>
      </c>
      <c r="WBL1" s="154" t="str">
        <f t="shared" si="243"/>
        <v>y</v>
      </c>
      <c r="WBM1" s="154" t="str">
        <f t="shared" si="243"/>
        <v>y</v>
      </c>
      <c r="WBN1" s="154" t="str">
        <f t="shared" si="243"/>
        <v>y</v>
      </c>
      <c r="WBO1" s="154" t="str">
        <f t="shared" si="243"/>
        <v>y</v>
      </c>
      <c r="WBP1" s="154" t="str">
        <f t="shared" si="243"/>
        <v>y</v>
      </c>
      <c r="WBQ1" s="154" t="str">
        <f t="shared" si="243"/>
        <v>y</v>
      </c>
      <c r="WBR1" s="154" t="str">
        <f t="shared" si="243"/>
        <v>y</v>
      </c>
      <c r="WBS1" s="154" t="str">
        <f t="shared" si="243"/>
        <v>y</v>
      </c>
      <c r="WBT1" s="154" t="str">
        <f t="shared" ref="WBT1:WEE1" si="244">WBT2&amp;"y"</f>
        <v>y</v>
      </c>
      <c r="WBU1" s="154" t="str">
        <f t="shared" si="244"/>
        <v>y</v>
      </c>
      <c r="WBV1" s="154" t="str">
        <f t="shared" si="244"/>
        <v>y</v>
      </c>
      <c r="WBW1" s="154" t="str">
        <f t="shared" si="244"/>
        <v>y</v>
      </c>
      <c r="WBX1" s="154" t="str">
        <f t="shared" si="244"/>
        <v>y</v>
      </c>
      <c r="WBY1" s="154" t="str">
        <f t="shared" si="244"/>
        <v>y</v>
      </c>
      <c r="WBZ1" s="154" t="str">
        <f t="shared" si="244"/>
        <v>y</v>
      </c>
      <c r="WCA1" s="154" t="str">
        <f t="shared" si="244"/>
        <v>y</v>
      </c>
      <c r="WCB1" s="154" t="str">
        <f t="shared" si="244"/>
        <v>y</v>
      </c>
      <c r="WCC1" s="154" t="str">
        <f t="shared" si="244"/>
        <v>y</v>
      </c>
      <c r="WCD1" s="154" t="str">
        <f t="shared" si="244"/>
        <v>y</v>
      </c>
      <c r="WCE1" s="154" t="str">
        <f t="shared" si="244"/>
        <v>y</v>
      </c>
      <c r="WCF1" s="154" t="str">
        <f t="shared" si="244"/>
        <v>y</v>
      </c>
      <c r="WCG1" s="154" t="str">
        <f t="shared" si="244"/>
        <v>y</v>
      </c>
      <c r="WCH1" s="154" t="str">
        <f t="shared" si="244"/>
        <v>y</v>
      </c>
      <c r="WCI1" s="154" t="str">
        <f t="shared" si="244"/>
        <v>y</v>
      </c>
      <c r="WCJ1" s="154" t="str">
        <f t="shared" si="244"/>
        <v>y</v>
      </c>
      <c r="WCK1" s="154" t="str">
        <f t="shared" si="244"/>
        <v>y</v>
      </c>
      <c r="WCL1" s="154" t="str">
        <f t="shared" si="244"/>
        <v>y</v>
      </c>
      <c r="WCM1" s="154" t="str">
        <f t="shared" si="244"/>
        <v>y</v>
      </c>
      <c r="WCN1" s="154" t="str">
        <f t="shared" si="244"/>
        <v>y</v>
      </c>
      <c r="WCO1" s="154" t="str">
        <f t="shared" si="244"/>
        <v>y</v>
      </c>
      <c r="WCP1" s="154" t="str">
        <f t="shared" si="244"/>
        <v>y</v>
      </c>
      <c r="WCQ1" s="154" t="str">
        <f t="shared" si="244"/>
        <v>y</v>
      </c>
      <c r="WCR1" s="154" t="str">
        <f t="shared" si="244"/>
        <v>y</v>
      </c>
      <c r="WCS1" s="154" t="str">
        <f t="shared" si="244"/>
        <v>y</v>
      </c>
      <c r="WCT1" s="154" t="str">
        <f t="shared" si="244"/>
        <v>y</v>
      </c>
      <c r="WCU1" s="154" t="str">
        <f t="shared" si="244"/>
        <v>y</v>
      </c>
      <c r="WCV1" s="154" t="str">
        <f t="shared" si="244"/>
        <v>y</v>
      </c>
      <c r="WCW1" s="154" t="str">
        <f t="shared" si="244"/>
        <v>y</v>
      </c>
      <c r="WCX1" s="154" t="str">
        <f t="shared" si="244"/>
        <v>y</v>
      </c>
      <c r="WCY1" s="154" t="str">
        <f t="shared" si="244"/>
        <v>y</v>
      </c>
      <c r="WCZ1" s="154" t="str">
        <f t="shared" si="244"/>
        <v>y</v>
      </c>
      <c r="WDA1" s="154" t="str">
        <f t="shared" si="244"/>
        <v>y</v>
      </c>
      <c r="WDB1" s="154" t="str">
        <f t="shared" si="244"/>
        <v>y</v>
      </c>
      <c r="WDC1" s="154" t="str">
        <f t="shared" si="244"/>
        <v>y</v>
      </c>
      <c r="WDD1" s="154" t="str">
        <f t="shared" si="244"/>
        <v>y</v>
      </c>
      <c r="WDE1" s="154" t="str">
        <f t="shared" si="244"/>
        <v>y</v>
      </c>
      <c r="WDF1" s="154" t="str">
        <f t="shared" si="244"/>
        <v>y</v>
      </c>
      <c r="WDG1" s="154" t="str">
        <f t="shared" si="244"/>
        <v>y</v>
      </c>
      <c r="WDH1" s="154" t="str">
        <f t="shared" si="244"/>
        <v>y</v>
      </c>
      <c r="WDI1" s="154" t="str">
        <f t="shared" si="244"/>
        <v>y</v>
      </c>
      <c r="WDJ1" s="154" t="str">
        <f t="shared" si="244"/>
        <v>y</v>
      </c>
      <c r="WDK1" s="154" t="str">
        <f t="shared" si="244"/>
        <v>y</v>
      </c>
      <c r="WDL1" s="154" t="str">
        <f t="shared" si="244"/>
        <v>y</v>
      </c>
      <c r="WDM1" s="154" t="str">
        <f t="shared" si="244"/>
        <v>y</v>
      </c>
      <c r="WDN1" s="154" t="str">
        <f t="shared" si="244"/>
        <v>y</v>
      </c>
      <c r="WDO1" s="154" t="str">
        <f t="shared" si="244"/>
        <v>y</v>
      </c>
      <c r="WDP1" s="154" t="str">
        <f t="shared" si="244"/>
        <v>y</v>
      </c>
      <c r="WDQ1" s="154" t="str">
        <f t="shared" si="244"/>
        <v>y</v>
      </c>
      <c r="WDR1" s="154" t="str">
        <f t="shared" si="244"/>
        <v>y</v>
      </c>
      <c r="WDS1" s="154" t="str">
        <f t="shared" si="244"/>
        <v>y</v>
      </c>
      <c r="WDT1" s="154" t="str">
        <f t="shared" si="244"/>
        <v>y</v>
      </c>
      <c r="WDU1" s="154" t="str">
        <f t="shared" si="244"/>
        <v>y</v>
      </c>
      <c r="WDV1" s="154" t="str">
        <f t="shared" si="244"/>
        <v>y</v>
      </c>
      <c r="WDW1" s="154" t="str">
        <f t="shared" si="244"/>
        <v>y</v>
      </c>
      <c r="WDX1" s="154" t="str">
        <f t="shared" si="244"/>
        <v>y</v>
      </c>
      <c r="WDY1" s="154" t="str">
        <f t="shared" si="244"/>
        <v>y</v>
      </c>
      <c r="WDZ1" s="154" t="str">
        <f t="shared" si="244"/>
        <v>y</v>
      </c>
      <c r="WEA1" s="154" t="str">
        <f t="shared" si="244"/>
        <v>y</v>
      </c>
      <c r="WEB1" s="154" t="str">
        <f t="shared" si="244"/>
        <v>y</v>
      </c>
      <c r="WEC1" s="154" t="str">
        <f t="shared" si="244"/>
        <v>y</v>
      </c>
      <c r="WED1" s="154" t="str">
        <f t="shared" si="244"/>
        <v>y</v>
      </c>
      <c r="WEE1" s="154" t="str">
        <f t="shared" si="244"/>
        <v>y</v>
      </c>
      <c r="WEF1" s="154" t="str">
        <f t="shared" ref="WEF1:WGQ1" si="245">WEF2&amp;"y"</f>
        <v>y</v>
      </c>
      <c r="WEG1" s="154" t="str">
        <f t="shared" si="245"/>
        <v>y</v>
      </c>
      <c r="WEH1" s="154" t="str">
        <f t="shared" si="245"/>
        <v>y</v>
      </c>
      <c r="WEI1" s="154" t="str">
        <f t="shared" si="245"/>
        <v>y</v>
      </c>
      <c r="WEJ1" s="154" t="str">
        <f t="shared" si="245"/>
        <v>y</v>
      </c>
      <c r="WEK1" s="154" t="str">
        <f t="shared" si="245"/>
        <v>y</v>
      </c>
      <c r="WEL1" s="154" t="str">
        <f t="shared" si="245"/>
        <v>y</v>
      </c>
      <c r="WEM1" s="154" t="str">
        <f t="shared" si="245"/>
        <v>y</v>
      </c>
      <c r="WEN1" s="154" t="str">
        <f t="shared" si="245"/>
        <v>y</v>
      </c>
      <c r="WEO1" s="154" t="str">
        <f t="shared" si="245"/>
        <v>y</v>
      </c>
      <c r="WEP1" s="154" t="str">
        <f t="shared" si="245"/>
        <v>y</v>
      </c>
      <c r="WEQ1" s="154" t="str">
        <f t="shared" si="245"/>
        <v>y</v>
      </c>
      <c r="WER1" s="154" t="str">
        <f t="shared" si="245"/>
        <v>y</v>
      </c>
      <c r="WES1" s="154" t="str">
        <f t="shared" si="245"/>
        <v>y</v>
      </c>
      <c r="WET1" s="154" t="str">
        <f t="shared" si="245"/>
        <v>y</v>
      </c>
      <c r="WEU1" s="154" t="str">
        <f t="shared" si="245"/>
        <v>y</v>
      </c>
      <c r="WEV1" s="154" t="str">
        <f t="shared" si="245"/>
        <v>y</v>
      </c>
      <c r="WEW1" s="154" t="str">
        <f t="shared" si="245"/>
        <v>y</v>
      </c>
      <c r="WEX1" s="154" t="str">
        <f t="shared" si="245"/>
        <v>y</v>
      </c>
      <c r="WEY1" s="154" t="str">
        <f t="shared" si="245"/>
        <v>y</v>
      </c>
      <c r="WEZ1" s="154" t="str">
        <f t="shared" si="245"/>
        <v>y</v>
      </c>
      <c r="WFA1" s="154" t="str">
        <f t="shared" si="245"/>
        <v>y</v>
      </c>
      <c r="WFB1" s="154" t="str">
        <f t="shared" si="245"/>
        <v>y</v>
      </c>
      <c r="WFC1" s="154" t="str">
        <f t="shared" si="245"/>
        <v>y</v>
      </c>
      <c r="WFD1" s="154" t="str">
        <f t="shared" si="245"/>
        <v>y</v>
      </c>
      <c r="WFE1" s="154" t="str">
        <f t="shared" si="245"/>
        <v>y</v>
      </c>
      <c r="WFF1" s="154" t="str">
        <f t="shared" si="245"/>
        <v>y</v>
      </c>
      <c r="WFG1" s="154" t="str">
        <f t="shared" si="245"/>
        <v>y</v>
      </c>
      <c r="WFH1" s="154" t="str">
        <f t="shared" si="245"/>
        <v>y</v>
      </c>
      <c r="WFI1" s="154" t="str">
        <f t="shared" si="245"/>
        <v>y</v>
      </c>
      <c r="WFJ1" s="154" t="str">
        <f t="shared" si="245"/>
        <v>y</v>
      </c>
      <c r="WFK1" s="154" t="str">
        <f t="shared" si="245"/>
        <v>y</v>
      </c>
      <c r="WFL1" s="154" t="str">
        <f t="shared" si="245"/>
        <v>y</v>
      </c>
      <c r="WFM1" s="154" t="str">
        <f t="shared" si="245"/>
        <v>y</v>
      </c>
      <c r="WFN1" s="154" t="str">
        <f t="shared" si="245"/>
        <v>y</v>
      </c>
      <c r="WFO1" s="154" t="str">
        <f t="shared" si="245"/>
        <v>y</v>
      </c>
      <c r="WFP1" s="154" t="str">
        <f t="shared" si="245"/>
        <v>y</v>
      </c>
      <c r="WFQ1" s="154" t="str">
        <f t="shared" si="245"/>
        <v>y</v>
      </c>
      <c r="WFR1" s="154" t="str">
        <f t="shared" si="245"/>
        <v>y</v>
      </c>
      <c r="WFS1" s="154" t="str">
        <f t="shared" si="245"/>
        <v>y</v>
      </c>
      <c r="WFT1" s="154" t="str">
        <f t="shared" si="245"/>
        <v>y</v>
      </c>
      <c r="WFU1" s="154" t="str">
        <f t="shared" si="245"/>
        <v>y</v>
      </c>
      <c r="WFV1" s="154" t="str">
        <f t="shared" si="245"/>
        <v>y</v>
      </c>
      <c r="WFW1" s="154" t="str">
        <f t="shared" si="245"/>
        <v>y</v>
      </c>
      <c r="WFX1" s="154" t="str">
        <f t="shared" si="245"/>
        <v>y</v>
      </c>
      <c r="WFY1" s="154" t="str">
        <f t="shared" si="245"/>
        <v>y</v>
      </c>
      <c r="WFZ1" s="154" t="str">
        <f t="shared" si="245"/>
        <v>y</v>
      </c>
      <c r="WGA1" s="154" t="str">
        <f t="shared" si="245"/>
        <v>y</v>
      </c>
      <c r="WGB1" s="154" t="str">
        <f t="shared" si="245"/>
        <v>y</v>
      </c>
      <c r="WGC1" s="154" t="str">
        <f t="shared" si="245"/>
        <v>y</v>
      </c>
      <c r="WGD1" s="154" t="str">
        <f t="shared" si="245"/>
        <v>y</v>
      </c>
      <c r="WGE1" s="154" t="str">
        <f t="shared" si="245"/>
        <v>y</v>
      </c>
      <c r="WGF1" s="154" t="str">
        <f t="shared" si="245"/>
        <v>y</v>
      </c>
      <c r="WGG1" s="154" t="str">
        <f t="shared" si="245"/>
        <v>y</v>
      </c>
      <c r="WGH1" s="154" t="str">
        <f t="shared" si="245"/>
        <v>y</v>
      </c>
      <c r="WGI1" s="154" t="str">
        <f t="shared" si="245"/>
        <v>y</v>
      </c>
      <c r="WGJ1" s="154" t="str">
        <f t="shared" si="245"/>
        <v>y</v>
      </c>
      <c r="WGK1" s="154" t="str">
        <f t="shared" si="245"/>
        <v>y</v>
      </c>
      <c r="WGL1" s="154" t="str">
        <f t="shared" si="245"/>
        <v>y</v>
      </c>
      <c r="WGM1" s="154" t="str">
        <f t="shared" si="245"/>
        <v>y</v>
      </c>
      <c r="WGN1" s="154" t="str">
        <f t="shared" si="245"/>
        <v>y</v>
      </c>
      <c r="WGO1" s="154" t="str">
        <f t="shared" si="245"/>
        <v>y</v>
      </c>
      <c r="WGP1" s="154" t="str">
        <f t="shared" si="245"/>
        <v>y</v>
      </c>
      <c r="WGQ1" s="154" t="str">
        <f t="shared" si="245"/>
        <v>y</v>
      </c>
      <c r="WGR1" s="154" t="str">
        <f t="shared" ref="WGR1:WJC1" si="246">WGR2&amp;"y"</f>
        <v>y</v>
      </c>
      <c r="WGS1" s="154" t="str">
        <f t="shared" si="246"/>
        <v>y</v>
      </c>
      <c r="WGT1" s="154" t="str">
        <f t="shared" si="246"/>
        <v>y</v>
      </c>
      <c r="WGU1" s="154" t="str">
        <f t="shared" si="246"/>
        <v>y</v>
      </c>
      <c r="WGV1" s="154" t="str">
        <f t="shared" si="246"/>
        <v>y</v>
      </c>
      <c r="WGW1" s="154" t="str">
        <f t="shared" si="246"/>
        <v>y</v>
      </c>
      <c r="WGX1" s="154" t="str">
        <f t="shared" si="246"/>
        <v>y</v>
      </c>
      <c r="WGY1" s="154" t="str">
        <f t="shared" si="246"/>
        <v>y</v>
      </c>
      <c r="WGZ1" s="154" t="str">
        <f t="shared" si="246"/>
        <v>y</v>
      </c>
      <c r="WHA1" s="154" t="str">
        <f t="shared" si="246"/>
        <v>y</v>
      </c>
      <c r="WHB1" s="154" t="str">
        <f t="shared" si="246"/>
        <v>y</v>
      </c>
      <c r="WHC1" s="154" t="str">
        <f t="shared" si="246"/>
        <v>y</v>
      </c>
      <c r="WHD1" s="154" t="str">
        <f t="shared" si="246"/>
        <v>y</v>
      </c>
      <c r="WHE1" s="154" t="str">
        <f t="shared" si="246"/>
        <v>y</v>
      </c>
      <c r="WHF1" s="154" t="str">
        <f t="shared" si="246"/>
        <v>y</v>
      </c>
      <c r="WHG1" s="154" t="str">
        <f t="shared" si="246"/>
        <v>y</v>
      </c>
      <c r="WHH1" s="154" t="str">
        <f t="shared" si="246"/>
        <v>y</v>
      </c>
      <c r="WHI1" s="154" t="str">
        <f t="shared" si="246"/>
        <v>y</v>
      </c>
      <c r="WHJ1" s="154" t="str">
        <f t="shared" si="246"/>
        <v>y</v>
      </c>
      <c r="WHK1" s="154" t="str">
        <f t="shared" si="246"/>
        <v>y</v>
      </c>
      <c r="WHL1" s="154" t="str">
        <f t="shared" si="246"/>
        <v>y</v>
      </c>
      <c r="WHM1" s="154" t="str">
        <f t="shared" si="246"/>
        <v>y</v>
      </c>
      <c r="WHN1" s="154" t="str">
        <f t="shared" si="246"/>
        <v>y</v>
      </c>
      <c r="WHO1" s="154" t="str">
        <f t="shared" si="246"/>
        <v>y</v>
      </c>
      <c r="WHP1" s="154" t="str">
        <f t="shared" si="246"/>
        <v>y</v>
      </c>
      <c r="WHQ1" s="154" t="str">
        <f t="shared" si="246"/>
        <v>y</v>
      </c>
      <c r="WHR1" s="154" t="str">
        <f t="shared" si="246"/>
        <v>y</v>
      </c>
      <c r="WHS1" s="154" t="str">
        <f t="shared" si="246"/>
        <v>y</v>
      </c>
      <c r="WHT1" s="154" t="str">
        <f t="shared" si="246"/>
        <v>y</v>
      </c>
      <c r="WHU1" s="154" t="str">
        <f t="shared" si="246"/>
        <v>y</v>
      </c>
      <c r="WHV1" s="154" t="str">
        <f t="shared" si="246"/>
        <v>y</v>
      </c>
      <c r="WHW1" s="154" t="str">
        <f t="shared" si="246"/>
        <v>y</v>
      </c>
      <c r="WHX1" s="154" t="str">
        <f t="shared" si="246"/>
        <v>y</v>
      </c>
      <c r="WHY1" s="154" t="str">
        <f t="shared" si="246"/>
        <v>y</v>
      </c>
      <c r="WHZ1" s="154" t="str">
        <f t="shared" si="246"/>
        <v>y</v>
      </c>
      <c r="WIA1" s="154" t="str">
        <f t="shared" si="246"/>
        <v>y</v>
      </c>
      <c r="WIB1" s="154" t="str">
        <f t="shared" si="246"/>
        <v>y</v>
      </c>
      <c r="WIC1" s="154" t="str">
        <f t="shared" si="246"/>
        <v>y</v>
      </c>
      <c r="WID1" s="154" t="str">
        <f t="shared" si="246"/>
        <v>y</v>
      </c>
      <c r="WIE1" s="154" t="str">
        <f t="shared" si="246"/>
        <v>y</v>
      </c>
      <c r="WIF1" s="154" t="str">
        <f t="shared" si="246"/>
        <v>y</v>
      </c>
      <c r="WIG1" s="154" t="str">
        <f t="shared" si="246"/>
        <v>y</v>
      </c>
      <c r="WIH1" s="154" t="str">
        <f t="shared" si="246"/>
        <v>y</v>
      </c>
      <c r="WII1" s="154" t="str">
        <f t="shared" si="246"/>
        <v>y</v>
      </c>
      <c r="WIJ1" s="154" t="str">
        <f t="shared" si="246"/>
        <v>y</v>
      </c>
      <c r="WIK1" s="154" t="str">
        <f t="shared" si="246"/>
        <v>y</v>
      </c>
      <c r="WIL1" s="154" t="str">
        <f t="shared" si="246"/>
        <v>y</v>
      </c>
      <c r="WIM1" s="154" t="str">
        <f t="shared" si="246"/>
        <v>y</v>
      </c>
      <c r="WIN1" s="154" t="str">
        <f t="shared" si="246"/>
        <v>y</v>
      </c>
      <c r="WIO1" s="154" t="str">
        <f t="shared" si="246"/>
        <v>y</v>
      </c>
      <c r="WIP1" s="154" t="str">
        <f t="shared" si="246"/>
        <v>y</v>
      </c>
      <c r="WIQ1" s="154" t="str">
        <f t="shared" si="246"/>
        <v>y</v>
      </c>
      <c r="WIR1" s="154" t="str">
        <f t="shared" si="246"/>
        <v>y</v>
      </c>
      <c r="WIS1" s="154" t="str">
        <f t="shared" si="246"/>
        <v>y</v>
      </c>
      <c r="WIT1" s="154" t="str">
        <f t="shared" si="246"/>
        <v>y</v>
      </c>
      <c r="WIU1" s="154" t="str">
        <f t="shared" si="246"/>
        <v>y</v>
      </c>
      <c r="WIV1" s="154" t="str">
        <f t="shared" si="246"/>
        <v>y</v>
      </c>
      <c r="WIW1" s="154" t="str">
        <f t="shared" si="246"/>
        <v>y</v>
      </c>
      <c r="WIX1" s="154" t="str">
        <f t="shared" si="246"/>
        <v>y</v>
      </c>
      <c r="WIY1" s="154" t="str">
        <f t="shared" si="246"/>
        <v>y</v>
      </c>
      <c r="WIZ1" s="154" t="str">
        <f t="shared" si="246"/>
        <v>y</v>
      </c>
      <c r="WJA1" s="154" t="str">
        <f t="shared" si="246"/>
        <v>y</v>
      </c>
      <c r="WJB1" s="154" t="str">
        <f t="shared" si="246"/>
        <v>y</v>
      </c>
      <c r="WJC1" s="154" t="str">
        <f t="shared" si="246"/>
        <v>y</v>
      </c>
      <c r="WJD1" s="154" t="str">
        <f t="shared" ref="WJD1:WLO1" si="247">WJD2&amp;"y"</f>
        <v>y</v>
      </c>
      <c r="WJE1" s="154" t="str">
        <f t="shared" si="247"/>
        <v>y</v>
      </c>
      <c r="WJF1" s="154" t="str">
        <f t="shared" si="247"/>
        <v>y</v>
      </c>
      <c r="WJG1" s="154" t="str">
        <f t="shared" si="247"/>
        <v>y</v>
      </c>
      <c r="WJH1" s="154" t="str">
        <f t="shared" si="247"/>
        <v>y</v>
      </c>
      <c r="WJI1" s="154" t="str">
        <f t="shared" si="247"/>
        <v>y</v>
      </c>
      <c r="WJJ1" s="154" t="str">
        <f t="shared" si="247"/>
        <v>y</v>
      </c>
      <c r="WJK1" s="154" t="str">
        <f t="shared" si="247"/>
        <v>y</v>
      </c>
      <c r="WJL1" s="154" t="str">
        <f t="shared" si="247"/>
        <v>y</v>
      </c>
      <c r="WJM1" s="154" t="str">
        <f t="shared" si="247"/>
        <v>y</v>
      </c>
      <c r="WJN1" s="154" t="str">
        <f t="shared" si="247"/>
        <v>y</v>
      </c>
      <c r="WJO1" s="154" t="str">
        <f t="shared" si="247"/>
        <v>y</v>
      </c>
      <c r="WJP1" s="154" t="str">
        <f t="shared" si="247"/>
        <v>y</v>
      </c>
      <c r="WJQ1" s="154" t="str">
        <f t="shared" si="247"/>
        <v>y</v>
      </c>
      <c r="WJR1" s="154" t="str">
        <f t="shared" si="247"/>
        <v>y</v>
      </c>
      <c r="WJS1" s="154" t="str">
        <f t="shared" si="247"/>
        <v>y</v>
      </c>
      <c r="WJT1" s="154" t="str">
        <f t="shared" si="247"/>
        <v>y</v>
      </c>
      <c r="WJU1" s="154" t="str">
        <f t="shared" si="247"/>
        <v>y</v>
      </c>
      <c r="WJV1" s="154" t="str">
        <f t="shared" si="247"/>
        <v>y</v>
      </c>
      <c r="WJW1" s="154" t="str">
        <f t="shared" si="247"/>
        <v>y</v>
      </c>
      <c r="WJX1" s="154" t="str">
        <f t="shared" si="247"/>
        <v>y</v>
      </c>
      <c r="WJY1" s="154" t="str">
        <f t="shared" si="247"/>
        <v>y</v>
      </c>
      <c r="WJZ1" s="154" t="str">
        <f t="shared" si="247"/>
        <v>y</v>
      </c>
      <c r="WKA1" s="154" t="str">
        <f t="shared" si="247"/>
        <v>y</v>
      </c>
      <c r="WKB1" s="154" t="str">
        <f t="shared" si="247"/>
        <v>y</v>
      </c>
      <c r="WKC1" s="154" t="str">
        <f t="shared" si="247"/>
        <v>y</v>
      </c>
      <c r="WKD1" s="154" t="str">
        <f t="shared" si="247"/>
        <v>y</v>
      </c>
      <c r="WKE1" s="154" t="str">
        <f t="shared" si="247"/>
        <v>y</v>
      </c>
      <c r="WKF1" s="154" t="str">
        <f t="shared" si="247"/>
        <v>y</v>
      </c>
      <c r="WKG1" s="154" t="str">
        <f t="shared" si="247"/>
        <v>y</v>
      </c>
      <c r="WKH1" s="154" t="str">
        <f t="shared" si="247"/>
        <v>y</v>
      </c>
      <c r="WKI1" s="154" t="str">
        <f t="shared" si="247"/>
        <v>y</v>
      </c>
      <c r="WKJ1" s="154" t="str">
        <f t="shared" si="247"/>
        <v>y</v>
      </c>
      <c r="WKK1" s="154" t="str">
        <f t="shared" si="247"/>
        <v>y</v>
      </c>
      <c r="WKL1" s="154" t="str">
        <f t="shared" si="247"/>
        <v>y</v>
      </c>
      <c r="WKM1" s="154" t="str">
        <f t="shared" si="247"/>
        <v>y</v>
      </c>
      <c r="WKN1" s="154" t="str">
        <f t="shared" si="247"/>
        <v>y</v>
      </c>
      <c r="WKO1" s="154" t="str">
        <f t="shared" si="247"/>
        <v>y</v>
      </c>
      <c r="WKP1" s="154" t="str">
        <f t="shared" si="247"/>
        <v>y</v>
      </c>
      <c r="WKQ1" s="154" t="str">
        <f t="shared" si="247"/>
        <v>y</v>
      </c>
      <c r="WKR1" s="154" t="str">
        <f t="shared" si="247"/>
        <v>y</v>
      </c>
      <c r="WKS1" s="154" t="str">
        <f t="shared" si="247"/>
        <v>y</v>
      </c>
      <c r="WKT1" s="154" t="str">
        <f t="shared" si="247"/>
        <v>y</v>
      </c>
      <c r="WKU1" s="154" t="str">
        <f t="shared" si="247"/>
        <v>y</v>
      </c>
      <c r="WKV1" s="154" t="str">
        <f t="shared" si="247"/>
        <v>y</v>
      </c>
      <c r="WKW1" s="154" t="str">
        <f t="shared" si="247"/>
        <v>y</v>
      </c>
      <c r="WKX1" s="154" t="str">
        <f t="shared" si="247"/>
        <v>y</v>
      </c>
      <c r="WKY1" s="154" t="str">
        <f t="shared" si="247"/>
        <v>y</v>
      </c>
      <c r="WKZ1" s="154" t="str">
        <f t="shared" si="247"/>
        <v>y</v>
      </c>
      <c r="WLA1" s="154" t="str">
        <f t="shared" si="247"/>
        <v>y</v>
      </c>
      <c r="WLB1" s="154" t="str">
        <f t="shared" si="247"/>
        <v>y</v>
      </c>
      <c r="WLC1" s="154" t="str">
        <f t="shared" si="247"/>
        <v>y</v>
      </c>
      <c r="WLD1" s="154" t="str">
        <f t="shared" si="247"/>
        <v>y</v>
      </c>
      <c r="WLE1" s="154" t="str">
        <f t="shared" si="247"/>
        <v>y</v>
      </c>
      <c r="WLF1" s="154" t="str">
        <f t="shared" si="247"/>
        <v>y</v>
      </c>
      <c r="WLG1" s="154" t="str">
        <f t="shared" si="247"/>
        <v>y</v>
      </c>
      <c r="WLH1" s="154" t="str">
        <f t="shared" si="247"/>
        <v>y</v>
      </c>
      <c r="WLI1" s="154" t="str">
        <f t="shared" si="247"/>
        <v>y</v>
      </c>
      <c r="WLJ1" s="154" t="str">
        <f t="shared" si="247"/>
        <v>y</v>
      </c>
      <c r="WLK1" s="154" t="str">
        <f t="shared" si="247"/>
        <v>y</v>
      </c>
      <c r="WLL1" s="154" t="str">
        <f t="shared" si="247"/>
        <v>y</v>
      </c>
      <c r="WLM1" s="154" t="str">
        <f t="shared" si="247"/>
        <v>y</v>
      </c>
      <c r="WLN1" s="154" t="str">
        <f t="shared" si="247"/>
        <v>y</v>
      </c>
      <c r="WLO1" s="154" t="str">
        <f t="shared" si="247"/>
        <v>y</v>
      </c>
      <c r="WLP1" s="154" t="str">
        <f t="shared" ref="WLP1:WOA1" si="248">WLP2&amp;"y"</f>
        <v>y</v>
      </c>
      <c r="WLQ1" s="154" t="str">
        <f t="shared" si="248"/>
        <v>y</v>
      </c>
      <c r="WLR1" s="154" t="str">
        <f t="shared" si="248"/>
        <v>y</v>
      </c>
      <c r="WLS1" s="154" t="str">
        <f t="shared" si="248"/>
        <v>y</v>
      </c>
      <c r="WLT1" s="154" t="str">
        <f t="shared" si="248"/>
        <v>y</v>
      </c>
      <c r="WLU1" s="154" t="str">
        <f t="shared" si="248"/>
        <v>y</v>
      </c>
      <c r="WLV1" s="154" t="str">
        <f t="shared" si="248"/>
        <v>y</v>
      </c>
      <c r="WLW1" s="154" t="str">
        <f t="shared" si="248"/>
        <v>y</v>
      </c>
      <c r="WLX1" s="154" t="str">
        <f t="shared" si="248"/>
        <v>y</v>
      </c>
      <c r="WLY1" s="154" t="str">
        <f t="shared" si="248"/>
        <v>y</v>
      </c>
      <c r="WLZ1" s="154" t="str">
        <f t="shared" si="248"/>
        <v>y</v>
      </c>
      <c r="WMA1" s="154" t="str">
        <f t="shared" si="248"/>
        <v>y</v>
      </c>
      <c r="WMB1" s="154" t="str">
        <f t="shared" si="248"/>
        <v>y</v>
      </c>
      <c r="WMC1" s="154" t="str">
        <f t="shared" si="248"/>
        <v>y</v>
      </c>
      <c r="WMD1" s="154" t="str">
        <f t="shared" si="248"/>
        <v>y</v>
      </c>
      <c r="WME1" s="154" t="str">
        <f t="shared" si="248"/>
        <v>y</v>
      </c>
      <c r="WMF1" s="154" t="str">
        <f t="shared" si="248"/>
        <v>y</v>
      </c>
      <c r="WMG1" s="154" t="str">
        <f t="shared" si="248"/>
        <v>y</v>
      </c>
      <c r="WMH1" s="154" t="str">
        <f t="shared" si="248"/>
        <v>y</v>
      </c>
      <c r="WMI1" s="154" t="str">
        <f t="shared" si="248"/>
        <v>y</v>
      </c>
      <c r="WMJ1" s="154" t="str">
        <f t="shared" si="248"/>
        <v>y</v>
      </c>
      <c r="WMK1" s="154" t="str">
        <f t="shared" si="248"/>
        <v>y</v>
      </c>
      <c r="WML1" s="154" t="str">
        <f t="shared" si="248"/>
        <v>y</v>
      </c>
      <c r="WMM1" s="154" t="str">
        <f t="shared" si="248"/>
        <v>y</v>
      </c>
      <c r="WMN1" s="154" t="str">
        <f t="shared" si="248"/>
        <v>y</v>
      </c>
      <c r="WMO1" s="154" t="str">
        <f t="shared" si="248"/>
        <v>y</v>
      </c>
      <c r="WMP1" s="154" t="str">
        <f t="shared" si="248"/>
        <v>y</v>
      </c>
      <c r="WMQ1" s="154" t="str">
        <f t="shared" si="248"/>
        <v>y</v>
      </c>
      <c r="WMR1" s="154" t="str">
        <f t="shared" si="248"/>
        <v>y</v>
      </c>
      <c r="WMS1" s="154" t="str">
        <f t="shared" si="248"/>
        <v>y</v>
      </c>
      <c r="WMT1" s="154" t="str">
        <f t="shared" si="248"/>
        <v>y</v>
      </c>
      <c r="WMU1" s="154" t="str">
        <f t="shared" si="248"/>
        <v>y</v>
      </c>
      <c r="WMV1" s="154" t="str">
        <f t="shared" si="248"/>
        <v>y</v>
      </c>
      <c r="WMW1" s="154" t="str">
        <f t="shared" si="248"/>
        <v>y</v>
      </c>
      <c r="WMX1" s="154" t="str">
        <f t="shared" si="248"/>
        <v>y</v>
      </c>
      <c r="WMY1" s="154" t="str">
        <f t="shared" si="248"/>
        <v>y</v>
      </c>
      <c r="WMZ1" s="154" t="str">
        <f t="shared" si="248"/>
        <v>y</v>
      </c>
      <c r="WNA1" s="154" t="str">
        <f t="shared" si="248"/>
        <v>y</v>
      </c>
      <c r="WNB1" s="154" t="str">
        <f t="shared" si="248"/>
        <v>y</v>
      </c>
      <c r="WNC1" s="154" t="str">
        <f t="shared" si="248"/>
        <v>y</v>
      </c>
      <c r="WND1" s="154" t="str">
        <f t="shared" si="248"/>
        <v>y</v>
      </c>
      <c r="WNE1" s="154" t="str">
        <f t="shared" si="248"/>
        <v>y</v>
      </c>
      <c r="WNF1" s="154" t="str">
        <f t="shared" si="248"/>
        <v>y</v>
      </c>
      <c r="WNG1" s="154" t="str">
        <f t="shared" si="248"/>
        <v>y</v>
      </c>
      <c r="WNH1" s="154" t="str">
        <f t="shared" si="248"/>
        <v>y</v>
      </c>
      <c r="WNI1" s="154" t="str">
        <f t="shared" si="248"/>
        <v>y</v>
      </c>
      <c r="WNJ1" s="154" t="str">
        <f t="shared" si="248"/>
        <v>y</v>
      </c>
      <c r="WNK1" s="154" t="str">
        <f t="shared" si="248"/>
        <v>y</v>
      </c>
      <c r="WNL1" s="154" t="str">
        <f t="shared" si="248"/>
        <v>y</v>
      </c>
      <c r="WNM1" s="154" t="str">
        <f t="shared" si="248"/>
        <v>y</v>
      </c>
      <c r="WNN1" s="154" t="str">
        <f t="shared" si="248"/>
        <v>y</v>
      </c>
      <c r="WNO1" s="154" t="str">
        <f t="shared" si="248"/>
        <v>y</v>
      </c>
      <c r="WNP1" s="154" t="str">
        <f t="shared" si="248"/>
        <v>y</v>
      </c>
      <c r="WNQ1" s="154" t="str">
        <f t="shared" si="248"/>
        <v>y</v>
      </c>
      <c r="WNR1" s="154" t="str">
        <f t="shared" si="248"/>
        <v>y</v>
      </c>
      <c r="WNS1" s="154" t="str">
        <f t="shared" si="248"/>
        <v>y</v>
      </c>
      <c r="WNT1" s="154" t="str">
        <f t="shared" si="248"/>
        <v>y</v>
      </c>
      <c r="WNU1" s="154" t="str">
        <f t="shared" si="248"/>
        <v>y</v>
      </c>
      <c r="WNV1" s="154" t="str">
        <f t="shared" si="248"/>
        <v>y</v>
      </c>
      <c r="WNW1" s="154" t="str">
        <f t="shared" si="248"/>
        <v>y</v>
      </c>
      <c r="WNX1" s="154" t="str">
        <f t="shared" si="248"/>
        <v>y</v>
      </c>
      <c r="WNY1" s="154" t="str">
        <f t="shared" si="248"/>
        <v>y</v>
      </c>
      <c r="WNZ1" s="154" t="str">
        <f t="shared" si="248"/>
        <v>y</v>
      </c>
      <c r="WOA1" s="154" t="str">
        <f t="shared" si="248"/>
        <v>y</v>
      </c>
      <c r="WOB1" s="154" t="str">
        <f t="shared" ref="WOB1:WQM1" si="249">WOB2&amp;"y"</f>
        <v>y</v>
      </c>
      <c r="WOC1" s="154" t="str">
        <f t="shared" si="249"/>
        <v>y</v>
      </c>
      <c r="WOD1" s="154" t="str">
        <f t="shared" si="249"/>
        <v>y</v>
      </c>
      <c r="WOE1" s="154" t="str">
        <f t="shared" si="249"/>
        <v>y</v>
      </c>
      <c r="WOF1" s="154" t="str">
        <f t="shared" si="249"/>
        <v>y</v>
      </c>
      <c r="WOG1" s="154" t="str">
        <f t="shared" si="249"/>
        <v>y</v>
      </c>
      <c r="WOH1" s="154" t="str">
        <f t="shared" si="249"/>
        <v>y</v>
      </c>
      <c r="WOI1" s="154" t="str">
        <f t="shared" si="249"/>
        <v>y</v>
      </c>
      <c r="WOJ1" s="154" t="str">
        <f t="shared" si="249"/>
        <v>y</v>
      </c>
      <c r="WOK1" s="154" t="str">
        <f t="shared" si="249"/>
        <v>y</v>
      </c>
      <c r="WOL1" s="154" t="str">
        <f t="shared" si="249"/>
        <v>y</v>
      </c>
      <c r="WOM1" s="154" t="str">
        <f t="shared" si="249"/>
        <v>y</v>
      </c>
      <c r="WON1" s="154" t="str">
        <f t="shared" si="249"/>
        <v>y</v>
      </c>
      <c r="WOO1" s="154" t="str">
        <f t="shared" si="249"/>
        <v>y</v>
      </c>
      <c r="WOP1" s="154" t="str">
        <f t="shared" si="249"/>
        <v>y</v>
      </c>
      <c r="WOQ1" s="154" t="str">
        <f t="shared" si="249"/>
        <v>y</v>
      </c>
      <c r="WOR1" s="154" t="str">
        <f t="shared" si="249"/>
        <v>y</v>
      </c>
      <c r="WOS1" s="154" t="str">
        <f t="shared" si="249"/>
        <v>y</v>
      </c>
      <c r="WOT1" s="154" t="str">
        <f t="shared" si="249"/>
        <v>y</v>
      </c>
      <c r="WOU1" s="154" t="str">
        <f t="shared" si="249"/>
        <v>y</v>
      </c>
      <c r="WOV1" s="154" t="str">
        <f t="shared" si="249"/>
        <v>y</v>
      </c>
      <c r="WOW1" s="154" t="str">
        <f t="shared" si="249"/>
        <v>y</v>
      </c>
      <c r="WOX1" s="154" t="str">
        <f t="shared" si="249"/>
        <v>y</v>
      </c>
      <c r="WOY1" s="154" t="str">
        <f t="shared" si="249"/>
        <v>y</v>
      </c>
      <c r="WOZ1" s="154" t="str">
        <f t="shared" si="249"/>
        <v>y</v>
      </c>
      <c r="WPA1" s="154" t="str">
        <f t="shared" si="249"/>
        <v>y</v>
      </c>
      <c r="WPB1" s="154" t="str">
        <f t="shared" si="249"/>
        <v>y</v>
      </c>
      <c r="WPC1" s="154" t="str">
        <f t="shared" si="249"/>
        <v>y</v>
      </c>
      <c r="WPD1" s="154" t="str">
        <f t="shared" si="249"/>
        <v>y</v>
      </c>
      <c r="WPE1" s="154" t="str">
        <f t="shared" si="249"/>
        <v>y</v>
      </c>
      <c r="WPF1" s="154" t="str">
        <f t="shared" si="249"/>
        <v>y</v>
      </c>
      <c r="WPG1" s="154" t="str">
        <f t="shared" si="249"/>
        <v>y</v>
      </c>
      <c r="WPH1" s="154" t="str">
        <f t="shared" si="249"/>
        <v>y</v>
      </c>
      <c r="WPI1" s="154" t="str">
        <f t="shared" si="249"/>
        <v>y</v>
      </c>
      <c r="WPJ1" s="154" t="str">
        <f t="shared" si="249"/>
        <v>y</v>
      </c>
      <c r="WPK1" s="154" t="str">
        <f t="shared" si="249"/>
        <v>y</v>
      </c>
      <c r="WPL1" s="154" t="str">
        <f t="shared" si="249"/>
        <v>y</v>
      </c>
      <c r="WPM1" s="154" t="str">
        <f t="shared" si="249"/>
        <v>y</v>
      </c>
      <c r="WPN1" s="154" t="str">
        <f t="shared" si="249"/>
        <v>y</v>
      </c>
      <c r="WPO1" s="154" t="str">
        <f t="shared" si="249"/>
        <v>y</v>
      </c>
      <c r="WPP1" s="154" t="str">
        <f t="shared" si="249"/>
        <v>y</v>
      </c>
      <c r="WPQ1" s="154" t="str">
        <f t="shared" si="249"/>
        <v>y</v>
      </c>
      <c r="WPR1" s="154" t="str">
        <f t="shared" si="249"/>
        <v>y</v>
      </c>
      <c r="WPS1" s="154" t="str">
        <f t="shared" si="249"/>
        <v>y</v>
      </c>
      <c r="WPT1" s="154" t="str">
        <f t="shared" si="249"/>
        <v>y</v>
      </c>
      <c r="WPU1" s="154" t="str">
        <f t="shared" si="249"/>
        <v>y</v>
      </c>
      <c r="WPV1" s="154" t="str">
        <f t="shared" si="249"/>
        <v>y</v>
      </c>
      <c r="WPW1" s="154" t="str">
        <f t="shared" si="249"/>
        <v>y</v>
      </c>
      <c r="WPX1" s="154" t="str">
        <f t="shared" si="249"/>
        <v>y</v>
      </c>
      <c r="WPY1" s="154" t="str">
        <f t="shared" si="249"/>
        <v>y</v>
      </c>
      <c r="WPZ1" s="154" t="str">
        <f t="shared" si="249"/>
        <v>y</v>
      </c>
      <c r="WQA1" s="154" t="str">
        <f t="shared" si="249"/>
        <v>y</v>
      </c>
      <c r="WQB1" s="154" t="str">
        <f t="shared" si="249"/>
        <v>y</v>
      </c>
      <c r="WQC1" s="154" t="str">
        <f t="shared" si="249"/>
        <v>y</v>
      </c>
      <c r="WQD1" s="154" t="str">
        <f t="shared" si="249"/>
        <v>y</v>
      </c>
      <c r="WQE1" s="154" t="str">
        <f t="shared" si="249"/>
        <v>y</v>
      </c>
      <c r="WQF1" s="154" t="str">
        <f t="shared" si="249"/>
        <v>y</v>
      </c>
      <c r="WQG1" s="154" t="str">
        <f t="shared" si="249"/>
        <v>y</v>
      </c>
      <c r="WQH1" s="154" t="str">
        <f t="shared" si="249"/>
        <v>y</v>
      </c>
      <c r="WQI1" s="154" t="str">
        <f t="shared" si="249"/>
        <v>y</v>
      </c>
      <c r="WQJ1" s="154" t="str">
        <f t="shared" si="249"/>
        <v>y</v>
      </c>
      <c r="WQK1" s="154" t="str">
        <f t="shared" si="249"/>
        <v>y</v>
      </c>
      <c r="WQL1" s="154" t="str">
        <f t="shared" si="249"/>
        <v>y</v>
      </c>
      <c r="WQM1" s="154" t="str">
        <f t="shared" si="249"/>
        <v>y</v>
      </c>
      <c r="WQN1" s="154" t="str">
        <f t="shared" ref="WQN1:WSY1" si="250">WQN2&amp;"y"</f>
        <v>y</v>
      </c>
      <c r="WQO1" s="154" t="str">
        <f t="shared" si="250"/>
        <v>y</v>
      </c>
      <c r="WQP1" s="154" t="str">
        <f t="shared" si="250"/>
        <v>y</v>
      </c>
      <c r="WQQ1" s="154" t="str">
        <f t="shared" si="250"/>
        <v>y</v>
      </c>
      <c r="WQR1" s="154" t="str">
        <f t="shared" si="250"/>
        <v>y</v>
      </c>
      <c r="WQS1" s="154" t="str">
        <f t="shared" si="250"/>
        <v>y</v>
      </c>
      <c r="WQT1" s="154" t="str">
        <f t="shared" si="250"/>
        <v>y</v>
      </c>
      <c r="WQU1" s="154" t="str">
        <f t="shared" si="250"/>
        <v>y</v>
      </c>
      <c r="WQV1" s="154" t="str">
        <f t="shared" si="250"/>
        <v>y</v>
      </c>
      <c r="WQW1" s="154" t="str">
        <f t="shared" si="250"/>
        <v>y</v>
      </c>
      <c r="WQX1" s="154" t="str">
        <f t="shared" si="250"/>
        <v>y</v>
      </c>
      <c r="WQY1" s="154" t="str">
        <f t="shared" si="250"/>
        <v>y</v>
      </c>
      <c r="WQZ1" s="154" t="str">
        <f t="shared" si="250"/>
        <v>y</v>
      </c>
      <c r="WRA1" s="154" t="str">
        <f t="shared" si="250"/>
        <v>y</v>
      </c>
      <c r="WRB1" s="154" t="str">
        <f t="shared" si="250"/>
        <v>y</v>
      </c>
      <c r="WRC1" s="154" t="str">
        <f t="shared" si="250"/>
        <v>y</v>
      </c>
      <c r="WRD1" s="154" t="str">
        <f t="shared" si="250"/>
        <v>y</v>
      </c>
      <c r="WRE1" s="154" t="str">
        <f t="shared" si="250"/>
        <v>y</v>
      </c>
      <c r="WRF1" s="154" t="str">
        <f t="shared" si="250"/>
        <v>y</v>
      </c>
      <c r="WRG1" s="154" t="str">
        <f t="shared" si="250"/>
        <v>y</v>
      </c>
      <c r="WRH1" s="154" t="str">
        <f t="shared" si="250"/>
        <v>y</v>
      </c>
      <c r="WRI1" s="154" t="str">
        <f t="shared" si="250"/>
        <v>y</v>
      </c>
      <c r="WRJ1" s="154" t="str">
        <f t="shared" si="250"/>
        <v>y</v>
      </c>
      <c r="WRK1" s="154" t="str">
        <f t="shared" si="250"/>
        <v>y</v>
      </c>
      <c r="WRL1" s="154" t="str">
        <f t="shared" si="250"/>
        <v>y</v>
      </c>
      <c r="WRM1" s="154" t="str">
        <f t="shared" si="250"/>
        <v>y</v>
      </c>
      <c r="WRN1" s="154" t="str">
        <f t="shared" si="250"/>
        <v>y</v>
      </c>
      <c r="WRO1" s="154" t="str">
        <f t="shared" si="250"/>
        <v>y</v>
      </c>
      <c r="WRP1" s="154" t="str">
        <f t="shared" si="250"/>
        <v>y</v>
      </c>
      <c r="WRQ1" s="154" t="str">
        <f t="shared" si="250"/>
        <v>y</v>
      </c>
      <c r="WRR1" s="154" t="str">
        <f t="shared" si="250"/>
        <v>y</v>
      </c>
      <c r="WRS1" s="154" t="str">
        <f t="shared" si="250"/>
        <v>y</v>
      </c>
      <c r="WRT1" s="154" t="str">
        <f t="shared" si="250"/>
        <v>y</v>
      </c>
      <c r="WRU1" s="154" t="str">
        <f t="shared" si="250"/>
        <v>y</v>
      </c>
      <c r="WRV1" s="154" t="str">
        <f t="shared" si="250"/>
        <v>y</v>
      </c>
      <c r="WRW1" s="154" t="str">
        <f t="shared" si="250"/>
        <v>y</v>
      </c>
      <c r="WRX1" s="154" t="str">
        <f t="shared" si="250"/>
        <v>y</v>
      </c>
      <c r="WRY1" s="154" t="str">
        <f t="shared" si="250"/>
        <v>y</v>
      </c>
      <c r="WRZ1" s="154" t="str">
        <f t="shared" si="250"/>
        <v>y</v>
      </c>
      <c r="WSA1" s="154" t="str">
        <f t="shared" si="250"/>
        <v>y</v>
      </c>
      <c r="WSB1" s="154" t="str">
        <f t="shared" si="250"/>
        <v>y</v>
      </c>
      <c r="WSC1" s="154" t="str">
        <f t="shared" si="250"/>
        <v>y</v>
      </c>
      <c r="WSD1" s="154" t="str">
        <f t="shared" si="250"/>
        <v>y</v>
      </c>
      <c r="WSE1" s="154" t="str">
        <f t="shared" si="250"/>
        <v>y</v>
      </c>
      <c r="WSF1" s="154" t="str">
        <f t="shared" si="250"/>
        <v>y</v>
      </c>
      <c r="WSG1" s="154" t="str">
        <f t="shared" si="250"/>
        <v>y</v>
      </c>
      <c r="WSH1" s="154" t="str">
        <f t="shared" si="250"/>
        <v>y</v>
      </c>
      <c r="WSI1" s="154" t="str">
        <f t="shared" si="250"/>
        <v>y</v>
      </c>
      <c r="WSJ1" s="154" t="str">
        <f t="shared" si="250"/>
        <v>y</v>
      </c>
      <c r="WSK1" s="154" t="str">
        <f t="shared" si="250"/>
        <v>y</v>
      </c>
      <c r="WSL1" s="154" t="str">
        <f t="shared" si="250"/>
        <v>y</v>
      </c>
      <c r="WSM1" s="154" t="str">
        <f t="shared" si="250"/>
        <v>y</v>
      </c>
      <c r="WSN1" s="154" t="str">
        <f t="shared" si="250"/>
        <v>y</v>
      </c>
      <c r="WSO1" s="154" t="str">
        <f t="shared" si="250"/>
        <v>y</v>
      </c>
      <c r="WSP1" s="154" t="str">
        <f t="shared" si="250"/>
        <v>y</v>
      </c>
      <c r="WSQ1" s="154" t="str">
        <f t="shared" si="250"/>
        <v>y</v>
      </c>
      <c r="WSR1" s="154" t="str">
        <f t="shared" si="250"/>
        <v>y</v>
      </c>
      <c r="WSS1" s="154" t="str">
        <f t="shared" si="250"/>
        <v>y</v>
      </c>
      <c r="WST1" s="154" t="str">
        <f t="shared" si="250"/>
        <v>y</v>
      </c>
      <c r="WSU1" s="154" t="str">
        <f t="shared" si="250"/>
        <v>y</v>
      </c>
      <c r="WSV1" s="154" t="str">
        <f t="shared" si="250"/>
        <v>y</v>
      </c>
      <c r="WSW1" s="154" t="str">
        <f t="shared" si="250"/>
        <v>y</v>
      </c>
      <c r="WSX1" s="154" t="str">
        <f t="shared" si="250"/>
        <v>y</v>
      </c>
      <c r="WSY1" s="154" t="str">
        <f t="shared" si="250"/>
        <v>y</v>
      </c>
      <c r="WSZ1" s="154" t="str">
        <f t="shared" ref="WSZ1:WVK1" si="251">WSZ2&amp;"y"</f>
        <v>y</v>
      </c>
      <c r="WTA1" s="154" t="str">
        <f t="shared" si="251"/>
        <v>y</v>
      </c>
      <c r="WTB1" s="154" t="str">
        <f t="shared" si="251"/>
        <v>y</v>
      </c>
      <c r="WTC1" s="154" t="str">
        <f t="shared" si="251"/>
        <v>y</v>
      </c>
      <c r="WTD1" s="154" t="str">
        <f t="shared" si="251"/>
        <v>y</v>
      </c>
      <c r="WTE1" s="154" t="str">
        <f t="shared" si="251"/>
        <v>y</v>
      </c>
      <c r="WTF1" s="154" t="str">
        <f t="shared" si="251"/>
        <v>y</v>
      </c>
      <c r="WTG1" s="154" t="str">
        <f t="shared" si="251"/>
        <v>y</v>
      </c>
      <c r="WTH1" s="154" t="str">
        <f t="shared" si="251"/>
        <v>y</v>
      </c>
      <c r="WTI1" s="154" t="str">
        <f t="shared" si="251"/>
        <v>y</v>
      </c>
      <c r="WTJ1" s="154" t="str">
        <f t="shared" si="251"/>
        <v>y</v>
      </c>
      <c r="WTK1" s="154" t="str">
        <f t="shared" si="251"/>
        <v>y</v>
      </c>
      <c r="WTL1" s="154" t="str">
        <f t="shared" si="251"/>
        <v>y</v>
      </c>
      <c r="WTM1" s="154" t="str">
        <f t="shared" si="251"/>
        <v>y</v>
      </c>
      <c r="WTN1" s="154" t="str">
        <f t="shared" si="251"/>
        <v>y</v>
      </c>
      <c r="WTO1" s="154" t="str">
        <f t="shared" si="251"/>
        <v>y</v>
      </c>
      <c r="WTP1" s="154" t="str">
        <f t="shared" si="251"/>
        <v>y</v>
      </c>
      <c r="WTQ1" s="154" t="str">
        <f t="shared" si="251"/>
        <v>y</v>
      </c>
      <c r="WTR1" s="154" t="str">
        <f t="shared" si="251"/>
        <v>y</v>
      </c>
      <c r="WTS1" s="154" t="str">
        <f t="shared" si="251"/>
        <v>y</v>
      </c>
      <c r="WTT1" s="154" t="str">
        <f t="shared" si="251"/>
        <v>y</v>
      </c>
      <c r="WTU1" s="154" t="str">
        <f t="shared" si="251"/>
        <v>y</v>
      </c>
      <c r="WTV1" s="154" t="str">
        <f t="shared" si="251"/>
        <v>y</v>
      </c>
      <c r="WTW1" s="154" t="str">
        <f t="shared" si="251"/>
        <v>y</v>
      </c>
      <c r="WTX1" s="154" t="str">
        <f t="shared" si="251"/>
        <v>y</v>
      </c>
      <c r="WTY1" s="154" t="str">
        <f t="shared" si="251"/>
        <v>y</v>
      </c>
      <c r="WTZ1" s="154" t="str">
        <f t="shared" si="251"/>
        <v>y</v>
      </c>
      <c r="WUA1" s="154" t="str">
        <f t="shared" si="251"/>
        <v>y</v>
      </c>
      <c r="WUB1" s="154" t="str">
        <f t="shared" si="251"/>
        <v>y</v>
      </c>
      <c r="WUC1" s="154" t="str">
        <f t="shared" si="251"/>
        <v>y</v>
      </c>
      <c r="WUD1" s="154" t="str">
        <f t="shared" si="251"/>
        <v>y</v>
      </c>
      <c r="WUE1" s="154" t="str">
        <f t="shared" si="251"/>
        <v>y</v>
      </c>
      <c r="WUF1" s="154" t="str">
        <f t="shared" si="251"/>
        <v>y</v>
      </c>
      <c r="WUG1" s="154" t="str">
        <f t="shared" si="251"/>
        <v>y</v>
      </c>
      <c r="WUH1" s="154" t="str">
        <f t="shared" si="251"/>
        <v>y</v>
      </c>
      <c r="WUI1" s="154" t="str">
        <f t="shared" si="251"/>
        <v>y</v>
      </c>
      <c r="WUJ1" s="154" t="str">
        <f t="shared" si="251"/>
        <v>y</v>
      </c>
      <c r="WUK1" s="154" t="str">
        <f t="shared" si="251"/>
        <v>y</v>
      </c>
      <c r="WUL1" s="154" t="str">
        <f t="shared" si="251"/>
        <v>y</v>
      </c>
      <c r="WUM1" s="154" t="str">
        <f t="shared" si="251"/>
        <v>y</v>
      </c>
      <c r="WUN1" s="154" t="str">
        <f t="shared" si="251"/>
        <v>y</v>
      </c>
      <c r="WUO1" s="154" t="str">
        <f t="shared" si="251"/>
        <v>y</v>
      </c>
      <c r="WUP1" s="154" t="str">
        <f t="shared" si="251"/>
        <v>y</v>
      </c>
      <c r="WUQ1" s="154" t="str">
        <f t="shared" si="251"/>
        <v>y</v>
      </c>
      <c r="WUR1" s="154" t="str">
        <f t="shared" si="251"/>
        <v>y</v>
      </c>
      <c r="WUS1" s="154" t="str">
        <f t="shared" si="251"/>
        <v>y</v>
      </c>
      <c r="WUT1" s="154" t="str">
        <f t="shared" si="251"/>
        <v>y</v>
      </c>
      <c r="WUU1" s="154" t="str">
        <f t="shared" si="251"/>
        <v>y</v>
      </c>
      <c r="WUV1" s="154" t="str">
        <f t="shared" si="251"/>
        <v>y</v>
      </c>
      <c r="WUW1" s="154" t="str">
        <f t="shared" si="251"/>
        <v>y</v>
      </c>
      <c r="WUX1" s="154" t="str">
        <f t="shared" si="251"/>
        <v>y</v>
      </c>
      <c r="WUY1" s="154" t="str">
        <f t="shared" si="251"/>
        <v>y</v>
      </c>
      <c r="WUZ1" s="154" t="str">
        <f t="shared" si="251"/>
        <v>y</v>
      </c>
      <c r="WVA1" s="154" t="str">
        <f t="shared" si="251"/>
        <v>y</v>
      </c>
      <c r="WVB1" s="154" t="str">
        <f t="shared" si="251"/>
        <v>y</v>
      </c>
      <c r="WVC1" s="154" t="str">
        <f t="shared" si="251"/>
        <v>y</v>
      </c>
      <c r="WVD1" s="154" t="str">
        <f t="shared" si="251"/>
        <v>y</v>
      </c>
      <c r="WVE1" s="154" t="str">
        <f t="shared" si="251"/>
        <v>y</v>
      </c>
      <c r="WVF1" s="154" t="str">
        <f t="shared" si="251"/>
        <v>y</v>
      </c>
      <c r="WVG1" s="154" t="str">
        <f t="shared" si="251"/>
        <v>y</v>
      </c>
      <c r="WVH1" s="154" t="str">
        <f t="shared" si="251"/>
        <v>y</v>
      </c>
      <c r="WVI1" s="154" t="str">
        <f t="shared" si="251"/>
        <v>y</v>
      </c>
      <c r="WVJ1" s="154" t="str">
        <f t="shared" si="251"/>
        <v>y</v>
      </c>
      <c r="WVK1" s="154" t="str">
        <f t="shared" si="251"/>
        <v>y</v>
      </c>
      <c r="WVL1" s="154" t="str">
        <f t="shared" ref="WVL1:WXW1" si="252">WVL2&amp;"y"</f>
        <v>y</v>
      </c>
      <c r="WVM1" s="154" t="str">
        <f t="shared" si="252"/>
        <v>y</v>
      </c>
      <c r="WVN1" s="154" t="str">
        <f t="shared" si="252"/>
        <v>y</v>
      </c>
      <c r="WVO1" s="154" t="str">
        <f t="shared" si="252"/>
        <v>y</v>
      </c>
      <c r="WVP1" s="154" t="str">
        <f t="shared" si="252"/>
        <v>y</v>
      </c>
      <c r="WVQ1" s="154" t="str">
        <f t="shared" si="252"/>
        <v>y</v>
      </c>
      <c r="WVR1" s="154" t="str">
        <f t="shared" si="252"/>
        <v>y</v>
      </c>
      <c r="WVS1" s="154" t="str">
        <f t="shared" si="252"/>
        <v>y</v>
      </c>
      <c r="WVT1" s="154" t="str">
        <f t="shared" si="252"/>
        <v>y</v>
      </c>
      <c r="WVU1" s="154" t="str">
        <f t="shared" si="252"/>
        <v>y</v>
      </c>
      <c r="WVV1" s="154" t="str">
        <f t="shared" si="252"/>
        <v>y</v>
      </c>
      <c r="WVW1" s="154" t="str">
        <f t="shared" si="252"/>
        <v>y</v>
      </c>
      <c r="WVX1" s="154" t="str">
        <f t="shared" si="252"/>
        <v>y</v>
      </c>
      <c r="WVY1" s="154" t="str">
        <f t="shared" si="252"/>
        <v>y</v>
      </c>
      <c r="WVZ1" s="154" t="str">
        <f t="shared" si="252"/>
        <v>y</v>
      </c>
      <c r="WWA1" s="154" t="str">
        <f t="shared" si="252"/>
        <v>y</v>
      </c>
      <c r="WWB1" s="154" t="str">
        <f t="shared" si="252"/>
        <v>y</v>
      </c>
      <c r="WWC1" s="154" t="str">
        <f t="shared" si="252"/>
        <v>y</v>
      </c>
      <c r="WWD1" s="154" t="str">
        <f t="shared" si="252"/>
        <v>y</v>
      </c>
      <c r="WWE1" s="154" t="str">
        <f t="shared" si="252"/>
        <v>y</v>
      </c>
      <c r="WWF1" s="154" t="str">
        <f t="shared" si="252"/>
        <v>y</v>
      </c>
      <c r="WWG1" s="154" t="str">
        <f t="shared" si="252"/>
        <v>y</v>
      </c>
      <c r="WWH1" s="154" t="str">
        <f t="shared" si="252"/>
        <v>y</v>
      </c>
      <c r="WWI1" s="154" t="str">
        <f t="shared" si="252"/>
        <v>y</v>
      </c>
      <c r="WWJ1" s="154" t="str">
        <f t="shared" si="252"/>
        <v>y</v>
      </c>
      <c r="WWK1" s="154" t="str">
        <f t="shared" si="252"/>
        <v>y</v>
      </c>
      <c r="WWL1" s="154" t="str">
        <f t="shared" si="252"/>
        <v>y</v>
      </c>
      <c r="WWM1" s="154" t="str">
        <f t="shared" si="252"/>
        <v>y</v>
      </c>
      <c r="WWN1" s="154" t="str">
        <f t="shared" si="252"/>
        <v>y</v>
      </c>
      <c r="WWO1" s="154" t="str">
        <f t="shared" si="252"/>
        <v>y</v>
      </c>
      <c r="WWP1" s="154" t="str">
        <f t="shared" si="252"/>
        <v>y</v>
      </c>
      <c r="WWQ1" s="154" t="str">
        <f t="shared" si="252"/>
        <v>y</v>
      </c>
      <c r="WWR1" s="154" t="str">
        <f t="shared" si="252"/>
        <v>y</v>
      </c>
      <c r="WWS1" s="154" t="str">
        <f t="shared" si="252"/>
        <v>y</v>
      </c>
      <c r="WWT1" s="154" t="str">
        <f t="shared" si="252"/>
        <v>y</v>
      </c>
      <c r="WWU1" s="154" t="str">
        <f t="shared" si="252"/>
        <v>y</v>
      </c>
      <c r="WWV1" s="154" t="str">
        <f t="shared" si="252"/>
        <v>y</v>
      </c>
      <c r="WWW1" s="154" t="str">
        <f t="shared" si="252"/>
        <v>y</v>
      </c>
      <c r="WWX1" s="154" t="str">
        <f t="shared" si="252"/>
        <v>y</v>
      </c>
      <c r="WWY1" s="154" t="str">
        <f t="shared" si="252"/>
        <v>y</v>
      </c>
      <c r="WWZ1" s="154" t="str">
        <f t="shared" si="252"/>
        <v>y</v>
      </c>
      <c r="WXA1" s="154" t="str">
        <f t="shared" si="252"/>
        <v>y</v>
      </c>
      <c r="WXB1" s="154" t="str">
        <f t="shared" si="252"/>
        <v>y</v>
      </c>
      <c r="WXC1" s="154" t="str">
        <f t="shared" si="252"/>
        <v>y</v>
      </c>
      <c r="WXD1" s="154" t="str">
        <f t="shared" si="252"/>
        <v>y</v>
      </c>
      <c r="WXE1" s="154" t="str">
        <f t="shared" si="252"/>
        <v>y</v>
      </c>
      <c r="WXF1" s="154" t="str">
        <f t="shared" si="252"/>
        <v>y</v>
      </c>
      <c r="WXG1" s="154" t="str">
        <f t="shared" si="252"/>
        <v>y</v>
      </c>
      <c r="WXH1" s="154" t="str">
        <f t="shared" si="252"/>
        <v>y</v>
      </c>
      <c r="WXI1" s="154" t="str">
        <f t="shared" si="252"/>
        <v>y</v>
      </c>
      <c r="WXJ1" s="154" t="str">
        <f t="shared" si="252"/>
        <v>y</v>
      </c>
      <c r="WXK1" s="154" t="str">
        <f t="shared" si="252"/>
        <v>y</v>
      </c>
      <c r="WXL1" s="154" t="str">
        <f t="shared" si="252"/>
        <v>y</v>
      </c>
      <c r="WXM1" s="154" t="str">
        <f t="shared" si="252"/>
        <v>y</v>
      </c>
      <c r="WXN1" s="154" t="str">
        <f t="shared" si="252"/>
        <v>y</v>
      </c>
      <c r="WXO1" s="154" t="str">
        <f t="shared" si="252"/>
        <v>y</v>
      </c>
      <c r="WXP1" s="154" t="str">
        <f t="shared" si="252"/>
        <v>y</v>
      </c>
      <c r="WXQ1" s="154" t="str">
        <f t="shared" si="252"/>
        <v>y</v>
      </c>
      <c r="WXR1" s="154" t="str">
        <f t="shared" si="252"/>
        <v>y</v>
      </c>
      <c r="WXS1" s="154" t="str">
        <f t="shared" si="252"/>
        <v>y</v>
      </c>
      <c r="WXT1" s="154" t="str">
        <f t="shared" si="252"/>
        <v>y</v>
      </c>
      <c r="WXU1" s="154" t="str">
        <f t="shared" si="252"/>
        <v>y</v>
      </c>
      <c r="WXV1" s="154" t="str">
        <f t="shared" si="252"/>
        <v>y</v>
      </c>
      <c r="WXW1" s="154" t="str">
        <f t="shared" si="252"/>
        <v>y</v>
      </c>
      <c r="WXX1" s="154" t="str">
        <f t="shared" ref="WXX1:XAI1" si="253">WXX2&amp;"y"</f>
        <v>y</v>
      </c>
      <c r="WXY1" s="154" t="str">
        <f t="shared" si="253"/>
        <v>y</v>
      </c>
      <c r="WXZ1" s="154" t="str">
        <f t="shared" si="253"/>
        <v>y</v>
      </c>
      <c r="WYA1" s="154" t="str">
        <f t="shared" si="253"/>
        <v>y</v>
      </c>
      <c r="WYB1" s="154" t="str">
        <f t="shared" si="253"/>
        <v>y</v>
      </c>
      <c r="WYC1" s="154" t="str">
        <f t="shared" si="253"/>
        <v>y</v>
      </c>
      <c r="WYD1" s="154" t="str">
        <f t="shared" si="253"/>
        <v>y</v>
      </c>
      <c r="WYE1" s="154" t="str">
        <f t="shared" si="253"/>
        <v>y</v>
      </c>
      <c r="WYF1" s="154" t="str">
        <f t="shared" si="253"/>
        <v>y</v>
      </c>
      <c r="WYG1" s="154" t="str">
        <f t="shared" si="253"/>
        <v>y</v>
      </c>
      <c r="WYH1" s="154" t="str">
        <f t="shared" si="253"/>
        <v>y</v>
      </c>
      <c r="WYI1" s="154" t="str">
        <f t="shared" si="253"/>
        <v>y</v>
      </c>
      <c r="WYJ1" s="154" t="str">
        <f t="shared" si="253"/>
        <v>y</v>
      </c>
      <c r="WYK1" s="154" t="str">
        <f t="shared" si="253"/>
        <v>y</v>
      </c>
      <c r="WYL1" s="154" t="str">
        <f t="shared" si="253"/>
        <v>y</v>
      </c>
      <c r="WYM1" s="154" t="str">
        <f t="shared" si="253"/>
        <v>y</v>
      </c>
      <c r="WYN1" s="154" t="str">
        <f t="shared" si="253"/>
        <v>y</v>
      </c>
      <c r="WYO1" s="154" t="str">
        <f t="shared" si="253"/>
        <v>y</v>
      </c>
      <c r="WYP1" s="154" t="str">
        <f t="shared" si="253"/>
        <v>y</v>
      </c>
      <c r="WYQ1" s="154" t="str">
        <f t="shared" si="253"/>
        <v>y</v>
      </c>
      <c r="WYR1" s="154" t="str">
        <f t="shared" si="253"/>
        <v>y</v>
      </c>
      <c r="WYS1" s="154" t="str">
        <f t="shared" si="253"/>
        <v>y</v>
      </c>
      <c r="WYT1" s="154" t="str">
        <f t="shared" si="253"/>
        <v>y</v>
      </c>
      <c r="WYU1" s="154" t="str">
        <f t="shared" si="253"/>
        <v>y</v>
      </c>
      <c r="WYV1" s="154" t="str">
        <f t="shared" si="253"/>
        <v>y</v>
      </c>
      <c r="WYW1" s="154" t="str">
        <f t="shared" si="253"/>
        <v>y</v>
      </c>
      <c r="WYX1" s="154" t="str">
        <f t="shared" si="253"/>
        <v>y</v>
      </c>
      <c r="WYY1" s="154" t="str">
        <f t="shared" si="253"/>
        <v>y</v>
      </c>
      <c r="WYZ1" s="154" t="str">
        <f t="shared" si="253"/>
        <v>y</v>
      </c>
      <c r="WZA1" s="154" t="str">
        <f t="shared" si="253"/>
        <v>y</v>
      </c>
      <c r="WZB1" s="154" t="str">
        <f t="shared" si="253"/>
        <v>y</v>
      </c>
      <c r="WZC1" s="154" t="str">
        <f t="shared" si="253"/>
        <v>y</v>
      </c>
      <c r="WZD1" s="154" t="str">
        <f t="shared" si="253"/>
        <v>y</v>
      </c>
      <c r="WZE1" s="154" t="str">
        <f t="shared" si="253"/>
        <v>y</v>
      </c>
      <c r="WZF1" s="154" t="str">
        <f t="shared" si="253"/>
        <v>y</v>
      </c>
      <c r="WZG1" s="154" t="str">
        <f t="shared" si="253"/>
        <v>y</v>
      </c>
      <c r="WZH1" s="154" t="str">
        <f t="shared" si="253"/>
        <v>y</v>
      </c>
      <c r="WZI1" s="154" t="str">
        <f t="shared" si="253"/>
        <v>y</v>
      </c>
      <c r="WZJ1" s="154" t="str">
        <f t="shared" si="253"/>
        <v>y</v>
      </c>
      <c r="WZK1" s="154" t="str">
        <f t="shared" si="253"/>
        <v>y</v>
      </c>
      <c r="WZL1" s="154" t="str">
        <f t="shared" si="253"/>
        <v>y</v>
      </c>
      <c r="WZM1" s="154" t="str">
        <f t="shared" si="253"/>
        <v>y</v>
      </c>
      <c r="WZN1" s="154" t="str">
        <f t="shared" si="253"/>
        <v>y</v>
      </c>
      <c r="WZO1" s="154" t="str">
        <f t="shared" si="253"/>
        <v>y</v>
      </c>
      <c r="WZP1" s="154" t="str">
        <f t="shared" si="253"/>
        <v>y</v>
      </c>
      <c r="WZQ1" s="154" t="str">
        <f t="shared" si="253"/>
        <v>y</v>
      </c>
      <c r="WZR1" s="154" t="str">
        <f t="shared" si="253"/>
        <v>y</v>
      </c>
      <c r="WZS1" s="154" t="str">
        <f t="shared" si="253"/>
        <v>y</v>
      </c>
      <c r="WZT1" s="154" t="str">
        <f t="shared" si="253"/>
        <v>y</v>
      </c>
      <c r="WZU1" s="154" t="str">
        <f t="shared" si="253"/>
        <v>y</v>
      </c>
      <c r="WZV1" s="154" t="str">
        <f t="shared" si="253"/>
        <v>y</v>
      </c>
      <c r="WZW1" s="154" t="str">
        <f t="shared" si="253"/>
        <v>y</v>
      </c>
      <c r="WZX1" s="154" t="str">
        <f t="shared" si="253"/>
        <v>y</v>
      </c>
      <c r="WZY1" s="154" t="str">
        <f t="shared" si="253"/>
        <v>y</v>
      </c>
      <c r="WZZ1" s="154" t="str">
        <f t="shared" si="253"/>
        <v>y</v>
      </c>
      <c r="XAA1" s="154" t="str">
        <f t="shared" si="253"/>
        <v>y</v>
      </c>
      <c r="XAB1" s="154" t="str">
        <f t="shared" si="253"/>
        <v>y</v>
      </c>
      <c r="XAC1" s="154" t="str">
        <f t="shared" si="253"/>
        <v>y</v>
      </c>
      <c r="XAD1" s="154" t="str">
        <f t="shared" si="253"/>
        <v>y</v>
      </c>
      <c r="XAE1" s="154" t="str">
        <f t="shared" si="253"/>
        <v>y</v>
      </c>
      <c r="XAF1" s="154" t="str">
        <f t="shared" si="253"/>
        <v>y</v>
      </c>
      <c r="XAG1" s="154" t="str">
        <f t="shared" si="253"/>
        <v>y</v>
      </c>
      <c r="XAH1" s="154" t="str">
        <f t="shared" si="253"/>
        <v>y</v>
      </c>
      <c r="XAI1" s="154" t="str">
        <f t="shared" si="253"/>
        <v>y</v>
      </c>
      <c r="XAJ1" s="154" t="str">
        <f t="shared" ref="XAJ1:XCU1" si="254">XAJ2&amp;"y"</f>
        <v>y</v>
      </c>
      <c r="XAK1" s="154" t="str">
        <f t="shared" si="254"/>
        <v>y</v>
      </c>
      <c r="XAL1" s="154" t="str">
        <f t="shared" si="254"/>
        <v>y</v>
      </c>
      <c r="XAM1" s="154" t="str">
        <f t="shared" si="254"/>
        <v>y</v>
      </c>
      <c r="XAN1" s="154" t="str">
        <f t="shared" si="254"/>
        <v>y</v>
      </c>
      <c r="XAO1" s="154" t="str">
        <f t="shared" si="254"/>
        <v>y</v>
      </c>
      <c r="XAP1" s="154" t="str">
        <f t="shared" si="254"/>
        <v>y</v>
      </c>
      <c r="XAQ1" s="154" t="str">
        <f t="shared" si="254"/>
        <v>y</v>
      </c>
      <c r="XAR1" s="154" t="str">
        <f t="shared" si="254"/>
        <v>y</v>
      </c>
      <c r="XAS1" s="154" t="str">
        <f t="shared" si="254"/>
        <v>y</v>
      </c>
      <c r="XAT1" s="154" t="str">
        <f t="shared" si="254"/>
        <v>y</v>
      </c>
      <c r="XAU1" s="154" t="str">
        <f t="shared" si="254"/>
        <v>y</v>
      </c>
      <c r="XAV1" s="154" t="str">
        <f t="shared" si="254"/>
        <v>y</v>
      </c>
      <c r="XAW1" s="154" t="str">
        <f t="shared" si="254"/>
        <v>y</v>
      </c>
      <c r="XAX1" s="154" t="str">
        <f t="shared" si="254"/>
        <v>y</v>
      </c>
      <c r="XAY1" s="154" t="str">
        <f t="shared" si="254"/>
        <v>y</v>
      </c>
      <c r="XAZ1" s="154" t="str">
        <f t="shared" si="254"/>
        <v>y</v>
      </c>
      <c r="XBA1" s="154" t="str">
        <f t="shared" si="254"/>
        <v>y</v>
      </c>
      <c r="XBB1" s="154" t="str">
        <f t="shared" si="254"/>
        <v>y</v>
      </c>
      <c r="XBC1" s="154" t="str">
        <f t="shared" si="254"/>
        <v>y</v>
      </c>
      <c r="XBD1" s="154" t="str">
        <f t="shared" si="254"/>
        <v>y</v>
      </c>
      <c r="XBE1" s="154" t="str">
        <f t="shared" si="254"/>
        <v>y</v>
      </c>
      <c r="XBF1" s="154" t="str">
        <f t="shared" si="254"/>
        <v>y</v>
      </c>
      <c r="XBG1" s="154" t="str">
        <f t="shared" si="254"/>
        <v>y</v>
      </c>
      <c r="XBH1" s="154" t="str">
        <f t="shared" si="254"/>
        <v>y</v>
      </c>
      <c r="XBI1" s="154" t="str">
        <f t="shared" si="254"/>
        <v>y</v>
      </c>
      <c r="XBJ1" s="154" t="str">
        <f t="shared" si="254"/>
        <v>y</v>
      </c>
      <c r="XBK1" s="154" t="str">
        <f t="shared" si="254"/>
        <v>y</v>
      </c>
      <c r="XBL1" s="154" t="str">
        <f t="shared" si="254"/>
        <v>y</v>
      </c>
      <c r="XBM1" s="154" t="str">
        <f t="shared" si="254"/>
        <v>y</v>
      </c>
      <c r="XBN1" s="154" t="str">
        <f t="shared" si="254"/>
        <v>y</v>
      </c>
      <c r="XBO1" s="154" t="str">
        <f t="shared" si="254"/>
        <v>y</v>
      </c>
      <c r="XBP1" s="154" t="str">
        <f t="shared" si="254"/>
        <v>y</v>
      </c>
      <c r="XBQ1" s="154" t="str">
        <f t="shared" si="254"/>
        <v>y</v>
      </c>
      <c r="XBR1" s="154" t="str">
        <f t="shared" si="254"/>
        <v>y</v>
      </c>
      <c r="XBS1" s="154" t="str">
        <f t="shared" si="254"/>
        <v>y</v>
      </c>
      <c r="XBT1" s="154" t="str">
        <f t="shared" si="254"/>
        <v>y</v>
      </c>
      <c r="XBU1" s="154" t="str">
        <f t="shared" si="254"/>
        <v>y</v>
      </c>
      <c r="XBV1" s="154" t="str">
        <f t="shared" si="254"/>
        <v>y</v>
      </c>
      <c r="XBW1" s="154" t="str">
        <f t="shared" si="254"/>
        <v>y</v>
      </c>
      <c r="XBX1" s="154" t="str">
        <f t="shared" si="254"/>
        <v>y</v>
      </c>
      <c r="XBY1" s="154" t="str">
        <f t="shared" si="254"/>
        <v>y</v>
      </c>
      <c r="XBZ1" s="154" t="str">
        <f t="shared" si="254"/>
        <v>y</v>
      </c>
      <c r="XCA1" s="154" t="str">
        <f t="shared" si="254"/>
        <v>y</v>
      </c>
      <c r="XCB1" s="154" t="str">
        <f t="shared" si="254"/>
        <v>y</v>
      </c>
      <c r="XCC1" s="154" t="str">
        <f t="shared" si="254"/>
        <v>y</v>
      </c>
      <c r="XCD1" s="154" t="str">
        <f t="shared" si="254"/>
        <v>y</v>
      </c>
      <c r="XCE1" s="154" t="str">
        <f t="shared" si="254"/>
        <v>y</v>
      </c>
      <c r="XCF1" s="154" t="str">
        <f t="shared" si="254"/>
        <v>y</v>
      </c>
      <c r="XCG1" s="154" t="str">
        <f t="shared" si="254"/>
        <v>y</v>
      </c>
      <c r="XCH1" s="154" t="str">
        <f t="shared" si="254"/>
        <v>y</v>
      </c>
      <c r="XCI1" s="154" t="str">
        <f t="shared" si="254"/>
        <v>y</v>
      </c>
      <c r="XCJ1" s="154" t="str">
        <f t="shared" si="254"/>
        <v>y</v>
      </c>
      <c r="XCK1" s="154" t="str">
        <f t="shared" si="254"/>
        <v>y</v>
      </c>
      <c r="XCL1" s="154" t="str">
        <f t="shared" si="254"/>
        <v>y</v>
      </c>
      <c r="XCM1" s="154" t="str">
        <f t="shared" si="254"/>
        <v>y</v>
      </c>
      <c r="XCN1" s="154" t="str">
        <f t="shared" si="254"/>
        <v>y</v>
      </c>
      <c r="XCO1" s="154" t="str">
        <f t="shared" si="254"/>
        <v>y</v>
      </c>
      <c r="XCP1" s="154" t="str">
        <f t="shared" si="254"/>
        <v>y</v>
      </c>
      <c r="XCQ1" s="154" t="str">
        <f t="shared" si="254"/>
        <v>y</v>
      </c>
      <c r="XCR1" s="154" t="str">
        <f t="shared" si="254"/>
        <v>y</v>
      </c>
      <c r="XCS1" s="154" t="str">
        <f t="shared" si="254"/>
        <v>y</v>
      </c>
      <c r="XCT1" s="154" t="str">
        <f t="shared" si="254"/>
        <v>y</v>
      </c>
      <c r="XCU1" s="154" t="str">
        <f t="shared" si="254"/>
        <v>y</v>
      </c>
      <c r="XCV1" s="154" t="str">
        <f t="shared" ref="XCV1:XFD1" si="255">XCV2&amp;"y"</f>
        <v>y</v>
      </c>
      <c r="XCW1" s="154" t="str">
        <f t="shared" si="255"/>
        <v>y</v>
      </c>
      <c r="XCX1" s="154" t="str">
        <f t="shared" si="255"/>
        <v>y</v>
      </c>
      <c r="XCY1" s="154" t="str">
        <f t="shared" si="255"/>
        <v>y</v>
      </c>
      <c r="XCZ1" s="154" t="str">
        <f t="shared" si="255"/>
        <v>y</v>
      </c>
      <c r="XDA1" s="154" t="str">
        <f t="shared" si="255"/>
        <v>y</v>
      </c>
      <c r="XDB1" s="154" t="str">
        <f t="shared" si="255"/>
        <v>y</v>
      </c>
      <c r="XDC1" s="154" t="str">
        <f t="shared" si="255"/>
        <v>y</v>
      </c>
      <c r="XDD1" s="154" t="str">
        <f t="shared" si="255"/>
        <v>y</v>
      </c>
      <c r="XDE1" s="154" t="str">
        <f t="shared" si="255"/>
        <v>y</v>
      </c>
      <c r="XDF1" s="154" t="str">
        <f t="shared" si="255"/>
        <v>y</v>
      </c>
      <c r="XDG1" s="154" t="str">
        <f t="shared" si="255"/>
        <v>y</v>
      </c>
      <c r="XDH1" s="154" t="str">
        <f t="shared" si="255"/>
        <v>y</v>
      </c>
      <c r="XDI1" s="154" t="str">
        <f t="shared" si="255"/>
        <v>y</v>
      </c>
      <c r="XDJ1" s="154" t="str">
        <f t="shared" si="255"/>
        <v>y</v>
      </c>
      <c r="XDK1" s="154" t="str">
        <f t="shared" si="255"/>
        <v>y</v>
      </c>
      <c r="XDL1" s="154" t="str">
        <f t="shared" si="255"/>
        <v>y</v>
      </c>
      <c r="XDM1" s="154" t="str">
        <f t="shared" si="255"/>
        <v>y</v>
      </c>
      <c r="XDN1" s="154" t="str">
        <f t="shared" si="255"/>
        <v>y</v>
      </c>
      <c r="XDO1" s="154" t="str">
        <f t="shared" si="255"/>
        <v>y</v>
      </c>
      <c r="XDP1" s="154" t="str">
        <f t="shared" si="255"/>
        <v>y</v>
      </c>
      <c r="XDQ1" s="154" t="str">
        <f t="shared" si="255"/>
        <v>y</v>
      </c>
      <c r="XDR1" s="154" t="str">
        <f t="shared" si="255"/>
        <v>y</v>
      </c>
      <c r="XDS1" s="154" t="str">
        <f t="shared" si="255"/>
        <v>y</v>
      </c>
      <c r="XDT1" s="154" t="str">
        <f t="shared" si="255"/>
        <v>y</v>
      </c>
      <c r="XDU1" s="154" t="str">
        <f t="shared" si="255"/>
        <v>y</v>
      </c>
      <c r="XDV1" s="154" t="str">
        <f t="shared" si="255"/>
        <v>y</v>
      </c>
      <c r="XDW1" s="154" t="str">
        <f t="shared" si="255"/>
        <v>y</v>
      </c>
      <c r="XDX1" s="154" t="str">
        <f t="shared" si="255"/>
        <v>y</v>
      </c>
      <c r="XDY1" s="154" t="str">
        <f t="shared" si="255"/>
        <v>y</v>
      </c>
      <c r="XDZ1" s="154" t="str">
        <f t="shared" si="255"/>
        <v>y</v>
      </c>
      <c r="XEA1" s="154" t="str">
        <f t="shared" si="255"/>
        <v>y</v>
      </c>
      <c r="XEB1" s="154" t="str">
        <f t="shared" si="255"/>
        <v>y</v>
      </c>
      <c r="XEC1" s="154" t="str">
        <f t="shared" si="255"/>
        <v>y</v>
      </c>
      <c r="XED1" s="154" t="str">
        <f t="shared" si="255"/>
        <v>y</v>
      </c>
      <c r="XEE1" s="154" t="str">
        <f t="shared" si="255"/>
        <v>y</v>
      </c>
      <c r="XEF1" s="154" t="str">
        <f t="shared" si="255"/>
        <v>y</v>
      </c>
      <c r="XEG1" s="154" t="str">
        <f t="shared" si="255"/>
        <v>y</v>
      </c>
      <c r="XEH1" s="154" t="str">
        <f t="shared" si="255"/>
        <v>y</v>
      </c>
      <c r="XEI1" s="154" t="str">
        <f t="shared" si="255"/>
        <v>y</v>
      </c>
      <c r="XEJ1" s="154" t="str">
        <f t="shared" si="255"/>
        <v>y</v>
      </c>
      <c r="XEK1" s="154" t="str">
        <f t="shared" si="255"/>
        <v>y</v>
      </c>
      <c r="XEL1" s="154" t="str">
        <f t="shared" si="255"/>
        <v>y</v>
      </c>
      <c r="XEM1" s="154" t="str">
        <f t="shared" si="255"/>
        <v>y</v>
      </c>
      <c r="XEN1" s="154" t="str">
        <f t="shared" si="255"/>
        <v>y</v>
      </c>
      <c r="XEO1" s="154" t="str">
        <f t="shared" si="255"/>
        <v>y</v>
      </c>
      <c r="XEP1" s="154" t="str">
        <f t="shared" si="255"/>
        <v>y</v>
      </c>
      <c r="XEQ1" s="154" t="str">
        <f t="shared" si="255"/>
        <v>y</v>
      </c>
      <c r="XER1" s="154" t="str">
        <f t="shared" si="255"/>
        <v>y</v>
      </c>
      <c r="XES1" s="154" t="str">
        <f t="shared" si="255"/>
        <v>y</v>
      </c>
      <c r="XET1" s="154" t="str">
        <f t="shared" si="255"/>
        <v>y</v>
      </c>
      <c r="XEU1" s="154" t="str">
        <f t="shared" si="255"/>
        <v>y</v>
      </c>
      <c r="XEV1" s="154" t="str">
        <f t="shared" si="255"/>
        <v>y</v>
      </c>
      <c r="XEW1" s="154" t="str">
        <f t="shared" si="255"/>
        <v>y</v>
      </c>
      <c r="XEX1" s="154" t="str">
        <f t="shared" si="255"/>
        <v>y</v>
      </c>
      <c r="XEY1" s="154" t="str">
        <f t="shared" si="255"/>
        <v>y</v>
      </c>
      <c r="XEZ1" s="154" t="str">
        <f t="shared" si="255"/>
        <v>y</v>
      </c>
      <c r="XFA1" s="154" t="str">
        <f t="shared" si="255"/>
        <v>y</v>
      </c>
      <c r="XFB1" s="154" t="str">
        <f t="shared" si="255"/>
        <v>y</v>
      </c>
      <c r="XFC1" s="154" t="str">
        <f t="shared" si="255"/>
        <v>y</v>
      </c>
      <c r="XFD1" s="154" t="str">
        <f t="shared" si="255"/>
        <v>y</v>
      </c>
    </row>
    <row r="2" spans="1:16384" s="159" customFormat="1" ht="32" collapsed="1">
      <c r="A2" s="159" t="s">
        <v>97</v>
      </c>
      <c r="B2" s="167" t="s">
        <v>98</v>
      </c>
      <c r="C2" s="159" t="s">
        <v>535</v>
      </c>
      <c r="D2" s="159" t="s">
        <v>536</v>
      </c>
      <c r="E2" s="159" t="s">
        <v>537</v>
      </c>
      <c r="F2" s="159" t="s">
        <v>538</v>
      </c>
      <c r="G2" s="159" t="s">
        <v>539</v>
      </c>
      <c r="H2" s="159" t="s">
        <v>540</v>
      </c>
      <c r="I2" s="159" t="s">
        <v>541</v>
      </c>
      <c r="J2" s="159" t="s">
        <v>542</v>
      </c>
      <c r="K2" s="159" t="s">
        <v>543</v>
      </c>
      <c r="L2" s="159" t="s">
        <v>544</v>
      </c>
      <c r="M2" s="159" t="s">
        <v>545</v>
      </c>
      <c r="N2" s="159" t="s">
        <v>546</v>
      </c>
      <c r="O2" s="159" t="s">
        <v>547</v>
      </c>
      <c r="P2" s="159" t="s">
        <v>548</v>
      </c>
      <c r="Q2" s="159" t="s">
        <v>549</v>
      </c>
      <c r="R2" s="159" t="s">
        <v>550</v>
      </c>
      <c r="S2" s="159" t="s">
        <v>551</v>
      </c>
      <c r="T2" s="159" t="s">
        <v>552</v>
      </c>
      <c r="U2" s="159" t="s">
        <v>553</v>
      </c>
      <c r="V2" s="159" t="s">
        <v>554</v>
      </c>
      <c r="W2" s="159" t="s">
        <v>555</v>
      </c>
      <c r="X2" s="159" t="s">
        <v>556</v>
      </c>
      <c r="Y2" s="159" t="s">
        <v>557</v>
      </c>
      <c r="Z2" s="159" t="s">
        <v>558</v>
      </c>
      <c r="AA2" s="159" t="s">
        <v>559</v>
      </c>
      <c r="AB2" s="159" t="s">
        <v>560</v>
      </c>
      <c r="AC2" s="159" t="s">
        <v>561</v>
      </c>
      <c r="AD2" s="159" t="s">
        <v>562</v>
      </c>
      <c r="AE2" s="159" t="s">
        <v>563</v>
      </c>
      <c r="AF2" s="159" t="s">
        <v>564</v>
      </c>
      <c r="AG2" s="159" t="s">
        <v>99</v>
      </c>
      <c r="AH2" s="159" t="s">
        <v>100</v>
      </c>
      <c r="AI2" s="159" t="s">
        <v>101</v>
      </c>
      <c r="AJ2" s="159" t="s">
        <v>102</v>
      </c>
      <c r="AK2" s="159" t="s">
        <v>103</v>
      </c>
      <c r="AL2" s="159" t="s">
        <v>104</v>
      </c>
      <c r="AM2" s="159" t="s">
        <v>105</v>
      </c>
      <c r="AN2" s="159" t="s">
        <v>106</v>
      </c>
      <c r="AO2" s="159" t="s">
        <v>107</v>
      </c>
      <c r="AP2" s="159" t="s">
        <v>108</v>
      </c>
      <c r="AQ2" s="159" t="s">
        <v>109</v>
      </c>
      <c r="AR2" s="159" t="s">
        <v>110</v>
      </c>
      <c r="AS2" s="159" t="s">
        <v>111</v>
      </c>
      <c r="AT2" s="159" t="s">
        <v>112</v>
      </c>
      <c r="AU2" s="159" t="s">
        <v>113</v>
      </c>
      <c r="AV2" s="159" t="s">
        <v>114</v>
      </c>
      <c r="AW2" s="159" t="s">
        <v>115</v>
      </c>
      <c r="AX2" s="159" t="s">
        <v>116</v>
      </c>
      <c r="AY2" s="159" t="s">
        <v>117</v>
      </c>
      <c r="AZ2" s="159" t="s">
        <v>118</v>
      </c>
      <c r="BA2" s="159" t="s">
        <v>119</v>
      </c>
      <c r="BB2" s="159" t="s">
        <v>120</v>
      </c>
      <c r="BC2" s="159" t="s">
        <v>121</v>
      </c>
      <c r="BD2" s="159">
        <v>2013</v>
      </c>
    </row>
    <row r="3" spans="1:16384">
      <c r="A3" s="163" t="s">
        <v>71</v>
      </c>
      <c r="B3" s="163" t="s">
        <v>124</v>
      </c>
      <c r="C3" s="161">
        <v>193.905009433912</v>
      </c>
      <c r="D3" s="161">
        <v>193.905009433912</v>
      </c>
      <c r="E3" s="161">
        <v>193.905009433912</v>
      </c>
      <c r="F3" s="161">
        <v>395.889394260904</v>
      </c>
      <c r="G3" s="161">
        <v>436.28627122630201</v>
      </c>
      <c r="H3" s="161">
        <v>436.28627122630201</v>
      </c>
      <c r="I3" s="161">
        <v>436.28627122630201</v>
      </c>
      <c r="J3" s="161">
        <v>436.28627122630201</v>
      </c>
      <c r="K3" s="161">
        <v>436.28627122630201</v>
      </c>
      <c r="L3" s="161">
        <v>436.28627122630201</v>
      </c>
      <c r="M3" s="161">
        <v>436.28627122630201</v>
      </c>
      <c r="N3" s="161">
        <v>436.28627122630201</v>
      </c>
      <c r="O3" s="161">
        <v>436.28627122630201</v>
      </c>
      <c r="P3" s="161">
        <v>436.28627122630201</v>
      </c>
      <c r="Q3" s="161">
        <v>436.28627122630201</v>
      </c>
      <c r="R3" s="161">
        <v>436.28627122630201</v>
      </c>
      <c r="S3" s="161">
        <v>436.28627122630201</v>
      </c>
      <c r="T3" s="161">
        <v>436.28627122630201</v>
      </c>
      <c r="U3" s="161">
        <v>436.28627122630201</v>
      </c>
      <c r="V3" s="161">
        <v>422.75331744289298</v>
      </c>
      <c r="W3" s="161">
        <v>429.289532135895</v>
      </c>
      <c r="X3" s="161">
        <v>481.65196405844398</v>
      </c>
      <c r="Y3" s="161">
        <v>490.579673867797</v>
      </c>
      <c r="Z3" s="161">
        <v>490.579673867797</v>
      </c>
      <c r="AA3" s="161">
        <v>490.579673867797</v>
      </c>
      <c r="AB3" s="161">
        <v>490.579673867797</v>
      </c>
      <c r="AC3" s="161">
        <v>490.579673867797</v>
      </c>
      <c r="AD3" s="161">
        <v>490.579673867797</v>
      </c>
      <c r="AE3" s="161">
        <v>490.579673867797</v>
      </c>
      <c r="AF3" s="161">
        <v>490.579673867797</v>
      </c>
      <c r="AG3" s="161">
        <v>490.579673867797</v>
      </c>
      <c r="AH3" s="161">
        <v>490.579673867797</v>
      </c>
      <c r="AI3" s="161">
        <v>490.579673867797</v>
      </c>
      <c r="AJ3" s="161">
        <v>490.579673867797</v>
      </c>
      <c r="AK3" s="161">
        <v>484.85947608949698</v>
      </c>
      <c r="AL3" s="168">
        <v>36.567144623655899</v>
      </c>
      <c r="AM3" s="168">
        <v>47.5</v>
      </c>
      <c r="AN3" s="168">
        <v>47.5</v>
      </c>
      <c r="AO3" s="168">
        <v>47.5</v>
      </c>
      <c r="AP3" s="168">
        <v>46.619531077188903</v>
      </c>
      <c r="AQ3" s="168">
        <v>47.357574731182801</v>
      </c>
      <c r="AR3" s="168">
        <v>47.500014516128999</v>
      </c>
      <c r="AS3" s="168">
        <v>47.262999999999998</v>
      </c>
      <c r="AT3" s="168">
        <v>48.7627535833333</v>
      </c>
      <c r="AU3" s="168">
        <v>47.845312499999999</v>
      </c>
      <c r="AV3" s="168">
        <v>49.494597499999998</v>
      </c>
      <c r="AW3" s="168">
        <v>49.925330833333298</v>
      </c>
      <c r="AX3" s="168">
        <v>49.962017770397203</v>
      </c>
      <c r="AY3" s="168">
        <v>50.249614743589703</v>
      </c>
      <c r="AZ3" s="168">
        <v>50.325000000000003</v>
      </c>
      <c r="BA3" s="168">
        <v>46.452461001317502</v>
      </c>
      <c r="BB3" s="168">
        <v>46.747007738580997</v>
      </c>
      <c r="BC3" s="168">
        <v>50.921399999999998</v>
      </c>
      <c r="BD3" s="168">
        <v>55.377499999999998</v>
      </c>
    </row>
    <row r="4" spans="1:16384">
      <c r="A4" s="163" t="s">
        <v>126</v>
      </c>
      <c r="B4" s="163" t="s">
        <v>127</v>
      </c>
      <c r="C4" s="161" t="s">
        <v>125</v>
      </c>
      <c r="D4" s="161" t="s">
        <v>125</v>
      </c>
      <c r="E4" s="161" t="s">
        <v>125</v>
      </c>
      <c r="F4" s="161" t="s">
        <v>125</v>
      </c>
      <c r="G4" s="161" t="s">
        <v>125</v>
      </c>
      <c r="H4" s="161" t="s">
        <v>125</v>
      </c>
      <c r="I4" s="161" t="s">
        <v>125</v>
      </c>
      <c r="J4" s="161" t="s">
        <v>125</v>
      </c>
      <c r="K4" s="161" t="s">
        <v>125</v>
      </c>
      <c r="L4" s="161" t="s">
        <v>125</v>
      </c>
      <c r="M4" s="161" t="s">
        <v>125</v>
      </c>
      <c r="N4" s="161" t="s">
        <v>125</v>
      </c>
      <c r="O4" s="161" t="s">
        <v>125</v>
      </c>
      <c r="P4" s="161" t="s">
        <v>125</v>
      </c>
      <c r="Q4" s="161" t="s">
        <v>125</v>
      </c>
      <c r="R4" s="161" t="s">
        <v>125</v>
      </c>
      <c r="S4" s="161" t="s">
        <v>125</v>
      </c>
      <c r="T4" s="161" t="s">
        <v>125</v>
      </c>
      <c r="U4" s="161" t="s">
        <v>125</v>
      </c>
      <c r="V4" s="161" t="s">
        <v>125</v>
      </c>
      <c r="W4" s="161" t="s">
        <v>125</v>
      </c>
      <c r="X4" s="161" t="s">
        <v>125</v>
      </c>
      <c r="Y4" s="161" t="s">
        <v>125</v>
      </c>
      <c r="Z4" s="161" t="s">
        <v>125</v>
      </c>
      <c r="AA4" s="161" t="s">
        <v>125</v>
      </c>
      <c r="AB4" s="161" t="s">
        <v>125</v>
      </c>
      <c r="AC4" s="161" t="s">
        <v>125</v>
      </c>
      <c r="AD4" s="161" t="s">
        <v>125</v>
      </c>
      <c r="AE4" s="161" t="s">
        <v>125</v>
      </c>
      <c r="AF4" s="161" t="s">
        <v>125</v>
      </c>
      <c r="AG4" s="161" t="s">
        <v>125</v>
      </c>
      <c r="AH4" s="161" t="s">
        <v>125</v>
      </c>
      <c r="AI4" s="161">
        <v>75.032499999999999</v>
      </c>
      <c r="AJ4" s="161">
        <v>102.0625</v>
      </c>
      <c r="AK4" s="161">
        <v>94.623333333333306</v>
      </c>
      <c r="AL4" s="168">
        <v>92.697500000000005</v>
      </c>
      <c r="AM4" s="168">
        <v>104.498916666667</v>
      </c>
      <c r="AN4" s="168">
        <v>148.93291666666701</v>
      </c>
      <c r="AO4" s="168">
        <v>150.63333333333301</v>
      </c>
      <c r="AP4" s="168">
        <v>137.690583333333</v>
      </c>
      <c r="AQ4" s="168">
        <v>143.70941666666701</v>
      </c>
      <c r="AR4" s="168">
        <v>143.484833333333</v>
      </c>
      <c r="AS4" s="168">
        <v>140.15451587499999</v>
      </c>
      <c r="AT4" s="168">
        <v>121.86324999999999</v>
      </c>
      <c r="AU4" s="168">
        <v>102.780051196172</v>
      </c>
      <c r="AV4" s="168">
        <v>99.870254480899206</v>
      </c>
      <c r="AW4" s="168">
        <v>98.103377091269806</v>
      </c>
      <c r="AX4" s="168">
        <v>90.427893831070804</v>
      </c>
      <c r="AY4" s="168">
        <v>83.894604100529094</v>
      </c>
      <c r="AZ4" s="168">
        <v>94.978119820384293</v>
      </c>
      <c r="BA4" s="168">
        <v>103.9364433527</v>
      </c>
      <c r="BB4" s="168">
        <v>100.89495472583</v>
      </c>
      <c r="BC4" s="168">
        <v>108.18464459924201</v>
      </c>
      <c r="BD4" s="168">
        <v>105.668673352632</v>
      </c>
    </row>
    <row r="5" spans="1:16384">
      <c r="A5" s="163" t="s">
        <v>128</v>
      </c>
      <c r="B5" s="163" t="s">
        <v>129</v>
      </c>
      <c r="C5" s="161">
        <v>4.9370600039370602</v>
      </c>
      <c r="D5" s="161">
        <v>4.9370600039370602</v>
      </c>
      <c r="E5" s="161">
        <v>4.9370600039370602</v>
      </c>
      <c r="F5" s="161">
        <v>4.9370600039370602</v>
      </c>
      <c r="G5" s="161">
        <v>4.9370600039370602</v>
      </c>
      <c r="H5" s="161">
        <v>4.9370600039370602</v>
      </c>
      <c r="I5" s="161">
        <v>4.9370600039370602</v>
      </c>
      <c r="J5" s="161">
        <v>4.9370600039370602</v>
      </c>
      <c r="K5" s="161">
        <v>4.9370600039370602</v>
      </c>
      <c r="L5" s="161">
        <v>4.9370600039370602</v>
      </c>
      <c r="M5" s="161">
        <v>4.9370600039370602</v>
      </c>
      <c r="N5" s="161">
        <v>4.9126383368589703</v>
      </c>
      <c r="O5" s="161">
        <v>4.48051495321132</v>
      </c>
      <c r="P5" s="161">
        <v>3.9624954122422298</v>
      </c>
      <c r="Q5" s="161">
        <v>4.1807499989999997</v>
      </c>
      <c r="R5" s="161">
        <v>3.9494083323333302</v>
      </c>
      <c r="S5" s="161">
        <v>4.163824999</v>
      </c>
      <c r="T5" s="161">
        <v>4.1467583323333299</v>
      </c>
      <c r="U5" s="161">
        <v>3.9658999989999999</v>
      </c>
      <c r="V5" s="161">
        <v>3.8532666656666699</v>
      </c>
      <c r="W5" s="161">
        <v>3.8374499989999999</v>
      </c>
      <c r="X5" s="161">
        <v>4.3158083323333303</v>
      </c>
      <c r="Y5" s="161">
        <v>4.5921916656666699</v>
      </c>
      <c r="Z5" s="161">
        <v>4.7887999990000001</v>
      </c>
      <c r="AA5" s="161">
        <v>4.9833749995833303</v>
      </c>
      <c r="AB5" s="161">
        <v>5.0278</v>
      </c>
      <c r="AC5" s="161">
        <v>4.70231666666667</v>
      </c>
      <c r="AD5" s="161">
        <v>4.8497416666666702</v>
      </c>
      <c r="AE5" s="161">
        <v>5.9147666666666696</v>
      </c>
      <c r="AF5" s="161">
        <v>7.6085583333333302</v>
      </c>
      <c r="AG5" s="161">
        <v>8.9575083333333296</v>
      </c>
      <c r="AH5" s="161">
        <v>18.472874999999998</v>
      </c>
      <c r="AI5" s="161">
        <v>21.836075000000001</v>
      </c>
      <c r="AJ5" s="161">
        <v>23.345406666666701</v>
      </c>
      <c r="AK5" s="161">
        <v>35.058500833333298</v>
      </c>
      <c r="AL5" s="168">
        <v>47.6627266666667</v>
      </c>
      <c r="AM5" s="168">
        <v>54.748933333333298</v>
      </c>
      <c r="AN5" s="168">
        <v>57.707349999999998</v>
      </c>
      <c r="AO5" s="168">
        <v>58.738958333333301</v>
      </c>
      <c r="AP5" s="168">
        <v>66.573875000000001</v>
      </c>
      <c r="AQ5" s="168">
        <v>75.2597916666667</v>
      </c>
      <c r="AR5" s="168">
        <v>77.215020833333298</v>
      </c>
      <c r="AS5" s="168">
        <v>79.681899999999999</v>
      </c>
      <c r="AT5" s="168">
        <v>77.394975000000002</v>
      </c>
      <c r="AU5" s="168">
        <v>72.060649999999995</v>
      </c>
      <c r="AV5" s="168">
        <v>73.276308333333304</v>
      </c>
      <c r="AW5" s="168">
        <v>72.646616666666702</v>
      </c>
      <c r="AX5" s="168">
        <v>69.292400000000001</v>
      </c>
      <c r="AY5" s="168">
        <v>64.582800000000006</v>
      </c>
      <c r="AZ5" s="168">
        <v>72.6474166666667</v>
      </c>
      <c r="BA5" s="168">
        <v>74.3859833333333</v>
      </c>
      <c r="BB5" s="168">
        <v>72.937883333333303</v>
      </c>
      <c r="BC5" s="168">
        <v>77.535966666666695</v>
      </c>
      <c r="BD5" s="168">
        <v>79.368399999999994</v>
      </c>
    </row>
    <row r="6" spans="1:16384">
      <c r="A6" s="163" t="s">
        <v>130</v>
      </c>
      <c r="B6" s="163" t="s">
        <v>131</v>
      </c>
      <c r="C6" s="161" t="s">
        <v>125</v>
      </c>
      <c r="D6" s="161" t="s">
        <v>125</v>
      </c>
      <c r="E6" s="161" t="s">
        <v>125</v>
      </c>
      <c r="F6" s="161" t="s">
        <v>125</v>
      </c>
      <c r="G6" s="161" t="s">
        <v>125</v>
      </c>
      <c r="H6" s="161" t="s">
        <v>125</v>
      </c>
      <c r="I6" s="161" t="s">
        <v>125</v>
      </c>
      <c r="J6" s="161" t="s">
        <v>125</v>
      </c>
      <c r="K6" s="161" t="s">
        <v>125</v>
      </c>
      <c r="L6" s="161" t="s">
        <v>125</v>
      </c>
      <c r="M6" s="161" t="s">
        <v>125</v>
      </c>
      <c r="N6" s="161" t="s">
        <v>125</v>
      </c>
      <c r="O6" s="161" t="s">
        <v>125</v>
      </c>
      <c r="P6" s="161" t="s">
        <v>125</v>
      </c>
      <c r="Q6" s="161" t="s">
        <v>125</v>
      </c>
      <c r="R6" s="161" t="s">
        <v>125</v>
      </c>
      <c r="S6" s="161" t="s">
        <v>125</v>
      </c>
      <c r="T6" s="161" t="s">
        <v>125</v>
      </c>
      <c r="U6" s="161" t="s">
        <v>125</v>
      </c>
      <c r="V6" s="161" t="s">
        <v>125</v>
      </c>
      <c r="W6" s="161" t="s">
        <v>125</v>
      </c>
      <c r="X6" s="161" t="s">
        <v>125</v>
      </c>
      <c r="Y6" s="161" t="s">
        <v>125</v>
      </c>
      <c r="Z6" s="161" t="s">
        <v>125</v>
      </c>
      <c r="AA6" s="161" t="s">
        <v>125</v>
      </c>
      <c r="AB6" s="161" t="s">
        <v>125</v>
      </c>
      <c r="AC6" s="161" t="s">
        <v>125</v>
      </c>
      <c r="AD6" s="161" t="s">
        <v>125</v>
      </c>
      <c r="AE6" s="161" t="s">
        <v>125</v>
      </c>
      <c r="AF6" s="161" t="s">
        <v>125</v>
      </c>
      <c r="AG6" s="161" t="s">
        <v>125</v>
      </c>
      <c r="AH6" s="161" t="s">
        <v>125</v>
      </c>
      <c r="AI6" s="161" t="s">
        <v>125</v>
      </c>
      <c r="AJ6" s="161" t="s">
        <v>125</v>
      </c>
      <c r="AK6" s="161" t="s">
        <v>125</v>
      </c>
      <c r="AL6" s="168" t="s">
        <v>125</v>
      </c>
      <c r="AM6" s="168" t="s">
        <v>125</v>
      </c>
      <c r="AN6" s="168" t="s">
        <v>125</v>
      </c>
      <c r="AO6" s="168" t="s">
        <v>125</v>
      </c>
      <c r="AP6" s="168" t="s">
        <v>125</v>
      </c>
      <c r="AQ6" s="168" t="s">
        <v>125</v>
      </c>
      <c r="AR6" s="168" t="s">
        <v>125</v>
      </c>
      <c r="AS6" s="168" t="s">
        <v>125</v>
      </c>
      <c r="AT6" s="168" t="s">
        <v>125</v>
      </c>
      <c r="AU6" s="168" t="s">
        <v>125</v>
      </c>
      <c r="AV6" s="168" t="s">
        <v>125</v>
      </c>
      <c r="AW6" s="168" t="s">
        <v>125</v>
      </c>
      <c r="AX6" s="168" t="s">
        <v>125</v>
      </c>
      <c r="AY6" s="168" t="s">
        <v>125</v>
      </c>
      <c r="AZ6" s="168" t="s">
        <v>125</v>
      </c>
      <c r="BA6" s="168" t="s">
        <v>125</v>
      </c>
      <c r="BB6" s="168" t="s">
        <v>125</v>
      </c>
      <c r="BC6" s="168" t="s">
        <v>125</v>
      </c>
      <c r="BD6" s="168" t="s">
        <v>125</v>
      </c>
    </row>
    <row r="7" spans="1:16384">
      <c r="A7" s="163" t="s">
        <v>132</v>
      </c>
      <c r="B7" s="163" t="s">
        <v>565</v>
      </c>
      <c r="C7" s="161" t="s">
        <v>125</v>
      </c>
      <c r="D7" s="161" t="s">
        <v>125</v>
      </c>
      <c r="E7" s="161" t="s">
        <v>125</v>
      </c>
      <c r="F7" s="161" t="s">
        <v>125</v>
      </c>
      <c r="G7" s="161" t="s">
        <v>125</v>
      </c>
      <c r="H7" s="161" t="s">
        <v>125</v>
      </c>
      <c r="I7" s="161" t="s">
        <v>125</v>
      </c>
      <c r="J7" s="161" t="s">
        <v>125</v>
      </c>
      <c r="K7" s="161" t="s">
        <v>125</v>
      </c>
      <c r="L7" s="161" t="s">
        <v>125</v>
      </c>
      <c r="M7" s="161" t="s">
        <v>125</v>
      </c>
      <c r="N7" s="161" t="s">
        <v>125</v>
      </c>
      <c r="O7" s="161" t="s">
        <v>125</v>
      </c>
      <c r="P7" s="161" t="s">
        <v>125</v>
      </c>
      <c r="Q7" s="161" t="s">
        <v>125</v>
      </c>
      <c r="R7" s="161" t="s">
        <v>125</v>
      </c>
      <c r="S7" s="161" t="s">
        <v>125</v>
      </c>
      <c r="T7" s="161" t="s">
        <v>125</v>
      </c>
      <c r="U7" s="161" t="s">
        <v>125</v>
      </c>
      <c r="V7" s="161" t="s">
        <v>125</v>
      </c>
      <c r="W7" s="161" t="s">
        <v>125</v>
      </c>
      <c r="X7" s="161" t="s">
        <v>125</v>
      </c>
      <c r="Y7" s="161" t="s">
        <v>125</v>
      </c>
      <c r="Z7" s="161" t="s">
        <v>125</v>
      </c>
      <c r="AA7" s="161" t="s">
        <v>125</v>
      </c>
      <c r="AB7" s="161" t="s">
        <v>125</v>
      </c>
      <c r="AC7" s="161" t="s">
        <v>125</v>
      </c>
      <c r="AD7" s="161" t="s">
        <v>125</v>
      </c>
      <c r="AE7" s="161" t="s">
        <v>125</v>
      </c>
      <c r="AF7" s="161" t="s">
        <v>125</v>
      </c>
      <c r="AG7" s="161" t="s">
        <v>125</v>
      </c>
      <c r="AH7" s="161" t="s">
        <v>125</v>
      </c>
      <c r="AI7" s="161" t="s">
        <v>125</v>
      </c>
      <c r="AJ7" s="161" t="s">
        <v>125</v>
      </c>
      <c r="AK7" s="161" t="s">
        <v>125</v>
      </c>
      <c r="AL7" s="168" t="s">
        <v>125</v>
      </c>
      <c r="AM7" s="168" t="s">
        <v>125</v>
      </c>
      <c r="AN7" s="168" t="s">
        <v>125</v>
      </c>
      <c r="AO7" s="168" t="s">
        <v>125</v>
      </c>
      <c r="AP7" s="168" t="s">
        <v>125</v>
      </c>
      <c r="AQ7" s="168" t="s">
        <v>125</v>
      </c>
      <c r="AR7" s="168" t="s">
        <v>125</v>
      </c>
      <c r="AS7" s="168" t="s">
        <v>125</v>
      </c>
      <c r="AT7" s="168" t="s">
        <v>125</v>
      </c>
      <c r="AU7" s="168" t="s">
        <v>125</v>
      </c>
      <c r="AV7" s="168" t="s">
        <v>125</v>
      </c>
      <c r="AW7" s="168" t="s">
        <v>125</v>
      </c>
      <c r="AX7" s="168" t="s">
        <v>125</v>
      </c>
      <c r="AY7" s="168" t="s">
        <v>125</v>
      </c>
      <c r="AZ7" s="168" t="s">
        <v>125</v>
      </c>
      <c r="BA7" s="168" t="s">
        <v>125</v>
      </c>
      <c r="BB7" s="168" t="s">
        <v>125</v>
      </c>
      <c r="BC7" s="168" t="s">
        <v>125</v>
      </c>
      <c r="BD7" s="168" t="s">
        <v>125</v>
      </c>
    </row>
    <row r="8" spans="1:16384">
      <c r="A8" s="163" t="s">
        <v>134</v>
      </c>
      <c r="B8" s="163" t="s">
        <v>135</v>
      </c>
      <c r="C8" s="161">
        <v>2.8668443333333301E-8</v>
      </c>
      <c r="D8" s="161">
        <v>2.8734860000000001E-8</v>
      </c>
      <c r="E8" s="161">
        <v>2.8678443333333299E-8</v>
      </c>
      <c r="F8" s="161">
        <v>2.8752026666666701E-8</v>
      </c>
      <c r="G8" s="161">
        <v>2.8819776666666698E-8</v>
      </c>
      <c r="H8" s="161">
        <v>2.8778526666666701E-8</v>
      </c>
      <c r="I8" s="161">
        <v>2.8823859999999999E-8</v>
      </c>
      <c r="J8" s="161">
        <v>2.8841609999999999E-8</v>
      </c>
      <c r="K8" s="161">
        <v>2.8727609999999999E-8</v>
      </c>
      <c r="L8" s="161">
        <v>2.8561193333333301E-8</v>
      </c>
      <c r="M8" s="161">
        <v>2.8625109999999999E-8</v>
      </c>
      <c r="N8" s="161">
        <v>2.8191119999999999E-8</v>
      </c>
      <c r="O8" s="161">
        <v>2.7052815000000001E-8</v>
      </c>
      <c r="P8" s="161">
        <v>2.4514619999999999E-8</v>
      </c>
      <c r="Q8" s="161">
        <v>2.5407600833333301E-8</v>
      </c>
      <c r="R8" s="161">
        <v>2.5552180833333302E-8</v>
      </c>
      <c r="S8" s="161">
        <v>2.9383623333333298E-8</v>
      </c>
      <c r="T8" s="161">
        <v>2.9917999999999997E-8</v>
      </c>
      <c r="U8" s="161">
        <v>2.9917999999999997E-8</v>
      </c>
      <c r="V8" s="161">
        <v>2.9917999999999997E-8</v>
      </c>
      <c r="W8" s="161">
        <v>2.9917999999999997E-8</v>
      </c>
      <c r="X8" s="161">
        <v>2.9917999999999997E-8</v>
      </c>
      <c r="Y8" s="161">
        <v>2.9917999999999997E-8</v>
      </c>
      <c r="Z8" s="161">
        <v>2.9917999999999997E-8</v>
      </c>
      <c r="AA8" s="161">
        <v>2.9917999999999997E-8</v>
      </c>
      <c r="AB8" s="161">
        <v>2.9917999999999997E-8</v>
      </c>
      <c r="AC8" s="161">
        <v>2.9917999999999997E-8</v>
      </c>
      <c r="AD8" s="161">
        <v>2.9917999999999997E-8</v>
      </c>
      <c r="AE8" s="161">
        <v>2.9917999999999997E-8</v>
      </c>
      <c r="AF8" s="161">
        <v>2.9917999999999997E-8</v>
      </c>
      <c r="AG8" s="161">
        <v>2.9917999999999997E-8</v>
      </c>
      <c r="AH8" s="161">
        <v>5.5098333333333298E-8</v>
      </c>
      <c r="AI8" s="161">
        <v>2.5141666666666701E-7</v>
      </c>
      <c r="AJ8" s="161">
        <v>2.6601666666666699E-6</v>
      </c>
      <c r="AK8" s="161">
        <v>5.9515000000000002E-5</v>
      </c>
      <c r="AL8" s="168">
        <v>2.7502295833333299E-3</v>
      </c>
      <c r="AM8" s="168">
        <v>0.128029166666667</v>
      </c>
      <c r="AN8" s="168">
        <v>0.22904008333333301</v>
      </c>
      <c r="AO8" s="168">
        <v>0.3928235175</v>
      </c>
      <c r="AP8" s="168">
        <v>2.7907061666666699</v>
      </c>
      <c r="AQ8" s="168">
        <v>10.040544166666701</v>
      </c>
      <c r="AR8" s="168">
        <v>22.0578616666667</v>
      </c>
      <c r="AS8" s="168">
        <v>43.5302066666667</v>
      </c>
      <c r="AT8" s="168">
        <v>74.606300833333293</v>
      </c>
      <c r="AU8" s="168">
        <v>83.541362500000005</v>
      </c>
      <c r="AV8" s="168">
        <v>87.159141666666699</v>
      </c>
      <c r="AW8" s="168">
        <v>80.368072055555601</v>
      </c>
      <c r="AX8" s="168">
        <v>76.706142749999998</v>
      </c>
      <c r="AY8" s="168">
        <v>75.033354166666697</v>
      </c>
      <c r="AZ8" s="168">
        <v>79.328166666666704</v>
      </c>
      <c r="BA8" s="168">
        <v>91.905720340501802</v>
      </c>
      <c r="BB8" s="168">
        <v>93.934749999999994</v>
      </c>
      <c r="BC8" s="168">
        <v>95.467955421311004</v>
      </c>
      <c r="BD8" s="168">
        <v>96.518279479152596</v>
      </c>
    </row>
    <row r="9" spans="1:16384">
      <c r="A9" s="163" t="s">
        <v>136</v>
      </c>
      <c r="B9" s="163" t="s">
        <v>137</v>
      </c>
      <c r="C9" s="161">
        <v>1.7142900007142901</v>
      </c>
      <c r="D9" s="161">
        <v>1.7142900007142901</v>
      </c>
      <c r="E9" s="161">
        <v>1.7142900007142901</v>
      </c>
      <c r="F9" s="161">
        <v>1.7142900007142901</v>
      </c>
      <c r="G9" s="161">
        <v>1.7142900007142901</v>
      </c>
      <c r="H9" s="161">
        <v>1.7142900007142901</v>
      </c>
      <c r="I9" s="161">
        <v>1.7142900007142901</v>
      </c>
      <c r="J9" s="161">
        <v>1.7619083340952399</v>
      </c>
      <c r="K9" s="161">
        <v>2.0000000010000001</v>
      </c>
      <c r="L9" s="161">
        <v>2.0000000010000001</v>
      </c>
      <c r="M9" s="161">
        <v>2.0000000010000001</v>
      </c>
      <c r="N9" s="161">
        <v>1.97487273321145</v>
      </c>
      <c r="O9" s="161">
        <v>1.9212781494760101</v>
      </c>
      <c r="P9" s="161">
        <v>1.9592192359816101</v>
      </c>
      <c r="Q9" s="161">
        <v>2.0532324085176299</v>
      </c>
      <c r="R9" s="161">
        <v>2.16979583233333</v>
      </c>
      <c r="S9" s="161">
        <v>2.6146708328333301</v>
      </c>
      <c r="T9" s="161">
        <v>2.7</v>
      </c>
      <c r="U9" s="161">
        <v>2.7</v>
      </c>
      <c r="V9" s="161">
        <v>2.7</v>
      </c>
      <c r="W9" s="161">
        <v>2.7</v>
      </c>
      <c r="X9" s="161">
        <v>2.7</v>
      </c>
      <c r="Y9" s="161">
        <v>2.7</v>
      </c>
      <c r="Z9" s="161">
        <v>2.7</v>
      </c>
      <c r="AA9" s="161">
        <v>2.7</v>
      </c>
      <c r="AB9" s="161">
        <v>2.7</v>
      </c>
      <c r="AC9" s="161">
        <v>2.7</v>
      </c>
      <c r="AD9" s="161">
        <v>2.7</v>
      </c>
      <c r="AE9" s="161">
        <v>2.7</v>
      </c>
      <c r="AF9" s="161">
        <v>2.7</v>
      </c>
      <c r="AG9" s="161">
        <v>2.7</v>
      </c>
      <c r="AH9" s="161">
        <v>2.7</v>
      </c>
      <c r="AI9" s="161">
        <v>2.7</v>
      </c>
      <c r="AJ9" s="161">
        <v>2.7</v>
      </c>
      <c r="AK9" s="161">
        <v>2.7</v>
      </c>
      <c r="AL9" s="168">
        <v>2.7</v>
      </c>
      <c r="AM9" s="168">
        <v>2.7</v>
      </c>
      <c r="AN9" s="168">
        <v>2.7</v>
      </c>
      <c r="AO9" s="168">
        <v>2.7</v>
      </c>
      <c r="AP9" s="168">
        <v>2.7</v>
      </c>
      <c r="AQ9" s="168">
        <v>2.7</v>
      </c>
      <c r="AR9" s="168">
        <v>2.7</v>
      </c>
      <c r="AS9" s="168">
        <v>2.7</v>
      </c>
      <c r="AT9" s="168">
        <v>2.7</v>
      </c>
      <c r="AU9" s="168">
        <v>2.7</v>
      </c>
      <c r="AV9" s="168">
        <v>2.7</v>
      </c>
      <c r="AW9" s="168">
        <v>2.7</v>
      </c>
      <c r="AX9" s="168">
        <v>2.7</v>
      </c>
      <c r="AY9" s="168">
        <v>2.7</v>
      </c>
      <c r="AZ9" s="168">
        <v>2.7</v>
      </c>
      <c r="BA9" s="168">
        <v>2.7</v>
      </c>
      <c r="BB9" s="168">
        <v>2.7</v>
      </c>
      <c r="BC9" s="168">
        <v>2.7</v>
      </c>
      <c r="BD9" s="168">
        <v>2.7</v>
      </c>
    </row>
    <row r="10" spans="1:16384">
      <c r="A10" s="163" t="s">
        <v>138</v>
      </c>
      <c r="B10" s="163" t="s">
        <v>139</v>
      </c>
      <c r="C10" s="161" t="s">
        <v>125</v>
      </c>
      <c r="D10" s="161" t="s">
        <v>125</v>
      </c>
      <c r="E10" s="161">
        <v>8.7166666666333306E-12</v>
      </c>
      <c r="F10" s="161">
        <v>1.3871666666625E-11</v>
      </c>
      <c r="G10" s="161">
        <v>1.4039166666616699E-11</v>
      </c>
      <c r="H10" s="161">
        <v>1.69566666666417E-11</v>
      </c>
      <c r="I10" s="161">
        <v>2.0914999999966699E-11</v>
      </c>
      <c r="J10" s="161">
        <v>3.3342499999991702E-11</v>
      </c>
      <c r="K10" s="161">
        <v>3.5000000000000002E-11</v>
      </c>
      <c r="L10" s="161">
        <v>3.5000000000000002E-11</v>
      </c>
      <c r="M10" s="161">
        <v>3.7916666656666698E-11</v>
      </c>
      <c r="N10" s="161">
        <v>4.5216666656666701E-11</v>
      </c>
      <c r="O10" s="161">
        <v>4.9999999990000002E-11</v>
      </c>
      <c r="P10" s="161">
        <v>4.9999999990000002E-11</v>
      </c>
      <c r="Q10" s="161">
        <v>4.9999999990000002E-11</v>
      </c>
      <c r="R10" s="161">
        <v>3.6574999999500001E-10</v>
      </c>
      <c r="S10" s="161">
        <v>1.39983333333167E-9</v>
      </c>
      <c r="T10" s="161">
        <v>4.0763333333283302E-9</v>
      </c>
      <c r="U10" s="161">
        <v>7.9574999999958296E-9</v>
      </c>
      <c r="V10" s="161">
        <v>1.31696666666408E-8</v>
      </c>
      <c r="W10" s="161">
        <v>1.83715833333225E-8</v>
      </c>
      <c r="X10" s="161">
        <v>4.4026916666672502E-8</v>
      </c>
      <c r="Y10" s="161">
        <v>2.5922533333326298E-7</v>
      </c>
      <c r="Z10" s="161">
        <v>1.05299574995841E-6</v>
      </c>
      <c r="AA10" s="161">
        <v>6.7649116666E-6</v>
      </c>
      <c r="AB10" s="161">
        <v>6.0180899999999998E-5</v>
      </c>
      <c r="AC10" s="161">
        <v>9.4303166666666696E-5</v>
      </c>
      <c r="AD10" s="161">
        <v>2.1442983333333301E-4</v>
      </c>
      <c r="AE10" s="161">
        <v>8.7526041666666698E-4</v>
      </c>
      <c r="AF10" s="161">
        <v>4.2333960833333302E-2</v>
      </c>
      <c r="AG10" s="161">
        <v>0.48758908333333301</v>
      </c>
      <c r="AH10" s="161">
        <v>0.95355441666666696</v>
      </c>
      <c r="AI10" s="161">
        <v>0.99064166666666698</v>
      </c>
      <c r="AJ10" s="161">
        <v>0.99894583333333298</v>
      </c>
      <c r="AK10" s="161">
        <v>0.99900833333333305</v>
      </c>
      <c r="AL10" s="168">
        <v>0.99975000000000003</v>
      </c>
      <c r="AM10" s="168">
        <v>0.99966250000000001</v>
      </c>
      <c r="AN10" s="168">
        <v>0.99950000000000006</v>
      </c>
      <c r="AO10" s="168">
        <v>0.99950000000000006</v>
      </c>
      <c r="AP10" s="168">
        <v>0.99950000000000006</v>
      </c>
      <c r="AQ10" s="168">
        <v>0.99950000000000006</v>
      </c>
      <c r="AR10" s="168">
        <v>0.99950000000000006</v>
      </c>
      <c r="AS10" s="168">
        <v>3.0632566666666698</v>
      </c>
      <c r="AT10" s="168">
        <v>2.9006291666666701</v>
      </c>
      <c r="AU10" s="168">
        <v>2.9233008189033201</v>
      </c>
      <c r="AV10" s="168">
        <v>2.9036575</v>
      </c>
      <c r="AW10" s="168">
        <v>3.0543133333333299</v>
      </c>
      <c r="AX10" s="168">
        <v>3.0956488492063499</v>
      </c>
      <c r="AY10" s="168">
        <v>3.14416455988456</v>
      </c>
      <c r="AZ10" s="168">
        <v>3.7101068305232801</v>
      </c>
      <c r="BA10" s="168">
        <v>3.8962951544704998</v>
      </c>
      <c r="BB10" s="168">
        <v>4.1101395762132604</v>
      </c>
      <c r="BC10" s="168">
        <v>4.5369343601874599</v>
      </c>
      <c r="BD10" s="168">
        <v>5.4593526646570396</v>
      </c>
    </row>
    <row r="11" spans="1:16384">
      <c r="A11" s="163" t="s">
        <v>140</v>
      </c>
      <c r="B11" s="163" t="s">
        <v>141</v>
      </c>
      <c r="C11" s="161" t="s">
        <v>125</v>
      </c>
      <c r="D11" s="161" t="s">
        <v>125</v>
      </c>
      <c r="E11" s="161" t="s">
        <v>125</v>
      </c>
      <c r="F11" s="161" t="s">
        <v>125</v>
      </c>
      <c r="G11" s="161" t="s">
        <v>125</v>
      </c>
      <c r="H11" s="161" t="s">
        <v>125</v>
      </c>
      <c r="I11" s="161" t="s">
        <v>125</v>
      </c>
      <c r="J11" s="161" t="s">
        <v>125</v>
      </c>
      <c r="K11" s="161" t="s">
        <v>125</v>
      </c>
      <c r="L11" s="161" t="s">
        <v>125</v>
      </c>
      <c r="M11" s="161" t="s">
        <v>125</v>
      </c>
      <c r="N11" s="161" t="s">
        <v>125</v>
      </c>
      <c r="O11" s="161" t="s">
        <v>125</v>
      </c>
      <c r="P11" s="161" t="s">
        <v>125</v>
      </c>
      <c r="Q11" s="161" t="s">
        <v>125</v>
      </c>
      <c r="R11" s="161" t="s">
        <v>125</v>
      </c>
      <c r="S11" s="161" t="s">
        <v>125</v>
      </c>
      <c r="T11" s="161" t="s">
        <v>125</v>
      </c>
      <c r="U11" s="161" t="s">
        <v>125</v>
      </c>
      <c r="V11" s="161" t="s">
        <v>125</v>
      </c>
      <c r="W11" s="161" t="s">
        <v>125</v>
      </c>
      <c r="X11" s="161" t="s">
        <v>125</v>
      </c>
      <c r="Y11" s="161" t="s">
        <v>125</v>
      </c>
      <c r="Z11" s="161" t="s">
        <v>125</v>
      </c>
      <c r="AA11" s="161" t="s">
        <v>125</v>
      </c>
      <c r="AB11" s="161" t="s">
        <v>125</v>
      </c>
      <c r="AC11" s="161" t="s">
        <v>125</v>
      </c>
      <c r="AD11" s="161" t="s">
        <v>125</v>
      </c>
      <c r="AE11" s="161" t="s">
        <v>125</v>
      </c>
      <c r="AF11" s="161" t="s">
        <v>125</v>
      </c>
      <c r="AG11" s="161" t="s">
        <v>125</v>
      </c>
      <c r="AH11" s="161" t="s">
        <v>125</v>
      </c>
      <c r="AI11" s="161" t="s">
        <v>125</v>
      </c>
      <c r="AJ11" s="161">
        <v>9.1050000000000004</v>
      </c>
      <c r="AK11" s="161">
        <v>288.65083333333303</v>
      </c>
      <c r="AL11" s="168">
        <v>405.90833333333302</v>
      </c>
      <c r="AM11" s="168">
        <v>414.04149999999998</v>
      </c>
      <c r="AN11" s="168">
        <v>490.84678574999998</v>
      </c>
      <c r="AO11" s="168">
        <v>504.91500000000002</v>
      </c>
      <c r="AP11" s="168">
        <v>535.06183333333297</v>
      </c>
      <c r="AQ11" s="168">
        <v>539.52583333333303</v>
      </c>
      <c r="AR11" s="168">
        <v>555.078258333333</v>
      </c>
      <c r="AS11" s="168">
        <v>573.35333333333301</v>
      </c>
      <c r="AT11" s="168">
        <v>578.76295454545505</v>
      </c>
      <c r="AU11" s="168">
        <v>533.45083333333298</v>
      </c>
      <c r="AV11" s="168">
        <v>457.68694062915898</v>
      </c>
      <c r="AW11" s="168">
        <v>416.04036972454202</v>
      </c>
      <c r="AX11" s="168">
        <v>342.079116208671</v>
      </c>
      <c r="AY11" s="168">
        <v>305.96940026193602</v>
      </c>
      <c r="AZ11" s="168">
        <v>363.28328560606099</v>
      </c>
      <c r="BA11" s="168">
        <v>373.66046673881698</v>
      </c>
      <c r="BB11" s="168">
        <v>372.50088244871102</v>
      </c>
      <c r="BC11" s="168">
        <v>401.76397562691602</v>
      </c>
      <c r="BD11" s="168">
        <v>409.625749270293</v>
      </c>
    </row>
    <row r="12" spans="1:16384">
      <c r="A12" s="163" t="s">
        <v>142</v>
      </c>
      <c r="B12" s="163" t="s">
        <v>143</v>
      </c>
      <c r="C12" s="161" t="s">
        <v>125</v>
      </c>
      <c r="D12" s="161" t="s">
        <v>125</v>
      </c>
      <c r="E12" s="161" t="s">
        <v>125</v>
      </c>
      <c r="F12" s="161" t="s">
        <v>125</v>
      </c>
      <c r="G12" s="161" t="s">
        <v>125</v>
      </c>
      <c r="H12" s="161" t="s">
        <v>125</v>
      </c>
      <c r="I12" s="161" t="s">
        <v>125</v>
      </c>
      <c r="J12" s="161" t="s">
        <v>125</v>
      </c>
      <c r="K12" s="161" t="s">
        <v>125</v>
      </c>
      <c r="L12" s="161" t="s">
        <v>125</v>
      </c>
      <c r="M12" s="161" t="s">
        <v>125</v>
      </c>
      <c r="N12" s="161" t="s">
        <v>125</v>
      </c>
      <c r="O12" s="161" t="s">
        <v>125</v>
      </c>
      <c r="P12" s="161" t="s">
        <v>125</v>
      </c>
      <c r="Q12" s="161" t="s">
        <v>125</v>
      </c>
      <c r="R12" s="161" t="s">
        <v>125</v>
      </c>
      <c r="S12" s="161" t="s">
        <v>125</v>
      </c>
      <c r="T12" s="161" t="s">
        <v>125</v>
      </c>
      <c r="U12" s="161" t="s">
        <v>125</v>
      </c>
      <c r="V12" s="161" t="s">
        <v>125</v>
      </c>
      <c r="W12" s="161" t="s">
        <v>125</v>
      </c>
      <c r="X12" s="161" t="s">
        <v>125</v>
      </c>
      <c r="Y12" s="161" t="s">
        <v>125</v>
      </c>
      <c r="Z12" s="161" t="s">
        <v>125</v>
      </c>
      <c r="AA12" s="161" t="s">
        <v>125</v>
      </c>
      <c r="AB12" s="161" t="s">
        <v>125</v>
      </c>
      <c r="AC12" s="161">
        <v>1.79</v>
      </c>
      <c r="AD12" s="161">
        <v>1.79</v>
      </c>
      <c r="AE12" s="161">
        <v>1.79</v>
      </c>
      <c r="AF12" s="161">
        <v>1.79</v>
      </c>
      <c r="AG12" s="161">
        <v>1.79</v>
      </c>
      <c r="AH12" s="161">
        <v>1.79</v>
      </c>
      <c r="AI12" s="161">
        <v>1.79</v>
      </c>
      <c r="AJ12" s="161">
        <v>1.79</v>
      </c>
      <c r="AK12" s="161">
        <v>1.79</v>
      </c>
      <c r="AL12" s="168">
        <v>1.79</v>
      </c>
      <c r="AM12" s="168">
        <v>1.79</v>
      </c>
      <c r="AN12" s="168">
        <v>1.79</v>
      </c>
      <c r="AO12" s="168">
        <v>1.79</v>
      </c>
      <c r="AP12" s="168">
        <v>1.79</v>
      </c>
      <c r="AQ12" s="168">
        <v>1.79</v>
      </c>
      <c r="AR12" s="168">
        <v>1.79</v>
      </c>
      <c r="AS12" s="168">
        <v>1.79</v>
      </c>
      <c r="AT12" s="168">
        <v>1.79</v>
      </c>
      <c r="AU12" s="168">
        <v>1.79</v>
      </c>
      <c r="AV12" s="168">
        <v>1.79</v>
      </c>
      <c r="AW12" s="168">
        <v>1.79</v>
      </c>
      <c r="AX12" s="168">
        <v>1.79</v>
      </c>
      <c r="AY12" s="168">
        <v>1.79</v>
      </c>
      <c r="AZ12" s="168">
        <v>1.79</v>
      </c>
      <c r="BA12" s="168">
        <v>1.79</v>
      </c>
      <c r="BB12" s="168">
        <v>1.79</v>
      </c>
      <c r="BC12" s="168">
        <v>1.79</v>
      </c>
      <c r="BD12" s="168">
        <v>1.79</v>
      </c>
    </row>
    <row r="13" spans="1:16384">
      <c r="A13" s="163" t="s">
        <v>144</v>
      </c>
      <c r="B13" s="163" t="s">
        <v>145</v>
      </c>
      <c r="C13" s="161">
        <v>0.89285699989285705</v>
      </c>
      <c r="D13" s="161">
        <v>0.89285699989285705</v>
      </c>
      <c r="E13" s="161">
        <v>0.89285699989285705</v>
      </c>
      <c r="F13" s="161">
        <v>0.89285699989285705</v>
      </c>
      <c r="G13" s="161">
        <v>0.89285699989285705</v>
      </c>
      <c r="H13" s="161">
        <v>0.89285699989285705</v>
      </c>
      <c r="I13" s="161">
        <v>0.89285699989285705</v>
      </c>
      <c r="J13" s="161">
        <v>0.89285699989285705</v>
      </c>
      <c r="K13" s="161">
        <v>0.89285699989285705</v>
      </c>
      <c r="L13" s="161">
        <v>0.89285699989285705</v>
      </c>
      <c r="M13" s="161">
        <v>0.89285699989285705</v>
      </c>
      <c r="N13" s="161">
        <v>0.88267025929554799</v>
      </c>
      <c r="O13" s="161">
        <v>0.838697807262207</v>
      </c>
      <c r="P13" s="161">
        <v>0.70349710157742595</v>
      </c>
      <c r="Q13" s="161">
        <v>0.69666586863809599</v>
      </c>
      <c r="R13" s="161">
        <v>0.76387124900000003</v>
      </c>
      <c r="S13" s="161">
        <v>0.81828408233333305</v>
      </c>
      <c r="T13" s="161">
        <v>0.90182499900000002</v>
      </c>
      <c r="U13" s="161">
        <v>0.87365924900000003</v>
      </c>
      <c r="V13" s="161">
        <v>0.89464091566666704</v>
      </c>
      <c r="W13" s="161">
        <v>0.87824433233333299</v>
      </c>
      <c r="X13" s="161">
        <v>0.87021458233333304</v>
      </c>
      <c r="Y13" s="161">
        <v>0.98586283233333305</v>
      </c>
      <c r="Z13" s="161">
        <v>1.1100149991666699</v>
      </c>
      <c r="AA13" s="161">
        <v>1.1395191659166699</v>
      </c>
      <c r="AB13" s="161">
        <v>1.4318949995000001</v>
      </c>
      <c r="AC13" s="161">
        <v>1.4959741664166699</v>
      </c>
      <c r="AD13" s="161">
        <v>1.42818</v>
      </c>
      <c r="AE13" s="161">
        <v>1.2799083333333301</v>
      </c>
      <c r="AF13" s="161">
        <v>1.2645966666666699</v>
      </c>
      <c r="AG13" s="161">
        <v>1.2810566666666701</v>
      </c>
      <c r="AH13" s="161">
        <v>1.2837558333333301</v>
      </c>
      <c r="AI13" s="161">
        <v>1.36164833333333</v>
      </c>
      <c r="AJ13" s="161">
        <v>1.4705600000000001</v>
      </c>
      <c r="AK13" s="161">
        <v>1.3677508333333299</v>
      </c>
      <c r="AL13" s="168">
        <v>1.3490325000000001</v>
      </c>
      <c r="AM13" s="168">
        <v>1.27786333333333</v>
      </c>
      <c r="AN13" s="168">
        <v>1.34738</v>
      </c>
      <c r="AO13" s="168">
        <v>1.5918283333333301</v>
      </c>
      <c r="AP13" s="168">
        <v>1.5499499999999999</v>
      </c>
      <c r="AQ13" s="168">
        <v>1.7248266666666701</v>
      </c>
      <c r="AR13" s="168">
        <v>1.9334425</v>
      </c>
      <c r="AS13" s="168">
        <v>1.8405625000000001</v>
      </c>
      <c r="AT13" s="168">
        <v>1.54191416666667</v>
      </c>
      <c r="AU13" s="168">
        <v>1.3597524999999999</v>
      </c>
      <c r="AV13" s="168">
        <v>1.3094733333333299</v>
      </c>
      <c r="AW13" s="168">
        <v>1.3279734405000001</v>
      </c>
      <c r="AX13" s="168">
        <v>1.1950725</v>
      </c>
      <c r="AY13" s="168">
        <v>1.19217833333333</v>
      </c>
      <c r="AZ13" s="168">
        <v>1.28218881008452</v>
      </c>
      <c r="BA13" s="168">
        <v>1.0901594863867701</v>
      </c>
      <c r="BB13" s="168">
        <v>0.96946320149673504</v>
      </c>
      <c r="BC13" s="168">
        <v>0.96580103065870804</v>
      </c>
      <c r="BD13" s="168">
        <v>1.0358430965205401</v>
      </c>
    </row>
    <row r="14" spans="1:16384">
      <c r="A14" s="163" t="s">
        <v>146</v>
      </c>
      <c r="B14" s="163" t="s">
        <v>147</v>
      </c>
      <c r="C14" s="161">
        <v>26.000000024999999</v>
      </c>
      <c r="D14" s="161">
        <v>26.000000024999999</v>
      </c>
      <c r="E14" s="161">
        <v>26.000000024999999</v>
      </c>
      <c r="F14" s="161">
        <v>26.000000024999999</v>
      </c>
      <c r="G14" s="161">
        <v>26.000000024999999</v>
      </c>
      <c r="H14" s="161">
        <v>26.000000024999999</v>
      </c>
      <c r="I14" s="161">
        <v>26.000000024999999</v>
      </c>
      <c r="J14" s="161">
        <v>26.000000024999999</v>
      </c>
      <c r="K14" s="161">
        <v>26.000000024999999</v>
      </c>
      <c r="L14" s="161">
        <v>26.000000024999999</v>
      </c>
      <c r="M14" s="161">
        <v>26.000000024999999</v>
      </c>
      <c r="N14" s="161">
        <v>24.985583896139701</v>
      </c>
      <c r="O14" s="161">
        <v>23.1153333323333</v>
      </c>
      <c r="P14" s="161">
        <v>19.579999999083299</v>
      </c>
      <c r="Q14" s="161">
        <v>18.692499998999999</v>
      </c>
      <c r="R14" s="161">
        <v>17.416749999166701</v>
      </c>
      <c r="S14" s="161">
        <v>17.9396666658333</v>
      </c>
      <c r="T14" s="161">
        <v>16.526916666000002</v>
      </c>
      <c r="U14" s="161">
        <v>14.521666665750001</v>
      </c>
      <c r="V14" s="161">
        <v>13.367499999416699</v>
      </c>
      <c r="W14" s="161">
        <v>12.937999999083299</v>
      </c>
      <c r="X14" s="161">
        <v>15.926833332333301</v>
      </c>
      <c r="Y14" s="161">
        <v>17.059249999166699</v>
      </c>
      <c r="Z14" s="161">
        <v>17.9633333325</v>
      </c>
      <c r="AA14" s="161">
        <v>20.009083332666702</v>
      </c>
      <c r="AB14" s="161">
        <v>20.689499999833298</v>
      </c>
      <c r="AC14" s="161">
        <v>15.2671333333333</v>
      </c>
      <c r="AD14" s="161">
        <v>12.6425</v>
      </c>
      <c r="AE14" s="161">
        <v>12.347666666666701</v>
      </c>
      <c r="AF14" s="161">
        <v>13.2306666666667</v>
      </c>
      <c r="AG14" s="161">
        <v>11.3698333333333</v>
      </c>
      <c r="AH14" s="161">
        <v>11.6759166666667</v>
      </c>
      <c r="AI14" s="161">
        <v>10.989333333333301</v>
      </c>
      <c r="AJ14" s="161">
        <v>11.632182500000001</v>
      </c>
      <c r="AK14" s="161">
        <v>11.421824916666701</v>
      </c>
      <c r="AL14" s="168">
        <v>10.0814958333333</v>
      </c>
      <c r="AM14" s="168">
        <v>10.5865575</v>
      </c>
      <c r="AN14" s="168">
        <v>12.204244166666699</v>
      </c>
      <c r="AO14" s="168">
        <v>12.379065000000001</v>
      </c>
      <c r="AP14" s="168" t="s">
        <v>125</v>
      </c>
      <c r="AQ14" s="168" t="s">
        <v>125</v>
      </c>
      <c r="AR14" s="168" t="s">
        <v>125</v>
      </c>
      <c r="AS14" s="168" t="s">
        <v>125</v>
      </c>
      <c r="AT14" s="168" t="s">
        <v>125</v>
      </c>
      <c r="AU14" s="168" t="s">
        <v>125</v>
      </c>
      <c r="AV14" s="168" t="s">
        <v>125</v>
      </c>
      <c r="AW14" s="168" t="s">
        <v>125</v>
      </c>
      <c r="AX14" s="168" t="s">
        <v>125</v>
      </c>
      <c r="AY14" s="168" t="s">
        <v>125</v>
      </c>
      <c r="AZ14" s="168" t="s">
        <v>125</v>
      </c>
      <c r="BA14" s="168" t="s">
        <v>125</v>
      </c>
      <c r="BB14" s="168" t="s">
        <v>125</v>
      </c>
      <c r="BC14" s="168" t="s">
        <v>125</v>
      </c>
      <c r="BD14" s="168" t="s">
        <v>125</v>
      </c>
    </row>
    <row r="15" spans="1:16384">
      <c r="A15" s="163" t="s">
        <v>148</v>
      </c>
      <c r="B15" s="163" t="s">
        <v>149</v>
      </c>
      <c r="C15" s="161" t="s">
        <v>125</v>
      </c>
      <c r="D15" s="161" t="s">
        <v>125</v>
      </c>
      <c r="E15" s="161" t="s">
        <v>125</v>
      </c>
      <c r="F15" s="161" t="s">
        <v>125</v>
      </c>
      <c r="G15" s="161" t="s">
        <v>125</v>
      </c>
      <c r="H15" s="161" t="s">
        <v>125</v>
      </c>
      <c r="I15" s="161" t="s">
        <v>125</v>
      </c>
      <c r="J15" s="161" t="s">
        <v>125</v>
      </c>
      <c r="K15" s="161" t="s">
        <v>125</v>
      </c>
      <c r="L15" s="161" t="s">
        <v>125</v>
      </c>
      <c r="M15" s="161" t="s">
        <v>125</v>
      </c>
      <c r="N15" s="161" t="s">
        <v>125</v>
      </c>
      <c r="O15" s="161" t="s">
        <v>125</v>
      </c>
      <c r="P15" s="161" t="s">
        <v>125</v>
      </c>
      <c r="Q15" s="161" t="s">
        <v>125</v>
      </c>
      <c r="R15" s="161" t="s">
        <v>125</v>
      </c>
      <c r="S15" s="161" t="s">
        <v>125</v>
      </c>
      <c r="T15" s="161" t="s">
        <v>125</v>
      </c>
      <c r="U15" s="161" t="s">
        <v>125</v>
      </c>
      <c r="V15" s="161" t="s">
        <v>125</v>
      </c>
      <c r="W15" s="161" t="s">
        <v>125</v>
      </c>
      <c r="X15" s="161" t="s">
        <v>125</v>
      </c>
      <c r="Y15" s="161" t="s">
        <v>125</v>
      </c>
      <c r="Z15" s="161" t="s">
        <v>125</v>
      </c>
      <c r="AA15" s="161" t="s">
        <v>125</v>
      </c>
      <c r="AB15" s="161" t="s">
        <v>125</v>
      </c>
      <c r="AC15" s="161" t="s">
        <v>125</v>
      </c>
      <c r="AD15" s="161" t="s">
        <v>125</v>
      </c>
      <c r="AE15" s="161" t="s">
        <v>125</v>
      </c>
      <c r="AF15" s="161" t="s">
        <v>125</v>
      </c>
      <c r="AG15" s="161" t="s">
        <v>125</v>
      </c>
      <c r="AH15" s="161" t="s">
        <v>125</v>
      </c>
      <c r="AI15" s="161">
        <v>1.0840000000000001E-2</v>
      </c>
      <c r="AJ15" s="161">
        <v>1.9994999999999999E-2</v>
      </c>
      <c r="AK15" s="161">
        <v>0.31404500000000002</v>
      </c>
      <c r="AL15" s="168">
        <v>0.88270850000000001</v>
      </c>
      <c r="AM15" s="168">
        <v>0.86025283333333402</v>
      </c>
      <c r="AN15" s="168">
        <v>0.79707499999999998</v>
      </c>
      <c r="AO15" s="168">
        <v>0.77379968666666599</v>
      </c>
      <c r="AP15" s="168">
        <v>0.82403333333333395</v>
      </c>
      <c r="AQ15" s="168">
        <v>0.89483075000000001</v>
      </c>
      <c r="AR15" s="168">
        <v>0.93131666666666602</v>
      </c>
      <c r="AS15" s="168">
        <v>0.97216416666666605</v>
      </c>
      <c r="AT15" s="168">
        <v>0.98214599999999996</v>
      </c>
      <c r="AU15" s="168">
        <v>0.98269550000000006</v>
      </c>
      <c r="AV15" s="168">
        <v>0.94542099999999996</v>
      </c>
      <c r="AW15" s="168">
        <v>0.89344500000000004</v>
      </c>
      <c r="AX15" s="168">
        <v>0.85812380824372803</v>
      </c>
      <c r="AY15" s="168">
        <v>0.82161957885304604</v>
      </c>
      <c r="AZ15" s="168">
        <v>0.80378333333333296</v>
      </c>
      <c r="BA15" s="168">
        <v>0.80264999999999997</v>
      </c>
      <c r="BB15" s="168">
        <v>0.78968638888888898</v>
      </c>
      <c r="BC15" s="168">
        <v>0.78564534946236597</v>
      </c>
      <c r="BD15" s="168">
        <v>0.784541075268817</v>
      </c>
    </row>
    <row r="16" spans="1:16384">
      <c r="A16" s="163" t="s">
        <v>150</v>
      </c>
      <c r="B16" s="163" t="s">
        <v>151</v>
      </c>
      <c r="C16" s="161">
        <v>1.0204100000204099</v>
      </c>
      <c r="D16" s="161">
        <v>1.0204100000204099</v>
      </c>
      <c r="E16" s="161">
        <v>1.0204100000204099</v>
      </c>
      <c r="F16" s="161">
        <v>1.0204100000204099</v>
      </c>
      <c r="G16" s="161">
        <v>1.0204100000204099</v>
      </c>
      <c r="H16" s="161">
        <v>1.0204100000204099</v>
      </c>
      <c r="I16" s="161">
        <v>1.0204100000204099</v>
      </c>
      <c r="J16" s="161">
        <v>1.0204100000204099</v>
      </c>
      <c r="K16" s="161">
        <v>1.0204100000204099</v>
      </c>
      <c r="L16" s="161">
        <v>1.0204100000204099</v>
      </c>
      <c r="M16" s="161">
        <v>1.0017008333350299</v>
      </c>
      <c r="N16" s="161">
        <v>0.99999999900000003</v>
      </c>
      <c r="O16" s="161">
        <v>1</v>
      </c>
      <c r="P16" s="161">
        <v>0.99999999991666699</v>
      </c>
      <c r="Q16" s="161">
        <v>0.99999999900000003</v>
      </c>
      <c r="R16" s="161">
        <v>0.99999999900000003</v>
      </c>
      <c r="S16" s="161">
        <v>0.99999999900000003</v>
      </c>
      <c r="T16" s="161">
        <v>0.99999999900000003</v>
      </c>
      <c r="U16" s="161">
        <v>0.99999999900000003</v>
      </c>
      <c r="V16" s="161">
        <v>0.99999999900000003</v>
      </c>
      <c r="W16" s="161">
        <v>0.99999999900000003</v>
      </c>
      <c r="X16" s="161">
        <v>0.99999999900000003</v>
      </c>
      <c r="Y16" s="161">
        <v>0.99999999900000003</v>
      </c>
      <c r="Z16" s="161">
        <v>0.99999999900000003</v>
      </c>
      <c r="AA16" s="161">
        <v>0.99999999958333297</v>
      </c>
      <c r="AB16" s="161">
        <v>1</v>
      </c>
      <c r="AC16" s="161">
        <v>1</v>
      </c>
      <c r="AD16" s="161">
        <v>1</v>
      </c>
      <c r="AE16" s="161">
        <v>1</v>
      </c>
      <c r="AF16" s="161">
        <v>1</v>
      </c>
      <c r="AG16" s="161">
        <v>1</v>
      </c>
      <c r="AH16" s="161">
        <v>1</v>
      </c>
      <c r="AI16" s="161">
        <v>1</v>
      </c>
      <c r="AJ16" s="161">
        <v>1</v>
      </c>
      <c r="AK16" s="161">
        <v>1</v>
      </c>
      <c r="AL16" s="168">
        <v>1</v>
      </c>
      <c r="AM16" s="168">
        <v>1</v>
      </c>
      <c r="AN16" s="168">
        <v>1</v>
      </c>
      <c r="AO16" s="168">
        <v>1</v>
      </c>
      <c r="AP16" s="168">
        <v>1</v>
      </c>
      <c r="AQ16" s="168">
        <v>1</v>
      </c>
      <c r="AR16" s="168">
        <v>1</v>
      </c>
      <c r="AS16" s="168">
        <v>1</v>
      </c>
      <c r="AT16" s="168">
        <v>1</v>
      </c>
      <c r="AU16" s="168">
        <v>1</v>
      </c>
      <c r="AV16" s="168">
        <v>1</v>
      </c>
      <c r="AW16" s="168">
        <v>1</v>
      </c>
      <c r="AX16" s="168">
        <v>1</v>
      </c>
      <c r="AY16" s="168">
        <v>1</v>
      </c>
      <c r="AZ16" s="168">
        <v>1</v>
      </c>
      <c r="BA16" s="168">
        <v>1</v>
      </c>
      <c r="BB16" s="168">
        <v>1</v>
      </c>
      <c r="BC16" s="168">
        <v>1</v>
      </c>
      <c r="BD16" s="168">
        <v>1</v>
      </c>
    </row>
    <row r="17" spans="1:56">
      <c r="A17" s="163" t="s">
        <v>152</v>
      </c>
      <c r="B17" s="163" t="s">
        <v>153</v>
      </c>
      <c r="C17" s="161" t="s">
        <v>125</v>
      </c>
      <c r="D17" s="161" t="s">
        <v>125</v>
      </c>
      <c r="E17" s="161" t="s">
        <v>125</v>
      </c>
      <c r="F17" s="161" t="s">
        <v>125</v>
      </c>
      <c r="G17" s="161" t="s">
        <v>125</v>
      </c>
      <c r="H17" s="161" t="s">
        <v>125</v>
      </c>
      <c r="I17" s="161">
        <v>0.47618999947619001</v>
      </c>
      <c r="J17" s="161">
        <v>0.47618999947619001</v>
      </c>
      <c r="K17" s="161">
        <v>0.47618999947619001</v>
      </c>
      <c r="L17" s="161">
        <v>0.47618999947619001</v>
      </c>
      <c r="M17" s="161">
        <v>0.47618999947619001</v>
      </c>
      <c r="N17" s="161">
        <v>0.47479628758907599</v>
      </c>
      <c r="O17" s="161">
        <v>0.43859778342153799</v>
      </c>
      <c r="P17" s="161">
        <v>0.399630307154623</v>
      </c>
      <c r="Q17" s="161">
        <v>0.39473999900000001</v>
      </c>
      <c r="R17" s="161">
        <v>0.39549999899999999</v>
      </c>
      <c r="S17" s="161">
        <v>0.39559916566666697</v>
      </c>
      <c r="T17" s="161">
        <v>0.39564999899999997</v>
      </c>
      <c r="U17" s="161">
        <v>0.38745333233333301</v>
      </c>
      <c r="V17" s="161">
        <v>0.38161749924999999</v>
      </c>
      <c r="W17" s="161">
        <v>0.37700023471010102</v>
      </c>
      <c r="X17" s="161">
        <v>0.37599999899999997</v>
      </c>
      <c r="Y17" s="161">
        <v>0.37599999899999997</v>
      </c>
      <c r="Z17" s="161">
        <v>0.37599999899999997</v>
      </c>
      <c r="AA17" s="161">
        <v>0.37599999958333302</v>
      </c>
      <c r="AB17" s="161">
        <v>0.376</v>
      </c>
      <c r="AC17" s="161">
        <v>0.376</v>
      </c>
      <c r="AD17" s="161">
        <v>0.376</v>
      </c>
      <c r="AE17" s="161">
        <v>0.376</v>
      </c>
      <c r="AF17" s="161">
        <v>0.376</v>
      </c>
      <c r="AG17" s="161">
        <v>0.376</v>
      </c>
      <c r="AH17" s="161">
        <v>0.376</v>
      </c>
      <c r="AI17" s="161">
        <v>0.376</v>
      </c>
      <c r="AJ17" s="161">
        <v>0.37599998916666699</v>
      </c>
      <c r="AK17" s="161">
        <v>0.37599996499999999</v>
      </c>
      <c r="AL17" s="168">
        <v>0.37599997083333297</v>
      </c>
      <c r="AM17" s="168">
        <v>0.37599996749999998</v>
      </c>
      <c r="AN17" s="168">
        <v>0.37599996499999999</v>
      </c>
      <c r="AO17" s="168">
        <v>0.37599996250000001</v>
      </c>
      <c r="AP17" s="168">
        <v>0.375999979166667</v>
      </c>
      <c r="AQ17" s="168">
        <v>0.376</v>
      </c>
      <c r="AR17" s="168">
        <v>0.376</v>
      </c>
      <c r="AS17" s="168">
        <v>0.376</v>
      </c>
      <c r="AT17" s="168">
        <v>0.376</v>
      </c>
      <c r="AU17" s="168">
        <v>0.376</v>
      </c>
      <c r="AV17" s="168">
        <v>0.376</v>
      </c>
      <c r="AW17" s="168">
        <v>0.376</v>
      </c>
      <c r="AX17" s="168">
        <v>0.376</v>
      </c>
      <c r="AY17" s="168">
        <v>0.376</v>
      </c>
      <c r="AZ17" s="168">
        <v>0.376</v>
      </c>
      <c r="BA17" s="168">
        <v>0.376</v>
      </c>
      <c r="BB17" s="168">
        <v>0.376</v>
      </c>
      <c r="BC17" s="168">
        <v>0.376</v>
      </c>
      <c r="BD17" s="168">
        <v>0.376</v>
      </c>
    </row>
    <row r="18" spans="1:56">
      <c r="A18" s="163" t="s">
        <v>154</v>
      </c>
      <c r="B18" s="163" t="s">
        <v>155</v>
      </c>
      <c r="C18" s="161" t="s">
        <v>125</v>
      </c>
      <c r="D18" s="161" t="s">
        <v>125</v>
      </c>
      <c r="E18" s="161" t="s">
        <v>125</v>
      </c>
      <c r="F18" s="161" t="s">
        <v>125</v>
      </c>
      <c r="G18" s="161" t="s">
        <v>125</v>
      </c>
      <c r="H18" s="161" t="s">
        <v>125</v>
      </c>
      <c r="I18" s="161" t="s">
        <v>125</v>
      </c>
      <c r="J18" s="161" t="s">
        <v>125</v>
      </c>
      <c r="K18" s="161" t="s">
        <v>125</v>
      </c>
      <c r="L18" s="161" t="s">
        <v>125</v>
      </c>
      <c r="M18" s="161" t="s">
        <v>125</v>
      </c>
      <c r="N18" s="161">
        <v>7.8688425850291202</v>
      </c>
      <c r="O18" s="161">
        <v>7.7001841681494998</v>
      </c>
      <c r="P18" s="161">
        <v>7.8498159993174204</v>
      </c>
      <c r="Q18" s="161">
        <v>8.2260022412153795</v>
      </c>
      <c r="R18" s="161">
        <v>12.186180036989001</v>
      </c>
      <c r="S18" s="161">
        <v>15.3991686037548</v>
      </c>
      <c r="T18" s="161">
        <v>15.375099999416699</v>
      </c>
      <c r="U18" s="161">
        <v>15.016116665749999</v>
      </c>
      <c r="V18" s="161">
        <v>15.5519249993333</v>
      </c>
      <c r="W18" s="161">
        <v>15.454058332500001</v>
      </c>
      <c r="X18" s="161">
        <v>17.986691665833298</v>
      </c>
      <c r="Y18" s="161">
        <v>22.1178833323333</v>
      </c>
      <c r="Z18" s="161">
        <v>24.6154249995</v>
      </c>
      <c r="AA18" s="161">
        <v>25.353933385083302</v>
      </c>
      <c r="AB18" s="161">
        <v>27.9945916666667</v>
      </c>
      <c r="AC18" s="161">
        <v>30.4069</v>
      </c>
      <c r="AD18" s="161">
        <v>30.949833333333299</v>
      </c>
      <c r="AE18" s="161">
        <v>31.7332485981559</v>
      </c>
      <c r="AF18" s="161">
        <v>32.270000000000003</v>
      </c>
      <c r="AG18" s="161">
        <v>34.568808333333301</v>
      </c>
      <c r="AH18" s="161">
        <v>36.5961833333333</v>
      </c>
      <c r="AI18" s="161">
        <v>38.950758333333297</v>
      </c>
      <c r="AJ18" s="161">
        <v>39.567257499999997</v>
      </c>
      <c r="AK18" s="161">
        <v>40.211739166666703</v>
      </c>
      <c r="AL18" s="168">
        <v>40.278318333333303</v>
      </c>
      <c r="AM18" s="168">
        <v>41.794168333333303</v>
      </c>
      <c r="AN18" s="168">
        <v>43.8921158333333</v>
      </c>
      <c r="AO18" s="168">
        <v>46.905651666666699</v>
      </c>
      <c r="AP18" s="168">
        <v>49.0854</v>
      </c>
      <c r="AQ18" s="168">
        <v>52.141666666666701</v>
      </c>
      <c r="AR18" s="168">
        <v>55.8066666666667</v>
      </c>
      <c r="AS18" s="168">
        <v>57.887999999999998</v>
      </c>
      <c r="AT18" s="168">
        <v>58.150039999999997</v>
      </c>
      <c r="AU18" s="168">
        <v>59.512658333333299</v>
      </c>
      <c r="AV18" s="168">
        <v>64.327475000000007</v>
      </c>
      <c r="AW18" s="168">
        <v>68.933233333333305</v>
      </c>
      <c r="AX18" s="168">
        <v>68.874875000000003</v>
      </c>
      <c r="AY18" s="168">
        <v>68.598275000000001</v>
      </c>
      <c r="AZ18" s="168">
        <v>69.039066666666699</v>
      </c>
      <c r="BA18" s="168">
        <v>69.649291666666699</v>
      </c>
      <c r="BB18" s="168">
        <v>74.1524</v>
      </c>
      <c r="BC18" s="168">
        <v>81.8626583333333</v>
      </c>
      <c r="BD18" s="168">
        <v>78.103234999999998</v>
      </c>
    </row>
    <row r="19" spans="1:56">
      <c r="A19" s="163" t="s">
        <v>156</v>
      </c>
      <c r="B19" s="163" t="s">
        <v>157</v>
      </c>
      <c r="C19" s="161">
        <v>1.7142900007142901</v>
      </c>
      <c r="D19" s="161">
        <v>1.7142900007142901</v>
      </c>
      <c r="E19" s="161">
        <v>1.7142900007142901</v>
      </c>
      <c r="F19" s="161">
        <v>1.7142900007142901</v>
      </c>
      <c r="G19" s="161">
        <v>1.7142900007142901</v>
      </c>
      <c r="H19" s="161">
        <v>1.7142900007142901</v>
      </c>
      <c r="I19" s="161">
        <v>1.7142900007142901</v>
      </c>
      <c r="J19" s="161">
        <v>1.7380991672619099</v>
      </c>
      <c r="K19" s="161">
        <v>2.0000000010000001</v>
      </c>
      <c r="L19" s="161">
        <v>2.0000000010000001</v>
      </c>
      <c r="M19" s="161">
        <v>2.0000000010000001</v>
      </c>
      <c r="N19" s="161">
        <v>1.97487615254815</v>
      </c>
      <c r="O19" s="161">
        <v>1.92128071035726</v>
      </c>
      <c r="P19" s="161">
        <v>1.95922053743668</v>
      </c>
      <c r="Q19" s="161">
        <v>2.0532309107887801</v>
      </c>
      <c r="R19" s="161">
        <v>2.0188665976000002</v>
      </c>
      <c r="S19" s="161">
        <v>2</v>
      </c>
      <c r="T19" s="161">
        <v>2</v>
      </c>
      <c r="U19" s="161">
        <v>2</v>
      </c>
      <c r="V19" s="161">
        <v>2</v>
      </c>
      <c r="W19" s="161">
        <v>2</v>
      </c>
      <c r="X19" s="161">
        <v>2</v>
      </c>
      <c r="Y19" s="161">
        <v>2</v>
      </c>
      <c r="Z19" s="161">
        <v>2</v>
      </c>
      <c r="AA19" s="161">
        <v>2</v>
      </c>
      <c r="AB19" s="161">
        <v>2</v>
      </c>
      <c r="AC19" s="161">
        <v>2</v>
      </c>
      <c r="AD19" s="161">
        <v>2</v>
      </c>
      <c r="AE19" s="161">
        <v>2</v>
      </c>
      <c r="AF19" s="161">
        <v>2</v>
      </c>
      <c r="AG19" s="161">
        <v>2</v>
      </c>
      <c r="AH19" s="161">
        <v>2</v>
      </c>
      <c r="AI19" s="161">
        <v>2</v>
      </c>
      <c r="AJ19" s="161">
        <v>2</v>
      </c>
      <c r="AK19" s="161">
        <v>2</v>
      </c>
      <c r="AL19" s="168">
        <v>2</v>
      </c>
      <c r="AM19" s="168">
        <v>2</v>
      </c>
      <c r="AN19" s="168">
        <v>2</v>
      </c>
      <c r="AO19" s="168">
        <v>2</v>
      </c>
      <c r="AP19" s="168">
        <v>2</v>
      </c>
      <c r="AQ19" s="168">
        <v>2</v>
      </c>
      <c r="AR19" s="168">
        <v>2</v>
      </c>
      <c r="AS19" s="168">
        <v>2</v>
      </c>
      <c r="AT19" s="168">
        <v>2</v>
      </c>
      <c r="AU19" s="168">
        <v>2</v>
      </c>
      <c r="AV19" s="168">
        <v>2</v>
      </c>
      <c r="AW19" s="168">
        <v>2</v>
      </c>
      <c r="AX19" s="168">
        <v>2</v>
      </c>
      <c r="AY19" s="168">
        <v>2</v>
      </c>
      <c r="AZ19" s="168">
        <v>2</v>
      </c>
      <c r="BA19" s="168">
        <v>2</v>
      </c>
      <c r="BB19" s="168">
        <v>2</v>
      </c>
      <c r="BC19" s="168">
        <v>2</v>
      </c>
      <c r="BD19" s="168">
        <v>2</v>
      </c>
    </row>
    <row r="20" spans="1:56">
      <c r="A20" s="163" t="s">
        <v>158</v>
      </c>
      <c r="B20" s="163" t="s">
        <v>159</v>
      </c>
      <c r="C20" s="161" t="s">
        <v>125</v>
      </c>
      <c r="D20" s="161" t="s">
        <v>125</v>
      </c>
      <c r="E20" s="161" t="s">
        <v>125</v>
      </c>
      <c r="F20" s="161" t="s">
        <v>125</v>
      </c>
      <c r="G20" s="161" t="s">
        <v>125</v>
      </c>
      <c r="H20" s="161" t="s">
        <v>125</v>
      </c>
      <c r="I20" s="161" t="s">
        <v>125</v>
      </c>
      <c r="J20" s="161" t="s">
        <v>125</v>
      </c>
      <c r="K20" s="161" t="s">
        <v>125</v>
      </c>
      <c r="L20" s="161" t="s">
        <v>125</v>
      </c>
      <c r="M20" s="161" t="s">
        <v>125</v>
      </c>
      <c r="N20" s="161" t="s">
        <v>125</v>
      </c>
      <c r="O20" s="161" t="s">
        <v>125</v>
      </c>
      <c r="P20" s="161" t="s">
        <v>125</v>
      </c>
      <c r="Q20" s="161" t="s">
        <v>125</v>
      </c>
      <c r="R20" s="161" t="s">
        <v>125</v>
      </c>
      <c r="S20" s="161" t="s">
        <v>125</v>
      </c>
      <c r="T20" s="161" t="s">
        <v>125</v>
      </c>
      <c r="U20" s="161" t="s">
        <v>125</v>
      </c>
      <c r="V20" s="161" t="s">
        <v>125</v>
      </c>
      <c r="W20" s="161" t="s">
        <v>125</v>
      </c>
      <c r="X20" s="161" t="s">
        <v>125</v>
      </c>
      <c r="Y20" s="161" t="s">
        <v>125</v>
      </c>
      <c r="Z20" s="161" t="s">
        <v>125</v>
      </c>
      <c r="AA20" s="161" t="s">
        <v>125</v>
      </c>
      <c r="AB20" s="161" t="s">
        <v>125</v>
      </c>
      <c r="AC20" s="161" t="s">
        <v>125</v>
      </c>
      <c r="AD20" s="161" t="s">
        <v>125</v>
      </c>
      <c r="AE20" s="161" t="s">
        <v>125</v>
      </c>
      <c r="AF20" s="161" t="s">
        <v>125</v>
      </c>
      <c r="AG20" s="161" t="s">
        <v>125</v>
      </c>
      <c r="AH20" s="161" t="s">
        <v>125</v>
      </c>
      <c r="AI20" s="161" t="s">
        <v>125</v>
      </c>
      <c r="AJ20" s="161" t="s">
        <v>125</v>
      </c>
      <c r="AK20" s="161" t="s">
        <v>125</v>
      </c>
      <c r="AL20" s="168">
        <v>11.5209666666667</v>
      </c>
      <c r="AM20" s="168">
        <v>13.2298766666667</v>
      </c>
      <c r="AN20" s="168">
        <v>26.020549583333299</v>
      </c>
      <c r="AO20" s="168">
        <v>46.12762</v>
      </c>
      <c r="AP20" s="168">
        <v>249.29532916666699</v>
      </c>
      <c r="AQ20" s="168">
        <v>876.75</v>
      </c>
      <c r="AR20" s="168">
        <v>1390</v>
      </c>
      <c r="AS20" s="168">
        <v>1790.9166666666699</v>
      </c>
      <c r="AT20" s="168">
        <v>2051.2708333333298</v>
      </c>
      <c r="AU20" s="168">
        <v>2160.2575000000002</v>
      </c>
      <c r="AV20" s="168">
        <v>2153.8200000000002</v>
      </c>
      <c r="AW20" s="168">
        <v>2144.5641666666702</v>
      </c>
      <c r="AX20" s="168">
        <v>2146.0783333333302</v>
      </c>
      <c r="AY20" s="168">
        <v>2136.3975</v>
      </c>
      <c r="AZ20" s="168">
        <v>2793.0492178846898</v>
      </c>
      <c r="BA20" s="168">
        <v>2978.51</v>
      </c>
      <c r="BB20" s="168">
        <v>4974.6333333333296</v>
      </c>
      <c r="BC20" s="168">
        <v>8336.8983333333308</v>
      </c>
      <c r="BD20" s="168">
        <v>8880.0524999999998</v>
      </c>
    </row>
    <row r="21" spans="1:56">
      <c r="A21" s="163" t="s">
        <v>160</v>
      </c>
      <c r="B21" s="163" t="s">
        <v>161</v>
      </c>
      <c r="C21" s="161">
        <v>50.000000049000001</v>
      </c>
      <c r="D21" s="161">
        <v>50.000000049000001</v>
      </c>
      <c r="E21" s="161">
        <v>50.000000049000001</v>
      </c>
      <c r="F21" s="161">
        <v>50.000000049000001</v>
      </c>
      <c r="G21" s="161">
        <v>50.000000049000001</v>
      </c>
      <c r="H21" s="161">
        <v>50.000000049000001</v>
      </c>
      <c r="I21" s="161">
        <v>50.000000049000001</v>
      </c>
      <c r="J21" s="161">
        <v>50.000000049000001</v>
      </c>
      <c r="K21" s="161">
        <v>50.000000049000001</v>
      </c>
      <c r="L21" s="161">
        <v>50.000000049000001</v>
      </c>
      <c r="M21" s="161">
        <v>50.000000049000001</v>
      </c>
      <c r="N21" s="161">
        <v>49.056977421689801</v>
      </c>
      <c r="O21" s="161">
        <v>44.014583332333302</v>
      </c>
      <c r="P21" s="161">
        <v>38.976499998999998</v>
      </c>
      <c r="Q21" s="161">
        <v>38.951499998999999</v>
      </c>
      <c r="R21" s="161">
        <v>36.778916665666699</v>
      </c>
      <c r="S21" s="161">
        <v>38.605166665666701</v>
      </c>
      <c r="T21" s="161">
        <v>35.842749998999999</v>
      </c>
      <c r="U21" s="161">
        <v>31.492083332333301</v>
      </c>
      <c r="V21" s="161">
        <v>29.318666665666701</v>
      </c>
      <c r="W21" s="161">
        <v>29.24166666575</v>
      </c>
      <c r="X21" s="161">
        <v>37.129249999166703</v>
      </c>
      <c r="Y21" s="161">
        <v>45.690583332333297</v>
      </c>
      <c r="Z21" s="161">
        <v>51.131666665833301</v>
      </c>
      <c r="AA21" s="161">
        <v>57.783916666416701</v>
      </c>
      <c r="AB21" s="161">
        <v>59.378</v>
      </c>
      <c r="AC21" s="161">
        <v>44.671916666666696</v>
      </c>
      <c r="AD21" s="161">
        <v>37.334083333333297</v>
      </c>
      <c r="AE21" s="161">
        <v>36.768333333333302</v>
      </c>
      <c r="AF21" s="161">
        <v>39.404000000000003</v>
      </c>
      <c r="AG21" s="161">
        <v>33.417916666666699</v>
      </c>
      <c r="AH21" s="161">
        <v>34.148249999999997</v>
      </c>
      <c r="AI21" s="161">
        <v>32.149500000000003</v>
      </c>
      <c r="AJ21" s="161">
        <v>34.596520833333301</v>
      </c>
      <c r="AK21" s="161">
        <v>33.456497499999998</v>
      </c>
      <c r="AL21" s="168">
        <v>29.4800166666667</v>
      </c>
      <c r="AM21" s="168">
        <v>30.961513333333301</v>
      </c>
      <c r="AN21" s="168">
        <v>35.773890833333297</v>
      </c>
      <c r="AO21" s="168">
        <v>36.298640833333302</v>
      </c>
      <c r="AP21" s="168" t="s">
        <v>125</v>
      </c>
      <c r="AQ21" s="168" t="s">
        <v>125</v>
      </c>
      <c r="AR21" s="168" t="s">
        <v>125</v>
      </c>
      <c r="AS21" s="168" t="s">
        <v>125</v>
      </c>
      <c r="AT21" s="168" t="s">
        <v>125</v>
      </c>
      <c r="AU21" s="168" t="s">
        <v>125</v>
      </c>
      <c r="AV21" s="168" t="s">
        <v>125</v>
      </c>
      <c r="AW21" s="168" t="s">
        <v>125</v>
      </c>
      <c r="AX21" s="168" t="s">
        <v>125</v>
      </c>
      <c r="AY21" s="168" t="s">
        <v>125</v>
      </c>
      <c r="AZ21" s="168" t="s">
        <v>125</v>
      </c>
      <c r="BA21" s="168" t="s">
        <v>125</v>
      </c>
      <c r="BB21" s="168" t="s">
        <v>125</v>
      </c>
      <c r="BC21" s="168" t="s">
        <v>125</v>
      </c>
      <c r="BD21" s="168" t="s">
        <v>125</v>
      </c>
    </row>
    <row r="22" spans="1:56">
      <c r="A22" s="163" t="s">
        <v>162</v>
      </c>
      <c r="B22" s="163" t="s">
        <v>163</v>
      </c>
      <c r="C22" s="161">
        <v>1.42857000042857</v>
      </c>
      <c r="D22" s="161">
        <v>1.42857000042857</v>
      </c>
      <c r="E22" s="161">
        <v>1.42857000042857</v>
      </c>
      <c r="F22" s="161">
        <v>1.42857000042857</v>
      </c>
      <c r="G22" s="161">
        <v>1.42857000042857</v>
      </c>
      <c r="H22" s="161">
        <v>1.42857000042857</v>
      </c>
      <c r="I22" s="161">
        <v>1.42857000042857</v>
      </c>
      <c r="J22" s="161">
        <v>1.4484116669960301</v>
      </c>
      <c r="K22" s="161">
        <v>1.6666700006666699</v>
      </c>
      <c r="L22" s="161">
        <v>1.6666700006666699</v>
      </c>
      <c r="M22" s="161">
        <v>1.6666700006666699</v>
      </c>
      <c r="N22" s="161">
        <v>1.6436821181343699</v>
      </c>
      <c r="O22" s="161">
        <v>1.6015618461200301</v>
      </c>
      <c r="P22" s="161">
        <v>1.6326837811972299</v>
      </c>
      <c r="Q22" s="161">
        <v>1.7109267840790501</v>
      </c>
      <c r="R22" s="161">
        <v>1.80804370464356</v>
      </c>
      <c r="S22" s="161">
        <v>2.2256731316515599</v>
      </c>
      <c r="T22" s="161">
        <v>2</v>
      </c>
      <c r="U22" s="161">
        <v>2</v>
      </c>
      <c r="V22" s="161">
        <v>2</v>
      </c>
      <c r="W22" s="161">
        <v>2</v>
      </c>
      <c r="X22" s="161">
        <v>2</v>
      </c>
      <c r="Y22" s="161">
        <v>2</v>
      </c>
      <c r="Z22" s="161">
        <v>2</v>
      </c>
      <c r="AA22" s="161">
        <v>2</v>
      </c>
      <c r="AB22" s="161">
        <v>2</v>
      </c>
      <c r="AC22" s="161">
        <v>2</v>
      </c>
      <c r="AD22" s="161">
        <v>2</v>
      </c>
      <c r="AE22" s="161">
        <v>2</v>
      </c>
      <c r="AF22" s="161">
        <v>2</v>
      </c>
      <c r="AG22" s="161">
        <v>2</v>
      </c>
      <c r="AH22" s="161">
        <v>2</v>
      </c>
      <c r="AI22" s="161">
        <v>2</v>
      </c>
      <c r="AJ22" s="161">
        <v>2</v>
      </c>
      <c r="AK22" s="161">
        <v>2</v>
      </c>
      <c r="AL22" s="168">
        <v>2</v>
      </c>
      <c r="AM22" s="168">
        <v>2</v>
      </c>
      <c r="AN22" s="168">
        <v>2</v>
      </c>
      <c r="AO22" s="168">
        <v>2</v>
      </c>
      <c r="AP22" s="168">
        <v>2</v>
      </c>
      <c r="AQ22" s="168">
        <v>2</v>
      </c>
      <c r="AR22" s="168">
        <v>2</v>
      </c>
      <c r="AS22" s="168">
        <v>2</v>
      </c>
      <c r="AT22" s="168">
        <v>2</v>
      </c>
      <c r="AU22" s="168">
        <v>2</v>
      </c>
      <c r="AV22" s="168">
        <v>2</v>
      </c>
      <c r="AW22" s="168">
        <v>2</v>
      </c>
      <c r="AX22" s="168">
        <v>2</v>
      </c>
      <c r="AY22" s="168">
        <v>2</v>
      </c>
      <c r="AZ22" s="168">
        <v>2</v>
      </c>
      <c r="BA22" s="168">
        <v>2</v>
      </c>
      <c r="BB22" s="168">
        <v>2</v>
      </c>
      <c r="BC22" s="168">
        <v>2</v>
      </c>
      <c r="BD22" s="168">
        <v>2</v>
      </c>
    </row>
    <row r="23" spans="1:56">
      <c r="A23" s="163" t="s">
        <v>164</v>
      </c>
      <c r="B23" s="163" t="s">
        <v>165</v>
      </c>
      <c r="C23" s="161">
        <v>245.19510139835899</v>
      </c>
      <c r="D23" s="161">
        <v>245.26010162116</v>
      </c>
      <c r="E23" s="161">
        <v>245.013850686544</v>
      </c>
      <c r="F23" s="161">
        <v>245.01635069607499</v>
      </c>
      <c r="G23" s="161">
        <v>245.027184079042</v>
      </c>
      <c r="H23" s="161">
        <v>245.06093420770799</v>
      </c>
      <c r="I23" s="161">
        <v>245.67843655764401</v>
      </c>
      <c r="J23" s="161">
        <v>246.00093779128099</v>
      </c>
      <c r="K23" s="161">
        <v>247.56469375695099</v>
      </c>
      <c r="L23" s="161">
        <v>259.960574351236</v>
      </c>
      <c r="M23" s="161">
        <v>276.403137026845</v>
      </c>
      <c r="N23" s="161">
        <v>275.35645668533198</v>
      </c>
      <c r="O23" s="161">
        <v>252.02762746264901</v>
      </c>
      <c r="P23" s="161">
        <v>222.88918305322699</v>
      </c>
      <c r="Q23" s="161">
        <v>240.70466763782301</v>
      </c>
      <c r="R23" s="161">
        <v>214.31290034121901</v>
      </c>
      <c r="S23" s="161">
        <v>238.95049426705901</v>
      </c>
      <c r="T23" s="161">
        <v>245.67968656657601</v>
      </c>
      <c r="U23" s="161">
        <v>225.65586023395699</v>
      </c>
      <c r="V23" s="161">
        <v>212.721644262377</v>
      </c>
      <c r="W23" s="161">
        <v>211.27955541470499</v>
      </c>
      <c r="X23" s="161">
        <v>271.73145255032699</v>
      </c>
      <c r="Y23" s="161">
        <v>328.60625269898998</v>
      </c>
      <c r="Z23" s="161">
        <v>381.06603602462798</v>
      </c>
      <c r="AA23" s="161">
        <v>436.95666578800802</v>
      </c>
      <c r="AB23" s="161">
        <v>449.26296271160697</v>
      </c>
      <c r="AC23" s="161">
        <v>346.305903554493</v>
      </c>
      <c r="AD23" s="161">
        <v>300.53656240147802</v>
      </c>
      <c r="AE23" s="161">
        <v>297.84821881937802</v>
      </c>
      <c r="AF23" s="161">
        <v>319.008299487903</v>
      </c>
      <c r="AG23" s="161">
        <v>272.264787954393</v>
      </c>
      <c r="AH23" s="161">
        <v>282.10690880881998</v>
      </c>
      <c r="AI23" s="161">
        <v>264.69180075057898</v>
      </c>
      <c r="AJ23" s="161">
        <v>283.16257950001801</v>
      </c>
      <c r="AK23" s="161">
        <v>555.20469565569704</v>
      </c>
      <c r="AL23" s="168">
        <v>499.14842590131002</v>
      </c>
      <c r="AM23" s="168">
        <v>511.55243027251601</v>
      </c>
      <c r="AN23" s="168">
        <v>583.66937235339606</v>
      </c>
      <c r="AO23" s="168">
        <v>589.951774567332</v>
      </c>
      <c r="AP23" s="168">
        <v>615.69913197380595</v>
      </c>
      <c r="AQ23" s="168">
        <v>711.97627443083297</v>
      </c>
      <c r="AR23" s="168">
        <v>733.03850707000004</v>
      </c>
      <c r="AS23" s="168">
        <v>696.98820361166702</v>
      </c>
      <c r="AT23" s="168">
        <v>581.20031386416701</v>
      </c>
      <c r="AU23" s="168">
        <v>528.28480930499995</v>
      </c>
      <c r="AV23" s="168">
        <v>527.46814284000004</v>
      </c>
      <c r="AW23" s="168">
        <v>522.89010961083295</v>
      </c>
      <c r="AX23" s="168">
        <v>479.26678258750002</v>
      </c>
      <c r="AY23" s="168">
        <v>447.80525556077299</v>
      </c>
      <c r="AZ23" s="168">
        <v>472.18629075489298</v>
      </c>
      <c r="BA23" s="168">
        <v>495.277021572396</v>
      </c>
      <c r="BB23" s="168">
        <v>471.86611409170001</v>
      </c>
      <c r="BC23" s="168">
        <v>510.52713590196998</v>
      </c>
      <c r="BD23" s="168">
        <v>494.04003744699003</v>
      </c>
    </row>
    <row r="24" spans="1:56">
      <c r="A24" s="163" t="s">
        <v>166</v>
      </c>
      <c r="B24" s="163" t="s">
        <v>167</v>
      </c>
      <c r="C24" s="161">
        <v>0.85714251394313101</v>
      </c>
      <c r="D24" s="161">
        <v>0.85714251394313101</v>
      </c>
      <c r="E24" s="161">
        <v>0.85714251394313101</v>
      </c>
      <c r="F24" s="161">
        <v>0.85714251394313101</v>
      </c>
      <c r="G24" s="161">
        <v>0.85714251394313101</v>
      </c>
      <c r="H24" s="161">
        <v>0.85714251394313101</v>
      </c>
      <c r="I24" s="161">
        <v>0.85714251394313101</v>
      </c>
      <c r="J24" s="161">
        <v>0.869047094869276</v>
      </c>
      <c r="K24" s="161">
        <v>1</v>
      </c>
      <c r="L24" s="161">
        <v>1</v>
      </c>
      <c r="M24" s="161">
        <v>1</v>
      </c>
      <c r="N24" s="161">
        <v>0.99999999900000003</v>
      </c>
      <c r="O24" s="161">
        <v>1</v>
      </c>
      <c r="P24" s="161">
        <v>1</v>
      </c>
      <c r="Q24" s="161">
        <v>0.99999999949999996</v>
      </c>
      <c r="R24" s="161">
        <v>0.99999999900000003</v>
      </c>
      <c r="S24" s="161">
        <v>0.99999999900000003</v>
      </c>
      <c r="T24" s="161">
        <v>0.99999999900000003</v>
      </c>
      <c r="U24" s="161">
        <v>0.99999999900000003</v>
      </c>
      <c r="V24" s="161">
        <v>0.99999999900000003</v>
      </c>
      <c r="W24" s="161">
        <v>0.99999999900000003</v>
      </c>
      <c r="X24" s="161">
        <v>0.99999999900000003</v>
      </c>
      <c r="Y24" s="161">
        <v>0.99999999900000003</v>
      </c>
      <c r="Z24" s="161">
        <v>0.99999999900000003</v>
      </c>
      <c r="AA24" s="161">
        <v>0.99999999958333297</v>
      </c>
      <c r="AB24" s="161">
        <v>1</v>
      </c>
      <c r="AC24" s="161">
        <v>1</v>
      </c>
      <c r="AD24" s="161">
        <v>1</v>
      </c>
      <c r="AE24" s="161">
        <v>1</v>
      </c>
      <c r="AF24" s="161">
        <v>1</v>
      </c>
      <c r="AG24" s="161">
        <v>1</v>
      </c>
      <c r="AH24" s="161">
        <v>1</v>
      </c>
      <c r="AI24" s="161">
        <v>1</v>
      </c>
      <c r="AJ24" s="161">
        <v>1</v>
      </c>
      <c r="AK24" s="161">
        <v>1</v>
      </c>
      <c r="AL24" s="168">
        <v>1</v>
      </c>
      <c r="AM24" s="168">
        <v>1</v>
      </c>
      <c r="AN24" s="168">
        <v>1</v>
      </c>
      <c r="AO24" s="168">
        <v>1</v>
      </c>
      <c r="AP24" s="168">
        <v>1</v>
      </c>
      <c r="AQ24" s="168">
        <v>1</v>
      </c>
      <c r="AR24" s="168">
        <v>1</v>
      </c>
      <c r="AS24" s="168">
        <v>1</v>
      </c>
      <c r="AT24" s="168">
        <v>1</v>
      </c>
      <c r="AU24" s="168">
        <v>1</v>
      </c>
      <c r="AV24" s="168">
        <v>1</v>
      </c>
      <c r="AW24" s="168">
        <v>1</v>
      </c>
      <c r="AX24" s="168">
        <v>1</v>
      </c>
      <c r="AY24" s="168">
        <v>1</v>
      </c>
      <c r="AZ24" s="168">
        <v>1</v>
      </c>
      <c r="BA24" s="168">
        <v>1</v>
      </c>
      <c r="BB24" s="168">
        <v>1</v>
      </c>
      <c r="BC24" s="168">
        <v>1</v>
      </c>
      <c r="BD24" s="168">
        <v>1</v>
      </c>
    </row>
    <row r="25" spans="1:56">
      <c r="A25" s="163" t="s">
        <v>168</v>
      </c>
      <c r="B25" s="163" t="s">
        <v>169</v>
      </c>
      <c r="C25" s="161">
        <v>4.7619000037618999</v>
      </c>
      <c r="D25" s="161">
        <v>4.7619000037618999</v>
      </c>
      <c r="E25" s="161">
        <v>4.7619000037618999</v>
      </c>
      <c r="F25" s="161">
        <v>4.7619000037618999</v>
      </c>
      <c r="G25" s="161">
        <v>4.7619000037618999</v>
      </c>
      <c r="H25" s="161">
        <v>4.7619000037618999</v>
      </c>
      <c r="I25" s="161">
        <v>6.35912500535912</v>
      </c>
      <c r="J25" s="161">
        <v>7.5000000064999996</v>
      </c>
      <c r="K25" s="161">
        <v>7.5000000064999996</v>
      </c>
      <c r="L25" s="161">
        <v>7.5000000064999996</v>
      </c>
      <c r="M25" s="161">
        <v>7.5000000064999996</v>
      </c>
      <c r="N25" s="161">
        <v>7.4919352309682399</v>
      </c>
      <c r="O25" s="161">
        <v>7.5944683739493604</v>
      </c>
      <c r="P25" s="161">
        <v>7.7420385621496797</v>
      </c>
      <c r="Q25" s="161">
        <v>8.1016032272182894</v>
      </c>
      <c r="R25" s="161">
        <v>8.3758919456538603</v>
      </c>
      <c r="S25" s="161">
        <v>8.9604127281239201</v>
      </c>
      <c r="T25" s="161">
        <v>8.7385761713145698</v>
      </c>
      <c r="U25" s="161">
        <v>8.1928403484039301</v>
      </c>
      <c r="V25" s="161">
        <v>8.12579094635689</v>
      </c>
      <c r="W25" s="161">
        <v>7.8629447011379803</v>
      </c>
      <c r="X25" s="161">
        <v>8.6585228170931696</v>
      </c>
      <c r="Y25" s="161">
        <v>9.4551319334863901</v>
      </c>
      <c r="Z25" s="161">
        <v>10.098898244046101</v>
      </c>
      <c r="AA25" s="161">
        <v>11.3625833326667</v>
      </c>
      <c r="AB25" s="161">
        <v>12.368749999583301</v>
      </c>
      <c r="AC25" s="161">
        <v>12.61083333325</v>
      </c>
      <c r="AD25" s="161">
        <v>12.961499999999999</v>
      </c>
      <c r="AE25" s="161">
        <v>13.9170833333333</v>
      </c>
      <c r="AF25" s="161">
        <v>16.2255</v>
      </c>
      <c r="AG25" s="161">
        <v>17.505324999999999</v>
      </c>
      <c r="AH25" s="161">
        <v>22.742433333333299</v>
      </c>
      <c r="AI25" s="161">
        <v>25.9180833333333</v>
      </c>
      <c r="AJ25" s="161">
        <v>30.4932916666667</v>
      </c>
      <c r="AK25" s="161">
        <v>31.373742499999999</v>
      </c>
      <c r="AL25" s="168">
        <v>32.4270766666667</v>
      </c>
      <c r="AM25" s="168">
        <v>35.433173333333301</v>
      </c>
      <c r="AN25" s="168">
        <v>36.313285833333303</v>
      </c>
      <c r="AO25" s="168">
        <v>41.259365000000003</v>
      </c>
      <c r="AP25" s="168">
        <v>43.055428333333303</v>
      </c>
      <c r="AQ25" s="168">
        <v>44.941605000000003</v>
      </c>
      <c r="AR25" s="168">
        <v>47.186414166666701</v>
      </c>
      <c r="AS25" s="168">
        <v>48.610319166666699</v>
      </c>
      <c r="AT25" s="168">
        <v>46.583284166666701</v>
      </c>
      <c r="AU25" s="168">
        <v>45.316466666666699</v>
      </c>
      <c r="AV25" s="168">
        <v>44.099975000000001</v>
      </c>
      <c r="AW25" s="168">
        <v>45.3070083333333</v>
      </c>
      <c r="AX25" s="168">
        <v>41.3485333333333</v>
      </c>
      <c r="AY25" s="168">
        <v>43.505183333333299</v>
      </c>
      <c r="AZ25" s="168">
        <v>48.405266666666698</v>
      </c>
      <c r="BA25" s="168">
        <v>45.725812121212101</v>
      </c>
      <c r="BB25" s="168">
        <v>46.670466666666698</v>
      </c>
      <c r="BC25" s="168">
        <v>53.437233333333303</v>
      </c>
      <c r="BD25" s="168">
        <v>58.597845416666701</v>
      </c>
    </row>
    <row r="26" spans="1:56">
      <c r="A26" s="163" t="s">
        <v>170</v>
      </c>
      <c r="B26" s="163" t="s">
        <v>171</v>
      </c>
      <c r="C26" s="161">
        <v>1.188E-5</v>
      </c>
      <c r="D26" s="161">
        <v>1.188E-5</v>
      </c>
      <c r="E26" s="161">
        <v>1.188E-5</v>
      </c>
      <c r="F26" s="161">
        <v>1.188E-5</v>
      </c>
      <c r="G26" s="161">
        <v>1.188E-5</v>
      </c>
      <c r="H26" s="161">
        <v>1.188E-5</v>
      </c>
      <c r="I26" s="161">
        <v>1.188E-5</v>
      </c>
      <c r="J26" s="161">
        <v>1.188E-5</v>
      </c>
      <c r="K26" s="161">
        <v>1.188E-5</v>
      </c>
      <c r="L26" s="161">
        <v>1.188E-5</v>
      </c>
      <c r="M26" s="161">
        <v>1.188E-5</v>
      </c>
      <c r="N26" s="161">
        <v>1.188E-5</v>
      </c>
      <c r="O26" s="161">
        <v>1.3295000000000001E-5</v>
      </c>
      <c r="P26" s="161">
        <v>2.001E-5</v>
      </c>
      <c r="Q26" s="161">
        <v>2.001E-5</v>
      </c>
      <c r="R26" s="161">
        <v>2.001E-5</v>
      </c>
      <c r="S26" s="161">
        <v>2.001E-5</v>
      </c>
      <c r="T26" s="161">
        <v>2.001E-5</v>
      </c>
      <c r="U26" s="161">
        <v>2.001E-5</v>
      </c>
      <c r="V26" s="161">
        <v>2.0403333333333301E-5</v>
      </c>
      <c r="W26" s="161">
        <v>2.4519999999999999E-5</v>
      </c>
      <c r="X26" s="161">
        <v>2.4519999999999999E-5</v>
      </c>
      <c r="Y26" s="161">
        <v>6.4071666666666699E-5</v>
      </c>
      <c r="Z26" s="161">
        <v>2.3163E-4</v>
      </c>
      <c r="AA26" s="161">
        <v>3.1359091666666701E-3</v>
      </c>
      <c r="AB26" s="161">
        <v>0.44002900833333303</v>
      </c>
      <c r="AC26" s="161">
        <v>1.9219583333333301</v>
      </c>
      <c r="AD26" s="161">
        <v>2.0548500000000001</v>
      </c>
      <c r="AE26" s="161">
        <v>2.3502416666666699</v>
      </c>
      <c r="AF26" s="161">
        <v>2.6916833333333301</v>
      </c>
      <c r="AG26" s="161">
        <v>3.17265</v>
      </c>
      <c r="AH26" s="161">
        <v>3.5806083333333301</v>
      </c>
      <c r="AI26" s="161">
        <v>3.90051666666667</v>
      </c>
      <c r="AJ26" s="161">
        <v>4.2650833333333296</v>
      </c>
      <c r="AK26" s="161">
        <v>4.6205166666666697</v>
      </c>
      <c r="AL26" s="168">
        <v>4.8003416666666698</v>
      </c>
      <c r="AM26" s="168">
        <v>5.0746124999999997</v>
      </c>
      <c r="AN26" s="168">
        <v>5.2542583333333299</v>
      </c>
      <c r="AO26" s="168">
        <v>5.5101333333333304</v>
      </c>
      <c r="AP26" s="168">
        <v>5.8124083333333303</v>
      </c>
      <c r="AQ26" s="168">
        <v>6.1835416666666703</v>
      </c>
      <c r="AR26" s="168">
        <v>6.6069166666666703</v>
      </c>
      <c r="AS26" s="168">
        <v>7.17</v>
      </c>
      <c r="AT26" s="168">
        <v>7.6591666666666702</v>
      </c>
      <c r="AU26" s="168">
        <v>7.9362666666666701</v>
      </c>
      <c r="AV26" s="168">
        <v>8.0660624999999992</v>
      </c>
      <c r="AW26" s="168">
        <v>8.0116166666666704</v>
      </c>
      <c r="AX26" s="168">
        <v>7.8512451612499996</v>
      </c>
      <c r="AY26" s="168">
        <v>7.2383206989166702</v>
      </c>
      <c r="AZ26" s="168">
        <v>7.02</v>
      </c>
      <c r="BA26" s="168">
        <v>7.0166666666666702</v>
      </c>
      <c r="BB26" s="168">
        <v>6.9369624999999999</v>
      </c>
      <c r="BC26" s="168">
        <v>6.91</v>
      </c>
      <c r="BD26" s="168">
        <v>6.91</v>
      </c>
    </row>
    <row r="27" spans="1:56">
      <c r="A27" s="163" t="s">
        <v>172</v>
      </c>
      <c r="B27" s="163" t="s">
        <v>173</v>
      </c>
      <c r="C27" s="161" t="s">
        <v>125</v>
      </c>
      <c r="D27" s="161" t="s">
        <v>125</v>
      </c>
      <c r="E27" s="161" t="s">
        <v>125</v>
      </c>
      <c r="F27" s="161" t="s">
        <v>125</v>
      </c>
      <c r="G27" s="161" t="s">
        <v>125</v>
      </c>
      <c r="H27" s="161" t="s">
        <v>125</v>
      </c>
      <c r="I27" s="161" t="s">
        <v>125</v>
      </c>
      <c r="J27" s="161" t="s">
        <v>125</v>
      </c>
      <c r="K27" s="161" t="s">
        <v>125</v>
      </c>
      <c r="L27" s="161" t="s">
        <v>125</v>
      </c>
      <c r="M27" s="161" t="s">
        <v>125</v>
      </c>
      <c r="N27" s="161" t="s">
        <v>125</v>
      </c>
      <c r="O27" s="161" t="s">
        <v>125</v>
      </c>
      <c r="P27" s="161" t="s">
        <v>125</v>
      </c>
      <c r="Q27" s="161" t="s">
        <v>125</v>
      </c>
      <c r="R27" s="161" t="s">
        <v>125</v>
      </c>
      <c r="S27" s="161" t="s">
        <v>125</v>
      </c>
      <c r="T27" s="161" t="s">
        <v>125</v>
      </c>
      <c r="U27" s="161" t="s">
        <v>125</v>
      </c>
      <c r="V27" s="161" t="s">
        <v>125</v>
      </c>
      <c r="W27" s="161" t="s">
        <v>125</v>
      </c>
      <c r="X27" s="161" t="s">
        <v>125</v>
      </c>
      <c r="Y27" s="161" t="s">
        <v>125</v>
      </c>
      <c r="Z27" s="161" t="s">
        <v>125</v>
      </c>
      <c r="AA27" s="161" t="s">
        <v>125</v>
      </c>
      <c r="AB27" s="161" t="s">
        <v>125</v>
      </c>
      <c r="AC27" s="161" t="s">
        <v>125</v>
      </c>
      <c r="AD27" s="161" t="s">
        <v>125</v>
      </c>
      <c r="AE27" s="161" t="s">
        <v>125</v>
      </c>
      <c r="AF27" s="161" t="s">
        <v>125</v>
      </c>
      <c r="AG27" s="161" t="s">
        <v>125</v>
      </c>
      <c r="AH27" s="161" t="s">
        <v>125</v>
      </c>
      <c r="AI27" s="161" t="s">
        <v>125</v>
      </c>
      <c r="AJ27" s="161" t="s">
        <v>125</v>
      </c>
      <c r="AK27" s="161" t="s">
        <v>125</v>
      </c>
      <c r="AL27" s="168" t="s">
        <v>125</v>
      </c>
      <c r="AM27" s="168" t="s">
        <v>125</v>
      </c>
      <c r="AN27" s="168">
        <v>1.73405583333333</v>
      </c>
      <c r="AO27" s="168">
        <v>1.75966758333333</v>
      </c>
      <c r="AP27" s="168">
        <v>1.8357953848931099</v>
      </c>
      <c r="AQ27" s="168">
        <v>2.12285951185833</v>
      </c>
      <c r="AR27" s="168">
        <v>2.1856595833000001</v>
      </c>
      <c r="AS27" s="168">
        <v>2.07817042621667</v>
      </c>
      <c r="AT27" s="168">
        <v>1.7329322041916699</v>
      </c>
      <c r="AU27" s="168">
        <v>1.57515702795</v>
      </c>
      <c r="AV27" s="168">
        <v>1.5727220196</v>
      </c>
      <c r="AW27" s="168">
        <v>1.5590719560583299</v>
      </c>
      <c r="AX27" s="168">
        <v>1.429002741625</v>
      </c>
      <c r="AY27" s="168">
        <v>1.3351956804842799</v>
      </c>
      <c r="AZ27" s="168">
        <v>1.4078912383694999</v>
      </c>
      <c r="BA27" s="168">
        <v>1.47673956845028</v>
      </c>
      <c r="BB27" s="168">
        <v>1.40693658566639</v>
      </c>
      <c r="BC27" s="168">
        <v>1.5222099744513</v>
      </c>
      <c r="BD27" s="168">
        <v>1.4730513226323501</v>
      </c>
    </row>
    <row r="28" spans="1:56">
      <c r="A28" s="163" t="s">
        <v>174</v>
      </c>
      <c r="B28" s="163" t="s">
        <v>175</v>
      </c>
      <c r="C28" s="161">
        <v>0.71332088216921496</v>
      </c>
      <c r="D28" s="161">
        <v>0.71469443508617803</v>
      </c>
      <c r="E28" s="161">
        <v>0.71326549427167596</v>
      </c>
      <c r="F28" s="161">
        <v>0.71528718525026103</v>
      </c>
      <c r="G28" s="161">
        <v>0.71725864624589497</v>
      </c>
      <c r="H28" s="161">
        <v>0.71633440114267999</v>
      </c>
      <c r="I28" s="161">
        <v>0.71698343163387301</v>
      </c>
      <c r="J28" s="161">
        <v>0.71704961913768805</v>
      </c>
      <c r="K28" s="161">
        <v>0.71699815611019702</v>
      </c>
      <c r="L28" s="161">
        <v>0.71805712542767897</v>
      </c>
      <c r="M28" s="161">
        <v>0.71641352003693604</v>
      </c>
      <c r="N28" s="161">
        <v>0.71521699900000002</v>
      </c>
      <c r="O28" s="161">
        <v>0.76912285269090197</v>
      </c>
      <c r="P28" s="161">
        <v>0.69411413758375096</v>
      </c>
      <c r="Q28" s="161">
        <v>0.67947700357025098</v>
      </c>
      <c r="R28" s="161">
        <v>0.73950770050947401</v>
      </c>
      <c r="S28" s="161">
        <v>0.86956499899999995</v>
      </c>
      <c r="T28" s="161">
        <v>0.84195966566666702</v>
      </c>
      <c r="U28" s="161">
        <v>0.82815699899999995</v>
      </c>
      <c r="V28" s="161">
        <v>0.81500666566666702</v>
      </c>
      <c r="W28" s="161">
        <v>0.77722499899999997</v>
      </c>
      <c r="X28" s="161">
        <v>0.83673833233333295</v>
      </c>
      <c r="Y28" s="161">
        <v>1.0296608325000001</v>
      </c>
      <c r="Z28" s="161">
        <v>1.0969258325</v>
      </c>
      <c r="AA28" s="161">
        <v>1.29837333291667</v>
      </c>
      <c r="AB28" s="161">
        <v>1.90256666641667</v>
      </c>
      <c r="AC28" s="161">
        <v>1.8791441664999999</v>
      </c>
      <c r="AD28" s="161">
        <v>1.67894083333333</v>
      </c>
      <c r="AE28" s="161">
        <v>1.8285875</v>
      </c>
      <c r="AF28" s="161">
        <v>2.0148858333333299</v>
      </c>
      <c r="AG28" s="161">
        <v>1.8604658333333299</v>
      </c>
      <c r="AH28" s="161">
        <v>2.0215566666666702</v>
      </c>
      <c r="AI28" s="161">
        <v>2.1097250000000001</v>
      </c>
      <c r="AJ28" s="161">
        <v>2.4230749999999999</v>
      </c>
      <c r="AK28" s="161">
        <v>2.6846454999999998</v>
      </c>
      <c r="AL28" s="168">
        <v>2.77220666666667</v>
      </c>
      <c r="AM28" s="168">
        <v>3.32419666666667</v>
      </c>
      <c r="AN28" s="168">
        <v>3.6507633333333298</v>
      </c>
      <c r="AO28" s="168">
        <v>4.2258800000000001</v>
      </c>
      <c r="AP28" s="168">
        <v>4.6243952500000001</v>
      </c>
      <c r="AQ28" s="168">
        <v>5.1018158333333297</v>
      </c>
      <c r="AR28" s="168">
        <v>5.8411589250000002</v>
      </c>
      <c r="AS28" s="168">
        <v>6.3278006883333298</v>
      </c>
      <c r="AT28" s="168">
        <v>4.9499286083333303</v>
      </c>
      <c r="AU28" s="168">
        <v>4.6928873903333299</v>
      </c>
      <c r="AV28" s="168">
        <v>5.1103544346666698</v>
      </c>
      <c r="AW28" s="168">
        <v>5.8365711929166704</v>
      </c>
      <c r="AX28" s="168">
        <v>6.1388192053663602</v>
      </c>
      <c r="AY28" s="168">
        <v>6.8268566666666697</v>
      </c>
      <c r="AZ28" s="168">
        <v>7.1551376959950197</v>
      </c>
      <c r="BA28" s="168">
        <v>6.7936211559750799</v>
      </c>
      <c r="BB28" s="168">
        <v>6.8382358333333304</v>
      </c>
      <c r="BC28" s="168">
        <v>7.6191416666666703</v>
      </c>
      <c r="BD28" s="168">
        <v>8.3989083333333294</v>
      </c>
    </row>
    <row r="29" spans="1:56">
      <c r="A29" s="163" t="s">
        <v>176</v>
      </c>
      <c r="B29" s="163" t="s">
        <v>177</v>
      </c>
      <c r="C29" s="161">
        <v>8.0997053349699505E-14</v>
      </c>
      <c r="D29" s="161">
        <v>1.1684347882688201E-13</v>
      </c>
      <c r="E29" s="161">
        <v>1.6776415548709099E-13</v>
      </c>
      <c r="F29" s="161">
        <v>2.4886939767619999E-13</v>
      </c>
      <c r="G29" s="161">
        <v>5.4202391705355898E-13</v>
      </c>
      <c r="H29" s="161">
        <v>8.2165488534659101E-13</v>
      </c>
      <c r="I29" s="161">
        <v>9.6071305109730698E-13</v>
      </c>
      <c r="J29" s="161">
        <v>1.1526032213406099E-12</v>
      </c>
      <c r="K29" s="161">
        <v>1.4695952527679299E-12</v>
      </c>
      <c r="L29" s="161">
        <v>1.76336283963876E-12</v>
      </c>
      <c r="M29" s="161">
        <v>1.9878537834480901E-12</v>
      </c>
      <c r="N29" s="161">
        <v>2.2882208631248701E-12</v>
      </c>
      <c r="O29" s="161">
        <v>2.56796001993275E-12</v>
      </c>
      <c r="P29" s="161">
        <v>2.65094052783721E-12</v>
      </c>
      <c r="Q29" s="161">
        <v>2.9383610615176001E-12</v>
      </c>
      <c r="R29" s="161">
        <v>3.5168444719384999E-12</v>
      </c>
      <c r="S29" s="161">
        <v>4.61870733099062E-12</v>
      </c>
      <c r="T29" s="161">
        <v>6.1208672945584299E-12</v>
      </c>
      <c r="U29" s="161">
        <v>7.8197498441913693E-12</v>
      </c>
      <c r="V29" s="161">
        <v>1.1660690720063E-11</v>
      </c>
      <c r="W29" s="161">
        <v>2.2812318924444299E-11</v>
      </c>
      <c r="X29" s="161">
        <v>4.0300109353132597E-11</v>
      </c>
      <c r="Y29" s="161">
        <v>7.7685442717109896E-11</v>
      </c>
      <c r="Z29" s="161">
        <v>2.49718172221135E-10</v>
      </c>
      <c r="AA29" s="161">
        <v>7.9974132397413699E-10</v>
      </c>
      <c r="AB29" s="161">
        <v>2.68324234084592E-9</v>
      </c>
      <c r="AC29" s="161">
        <v>5.9096822674925101E-9</v>
      </c>
      <c r="AD29" s="161">
        <v>1.6976307824584001E-8</v>
      </c>
      <c r="AE29" s="161">
        <v>1.1354767374037E-7</v>
      </c>
      <c r="AF29" s="161">
        <v>1.22638743473744E-6</v>
      </c>
      <c r="AG29" s="161">
        <v>2.95572678942699E-5</v>
      </c>
      <c r="AH29" s="161">
        <v>1.7596144308602401E-4</v>
      </c>
      <c r="AI29" s="161">
        <v>1.95302352248811E-3</v>
      </c>
      <c r="AJ29" s="161">
        <v>3.8276610926672998E-2</v>
      </c>
      <c r="AK29" s="161">
        <v>0.66468351407057702</v>
      </c>
      <c r="AL29" s="168">
        <v>0.91766666666666696</v>
      </c>
      <c r="AM29" s="168">
        <v>1.0051000000000001</v>
      </c>
      <c r="AN29" s="168">
        <v>1.07799166666667</v>
      </c>
      <c r="AO29" s="168">
        <v>1.16051666666667</v>
      </c>
      <c r="AP29" s="168">
        <v>1.8139328465721301</v>
      </c>
      <c r="AQ29" s="168">
        <v>1.8294231220756101</v>
      </c>
      <c r="AR29" s="168">
        <v>2.3496317093224399</v>
      </c>
      <c r="AS29" s="168">
        <v>2.9203630177551898</v>
      </c>
      <c r="AT29" s="168">
        <v>3.0774751184780098</v>
      </c>
      <c r="AU29" s="168">
        <v>2.9251194495158601</v>
      </c>
      <c r="AV29" s="168">
        <v>2.4343900362318802</v>
      </c>
      <c r="AW29" s="168">
        <v>2.17532666666667</v>
      </c>
      <c r="AX29" s="168">
        <v>1.94705833333333</v>
      </c>
      <c r="AY29" s="168">
        <v>1.8337666666666701</v>
      </c>
      <c r="AZ29" s="168">
        <v>1.99942817314426</v>
      </c>
      <c r="BA29" s="168">
        <v>1.7592267105871799</v>
      </c>
      <c r="BB29" s="168">
        <v>1.6728287552565899</v>
      </c>
      <c r="BC29" s="168">
        <v>1.9530686111248701</v>
      </c>
      <c r="BD29" s="168">
        <v>2.15734565068799</v>
      </c>
    </row>
    <row r="30" spans="1:56">
      <c r="A30" s="163" t="s">
        <v>178</v>
      </c>
      <c r="B30" s="163" t="s">
        <v>179</v>
      </c>
      <c r="C30" s="161">
        <v>3.0612200020612201</v>
      </c>
      <c r="D30" s="161">
        <v>3.0612200020612201</v>
      </c>
      <c r="E30" s="161">
        <v>3.0612200020612201</v>
      </c>
      <c r="F30" s="161">
        <v>3.0612200020612201</v>
      </c>
      <c r="G30" s="161">
        <v>3.0612200020612201</v>
      </c>
      <c r="H30" s="161">
        <v>3.0612200020612201</v>
      </c>
      <c r="I30" s="161">
        <v>3.0612200020612201</v>
      </c>
      <c r="J30" s="161">
        <v>3.0612200020612201</v>
      </c>
      <c r="K30" s="161">
        <v>3.0612200020612201</v>
      </c>
      <c r="L30" s="161">
        <v>3.0612200020612201</v>
      </c>
      <c r="M30" s="161">
        <v>3.0612200020612201</v>
      </c>
      <c r="N30" s="161">
        <v>3.0522604298093099</v>
      </c>
      <c r="O30" s="161">
        <v>2.81955586834381</v>
      </c>
      <c r="P30" s="161">
        <v>2.45857965494532</v>
      </c>
      <c r="Q30" s="161">
        <v>2.43686666583333</v>
      </c>
      <c r="R30" s="161">
        <v>2.3712999990833299</v>
      </c>
      <c r="S30" s="161">
        <v>2.4708416659166699</v>
      </c>
      <c r="T30" s="161">
        <v>2.43939999925</v>
      </c>
      <c r="U30" s="161">
        <v>2.2740249991666701</v>
      </c>
      <c r="V30" s="161">
        <v>2.1745583325000002</v>
      </c>
      <c r="W30" s="161">
        <v>2.14120833258333</v>
      </c>
      <c r="X30" s="161">
        <v>2.1126916659999999</v>
      </c>
      <c r="Y30" s="161">
        <v>2.1400249991666702</v>
      </c>
      <c r="Z30" s="161">
        <v>2.1130499989999998</v>
      </c>
      <c r="AA30" s="161">
        <v>2.1330833330000001</v>
      </c>
      <c r="AB30" s="161">
        <v>2.20014999966667</v>
      </c>
      <c r="AC30" s="161">
        <v>2.1774166665000001</v>
      </c>
      <c r="AD30" s="161">
        <v>2.10598333333333</v>
      </c>
      <c r="AE30" s="161">
        <v>2.0124249999999999</v>
      </c>
      <c r="AF30" s="161">
        <v>1.9502583333333301</v>
      </c>
      <c r="AG30" s="161">
        <v>1.81253333333333</v>
      </c>
      <c r="AH30" s="161">
        <v>1.7275499999999999</v>
      </c>
      <c r="AI30" s="161">
        <v>1.62896666666667</v>
      </c>
      <c r="AJ30" s="161">
        <v>1.61579083333333</v>
      </c>
      <c r="AK30" s="161">
        <v>1.52744416666667</v>
      </c>
      <c r="AL30" s="168">
        <v>1.4173750000000001</v>
      </c>
      <c r="AM30" s="168">
        <v>1.4100408333333301</v>
      </c>
      <c r="AN30" s="168">
        <v>1.48480583333333</v>
      </c>
      <c r="AO30" s="168">
        <v>1.67360166666667</v>
      </c>
      <c r="AP30" s="168">
        <v>1.69495666666667</v>
      </c>
      <c r="AQ30" s="168">
        <v>1.72396333333333</v>
      </c>
      <c r="AR30" s="168">
        <v>1.7917225000000001</v>
      </c>
      <c r="AS30" s="168">
        <v>1.7905883333333299</v>
      </c>
      <c r="AT30" s="168">
        <v>1.7421833333333301</v>
      </c>
      <c r="AU30" s="168">
        <v>1.6902283333333299</v>
      </c>
      <c r="AV30" s="168">
        <v>1.6643975</v>
      </c>
      <c r="AW30" s="168">
        <v>1.58893333333333</v>
      </c>
      <c r="AX30" s="168">
        <v>1.5071016666666699</v>
      </c>
      <c r="AY30" s="168">
        <v>1.41716666666667</v>
      </c>
      <c r="AZ30" s="168">
        <v>1.4545692733233</v>
      </c>
      <c r="BA30" s="168">
        <v>1.3635094736842099</v>
      </c>
      <c r="BB30" s="168">
        <v>1.25791302014692</v>
      </c>
      <c r="BC30" s="168">
        <v>1.24956701649958</v>
      </c>
      <c r="BD30" s="168">
        <v>1.25116566976059</v>
      </c>
    </row>
    <row r="31" spans="1:56">
      <c r="A31" s="163" t="s">
        <v>180</v>
      </c>
      <c r="B31" s="163" t="s">
        <v>181</v>
      </c>
      <c r="C31" s="161">
        <v>1.169999999E-3</v>
      </c>
      <c r="D31" s="161">
        <v>1.169999999E-3</v>
      </c>
      <c r="E31" s="161">
        <v>1.169999999E-3</v>
      </c>
      <c r="F31" s="161">
        <v>1.169999999E-3</v>
      </c>
      <c r="G31" s="161">
        <v>1.169999999E-3</v>
      </c>
      <c r="H31" s="161">
        <v>1.169999999E-3</v>
      </c>
      <c r="I31" s="161">
        <v>1.169999999E-3</v>
      </c>
      <c r="J31" s="161">
        <v>1.169999999E-3</v>
      </c>
      <c r="K31" s="161">
        <v>1.169999999E-3</v>
      </c>
      <c r="L31" s="161">
        <v>1.169999999E-3</v>
      </c>
      <c r="M31" s="161">
        <v>1.169999999E-3</v>
      </c>
      <c r="N31" s="161">
        <v>1.169999999E-3</v>
      </c>
      <c r="O31" s="161">
        <v>1.08E-3</v>
      </c>
      <c r="P31" s="161">
        <v>9.791666657499999E-4</v>
      </c>
      <c r="Q31" s="161">
        <v>9.6999999899999995E-4</v>
      </c>
      <c r="R31" s="161" t="s">
        <v>125</v>
      </c>
      <c r="S31" s="161" t="s">
        <v>125</v>
      </c>
      <c r="T31" s="161" t="s">
        <v>125</v>
      </c>
      <c r="U31" s="161" t="s">
        <v>125</v>
      </c>
      <c r="V31" s="161" t="s">
        <v>125</v>
      </c>
      <c r="W31" s="161" t="s">
        <v>125</v>
      </c>
      <c r="X31" s="161" t="s">
        <v>125</v>
      </c>
      <c r="Y31" s="161" t="s">
        <v>125</v>
      </c>
      <c r="Z31" s="161" t="s">
        <v>125</v>
      </c>
      <c r="AA31" s="161" t="s">
        <v>125</v>
      </c>
      <c r="AB31" s="161">
        <v>1.0300000000000001E-3</v>
      </c>
      <c r="AC31" s="161">
        <v>9.3999999999999997E-4</v>
      </c>
      <c r="AD31" s="161">
        <v>8.7000000000000001E-4</v>
      </c>
      <c r="AE31" s="161">
        <v>8.3000000000000001E-4</v>
      </c>
      <c r="AF31" s="161">
        <v>8.4000000000000003E-4</v>
      </c>
      <c r="AG31" s="161">
        <v>2.1900000000000001E-3</v>
      </c>
      <c r="AH31" s="161">
        <v>1.7788249999999999E-2</v>
      </c>
      <c r="AI31" s="161">
        <v>2.3341166666666701E-2</v>
      </c>
      <c r="AJ31" s="161">
        <v>2.75935833333333E-2</v>
      </c>
      <c r="AK31" s="161">
        <v>5.4133666666666698E-2</v>
      </c>
      <c r="AL31" s="168">
        <v>6.7170833333333305E-2</v>
      </c>
      <c r="AM31" s="168">
        <v>0.177888666666667</v>
      </c>
      <c r="AN31" s="168">
        <v>1.6818791666666699</v>
      </c>
      <c r="AO31" s="168">
        <v>1.7603583333333299</v>
      </c>
      <c r="AP31" s="168">
        <v>1.8363833333333299</v>
      </c>
      <c r="AQ31" s="168">
        <v>2.123275</v>
      </c>
      <c r="AR31" s="168">
        <v>2.1847083333333299</v>
      </c>
      <c r="AS31" s="168">
        <v>2.076975</v>
      </c>
      <c r="AT31" s="168">
        <v>1.7327016666666699</v>
      </c>
      <c r="AU31" s="168">
        <v>1.5751089166666701</v>
      </c>
      <c r="AV31" s="168">
        <v>1.5741333333333301</v>
      </c>
      <c r="AW31" s="168">
        <v>1.5592666666666699</v>
      </c>
      <c r="AX31" s="168">
        <v>1.4290499999999999</v>
      </c>
      <c r="AY31" s="168">
        <v>1.3371166666666701</v>
      </c>
      <c r="AZ31" s="168">
        <v>1.40669166666667</v>
      </c>
      <c r="BA31" s="168">
        <v>1.47739166666667</v>
      </c>
      <c r="BB31" s="168">
        <v>1.40645833333333</v>
      </c>
      <c r="BC31" s="168">
        <v>1.5220499999999999</v>
      </c>
      <c r="BD31" s="168">
        <v>1.47356666666667</v>
      </c>
    </row>
    <row r="32" spans="1:56">
      <c r="A32" s="163" t="s">
        <v>77</v>
      </c>
      <c r="B32" s="163" t="s">
        <v>182</v>
      </c>
      <c r="C32" s="161">
        <v>245.19510139835899</v>
      </c>
      <c r="D32" s="161">
        <v>245.26010162116</v>
      </c>
      <c r="E32" s="161">
        <v>245.013850686544</v>
      </c>
      <c r="F32" s="161">
        <v>245.01635069607499</v>
      </c>
      <c r="G32" s="161">
        <v>245.027184079042</v>
      </c>
      <c r="H32" s="161">
        <v>245.06093420770799</v>
      </c>
      <c r="I32" s="161">
        <v>245.67843655764401</v>
      </c>
      <c r="J32" s="161">
        <v>246.00093779128099</v>
      </c>
      <c r="K32" s="161">
        <v>247.56469375695099</v>
      </c>
      <c r="L32" s="161">
        <v>259.960574351236</v>
      </c>
      <c r="M32" s="161">
        <v>276.403137026845</v>
      </c>
      <c r="N32" s="161">
        <v>275.35645668533198</v>
      </c>
      <c r="O32" s="161">
        <v>252.02762746264901</v>
      </c>
      <c r="P32" s="161">
        <v>222.88918305322699</v>
      </c>
      <c r="Q32" s="161">
        <v>240.70466763782301</v>
      </c>
      <c r="R32" s="161">
        <v>214.31290034121901</v>
      </c>
      <c r="S32" s="161">
        <v>238.95049426705901</v>
      </c>
      <c r="T32" s="161">
        <v>245.67968656657601</v>
      </c>
      <c r="U32" s="161">
        <v>225.65586023395699</v>
      </c>
      <c r="V32" s="161">
        <v>212.721644262377</v>
      </c>
      <c r="W32" s="161">
        <v>211.27955541470499</v>
      </c>
      <c r="X32" s="161">
        <v>271.73145255032699</v>
      </c>
      <c r="Y32" s="161">
        <v>328.60625269898998</v>
      </c>
      <c r="Z32" s="161">
        <v>381.06603602462798</v>
      </c>
      <c r="AA32" s="161">
        <v>436.95666578800802</v>
      </c>
      <c r="AB32" s="161">
        <v>449.26296271160697</v>
      </c>
      <c r="AC32" s="161">
        <v>346.305903554493</v>
      </c>
      <c r="AD32" s="161">
        <v>300.53656240147802</v>
      </c>
      <c r="AE32" s="161">
        <v>297.84821881937802</v>
      </c>
      <c r="AF32" s="161">
        <v>319.008299487903</v>
      </c>
      <c r="AG32" s="161">
        <v>272.264787954393</v>
      </c>
      <c r="AH32" s="161">
        <v>282.10690880881998</v>
      </c>
      <c r="AI32" s="161">
        <v>264.69180075057898</v>
      </c>
      <c r="AJ32" s="161">
        <v>283.16257950001801</v>
      </c>
      <c r="AK32" s="161">
        <v>555.20469565569704</v>
      </c>
      <c r="AL32" s="168">
        <v>499.14842590131002</v>
      </c>
      <c r="AM32" s="168">
        <v>511.55243027251601</v>
      </c>
      <c r="AN32" s="168">
        <v>583.66937235339606</v>
      </c>
      <c r="AO32" s="168">
        <v>589.951774567332</v>
      </c>
      <c r="AP32" s="168">
        <v>615.69913197380595</v>
      </c>
      <c r="AQ32" s="168">
        <v>711.97627443083297</v>
      </c>
      <c r="AR32" s="168">
        <v>733.03850707000004</v>
      </c>
      <c r="AS32" s="168">
        <v>696.98820361166702</v>
      </c>
      <c r="AT32" s="168">
        <v>581.20031386416701</v>
      </c>
      <c r="AU32" s="168">
        <v>528.28480930499995</v>
      </c>
      <c r="AV32" s="168">
        <v>527.46814284000004</v>
      </c>
      <c r="AW32" s="168">
        <v>522.89010961083295</v>
      </c>
      <c r="AX32" s="168">
        <v>479.26678258750002</v>
      </c>
      <c r="AY32" s="168">
        <v>447.80525556077299</v>
      </c>
      <c r="AZ32" s="168">
        <v>472.18629075489298</v>
      </c>
      <c r="BA32" s="168">
        <v>495.277021572396</v>
      </c>
      <c r="BB32" s="168">
        <v>471.86611409170001</v>
      </c>
      <c r="BC32" s="168">
        <v>510.52713590196998</v>
      </c>
      <c r="BD32" s="168">
        <v>494.04003744699003</v>
      </c>
    </row>
    <row r="33" spans="1:56">
      <c r="A33" s="163" t="s">
        <v>183</v>
      </c>
      <c r="B33" s="163" t="s">
        <v>184</v>
      </c>
      <c r="C33" s="161">
        <v>50.000000049000001</v>
      </c>
      <c r="D33" s="161">
        <v>50.000000049000001</v>
      </c>
      <c r="E33" s="161">
        <v>50.000000049000001</v>
      </c>
      <c r="F33" s="161">
        <v>50.000000049000001</v>
      </c>
      <c r="G33" s="161">
        <v>50.000000049000001</v>
      </c>
      <c r="H33" s="161">
        <v>84.375000080125005</v>
      </c>
      <c r="I33" s="161">
        <v>87.500000087499998</v>
      </c>
      <c r="J33" s="161">
        <v>87.500000087499998</v>
      </c>
      <c r="K33" s="161">
        <v>87.500000087499998</v>
      </c>
      <c r="L33" s="161">
        <v>87.500000087499998</v>
      </c>
      <c r="M33" s="161">
        <v>87.500000087499998</v>
      </c>
      <c r="N33" s="161">
        <v>87.5</v>
      </c>
      <c r="O33" s="161">
        <v>87.5</v>
      </c>
      <c r="P33" s="161">
        <v>80.026083333333304</v>
      </c>
      <c r="Q33" s="161">
        <v>78.75</v>
      </c>
      <c r="R33" s="161">
        <v>78.75</v>
      </c>
      <c r="S33" s="161">
        <v>86.25</v>
      </c>
      <c r="T33" s="161">
        <v>90</v>
      </c>
      <c r="U33" s="161">
        <v>90</v>
      </c>
      <c r="V33" s="161">
        <v>90</v>
      </c>
      <c r="W33" s="161">
        <v>90</v>
      </c>
      <c r="X33" s="161">
        <v>90</v>
      </c>
      <c r="Y33" s="161">
        <v>90</v>
      </c>
      <c r="Z33" s="161">
        <v>92.948333333166701</v>
      </c>
      <c r="AA33" s="161">
        <v>119.70916666616699</v>
      </c>
      <c r="AB33" s="161">
        <v>120.69074999941699</v>
      </c>
      <c r="AC33" s="161">
        <v>114.171083333167</v>
      </c>
      <c r="AD33" s="161">
        <v>123.56383333333299</v>
      </c>
      <c r="AE33" s="161">
        <v>140.39500000000001</v>
      </c>
      <c r="AF33" s="161">
        <v>158.666666666667</v>
      </c>
      <c r="AG33" s="161">
        <v>171.255416666667</v>
      </c>
      <c r="AH33" s="161">
        <v>181.512583333333</v>
      </c>
      <c r="AI33" s="161">
        <v>208.30266666666699</v>
      </c>
      <c r="AJ33" s="161">
        <v>242.78</v>
      </c>
      <c r="AK33" s="161">
        <v>252.66249999999999</v>
      </c>
      <c r="AL33" s="168">
        <v>249.75749999999999</v>
      </c>
      <c r="AM33" s="168">
        <v>302.74666666666701</v>
      </c>
      <c r="AN33" s="168">
        <v>352.35083333333301</v>
      </c>
      <c r="AO33" s="168">
        <v>447.76583333333298</v>
      </c>
      <c r="AP33" s="168">
        <v>563.5625</v>
      </c>
      <c r="AQ33" s="168">
        <v>720.67333333333295</v>
      </c>
      <c r="AR33" s="168">
        <v>830.35333333333301</v>
      </c>
      <c r="AS33" s="168">
        <v>930.74916666666695</v>
      </c>
      <c r="AT33" s="168">
        <v>1082.6199999999999</v>
      </c>
      <c r="AU33" s="168">
        <v>1100.9000000000001</v>
      </c>
      <c r="AV33" s="168">
        <v>1081.5771666666701</v>
      </c>
      <c r="AW33" s="168">
        <v>1028.6835530000001</v>
      </c>
      <c r="AX33" s="168">
        <v>1081.8696825</v>
      </c>
      <c r="AY33" s="168">
        <v>1185.6908333333299</v>
      </c>
      <c r="AZ33" s="168">
        <v>1230.17916666667</v>
      </c>
      <c r="BA33" s="168">
        <v>1230.74833333333</v>
      </c>
      <c r="BB33" s="168">
        <v>1261.0733333333301</v>
      </c>
      <c r="BC33" s="168">
        <v>1442.505625</v>
      </c>
      <c r="BD33" s="168">
        <v>1555.09083333333</v>
      </c>
    </row>
    <row r="34" spans="1:56">
      <c r="A34" s="163" t="s">
        <v>185</v>
      </c>
      <c r="B34" s="163" t="s">
        <v>186</v>
      </c>
      <c r="C34" s="161">
        <v>28.750000028750001</v>
      </c>
      <c r="D34" s="161">
        <v>28.750000028750001</v>
      </c>
      <c r="E34" s="161">
        <v>28.750000028750001</v>
      </c>
      <c r="F34" s="161">
        <v>28.750000028750001</v>
      </c>
      <c r="G34" s="161">
        <v>28.750000028750001</v>
      </c>
      <c r="H34" s="161">
        <v>28.750000028750001</v>
      </c>
      <c r="I34" s="161">
        <v>28.750000028750001</v>
      </c>
      <c r="J34" s="161">
        <v>28.750000028750001</v>
      </c>
      <c r="K34" s="161">
        <v>28.750000028750001</v>
      </c>
      <c r="L34" s="161">
        <v>28.750000028750001</v>
      </c>
      <c r="M34" s="161">
        <v>28.750000028750001</v>
      </c>
      <c r="N34" s="161">
        <v>28.360170287822701</v>
      </c>
      <c r="O34" s="161">
        <v>27.053416666666699</v>
      </c>
      <c r="P34" s="161">
        <v>24.515166666583301</v>
      </c>
      <c r="Q34" s="161">
        <v>25.408166666583298</v>
      </c>
      <c r="R34" s="161">
        <v>25.5432499999167</v>
      </c>
      <c r="S34" s="161">
        <v>30.2290833333333</v>
      </c>
      <c r="T34" s="161">
        <v>34.046491665833301</v>
      </c>
      <c r="U34" s="161">
        <v>35.500749999</v>
      </c>
      <c r="V34" s="161">
        <v>37.432999999000003</v>
      </c>
      <c r="W34" s="161">
        <v>40.1749166656667</v>
      </c>
      <c r="X34" s="161">
        <v>48.694666665666702</v>
      </c>
      <c r="Y34" s="161">
        <v>58.293333332416701</v>
      </c>
      <c r="Z34" s="161">
        <v>71.685833332499996</v>
      </c>
      <c r="AA34" s="161">
        <v>84.877916666166698</v>
      </c>
      <c r="AB34" s="161">
        <v>91.631666666333302</v>
      </c>
      <c r="AC34" s="161">
        <v>80.144916666666703</v>
      </c>
      <c r="AD34" s="161">
        <v>72.465833333333293</v>
      </c>
      <c r="AE34" s="161">
        <v>72.067499999999995</v>
      </c>
      <c r="AF34" s="161">
        <v>77.978083333333302</v>
      </c>
      <c r="AG34" s="161">
        <v>70.031333333333293</v>
      </c>
      <c r="AH34" s="161">
        <v>71.408333333333303</v>
      </c>
      <c r="AI34" s="161">
        <v>68.017583333333306</v>
      </c>
      <c r="AJ34" s="161">
        <v>80.426597362500004</v>
      </c>
      <c r="AK34" s="161">
        <v>81.890833333333305</v>
      </c>
      <c r="AL34" s="168">
        <v>76.853333333333296</v>
      </c>
      <c r="AM34" s="168">
        <v>82.591466666666705</v>
      </c>
      <c r="AN34" s="168">
        <v>93.176666666666705</v>
      </c>
      <c r="AO34" s="168">
        <v>98.157499999999999</v>
      </c>
      <c r="AP34" s="168">
        <v>103.502429706142</v>
      </c>
      <c r="AQ34" s="168">
        <v>119.687149891667</v>
      </c>
      <c r="AR34" s="168">
        <v>123.22782770000001</v>
      </c>
      <c r="AS34" s="168">
        <v>117.167572283333</v>
      </c>
      <c r="AT34" s="168">
        <v>97.702987558333305</v>
      </c>
      <c r="AU34" s="168">
        <v>88.807598549999994</v>
      </c>
      <c r="AV34" s="168">
        <v>88.6703124</v>
      </c>
      <c r="AW34" s="168">
        <v>87.900719691666694</v>
      </c>
      <c r="AX34" s="168">
        <v>80.567397124999999</v>
      </c>
      <c r="AY34" s="168">
        <v>75.278540408420795</v>
      </c>
      <c r="AZ34" s="168">
        <v>79.377127283559702</v>
      </c>
      <c r="BA34" s="168">
        <v>83.258806855919104</v>
      </c>
      <c r="BB34" s="168">
        <v>79.323303815481395</v>
      </c>
      <c r="BC34" s="168">
        <v>85.822435427795199</v>
      </c>
      <c r="BD34" s="168">
        <v>83.050862982298497</v>
      </c>
    </row>
    <row r="35" spans="1:56">
      <c r="A35" s="163" t="s">
        <v>187</v>
      </c>
      <c r="B35" s="163" t="s">
        <v>188</v>
      </c>
      <c r="C35" s="161">
        <v>35</v>
      </c>
      <c r="D35" s="161">
        <v>35</v>
      </c>
      <c r="E35" s="161">
        <v>35</v>
      </c>
      <c r="F35" s="161">
        <v>35</v>
      </c>
      <c r="G35" s="161">
        <v>35</v>
      </c>
      <c r="H35" s="161">
        <v>35</v>
      </c>
      <c r="I35" s="161">
        <v>35</v>
      </c>
      <c r="J35" s="161">
        <v>35</v>
      </c>
      <c r="K35" s="161">
        <v>35</v>
      </c>
      <c r="L35" s="161">
        <v>43.558333332916703</v>
      </c>
      <c r="M35" s="161">
        <v>55.539999999000003</v>
      </c>
      <c r="N35" s="161">
        <v>75.821666665916695</v>
      </c>
      <c r="O35" s="161">
        <v>162.25</v>
      </c>
      <c r="P35" s="161">
        <v>244.916666666667</v>
      </c>
      <c r="Q35" s="161" t="s">
        <v>125</v>
      </c>
      <c r="R35" s="161" t="s">
        <v>125</v>
      </c>
      <c r="S35" s="161" t="s">
        <v>125</v>
      </c>
      <c r="T35" s="161" t="s">
        <v>125</v>
      </c>
      <c r="U35" s="161" t="s">
        <v>125</v>
      </c>
      <c r="V35" s="161" t="s">
        <v>125</v>
      </c>
      <c r="W35" s="161" t="s">
        <v>125</v>
      </c>
      <c r="X35" s="161" t="s">
        <v>125</v>
      </c>
      <c r="Y35" s="161" t="s">
        <v>125</v>
      </c>
      <c r="Z35" s="161" t="s">
        <v>125</v>
      </c>
      <c r="AA35" s="161" t="s">
        <v>125</v>
      </c>
      <c r="AB35" s="161" t="s">
        <v>125</v>
      </c>
      <c r="AC35" s="161" t="s">
        <v>125</v>
      </c>
      <c r="AD35" s="161" t="s">
        <v>125</v>
      </c>
      <c r="AE35" s="161" t="s">
        <v>125</v>
      </c>
      <c r="AF35" s="161" t="s">
        <v>125</v>
      </c>
      <c r="AG35" s="161">
        <v>426.25</v>
      </c>
      <c r="AH35" s="161">
        <v>718.33333333333303</v>
      </c>
      <c r="AI35" s="161">
        <v>1266.5833333333301</v>
      </c>
      <c r="AJ35" s="161">
        <v>2689</v>
      </c>
      <c r="AK35" s="161">
        <v>2545.25</v>
      </c>
      <c r="AL35" s="168">
        <v>2450.8333333333298</v>
      </c>
      <c r="AM35" s="168">
        <v>2624.0833333333298</v>
      </c>
      <c r="AN35" s="168">
        <v>2946.25</v>
      </c>
      <c r="AO35" s="168">
        <v>3744.4166666666702</v>
      </c>
      <c r="AP35" s="168">
        <v>3807.8333333333298</v>
      </c>
      <c r="AQ35" s="168">
        <v>3840.75</v>
      </c>
      <c r="AR35" s="168">
        <v>3916.3333333333298</v>
      </c>
      <c r="AS35" s="168">
        <v>3912.0833333333298</v>
      </c>
      <c r="AT35" s="168">
        <v>3973.3333333333298</v>
      </c>
      <c r="AU35" s="168">
        <v>4016.25</v>
      </c>
      <c r="AV35" s="168">
        <v>4092.5</v>
      </c>
      <c r="AW35" s="168">
        <v>4103.25</v>
      </c>
      <c r="AX35" s="168">
        <v>4056.1666666666702</v>
      </c>
      <c r="AY35" s="168">
        <v>4054.1666666666702</v>
      </c>
      <c r="AZ35" s="168">
        <v>4139.3333333333303</v>
      </c>
      <c r="BA35" s="168">
        <v>4184.9166666666697</v>
      </c>
      <c r="BB35" s="168">
        <v>4058.5</v>
      </c>
      <c r="BC35" s="168">
        <v>4033</v>
      </c>
      <c r="BD35" s="168">
        <v>4027.25</v>
      </c>
    </row>
    <row r="36" spans="1:56">
      <c r="A36" s="163" t="s">
        <v>189</v>
      </c>
      <c r="B36" s="163" t="s">
        <v>190</v>
      </c>
      <c r="C36" s="161">
        <v>245.19510139835899</v>
      </c>
      <c r="D36" s="161">
        <v>245.26010162116</v>
      </c>
      <c r="E36" s="161">
        <v>245.013850686544</v>
      </c>
      <c r="F36" s="161">
        <v>245.01635069607499</v>
      </c>
      <c r="G36" s="161">
        <v>245.027184079042</v>
      </c>
      <c r="H36" s="161">
        <v>245.06093420770799</v>
      </c>
      <c r="I36" s="161">
        <v>245.67843655764401</v>
      </c>
      <c r="J36" s="161">
        <v>246.00093779128099</v>
      </c>
      <c r="K36" s="161">
        <v>247.56469375695099</v>
      </c>
      <c r="L36" s="161">
        <v>259.960574351236</v>
      </c>
      <c r="M36" s="161">
        <v>276.403137026845</v>
      </c>
      <c r="N36" s="161">
        <v>275.35645668533198</v>
      </c>
      <c r="O36" s="161">
        <v>252.02762746264901</v>
      </c>
      <c r="P36" s="161">
        <v>222.88918305322699</v>
      </c>
      <c r="Q36" s="161">
        <v>240.70466763782301</v>
      </c>
      <c r="R36" s="161">
        <v>214.31290034121901</v>
      </c>
      <c r="S36" s="161">
        <v>238.95049426705901</v>
      </c>
      <c r="T36" s="161">
        <v>245.67968656657601</v>
      </c>
      <c r="U36" s="161">
        <v>225.65586023395699</v>
      </c>
      <c r="V36" s="161">
        <v>212.721644262377</v>
      </c>
      <c r="W36" s="161">
        <v>211.27955541470499</v>
      </c>
      <c r="X36" s="161">
        <v>271.73145255032699</v>
      </c>
      <c r="Y36" s="161">
        <v>328.60625269898998</v>
      </c>
      <c r="Z36" s="161">
        <v>381.06603602462798</v>
      </c>
      <c r="AA36" s="161">
        <v>436.95666578800802</v>
      </c>
      <c r="AB36" s="161">
        <v>449.26296271160697</v>
      </c>
      <c r="AC36" s="161">
        <v>346.305903554493</v>
      </c>
      <c r="AD36" s="161">
        <v>300.53656240147802</v>
      </c>
      <c r="AE36" s="161">
        <v>297.84821881937802</v>
      </c>
      <c r="AF36" s="161">
        <v>319.008299487903</v>
      </c>
      <c r="AG36" s="161">
        <v>272.264787954393</v>
      </c>
      <c r="AH36" s="161">
        <v>282.10690880881998</v>
      </c>
      <c r="AI36" s="161">
        <v>264.69180075057898</v>
      </c>
      <c r="AJ36" s="161">
        <v>283.16257950001801</v>
      </c>
      <c r="AK36" s="161">
        <v>555.20469565569704</v>
      </c>
      <c r="AL36" s="168">
        <v>499.14842590131002</v>
      </c>
      <c r="AM36" s="168">
        <v>511.55243027251601</v>
      </c>
      <c r="AN36" s="168">
        <v>583.66937235339606</v>
      </c>
      <c r="AO36" s="168">
        <v>589.951774567332</v>
      </c>
      <c r="AP36" s="168">
        <v>615.69913197380595</v>
      </c>
      <c r="AQ36" s="168">
        <v>711.97627443083297</v>
      </c>
      <c r="AR36" s="168">
        <v>733.03850707000004</v>
      </c>
      <c r="AS36" s="168">
        <v>696.98820361166702</v>
      </c>
      <c r="AT36" s="168">
        <v>581.20031386416701</v>
      </c>
      <c r="AU36" s="168">
        <v>528.28480930499995</v>
      </c>
      <c r="AV36" s="168">
        <v>527.46814284000004</v>
      </c>
      <c r="AW36" s="168">
        <v>522.89010961083295</v>
      </c>
      <c r="AX36" s="168">
        <v>479.26678258750002</v>
      </c>
      <c r="AY36" s="168">
        <v>447.80525556077299</v>
      </c>
      <c r="AZ36" s="168">
        <v>472.18629075489298</v>
      </c>
      <c r="BA36" s="168">
        <v>495.277021572396</v>
      </c>
      <c r="BB36" s="168">
        <v>471.86611409170001</v>
      </c>
      <c r="BC36" s="168">
        <v>510.52713590196998</v>
      </c>
      <c r="BD36" s="168">
        <v>494.04003744699003</v>
      </c>
    </row>
    <row r="37" spans="1:56">
      <c r="A37" s="163" t="s">
        <v>191</v>
      </c>
      <c r="B37" s="163" t="s">
        <v>192</v>
      </c>
      <c r="C37" s="161">
        <v>0.96978333241666703</v>
      </c>
      <c r="D37" s="161">
        <v>1.01306666575</v>
      </c>
      <c r="E37" s="161">
        <v>1.0687666661666699</v>
      </c>
      <c r="F37" s="161">
        <v>1.07850833275</v>
      </c>
      <c r="G37" s="161">
        <v>1.07860833275</v>
      </c>
      <c r="H37" s="161">
        <v>1.0779833324166701</v>
      </c>
      <c r="I37" s="161">
        <v>1.077316666</v>
      </c>
      <c r="J37" s="161">
        <v>1.07870833258333</v>
      </c>
      <c r="K37" s="161">
        <v>1.0774749994999999</v>
      </c>
      <c r="L37" s="161">
        <v>1.07677499941667</v>
      </c>
      <c r="M37" s="161">
        <v>1.04491499916667</v>
      </c>
      <c r="N37" s="161">
        <v>1.0097916659166699</v>
      </c>
      <c r="O37" s="161">
        <v>0.98993333250000004</v>
      </c>
      <c r="P37" s="161">
        <v>1.00008333233333</v>
      </c>
      <c r="Q37" s="161">
        <v>0.97803333233333301</v>
      </c>
      <c r="R37" s="161">
        <v>1.01715833283333</v>
      </c>
      <c r="S37" s="161">
        <v>0.98602499908333296</v>
      </c>
      <c r="T37" s="161">
        <v>1.06344999941667</v>
      </c>
      <c r="U37" s="161">
        <v>1.1406749993333301</v>
      </c>
      <c r="V37" s="161">
        <v>1.1714249994999999</v>
      </c>
      <c r="W37" s="161">
        <v>1.1692166660000001</v>
      </c>
      <c r="X37" s="161">
        <v>1.1989083325833301</v>
      </c>
      <c r="Y37" s="161">
        <v>1.23373333266667</v>
      </c>
      <c r="Z37" s="161">
        <v>1.23241666566667</v>
      </c>
      <c r="AA37" s="161">
        <v>1.2950666663333299</v>
      </c>
      <c r="AB37" s="161">
        <v>1.36548333291667</v>
      </c>
      <c r="AC37" s="161">
        <v>1.3894999997499999</v>
      </c>
      <c r="AD37" s="161">
        <v>1.32599166666667</v>
      </c>
      <c r="AE37" s="161">
        <v>1.23070833333333</v>
      </c>
      <c r="AF37" s="161">
        <v>1.1839916666666701</v>
      </c>
      <c r="AG37" s="161">
        <v>1.1667749999999999</v>
      </c>
      <c r="AH37" s="161">
        <v>1.14571666666667</v>
      </c>
      <c r="AI37" s="161">
        <v>1.208725</v>
      </c>
      <c r="AJ37" s="161">
        <v>1.29007416666667</v>
      </c>
      <c r="AK37" s="161">
        <v>1.36563833333333</v>
      </c>
      <c r="AL37" s="168">
        <v>1.37244083333333</v>
      </c>
      <c r="AM37" s="168">
        <v>1.36346833333333</v>
      </c>
      <c r="AN37" s="168">
        <v>1.3846166666666699</v>
      </c>
      <c r="AO37" s="168">
        <v>1.48346308333333</v>
      </c>
      <c r="AP37" s="168">
        <v>1.48573166666667</v>
      </c>
      <c r="AQ37" s="168">
        <v>1.4851099999999999</v>
      </c>
      <c r="AR37" s="168">
        <v>1.54876083333333</v>
      </c>
      <c r="AS37" s="168">
        <v>1.56931833333333</v>
      </c>
      <c r="AT37" s="168">
        <v>1.4010516666666699</v>
      </c>
      <c r="AU37" s="168">
        <v>1.3010191666666699</v>
      </c>
      <c r="AV37" s="168">
        <v>1.21176333333333</v>
      </c>
      <c r="AW37" s="168">
        <v>1.1343633333333301</v>
      </c>
      <c r="AX37" s="168">
        <v>1.0740991666666699</v>
      </c>
      <c r="AY37" s="168">
        <v>1.06704</v>
      </c>
      <c r="AZ37" s="168">
        <v>1.14310055659983</v>
      </c>
      <c r="BA37" s="168">
        <v>1.0301627829537601</v>
      </c>
      <c r="BB37" s="168">
        <v>0.98953069187935705</v>
      </c>
      <c r="BC37" s="168">
        <v>0.99918830972261297</v>
      </c>
      <c r="BD37" s="168">
        <v>1.02979656989696</v>
      </c>
    </row>
    <row r="38" spans="1:56">
      <c r="A38" s="163" t="s">
        <v>193</v>
      </c>
      <c r="B38" s="163" t="s">
        <v>194</v>
      </c>
      <c r="C38" s="161">
        <v>0.71428571479591796</v>
      </c>
      <c r="D38" s="161">
        <v>0.71428571479591796</v>
      </c>
      <c r="E38" s="161">
        <v>0.71428571479591796</v>
      </c>
      <c r="F38" s="161">
        <v>0.71428571479591796</v>
      </c>
      <c r="G38" s="161">
        <v>0.71428571479591796</v>
      </c>
      <c r="H38" s="161">
        <v>0.71428571479591796</v>
      </c>
      <c r="I38" s="161">
        <v>0.71428571479591796</v>
      </c>
      <c r="J38" s="161">
        <v>0.72607140965026695</v>
      </c>
      <c r="K38" s="161">
        <v>0.83333333402777798</v>
      </c>
      <c r="L38" s="161">
        <v>0.83333333402777798</v>
      </c>
      <c r="M38" s="161">
        <v>0.82741501781077398</v>
      </c>
      <c r="N38" s="161">
        <v>0.83275503145947405</v>
      </c>
      <c r="O38" s="161">
        <v>0.79936051191021595</v>
      </c>
      <c r="P38" s="161">
        <v>0.81566068548762705</v>
      </c>
      <c r="Q38" s="161">
        <v>0.83333299916666703</v>
      </c>
      <c r="R38" s="161">
        <v>0.83333299916666703</v>
      </c>
      <c r="S38" s="161">
        <v>0.83333299916666703</v>
      </c>
      <c r="T38" s="161">
        <v>0.83333299916666703</v>
      </c>
      <c r="U38" s="161">
        <v>0.83333299916666703</v>
      </c>
      <c r="V38" s="161">
        <v>0.83333299916666703</v>
      </c>
      <c r="W38" s="161">
        <v>0.83333299916666703</v>
      </c>
      <c r="X38" s="161">
        <v>0.83333299916666703</v>
      </c>
      <c r="Y38" s="161">
        <v>0.83333299916666703</v>
      </c>
      <c r="Z38" s="161">
        <v>0.83333299916666703</v>
      </c>
      <c r="AA38" s="161">
        <v>0.83333299916666703</v>
      </c>
      <c r="AB38" s="161">
        <v>0.83333299999999999</v>
      </c>
      <c r="AC38" s="161">
        <v>0.83333299999999999</v>
      </c>
      <c r="AD38" s="161">
        <v>0.83333299999999999</v>
      </c>
      <c r="AE38" s="161">
        <v>0.83333299999999999</v>
      </c>
      <c r="AF38" s="161">
        <v>0.83333199999999996</v>
      </c>
      <c r="AG38" s="161">
        <v>0.83333000000000002</v>
      </c>
      <c r="AH38" s="161">
        <v>0.83333000000000002</v>
      </c>
      <c r="AI38" s="161">
        <v>0.83333000000000002</v>
      </c>
      <c r="AJ38" s="161">
        <v>0.83333000000000002</v>
      </c>
      <c r="AK38" s="161">
        <v>0.83333000000000002</v>
      </c>
      <c r="AL38" s="168">
        <v>0.83333000000000002</v>
      </c>
      <c r="AM38" s="168">
        <v>0.83333000000000002</v>
      </c>
      <c r="AN38" s="168">
        <v>0.83333100000000004</v>
      </c>
      <c r="AO38" s="168">
        <v>0.83333000000000002</v>
      </c>
      <c r="AP38" s="168">
        <v>0.83333000000000002</v>
      </c>
      <c r="AQ38" s="168">
        <v>0.83333000000000002</v>
      </c>
      <c r="AR38" s="168">
        <v>0.83333000000000002</v>
      </c>
      <c r="AS38" s="168">
        <v>0.83333000000000002</v>
      </c>
      <c r="AT38" s="168">
        <v>0.83333000000000002</v>
      </c>
      <c r="AU38" s="168">
        <v>0.83333000000000002</v>
      </c>
      <c r="AV38" s="168">
        <v>0.83333000000000002</v>
      </c>
      <c r="AW38" s="168">
        <v>0.83333000000000002</v>
      </c>
      <c r="AX38" s="168" t="s">
        <v>125</v>
      </c>
      <c r="AY38" s="168" t="s">
        <v>125</v>
      </c>
      <c r="AZ38" s="168" t="s">
        <v>125</v>
      </c>
      <c r="BA38" s="168" t="s">
        <v>125</v>
      </c>
      <c r="BB38" s="168" t="s">
        <v>125</v>
      </c>
      <c r="BC38" s="168" t="s">
        <v>125</v>
      </c>
      <c r="BD38" s="168" t="s">
        <v>125</v>
      </c>
    </row>
    <row r="39" spans="1:56">
      <c r="A39" s="163" t="s">
        <v>195</v>
      </c>
      <c r="B39" s="163" t="s">
        <v>196</v>
      </c>
      <c r="C39" s="161">
        <v>245.19510139835899</v>
      </c>
      <c r="D39" s="161">
        <v>245.26010162116</v>
      </c>
      <c r="E39" s="161">
        <v>245.013850686544</v>
      </c>
      <c r="F39" s="161">
        <v>245.01635069607499</v>
      </c>
      <c r="G39" s="161">
        <v>245.027184079042</v>
      </c>
      <c r="H39" s="161">
        <v>245.06093420770799</v>
      </c>
      <c r="I39" s="161">
        <v>245.67843655764401</v>
      </c>
      <c r="J39" s="161">
        <v>246.00093779128099</v>
      </c>
      <c r="K39" s="161">
        <v>247.56469375695099</v>
      </c>
      <c r="L39" s="161">
        <v>259.960574351236</v>
      </c>
      <c r="M39" s="161">
        <v>276.403137026845</v>
      </c>
      <c r="N39" s="161">
        <v>275.35645668533198</v>
      </c>
      <c r="O39" s="161">
        <v>252.02762746264901</v>
      </c>
      <c r="P39" s="161">
        <v>222.88918305322699</v>
      </c>
      <c r="Q39" s="161">
        <v>240.70466763782301</v>
      </c>
      <c r="R39" s="161">
        <v>214.31290034121901</v>
      </c>
      <c r="S39" s="161">
        <v>238.95049426705901</v>
      </c>
      <c r="T39" s="161">
        <v>245.67968656657601</v>
      </c>
      <c r="U39" s="161">
        <v>225.65586023395699</v>
      </c>
      <c r="V39" s="161">
        <v>212.721644262377</v>
      </c>
      <c r="W39" s="161">
        <v>211.27955541470499</v>
      </c>
      <c r="X39" s="161">
        <v>271.73145255032699</v>
      </c>
      <c r="Y39" s="161">
        <v>328.60625269898998</v>
      </c>
      <c r="Z39" s="161">
        <v>381.06603602462798</v>
      </c>
      <c r="AA39" s="161">
        <v>436.95666578800802</v>
      </c>
      <c r="AB39" s="161">
        <v>449.26296271160697</v>
      </c>
      <c r="AC39" s="161">
        <v>346.305903554493</v>
      </c>
      <c r="AD39" s="161">
        <v>300.53656240147802</v>
      </c>
      <c r="AE39" s="161">
        <v>297.84821881937802</v>
      </c>
      <c r="AF39" s="161">
        <v>319.008299487903</v>
      </c>
      <c r="AG39" s="161">
        <v>272.264787954393</v>
      </c>
      <c r="AH39" s="161">
        <v>282.10690880881998</v>
      </c>
      <c r="AI39" s="161">
        <v>264.69180075057898</v>
      </c>
      <c r="AJ39" s="161">
        <v>283.16257950001801</v>
      </c>
      <c r="AK39" s="161">
        <v>555.20469565569704</v>
      </c>
      <c r="AL39" s="168">
        <v>499.14842590131002</v>
      </c>
      <c r="AM39" s="168">
        <v>511.55243027251601</v>
      </c>
      <c r="AN39" s="168">
        <v>583.66937235339606</v>
      </c>
      <c r="AO39" s="168">
        <v>589.951774567332</v>
      </c>
      <c r="AP39" s="168">
        <v>615.69913197380595</v>
      </c>
      <c r="AQ39" s="168">
        <v>711.97627443083297</v>
      </c>
      <c r="AR39" s="168">
        <v>733.03850707000004</v>
      </c>
      <c r="AS39" s="168">
        <v>696.98820361166702</v>
      </c>
      <c r="AT39" s="168">
        <v>581.20031386416701</v>
      </c>
      <c r="AU39" s="168">
        <v>528.28480930499995</v>
      </c>
      <c r="AV39" s="168">
        <v>527.46814284000004</v>
      </c>
      <c r="AW39" s="168">
        <v>522.89010961083295</v>
      </c>
      <c r="AX39" s="168">
        <v>479.26678258750002</v>
      </c>
      <c r="AY39" s="168">
        <v>447.80525556077299</v>
      </c>
      <c r="AZ39" s="168">
        <v>472.18629075489298</v>
      </c>
      <c r="BA39" s="168">
        <v>495.277021572396</v>
      </c>
      <c r="BB39" s="168">
        <v>471.86611409170001</v>
      </c>
      <c r="BC39" s="168">
        <v>510.52713590196998</v>
      </c>
      <c r="BD39" s="168">
        <v>494.04003744699003</v>
      </c>
    </row>
    <row r="40" spans="1:56">
      <c r="A40" s="163" t="s">
        <v>197</v>
      </c>
      <c r="B40" s="163" t="s">
        <v>198</v>
      </c>
      <c r="C40" s="161">
        <v>245.19510139835899</v>
      </c>
      <c r="D40" s="161">
        <v>245.26010162116</v>
      </c>
      <c r="E40" s="161">
        <v>245.013850686545</v>
      </c>
      <c r="F40" s="161">
        <v>245.01635069607499</v>
      </c>
      <c r="G40" s="161">
        <v>245.027184079042</v>
      </c>
      <c r="H40" s="161">
        <v>245.06093420770699</v>
      </c>
      <c r="I40" s="161">
        <v>245.67843655764301</v>
      </c>
      <c r="J40" s="161">
        <v>246.00093779128099</v>
      </c>
      <c r="K40" s="161">
        <v>247.56469375694999</v>
      </c>
      <c r="L40" s="161">
        <v>259.960574351236</v>
      </c>
      <c r="M40" s="161">
        <v>276.40313702684603</v>
      </c>
      <c r="N40" s="161">
        <v>275.35645668533198</v>
      </c>
      <c r="O40" s="161">
        <v>252.02762746264901</v>
      </c>
      <c r="P40" s="161">
        <v>222.88918305322699</v>
      </c>
      <c r="Q40" s="161">
        <v>240.70466763782301</v>
      </c>
      <c r="R40" s="161">
        <v>214.31290034121901</v>
      </c>
      <c r="S40" s="161">
        <v>238.95049426705901</v>
      </c>
      <c r="T40" s="161">
        <v>245.67968656657601</v>
      </c>
      <c r="U40" s="161">
        <v>225.65586023395801</v>
      </c>
      <c r="V40" s="161">
        <v>212.721644262377</v>
      </c>
      <c r="W40" s="161">
        <v>211.27955541470601</v>
      </c>
      <c r="X40" s="161">
        <v>271.73145255032603</v>
      </c>
      <c r="Y40" s="161">
        <v>328.60625269898998</v>
      </c>
      <c r="Z40" s="161">
        <v>381.066036024629</v>
      </c>
      <c r="AA40" s="161">
        <v>436.956665788007</v>
      </c>
      <c r="AB40" s="161">
        <v>449.26296271160697</v>
      </c>
      <c r="AC40" s="161">
        <v>346.30590355449198</v>
      </c>
      <c r="AD40" s="161">
        <v>300.536562401477</v>
      </c>
      <c r="AE40" s="161">
        <v>297.84821881937899</v>
      </c>
      <c r="AF40" s="161">
        <v>319.008299487903</v>
      </c>
      <c r="AG40" s="161">
        <v>272.264787954393</v>
      </c>
      <c r="AH40" s="161">
        <v>282.106908808821</v>
      </c>
      <c r="AI40" s="161">
        <v>264.69180075057898</v>
      </c>
      <c r="AJ40" s="161">
        <v>283.16257950001801</v>
      </c>
      <c r="AK40" s="161">
        <v>555.20469565569704</v>
      </c>
      <c r="AL40" s="168">
        <v>499.14842590131002</v>
      </c>
      <c r="AM40" s="168">
        <v>511.55243027251601</v>
      </c>
      <c r="AN40" s="168">
        <v>583.66937235339606</v>
      </c>
      <c r="AO40" s="168">
        <v>589.951774567332</v>
      </c>
      <c r="AP40" s="168">
        <v>615.69913197380595</v>
      </c>
      <c r="AQ40" s="168">
        <v>711.97627443083297</v>
      </c>
      <c r="AR40" s="168">
        <v>733.03850707000004</v>
      </c>
      <c r="AS40" s="168">
        <v>696.98820361166702</v>
      </c>
      <c r="AT40" s="168">
        <v>581.20031386416701</v>
      </c>
      <c r="AU40" s="168">
        <v>528.28480930499995</v>
      </c>
      <c r="AV40" s="168">
        <v>527.46814284000004</v>
      </c>
      <c r="AW40" s="168">
        <v>522.89010961083295</v>
      </c>
      <c r="AX40" s="168">
        <v>479.26678258750002</v>
      </c>
      <c r="AY40" s="168">
        <v>447.80525556077299</v>
      </c>
      <c r="AZ40" s="168">
        <v>472.18629075489298</v>
      </c>
      <c r="BA40" s="168">
        <v>495.277021572396</v>
      </c>
      <c r="BB40" s="168">
        <v>471.86611409170001</v>
      </c>
      <c r="BC40" s="168">
        <v>510.52713590196998</v>
      </c>
      <c r="BD40" s="168">
        <v>494.04003744699003</v>
      </c>
    </row>
    <row r="41" spans="1:56">
      <c r="A41" s="163" t="s">
        <v>199</v>
      </c>
      <c r="B41" s="163" t="s">
        <v>200</v>
      </c>
      <c r="C41" s="161" t="s">
        <v>125</v>
      </c>
      <c r="D41" s="161" t="s">
        <v>125</v>
      </c>
      <c r="E41" s="161" t="s">
        <v>125</v>
      </c>
      <c r="F41" s="161" t="s">
        <v>125</v>
      </c>
      <c r="G41" s="161" t="s">
        <v>125</v>
      </c>
      <c r="H41" s="161" t="s">
        <v>125</v>
      </c>
      <c r="I41" s="161" t="s">
        <v>125</v>
      </c>
      <c r="J41" s="161" t="s">
        <v>125</v>
      </c>
      <c r="K41" s="161" t="s">
        <v>125</v>
      </c>
      <c r="L41" s="161" t="s">
        <v>125</v>
      </c>
      <c r="M41" s="161" t="s">
        <v>125</v>
      </c>
      <c r="N41" s="161" t="s">
        <v>125</v>
      </c>
      <c r="O41" s="161" t="s">
        <v>125</v>
      </c>
      <c r="P41" s="161" t="s">
        <v>125</v>
      </c>
      <c r="Q41" s="161" t="s">
        <v>125</v>
      </c>
      <c r="R41" s="161" t="s">
        <v>125</v>
      </c>
      <c r="S41" s="161" t="s">
        <v>125</v>
      </c>
      <c r="T41" s="161" t="s">
        <v>125</v>
      </c>
      <c r="U41" s="161" t="s">
        <v>125</v>
      </c>
      <c r="V41" s="161" t="s">
        <v>125</v>
      </c>
      <c r="W41" s="161" t="s">
        <v>125</v>
      </c>
      <c r="X41" s="161" t="s">
        <v>125</v>
      </c>
      <c r="Y41" s="161" t="s">
        <v>125</v>
      </c>
      <c r="Z41" s="161" t="s">
        <v>125</v>
      </c>
      <c r="AA41" s="161" t="s">
        <v>125</v>
      </c>
      <c r="AB41" s="161" t="s">
        <v>125</v>
      </c>
      <c r="AC41" s="161" t="s">
        <v>125</v>
      </c>
      <c r="AD41" s="161" t="s">
        <v>125</v>
      </c>
      <c r="AE41" s="161" t="s">
        <v>125</v>
      </c>
      <c r="AF41" s="161" t="s">
        <v>125</v>
      </c>
      <c r="AG41" s="161" t="s">
        <v>125</v>
      </c>
      <c r="AH41" s="161" t="s">
        <v>125</v>
      </c>
      <c r="AI41" s="161" t="s">
        <v>125</v>
      </c>
      <c r="AJ41" s="161" t="s">
        <v>125</v>
      </c>
      <c r="AK41" s="161" t="s">
        <v>125</v>
      </c>
      <c r="AL41" s="168" t="s">
        <v>125</v>
      </c>
      <c r="AM41" s="168" t="s">
        <v>125</v>
      </c>
      <c r="AN41" s="168" t="s">
        <v>125</v>
      </c>
      <c r="AO41" s="168" t="s">
        <v>125</v>
      </c>
      <c r="AP41" s="168" t="s">
        <v>125</v>
      </c>
      <c r="AQ41" s="168" t="s">
        <v>125</v>
      </c>
      <c r="AR41" s="168" t="s">
        <v>125</v>
      </c>
      <c r="AS41" s="168" t="s">
        <v>125</v>
      </c>
      <c r="AT41" s="168" t="s">
        <v>125</v>
      </c>
      <c r="AU41" s="168" t="s">
        <v>125</v>
      </c>
      <c r="AV41" s="168" t="s">
        <v>125</v>
      </c>
      <c r="AW41" s="168" t="s">
        <v>125</v>
      </c>
      <c r="AX41" s="168" t="s">
        <v>125</v>
      </c>
      <c r="AY41" s="168" t="s">
        <v>125</v>
      </c>
      <c r="AZ41" s="168" t="s">
        <v>125</v>
      </c>
      <c r="BA41" s="168" t="s">
        <v>125</v>
      </c>
      <c r="BB41" s="168" t="s">
        <v>125</v>
      </c>
      <c r="BC41" s="168" t="s">
        <v>125</v>
      </c>
      <c r="BD41" s="168" t="s">
        <v>125</v>
      </c>
    </row>
    <row r="42" spans="1:56">
      <c r="A42" s="163" t="s">
        <v>78</v>
      </c>
      <c r="B42" s="163" t="s">
        <v>201</v>
      </c>
      <c r="C42" s="161">
        <v>1.0489693750843499E-3</v>
      </c>
      <c r="D42" s="161">
        <v>1.05013600777515E-3</v>
      </c>
      <c r="E42" s="161">
        <v>1.05763578898984E-3</v>
      </c>
      <c r="F42" s="161">
        <v>1.6217859852693699E-3</v>
      </c>
      <c r="G42" s="161">
        <v>2.3074326347769501E-3</v>
      </c>
      <c r="H42" s="161">
        <v>3.1566578421154401E-3</v>
      </c>
      <c r="I42" s="161">
        <v>3.8511375671629201E-3</v>
      </c>
      <c r="J42" s="161">
        <v>5.0682687003575002E-3</v>
      </c>
      <c r="K42" s="161">
        <v>6.8764659110372899E-3</v>
      </c>
      <c r="L42" s="161">
        <v>8.6175817471208106E-3</v>
      </c>
      <c r="M42" s="161">
        <v>1.12775040919884E-2</v>
      </c>
      <c r="N42" s="161">
        <v>1.22086435743848E-2</v>
      </c>
      <c r="O42" s="161">
        <v>2.0835225059596601E-2</v>
      </c>
      <c r="P42" s="161">
        <v>7.1641908452915307E-2</v>
      </c>
      <c r="Q42" s="161">
        <v>0.59282626128923499</v>
      </c>
      <c r="R42" s="161">
        <v>4.91041666666667</v>
      </c>
      <c r="S42" s="161">
        <v>13.054166666666699</v>
      </c>
      <c r="T42" s="161">
        <v>21.535833333333301</v>
      </c>
      <c r="U42" s="161">
        <v>31.655833333333302</v>
      </c>
      <c r="V42" s="161">
        <v>37.245833333333302</v>
      </c>
      <c r="W42" s="161">
        <v>39</v>
      </c>
      <c r="X42" s="161">
        <v>39</v>
      </c>
      <c r="Y42" s="161">
        <v>50.908333333333303</v>
      </c>
      <c r="Z42" s="161">
        <v>78.788333333333298</v>
      </c>
      <c r="AA42" s="161">
        <v>98.477500000000006</v>
      </c>
      <c r="AB42" s="161">
        <v>160.85999999991699</v>
      </c>
      <c r="AC42" s="161">
        <v>192.92999999966699</v>
      </c>
      <c r="AD42" s="161">
        <v>219.40666666666701</v>
      </c>
      <c r="AE42" s="161">
        <v>245.011666666667</v>
      </c>
      <c r="AF42" s="161">
        <v>266.95416666666699</v>
      </c>
      <c r="AG42" s="161">
        <v>304.90333333333302</v>
      </c>
      <c r="AH42" s="161">
        <v>349.21583333333302</v>
      </c>
      <c r="AI42" s="161">
        <v>362.57583333333298</v>
      </c>
      <c r="AJ42" s="161">
        <v>404.16583333333301</v>
      </c>
      <c r="AK42" s="161">
        <v>420.17666666666702</v>
      </c>
      <c r="AL42" s="168">
        <v>396.77333333333303</v>
      </c>
      <c r="AM42" s="168">
        <v>412.26666666666699</v>
      </c>
      <c r="AN42" s="168">
        <v>419.29500000000002</v>
      </c>
      <c r="AO42" s="168">
        <v>460.28750000000002</v>
      </c>
      <c r="AP42" s="168">
        <v>508.77666666666698</v>
      </c>
      <c r="AQ42" s="168">
        <v>539.58749999999998</v>
      </c>
      <c r="AR42" s="168">
        <v>634.93833333333305</v>
      </c>
      <c r="AS42" s="168">
        <v>688.93666666666695</v>
      </c>
      <c r="AT42" s="168">
        <v>691.39750000000004</v>
      </c>
      <c r="AU42" s="168">
        <v>609.52916666666704</v>
      </c>
      <c r="AV42" s="168">
        <v>559.76750000000004</v>
      </c>
      <c r="AW42" s="168">
        <v>530.27499999999998</v>
      </c>
      <c r="AX42" s="168">
        <v>522.46416666666698</v>
      </c>
      <c r="AY42" s="168">
        <v>522.46103583333297</v>
      </c>
      <c r="AZ42" s="168">
        <v>560.85989484127003</v>
      </c>
      <c r="BA42" s="168">
        <v>510.24916666666701</v>
      </c>
      <c r="BB42" s="168">
        <v>483.66750000000002</v>
      </c>
      <c r="BC42" s="168">
        <v>486.47130339105303</v>
      </c>
      <c r="BD42" s="168">
        <v>495.272877645503</v>
      </c>
    </row>
    <row r="43" spans="1:56">
      <c r="A43" s="163" t="s">
        <v>73</v>
      </c>
      <c r="B43" s="163" t="s">
        <v>202</v>
      </c>
      <c r="C43" s="161">
        <v>2.4618094550643601</v>
      </c>
      <c r="D43" s="161">
        <v>2.4618094550643601</v>
      </c>
      <c r="E43" s="161">
        <v>2.4618094550643601</v>
      </c>
      <c r="F43" s="161">
        <v>2.4618094550643601</v>
      </c>
      <c r="G43" s="161">
        <v>2.4618094550643601</v>
      </c>
      <c r="H43" s="161">
        <v>2.4618094550643601</v>
      </c>
      <c r="I43" s="161">
        <v>2.4618094550643601</v>
      </c>
      <c r="J43" s="161">
        <v>2.4618094550643601</v>
      </c>
      <c r="K43" s="161">
        <v>2.4618094550643601</v>
      </c>
      <c r="L43" s="161">
        <v>2.4618094550643601</v>
      </c>
      <c r="M43" s="161">
        <v>2.4618094550643601</v>
      </c>
      <c r="N43" s="161">
        <v>2.4618094550643601</v>
      </c>
      <c r="O43" s="161">
        <v>2.2450669558673702</v>
      </c>
      <c r="P43" s="161">
        <v>1.9894159741355499</v>
      </c>
      <c r="Q43" s="161">
        <v>1.961199999</v>
      </c>
      <c r="R43" s="161">
        <v>1.859799999</v>
      </c>
      <c r="S43" s="161">
        <v>1.9413999989999999</v>
      </c>
      <c r="T43" s="161">
        <v>1.8578238020097499</v>
      </c>
      <c r="U43" s="161">
        <v>1.6835999989999999</v>
      </c>
      <c r="V43" s="161">
        <v>1.5549999990000001</v>
      </c>
      <c r="W43" s="161">
        <v>1.4983999990000001</v>
      </c>
      <c r="X43" s="161">
        <v>1.7045333325000001</v>
      </c>
      <c r="Y43" s="161">
        <v>1.8925416658333301</v>
      </c>
      <c r="Z43" s="161">
        <v>1.97567499916667</v>
      </c>
      <c r="AA43" s="161">
        <v>2.3200416662499999</v>
      </c>
      <c r="AB43" s="161">
        <v>2.93665833325</v>
      </c>
      <c r="AC43" s="161">
        <v>3.4527916665833298</v>
      </c>
      <c r="AD43" s="161">
        <v>3.7221000000000002</v>
      </c>
      <c r="AE43" s="161">
        <v>3.7221000000000002</v>
      </c>
      <c r="AF43" s="161">
        <v>3.7651083333333299</v>
      </c>
      <c r="AG43" s="161">
        <v>4.78320833333333</v>
      </c>
      <c r="AH43" s="161">
        <v>5.3233916666666703</v>
      </c>
      <c r="AI43" s="161">
        <v>5.5145916666666697</v>
      </c>
      <c r="AJ43" s="161">
        <v>5.7619583333333297</v>
      </c>
      <c r="AK43" s="161">
        <v>8.6187426666666695</v>
      </c>
      <c r="AL43" s="168">
        <v>8.3514166666666707</v>
      </c>
      <c r="AM43" s="168">
        <v>8.3141750000000005</v>
      </c>
      <c r="AN43" s="168">
        <v>8.2898166666666704</v>
      </c>
      <c r="AO43" s="168">
        <v>8.2789583333333301</v>
      </c>
      <c r="AP43" s="168">
        <v>8.2782499999999999</v>
      </c>
      <c r="AQ43" s="168">
        <v>8.2785041666666697</v>
      </c>
      <c r="AR43" s="168">
        <v>8.2770683333333306</v>
      </c>
      <c r="AS43" s="168">
        <v>8.2769575</v>
      </c>
      <c r="AT43" s="168">
        <v>8.2770366666666693</v>
      </c>
      <c r="AU43" s="168">
        <v>8.2768008333333292</v>
      </c>
      <c r="AV43" s="168">
        <v>8.1943166666666691</v>
      </c>
      <c r="AW43" s="168">
        <v>7.9734383333333296</v>
      </c>
      <c r="AX43" s="168">
        <v>7.6075324999999996</v>
      </c>
      <c r="AY43" s="168">
        <v>6.9486549999999996</v>
      </c>
      <c r="AZ43" s="168">
        <v>6.8314160517666602</v>
      </c>
      <c r="BA43" s="168">
        <v>6.7702690287094001</v>
      </c>
      <c r="BB43" s="168">
        <v>6.4614613265500704</v>
      </c>
      <c r="BC43" s="168">
        <v>6.3123328268318604</v>
      </c>
      <c r="BD43" s="168">
        <v>6.19575834608231</v>
      </c>
    </row>
    <row r="44" spans="1:56">
      <c r="A44" s="163" t="s">
        <v>72</v>
      </c>
      <c r="B44" s="163" t="s">
        <v>203</v>
      </c>
      <c r="C44" s="161">
        <v>6.6349999989999997</v>
      </c>
      <c r="D44" s="161">
        <v>6.6999999990000001</v>
      </c>
      <c r="E44" s="161">
        <v>6.9012083325000004</v>
      </c>
      <c r="F44" s="161">
        <v>9</v>
      </c>
      <c r="G44" s="161">
        <v>9</v>
      </c>
      <c r="H44" s="161">
        <v>10.474999999916699</v>
      </c>
      <c r="I44" s="161">
        <v>13.5</v>
      </c>
      <c r="J44" s="161">
        <v>14.5063916664167</v>
      </c>
      <c r="K44" s="161">
        <v>16.290666665833299</v>
      </c>
      <c r="L44" s="161">
        <v>17.320141665833301</v>
      </c>
      <c r="M44" s="161">
        <v>18.443099999083302</v>
      </c>
      <c r="N44" s="161">
        <v>19.931933332583299</v>
      </c>
      <c r="O44" s="161">
        <v>21.865641665666701</v>
      </c>
      <c r="P44" s="161">
        <v>23.636983332333301</v>
      </c>
      <c r="Q44" s="161">
        <v>26.064124999000001</v>
      </c>
      <c r="R44" s="161">
        <v>30.928941665666699</v>
      </c>
      <c r="S44" s="161">
        <v>34.693924998999996</v>
      </c>
      <c r="T44" s="161">
        <v>36.7748666656667</v>
      </c>
      <c r="U44" s="161">
        <v>39.0946416656667</v>
      </c>
      <c r="V44" s="161">
        <v>42.549774999</v>
      </c>
      <c r="W44" s="161">
        <v>47.280308332416702</v>
      </c>
      <c r="X44" s="161">
        <v>54.490549999000002</v>
      </c>
      <c r="Y44" s="161">
        <v>64.084716665749994</v>
      </c>
      <c r="Z44" s="161">
        <v>78.854299999583304</v>
      </c>
      <c r="AA44" s="161">
        <v>100.81724166625</v>
      </c>
      <c r="AB44" s="161">
        <v>142.31166666641701</v>
      </c>
      <c r="AC44" s="161">
        <v>194.261416666667</v>
      </c>
      <c r="AD44" s="161">
        <v>242.60749999999999</v>
      </c>
      <c r="AE44" s="161">
        <v>299.17383333333299</v>
      </c>
      <c r="AF44" s="161">
        <v>382.56808333333299</v>
      </c>
      <c r="AG44" s="161">
        <v>502.25925000000001</v>
      </c>
      <c r="AH44" s="161">
        <v>633.045166666667</v>
      </c>
      <c r="AI44" s="161">
        <v>759.28200000000004</v>
      </c>
      <c r="AJ44" s="161">
        <v>863.06468333333305</v>
      </c>
      <c r="AK44" s="161">
        <v>844.83588999999995</v>
      </c>
      <c r="AL44" s="168">
        <v>912.826415</v>
      </c>
      <c r="AM44" s="168">
        <v>1036.6864166666701</v>
      </c>
      <c r="AN44" s="168">
        <v>1140.9629416666701</v>
      </c>
      <c r="AO44" s="168">
        <v>1426.0374583333301</v>
      </c>
      <c r="AP44" s="168">
        <v>1756.23084833333</v>
      </c>
      <c r="AQ44" s="168">
        <v>2087.9038416666699</v>
      </c>
      <c r="AR44" s="168">
        <v>2299.63315583333</v>
      </c>
      <c r="AS44" s="168">
        <v>2504.2413308333298</v>
      </c>
      <c r="AT44" s="168">
        <v>2877.6524583333298</v>
      </c>
      <c r="AU44" s="168">
        <v>2628.6129025</v>
      </c>
      <c r="AV44" s="168">
        <v>2320.8341766666699</v>
      </c>
      <c r="AW44" s="168">
        <v>2361.1394074999998</v>
      </c>
      <c r="AX44" s="168">
        <v>2078.29183666667</v>
      </c>
      <c r="AY44" s="168">
        <v>1967.7113091666699</v>
      </c>
      <c r="AZ44" s="168">
        <v>2158.25590299025</v>
      </c>
      <c r="BA44" s="168">
        <v>1898.56963600842</v>
      </c>
      <c r="BB44" s="168">
        <v>1848.1394699518301</v>
      </c>
      <c r="BC44" s="168">
        <v>1796.8959123110001</v>
      </c>
      <c r="BD44" s="168">
        <v>1868.7853270907999</v>
      </c>
    </row>
    <row r="45" spans="1:56">
      <c r="A45" s="163" t="s">
        <v>204</v>
      </c>
      <c r="B45" s="163" t="s">
        <v>205</v>
      </c>
      <c r="C45" s="161">
        <v>245.193023629327</v>
      </c>
      <c r="D45" s="161">
        <v>245.25802330132001</v>
      </c>
      <c r="E45" s="161">
        <v>245.011774453421</v>
      </c>
      <c r="F45" s="161">
        <v>245.01427444176599</v>
      </c>
      <c r="G45" s="161">
        <v>245.02510773293201</v>
      </c>
      <c r="H45" s="161">
        <v>245.058857575601</v>
      </c>
      <c r="I45" s="161">
        <v>245.67635469285801</v>
      </c>
      <c r="J45" s="161">
        <v>245.99885319363801</v>
      </c>
      <c r="K45" s="161">
        <v>247.56259590813099</v>
      </c>
      <c r="L45" s="161">
        <v>259.95837146044499</v>
      </c>
      <c r="M45" s="161">
        <v>276.40079480273403</v>
      </c>
      <c r="N45" s="161">
        <v>275.35431255095898</v>
      </c>
      <c r="O45" s="161">
        <v>252.025491795188</v>
      </c>
      <c r="P45" s="161">
        <v>222.887294303251</v>
      </c>
      <c r="Q45" s="161">
        <v>240.702627920466</v>
      </c>
      <c r="R45" s="161">
        <v>214.31108426616299</v>
      </c>
      <c r="S45" s="161">
        <v>238.94846941446499</v>
      </c>
      <c r="T45" s="161">
        <v>245.67760469119699</v>
      </c>
      <c r="U45" s="161">
        <v>225.653948039319</v>
      </c>
      <c r="V45" s="161">
        <v>212.719841671533</v>
      </c>
      <c r="W45" s="161">
        <v>211.27776504403801</v>
      </c>
      <c r="X45" s="161">
        <v>271.72914991379798</v>
      </c>
      <c r="Y45" s="161">
        <v>328.60346810871198</v>
      </c>
      <c r="Z45" s="161">
        <v>381.06280689319698</v>
      </c>
      <c r="AA45" s="161">
        <v>436.95296304263002</v>
      </c>
      <c r="AB45" s="161">
        <v>449.25915568338502</v>
      </c>
      <c r="AC45" s="161">
        <v>346.30296897840299</v>
      </c>
      <c r="AD45" s="161">
        <v>300.53401567212302</v>
      </c>
      <c r="AE45" s="161">
        <v>297.84569487089101</v>
      </c>
      <c r="AF45" s="161">
        <v>319.00559623012299</v>
      </c>
      <c r="AG45" s="161">
        <v>272.26248079841201</v>
      </c>
      <c r="AH45" s="161">
        <v>282.10451825127899</v>
      </c>
      <c r="AI45" s="161">
        <v>264.68955776765102</v>
      </c>
      <c r="AJ45" s="161">
        <v>283.160179996784</v>
      </c>
      <c r="AK45" s="161">
        <v>416.39882095182401</v>
      </c>
      <c r="AL45" s="168">
        <v>374.35709325152499</v>
      </c>
      <c r="AM45" s="168">
        <v>383.65999150808801</v>
      </c>
      <c r="AN45" s="168">
        <v>437.747087471253</v>
      </c>
      <c r="AO45" s="168">
        <v>442.45883594005699</v>
      </c>
      <c r="AP45" s="168">
        <v>461.77458363717301</v>
      </c>
      <c r="AQ45" s="168">
        <v>533.982477173333</v>
      </c>
      <c r="AR45" s="168">
        <v>549.77915968000002</v>
      </c>
      <c r="AS45" s="168">
        <v>522.74141834666705</v>
      </c>
      <c r="AT45" s="168">
        <v>435.90045690666699</v>
      </c>
      <c r="AU45" s="168">
        <v>396.21380832</v>
      </c>
      <c r="AV45" s="168">
        <v>395.60130815999997</v>
      </c>
      <c r="AW45" s="168">
        <v>392.167781493333</v>
      </c>
      <c r="AX45" s="168">
        <v>359.45026960000001</v>
      </c>
      <c r="AY45" s="168">
        <v>335.85411233925799</v>
      </c>
      <c r="AZ45" s="168">
        <v>354.139898027009</v>
      </c>
      <c r="BA45" s="168">
        <v>371.45795494053499</v>
      </c>
      <c r="BB45" s="168">
        <v>353.89976540758801</v>
      </c>
      <c r="BC45" s="168">
        <v>382.89554649987798</v>
      </c>
      <c r="BD45" s="168">
        <v>370.53021637503798</v>
      </c>
    </row>
    <row r="46" spans="1:56">
      <c r="A46" s="163" t="s">
        <v>206</v>
      </c>
      <c r="B46" s="163" t="s">
        <v>566</v>
      </c>
      <c r="C46" s="161">
        <v>1.7000000000000001E-13</v>
      </c>
      <c r="D46" s="161">
        <v>1.7500000000000001E-13</v>
      </c>
      <c r="E46" s="161">
        <v>2.0999999999999999E-13</v>
      </c>
      <c r="F46" s="161">
        <v>2.5249999999999998E-13</v>
      </c>
      <c r="G46" s="161">
        <v>5.4999999999999998E-13</v>
      </c>
      <c r="H46" s="161">
        <v>5.4999999999999998E-13</v>
      </c>
      <c r="I46" s="161">
        <v>5.4999999999999998E-13</v>
      </c>
      <c r="J46" s="161">
        <v>1.15666666666667E-12</v>
      </c>
      <c r="K46" s="161">
        <v>1.67E-12</v>
      </c>
      <c r="L46" s="161">
        <v>1.67E-12</v>
      </c>
      <c r="M46" s="161">
        <v>1.67E-12</v>
      </c>
      <c r="N46" s="161">
        <v>1.67E-12</v>
      </c>
      <c r="O46" s="161">
        <v>1.67E-12</v>
      </c>
      <c r="P46" s="161">
        <v>1.67E-12</v>
      </c>
      <c r="Q46" s="161">
        <v>1.67E-12</v>
      </c>
      <c r="R46" s="161">
        <v>1.67E-12</v>
      </c>
      <c r="S46" s="161">
        <v>2.6408333333333302E-12</v>
      </c>
      <c r="T46" s="161">
        <v>2.8549999999999999E-12</v>
      </c>
      <c r="U46" s="161">
        <v>2.7866666666666699E-12</v>
      </c>
      <c r="V46" s="161">
        <v>5.7608333333333302E-12</v>
      </c>
      <c r="W46" s="161">
        <v>9.3308333333333297E-12</v>
      </c>
      <c r="X46" s="161">
        <v>1.46083333333333E-11</v>
      </c>
      <c r="Y46" s="161">
        <v>1.91625E-11</v>
      </c>
      <c r="Z46" s="161">
        <v>4.2955000000000002E-11</v>
      </c>
      <c r="AA46" s="161">
        <v>1.20404166666667E-10</v>
      </c>
      <c r="AB46" s="161">
        <v>1.6620749999999999E-10</v>
      </c>
      <c r="AC46" s="161">
        <v>1.98705833333333E-10</v>
      </c>
      <c r="AD46" s="161">
        <v>3.7459499999999999E-10</v>
      </c>
      <c r="AE46" s="161">
        <v>6.2342999999999999E-10</v>
      </c>
      <c r="AF46" s="161">
        <v>1.27120833333333E-9</v>
      </c>
      <c r="AG46" s="161">
        <v>2.3947483333333299E-9</v>
      </c>
      <c r="AH46" s="161">
        <v>5.1945694166666698E-8</v>
      </c>
      <c r="AI46" s="161">
        <v>2.1513626025000001E-6</v>
      </c>
      <c r="AJ46" s="161">
        <v>2.5144168139999999E-5</v>
      </c>
      <c r="AK46" s="161">
        <v>1.19411916666667E-2</v>
      </c>
      <c r="AL46" s="168">
        <v>7.0244716666666707E-2</v>
      </c>
      <c r="AM46" s="168">
        <v>0.50184917500000004</v>
      </c>
      <c r="AN46" s="168">
        <v>1.3134475999999999</v>
      </c>
      <c r="AO46" s="168">
        <v>1.60723243633824</v>
      </c>
      <c r="AP46" s="168">
        <v>4.0206868435721397</v>
      </c>
      <c r="AQ46" s="168">
        <v>21.8311121813367</v>
      </c>
      <c r="AR46" s="168">
        <v>206.73851445087499</v>
      </c>
      <c r="AS46" s="168">
        <v>346.68793388513302</v>
      </c>
      <c r="AT46" s="168">
        <v>405.39745174602899</v>
      </c>
      <c r="AU46" s="168">
        <v>399.47579166666702</v>
      </c>
      <c r="AV46" s="168">
        <v>473.90800833333299</v>
      </c>
      <c r="AW46" s="168">
        <v>468.27882499999998</v>
      </c>
      <c r="AX46" s="168">
        <v>516.74989166666705</v>
      </c>
      <c r="AY46" s="168">
        <v>559.29250833333299</v>
      </c>
      <c r="AZ46" s="168">
        <v>809.78583333333302</v>
      </c>
      <c r="BA46" s="168">
        <v>905.91345833333298</v>
      </c>
      <c r="BB46" s="168">
        <v>919.49130000000002</v>
      </c>
      <c r="BC46" s="168">
        <v>919.75540833333298</v>
      </c>
      <c r="BD46" s="168">
        <v>919.79277402154798</v>
      </c>
    </row>
    <row r="47" spans="1:56">
      <c r="A47" s="163" t="s">
        <v>208</v>
      </c>
      <c r="B47" s="163" t="s">
        <v>209</v>
      </c>
      <c r="C47" s="161">
        <v>245.19510139835899</v>
      </c>
      <c r="D47" s="161">
        <v>245.26010162116</v>
      </c>
      <c r="E47" s="161">
        <v>245.013850686544</v>
      </c>
      <c r="F47" s="161">
        <v>245.01635069607499</v>
      </c>
      <c r="G47" s="161">
        <v>245.027184079042</v>
      </c>
      <c r="H47" s="161">
        <v>245.06093420770799</v>
      </c>
      <c r="I47" s="161">
        <v>245.67843655764401</v>
      </c>
      <c r="J47" s="161">
        <v>246.00093779128099</v>
      </c>
      <c r="K47" s="161">
        <v>247.56469375695099</v>
      </c>
      <c r="L47" s="161">
        <v>259.960574351236</v>
      </c>
      <c r="M47" s="161">
        <v>276.403137026845</v>
      </c>
      <c r="N47" s="161">
        <v>275.35645668533198</v>
      </c>
      <c r="O47" s="161">
        <v>252.02762746264901</v>
      </c>
      <c r="P47" s="161">
        <v>222.88918305322699</v>
      </c>
      <c r="Q47" s="161">
        <v>240.70466763782301</v>
      </c>
      <c r="R47" s="161">
        <v>214.31290034121901</v>
      </c>
      <c r="S47" s="161">
        <v>238.95049426705901</v>
      </c>
      <c r="T47" s="161">
        <v>245.67968656657601</v>
      </c>
      <c r="U47" s="161">
        <v>225.65586023395699</v>
      </c>
      <c r="V47" s="161">
        <v>212.721644262377</v>
      </c>
      <c r="W47" s="161">
        <v>211.27955541470499</v>
      </c>
      <c r="X47" s="161">
        <v>271.73145255032699</v>
      </c>
      <c r="Y47" s="161">
        <v>328.60625269898998</v>
      </c>
      <c r="Z47" s="161">
        <v>381.06603602462798</v>
      </c>
      <c r="AA47" s="161">
        <v>436.95666578800802</v>
      </c>
      <c r="AB47" s="161">
        <v>449.26296271160697</v>
      </c>
      <c r="AC47" s="161">
        <v>346.305903554493</v>
      </c>
      <c r="AD47" s="161">
        <v>300.53656240147802</v>
      </c>
      <c r="AE47" s="161">
        <v>297.84821881937802</v>
      </c>
      <c r="AF47" s="161">
        <v>319.008299487903</v>
      </c>
      <c r="AG47" s="161">
        <v>272.264787954393</v>
      </c>
      <c r="AH47" s="161">
        <v>282.10690880881998</v>
      </c>
      <c r="AI47" s="161">
        <v>264.69180075057898</v>
      </c>
      <c r="AJ47" s="161">
        <v>283.16257950001801</v>
      </c>
      <c r="AK47" s="161">
        <v>555.20469565569704</v>
      </c>
      <c r="AL47" s="168">
        <v>499.14842590131002</v>
      </c>
      <c r="AM47" s="168">
        <v>511.55243027251601</v>
      </c>
      <c r="AN47" s="168">
        <v>583.66937235339606</v>
      </c>
      <c r="AO47" s="168">
        <v>589.951774567332</v>
      </c>
      <c r="AP47" s="168">
        <v>615.69913197380595</v>
      </c>
      <c r="AQ47" s="168">
        <v>711.97627443083297</v>
      </c>
      <c r="AR47" s="168">
        <v>733.03850707000004</v>
      </c>
      <c r="AS47" s="168">
        <v>696.98820361166702</v>
      </c>
      <c r="AT47" s="168">
        <v>581.20031386416701</v>
      </c>
      <c r="AU47" s="168">
        <v>528.28480930499995</v>
      </c>
      <c r="AV47" s="168">
        <v>527.46814284000004</v>
      </c>
      <c r="AW47" s="168">
        <v>522.89010961083295</v>
      </c>
      <c r="AX47" s="168">
        <v>479.26678258750002</v>
      </c>
      <c r="AY47" s="168">
        <v>447.80525556077299</v>
      </c>
      <c r="AZ47" s="168">
        <v>472.18629075489298</v>
      </c>
      <c r="BA47" s="168">
        <v>495.277021572396</v>
      </c>
      <c r="BB47" s="168">
        <v>471.86611409170001</v>
      </c>
      <c r="BC47" s="168">
        <v>510.52713590196998</v>
      </c>
      <c r="BD47" s="168">
        <v>494.04003744699003</v>
      </c>
    </row>
    <row r="48" spans="1:56">
      <c r="A48" s="163" t="s">
        <v>210</v>
      </c>
      <c r="B48" s="163" t="s">
        <v>211</v>
      </c>
      <c r="C48" s="161">
        <v>5.6150000046150002</v>
      </c>
      <c r="D48" s="161">
        <v>5.9516666716183302</v>
      </c>
      <c r="E48" s="161">
        <v>6.625000005625</v>
      </c>
      <c r="F48" s="161">
        <v>6.625000005625</v>
      </c>
      <c r="G48" s="161">
        <v>6.625000005625</v>
      </c>
      <c r="H48" s="161">
        <v>6.625000005625</v>
      </c>
      <c r="I48" s="161">
        <v>6.625000005625</v>
      </c>
      <c r="J48" s="161">
        <v>6.625000005625</v>
      </c>
      <c r="K48" s="161">
        <v>6.625000005625</v>
      </c>
      <c r="L48" s="161">
        <v>6.625000005625</v>
      </c>
      <c r="M48" s="161">
        <v>6.625000005625</v>
      </c>
      <c r="N48" s="161">
        <v>6.6258333384062498</v>
      </c>
      <c r="O48" s="161">
        <v>6.6349999989999997</v>
      </c>
      <c r="P48" s="161">
        <v>6.6467583323333299</v>
      </c>
      <c r="Q48" s="161">
        <v>7.9299973062735001</v>
      </c>
      <c r="R48" s="161">
        <v>8.5699999990000002</v>
      </c>
      <c r="S48" s="161">
        <v>8.5699999990000002</v>
      </c>
      <c r="T48" s="161">
        <v>8.5699999990000002</v>
      </c>
      <c r="U48" s="161">
        <v>8.5699999990000002</v>
      </c>
      <c r="V48" s="161">
        <v>8.5699999990000002</v>
      </c>
      <c r="W48" s="161">
        <v>8.5699999990833309</v>
      </c>
      <c r="X48" s="161">
        <v>21.7633333325</v>
      </c>
      <c r="Y48" s="161">
        <v>37.406666665750002</v>
      </c>
      <c r="Z48" s="161">
        <v>41.094166665666698</v>
      </c>
      <c r="AA48" s="161">
        <v>44.532683333000001</v>
      </c>
      <c r="AB48" s="161">
        <v>50.45335</v>
      </c>
      <c r="AC48" s="161">
        <v>55.985891666666703</v>
      </c>
      <c r="AD48" s="161">
        <v>62.776200000000003</v>
      </c>
      <c r="AE48" s="161">
        <v>75.804733333333303</v>
      </c>
      <c r="AF48" s="161">
        <v>81.504208333333295</v>
      </c>
      <c r="AG48" s="161">
        <v>91.579291666666705</v>
      </c>
      <c r="AH48" s="161">
        <v>122.432416666667</v>
      </c>
      <c r="AI48" s="161">
        <v>134.506333333333</v>
      </c>
      <c r="AJ48" s="161">
        <v>142.17166666666699</v>
      </c>
      <c r="AK48" s="161">
        <v>157.066666666667</v>
      </c>
      <c r="AL48" s="168">
        <v>179.729166666667</v>
      </c>
      <c r="AM48" s="168">
        <v>207.68916666666701</v>
      </c>
      <c r="AN48" s="168">
        <v>232.5975</v>
      </c>
      <c r="AO48" s="168">
        <v>257.22916666666703</v>
      </c>
      <c r="AP48" s="168">
        <v>285.68469483333303</v>
      </c>
      <c r="AQ48" s="168">
        <v>308.18666666666701</v>
      </c>
      <c r="AR48" s="168">
        <v>328.870833333333</v>
      </c>
      <c r="AS48" s="168">
        <v>359.81752688172003</v>
      </c>
      <c r="AT48" s="168">
        <v>398.662222222222</v>
      </c>
      <c r="AU48" s="168">
        <v>437.935</v>
      </c>
      <c r="AV48" s="168">
        <v>477.786741487455</v>
      </c>
      <c r="AW48" s="168">
        <v>511.30181794034797</v>
      </c>
      <c r="AX48" s="168">
        <v>516.61739023297503</v>
      </c>
      <c r="AY48" s="168">
        <v>526.23551344086002</v>
      </c>
      <c r="AZ48" s="168">
        <v>573.287956733231</v>
      </c>
      <c r="BA48" s="168">
        <v>525.829200716846</v>
      </c>
      <c r="BB48" s="168">
        <v>505.664239919355</v>
      </c>
      <c r="BC48" s="168">
        <v>502.90146198156702</v>
      </c>
      <c r="BD48" s="168">
        <v>499.76683256528401</v>
      </c>
    </row>
    <row r="49" spans="1:56">
      <c r="A49" s="163" t="s">
        <v>212</v>
      </c>
      <c r="B49" s="163" t="s">
        <v>213</v>
      </c>
      <c r="C49" s="161">
        <v>245.19510139835899</v>
      </c>
      <c r="D49" s="161">
        <v>245.26010162116</v>
      </c>
      <c r="E49" s="161">
        <v>245.013850686544</v>
      </c>
      <c r="F49" s="161">
        <v>245.01635069607499</v>
      </c>
      <c r="G49" s="161">
        <v>245.027184079042</v>
      </c>
      <c r="H49" s="161">
        <v>245.06093420770799</v>
      </c>
      <c r="I49" s="161">
        <v>245.67843655764401</v>
      </c>
      <c r="J49" s="161">
        <v>246.00093779128099</v>
      </c>
      <c r="K49" s="161">
        <v>247.56469375695099</v>
      </c>
      <c r="L49" s="161">
        <v>259.960574351236</v>
      </c>
      <c r="M49" s="161">
        <v>276.403137026845</v>
      </c>
      <c r="N49" s="161">
        <v>275.35645668533198</v>
      </c>
      <c r="O49" s="161">
        <v>252.02762746264901</v>
      </c>
      <c r="P49" s="161">
        <v>222.88918305322699</v>
      </c>
      <c r="Q49" s="161">
        <v>240.70466763782301</v>
      </c>
      <c r="R49" s="161">
        <v>214.31290034121901</v>
      </c>
      <c r="S49" s="161">
        <v>238.95049426705901</v>
      </c>
      <c r="T49" s="161">
        <v>245.67968656657601</v>
      </c>
      <c r="U49" s="161">
        <v>225.65586023395699</v>
      </c>
      <c r="V49" s="161">
        <v>212.721644262377</v>
      </c>
      <c r="W49" s="161">
        <v>211.27955541470499</v>
      </c>
      <c r="X49" s="161">
        <v>271.73145255032699</v>
      </c>
      <c r="Y49" s="161">
        <v>328.60625269898998</v>
      </c>
      <c r="Z49" s="161">
        <v>381.06603602462798</v>
      </c>
      <c r="AA49" s="161">
        <v>436.95666578800802</v>
      </c>
      <c r="AB49" s="161">
        <v>449.26296271160697</v>
      </c>
      <c r="AC49" s="161">
        <v>346.305903554493</v>
      </c>
      <c r="AD49" s="161">
        <v>300.53656240147802</v>
      </c>
      <c r="AE49" s="161">
        <v>297.84821881937802</v>
      </c>
      <c r="AF49" s="161">
        <v>319.008299487903</v>
      </c>
      <c r="AG49" s="161">
        <v>272.264787954393</v>
      </c>
      <c r="AH49" s="161">
        <v>282.10690880881998</v>
      </c>
      <c r="AI49" s="161">
        <v>264.69180075057898</v>
      </c>
      <c r="AJ49" s="161">
        <v>283.16257950001801</v>
      </c>
      <c r="AK49" s="161">
        <v>555.20469565569704</v>
      </c>
      <c r="AL49" s="168">
        <v>499.14842590131002</v>
      </c>
      <c r="AM49" s="168">
        <v>511.55243027251601</v>
      </c>
      <c r="AN49" s="168">
        <v>583.66937235339606</v>
      </c>
      <c r="AO49" s="168">
        <v>589.951774567332</v>
      </c>
      <c r="AP49" s="168">
        <v>615.69913197380595</v>
      </c>
      <c r="AQ49" s="168">
        <v>711.97627443083297</v>
      </c>
      <c r="AR49" s="168">
        <v>733.03850707000004</v>
      </c>
      <c r="AS49" s="168">
        <v>696.98820361166702</v>
      </c>
      <c r="AT49" s="168">
        <v>581.20031386416701</v>
      </c>
      <c r="AU49" s="168">
        <v>528.28480930499995</v>
      </c>
      <c r="AV49" s="168">
        <v>527.46814284000004</v>
      </c>
      <c r="AW49" s="168">
        <v>522.89010961083295</v>
      </c>
      <c r="AX49" s="168">
        <v>479.26678258750002</v>
      </c>
      <c r="AY49" s="168">
        <v>447.80525556077299</v>
      </c>
      <c r="AZ49" s="168">
        <v>472.18629075489298</v>
      </c>
      <c r="BA49" s="168">
        <v>495.277021572396</v>
      </c>
      <c r="BB49" s="168">
        <v>471.86611409170001</v>
      </c>
      <c r="BC49" s="168">
        <v>510.52713590196998</v>
      </c>
      <c r="BD49" s="168">
        <v>494.04003744699003</v>
      </c>
    </row>
    <row r="50" spans="1:56">
      <c r="A50" s="163" t="s">
        <v>214</v>
      </c>
      <c r="B50" s="163" t="s">
        <v>215</v>
      </c>
      <c r="C50" s="161" t="s">
        <v>125</v>
      </c>
      <c r="D50" s="161" t="s">
        <v>125</v>
      </c>
      <c r="E50" s="161" t="s">
        <v>125</v>
      </c>
      <c r="F50" s="161" t="s">
        <v>125</v>
      </c>
      <c r="G50" s="161" t="s">
        <v>125</v>
      </c>
      <c r="H50" s="161" t="s">
        <v>125</v>
      </c>
      <c r="I50" s="161" t="s">
        <v>125</v>
      </c>
      <c r="J50" s="161" t="s">
        <v>125</v>
      </c>
      <c r="K50" s="161" t="s">
        <v>125</v>
      </c>
      <c r="L50" s="161" t="s">
        <v>125</v>
      </c>
      <c r="M50" s="161" t="s">
        <v>125</v>
      </c>
      <c r="N50" s="161" t="s">
        <v>125</v>
      </c>
      <c r="O50" s="161" t="s">
        <v>125</v>
      </c>
      <c r="P50" s="161" t="s">
        <v>125</v>
      </c>
      <c r="Q50" s="161" t="s">
        <v>125</v>
      </c>
      <c r="R50" s="161" t="s">
        <v>125</v>
      </c>
      <c r="S50" s="161" t="s">
        <v>125</v>
      </c>
      <c r="T50" s="161" t="s">
        <v>125</v>
      </c>
      <c r="U50" s="161" t="s">
        <v>125</v>
      </c>
      <c r="V50" s="161" t="s">
        <v>125</v>
      </c>
      <c r="W50" s="161" t="s">
        <v>125</v>
      </c>
      <c r="X50" s="161" t="s">
        <v>125</v>
      </c>
      <c r="Y50" s="161" t="s">
        <v>125</v>
      </c>
      <c r="Z50" s="161" t="s">
        <v>125</v>
      </c>
      <c r="AA50" s="161" t="s">
        <v>125</v>
      </c>
      <c r="AB50" s="161" t="s">
        <v>125</v>
      </c>
      <c r="AC50" s="161" t="s">
        <v>125</v>
      </c>
      <c r="AD50" s="161" t="s">
        <v>125</v>
      </c>
      <c r="AE50" s="161" t="s">
        <v>125</v>
      </c>
      <c r="AF50" s="161" t="s">
        <v>125</v>
      </c>
      <c r="AG50" s="161" t="s">
        <v>125</v>
      </c>
      <c r="AH50" s="161" t="s">
        <v>125</v>
      </c>
      <c r="AI50" s="161">
        <v>0.26329825000000001</v>
      </c>
      <c r="AJ50" s="161">
        <v>3.5791489166666701</v>
      </c>
      <c r="AK50" s="161">
        <v>5.99801141666667</v>
      </c>
      <c r="AL50" s="168">
        <v>5.23075608333333</v>
      </c>
      <c r="AM50" s="168">
        <v>5.4341611666666703</v>
      </c>
      <c r="AN50" s="168">
        <v>6.1605825833333299</v>
      </c>
      <c r="AO50" s="168">
        <v>6.3632856666666697</v>
      </c>
      <c r="AP50" s="168">
        <v>7.1117428333333299</v>
      </c>
      <c r="AQ50" s="168">
        <v>8.2776664166666691</v>
      </c>
      <c r="AR50" s="168">
        <v>8.3415409999999994</v>
      </c>
      <c r="AS50" s="168">
        <v>7.8716825000000004</v>
      </c>
      <c r="AT50" s="168">
        <v>6.7049688333333304</v>
      </c>
      <c r="AU50" s="168">
        <v>6.0343406666666697</v>
      </c>
      <c r="AV50" s="168">
        <v>5.9492369166666697</v>
      </c>
      <c r="AW50" s="168">
        <v>5.8377932499999998</v>
      </c>
      <c r="AX50" s="168">
        <v>5.3645356666666704</v>
      </c>
      <c r="AY50" s="168">
        <v>4.9350397499999996</v>
      </c>
      <c r="AZ50" s="168">
        <v>5.2839464166666703</v>
      </c>
      <c r="BA50" s="168">
        <v>5.4980105833333299</v>
      </c>
      <c r="BB50" s="168">
        <v>5.3438697499999996</v>
      </c>
      <c r="BC50" s="168">
        <v>5.8502918333333298</v>
      </c>
      <c r="BD50" s="168">
        <v>5.70488016666667</v>
      </c>
    </row>
    <row r="51" spans="1:56">
      <c r="A51" s="163" t="s">
        <v>216</v>
      </c>
      <c r="B51" s="163" t="s">
        <v>217</v>
      </c>
      <c r="C51" s="161" t="s">
        <v>125</v>
      </c>
      <c r="D51" s="161" t="s">
        <v>125</v>
      </c>
      <c r="E51" s="161" t="s">
        <v>125</v>
      </c>
      <c r="F51" s="161" t="s">
        <v>125</v>
      </c>
      <c r="G51" s="161" t="s">
        <v>125</v>
      </c>
      <c r="H51" s="161" t="s">
        <v>125</v>
      </c>
      <c r="I51" s="161" t="s">
        <v>125</v>
      </c>
      <c r="J51" s="161" t="s">
        <v>125</v>
      </c>
      <c r="K51" s="161" t="s">
        <v>125</v>
      </c>
      <c r="L51" s="161" t="s">
        <v>125</v>
      </c>
      <c r="M51" s="161" t="s">
        <v>125</v>
      </c>
      <c r="N51" s="161" t="s">
        <v>125</v>
      </c>
      <c r="O51" s="161" t="s">
        <v>125</v>
      </c>
      <c r="P51" s="161" t="s">
        <v>125</v>
      </c>
      <c r="Q51" s="161" t="s">
        <v>125</v>
      </c>
      <c r="R51" s="161" t="s">
        <v>125</v>
      </c>
      <c r="S51" s="161" t="s">
        <v>125</v>
      </c>
      <c r="T51" s="161" t="s">
        <v>125</v>
      </c>
      <c r="U51" s="161" t="s">
        <v>125</v>
      </c>
      <c r="V51" s="161" t="s">
        <v>125</v>
      </c>
      <c r="W51" s="161" t="s">
        <v>125</v>
      </c>
      <c r="X51" s="161" t="s">
        <v>125</v>
      </c>
      <c r="Y51" s="161" t="s">
        <v>125</v>
      </c>
      <c r="Z51" s="161" t="s">
        <v>125</v>
      </c>
      <c r="AA51" s="161" t="s">
        <v>125</v>
      </c>
      <c r="AB51" s="161" t="s">
        <v>125</v>
      </c>
      <c r="AC51" s="161" t="s">
        <v>125</v>
      </c>
      <c r="AD51" s="161" t="s">
        <v>125</v>
      </c>
      <c r="AE51" s="161" t="s">
        <v>125</v>
      </c>
      <c r="AF51" s="161" t="s">
        <v>125</v>
      </c>
      <c r="AG51" s="161" t="s">
        <v>125</v>
      </c>
      <c r="AH51" s="161" t="s">
        <v>125</v>
      </c>
      <c r="AI51" s="161" t="s">
        <v>125</v>
      </c>
      <c r="AJ51" s="161" t="s">
        <v>125</v>
      </c>
      <c r="AK51" s="161" t="s">
        <v>125</v>
      </c>
      <c r="AL51" s="168" t="s">
        <v>125</v>
      </c>
      <c r="AM51" s="168" t="s">
        <v>125</v>
      </c>
      <c r="AN51" s="168" t="s">
        <v>125</v>
      </c>
      <c r="AO51" s="168" t="s">
        <v>125</v>
      </c>
      <c r="AP51" s="168" t="s">
        <v>125</v>
      </c>
      <c r="AQ51" s="168" t="s">
        <v>125</v>
      </c>
      <c r="AR51" s="168" t="s">
        <v>125</v>
      </c>
      <c r="AS51" s="168" t="s">
        <v>125</v>
      </c>
      <c r="AT51" s="168" t="s">
        <v>125</v>
      </c>
      <c r="AU51" s="168" t="s">
        <v>125</v>
      </c>
      <c r="AV51" s="168" t="s">
        <v>125</v>
      </c>
      <c r="AW51" s="168" t="s">
        <v>125</v>
      </c>
      <c r="AX51" s="168" t="s">
        <v>125</v>
      </c>
      <c r="AY51" s="168" t="s">
        <v>125</v>
      </c>
      <c r="AZ51" s="168" t="s">
        <v>125</v>
      </c>
      <c r="BA51" s="168" t="s">
        <v>125</v>
      </c>
      <c r="BB51" s="168" t="s">
        <v>125</v>
      </c>
      <c r="BC51" s="168" t="s">
        <v>125</v>
      </c>
      <c r="BD51" s="168" t="s">
        <v>125</v>
      </c>
    </row>
    <row r="52" spans="1:56">
      <c r="A52" s="163" t="s">
        <v>218</v>
      </c>
      <c r="B52" s="163" t="s">
        <v>219</v>
      </c>
      <c r="C52" s="161" t="s">
        <v>125</v>
      </c>
      <c r="D52" s="161" t="s">
        <v>125</v>
      </c>
      <c r="E52" s="161" t="s">
        <v>125</v>
      </c>
      <c r="F52" s="161" t="s">
        <v>125</v>
      </c>
      <c r="G52" s="161" t="s">
        <v>125</v>
      </c>
      <c r="H52" s="161" t="s">
        <v>125</v>
      </c>
      <c r="I52" s="161" t="s">
        <v>125</v>
      </c>
      <c r="J52" s="161" t="s">
        <v>125</v>
      </c>
      <c r="K52" s="161" t="s">
        <v>125</v>
      </c>
      <c r="L52" s="161" t="s">
        <v>125</v>
      </c>
      <c r="M52" s="161" t="s">
        <v>125</v>
      </c>
      <c r="N52" s="161" t="s">
        <v>125</v>
      </c>
      <c r="O52" s="161" t="s">
        <v>125</v>
      </c>
      <c r="P52" s="161" t="s">
        <v>125</v>
      </c>
      <c r="Q52" s="161" t="s">
        <v>125</v>
      </c>
      <c r="R52" s="161" t="s">
        <v>125</v>
      </c>
      <c r="S52" s="161" t="s">
        <v>125</v>
      </c>
      <c r="T52" s="161" t="s">
        <v>125</v>
      </c>
      <c r="U52" s="161" t="s">
        <v>125</v>
      </c>
      <c r="V52" s="161" t="s">
        <v>125</v>
      </c>
      <c r="W52" s="161" t="s">
        <v>125</v>
      </c>
      <c r="X52" s="161" t="s">
        <v>125</v>
      </c>
      <c r="Y52" s="161" t="s">
        <v>125</v>
      </c>
      <c r="Z52" s="161" t="s">
        <v>125</v>
      </c>
      <c r="AA52" s="161" t="s">
        <v>125</v>
      </c>
      <c r="AB52" s="161" t="s">
        <v>125</v>
      </c>
      <c r="AC52" s="161" t="s">
        <v>125</v>
      </c>
      <c r="AD52" s="161" t="s">
        <v>125</v>
      </c>
      <c r="AE52" s="161" t="s">
        <v>125</v>
      </c>
      <c r="AF52" s="161" t="s">
        <v>125</v>
      </c>
      <c r="AG52" s="161" t="s">
        <v>125</v>
      </c>
      <c r="AH52" s="161" t="s">
        <v>125</v>
      </c>
      <c r="AI52" s="161" t="s">
        <v>125</v>
      </c>
      <c r="AJ52" s="161" t="s">
        <v>125</v>
      </c>
      <c r="AK52" s="161" t="s">
        <v>125</v>
      </c>
      <c r="AL52" s="168" t="s">
        <v>125</v>
      </c>
      <c r="AM52" s="168" t="s">
        <v>125</v>
      </c>
      <c r="AN52" s="168" t="s">
        <v>125</v>
      </c>
      <c r="AO52" s="168" t="s">
        <v>125</v>
      </c>
      <c r="AP52" s="168" t="s">
        <v>125</v>
      </c>
      <c r="AQ52" s="168" t="s">
        <v>125</v>
      </c>
      <c r="AR52" s="168" t="s">
        <v>125</v>
      </c>
      <c r="AS52" s="168" t="s">
        <v>125</v>
      </c>
      <c r="AT52" s="168" t="s">
        <v>125</v>
      </c>
      <c r="AU52" s="168" t="s">
        <v>125</v>
      </c>
      <c r="AV52" s="168" t="s">
        <v>125</v>
      </c>
      <c r="AW52" s="168" t="s">
        <v>125</v>
      </c>
      <c r="AX52" s="168" t="s">
        <v>125</v>
      </c>
      <c r="AY52" s="168" t="s">
        <v>125</v>
      </c>
      <c r="AZ52" s="168" t="s">
        <v>125</v>
      </c>
      <c r="BA52" s="168" t="s">
        <v>125</v>
      </c>
      <c r="BB52" s="168" t="s">
        <v>125</v>
      </c>
      <c r="BC52" s="168" t="s">
        <v>125</v>
      </c>
      <c r="BD52" s="168" t="s">
        <v>125</v>
      </c>
    </row>
    <row r="53" spans="1:56">
      <c r="A53" s="163" t="s">
        <v>220</v>
      </c>
      <c r="B53" s="163" t="s">
        <v>221</v>
      </c>
      <c r="C53" s="161">
        <v>0.357142999357143</v>
      </c>
      <c r="D53" s="161">
        <v>0.357142999357143</v>
      </c>
      <c r="E53" s="161">
        <v>0.357142999357143</v>
      </c>
      <c r="F53" s="161">
        <v>0.357142999357143</v>
      </c>
      <c r="G53" s="161">
        <v>0.357142999357143</v>
      </c>
      <c r="H53" s="161">
        <v>0.357142999357143</v>
      </c>
      <c r="I53" s="161">
        <v>0.357142999357143</v>
      </c>
      <c r="J53" s="161">
        <v>0.36210333266567502</v>
      </c>
      <c r="K53" s="161">
        <v>0.41666699941666702</v>
      </c>
      <c r="L53" s="161">
        <v>0.41666699941666702</v>
      </c>
      <c r="M53" s="161">
        <v>0.41666699941666702</v>
      </c>
      <c r="N53" s="161">
        <v>0.41073059842855703</v>
      </c>
      <c r="O53" s="161">
        <v>0.38357236917017301</v>
      </c>
      <c r="P53" s="161">
        <v>0.349950502818348</v>
      </c>
      <c r="Q53" s="161">
        <v>0.36469271072513199</v>
      </c>
      <c r="R53" s="161">
        <v>0.36890724310711598</v>
      </c>
      <c r="S53" s="161">
        <v>0.41049569197003999</v>
      </c>
      <c r="T53" s="161">
        <v>0.40812157726554699</v>
      </c>
      <c r="U53" s="161">
        <v>0.37351258326468401</v>
      </c>
      <c r="V53" s="161">
        <v>0.35444386394817601</v>
      </c>
      <c r="W53" s="161">
        <v>0.353051686694203</v>
      </c>
      <c r="X53" s="161">
        <v>0.42143075903061999</v>
      </c>
      <c r="Y53" s="161">
        <v>0.47538589573342899</v>
      </c>
      <c r="Z53" s="161">
        <v>0.52664077116050401</v>
      </c>
      <c r="AA53" s="161">
        <v>0.58838586009280902</v>
      </c>
      <c r="AB53" s="161">
        <v>0.61255231616374495</v>
      </c>
      <c r="AC53" s="161">
        <v>0.51814308333333303</v>
      </c>
      <c r="AD53" s="161">
        <v>0.48109658333333299</v>
      </c>
      <c r="AE53" s="161">
        <v>0.46662883333333299</v>
      </c>
      <c r="AF53" s="161">
        <v>0.49462491666666702</v>
      </c>
      <c r="AG53" s="161">
        <v>0.45807991666666698</v>
      </c>
      <c r="AH53" s="161">
        <v>0.46442850000000002</v>
      </c>
      <c r="AI53" s="161">
        <v>0.44954858333333297</v>
      </c>
      <c r="AJ53" s="161">
        <v>0.49740516666666701</v>
      </c>
      <c r="AK53" s="161">
        <v>0.49219099999999999</v>
      </c>
      <c r="AL53" s="168">
        <v>0.45242016666666701</v>
      </c>
      <c r="AM53" s="168">
        <v>0.46631125000000001</v>
      </c>
      <c r="AN53" s="168">
        <v>0.51389733333333298</v>
      </c>
      <c r="AO53" s="168">
        <v>0.51782558333333295</v>
      </c>
      <c r="AP53" s="168">
        <v>0.54294774999999995</v>
      </c>
      <c r="AQ53" s="168">
        <v>0.62240911666666698</v>
      </c>
      <c r="AR53" s="168">
        <v>0.64310702615833304</v>
      </c>
      <c r="AS53" s="168">
        <v>0.61065998966666701</v>
      </c>
      <c r="AT53" s="168">
        <v>0.51744326166666699</v>
      </c>
      <c r="AU53" s="168">
        <v>0.46860055225000002</v>
      </c>
      <c r="AV53" s="168">
        <v>0.46407050716166698</v>
      </c>
      <c r="AW53" s="168">
        <v>0.45891594691666698</v>
      </c>
      <c r="AX53" s="168">
        <v>0.42612499999999998</v>
      </c>
      <c r="AY53" s="168" t="s">
        <v>125</v>
      </c>
      <c r="AZ53" s="168" t="s">
        <v>125</v>
      </c>
      <c r="BA53" s="168" t="s">
        <v>125</v>
      </c>
      <c r="BB53" s="168" t="s">
        <v>125</v>
      </c>
      <c r="BC53" s="168" t="s">
        <v>125</v>
      </c>
      <c r="BD53" s="168" t="s">
        <v>125</v>
      </c>
    </row>
    <row r="54" spans="1:56">
      <c r="A54" s="163" t="s">
        <v>222</v>
      </c>
      <c r="B54" s="163" t="s">
        <v>223</v>
      </c>
      <c r="C54" s="161" t="s">
        <v>125</v>
      </c>
      <c r="D54" s="161" t="s">
        <v>125</v>
      </c>
      <c r="E54" s="161" t="s">
        <v>125</v>
      </c>
      <c r="F54" s="161" t="s">
        <v>125</v>
      </c>
      <c r="G54" s="161" t="s">
        <v>125</v>
      </c>
      <c r="H54" s="161" t="s">
        <v>125</v>
      </c>
      <c r="I54" s="161" t="s">
        <v>125</v>
      </c>
      <c r="J54" s="161" t="s">
        <v>125</v>
      </c>
      <c r="K54" s="161" t="s">
        <v>125</v>
      </c>
      <c r="L54" s="161" t="s">
        <v>125</v>
      </c>
      <c r="M54" s="161" t="s">
        <v>125</v>
      </c>
      <c r="N54" s="161" t="s">
        <v>125</v>
      </c>
      <c r="O54" s="161" t="s">
        <v>125</v>
      </c>
      <c r="P54" s="161" t="s">
        <v>125</v>
      </c>
      <c r="Q54" s="161" t="s">
        <v>125</v>
      </c>
      <c r="R54" s="161" t="s">
        <v>125</v>
      </c>
      <c r="S54" s="161" t="s">
        <v>125</v>
      </c>
      <c r="T54" s="161" t="s">
        <v>125</v>
      </c>
      <c r="U54" s="161" t="s">
        <v>125</v>
      </c>
      <c r="V54" s="161" t="s">
        <v>125</v>
      </c>
      <c r="W54" s="161" t="s">
        <v>125</v>
      </c>
      <c r="X54" s="161" t="s">
        <v>125</v>
      </c>
      <c r="Y54" s="161" t="s">
        <v>125</v>
      </c>
      <c r="Z54" s="161" t="s">
        <v>125</v>
      </c>
      <c r="AA54" s="161" t="s">
        <v>125</v>
      </c>
      <c r="AB54" s="161" t="s">
        <v>125</v>
      </c>
      <c r="AC54" s="161" t="s">
        <v>125</v>
      </c>
      <c r="AD54" s="161" t="s">
        <v>125</v>
      </c>
      <c r="AE54" s="161" t="s">
        <v>125</v>
      </c>
      <c r="AF54" s="161" t="s">
        <v>125</v>
      </c>
      <c r="AG54" s="161" t="s">
        <v>125</v>
      </c>
      <c r="AH54" s="161" t="s">
        <v>125</v>
      </c>
      <c r="AI54" s="161" t="s">
        <v>125</v>
      </c>
      <c r="AJ54" s="161">
        <v>29.152833333333302</v>
      </c>
      <c r="AK54" s="161">
        <v>28.785083333333301</v>
      </c>
      <c r="AL54" s="168">
        <v>26.540666666666699</v>
      </c>
      <c r="AM54" s="168">
        <v>27.144916666666699</v>
      </c>
      <c r="AN54" s="168">
        <v>31.698416666666699</v>
      </c>
      <c r="AO54" s="168">
        <v>32.281166666666699</v>
      </c>
      <c r="AP54" s="168">
        <v>34.569249999999997</v>
      </c>
      <c r="AQ54" s="168">
        <v>38.598416666666701</v>
      </c>
      <c r="AR54" s="168">
        <v>38.035328333333297</v>
      </c>
      <c r="AS54" s="168">
        <v>32.738518333333303</v>
      </c>
      <c r="AT54" s="168">
        <v>28.209</v>
      </c>
      <c r="AU54" s="168">
        <v>25.699750000000002</v>
      </c>
      <c r="AV54" s="168">
        <v>23.957416666666699</v>
      </c>
      <c r="AW54" s="168">
        <v>22.595583333333298</v>
      </c>
      <c r="AX54" s="168">
        <v>20.293666666666699</v>
      </c>
      <c r="AY54" s="168">
        <v>17.071666666666701</v>
      </c>
      <c r="AZ54" s="168">
        <v>19.062999999999999</v>
      </c>
      <c r="BA54" s="168">
        <v>19.09825</v>
      </c>
      <c r="BB54" s="168">
        <v>17.695916666666701</v>
      </c>
      <c r="BC54" s="168">
        <v>19.577500000000001</v>
      </c>
      <c r="BD54" s="168">
        <v>19.5705833333333</v>
      </c>
    </row>
    <row r="55" spans="1:56">
      <c r="A55" s="163" t="s">
        <v>224</v>
      </c>
      <c r="B55" s="163" t="s">
        <v>225</v>
      </c>
      <c r="C55" s="161">
        <v>6.9071400059071397</v>
      </c>
      <c r="D55" s="161">
        <v>6.9071400059071397</v>
      </c>
      <c r="E55" s="161">
        <v>6.9071400059071397</v>
      </c>
      <c r="F55" s="161">
        <v>6.9071400059071397</v>
      </c>
      <c r="G55" s="161">
        <v>6.9071400059071397</v>
      </c>
      <c r="H55" s="161">
        <v>6.9071400059071397</v>
      </c>
      <c r="I55" s="161">
        <v>6.9071400059071397</v>
      </c>
      <c r="J55" s="161">
        <v>6.9565416720476199</v>
      </c>
      <c r="K55" s="161">
        <v>7.5000000064999996</v>
      </c>
      <c r="L55" s="161">
        <v>7.5000000064999996</v>
      </c>
      <c r="M55" s="161">
        <v>7.5000000064999996</v>
      </c>
      <c r="N55" s="161">
        <v>7.4263379687119402</v>
      </c>
      <c r="O55" s="161">
        <v>6.9492916656666699</v>
      </c>
      <c r="P55" s="161">
        <v>6.049499999</v>
      </c>
      <c r="Q55" s="161">
        <v>6.0948999989999999</v>
      </c>
      <c r="R55" s="161">
        <v>5.746149999</v>
      </c>
      <c r="S55" s="161">
        <v>6.0450249989999998</v>
      </c>
      <c r="T55" s="161">
        <v>6.0031916656666704</v>
      </c>
      <c r="U55" s="161">
        <v>5.5146249989999996</v>
      </c>
      <c r="V55" s="161">
        <v>5.2609583323333302</v>
      </c>
      <c r="W55" s="161">
        <v>5.6359416656666701</v>
      </c>
      <c r="X55" s="161">
        <v>7.1233666656666701</v>
      </c>
      <c r="Y55" s="161">
        <v>8.3324416661666696</v>
      </c>
      <c r="Z55" s="161">
        <v>9.1449916657500001</v>
      </c>
      <c r="AA55" s="161">
        <v>10.356591666250001</v>
      </c>
      <c r="AB55" s="161">
        <v>10.5963916664167</v>
      </c>
      <c r="AC55" s="161">
        <v>8.0909916665833403</v>
      </c>
      <c r="AD55" s="161">
        <v>6.8403166666666699</v>
      </c>
      <c r="AE55" s="161">
        <v>6.7315250000000004</v>
      </c>
      <c r="AF55" s="161">
        <v>7.3101750000000001</v>
      </c>
      <c r="AG55" s="161">
        <v>6.1885583333333303</v>
      </c>
      <c r="AH55" s="161">
        <v>6.3964583333333298</v>
      </c>
      <c r="AI55" s="161">
        <v>6.0361333333333302</v>
      </c>
      <c r="AJ55" s="161">
        <v>6.4839391666666701</v>
      </c>
      <c r="AK55" s="161">
        <v>6.3605516666666704</v>
      </c>
      <c r="AL55" s="168">
        <v>5.6023666666666703</v>
      </c>
      <c r="AM55" s="168">
        <v>5.79867166666667</v>
      </c>
      <c r="AN55" s="168">
        <v>6.6044591666666701</v>
      </c>
      <c r="AO55" s="168">
        <v>6.7008266666666696</v>
      </c>
      <c r="AP55" s="168">
        <v>6.9762399999999998</v>
      </c>
      <c r="AQ55" s="168">
        <v>8.0831441666666706</v>
      </c>
      <c r="AR55" s="168">
        <v>8.3228174999999993</v>
      </c>
      <c r="AS55" s="168">
        <v>7.8947141666666703</v>
      </c>
      <c r="AT55" s="168">
        <v>6.5876733333333304</v>
      </c>
      <c r="AU55" s="168">
        <v>5.9910566666666698</v>
      </c>
      <c r="AV55" s="168">
        <v>5.9969099999999997</v>
      </c>
      <c r="AW55" s="168">
        <v>5.9467783333333299</v>
      </c>
      <c r="AX55" s="168">
        <v>5.4437008333333301</v>
      </c>
      <c r="AY55" s="168">
        <v>5.0981308333333297</v>
      </c>
      <c r="AZ55" s="168">
        <v>5.36086666666667</v>
      </c>
      <c r="BA55" s="168">
        <v>5.6240750000000004</v>
      </c>
      <c r="BB55" s="168">
        <v>5.3687115350877201</v>
      </c>
      <c r="BC55" s="168">
        <v>5.7924755370391603</v>
      </c>
      <c r="BD55" s="168">
        <v>5.6163116861762203</v>
      </c>
    </row>
    <row r="56" spans="1:56">
      <c r="A56" s="163" t="s">
        <v>226</v>
      </c>
      <c r="B56" s="163" t="s">
        <v>227</v>
      </c>
      <c r="C56" s="161">
        <v>214.39200021339201</v>
      </c>
      <c r="D56" s="161">
        <v>214.39200021339201</v>
      </c>
      <c r="E56" s="161">
        <v>214.39200021339201</v>
      </c>
      <c r="F56" s="161">
        <v>214.39200021339201</v>
      </c>
      <c r="G56" s="161">
        <v>214.39200021339201</v>
      </c>
      <c r="H56" s="161">
        <v>214.39200021339201</v>
      </c>
      <c r="I56" s="161">
        <v>214.39200021339201</v>
      </c>
      <c r="J56" s="161">
        <v>214.39200021339201</v>
      </c>
      <c r="K56" s="161">
        <v>214.39200021339201</v>
      </c>
      <c r="L56" s="161">
        <v>214.39200021339201</v>
      </c>
      <c r="M56" s="161">
        <v>214.39200021339201</v>
      </c>
      <c r="N56" s="161">
        <v>213.77875019552599</v>
      </c>
      <c r="O56" s="161">
        <v>197.46599999899999</v>
      </c>
      <c r="P56" s="161">
        <v>179.94233333233299</v>
      </c>
      <c r="Q56" s="161">
        <v>177.72099999899999</v>
      </c>
      <c r="R56" s="161">
        <v>177.72099999899999</v>
      </c>
      <c r="S56" s="161">
        <v>177.72099999899999</v>
      </c>
      <c r="T56" s="161">
        <v>177.72099999899999</v>
      </c>
      <c r="U56" s="161">
        <v>177.72099999899999</v>
      </c>
      <c r="V56" s="161">
        <v>177.72099999899999</v>
      </c>
      <c r="W56" s="161">
        <v>177.72099999899999</v>
      </c>
      <c r="X56" s="161">
        <v>177.72099999899999</v>
      </c>
      <c r="Y56" s="161">
        <v>177.72099999899999</v>
      </c>
      <c r="Z56" s="161">
        <v>177.72099999899999</v>
      </c>
      <c r="AA56" s="161">
        <v>177.72099999899999</v>
      </c>
      <c r="AB56" s="161">
        <v>177.72099999899999</v>
      </c>
      <c r="AC56" s="161">
        <v>177.72099999950001</v>
      </c>
      <c r="AD56" s="161">
        <v>177.721</v>
      </c>
      <c r="AE56" s="161">
        <v>177.721</v>
      </c>
      <c r="AF56" s="161">
        <v>177.721</v>
      </c>
      <c r="AG56" s="161">
        <v>177.721</v>
      </c>
      <c r="AH56" s="161">
        <v>177.721</v>
      </c>
      <c r="AI56" s="161">
        <v>177.721</v>
      </c>
      <c r="AJ56" s="161">
        <v>177.721</v>
      </c>
      <c r="AK56" s="161">
        <v>177.721</v>
      </c>
      <c r="AL56" s="168">
        <v>177.721</v>
      </c>
      <c r="AM56" s="168">
        <v>177.721</v>
      </c>
      <c r="AN56" s="168">
        <v>177.721</v>
      </c>
      <c r="AO56" s="168">
        <v>177.721</v>
      </c>
      <c r="AP56" s="168">
        <v>177.721</v>
      </c>
      <c r="AQ56" s="168">
        <v>177.721</v>
      </c>
      <c r="AR56" s="168">
        <v>177.721</v>
      </c>
      <c r="AS56" s="168">
        <v>177.721</v>
      </c>
      <c r="AT56" s="168">
        <v>177.721</v>
      </c>
      <c r="AU56" s="168">
        <v>177.721</v>
      </c>
      <c r="AV56" s="168">
        <v>177.721</v>
      </c>
      <c r="AW56" s="168">
        <v>177.721</v>
      </c>
      <c r="AX56" s="168">
        <v>177.721</v>
      </c>
      <c r="AY56" s="168">
        <v>177.721</v>
      </c>
      <c r="AZ56" s="168">
        <v>177.721</v>
      </c>
      <c r="BA56" s="168">
        <v>177.721</v>
      </c>
      <c r="BB56" s="168">
        <v>177.721</v>
      </c>
      <c r="BC56" s="168">
        <v>177.721</v>
      </c>
      <c r="BD56" s="168">
        <v>177.721</v>
      </c>
    </row>
    <row r="57" spans="1:56">
      <c r="A57" s="163" t="s">
        <v>228</v>
      </c>
      <c r="B57" s="163" t="s">
        <v>229</v>
      </c>
      <c r="C57" s="161">
        <v>1.7142900007142901</v>
      </c>
      <c r="D57" s="161">
        <v>1.7142900007142901</v>
      </c>
      <c r="E57" s="161">
        <v>1.7142900007142901</v>
      </c>
      <c r="F57" s="161">
        <v>1.7142900007142901</v>
      </c>
      <c r="G57" s="161">
        <v>1.7142900007142901</v>
      </c>
      <c r="H57" s="161">
        <v>1.7142900007142901</v>
      </c>
      <c r="I57" s="161">
        <v>1.7142900007142901</v>
      </c>
      <c r="J57" s="161">
        <v>1.7619083340952399</v>
      </c>
      <c r="K57" s="161">
        <v>2.0000000010000001</v>
      </c>
      <c r="L57" s="161">
        <v>2.0000000010000001</v>
      </c>
      <c r="M57" s="161">
        <v>2.0000000010000001</v>
      </c>
      <c r="N57" s="161">
        <v>1.97487273321145</v>
      </c>
      <c r="O57" s="161">
        <v>1.9212781494760101</v>
      </c>
      <c r="P57" s="161">
        <v>1.9592192359816101</v>
      </c>
      <c r="Q57" s="161">
        <v>2.0532324085176299</v>
      </c>
      <c r="R57" s="161">
        <v>2.16979583233333</v>
      </c>
      <c r="S57" s="161">
        <v>2.6146708328333301</v>
      </c>
      <c r="T57" s="161">
        <v>2.7</v>
      </c>
      <c r="U57" s="161">
        <v>2.7</v>
      </c>
      <c r="V57" s="161">
        <v>2.7</v>
      </c>
      <c r="W57" s="161">
        <v>2.7</v>
      </c>
      <c r="X57" s="161">
        <v>2.7</v>
      </c>
      <c r="Y57" s="161">
        <v>2.7</v>
      </c>
      <c r="Z57" s="161">
        <v>2.7</v>
      </c>
      <c r="AA57" s="161">
        <v>2.7</v>
      </c>
      <c r="AB57" s="161">
        <v>2.7</v>
      </c>
      <c r="AC57" s="161">
        <v>2.7</v>
      </c>
      <c r="AD57" s="161">
        <v>2.7</v>
      </c>
      <c r="AE57" s="161">
        <v>2.7</v>
      </c>
      <c r="AF57" s="161">
        <v>2.7</v>
      </c>
      <c r="AG57" s="161">
        <v>2.7</v>
      </c>
      <c r="AH57" s="161">
        <v>2.7</v>
      </c>
      <c r="AI57" s="161">
        <v>2.7</v>
      </c>
      <c r="AJ57" s="161">
        <v>2.7</v>
      </c>
      <c r="AK57" s="161">
        <v>2.7</v>
      </c>
      <c r="AL57" s="168">
        <v>2.7</v>
      </c>
      <c r="AM57" s="168">
        <v>2.7</v>
      </c>
      <c r="AN57" s="168">
        <v>2.7</v>
      </c>
      <c r="AO57" s="168">
        <v>2.7</v>
      </c>
      <c r="AP57" s="168">
        <v>2.7</v>
      </c>
      <c r="AQ57" s="168">
        <v>2.7</v>
      </c>
      <c r="AR57" s="168">
        <v>2.7</v>
      </c>
      <c r="AS57" s="168">
        <v>2.7</v>
      </c>
      <c r="AT57" s="168">
        <v>2.7</v>
      </c>
      <c r="AU57" s="168">
        <v>2.7</v>
      </c>
      <c r="AV57" s="168">
        <v>2.7</v>
      </c>
      <c r="AW57" s="168">
        <v>2.7</v>
      </c>
      <c r="AX57" s="168">
        <v>2.7</v>
      </c>
      <c r="AY57" s="168">
        <v>2.7</v>
      </c>
      <c r="AZ57" s="168">
        <v>2.7</v>
      </c>
      <c r="BA57" s="168">
        <v>2.7</v>
      </c>
      <c r="BB57" s="168">
        <v>2.7</v>
      </c>
      <c r="BC57" s="168">
        <v>2.7</v>
      </c>
      <c r="BD57" s="168">
        <v>2.7</v>
      </c>
    </row>
    <row r="58" spans="1:56">
      <c r="A58" s="163" t="s">
        <v>230</v>
      </c>
      <c r="B58" s="163" t="s">
        <v>231</v>
      </c>
      <c r="C58" s="161">
        <v>1</v>
      </c>
      <c r="D58" s="161">
        <v>1</v>
      </c>
      <c r="E58" s="161">
        <v>1</v>
      </c>
      <c r="F58" s="161">
        <v>1</v>
      </c>
      <c r="G58" s="161">
        <v>1</v>
      </c>
      <c r="H58" s="161">
        <v>1</v>
      </c>
      <c r="I58" s="161">
        <v>1</v>
      </c>
      <c r="J58" s="161">
        <v>1</v>
      </c>
      <c r="K58" s="161">
        <v>1</v>
      </c>
      <c r="L58" s="161">
        <v>1</v>
      </c>
      <c r="M58" s="161">
        <v>1</v>
      </c>
      <c r="N58" s="161">
        <v>0.99999999900000003</v>
      </c>
      <c r="O58" s="161">
        <v>1</v>
      </c>
      <c r="P58" s="161">
        <v>1</v>
      </c>
      <c r="Q58" s="161">
        <v>0.99999999949999996</v>
      </c>
      <c r="R58" s="161">
        <v>0.99999999900000003</v>
      </c>
      <c r="S58" s="161">
        <v>0.99999999900000003</v>
      </c>
      <c r="T58" s="161">
        <v>0.99999999900000003</v>
      </c>
      <c r="U58" s="161">
        <v>0.99999999900000003</v>
      </c>
      <c r="V58" s="161">
        <v>0.99999999900000003</v>
      </c>
      <c r="W58" s="161">
        <v>0.99999999900000003</v>
      </c>
      <c r="X58" s="161">
        <v>0.99999999900000003</v>
      </c>
      <c r="Y58" s="161">
        <v>0.99999999900000003</v>
      </c>
      <c r="Z58" s="161">
        <v>0.99999999900000003</v>
      </c>
      <c r="AA58" s="161">
        <v>0.99999999958333297</v>
      </c>
      <c r="AB58" s="161">
        <v>3.1126083333333301</v>
      </c>
      <c r="AC58" s="161">
        <v>2.9043333332499999</v>
      </c>
      <c r="AD58" s="161">
        <v>3.8447583333333299</v>
      </c>
      <c r="AE58" s="161">
        <v>6.1125166666666697</v>
      </c>
      <c r="AF58" s="161">
        <v>6.34</v>
      </c>
      <c r="AG58" s="161">
        <v>8.5252999999999997</v>
      </c>
      <c r="AH58" s="161">
        <v>12.692425</v>
      </c>
      <c r="AI58" s="161">
        <v>12.774183333333299</v>
      </c>
      <c r="AJ58" s="161">
        <v>12.6757833333333</v>
      </c>
      <c r="AK58" s="161">
        <v>13.1601416666667</v>
      </c>
      <c r="AL58" s="168">
        <v>13.59735</v>
      </c>
      <c r="AM58" s="168">
        <v>13.7745833333333</v>
      </c>
      <c r="AN58" s="168">
        <v>14.265475</v>
      </c>
      <c r="AO58" s="168">
        <v>15.266591666666701</v>
      </c>
      <c r="AP58" s="168">
        <v>16.033083333333298</v>
      </c>
      <c r="AQ58" s="168">
        <v>16.415016666666698</v>
      </c>
      <c r="AR58" s="168">
        <v>16.951616666666698</v>
      </c>
      <c r="AS58" s="168">
        <v>18.609825000000001</v>
      </c>
      <c r="AT58" s="168">
        <v>30.830708333333298</v>
      </c>
      <c r="AU58" s="168">
        <v>42.098830166595597</v>
      </c>
      <c r="AV58" s="168">
        <v>30.510637891145301</v>
      </c>
      <c r="AW58" s="168">
        <v>33.253692462625899</v>
      </c>
      <c r="AX58" s="168">
        <v>33.311861935421703</v>
      </c>
      <c r="AY58" s="168">
        <v>34.866101629908201</v>
      </c>
      <c r="AZ58" s="168">
        <v>36.1140522203929</v>
      </c>
      <c r="BA58" s="168">
        <v>37.306578987810397</v>
      </c>
      <c r="BB58" s="168">
        <v>38.231558748196299</v>
      </c>
      <c r="BC58" s="168">
        <v>39.3356563644234</v>
      </c>
      <c r="BD58" s="168">
        <v>41.807735185117799</v>
      </c>
    </row>
    <row r="59" spans="1:56">
      <c r="A59" s="163" t="s">
        <v>232</v>
      </c>
      <c r="B59" s="163" t="s">
        <v>233</v>
      </c>
      <c r="C59" s="161">
        <v>15.000000014999999</v>
      </c>
      <c r="D59" s="161">
        <v>16.5000000165</v>
      </c>
      <c r="E59" s="161">
        <v>18.000000018000001</v>
      </c>
      <c r="F59" s="161">
        <v>18.000000018000001</v>
      </c>
      <c r="G59" s="161">
        <v>18.000000018000001</v>
      </c>
      <c r="H59" s="161">
        <v>18.000000018000001</v>
      </c>
      <c r="I59" s="161">
        <v>18.000000018000001</v>
      </c>
      <c r="J59" s="161">
        <v>18.000000018000001</v>
      </c>
      <c r="K59" s="161">
        <v>18.000000018000001</v>
      </c>
      <c r="L59" s="161">
        <v>18.000000018000001</v>
      </c>
      <c r="M59" s="161">
        <v>20.9167000199167</v>
      </c>
      <c r="N59" s="161">
        <v>24.999999999</v>
      </c>
      <c r="O59" s="161">
        <v>25.000138180545601</v>
      </c>
      <c r="P59" s="161">
        <v>25.0000419618666</v>
      </c>
      <c r="Q59" s="161">
        <v>25</v>
      </c>
      <c r="R59" s="161">
        <v>25</v>
      </c>
      <c r="S59" s="161">
        <v>25</v>
      </c>
      <c r="T59" s="161">
        <v>25</v>
      </c>
      <c r="U59" s="161">
        <v>25</v>
      </c>
      <c r="V59" s="161">
        <v>25</v>
      </c>
      <c r="W59" s="161">
        <v>25</v>
      </c>
      <c r="X59" s="161">
        <v>25</v>
      </c>
      <c r="Y59" s="161">
        <v>30.025833333000001</v>
      </c>
      <c r="Z59" s="161">
        <v>44.115008332999999</v>
      </c>
      <c r="AA59" s="161">
        <v>62.535899999000002</v>
      </c>
      <c r="AB59" s="161">
        <v>69.556250000000006</v>
      </c>
      <c r="AC59" s="161">
        <v>122.77924166666701</v>
      </c>
      <c r="AD59" s="161">
        <v>170.46166666666701</v>
      </c>
      <c r="AE59" s="161">
        <v>301.61083333333301</v>
      </c>
      <c r="AF59" s="161">
        <v>526.34833333333302</v>
      </c>
      <c r="AG59" s="161">
        <v>767.75083333333305</v>
      </c>
      <c r="AH59" s="161">
        <v>1046.24933333333</v>
      </c>
      <c r="AI59" s="161">
        <v>1533.96166666667</v>
      </c>
      <c r="AJ59" s="161">
        <v>1919.105</v>
      </c>
      <c r="AK59" s="161">
        <v>2196.7283333333298</v>
      </c>
      <c r="AL59" s="168">
        <v>2564.49416666667</v>
      </c>
      <c r="AM59" s="168">
        <v>3189.47416666667</v>
      </c>
      <c r="AN59" s="168">
        <v>3998.2666666666701</v>
      </c>
      <c r="AO59" s="168">
        <v>5446.5729000000001</v>
      </c>
      <c r="AP59" s="168">
        <v>11786.801666666701</v>
      </c>
      <c r="AQ59" s="168">
        <v>24988.3883333333</v>
      </c>
      <c r="AR59" s="168">
        <v>25000</v>
      </c>
      <c r="AS59" s="168">
        <v>25000</v>
      </c>
      <c r="AT59" s="168">
        <v>25000</v>
      </c>
      <c r="AU59" s="168">
        <v>25000</v>
      </c>
      <c r="AV59" s="168">
        <v>25000</v>
      </c>
      <c r="AW59" s="168">
        <v>25000</v>
      </c>
      <c r="AX59" s="168" t="s">
        <v>125</v>
      </c>
      <c r="AY59" s="168" t="s">
        <v>125</v>
      </c>
      <c r="AZ59" s="168" t="s">
        <v>125</v>
      </c>
      <c r="BA59" s="168" t="s">
        <v>125</v>
      </c>
      <c r="BB59" s="168" t="s">
        <v>125</v>
      </c>
      <c r="BC59" s="168" t="s">
        <v>125</v>
      </c>
      <c r="BD59" s="168" t="s">
        <v>125</v>
      </c>
    </row>
    <row r="60" spans="1:56">
      <c r="A60" s="163" t="s">
        <v>234</v>
      </c>
      <c r="B60" s="163" t="s">
        <v>235</v>
      </c>
      <c r="C60" s="161">
        <v>0.34824199934824202</v>
      </c>
      <c r="D60" s="161">
        <v>0.34824199934824202</v>
      </c>
      <c r="E60" s="161">
        <v>0.40448912538026</v>
      </c>
      <c r="F60" s="161">
        <v>0.434782608884688</v>
      </c>
      <c r="G60" s="161">
        <v>0.434782608884688</v>
      </c>
      <c r="H60" s="161">
        <v>0.434782608884688</v>
      </c>
      <c r="I60" s="161">
        <v>0.434782608884688</v>
      </c>
      <c r="J60" s="161">
        <v>0.434782608884688</v>
      </c>
      <c r="K60" s="161">
        <v>0.434782608884688</v>
      </c>
      <c r="L60" s="161">
        <v>0.434782608884688</v>
      </c>
      <c r="M60" s="161">
        <v>0.434782608884688</v>
      </c>
      <c r="N60" s="161">
        <v>0.434782999</v>
      </c>
      <c r="O60" s="161">
        <v>0.434782608884688</v>
      </c>
      <c r="P60" s="161">
        <v>0.39795624317960598</v>
      </c>
      <c r="Q60" s="161">
        <v>0.39130366745108802</v>
      </c>
      <c r="R60" s="161">
        <v>0.39130366745108802</v>
      </c>
      <c r="S60" s="161">
        <v>0.39130366745108802</v>
      </c>
      <c r="T60" s="161">
        <v>0.39130366745108802</v>
      </c>
      <c r="U60" s="161">
        <v>0.39130366745108802</v>
      </c>
      <c r="V60" s="161">
        <v>0.70000070049070096</v>
      </c>
      <c r="W60" s="161">
        <v>0.70000070049070096</v>
      </c>
      <c r="X60" s="161">
        <v>0.70000070049070096</v>
      </c>
      <c r="Y60" s="161">
        <v>0.70000070049070096</v>
      </c>
      <c r="Z60" s="161">
        <v>0.70000070049070096</v>
      </c>
      <c r="AA60" s="161">
        <v>0.70000070020486704</v>
      </c>
      <c r="AB60" s="161">
        <v>0.70000070000070003</v>
      </c>
      <c r="AC60" s="161">
        <v>0.70000070000070003</v>
      </c>
      <c r="AD60" s="161">
        <v>0.70000070000070003</v>
      </c>
      <c r="AE60" s="161">
        <v>0.70000070000070003</v>
      </c>
      <c r="AF60" s="161">
        <v>0.86666666666666703</v>
      </c>
      <c r="AG60" s="161">
        <v>1.55</v>
      </c>
      <c r="AH60" s="161">
        <v>3.13800833333333</v>
      </c>
      <c r="AI60" s="161">
        <v>3.3217483333333302</v>
      </c>
      <c r="AJ60" s="161">
        <v>3.3525174999999998</v>
      </c>
      <c r="AK60" s="161">
        <v>3.38513333333333</v>
      </c>
      <c r="AL60" s="168">
        <v>3.3922083333333299</v>
      </c>
      <c r="AM60" s="168">
        <v>3.3914833333333299</v>
      </c>
      <c r="AN60" s="168">
        <v>3.3887499999999999</v>
      </c>
      <c r="AO60" s="168">
        <v>3.3879999999999999</v>
      </c>
      <c r="AP60" s="168">
        <v>3.3952499999999999</v>
      </c>
      <c r="AQ60" s="168">
        <v>3.4720499999999999</v>
      </c>
      <c r="AR60" s="168">
        <v>3.9729999999999999</v>
      </c>
      <c r="AS60" s="168">
        <v>4.4996666666666698</v>
      </c>
      <c r="AT60" s="168">
        <v>5.8508750000000003</v>
      </c>
      <c r="AU60" s="168">
        <v>6.19624166666667</v>
      </c>
      <c r="AV60" s="168">
        <v>5.7788333333333304</v>
      </c>
      <c r="AW60" s="168">
        <v>5.7331666666666701</v>
      </c>
      <c r="AX60" s="168">
        <v>5.6354333333333297</v>
      </c>
      <c r="AY60" s="168">
        <v>5.4325000000000001</v>
      </c>
      <c r="AZ60" s="168">
        <v>5.54455330862978</v>
      </c>
      <c r="BA60" s="168">
        <v>5.62194291761051</v>
      </c>
      <c r="BB60" s="168">
        <v>5.9328276515151499</v>
      </c>
      <c r="BC60" s="168">
        <v>6.05605833333333</v>
      </c>
      <c r="BD60" s="168">
        <v>6.8703250000000002</v>
      </c>
    </row>
    <row r="61" spans="1:56">
      <c r="A61" s="163" t="s">
        <v>236</v>
      </c>
      <c r="B61" s="163" t="s">
        <v>237</v>
      </c>
      <c r="C61" s="161">
        <v>2.5000000015000001</v>
      </c>
      <c r="D61" s="161">
        <v>2.5000000015000001</v>
      </c>
      <c r="E61" s="161">
        <v>2.5000000015000001</v>
      </c>
      <c r="F61" s="161">
        <v>2.5000000015000001</v>
      </c>
      <c r="G61" s="161">
        <v>2.5000000015000001</v>
      </c>
      <c r="H61" s="161">
        <v>2.5000000015000001</v>
      </c>
      <c r="I61" s="161">
        <v>2.5000000015000001</v>
      </c>
      <c r="J61" s="161">
        <v>2.5000000015000001</v>
      </c>
      <c r="K61" s="161">
        <v>2.5000000015000001</v>
      </c>
      <c r="L61" s="161">
        <v>2.5000000015000001</v>
      </c>
      <c r="M61" s="161">
        <v>2.5000000015000001</v>
      </c>
      <c r="N61" s="161">
        <v>2.4999999989999999</v>
      </c>
      <c r="O61" s="161">
        <v>2.5000138172256099</v>
      </c>
      <c r="P61" s="161">
        <v>2.50000419543171</v>
      </c>
      <c r="Q61" s="161">
        <v>2.4999979282546501</v>
      </c>
      <c r="R61" s="161">
        <v>2.5</v>
      </c>
      <c r="S61" s="161">
        <v>2.5</v>
      </c>
      <c r="T61" s="161">
        <v>2.5</v>
      </c>
      <c r="U61" s="161">
        <v>2.5</v>
      </c>
      <c r="V61" s="161">
        <v>2.5</v>
      </c>
      <c r="W61" s="161">
        <v>2.5</v>
      </c>
      <c r="X61" s="161">
        <v>2.5</v>
      </c>
      <c r="Y61" s="161">
        <v>2.5</v>
      </c>
      <c r="Z61" s="161">
        <v>2.5</v>
      </c>
      <c r="AA61" s="161">
        <v>2.5</v>
      </c>
      <c r="AB61" s="161">
        <v>2.5</v>
      </c>
      <c r="AC61" s="161">
        <v>4.85215</v>
      </c>
      <c r="AD61" s="161">
        <v>5</v>
      </c>
      <c r="AE61" s="161">
        <v>5</v>
      </c>
      <c r="AF61" s="161">
        <v>5</v>
      </c>
      <c r="AG61" s="161">
        <v>6.8483333333333301</v>
      </c>
      <c r="AH61" s="161">
        <v>8.0166666666666693</v>
      </c>
      <c r="AI61" s="161">
        <v>8.3608333333333302</v>
      </c>
      <c r="AJ61" s="161">
        <v>8.7025083333333306</v>
      </c>
      <c r="AK61" s="161">
        <v>8.7287499999999998</v>
      </c>
      <c r="AL61" s="168">
        <v>8.7545833333333292</v>
      </c>
      <c r="AM61" s="168">
        <v>8.7550000000000008</v>
      </c>
      <c r="AN61" s="168">
        <v>8.7562499999999996</v>
      </c>
      <c r="AO61" s="168">
        <v>8.7550000000000008</v>
      </c>
      <c r="AP61" s="168">
        <v>8.7550000000000008</v>
      </c>
      <c r="AQ61" s="168">
        <v>8.7550000000000008</v>
      </c>
      <c r="AR61" s="168">
        <v>8.75</v>
      </c>
      <c r="AS61" s="168">
        <v>8.75</v>
      </c>
      <c r="AT61" s="168">
        <v>8.75</v>
      </c>
      <c r="AU61" s="168">
        <v>8.75</v>
      </c>
      <c r="AV61" s="168">
        <v>8.75</v>
      </c>
      <c r="AW61" s="168">
        <v>8.75</v>
      </c>
      <c r="AX61" s="168">
        <v>8.75</v>
      </c>
      <c r="AY61" s="168">
        <v>8.75</v>
      </c>
      <c r="AZ61" s="168">
        <v>8.75</v>
      </c>
      <c r="BA61" s="168">
        <v>8.75</v>
      </c>
      <c r="BB61" s="168">
        <v>8.75</v>
      </c>
      <c r="BC61" s="168">
        <v>8.75</v>
      </c>
      <c r="BD61" s="168">
        <v>8.75</v>
      </c>
    </row>
    <row r="62" spans="1:56">
      <c r="A62" s="163" t="s">
        <v>238</v>
      </c>
      <c r="B62" s="163" t="s">
        <v>239</v>
      </c>
      <c r="C62" s="161">
        <v>245.19510139835899</v>
      </c>
      <c r="D62" s="161">
        <v>245.26010162116</v>
      </c>
      <c r="E62" s="161">
        <v>245.013850686544</v>
      </c>
      <c r="F62" s="161">
        <v>245.01635069607499</v>
      </c>
      <c r="G62" s="161">
        <v>245.027184079042</v>
      </c>
      <c r="H62" s="161">
        <v>245.06093420770799</v>
      </c>
      <c r="I62" s="161">
        <v>245.67843655764401</v>
      </c>
      <c r="J62" s="161">
        <v>246.00093779128099</v>
      </c>
      <c r="K62" s="161">
        <v>247.56469375695099</v>
      </c>
      <c r="L62" s="161">
        <v>259.960574351236</v>
      </c>
      <c r="M62" s="161">
        <v>276.403137026845</v>
      </c>
      <c r="N62" s="161">
        <v>258.65525539573798</v>
      </c>
      <c r="O62" s="161">
        <v>252.02762746264901</v>
      </c>
      <c r="P62" s="161">
        <v>222.88918305322699</v>
      </c>
      <c r="Q62" s="161">
        <v>240.70466763782301</v>
      </c>
      <c r="R62" s="161">
        <v>214.31290034121901</v>
      </c>
      <c r="S62" s="161">
        <v>238.95049426705901</v>
      </c>
      <c r="T62" s="161">
        <v>245.67968656657601</v>
      </c>
      <c r="U62" s="161">
        <v>225.65586023395699</v>
      </c>
      <c r="V62" s="161">
        <v>212.721644262377</v>
      </c>
      <c r="W62" s="161">
        <v>211.27955541470499</v>
      </c>
      <c r="X62" s="161">
        <v>271.73145255032699</v>
      </c>
      <c r="Y62" s="161">
        <v>328.60625269898998</v>
      </c>
      <c r="Z62" s="161">
        <v>381.06603602462798</v>
      </c>
      <c r="AA62" s="161">
        <v>436.95666578800802</v>
      </c>
      <c r="AB62" s="161">
        <v>449.26296271160697</v>
      </c>
      <c r="AC62" s="161">
        <v>346.305903554493</v>
      </c>
      <c r="AD62" s="161">
        <v>300.53656240147802</v>
      </c>
      <c r="AE62" s="161">
        <v>297.84821881937802</v>
      </c>
      <c r="AF62" s="161">
        <v>319.008299487903</v>
      </c>
      <c r="AG62" s="161">
        <v>272.264787954393</v>
      </c>
      <c r="AH62" s="161">
        <v>282.10690880881998</v>
      </c>
      <c r="AI62" s="161">
        <v>264.69180075057898</v>
      </c>
      <c r="AJ62" s="161">
        <v>283.16257950001801</v>
      </c>
      <c r="AK62" s="161">
        <v>555.20469565569704</v>
      </c>
      <c r="AL62" s="168">
        <v>499.14842590131002</v>
      </c>
      <c r="AM62" s="168">
        <v>511.55243027251601</v>
      </c>
      <c r="AN62" s="168">
        <v>583.66937235339606</v>
      </c>
      <c r="AO62" s="168">
        <v>589.951774567332</v>
      </c>
      <c r="AP62" s="168">
        <v>615.69913197380595</v>
      </c>
      <c r="AQ62" s="168">
        <v>711.97627443083297</v>
      </c>
      <c r="AR62" s="168">
        <v>733.03850707000004</v>
      </c>
      <c r="AS62" s="168">
        <v>696.98820361166702</v>
      </c>
      <c r="AT62" s="168">
        <v>581.20031386416701</v>
      </c>
      <c r="AU62" s="168">
        <v>528.28480930499995</v>
      </c>
      <c r="AV62" s="168">
        <v>527.46814284000004</v>
      </c>
      <c r="AW62" s="168">
        <v>522.89010961083295</v>
      </c>
      <c r="AX62" s="168">
        <v>479.26678258750002</v>
      </c>
      <c r="AY62" s="168">
        <v>447.80525556077299</v>
      </c>
      <c r="AZ62" s="168">
        <v>472.18629075489298</v>
      </c>
      <c r="BA62" s="168">
        <v>495.277021572396</v>
      </c>
      <c r="BB62" s="168">
        <v>471.86611409170001</v>
      </c>
      <c r="BC62" s="168">
        <v>510.52713590196998</v>
      </c>
      <c r="BD62" s="168">
        <v>494.04003744699003</v>
      </c>
    </row>
    <row r="63" spans="1:56">
      <c r="A63" s="163" t="s">
        <v>240</v>
      </c>
      <c r="B63" s="163" t="s">
        <v>241</v>
      </c>
      <c r="C63" s="161">
        <v>2.4868590235550601</v>
      </c>
      <c r="D63" s="161">
        <v>2.4868590235550601</v>
      </c>
      <c r="E63" s="161">
        <v>2.4868590235550601</v>
      </c>
      <c r="F63" s="161">
        <v>2.4881519166544401</v>
      </c>
      <c r="G63" s="161">
        <v>2.5023737407476898</v>
      </c>
      <c r="H63" s="161">
        <v>2.5023737407476898</v>
      </c>
      <c r="I63" s="161">
        <v>2.5023737407476898</v>
      </c>
      <c r="J63" s="161">
        <v>2.5023737407476898</v>
      </c>
      <c r="K63" s="161">
        <v>2.5023737407476898</v>
      </c>
      <c r="L63" s="161">
        <v>2.5023737407476898</v>
      </c>
      <c r="M63" s="161">
        <v>2.5023737407476898</v>
      </c>
      <c r="N63" s="161">
        <v>2.49584254528434</v>
      </c>
      <c r="O63" s="161">
        <v>2.3021838414878801</v>
      </c>
      <c r="P63" s="161">
        <v>2.1007427553576901</v>
      </c>
      <c r="Q63" s="161">
        <v>2.0719654573390902</v>
      </c>
      <c r="R63" s="161">
        <v>2.0719654573390902</v>
      </c>
      <c r="S63" s="161">
        <v>2.0719654573390902</v>
      </c>
      <c r="T63" s="161">
        <v>2.0719654573390902</v>
      </c>
      <c r="U63" s="161">
        <v>2.0719654573390902</v>
      </c>
      <c r="V63" s="161">
        <v>2.0719654573390902</v>
      </c>
      <c r="W63" s="161">
        <v>2.0719654573390902</v>
      </c>
      <c r="X63" s="161">
        <v>2.0719654573390902</v>
      </c>
      <c r="Y63" s="161">
        <v>2.0719654573390902</v>
      </c>
      <c r="Z63" s="161">
        <v>2.0719654573390902</v>
      </c>
      <c r="AA63" s="161">
        <v>2.0719654573390902</v>
      </c>
      <c r="AB63" s="161">
        <v>2.0719654573390902</v>
      </c>
      <c r="AC63" s="161">
        <v>2.0719654573390902</v>
      </c>
      <c r="AD63" s="161">
        <v>2.0719654573390902</v>
      </c>
      <c r="AE63" s="161">
        <v>2.0719654573390902</v>
      </c>
      <c r="AF63" s="161">
        <v>2.0719654573390902</v>
      </c>
      <c r="AG63" s="161">
        <v>2.0719654573390902</v>
      </c>
      <c r="AH63" s="161">
        <v>2.0719654573390902</v>
      </c>
      <c r="AI63" s="161">
        <v>2.8051609633781598</v>
      </c>
      <c r="AJ63" s="161">
        <v>5.0047474814953796</v>
      </c>
      <c r="AK63" s="161">
        <v>5.47018899727445</v>
      </c>
      <c r="AL63" s="168">
        <v>6.1641806480418104</v>
      </c>
      <c r="AM63" s="168">
        <v>6.3577058919054403</v>
      </c>
      <c r="AN63" s="168">
        <v>6.837275</v>
      </c>
      <c r="AO63" s="168">
        <v>7.3619304166666701</v>
      </c>
      <c r="AP63" s="168">
        <v>8.1526333333333305</v>
      </c>
      <c r="AQ63" s="168">
        <v>9.625</v>
      </c>
      <c r="AR63" s="168">
        <v>11.3094520833333</v>
      </c>
      <c r="AS63" s="168">
        <v>13.958194166666701</v>
      </c>
      <c r="AT63" s="168">
        <v>13.877890583333301</v>
      </c>
      <c r="AU63" s="168">
        <v>13.7875</v>
      </c>
      <c r="AV63" s="168">
        <v>15.3679166666667</v>
      </c>
      <c r="AW63" s="168">
        <v>15.375</v>
      </c>
      <c r="AX63" s="168">
        <v>15.375</v>
      </c>
      <c r="AY63" s="168">
        <v>15.375</v>
      </c>
      <c r="AZ63" s="168">
        <v>15.375</v>
      </c>
      <c r="BA63" s="168">
        <v>15.375</v>
      </c>
      <c r="BB63" s="168">
        <v>15.375</v>
      </c>
      <c r="BC63" s="168">
        <v>15.375</v>
      </c>
      <c r="BD63" s="168">
        <v>15.375</v>
      </c>
    </row>
    <row r="64" spans="1:56">
      <c r="A64" s="163" t="s">
        <v>242</v>
      </c>
      <c r="B64" s="163" t="s">
        <v>243</v>
      </c>
      <c r="C64" s="161" t="s">
        <v>125</v>
      </c>
      <c r="D64" s="161" t="s">
        <v>125</v>
      </c>
      <c r="E64" s="161" t="s">
        <v>125</v>
      </c>
      <c r="F64" s="161" t="s">
        <v>125</v>
      </c>
      <c r="G64" s="161" t="s">
        <v>125</v>
      </c>
      <c r="H64" s="161" t="s">
        <v>125</v>
      </c>
      <c r="I64" s="161" t="s">
        <v>125</v>
      </c>
      <c r="J64" s="161" t="s">
        <v>125</v>
      </c>
      <c r="K64" s="161" t="s">
        <v>125</v>
      </c>
      <c r="L64" s="161" t="s">
        <v>125</v>
      </c>
      <c r="M64" s="161" t="s">
        <v>125</v>
      </c>
      <c r="N64" s="161" t="s">
        <v>125</v>
      </c>
      <c r="O64" s="161" t="s">
        <v>125</v>
      </c>
      <c r="P64" s="161" t="s">
        <v>125</v>
      </c>
      <c r="Q64" s="161" t="s">
        <v>125</v>
      </c>
      <c r="R64" s="161" t="s">
        <v>125</v>
      </c>
      <c r="S64" s="161" t="s">
        <v>125</v>
      </c>
      <c r="T64" s="161" t="s">
        <v>125</v>
      </c>
      <c r="U64" s="161" t="s">
        <v>125</v>
      </c>
      <c r="V64" s="161" t="s">
        <v>125</v>
      </c>
      <c r="W64" s="161" t="s">
        <v>125</v>
      </c>
      <c r="X64" s="161" t="s">
        <v>125</v>
      </c>
      <c r="Y64" s="161" t="s">
        <v>125</v>
      </c>
      <c r="Z64" s="161" t="s">
        <v>125</v>
      </c>
      <c r="AA64" s="161" t="s">
        <v>125</v>
      </c>
      <c r="AB64" s="161" t="s">
        <v>125</v>
      </c>
      <c r="AC64" s="161" t="s">
        <v>125</v>
      </c>
      <c r="AD64" s="161" t="s">
        <v>125</v>
      </c>
      <c r="AE64" s="161" t="s">
        <v>125</v>
      </c>
      <c r="AF64" s="161" t="s">
        <v>125</v>
      </c>
      <c r="AG64" s="161" t="s">
        <v>125</v>
      </c>
      <c r="AH64" s="161" t="s">
        <v>125</v>
      </c>
      <c r="AI64" s="161" t="s">
        <v>125</v>
      </c>
      <c r="AJ64" s="161">
        <v>13.22275</v>
      </c>
      <c r="AK64" s="161">
        <v>12.991250000000001</v>
      </c>
      <c r="AL64" s="168">
        <v>11.46475</v>
      </c>
      <c r="AM64" s="168">
        <v>12.038</v>
      </c>
      <c r="AN64" s="168">
        <v>13.88175</v>
      </c>
      <c r="AO64" s="168">
        <v>14.074666666666699</v>
      </c>
      <c r="AP64" s="168">
        <v>14.677583333333301</v>
      </c>
      <c r="AQ64" s="168">
        <v>16.968636666666701</v>
      </c>
      <c r="AR64" s="168">
        <v>17.478071533333299</v>
      </c>
      <c r="AS64" s="168">
        <v>16.611791666666701</v>
      </c>
      <c r="AT64" s="168">
        <v>13.856411404510499</v>
      </c>
      <c r="AU64" s="168">
        <v>12.5955635879843</v>
      </c>
      <c r="AV64" s="168">
        <v>12.5837865859395</v>
      </c>
      <c r="AW64" s="168">
        <v>12.4654837577722</v>
      </c>
      <c r="AX64" s="168">
        <v>11.4338529961624</v>
      </c>
      <c r="AY64" s="168">
        <v>10.694443093841301</v>
      </c>
      <c r="AZ64" s="168">
        <v>11.257430885076699</v>
      </c>
      <c r="BA64" s="168">
        <v>11.8068482348947</v>
      </c>
      <c r="BB64" s="168" t="s">
        <v>125</v>
      </c>
      <c r="BC64" s="168" t="s">
        <v>125</v>
      </c>
      <c r="BD64" s="168" t="s">
        <v>125</v>
      </c>
    </row>
    <row r="65" spans="1:56">
      <c r="A65" s="163" t="s">
        <v>244</v>
      </c>
      <c r="B65" s="163" t="s">
        <v>245</v>
      </c>
      <c r="C65" s="161">
        <v>2.4844700014844698</v>
      </c>
      <c r="D65" s="161">
        <v>2.4844700014844698</v>
      </c>
      <c r="E65" s="161">
        <v>2.4844700014844698</v>
      </c>
      <c r="F65" s="161">
        <v>2.4844699989999999</v>
      </c>
      <c r="G65" s="161">
        <v>2.5000000015000001</v>
      </c>
      <c r="H65" s="161">
        <v>2.5000000015000001</v>
      </c>
      <c r="I65" s="161">
        <v>2.5000000015000001</v>
      </c>
      <c r="J65" s="161">
        <v>2.5000000015000001</v>
      </c>
      <c r="K65" s="161">
        <v>2.5000000015000001</v>
      </c>
      <c r="L65" s="161">
        <v>2.5000000015000001</v>
      </c>
      <c r="M65" s="161">
        <v>2.5000000015000001</v>
      </c>
      <c r="N65" s="161">
        <v>2.49347500129167</v>
      </c>
      <c r="O65" s="161">
        <v>2.2999999990000002</v>
      </c>
      <c r="P65" s="161">
        <v>2.0987499989999998</v>
      </c>
      <c r="Q65" s="161">
        <v>2.0699999990000002</v>
      </c>
      <c r="R65" s="161">
        <v>2.0699999990000002</v>
      </c>
      <c r="S65" s="161">
        <v>2.0699999990000002</v>
      </c>
      <c r="T65" s="161">
        <v>2.0699999990000002</v>
      </c>
      <c r="U65" s="161">
        <v>2.0699999990000002</v>
      </c>
      <c r="V65" s="161">
        <v>2.0699999990000002</v>
      </c>
      <c r="W65" s="161">
        <v>2.0699999990000002</v>
      </c>
      <c r="X65" s="161">
        <v>2.0699999990000002</v>
      </c>
      <c r="Y65" s="161">
        <v>2.0699999990000002</v>
      </c>
      <c r="Z65" s="161">
        <v>2.0699999990000002</v>
      </c>
      <c r="AA65" s="161">
        <v>2.06999999958333</v>
      </c>
      <c r="AB65" s="161">
        <v>2.0699999999999998</v>
      </c>
      <c r="AC65" s="161">
        <v>2.0699999999999998</v>
      </c>
      <c r="AD65" s="161">
        <v>2.0699999999999998</v>
      </c>
      <c r="AE65" s="161">
        <v>2.0699999999999998</v>
      </c>
      <c r="AF65" s="161">
        <v>2.0699999999999998</v>
      </c>
      <c r="AG65" s="161">
        <v>2.0699999999999998</v>
      </c>
      <c r="AH65" s="161">
        <v>2.0699999999999998</v>
      </c>
      <c r="AI65" s="161">
        <v>2.8025000000000002</v>
      </c>
      <c r="AJ65" s="161">
        <v>5</v>
      </c>
      <c r="AK65" s="161">
        <v>5.4649999999999999</v>
      </c>
      <c r="AL65" s="168">
        <v>6.1583333333333297</v>
      </c>
      <c r="AM65" s="168">
        <v>6.3516750000000002</v>
      </c>
      <c r="AN65" s="168">
        <v>6.7093416666666696</v>
      </c>
      <c r="AO65" s="168">
        <v>7.1159083333333299</v>
      </c>
      <c r="AP65" s="168">
        <v>7.9422499999999996</v>
      </c>
      <c r="AQ65" s="168">
        <v>8.21725833333333</v>
      </c>
      <c r="AR65" s="168">
        <v>8.4574916666666695</v>
      </c>
      <c r="AS65" s="168">
        <v>8.5677500000000002</v>
      </c>
      <c r="AT65" s="168">
        <v>8.5996833333333296</v>
      </c>
      <c r="AU65" s="168">
        <v>8.6355833333333294</v>
      </c>
      <c r="AV65" s="168">
        <v>8.6664416666666693</v>
      </c>
      <c r="AW65" s="168">
        <v>8.6986158333333297</v>
      </c>
      <c r="AX65" s="168">
        <v>8.9659499999999994</v>
      </c>
      <c r="AY65" s="168">
        <v>9.5997416666666702</v>
      </c>
      <c r="AZ65" s="168">
        <v>11.777599672499999</v>
      </c>
      <c r="BA65" s="168">
        <v>14.409589808006601</v>
      </c>
      <c r="BB65" s="168">
        <v>16.8992257595275</v>
      </c>
      <c r="BC65" s="168">
        <v>17.704761378267399</v>
      </c>
      <c r="BD65" s="168" t="s">
        <v>125</v>
      </c>
    </row>
    <row r="66" spans="1:56">
      <c r="A66" s="163" t="s">
        <v>246</v>
      </c>
      <c r="B66" s="163" t="s">
        <v>247</v>
      </c>
      <c r="C66" s="161">
        <v>6.9071400059071397</v>
      </c>
      <c r="D66" s="161">
        <v>6.9071400059071397</v>
      </c>
      <c r="E66" s="161">
        <v>6.9071400059071397</v>
      </c>
      <c r="F66" s="161">
        <v>6.9071400059071397</v>
      </c>
      <c r="G66" s="161">
        <v>6.9071400059071397</v>
      </c>
      <c r="H66" s="161">
        <v>6.9071400059071397</v>
      </c>
      <c r="I66" s="161">
        <v>6.9071400059071397</v>
      </c>
      <c r="J66" s="161">
        <v>6.9565450053809501</v>
      </c>
      <c r="K66" s="161">
        <v>7.5000000064999996</v>
      </c>
      <c r="L66" s="161">
        <v>7.5000000064999996</v>
      </c>
      <c r="M66" s="161">
        <v>7.5000000064999996</v>
      </c>
      <c r="N66" s="161">
        <v>7.4263379687119402</v>
      </c>
      <c r="O66" s="161">
        <v>6.9492916656666699</v>
      </c>
      <c r="P66" s="161">
        <v>6.049499999</v>
      </c>
      <c r="Q66" s="161">
        <v>6.0948999989999999</v>
      </c>
      <c r="R66" s="161">
        <v>5.746149999</v>
      </c>
      <c r="S66" s="161">
        <v>6.0450249989999998</v>
      </c>
      <c r="T66" s="161">
        <v>6.0031916656666704</v>
      </c>
      <c r="U66" s="161">
        <v>5.5146249989999996</v>
      </c>
      <c r="V66" s="161">
        <v>5.2609583323333302</v>
      </c>
      <c r="W66" s="161">
        <v>5.6359416656666701</v>
      </c>
      <c r="X66" s="161">
        <v>7.1233666656666701</v>
      </c>
      <c r="Y66" s="161">
        <v>8.3324416661666696</v>
      </c>
      <c r="Z66" s="161">
        <v>9.1449916657500001</v>
      </c>
      <c r="AA66" s="161">
        <v>10.356591666250001</v>
      </c>
      <c r="AB66" s="161">
        <v>10.5963916664167</v>
      </c>
      <c r="AC66" s="161">
        <v>8.0909916665833403</v>
      </c>
      <c r="AD66" s="161">
        <v>6.8403166666666699</v>
      </c>
      <c r="AE66" s="161">
        <v>6.7315250000000004</v>
      </c>
      <c r="AF66" s="161">
        <v>7.3101750000000001</v>
      </c>
      <c r="AG66" s="161">
        <v>6.1885583333333303</v>
      </c>
      <c r="AH66" s="161">
        <v>6.3964583333333298</v>
      </c>
      <c r="AI66" s="161">
        <v>6.0361333333333302</v>
      </c>
      <c r="AJ66" s="161">
        <v>6.4839391666666701</v>
      </c>
      <c r="AK66" s="161">
        <v>6.3605516666666704</v>
      </c>
      <c r="AL66" s="168">
        <v>5.6023666666666703</v>
      </c>
      <c r="AM66" s="168">
        <v>5.79867166666667</v>
      </c>
      <c r="AN66" s="168">
        <v>6.6044591666666701</v>
      </c>
      <c r="AO66" s="168">
        <v>6.7008266666666696</v>
      </c>
      <c r="AP66" s="168">
        <v>6.9762399999999998</v>
      </c>
      <c r="AQ66" s="168">
        <v>8.0831441666666706</v>
      </c>
      <c r="AR66" s="168">
        <v>8.3228174999999993</v>
      </c>
      <c r="AS66" s="168">
        <v>7.8947141666666703</v>
      </c>
      <c r="AT66" s="168">
        <v>6.5876733333333304</v>
      </c>
      <c r="AU66" s="168">
        <v>5.9910566666666698</v>
      </c>
      <c r="AV66" s="168">
        <v>5.9969099999999997</v>
      </c>
      <c r="AW66" s="168">
        <v>5.9467783333333299</v>
      </c>
      <c r="AX66" s="168">
        <v>5.4437008333333301</v>
      </c>
      <c r="AY66" s="168">
        <v>5.0981308333333297</v>
      </c>
      <c r="AZ66" s="168">
        <v>5.36086666666667</v>
      </c>
      <c r="BA66" s="168">
        <v>5.6240750000000004</v>
      </c>
      <c r="BB66" s="168">
        <v>5.3687115350877201</v>
      </c>
      <c r="BC66" s="168">
        <v>5.7924755370391603</v>
      </c>
      <c r="BD66" s="168">
        <v>5.6163116861762203</v>
      </c>
    </row>
    <row r="67" spans="1:56">
      <c r="A67" s="163" t="s">
        <v>248</v>
      </c>
      <c r="B67" s="163" t="s">
        <v>249</v>
      </c>
      <c r="C67" s="161">
        <v>0.79285799970331605</v>
      </c>
      <c r="D67" s="161">
        <v>0.79285799970331605</v>
      </c>
      <c r="E67" s="161">
        <v>0.79285799970331605</v>
      </c>
      <c r="F67" s="161">
        <v>0.79285799970331605</v>
      </c>
      <c r="G67" s="161">
        <v>0.79285799970331605</v>
      </c>
      <c r="H67" s="161">
        <v>0.79285799970331605</v>
      </c>
      <c r="I67" s="161">
        <v>0.79285799970331605</v>
      </c>
      <c r="J67" s="161">
        <v>0.80585399973123595</v>
      </c>
      <c r="K67" s="161">
        <v>0.87083399987083399</v>
      </c>
      <c r="L67" s="161">
        <v>0.87083399987083399</v>
      </c>
      <c r="M67" s="161">
        <v>0.87083399987083399</v>
      </c>
      <c r="N67" s="161">
        <v>0.85882323105772096</v>
      </c>
      <c r="O67" s="161">
        <v>0.82518371157047099</v>
      </c>
      <c r="P67" s="161">
        <v>0.79422382521396895</v>
      </c>
      <c r="Q67" s="161">
        <v>0.80560382810873898</v>
      </c>
      <c r="R67" s="161">
        <v>0.82188306421920099</v>
      </c>
      <c r="S67" s="161">
        <v>0.89771540302132802</v>
      </c>
      <c r="T67" s="161">
        <v>0.917440332333333</v>
      </c>
      <c r="U67" s="161">
        <v>0.84677074900000004</v>
      </c>
      <c r="V67" s="161">
        <v>0.83574324899999997</v>
      </c>
      <c r="W67" s="161">
        <v>0.81796466566666703</v>
      </c>
      <c r="X67" s="161">
        <v>0.854626582333333</v>
      </c>
      <c r="Y67" s="161">
        <v>0.93244866566666695</v>
      </c>
      <c r="Z67" s="161">
        <v>1.01702033233333</v>
      </c>
      <c r="AA67" s="161">
        <v>1.0825966660833299</v>
      </c>
      <c r="AB67" s="161">
        <v>1.15355416625</v>
      </c>
      <c r="AC67" s="161">
        <v>1.1328658332499999</v>
      </c>
      <c r="AD67" s="161">
        <v>1.24385833333333</v>
      </c>
      <c r="AE67" s="161">
        <v>1.4302583333333301</v>
      </c>
      <c r="AF67" s="161">
        <v>1.4833333333333301</v>
      </c>
      <c r="AG67" s="161">
        <v>1.4809083333333299</v>
      </c>
      <c r="AH67" s="161">
        <v>1.4755575000000001</v>
      </c>
      <c r="AI67" s="161">
        <v>1.5029908333333299</v>
      </c>
      <c r="AJ67" s="161">
        <v>1.5417749999999999</v>
      </c>
      <c r="AK67" s="161">
        <v>1.4641249999999999</v>
      </c>
      <c r="AL67" s="168">
        <v>1.4063333333333301</v>
      </c>
      <c r="AM67" s="168">
        <v>1.4033</v>
      </c>
      <c r="AN67" s="168">
        <v>1.443675</v>
      </c>
      <c r="AO67" s="168">
        <v>1.98681666666667</v>
      </c>
      <c r="AP67" s="168">
        <v>1.969625</v>
      </c>
      <c r="AQ67" s="168">
        <v>2.128625</v>
      </c>
      <c r="AR67" s="168">
        <v>2.2766333333333302</v>
      </c>
      <c r="AS67" s="168">
        <v>2.18669166666667</v>
      </c>
      <c r="AT67" s="168">
        <v>1.8956</v>
      </c>
      <c r="AU67" s="168">
        <v>1.73295</v>
      </c>
      <c r="AV67" s="168">
        <v>1.6909666666666701</v>
      </c>
      <c r="AW67" s="168">
        <v>1.73118333333333</v>
      </c>
      <c r="AX67" s="168">
        <v>1.61028333333333</v>
      </c>
      <c r="AY67" s="168">
        <v>1.59370833333333</v>
      </c>
      <c r="AZ67" s="168">
        <v>1.9557083333333301</v>
      </c>
      <c r="BA67" s="168">
        <v>1.91830833333333</v>
      </c>
      <c r="BB67" s="168">
        <v>1.79319425769221</v>
      </c>
      <c r="BC67" s="168">
        <v>1.7898939221094901</v>
      </c>
      <c r="BD67" s="168">
        <v>1.8413879855123001</v>
      </c>
    </row>
    <row r="68" spans="1:56">
      <c r="A68" s="163" t="s">
        <v>250</v>
      </c>
      <c r="B68" s="163" t="s">
        <v>251</v>
      </c>
      <c r="C68" s="161">
        <v>3.2000000021999999</v>
      </c>
      <c r="D68" s="161">
        <v>3.2000000021999999</v>
      </c>
      <c r="E68" s="161">
        <v>3.2000000021999999</v>
      </c>
      <c r="F68" s="161">
        <v>3.2000000021999999</v>
      </c>
      <c r="G68" s="161">
        <v>3.2000000021999999</v>
      </c>
      <c r="H68" s="161">
        <v>3.2000000021999999</v>
      </c>
      <c r="I68" s="161">
        <v>3.2000000021999999</v>
      </c>
      <c r="J68" s="161">
        <v>3.44999250244999</v>
      </c>
      <c r="K68" s="161">
        <v>4.1999700031999696</v>
      </c>
      <c r="L68" s="161">
        <v>4.1999700031999696</v>
      </c>
      <c r="M68" s="161">
        <v>4.1999700031999696</v>
      </c>
      <c r="N68" s="161">
        <v>4.1844177906868598</v>
      </c>
      <c r="O68" s="161">
        <v>4.1463333325707703</v>
      </c>
      <c r="P68" s="161">
        <v>3.8211666658854799</v>
      </c>
      <c r="Q68" s="161">
        <v>3.7737499992161001</v>
      </c>
      <c r="R68" s="161">
        <v>3.6786666658773202</v>
      </c>
      <c r="S68" s="161">
        <v>3.8644166658879602</v>
      </c>
      <c r="T68" s="161">
        <v>4.0294166658974104</v>
      </c>
      <c r="U68" s="161">
        <v>4.1173333325691104</v>
      </c>
      <c r="V68" s="161">
        <v>3.8953333325564001</v>
      </c>
      <c r="W68" s="161">
        <v>3.73008333254693</v>
      </c>
      <c r="X68" s="161">
        <v>4.3152499992471096</v>
      </c>
      <c r="Y68" s="161">
        <v>4.8204166659426999</v>
      </c>
      <c r="Z68" s="161">
        <v>5.5700833326522998</v>
      </c>
      <c r="AA68" s="161">
        <v>6.0099999997764701</v>
      </c>
      <c r="AB68" s="161">
        <v>6.1978958331666698</v>
      </c>
      <c r="AC68" s="161">
        <v>5.0695199999999998</v>
      </c>
      <c r="AD68" s="161">
        <v>4.3955650000000004</v>
      </c>
      <c r="AE68" s="161">
        <v>4.1828333333333303</v>
      </c>
      <c r="AF68" s="161">
        <v>4.2912158333333297</v>
      </c>
      <c r="AG68" s="161">
        <v>3.8235049999999999</v>
      </c>
      <c r="AH68" s="161">
        <v>4.04397916666667</v>
      </c>
      <c r="AI68" s="161">
        <v>4.4794400000000003</v>
      </c>
      <c r="AJ68" s="161">
        <v>5.7122916666666699</v>
      </c>
      <c r="AK68" s="161">
        <v>5.2235125</v>
      </c>
      <c r="AL68" s="168">
        <v>4.3666666666666698</v>
      </c>
      <c r="AM68" s="168">
        <v>4.5935499999999996</v>
      </c>
      <c r="AN68" s="168">
        <v>5.1914350000000002</v>
      </c>
      <c r="AO68" s="168">
        <v>5.34406583333333</v>
      </c>
      <c r="AP68" s="168" t="s">
        <v>125</v>
      </c>
      <c r="AQ68" s="168" t="s">
        <v>125</v>
      </c>
      <c r="AR68" s="168" t="s">
        <v>125</v>
      </c>
      <c r="AS68" s="168" t="s">
        <v>125</v>
      </c>
      <c r="AT68" s="168" t="s">
        <v>125</v>
      </c>
      <c r="AU68" s="168" t="s">
        <v>125</v>
      </c>
      <c r="AV68" s="168" t="s">
        <v>125</v>
      </c>
      <c r="AW68" s="168" t="s">
        <v>125</v>
      </c>
      <c r="AX68" s="168" t="s">
        <v>125</v>
      </c>
      <c r="AY68" s="168" t="s">
        <v>125</v>
      </c>
      <c r="AZ68" s="168" t="s">
        <v>125</v>
      </c>
      <c r="BA68" s="168" t="s">
        <v>125</v>
      </c>
      <c r="BB68" s="168" t="s">
        <v>125</v>
      </c>
      <c r="BC68" s="168" t="s">
        <v>125</v>
      </c>
      <c r="BD68" s="168" t="s">
        <v>125</v>
      </c>
    </row>
    <row r="69" spans="1:56">
      <c r="A69" s="163" t="s">
        <v>87</v>
      </c>
      <c r="B69" s="163" t="s">
        <v>252</v>
      </c>
      <c r="C69" s="161">
        <v>4.9370600039370602</v>
      </c>
      <c r="D69" s="161">
        <v>4.9370600039370602</v>
      </c>
      <c r="E69" s="161">
        <v>4.9370600039370602</v>
      </c>
      <c r="F69" s="161">
        <v>4.9370600039370602</v>
      </c>
      <c r="G69" s="161">
        <v>4.9370600039370602</v>
      </c>
      <c r="H69" s="161">
        <v>4.9370600039370602</v>
      </c>
      <c r="I69" s="161">
        <v>4.9370600039370602</v>
      </c>
      <c r="J69" s="161">
        <v>4.9370600039370602</v>
      </c>
      <c r="K69" s="161">
        <v>4.9370600039370602</v>
      </c>
      <c r="L69" s="161">
        <v>5.1941975041942001</v>
      </c>
      <c r="M69" s="161">
        <v>5.5541900045541901</v>
      </c>
      <c r="N69" s="161">
        <v>5.5406013547209403</v>
      </c>
      <c r="O69" s="161">
        <v>5.0445445156406201</v>
      </c>
      <c r="P69" s="161">
        <v>4.4527796739908299</v>
      </c>
      <c r="Q69" s="161">
        <v>4.8096184728558304</v>
      </c>
      <c r="R69" s="161">
        <v>4.2877995153765696</v>
      </c>
      <c r="S69" s="161">
        <v>4.8028783632131002</v>
      </c>
      <c r="T69" s="161">
        <v>4.9051733225321703</v>
      </c>
      <c r="U69" s="161">
        <v>4.5130999993333303</v>
      </c>
      <c r="V69" s="161">
        <v>4.2544166660833298</v>
      </c>
      <c r="W69" s="161">
        <v>4.2255749990833298</v>
      </c>
      <c r="X69" s="161">
        <v>5.4346083325833296</v>
      </c>
      <c r="Y69" s="161">
        <v>6.5720999990833304</v>
      </c>
      <c r="Z69" s="161">
        <v>7.6212916657500003</v>
      </c>
      <c r="AA69" s="161">
        <v>8.7390999995833294</v>
      </c>
      <c r="AB69" s="161">
        <v>8.9852249997500007</v>
      </c>
      <c r="AC69" s="161">
        <v>6.9260916666666699</v>
      </c>
      <c r="AD69" s="161">
        <v>6.01070833333333</v>
      </c>
      <c r="AE69" s="161">
        <v>5.9569416666666699</v>
      </c>
      <c r="AF69" s="161">
        <v>6.3801416666666704</v>
      </c>
      <c r="AG69" s="161">
        <v>5.4452749999999996</v>
      </c>
      <c r="AH69" s="161">
        <v>5.64211666666667</v>
      </c>
      <c r="AI69" s="161">
        <v>5.2938158333333298</v>
      </c>
      <c r="AJ69" s="161">
        <v>5.6632300000000004</v>
      </c>
      <c r="AK69" s="161">
        <v>5.5520449999999997</v>
      </c>
      <c r="AL69" s="168">
        <v>4.9914825</v>
      </c>
      <c r="AM69" s="168">
        <v>5.1155225</v>
      </c>
      <c r="AN69" s="168">
        <v>5.8366916666666704</v>
      </c>
      <c r="AO69" s="168">
        <v>5.8995156666666704</v>
      </c>
      <c r="AP69" s="168" t="s">
        <v>125</v>
      </c>
      <c r="AQ69" s="168" t="s">
        <v>125</v>
      </c>
      <c r="AR69" s="168" t="s">
        <v>125</v>
      </c>
      <c r="AS69" s="168" t="s">
        <v>125</v>
      </c>
      <c r="AT69" s="168" t="s">
        <v>125</v>
      </c>
      <c r="AU69" s="168" t="s">
        <v>125</v>
      </c>
      <c r="AV69" s="168" t="s">
        <v>125</v>
      </c>
      <c r="AW69" s="168" t="s">
        <v>125</v>
      </c>
      <c r="AX69" s="168" t="s">
        <v>125</v>
      </c>
      <c r="AY69" s="168" t="s">
        <v>125</v>
      </c>
      <c r="AZ69" s="168" t="s">
        <v>125</v>
      </c>
      <c r="BA69" s="168" t="s">
        <v>125</v>
      </c>
      <c r="BB69" s="168" t="s">
        <v>125</v>
      </c>
      <c r="BC69" s="168" t="s">
        <v>125</v>
      </c>
      <c r="BD69" s="168" t="s">
        <v>125</v>
      </c>
    </row>
    <row r="70" spans="1:56">
      <c r="A70" s="163" t="s">
        <v>253</v>
      </c>
      <c r="B70" s="163" t="s">
        <v>254</v>
      </c>
      <c r="C70" s="161">
        <v>89.765000088765007</v>
      </c>
      <c r="D70" s="161">
        <v>89.765000088765007</v>
      </c>
      <c r="E70" s="161">
        <v>89.765000088765007</v>
      </c>
      <c r="F70" s="161">
        <v>89.765000088765007</v>
      </c>
      <c r="G70" s="161">
        <v>89.765000088765007</v>
      </c>
      <c r="H70" s="161">
        <v>89.765000088765007</v>
      </c>
      <c r="I70" s="161">
        <v>89.765000088765007</v>
      </c>
      <c r="J70" s="161">
        <v>89.765000088765007</v>
      </c>
      <c r="K70" s="161">
        <v>89.765000088765007</v>
      </c>
      <c r="L70" s="161">
        <v>94.440000093440005</v>
      </c>
      <c r="M70" s="161">
        <v>100.985000099985</v>
      </c>
      <c r="N70" s="161">
        <v>100.689451223571</v>
      </c>
      <c r="O70" s="161">
        <v>91.645968951929206</v>
      </c>
      <c r="P70" s="161">
        <v>81.0502219755422</v>
      </c>
      <c r="Q70" s="161">
        <v>87.528548830185898</v>
      </c>
      <c r="R70" s="161">
        <v>77.931588724653196</v>
      </c>
      <c r="S70" s="161">
        <v>86.890670674160404</v>
      </c>
      <c r="T70" s="161">
        <v>89.337637916450106</v>
      </c>
      <c r="U70" s="161">
        <v>82.056281563365701</v>
      </c>
      <c r="V70" s="161">
        <v>77.352952935139498</v>
      </c>
      <c r="W70" s="161">
        <v>76.828559514107795</v>
      </c>
      <c r="X70" s="161">
        <v>98.810961781363503</v>
      </c>
      <c r="Y70" s="161">
        <v>119.492607763333</v>
      </c>
      <c r="Z70" s="161">
        <v>138.56880080833301</v>
      </c>
      <c r="AA70" s="161">
        <v>158.89256837242399</v>
      </c>
      <c r="AB70" s="161">
        <v>163.367563900455</v>
      </c>
      <c r="AC70" s="161">
        <v>125.928813465</v>
      </c>
      <c r="AD70" s="161">
        <v>109.285496775</v>
      </c>
      <c r="AE70" s="161">
        <v>108.307921995</v>
      </c>
      <c r="AF70" s="161">
        <v>116.002459755</v>
      </c>
      <c r="AG70" s="161">
        <v>99.004900995</v>
      </c>
      <c r="AH70" s="161">
        <v>102.58383680999999</v>
      </c>
      <c r="AI70" s="161">
        <v>96.251100718499998</v>
      </c>
      <c r="AJ70" s="161">
        <v>102.96771521399999</v>
      </c>
      <c r="AK70" s="161">
        <v>100.946171781</v>
      </c>
      <c r="AL70" s="168">
        <v>90.754136518500005</v>
      </c>
      <c r="AM70" s="168">
        <v>93.009406990499997</v>
      </c>
      <c r="AN70" s="168">
        <v>106.12156054499999</v>
      </c>
      <c r="AO70" s="168">
        <v>107.2638139482</v>
      </c>
      <c r="AP70" s="168">
        <v>112.00798849156099</v>
      </c>
      <c r="AQ70" s="168">
        <v>129.522726623083</v>
      </c>
      <c r="AR70" s="168">
        <v>133.354368067</v>
      </c>
      <c r="AS70" s="168">
        <v>126.796096721167</v>
      </c>
      <c r="AT70" s="168">
        <v>105.73196336641701</v>
      </c>
      <c r="AU70" s="168">
        <v>96.105574570499996</v>
      </c>
      <c r="AV70" s="168">
        <v>95.957006604</v>
      </c>
      <c r="AW70" s="168">
        <v>95.124170781083293</v>
      </c>
      <c r="AX70" s="168">
        <v>87.188214958749995</v>
      </c>
      <c r="AY70" s="168">
        <v>81.464733839263204</v>
      </c>
      <c r="AZ70" s="168">
        <v>85.900131856929093</v>
      </c>
      <c r="BA70" s="168">
        <v>90.100797697365394</v>
      </c>
      <c r="BB70" s="168">
        <v>85.841885317111505</v>
      </c>
      <c r="BC70" s="168">
        <v>92.875098555717997</v>
      </c>
      <c r="BD70" s="168" t="s">
        <v>125</v>
      </c>
    </row>
    <row r="71" spans="1:56">
      <c r="A71" s="163" t="s">
        <v>255</v>
      </c>
      <c r="B71" s="163" t="s">
        <v>256</v>
      </c>
      <c r="C71" s="161">
        <v>245.19510139835899</v>
      </c>
      <c r="D71" s="161">
        <v>245.26010162116</v>
      </c>
      <c r="E71" s="161">
        <v>245.013850686544</v>
      </c>
      <c r="F71" s="161">
        <v>245.01635069607499</v>
      </c>
      <c r="G71" s="161">
        <v>245.027184079042</v>
      </c>
      <c r="H71" s="161">
        <v>245.06093420770799</v>
      </c>
      <c r="I71" s="161">
        <v>245.67843655764401</v>
      </c>
      <c r="J71" s="161">
        <v>246.00093779128099</v>
      </c>
      <c r="K71" s="161">
        <v>247.56469375695099</v>
      </c>
      <c r="L71" s="161">
        <v>259.960574351236</v>
      </c>
      <c r="M71" s="161">
        <v>276.403137026845</v>
      </c>
      <c r="N71" s="161">
        <v>275.35645668533198</v>
      </c>
      <c r="O71" s="161">
        <v>252.02762746264901</v>
      </c>
      <c r="P71" s="161">
        <v>222.88918305322699</v>
      </c>
      <c r="Q71" s="161">
        <v>240.70466763782301</v>
      </c>
      <c r="R71" s="161">
        <v>214.31290034121901</v>
      </c>
      <c r="S71" s="161">
        <v>238.95049426705901</v>
      </c>
      <c r="T71" s="161">
        <v>245.67968656657601</v>
      </c>
      <c r="U71" s="161">
        <v>225.65586023395699</v>
      </c>
      <c r="V71" s="161">
        <v>212.721644262377</v>
      </c>
      <c r="W71" s="161">
        <v>211.27955541470499</v>
      </c>
      <c r="X71" s="161">
        <v>271.73145255032699</v>
      </c>
      <c r="Y71" s="161">
        <v>328.60625269898998</v>
      </c>
      <c r="Z71" s="161">
        <v>381.06603602462798</v>
      </c>
      <c r="AA71" s="161">
        <v>436.95666578800802</v>
      </c>
      <c r="AB71" s="161">
        <v>449.26296271160697</v>
      </c>
      <c r="AC71" s="161">
        <v>346.305903554493</v>
      </c>
      <c r="AD71" s="161">
        <v>300.53656240147802</v>
      </c>
      <c r="AE71" s="161">
        <v>297.84821881937802</v>
      </c>
      <c r="AF71" s="161">
        <v>319.008299487903</v>
      </c>
      <c r="AG71" s="161">
        <v>272.264787954393</v>
      </c>
      <c r="AH71" s="161">
        <v>282.10690880881998</v>
      </c>
      <c r="AI71" s="161">
        <v>264.69180075057898</v>
      </c>
      <c r="AJ71" s="161">
        <v>283.16257950001801</v>
      </c>
      <c r="AK71" s="161">
        <v>555.20469565569704</v>
      </c>
      <c r="AL71" s="168">
        <v>499.14842590131002</v>
      </c>
      <c r="AM71" s="168">
        <v>511.55243027251601</v>
      </c>
      <c r="AN71" s="168">
        <v>583.66937235339606</v>
      </c>
      <c r="AO71" s="168">
        <v>589.951774567332</v>
      </c>
      <c r="AP71" s="168">
        <v>615.69913197380595</v>
      </c>
      <c r="AQ71" s="168">
        <v>711.97627443083297</v>
      </c>
      <c r="AR71" s="168">
        <v>733.03850707000004</v>
      </c>
      <c r="AS71" s="168">
        <v>696.98820361166702</v>
      </c>
      <c r="AT71" s="168">
        <v>581.20031386416701</v>
      </c>
      <c r="AU71" s="168">
        <v>528.28480930499995</v>
      </c>
      <c r="AV71" s="168">
        <v>527.46814284000004</v>
      </c>
      <c r="AW71" s="168">
        <v>522.89010961083295</v>
      </c>
      <c r="AX71" s="168">
        <v>479.26678258750002</v>
      </c>
      <c r="AY71" s="168">
        <v>447.80525556077299</v>
      </c>
      <c r="AZ71" s="168">
        <v>472.18629075489298</v>
      </c>
      <c r="BA71" s="168">
        <v>495.277021572396</v>
      </c>
      <c r="BB71" s="168">
        <v>471.86611409170001</v>
      </c>
      <c r="BC71" s="168">
        <v>510.52713590196998</v>
      </c>
      <c r="BD71" s="168">
        <v>494.04003744699003</v>
      </c>
    </row>
    <row r="72" spans="1:56">
      <c r="A72" s="163" t="s">
        <v>257</v>
      </c>
      <c r="B72" s="163" t="s">
        <v>258</v>
      </c>
      <c r="C72" s="161">
        <v>1.7857107145017099</v>
      </c>
      <c r="D72" s="161">
        <v>1.7857107145017099</v>
      </c>
      <c r="E72" s="161">
        <v>1.7857107145017099</v>
      </c>
      <c r="F72" s="161">
        <v>1.7857107145017099</v>
      </c>
      <c r="G72" s="161">
        <v>1.7857107145017099</v>
      </c>
      <c r="H72" s="161">
        <v>1.7857107145017099</v>
      </c>
      <c r="I72" s="161">
        <v>1.7857107145017099</v>
      </c>
      <c r="J72" s="161">
        <v>1.83531392893198</v>
      </c>
      <c r="K72" s="161">
        <v>2.08333000108333</v>
      </c>
      <c r="L72" s="161">
        <v>2.08333000108333</v>
      </c>
      <c r="M72" s="161">
        <v>2.08333000108333</v>
      </c>
      <c r="N72" s="161">
        <v>2.0545982738146198</v>
      </c>
      <c r="O72" s="161">
        <v>2.0013327960424601</v>
      </c>
      <c r="P72" s="161">
        <v>1.7024045640635801</v>
      </c>
      <c r="Q72" s="161">
        <v>1.7109267862755799</v>
      </c>
      <c r="R72" s="161">
        <v>1.8080437071058399</v>
      </c>
      <c r="S72" s="161">
        <v>2.2256731353848398</v>
      </c>
      <c r="T72" s="161">
        <v>2.2930188807786198</v>
      </c>
      <c r="U72" s="161">
        <v>2.0857452966718499</v>
      </c>
      <c r="V72" s="161">
        <v>1.88841579961904</v>
      </c>
      <c r="W72" s="161">
        <v>1.7209828399170599</v>
      </c>
      <c r="X72" s="161">
        <v>1.9901702093111799</v>
      </c>
      <c r="Y72" s="161">
        <v>2.2895101853073001</v>
      </c>
      <c r="Z72" s="161">
        <v>2.6385746191158299</v>
      </c>
      <c r="AA72" s="161">
        <v>3.58405733379709</v>
      </c>
      <c r="AB72" s="161">
        <v>3.8938738044416201</v>
      </c>
      <c r="AC72" s="161">
        <v>6.9249710882610698</v>
      </c>
      <c r="AD72" s="161">
        <v>7.07440010539122</v>
      </c>
      <c r="AE72" s="161">
        <v>6.70842323781853</v>
      </c>
      <c r="AF72" s="161">
        <v>7.5835829400414898</v>
      </c>
      <c r="AG72" s="161">
        <v>7.8789921808440599</v>
      </c>
      <c r="AH72" s="161">
        <v>8.7331408398755705</v>
      </c>
      <c r="AI72" s="161">
        <v>8.89571491305405</v>
      </c>
      <c r="AJ72" s="161">
        <v>9.1144194715680502</v>
      </c>
      <c r="AK72" s="161">
        <v>9.5817709601133902</v>
      </c>
      <c r="AL72" s="168">
        <v>9.5442648193098893</v>
      </c>
      <c r="AM72" s="168">
        <v>9.7971734695092998</v>
      </c>
      <c r="AN72" s="168">
        <v>10.2001666666667</v>
      </c>
      <c r="AO72" s="168">
        <v>10.6431</v>
      </c>
      <c r="AP72" s="168">
        <v>11.395091666666699</v>
      </c>
      <c r="AQ72" s="168">
        <v>12.7876250950944</v>
      </c>
      <c r="AR72" s="168">
        <v>15.687158333333301</v>
      </c>
      <c r="AS72" s="168">
        <v>19.917825000000001</v>
      </c>
      <c r="AT72" s="168">
        <v>28.530508333333302</v>
      </c>
      <c r="AU72" s="168">
        <v>30.030083333333302</v>
      </c>
      <c r="AV72" s="168">
        <v>28.575433333333301</v>
      </c>
      <c r="AW72" s="168">
        <v>28.065725</v>
      </c>
      <c r="AX72" s="168">
        <v>24.873433333333299</v>
      </c>
      <c r="AY72" s="168">
        <v>22.192350000000001</v>
      </c>
      <c r="AZ72" s="168">
        <v>26.644361204231299</v>
      </c>
      <c r="BA72" s="168">
        <v>28.0119536626841</v>
      </c>
      <c r="BB72" s="168">
        <v>29.4615200601576</v>
      </c>
      <c r="BC72" s="168">
        <v>32.077133888621702</v>
      </c>
      <c r="BD72" s="168" t="s">
        <v>125</v>
      </c>
    </row>
    <row r="73" spans="1:56">
      <c r="A73" s="163" t="s">
        <v>259</v>
      </c>
      <c r="B73" s="163" t="s">
        <v>260</v>
      </c>
      <c r="C73" s="161" t="s">
        <v>125</v>
      </c>
      <c r="D73" s="161" t="s">
        <v>125</v>
      </c>
      <c r="E73" s="161" t="s">
        <v>125</v>
      </c>
      <c r="F73" s="161" t="s">
        <v>125</v>
      </c>
      <c r="G73" s="161" t="s">
        <v>125</v>
      </c>
      <c r="H73" s="161" t="s">
        <v>125</v>
      </c>
      <c r="I73" s="161" t="s">
        <v>125</v>
      </c>
      <c r="J73" s="161" t="s">
        <v>125</v>
      </c>
      <c r="K73" s="161" t="s">
        <v>125</v>
      </c>
      <c r="L73" s="161" t="s">
        <v>125</v>
      </c>
      <c r="M73" s="161" t="s">
        <v>125</v>
      </c>
      <c r="N73" s="161" t="s">
        <v>125</v>
      </c>
      <c r="O73" s="161" t="s">
        <v>125</v>
      </c>
      <c r="P73" s="161" t="s">
        <v>125</v>
      </c>
      <c r="Q73" s="161" t="s">
        <v>125</v>
      </c>
      <c r="R73" s="161" t="s">
        <v>125</v>
      </c>
      <c r="S73" s="161" t="s">
        <v>125</v>
      </c>
      <c r="T73" s="161" t="s">
        <v>125</v>
      </c>
      <c r="U73" s="161" t="s">
        <v>125</v>
      </c>
      <c r="V73" s="161" t="s">
        <v>125</v>
      </c>
      <c r="W73" s="161" t="s">
        <v>125</v>
      </c>
      <c r="X73" s="161" t="s">
        <v>125</v>
      </c>
      <c r="Y73" s="161" t="s">
        <v>125</v>
      </c>
      <c r="Z73" s="161" t="s">
        <v>125</v>
      </c>
      <c r="AA73" s="161" t="s">
        <v>125</v>
      </c>
      <c r="AB73" s="161" t="s">
        <v>125</v>
      </c>
      <c r="AC73" s="161" t="s">
        <v>125</v>
      </c>
      <c r="AD73" s="161" t="s">
        <v>125</v>
      </c>
      <c r="AE73" s="161" t="s">
        <v>125</v>
      </c>
      <c r="AF73" s="161" t="s">
        <v>125</v>
      </c>
      <c r="AG73" s="161" t="s">
        <v>125</v>
      </c>
      <c r="AH73" s="161" t="s">
        <v>125</v>
      </c>
      <c r="AI73" s="161" t="s">
        <v>125</v>
      </c>
      <c r="AJ73" s="161" t="s">
        <v>125</v>
      </c>
      <c r="AK73" s="161" t="s">
        <v>125</v>
      </c>
      <c r="AL73" s="168" t="s">
        <v>125</v>
      </c>
      <c r="AM73" s="168">
        <v>1.2627999999999999</v>
      </c>
      <c r="AN73" s="168">
        <v>1.2975000000000001</v>
      </c>
      <c r="AO73" s="168">
        <v>1.38981666666667</v>
      </c>
      <c r="AP73" s="168">
        <v>2.0245166666666701</v>
      </c>
      <c r="AQ73" s="168">
        <v>1.97616666666667</v>
      </c>
      <c r="AR73" s="168">
        <v>2.0730166666666698</v>
      </c>
      <c r="AS73" s="168">
        <v>2.195675</v>
      </c>
      <c r="AT73" s="168">
        <v>2.1456499999999998</v>
      </c>
      <c r="AU73" s="168">
        <v>1.91665</v>
      </c>
      <c r="AV73" s="168">
        <v>1.812675</v>
      </c>
      <c r="AW73" s="168">
        <v>1.78043333333333</v>
      </c>
      <c r="AX73" s="168">
        <v>1.67049166666667</v>
      </c>
      <c r="AY73" s="168">
        <v>1.4907916666666701</v>
      </c>
      <c r="AZ73" s="168">
        <v>1.6704870967741901</v>
      </c>
      <c r="BA73" s="168">
        <v>1.78234166666667</v>
      </c>
      <c r="BB73" s="168">
        <v>1.6864954301075299</v>
      </c>
      <c r="BC73" s="168">
        <v>1.6512583333333299</v>
      </c>
      <c r="BD73" s="168">
        <v>1.6633500000000001</v>
      </c>
    </row>
    <row r="74" spans="1:56">
      <c r="A74" s="163" t="s">
        <v>261</v>
      </c>
      <c r="B74" s="163" t="s">
        <v>262</v>
      </c>
      <c r="C74" s="161">
        <v>4.2000000032000004</v>
      </c>
      <c r="D74" s="161">
        <v>4.0333333363666704</v>
      </c>
      <c r="E74" s="161">
        <v>4.0000000030000002</v>
      </c>
      <c r="F74" s="161">
        <v>4.0000000030000002</v>
      </c>
      <c r="G74" s="161">
        <v>4.0000000030000002</v>
      </c>
      <c r="H74" s="161">
        <v>4.0000000030000002</v>
      </c>
      <c r="I74" s="161">
        <v>4.0000000030000002</v>
      </c>
      <c r="J74" s="161">
        <v>4.0000000030000002</v>
      </c>
      <c r="K74" s="161">
        <v>4.0000000030000002</v>
      </c>
      <c r="L74" s="161">
        <v>3.94333333594333</v>
      </c>
      <c r="M74" s="161">
        <v>3.6600000026599999</v>
      </c>
      <c r="N74" s="161">
        <v>3.50739351008637</v>
      </c>
      <c r="O74" s="161">
        <v>3.1886416656666698</v>
      </c>
      <c r="P74" s="161">
        <v>2.6725999990833298</v>
      </c>
      <c r="Q74" s="161">
        <v>2.5877499990000001</v>
      </c>
      <c r="R74" s="161">
        <v>2.4602916660833301</v>
      </c>
      <c r="S74" s="161">
        <v>2.5179999990833299</v>
      </c>
      <c r="T74" s="161">
        <v>2.3221833324166701</v>
      </c>
      <c r="U74" s="161">
        <v>2.00862499916667</v>
      </c>
      <c r="V74" s="161">
        <v>1.8328833325</v>
      </c>
      <c r="W74" s="161">
        <v>1.81766666583333</v>
      </c>
      <c r="X74" s="161">
        <v>2.2599999990833299</v>
      </c>
      <c r="Y74" s="161">
        <v>2.4265916657500002</v>
      </c>
      <c r="Z74" s="161">
        <v>2.5532583324166702</v>
      </c>
      <c r="AA74" s="161">
        <v>2.8459416661666701</v>
      </c>
      <c r="AB74" s="161">
        <v>2.9439666665000002</v>
      </c>
      <c r="AC74" s="161">
        <v>2.1714833330833301</v>
      </c>
      <c r="AD74" s="161">
        <v>1.7973916666666701</v>
      </c>
      <c r="AE74" s="161">
        <v>1.7562249999999999</v>
      </c>
      <c r="AF74" s="161">
        <v>1.8800416666666699</v>
      </c>
      <c r="AG74" s="161">
        <v>1.6157333333333299</v>
      </c>
      <c r="AH74" s="161">
        <v>1.65954166666667</v>
      </c>
      <c r="AI74" s="161">
        <v>1.56165</v>
      </c>
      <c r="AJ74" s="161">
        <v>1.65332083333333</v>
      </c>
      <c r="AK74" s="161">
        <v>1.6227941666666701</v>
      </c>
      <c r="AL74" s="168">
        <v>1.4331324999999999</v>
      </c>
      <c r="AM74" s="168">
        <v>1.5047741666666701</v>
      </c>
      <c r="AN74" s="168">
        <v>1.73405583333333</v>
      </c>
      <c r="AO74" s="168">
        <v>1.7596676</v>
      </c>
      <c r="AP74" s="168" t="s">
        <v>125</v>
      </c>
      <c r="AQ74" s="168" t="s">
        <v>125</v>
      </c>
      <c r="AR74" s="168" t="s">
        <v>125</v>
      </c>
      <c r="AS74" s="168" t="s">
        <v>125</v>
      </c>
      <c r="AT74" s="168" t="s">
        <v>125</v>
      </c>
      <c r="AU74" s="168" t="s">
        <v>125</v>
      </c>
      <c r="AV74" s="168" t="s">
        <v>125</v>
      </c>
      <c r="AW74" s="168" t="s">
        <v>125</v>
      </c>
      <c r="AX74" s="168" t="s">
        <v>125</v>
      </c>
      <c r="AY74" s="168" t="s">
        <v>125</v>
      </c>
      <c r="AZ74" s="168" t="s">
        <v>125</v>
      </c>
      <c r="BA74" s="168" t="s">
        <v>125</v>
      </c>
      <c r="BB74" s="168" t="s">
        <v>125</v>
      </c>
      <c r="BC74" s="168" t="s">
        <v>125</v>
      </c>
      <c r="BD74" s="168" t="s">
        <v>125</v>
      </c>
    </row>
    <row r="75" spans="1:56">
      <c r="A75" s="163" t="s">
        <v>263</v>
      </c>
      <c r="B75" s="163" t="s">
        <v>264</v>
      </c>
      <c r="C75" s="161">
        <v>7.1391596674247305E-5</v>
      </c>
      <c r="D75" s="161">
        <v>7.1391596674247305E-5</v>
      </c>
      <c r="E75" s="161">
        <v>7.1391596674247305E-5</v>
      </c>
      <c r="F75" s="161">
        <v>7.1391596674247305E-5</v>
      </c>
      <c r="G75" s="161">
        <v>7.1391596674247305E-5</v>
      </c>
      <c r="H75" s="161">
        <v>7.1391596674247305E-5</v>
      </c>
      <c r="I75" s="161">
        <v>7.1391596674247305E-5</v>
      </c>
      <c r="J75" s="161">
        <v>8.6081194792526894E-5</v>
      </c>
      <c r="K75" s="161">
        <v>1.01985139685E-4</v>
      </c>
      <c r="L75" s="161">
        <v>1.01985139685E-4</v>
      </c>
      <c r="M75" s="161">
        <v>1.01985139685E-4</v>
      </c>
      <c r="N75" s="161">
        <v>1.0342936280328E-4</v>
      </c>
      <c r="O75" s="161">
        <v>1.33267478842706E-4</v>
      </c>
      <c r="P75" s="161">
        <v>1.16437365491452E-4</v>
      </c>
      <c r="Q75" s="161">
        <v>1.14938171943065E-4</v>
      </c>
      <c r="R75" s="161">
        <v>1.14938171943065E-4</v>
      </c>
      <c r="S75" s="161">
        <v>1.14938171943065E-4</v>
      </c>
      <c r="T75" s="161">
        <v>1.14938171943065E-4</v>
      </c>
      <c r="U75" s="161">
        <v>1.7626318381266601E-4</v>
      </c>
      <c r="V75" s="161">
        <v>2.7485215053763402E-4</v>
      </c>
      <c r="W75" s="161">
        <v>2.7485215053763402E-4</v>
      </c>
      <c r="X75" s="161">
        <v>2.7485215053763402E-4</v>
      </c>
      <c r="Y75" s="161">
        <v>2.7485215053763402E-4</v>
      </c>
      <c r="Z75" s="161">
        <v>8.8252277014463302E-4</v>
      </c>
      <c r="AA75" s="161">
        <v>3.5966844251375698E-3</v>
      </c>
      <c r="AB75" s="161">
        <v>5.4335771505376398E-3</v>
      </c>
      <c r="AC75" s="161">
        <v>8.9156207437275994E-3</v>
      </c>
      <c r="AD75" s="161">
        <v>1.5365068100358399E-2</v>
      </c>
      <c r="AE75" s="161">
        <v>2.0223704525089599E-2</v>
      </c>
      <c r="AF75" s="161">
        <v>2.6985483870967698E-2</v>
      </c>
      <c r="AG75" s="161">
        <v>3.2615621953404998E-2</v>
      </c>
      <c r="AH75" s="161">
        <v>3.67633074820789E-2</v>
      </c>
      <c r="AI75" s="161">
        <v>4.3685167383512503E-2</v>
      </c>
      <c r="AJ75" s="161">
        <v>6.4871187589605694E-2</v>
      </c>
      <c r="AK75" s="161">
        <v>9.5568238854515902E-2</v>
      </c>
      <c r="AL75" s="168">
        <v>0.119913872960145</v>
      </c>
      <c r="AM75" s="168">
        <v>0.16354716757520099</v>
      </c>
      <c r="AN75" s="168">
        <v>0.204796277898216</v>
      </c>
      <c r="AO75" s="168">
        <v>0.23116590058234099</v>
      </c>
      <c r="AP75" s="168">
        <v>0.26664297240719098</v>
      </c>
      <c r="AQ75" s="168">
        <v>0.54491917586876604</v>
      </c>
      <c r="AR75" s="168">
        <v>0.71630515780899495</v>
      </c>
      <c r="AS75" s="168">
        <v>0.79241708431316704</v>
      </c>
      <c r="AT75" s="168">
        <v>0.86676432652534496</v>
      </c>
      <c r="AU75" s="168">
        <v>0.89949485400706297</v>
      </c>
      <c r="AV75" s="168">
        <v>0.90627897003822699</v>
      </c>
      <c r="AW75" s="168">
        <v>0.91645177271303002</v>
      </c>
      <c r="AX75" s="168">
        <v>0.93524784557480201</v>
      </c>
      <c r="AY75" s="168">
        <v>1.05785833333333</v>
      </c>
      <c r="AZ75" s="168">
        <v>1.4088000000000001</v>
      </c>
      <c r="BA75" s="168">
        <v>1.431025</v>
      </c>
      <c r="BB75" s="168">
        <v>1.5118499999999999</v>
      </c>
      <c r="BC75" s="168">
        <v>1.7958166666666699</v>
      </c>
      <c r="BD75" s="168">
        <v>1.9540500000000001</v>
      </c>
    </row>
    <row r="76" spans="1:56">
      <c r="A76" s="163" t="s">
        <v>265</v>
      </c>
      <c r="B76" s="163" t="s">
        <v>266</v>
      </c>
      <c r="C76" s="161">
        <v>30.000300003</v>
      </c>
      <c r="D76" s="161">
        <v>30.000050024666699</v>
      </c>
      <c r="E76" s="161">
        <v>30.000000028999999</v>
      </c>
      <c r="F76" s="161">
        <v>30.000000028999999</v>
      </c>
      <c r="G76" s="161">
        <v>30.000000028999999</v>
      </c>
      <c r="H76" s="161">
        <v>30.000000028999999</v>
      </c>
      <c r="I76" s="161">
        <v>30.000000028999999</v>
      </c>
      <c r="J76" s="161">
        <v>30.000000028999999</v>
      </c>
      <c r="K76" s="161">
        <v>30.000000028999999</v>
      </c>
      <c r="L76" s="161">
        <v>30.000000028999999</v>
      </c>
      <c r="M76" s="161">
        <v>30.000000028999999</v>
      </c>
      <c r="N76" s="161">
        <v>30.0000000289151</v>
      </c>
      <c r="O76" s="161">
        <v>30.000300003</v>
      </c>
      <c r="P76" s="161">
        <v>29.625150007551699</v>
      </c>
      <c r="Q76" s="161">
        <v>30.000300003</v>
      </c>
      <c r="R76" s="161">
        <v>32.051324999999999</v>
      </c>
      <c r="S76" s="161">
        <v>36.517583332333302</v>
      </c>
      <c r="T76" s="161">
        <v>36.838416665666699</v>
      </c>
      <c r="U76" s="161">
        <v>36.745416665666703</v>
      </c>
      <c r="V76" s="161">
        <v>37.038416665666702</v>
      </c>
      <c r="W76" s="161">
        <v>42.616583332333299</v>
      </c>
      <c r="X76" s="161">
        <v>55.408416665666699</v>
      </c>
      <c r="Y76" s="161">
        <v>66.803166665749998</v>
      </c>
      <c r="Z76" s="161">
        <v>88.064249999500007</v>
      </c>
      <c r="AA76" s="161">
        <v>112.716583333</v>
      </c>
      <c r="AB76" s="161">
        <v>138.11908333299999</v>
      </c>
      <c r="AC76" s="161">
        <v>139.98116666658299</v>
      </c>
      <c r="AD76" s="161">
        <v>135.42949999999999</v>
      </c>
      <c r="AE76" s="161">
        <v>141.8605</v>
      </c>
      <c r="AF76" s="161">
        <v>162.41658333333299</v>
      </c>
      <c r="AG76" s="161">
        <v>158.513916666667</v>
      </c>
      <c r="AH76" s="161">
        <v>182.266416666667</v>
      </c>
      <c r="AI76" s="161">
        <v>190.62424999999999</v>
      </c>
      <c r="AJ76" s="161">
        <v>229.24984333333299</v>
      </c>
      <c r="AK76" s="161">
        <v>242.60281749999999</v>
      </c>
      <c r="AL76" s="168">
        <v>231.66273583333299</v>
      </c>
      <c r="AM76" s="168">
        <v>240.71154250000001</v>
      </c>
      <c r="AN76" s="168">
        <v>273.05785333333301</v>
      </c>
      <c r="AO76" s="168">
        <v>295.52910500000002</v>
      </c>
      <c r="AP76" s="168">
        <v>305.64660416666698</v>
      </c>
      <c r="AQ76" s="168">
        <v>365.39856083333302</v>
      </c>
      <c r="AR76" s="168" t="s">
        <v>125</v>
      </c>
      <c r="AS76" s="168" t="s">
        <v>125</v>
      </c>
      <c r="AT76" s="168" t="s">
        <v>125</v>
      </c>
      <c r="AU76" s="168" t="s">
        <v>125</v>
      </c>
      <c r="AV76" s="168" t="s">
        <v>125</v>
      </c>
      <c r="AW76" s="168" t="s">
        <v>125</v>
      </c>
      <c r="AX76" s="168" t="s">
        <v>125</v>
      </c>
      <c r="AY76" s="168" t="s">
        <v>125</v>
      </c>
      <c r="AZ76" s="168" t="s">
        <v>125</v>
      </c>
      <c r="BA76" s="168" t="s">
        <v>125</v>
      </c>
      <c r="BB76" s="168" t="s">
        <v>125</v>
      </c>
      <c r="BC76" s="168" t="s">
        <v>125</v>
      </c>
      <c r="BD76" s="168" t="s">
        <v>125</v>
      </c>
    </row>
    <row r="77" spans="1:56">
      <c r="A77" s="163" t="s">
        <v>267</v>
      </c>
      <c r="B77" s="163" t="s">
        <v>268</v>
      </c>
      <c r="C77" s="161">
        <v>6.9071400059071397</v>
      </c>
      <c r="D77" s="161">
        <v>6.9071400059071397</v>
      </c>
      <c r="E77" s="161">
        <v>6.9071400059071397</v>
      </c>
      <c r="F77" s="161">
        <v>6.9071400059071397</v>
      </c>
      <c r="G77" s="161">
        <v>6.9071400059071397</v>
      </c>
      <c r="H77" s="161">
        <v>6.9071400059071397</v>
      </c>
      <c r="I77" s="161">
        <v>6.9071400059071397</v>
      </c>
      <c r="J77" s="161">
        <v>7.0059500060059499</v>
      </c>
      <c r="K77" s="161">
        <v>7.5000000064999996</v>
      </c>
      <c r="L77" s="161">
        <v>7.5000000064999996</v>
      </c>
      <c r="M77" s="161">
        <v>7.5000000064999996</v>
      </c>
      <c r="N77" s="161">
        <v>7.4175956555804303</v>
      </c>
      <c r="O77" s="161">
        <v>6.9492916656666699</v>
      </c>
      <c r="P77" s="161">
        <v>6.049499999</v>
      </c>
      <c r="Q77" s="161">
        <v>6.0948999989999999</v>
      </c>
      <c r="R77" s="161">
        <v>5.746149999</v>
      </c>
      <c r="S77" s="161">
        <v>6.0450249989999998</v>
      </c>
      <c r="T77" s="161">
        <v>6.0031916656666704</v>
      </c>
      <c r="U77" s="161">
        <v>5.5146249989999996</v>
      </c>
      <c r="V77" s="161">
        <v>5.2609583323333302</v>
      </c>
      <c r="W77" s="161">
        <v>5.6359416656666701</v>
      </c>
      <c r="X77" s="161">
        <v>7.1233666656666701</v>
      </c>
      <c r="Y77" s="161">
        <v>8.3324416661666696</v>
      </c>
      <c r="Z77" s="161">
        <v>9.1449916657500001</v>
      </c>
      <c r="AA77" s="161">
        <v>10.356591666250001</v>
      </c>
      <c r="AB77" s="161">
        <v>10.5963916664167</v>
      </c>
      <c r="AC77" s="161">
        <v>8.0909916665833403</v>
      </c>
      <c r="AD77" s="161">
        <v>6.8403166666666699</v>
      </c>
      <c r="AE77" s="161">
        <v>6.7315250000000004</v>
      </c>
      <c r="AF77" s="161">
        <v>7.3101750000000001</v>
      </c>
      <c r="AG77" s="161">
        <v>6.1885583333333303</v>
      </c>
      <c r="AH77" s="161">
        <v>6.3964583333333298</v>
      </c>
      <c r="AI77" s="161">
        <v>6.0361333333333302</v>
      </c>
      <c r="AJ77" s="161">
        <v>6.4839391666666701</v>
      </c>
      <c r="AK77" s="161">
        <v>6.3605516666666704</v>
      </c>
      <c r="AL77" s="168">
        <v>5.6023666666666703</v>
      </c>
      <c r="AM77" s="168">
        <v>5.79867166666667</v>
      </c>
      <c r="AN77" s="168">
        <v>6.6044591666666701</v>
      </c>
      <c r="AO77" s="168">
        <v>6.7008266666666696</v>
      </c>
      <c r="AP77" s="168">
        <v>6.9762399999999998</v>
      </c>
      <c r="AQ77" s="168">
        <v>8.0831441666666706</v>
      </c>
      <c r="AR77" s="168">
        <v>8.3228174999999993</v>
      </c>
      <c r="AS77" s="168">
        <v>7.8947141666666703</v>
      </c>
      <c r="AT77" s="168">
        <v>6.5876733333333304</v>
      </c>
      <c r="AU77" s="168">
        <v>5.9910566666666698</v>
      </c>
      <c r="AV77" s="168">
        <v>5.9969099999999997</v>
      </c>
      <c r="AW77" s="168">
        <v>5.9467783333333299</v>
      </c>
      <c r="AX77" s="168">
        <v>5.4437008333333301</v>
      </c>
      <c r="AY77" s="168">
        <v>5.0981308333333297</v>
      </c>
      <c r="AZ77" s="168">
        <v>5.36086666666667</v>
      </c>
      <c r="BA77" s="168">
        <v>5.6240750000000004</v>
      </c>
      <c r="BB77" s="168">
        <v>5.3687115350877201</v>
      </c>
      <c r="BC77" s="168">
        <v>5.7924755370391603</v>
      </c>
      <c r="BD77" s="168">
        <v>5.6163116861762203</v>
      </c>
    </row>
    <row r="78" spans="1:56">
      <c r="A78" s="163" t="s">
        <v>269</v>
      </c>
      <c r="B78" s="163" t="s">
        <v>270</v>
      </c>
      <c r="C78" s="161">
        <v>1.7142900007142901</v>
      </c>
      <c r="D78" s="161">
        <v>1.7142900007142901</v>
      </c>
      <c r="E78" s="161">
        <v>1.7142900007142901</v>
      </c>
      <c r="F78" s="161">
        <v>1.7142900007142901</v>
      </c>
      <c r="G78" s="161">
        <v>1.7142900007142901</v>
      </c>
      <c r="H78" s="161">
        <v>1.7142900007142901</v>
      </c>
      <c r="I78" s="161">
        <v>1.7142900007142901</v>
      </c>
      <c r="J78" s="161">
        <v>1.7619083340952399</v>
      </c>
      <c r="K78" s="161">
        <v>2.0000000010000001</v>
      </c>
      <c r="L78" s="161">
        <v>2.0000000010000001</v>
      </c>
      <c r="M78" s="161">
        <v>2.0000000010000001</v>
      </c>
      <c r="N78" s="161">
        <v>1.97487273321145</v>
      </c>
      <c r="O78" s="161">
        <v>1.9212781494760101</v>
      </c>
      <c r="P78" s="161">
        <v>1.9592192359816101</v>
      </c>
      <c r="Q78" s="161">
        <v>2.0532324085176299</v>
      </c>
      <c r="R78" s="161">
        <v>2.16979583233333</v>
      </c>
      <c r="S78" s="161">
        <v>2.6146708328333301</v>
      </c>
      <c r="T78" s="161">
        <v>2.7</v>
      </c>
      <c r="U78" s="161">
        <v>2.7</v>
      </c>
      <c r="V78" s="161">
        <v>2.7</v>
      </c>
      <c r="W78" s="161">
        <v>2.7</v>
      </c>
      <c r="X78" s="161">
        <v>2.7</v>
      </c>
      <c r="Y78" s="161">
        <v>2.7</v>
      </c>
      <c r="Z78" s="161">
        <v>2.7</v>
      </c>
      <c r="AA78" s="161">
        <v>2.7</v>
      </c>
      <c r="AB78" s="161">
        <v>2.7</v>
      </c>
      <c r="AC78" s="161">
        <v>2.7</v>
      </c>
      <c r="AD78" s="161">
        <v>2.7</v>
      </c>
      <c r="AE78" s="161">
        <v>2.7</v>
      </c>
      <c r="AF78" s="161">
        <v>2.7</v>
      </c>
      <c r="AG78" s="161">
        <v>2.7</v>
      </c>
      <c r="AH78" s="161">
        <v>2.7</v>
      </c>
      <c r="AI78" s="161">
        <v>2.7</v>
      </c>
      <c r="AJ78" s="161">
        <v>2.7</v>
      </c>
      <c r="AK78" s="161">
        <v>2.7</v>
      </c>
      <c r="AL78" s="168">
        <v>2.7</v>
      </c>
      <c r="AM78" s="168">
        <v>2.7</v>
      </c>
      <c r="AN78" s="168">
        <v>2.7</v>
      </c>
      <c r="AO78" s="168">
        <v>2.7</v>
      </c>
      <c r="AP78" s="168">
        <v>2.7</v>
      </c>
      <c r="AQ78" s="168">
        <v>2.7</v>
      </c>
      <c r="AR78" s="168">
        <v>2.7</v>
      </c>
      <c r="AS78" s="168">
        <v>2.7</v>
      </c>
      <c r="AT78" s="168">
        <v>2.7</v>
      </c>
      <c r="AU78" s="168">
        <v>2.7</v>
      </c>
      <c r="AV78" s="168">
        <v>2.7</v>
      </c>
      <c r="AW78" s="168">
        <v>2.7</v>
      </c>
      <c r="AX78" s="168">
        <v>2.7</v>
      </c>
      <c r="AY78" s="168">
        <v>2.7</v>
      </c>
      <c r="AZ78" s="168">
        <v>2.7</v>
      </c>
      <c r="BA78" s="168">
        <v>2.7</v>
      </c>
      <c r="BB78" s="168">
        <v>2.7</v>
      </c>
      <c r="BC78" s="168">
        <v>2.7</v>
      </c>
      <c r="BD78" s="168">
        <v>2.7</v>
      </c>
    </row>
    <row r="79" spans="1:56">
      <c r="A79" s="163" t="s">
        <v>271</v>
      </c>
      <c r="B79" s="163" t="s">
        <v>272</v>
      </c>
      <c r="C79" s="161" t="s">
        <v>125</v>
      </c>
      <c r="D79" s="161" t="s">
        <v>125</v>
      </c>
      <c r="E79" s="161" t="s">
        <v>125</v>
      </c>
      <c r="F79" s="161" t="s">
        <v>125</v>
      </c>
      <c r="G79" s="161" t="s">
        <v>125</v>
      </c>
      <c r="H79" s="161" t="s">
        <v>125</v>
      </c>
      <c r="I79" s="161" t="s">
        <v>125</v>
      </c>
      <c r="J79" s="161" t="s">
        <v>125</v>
      </c>
      <c r="K79" s="161" t="s">
        <v>125</v>
      </c>
      <c r="L79" s="161" t="s">
        <v>125</v>
      </c>
      <c r="M79" s="161" t="s">
        <v>125</v>
      </c>
      <c r="N79" s="161" t="s">
        <v>125</v>
      </c>
      <c r="O79" s="161" t="s">
        <v>125</v>
      </c>
      <c r="P79" s="161" t="s">
        <v>125</v>
      </c>
      <c r="Q79" s="161" t="s">
        <v>125</v>
      </c>
      <c r="R79" s="161" t="s">
        <v>125</v>
      </c>
      <c r="S79" s="161" t="s">
        <v>125</v>
      </c>
      <c r="T79" s="161" t="s">
        <v>125</v>
      </c>
      <c r="U79" s="161" t="s">
        <v>125</v>
      </c>
      <c r="V79" s="161" t="s">
        <v>125</v>
      </c>
      <c r="W79" s="161" t="s">
        <v>125</v>
      </c>
      <c r="X79" s="161" t="s">
        <v>125</v>
      </c>
      <c r="Y79" s="161" t="s">
        <v>125</v>
      </c>
      <c r="Z79" s="161" t="s">
        <v>125</v>
      </c>
      <c r="AA79" s="161" t="s">
        <v>125</v>
      </c>
      <c r="AB79" s="161" t="s">
        <v>125</v>
      </c>
      <c r="AC79" s="161" t="s">
        <v>125</v>
      </c>
      <c r="AD79" s="161" t="s">
        <v>125</v>
      </c>
      <c r="AE79" s="161" t="s">
        <v>125</v>
      </c>
      <c r="AF79" s="161" t="s">
        <v>125</v>
      </c>
      <c r="AG79" s="161" t="s">
        <v>125</v>
      </c>
      <c r="AH79" s="161" t="s">
        <v>125</v>
      </c>
      <c r="AI79" s="161" t="s">
        <v>125</v>
      </c>
      <c r="AJ79" s="161" t="s">
        <v>125</v>
      </c>
      <c r="AK79" s="161" t="s">
        <v>125</v>
      </c>
      <c r="AL79" s="168" t="s">
        <v>125</v>
      </c>
      <c r="AM79" s="168" t="s">
        <v>125</v>
      </c>
      <c r="AN79" s="168" t="s">
        <v>125</v>
      </c>
      <c r="AO79" s="168" t="s">
        <v>125</v>
      </c>
      <c r="AP79" s="168" t="s">
        <v>125</v>
      </c>
      <c r="AQ79" s="168" t="s">
        <v>125</v>
      </c>
      <c r="AR79" s="168" t="s">
        <v>125</v>
      </c>
      <c r="AS79" s="168" t="s">
        <v>125</v>
      </c>
      <c r="AT79" s="168" t="s">
        <v>125</v>
      </c>
      <c r="AU79" s="168" t="s">
        <v>125</v>
      </c>
      <c r="AV79" s="168" t="s">
        <v>125</v>
      </c>
      <c r="AW79" s="168" t="s">
        <v>125</v>
      </c>
      <c r="AX79" s="168" t="s">
        <v>125</v>
      </c>
      <c r="AY79" s="168" t="s">
        <v>125</v>
      </c>
      <c r="AZ79" s="168" t="s">
        <v>125</v>
      </c>
      <c r="BA79" s="168" t="s">
        <v>125</v>
      </c>
      <c r="BB79" s="168" t="s">
        <v>125</v>
      </c>
      <c r="BC79" s="168" t="s">
        <v>125</v>
      </c>
      <c r="BD79" s="168" t="s">
        <v>125</v>
      </c>
    </row>
    <row r="80" spans="1:56">
      <c r="A80" s="163" t="s">
        <v>273</v>
      </c>
      <c r="B80" s="163" t="s">
        <v>274</v>
      </c>
      <c r="C80" s="161">
        <v>1</v>
      </c>
      <c r="D80" s="161">
        <v>1</v>
      </c>
      <c r="E80" s="161">
        <v>1</v>
      </c>
      <c r="F80" s="161">
        <v>1</v>
      </c>
      <c r="G80" s="161">
        <v>1</v>
      </c>
      <c r="H80" s="161">
        <v>1</v>
      </c>
      <c r="I80" s="161">
        <v>1</v>
      </c>
      <c r="J80" s="161">
        <v>1</v>
      </c>
      <c r="K80" s="161">
        <v>1</v>
      </c>
      <c r="L80" s="161">
        <v>1</v>
      </c>
      <c r="M80" s="161">
        <v>1</v>
      </c>
      <c r="N80" s="161">
        <v>0.99999999900000003</v>
      </c>
      <c r="O80" s="161">
        <v>1</v>
      </c>
      <c r="P80" s="161">
        <v>1</v>
      </c>
      <c r="Q80" s="161">
        <v>0.99999999949999996</v>
      </c>
      <c r="R80" s="161">
        <v>0.99999999900000003</v>
      </c>
      <c r="S80" s="161">
        <v>0.99999999900000003</v>
      </c>
      <c r="T80" s="161">
        <v>0.99999999900000003</v>
      </c>
      <c r="U80" s="161">
        <v>0.99999999900000003</v>
      </c>
      <c r="V80" s="161">
        <v>0.99999999900000003</v>
      </c>
      <c r="W80" s="161">
        <v>0.99999999900000003</v>
      </c>
      <c r="X80" s="161">
        <v>0.99999999900000003</v>
      </c>
      <c r="Y80" s="161">
        <v>0.99999999900000003</v>
      </c>
      <c r="Z80" s="161">
        <v>0.99999999900000003</v>
      </c>
      <c r="AA80" s="161">
        <v>0.99999999958333297</v>
      </c>
      <c r="AB80" s="161">
        <v>1</v>
      </c>
      <c r="AC80" s="161">
        <v>1.875</v>
      </c>
      <c r="AD80" s="161">
        <v>2.5</v>
      </c>
      <c r="AE80" s="161">
        <v>2.6195833333333298</v>
      </c>
      <c r="AF80" s="161">
        <v>2.8161166666666699</v>
      </c>
      <c r="AG80" s="161">
        <v>4.4857583333333304</v>
      </c>
      <c r="AH80" s="161">
        <v>5.02888</v>
      </c>
      <c r="AI80" s="161">
        <v>5.1706300000000001</v>
      </c>
      <c r="AJ80" s="161">
        <v>5.6353625000000003</v>
      </c>
      <c r="AK80" s="161">
        <v>5.7512008333333302</v>
      </c>
      <c r="AL80" s="168">
        <v>5.8103425</v>
      </c>
      <c r="AM80" s="168">
        <v>6.0495124999999996</v>
      </c>
      <c r="AN80" s="168">
        <v>6.0652691666666696</v>
      </c>
      <c r="AO80" s="168">
        <v>6.3946533333333297</v>
      </c>
      <c r="AP80" s="168">
        <v>7.3856099999999998</v>
      </c>
      <c r="AQ80" s="168">
        <v>7.7631591666666697</v>
      </c>
      <c r="AR80" s="168">
        <v>7.8585925000000003</v>
      </c>
      <c r="AS80" s="168">
        <v>7.8216450000000002</v>
      </c>
      <c r="AT80" s="168">
        <v>7.9408466666666699</v>
      </c>
      <c r="AU80" s="168">
        <v>7.94649583333333</v>
      </c>
      <c r="AV80" s="168">
        <v>7.6339441666666703</v>
      </c>
      <c r="AW80" s="168">
        <v>7.6026308333333299</v>
      </c>
      <c r="AX80" s="168">
        <v>7.6733041666666697</v>
      </c>
      <c r="AY80" s="168">
        <v>7.5600283333333298</v>
      </c>
      <c r="AZ80" s="168">
        <v>8.1615554166666708</v>
      </c>
      <c r="BA80" s="168">
        <v>8.0577708333333309</v>
      </c>
      <c r="BB80" s="168">
        <v>7.7854183333333298</v>
      </c>
      <c r="BC80" s="168">
        <v>7.8336054166666704</v>
      </c>
      <c r="BD80" s="168">
        <v>7.8568137499999997</v>
      </c>
    </row>
    <row r="81" spans="1:56">
      <c r="A81" s="163" t="s">
        <v>275</v>
      </c>
      <c r="B81" s="163" t="s">
        <v>276</v>
      </c>
      <c r="C81" s="161">
        <v>24.685000023684999</v>
      </c>
      <c r="D81" s="161">
        <v>24.685000023684999</v>
      </c>
      <c r="E81" s="161">
        <v>24.685000023684999</v>
      </c>
      <c r="F81" s="161">
        <v>24.685000023684999</v>
      </c>
      <c r="G81" s="161">
        <v>24.685000023684999</v>
      </c>
      <c r="H81" s="161">
        <v>24.685000023684999</v>
      </c>
      <c r="I81" s="161">
        <v>24.685000023684999</v>
      </c>
      <c r="J81" s="161">
        <v>24.685000023684999</v>
      </c>
      <c r="K81" s="161">
        <v>24.685000023684999</v>
      </c>
      <c r="L81" s="161">
        <v>24.685000023684999</v>
      </c>
      <c r="M81" s="161">
        <v>24.685000023684999</v>
      </c>
      <c r="N81" s="161">
        <v>24.612752017628001</v>
      </c>
      <c r="O81" s="161">
        <v>22.7362739789965</v>
      </c>
      <c r="P81" s="161">
        <v>20.716091769979101</v>
      </c>
      <c r="Q81" s="161">
        <v>20.556276171700802</v>
      </c>
      <c r="R81" s="161">
        <v>20.6732649333333</v>
      </c>
      <c r="S81" s="161">
        <v>21.3819569425</v>
      </c>
      <c r="T81" s="161">
        <v>21.144482672500001</v>
      </c>
      <c r="U81" s="161">
        <v>19.723540754999998</v>
      </c>
      <c r="V81" s="161">
        <v>19.1070133208333</v>
      </c>
      <c r="W81" s="161">
        <v>18.9688930416667</v>
      </c>
      <c r="X81" s="161">
        <v>20.948117119166699</v>
      </c>
      <c r="Y81" s="161">
        <v>22.366028524166701</v>
      </c>
      <c r="Z81" s="161">
        <v>23.095183975000001</v>
      </c>
      <c r="AA81" s="161">
        <v>24.089943695833298</v>
      </c>
      <c r="AB81" s="161">
        <v>24.333098786666699</v>
      </c>
      <c r="AC81" s="161">
        <v>333.45249999999999</v>
      </c>
      <c r="AD81" s="161">
        <v>428.40249999999997</v>
      </c>
      <c r="AE81" s="161">
        <v>474.39583333333297</v>
      </c>
      <c r="AF81" s="161">
        <v>591.64583333333303</v>
      </c>
      <c r="AG81" s="161">
        <v>660.16666666666697</v>
      </c>
      <c r="AH81" s="161">
        <v>753.85808333333296</v>
      </c>
      <c r="AI81" s="161">
        <v>902.00133333333304</v>
      </c>
      <c r="AJ81" s="161">
        <v>955.49033333333296</v>
      </c>
      <c r="AK81" s="161">
        <v>976.63641666666695</v>
      </c>
      <c r="AL81" s="168">
        <v>991.41150000000005</v>
      </c>
      <c r="AM81" s="168">
        <v>1004.01658333333</v>
      </c>
      <c r="AN81" s="168">
        <v>1095.3254999999999</v>
      </c>
      <c r="AO81" s="168">
        <v>1236.8317500000001</v>
      </c>
      <c r="AP81" s="168">
        <v>1387.4013333333301</v>
      </c>
      <c r="AQ81" s="168">
        <v>1746.86991666667</v>
      </c>
      <c r="AR81" s="168">
        <v>1950.55833333333</v>
      </c>
      <c r="AS81" s="168">
        <v>1975.84375</v>
      </c>
      <c r="AT81" s="168">
        <v>1984.9312500000001</v>
      </c>
      <c r="AU81" s="168">
        <v>2243.9312500000001</v>
      </c>
      <c r="AV81" s="168">
        <v>3644.3333333333298</v>
      </c>
      <c r="AW81" s="168">
        <v>5148.75</v>
      </c>
      <c r="AX81" s="168">
        <v>4197.7520041666703</v>
      </c>
      <c r="AY81" s="168">
        <v>4601.6910041666697</v>
      </c>
      <c r="AZ81" s="168">
        <v>4801.0832375</v>
      </c>
      <c r="BA81" s="168">
        <v>5726.0710208333303</v>
      </c>
      <c r="BB81" s="168">
        <v>6658.0312583333298</v>
      </c>
      <c r="BC81" s="168" t="s">
        <v>125</v>
      </c>
      <c r="BD81" s="168" t="s">
        <v>125</v>
      </c>
    </row>
    <row r="82" spans="1:56">
      <c r="A82" s="163" t="s">
        <v>277</v>
      </c>
      <c r="B82" s="163" t="s">
        <v>278</v>
      </c>
      <c r="C82" s="161">
        <v>0.44230769274999998</v>
      </c>
      <c r="D82" s="161">
        <v>0.44230769274999998</v>
      </c>
      <c r="E82" s="161">
        <v>0.44230769274999998</v>
      </c>
      <c r="F82" s="161">
        <v>0.44230769274999998</v>
      </c>
      <c r="G82" s="161">
        <v>0.44230769274999998</v>
      </c>
      <c r="H82" s="161">
        <v>0.44230769274999998</v>
      </c>
      <c r="I82" s="161">
        <v>0.44230769274999998</v>
      </c>
      <c r="J82" s="161">
        <v>0.44230769274999998</v>
      </c>
      <c r="K82" s="161">
        <v>0.44230769274999998</v>
      </c>
      <c r="L82" s="161">
        <v>0.44230769274999998</v>
      </c>
      <c r="M82" s="161">
        <v>0.44230769274999998</v>
      </c>
      <c r="N82" s="161">
        <v>0.43631031211778598</v>
      </c>
      <c r="O82" s="161">
        <v>0.41620641025384802</v>
      </c>
      <c r="P82" s="161">
        <v>0.37715641025256502</v>
      </c>
      <c r="Q82" s="161">
        <v>0.39089487179230897</v>
      </c>
      <c r="R82" s="161">
        <v>0.39297307691794903</v>
      </c>
      <c r="S82" s="161">
        <v>0.46506282050897402</v>
      </c>
      <c r="T82" s="161">
        <v>0.51759904644615595</v>
      </c>
      <c r="U82" s="161">
        <v>0.53905898101025695</v>
      </c>
      <c r="V82" s="161">
        <v>0.52395467091410297</v>
      </c>
      <c r="W82" s="161">
        <v>0.52016712113846297</v>
      </c>
      <c r="X82" s="161">
        <v>0.57444162668717902</v>
      </c>
      <c r="Y82" s="161">
        <v>0.61332410254871905</v>
      </c>
      <c r="Z82" s="161">
        <v>0.64767012819102598</v>
      </c>
      <c r="AA82" s="161">
        <v>1.6086282051281999</v>
      </c>
      <c r="AB82" s="161">
        <v>2.4502564102564102</v>
      </c>
      <c r="AC82" s="161">
        <v>3.13274358974359</v>
      </c>
      <c r="AD82" s="161">
        <v>8.6001282051282004</v>
      </c>
      <c r="AE82" s="161">
        <v>17.072410256410201</v>
      </c>
      <c r="AF82" s="161">
        <v>27.8483846153846</v>
      </c>
      <c r="AG82" s="161">
        <v>33.622410256410198</v>
      </c>
      <c r="AH82" s="161">
        <v>56.286256410256399</v>
      </c>
      <c r="AI82" s="161">
        <v>106.675576923077</v>
      </c>
      <c r="AJ82" s="161">
        <v>155.106205128205</v>
      </c>
      <c r="AK82" s="161">
        <v>198.34064102564099</v>
      </c>
      <c r="AL82" s="168">
        <v>278.03910256410302</v>
      </c>
      <c r="AM82" s="168">
        <v>405.745</v>
      </c>
      <c r="AN82" s="168">
        <v>583.66937235339606</v>
      </c>
      <c r="AO82" s="168">
        <v>589.951774567332</v>
      </c>
      <c r="AP82" s="168">
        <v>615.69913197380595</v>
      </c>
      <c r="AQ82" s="168">
        <v>711.97627443083297</v>
      </c>
      <c r="AR82" s="168">
        <v>733.03850707000004</v>
      </c>
      <c r="AS82" s="168">
        <v>696.98820361166702</v>
      </c>
      <c r="AT82" s="168">
        <v>581.20031386416701</v>
      </c>
      <c r="AU82" s="168">
        <v>528.28480930499995</v>
      </c>
      <c r="AV82" s="168">
        <v>527.46814284000004</v>
      </c>
      <c r="AW82" s="168">
        <v>522.89010961083295</v>
      </c>
      <c r="AX82" s="168">
        <v>479.26678258750002</v>
      </c>
      <c r="AY82" s="168">
        <v>447.80525556077299</v>
      </c>
      <c r="AZ82" s="168">
        <v>472.18629075489298</v>
      </c>
      <c r="BA82" s="168">
        <v>495.277021572396</v>
      </c>
      <c r="BB82" s="168">
        <v>471.86611409170001</v>
      </c>
      <c r="BC82" s="168">
        <v>510.52713590196998</v>
      </c>
      <c r="BD82" s="168">
        <v>494.04003744699003</v>
      </c>
    </row>
    <row r="83" spans="1:56">
      <c r="A83" s="163" t="s">
        <v>279</v>
      </c>
      <c r="B83" s="163" t="s">
        <v>280</v>
      </c>
      <c r="C83" s="161">
        <v>1.7142900007142901</v>
      </c>
      <c r="D83" s="161">
        <v>1.7142900007142901</v>
      </c>
      <c r="E83" s="161">
        <v>1.7142900007142901</v>
      </c>
      <c r="F83" s="161">
        <v>1.7142900007142901</v>
      </c>
      <c r="G83" s="161">
        <v>1.7142900007142901</v>
      </c>
      <c r="H83" s="161">
        <v>1.7142900007142901</v>
      </c>
      <c r="I83" s="161">
        <v>1.7142900007142901</v>
      </c>
      <c r="J83" s="161">
        <v>1.7380991672619099</v>
      </c>
      <c r="K83" s="161">
        <v>2.0000000010000001</v>
      </c>
      <c r="L83" s="161">
        <v>2.0000000010000001</v>
      </c>
      <c r="M83" s="161">
        <v>2.0000000010000001</v>
      </c>
      <c r="N83" s="161">
        <v>1.98866024493247</v>
      </c>
      <c r="O83" s="161">
        <v>2.0872729631517299</v>
      </c>
      <c r="P83" s="161">
        <v>2.1061762107568001</v>
      </c>
      <c r="Q83" s="161">
        <v>2.2268552932326</v>
      </c>
      <c r="R83" s="161">
        <v>2.3553841543784801</v>
      </c>
      <c r="S83" s="161">
        <v>2.5499999990000002</v>
      </c>
      <c r="T83" s="161">
        <v>2.5499999990000002</v>
      </c>
      <c r="U83" s="161">
        <v>2.5499999990000002</v>
      </c>
      <c r="V83" s="161">
        <v>2.5499999990000002</v>
      </c>
      <c r="W83" s="161">
        <v>2.5499999990000002</v>
      </c>
      <c r="X83" s="161">
        <v>2.8124999989999999</v>
      </c>
      <c r="Y83" s="161">
        <v>2.9999999989999999</v>
      </c>
      <c r="Z83" s="161">
        <v>2.9999999989999999</v>
      </c>
      <c r="AA83" s="161">
        <v>3.8315716662499999</v>
      </c>
      <c r="AB83" s="161">
        <v>4.2518549999166702</v>
      </c>
      <c r="AC83" s="161">
        <v>4.2724166666666701</v>
      </c>
      <c r="AD83" s="161">
        <v>9.7558333333333298</v>
      </c>
      <c r="AE83" s="161">
        <v>10</v>
      </c>
      <c r="AF83" s="161">
        <v>27.158750000000001</v>
      </c>
      <c r="AG83" s="161">
        <v>39.533333333333303</v>
      </c>
      <c r="AH83" s="161">
        <v>111.810666666667</v>
      </c>
      <c r="AI83" s="161">
        <v>125.0025</v>
      </c>
      <c r="AJ83" s="161">
        <v>126.73044166666701</v>
      </c>
      <c r="AK83" s="161">
        <v>138.290240833333</v>
      </c>
      <c r="AL83" s="168">
        <v>141.98916666666699</v>
      </c>
      <c r="AM83" s="168">
        <v>140.375</v>
      </c>
      <c r="AN83" s="168">
        <v>142.400833333333</v>
      </c>
      <c r="AO83" s="168">
        <v>150.51916666666699</v>
      </c>
      <c r="AP83" s="168">
        <v>177.995</v>
      </c>
      <c r="AQ83" s="168">
        <v>182.43</v>
      </c>
      <c r="AR83" s="168">
        <v>187.32083333333301</v>
      </c>
      <c r="AS83" s="168">
        <v>190.66499999999999</v>
      </c>
      <c r="AT83" s="168">
        <v>193.87833333333299</v>
      </c>
      <c r="AU83" s="168">
        <v>198.3075</v>
      </c>
      <c r="AV83" s="168">
        <v>199.875</v>
      </c>
      <c r="AW83" s="168">
        <v>200.18833333333299</v>
      </c>
      <c r="AX83" s="168">
        <v>202.34666666666701</v>
      </c>
      <c r="AY83" s="168">
        <v>203.63333333333301</v>
      </c>
      <c r="AZ83" s="168">
        <v>203.95</v>
      </c>
      <c r="BA83" s="168">
        <v>203.63583333333301</v>
      </c>
      <c r="BB83" s="168">
        <v>204.01750000000001</v>
      </c>
      <c r="BC83" s="168">
        <v>204.35833333333301</v>
      </c>
      <c r="BD83" s="168">
        <v>205.39416666666699</v>
      </c>
    </row>
    <row r="84" spans="1:56">
      <c r="A84" s="163" t="s">
        <v>281</v>
      </c>
      <c r="B84" s="163" t="s">
        <v>282</v>
      </c>
      <c r="C84" s="161">
        <v>5.0000000040000003</v>
      </c>
      <c r="D84" s="161">
        <v>5.0000000040000003</v>
      </c>
      <c r="E84" s="161">
        <v>5.0000000040000003</v>
      </c>
      <c r="F84" s="161">
        <v>5.0000000040000003</v>
      </c>
      <c r="G84" s="161">
        <v>5.0000000040000003</v>
      </c>
      <c r="H84" s="161">
        <v>5.0000000040000003</v>
      </c>
      <c r="I84" s="161">
        <v>5.0000000040000003</v>
      </c>
      <c r="J84" s="161">
        <v>5.0000000040000003</v>
      </c>
      <c r="K84" s="161">
        <v>5.0000000040000003</v>
      </c>
      <c r="L84" s="161">
        <v>5.0000000040000003</v>
      </c>
      <c r="M84" s="161">
        <v>5.0000000040000003</v>
      </c>
      <c r="N84" s="161">
        <v>4.9999999989999999</v>
      </c>
      <c r="O84" s="161">
        <v>5.00001842480959</v>
      </c>
      <c r="P84" s="161">
        <v>5.00000000335534</v>
      </c>
      <c r="Q84" s="161">
        <v>5.0000041458920101</v>
      </c>
      <c r="R84" s="161">
        <v>4.9999999989999999</v>
      </c>
      <c r="S84" s="161">
        <v>4.9999999989999999</v>
      </c>
      <c r="T84" s="161">
        <v>4.9999999989999999</v>
      </c>
      <c r="U84" s="161">
        <v>4.9999999989999999</v>
      </c>
      <c r="V84" s="161">
        <v>4.9999999989999999</v>
      </c>
      <c r="W84" s="161">
        <v>4.9999999989999999</v>
      </c>
      <c r="X84" s="161">
        <v>4.9999999989999999</v>
      </c>
      <c r="Y84" s="161">
        <v>4.9999999989999999</v>
      </c>
      <c r="Z84" s="161">
        <v>4.9999999989999999</v>
      </c>
      <c r="AA84" s="161">
        <v>4.9999999995833297</v>
      </c>
      <c r="AB84" s="161">
        <v>5</v>
      </c>
      <c r="AC84" s="161">
        <v>5</v>
      </c>
      <c r="AD84" s="161">
        <v>5</v>
      </c>
      <c r="AE84" s="161">
        <v>5</v>
      </c>
      <c r="AF84" s="161">
        <v>5</v>
      </c>
      <c r="AG84" s="161">
        <v>5</v>
      </c>
      <c r="AH84" s="161">
        <v>6.0341666666666702</v>
      </c>
      <c r="AI84" s="161">
        <v>9.8016666666666694</v>
      </c>
      <c r="AJ84" s="161">
        <v>12.8225</v>
      </c>
      <c r="AK84" s="161">
        <v>15.04</v>
      </c>
      <c r="AL84" s="168">
        <v>15.109733333333301</v>
      </c>
      <c r="AM84" s="168">
        <v>15.70115</v>
      </c>
      <c r="AN84" s="168">
        <v>16.654499999999999</v>
      </c>
      <c r="AO84" s="168">
        <v>16.7656666666667</v>
      </c>
      <c r="AP84" s="168">
        <v>16.937891666666701</v>
      </c>
      <c r="AQ84" s="168">
        <v>21.170666666666701</v>
      </c>
      <c r="AR84" s="168">
        <v>24.429083333333299</v>
      </c>
      <c r="AS84" s="168">
        <v>29.2504833333333</v>
      </c>
      <c r="AT84" s="168">
        <v>42.366758333333301</v>
      </c>
      <c r="AU84" s="168">
        <v>38.352033333333303</v>
      </c>
      <c r="AV84" s="168">
        <v>40.448549999999997</v>
      </c>
      <c r="AW84" s="168">
        <v>40.408516666666699</v>
      </c>
      <c r="AX84" s="168">
        <v>36.861416666666699</v>
      </c>
      <c r="AY84" s="168">
        <v>39.1075916666667</v>
      </c>
      <c r="AZ84" s="168">
        <v>41.197608333333299</v>
      </c>
      <c r="BA84" s="168">
        <v>39.797400000000003</v>
      </c>
      <c r="BB84" s="168">
        <v>40.522821939374403</v>
      </c>
      <c r="BC84" s="168">
        <v>41.949722952315597</v>
      </c>
      <c r="BD84" s="168">
        <v>43.462783333333299</v>
      </c>
    </row>
    <row r="85" spans="1:56">
      <c r="A85" s="163" t="s">
        <v>283</v>
      </c>
      <c r="B85" s="163" t="s">
        <v>284</v>
      </c>
      <c r="C85" s="161">
        <v>2.0000000010000001</v>
      </c>
      <c r="D85" s="161">
        <v>2.0000000010000001</v>
      </c>
      <c r="E85" s="161">
        <v>2.0000000010000001</v>
      </c>
      <c r="F85" s="161">
        <v>2.0000000010000001</v>
      </c>
      <c r="G85" s="161">
        <v>2.0000000010000001</v>
      </c>
      <c r="H85" s="161">
        <v>2.0000000010000001</v>
      </c>
      <c r="I85" s="161">
        <v>2.0000000010000001</v>
      </c>
      <c r="J85" s="161">
        <v>2.0000000010000001</v>
      </c>
      <c r="K85" s="161">
        <v>2.0000000010000001</v>
      </c>
      <c r="L85" s="161">
        <v>2.0000000010000001</v>
      </c>
      <c r="M85" s="161">
        <v>2.0000000010000001</v>
      </c>
      <c r="N85" s="161">
        <v>2</v>
      </c>
      <c r="O85" s="161">
        <v>2.0000092114837398</v>
      </c>
      <c r="P85" s="161">
        <v>2.0000000008388299</v>
      </c>
      <c r="Q85" s="161">
        <v>2.0000000004144698</v>
      </c>
      <c r="R85" s="161">
        <v>2</v>
      </c>
      <c r="S85" s="161">
        <v>2</v>
      </c>
      <c r="T85" s="161">
        <v>2</v>
      </c>
      <c r="U85" s="161">
        <v>2</v>
      </c>
      <c r="V85" s="161">
        <v>2</v>
      </c>
      <c r="W85" s="161">
        <v>2</v>
      </c>
      <c r="X85" s="161">
        <v>2</v>
      </c>
      <c r="Y85" s="161">
        <v>2</v>
      </c>
      <c r="Z85" s="161">
        <v>2</v>
      </c>
      <c r="AA85" s="161">
        <v>2</v>
      </c>
      <c r="AB85" s="161">
        <v>2</v>
      </c>
      <c r="AC85" s="161">
        <v>2</v>
      </c>
      <c r="AD85" s="161">
        <v>2</v>
      </c>
      <c r="AE85" s="161">
        <v>2</v>
      </c>
      <c r="AF85" s="161">
        <v>2</v>
      </c>
      <c r="AG85" s="161">
        <v>4.1119833333333302</v>
      </c>
      <c r="AH85" s="161">
        <v>5.31666666666667</v>
      </c>
      <c r="AI85" s="161">
        <v>5.4979166666666703</v>
      </c>
      <c r="AJ85" s="161">
        <v>6.4715833333333297</v>
      </c>
      <c r="AK85" s="161">
        <v>8.4087575000000001</v>
      </c>
      <c r="AL85" s="168">
        <v>9.4709866666666702</v>
      </c>
      <c r="AM85" s="168">
        <v>11.7053025</v>
      </c>
      <c r="AN85" s="168">
        <v>13.003474166666701</v>
      </c>
      <c r="AO85" s="168">
        <v>13.385014999999999</v>
      </c>
      <c r="AP85" s="168">
        <v>14.2131683333333</v>
      </c>
      <c r="AQ85" s="168">
        <v>14.8392033333333</v>
      </c>
      <c r="AR85" s="168">
        <v>15.4736666666667</v>
      </c>
      <c r="AS85" s="168">
        <v>16.4333833333333</v>
      </c>
      <c r="AT85" s="168">
        <v>17.3452916666667</v>
      </c>
      <c r="AU85" s="168">
        <v>18.206220714285699</v>
      </c>
      <c r="AV85" s="168">
        <v>18.8323416666667</v>
      </c>
      <c r="AW85" s="168">
        <v>18.895208333333301</v>
      </c>
      <c r="AX85" s="168">
        <v>18.895099999999999</v>
      </c>
      <c r="AY85" s="168">
        <v>18.9037583333333</v>
      </c>
      <c r="AZ85" s="168">
        <v>18.895099999999999</v>
      </c>
      <c r="BA85" s="168">
        <v>18.895099999999999</v>
      </c>
      <c r="BB85" s="168">
        <v>18.917141666666701</v>
      </c>
      <c r="BC85" s="168">
        <v>19.502249512161502</v>
      </c>
      <c r="BD85" s="168" t="s">
        <v>125</v>
      </c>
    </row>
    <row r="86" spans="1:56">
      <c r="A86" s="163" t="s">
        <v>285</v>
      </c>
      <c r="B86" s="163" t="s">
        <v>286</v>
      </c>
      <c r="C86" s="161">
        <v>5.7143000047142998</v>
      </c>
      <c r="D86" s="161">
        <v>5.7143000047142998</v>
      </c>
      <c r="E86" s="161">
        <v>5.7143000047142998</v>
      </c>
      <c r="F86" s="161">
        <v>5.7143000047142998</v>
      </c>
      <c r="G86" s="161">
        <v>5.7143000047142998</v>
      </c>
      <c r="H86" s="161">
        <v>5.7143000047142998</v>
      </c>
      <c r="I86" s="161">
        <v>5.7143000047142998</v>
      </c>
      <c r="J86" s="161">
        <v>5.7431583376002999</v>
      </c>
      <c r="K86" s="161">
        <v>6.0606000050605999</v>
      </c>
      <c r="L86" s="161">
        <v>6.0606000050605999</v>
      </c>
      <c r="M86" s="161">
        <v>6.0606000050605999</v>
      </c>
      <c r="N86" s="161">
        <v>5.9804104701834797</v>
      </c>
      <c r="O86" s="161">
        <v>5.6414166665833303</v>
      </c>
      <c r="P86" s="161">
        <v>5.1464999999999996</v>
      </c>
      <c r="Q86" s="161">
        <v>5.0315833333333302</v>
      </c>
      <c r="R86" s="161">
        <v>4.9351666665833296</v>
      </c>
      <c r="S86" s="161">
        <v>4.9047499998333297</v>
      </c>
      <c r="T86" s="161">
        <v>4.6619999999166701</v>
      </c>
      <c r="U86" s="161">
        <v>4.6836666665833304</v>
      </c>
      <c r="V86" s="161">
        <v>5.0026666664166699</v>
      </c>
      <c r="W86" s="161">
        <v>4.9760833333333299</v>
      </c>
      <c r="X86" s="161">
        <v>5.5893333333333297</v>
      </c>
      <c r="Y86" s="161">
        <v>6.0699166666666704</v>
      </c>
      <c r="Z86" s="161">
        <v>7.2651666665833297</v>
      </c>
      <c r="AA86" s="161">
        <v>7.8179999999999996</v>
      </c>
      <c r="AB86" s="161">
        <v>7.7907500000000001</v>
      </c>
      <c r="AC86" s="161">
        <v>7.8033333333333301</v>
      </c>
      <c r="AD86" s="161">
        <v>7.7982500000000003</v>
      </c>
      <c r="AE86" s="161">
        <v>7.806</v>
      </c>
      <c r="AF86" s="161">
        <v>7.7999166666666699</v>
      </c>
      <c r="AG86" s="161">
        <v>7.7897499999999997</v>
      </c>
      <c r="AH86" s="161">
        <v>7.7711666666666703</v>
      </c>
      <c r="AI86" s="161">
        <v>7.7405833333333298</v>
      </c>
      <c r="AJ86" s="161">
        <v>7.7355833333333299</v>
      </c>
      <c r="AK86" s="161">
        <v>7.7284166666666696</v>
      </c>
      <c r="AL86" s="168">
        <v>7.7358333333333302</v>
      </c>
      <c r="AM86" s="168">
        <v>7.7342541666666698</v>
      </c>
      <c r="AN86" s="168">
        <v>7.7420833333333299</v>
      </c>
      <c r="AO86" s="168">
        <v>7.7453333333333303</v>
      </c>
      <c r="AP86" s="168">
        <v>7.7575000000000003</v>
      </c>
      <c r="AQ86" s="168">
        <v>7.7911666666666699</v>
      </c>
      <c r="AR86" s="168">
        <v>7.7987500000000001</v>
      </c>
      <c r="AS86" s="168">
        <v>7.7989166666666696</v>
      </c>
      <c r="AT86" s="168">
        <v>7.7867499999999996</v>
      </c>
      <c r="AU86" s="168">
        <v>7.7880000000000003</v>
      </c>
      <c r="AV86" s="168">
        <v>7.7773333333333303</v>
      </c>
      <c r="AW86" s="168">
        <v>7.7678333333333303</v>
      </c>
      <c r="AX86" s="168">
        <v>7.80141666666667</v>
      </c>
      <c r="AY86" s="168">
        <v>7.7868333333333304</v>
      </c>
      <c r="AZ86" s="168">
        <v>7.7517500000000004</v>
      </c>
      <c r="BA86" s="168">
        <v>7.7691666666666697</v>
      </c>
      <c r="BB86" s="168">
        <v>7.7839999999999998</v>
      </c>
      <c r="BC86" s="168">
        <v>7.7564166666666701</v>
      </c>
      <c r="BD86" s="168">
        <v>7.7560000000000002</v>
      </c>
    </row>
    <row r="87" spans="1:56">
      <c r="A87" s="163" t="s">
        <v>287</v>
      </c>
      <c r="B87" s="163" t="s">
        <v>288</v>
      </c>
      <c r="C87" s="161" t="s">
        <v>125</v>
      </c>
      <c r="D87" s="161" t="s">
        <v>125</v>
      </c>
      <c r="E87" s="161" t="s">
        <v>125</v>
      </c>
      <c r="F87" s="161" t="s">
        <v>125</v>
      </c>
      <c r="G87" s="161" t="s">
        <v>125</v>
      </c>
      <c r="H87" s="161" t="s">
        <v>125</v>
      </c>
      <c r="I87" s="161" t="s">
        <v>125</v>
      </c>
      <c r="J87" s="161" t="s">
        <v>125</v>
      </c>
      <c r="K87" s="161">
        <v>59.999999999000003</v>
      </c>
      <c r="L87" s="161">
        <v>59.999999999000003</v>
      </c>
      <c r="M87" s="161">
        <v>59.999999999000003</v>
      </c>
      <c r="N87" s="161">
        <v>59.821616665666703</v>
      </c>
      <c r="O87" s="161">
        <v>55.259999999000001</v>
      </c>
      <c r="P87" s="161">
        <v>48.966224998999998</v>
      </c>
      <c r="Q87" s="161">
        <v>46.752399998999998</v>
      </c>
      <c r="R87" s="161">
        <v>43.971383332333303</v>
      </c>
      <c r="S87" s="161">
        <v>41.575266665666703</v>
      </c>
      <c r="T87" s="161">
        <v>40.960749999000001</v>
      </c>
      <c r="U87" s="161">
        <v>37.911349999000002</v>
      </c>
      <c r="V87" s="161">
        <v>35.577999998999999</v>
      </c>
      <c r="W87" s="161">
        <v>32.5322833323333</v>
      </c>
      <c r="X87" s="161">
        <v>34.314291665666701</v>
      </c>
      <c r="Y87" s="161">
        <v>36.630549999000003</v>
      </c>
      <c r="Z87" s="161">
        <v>42.671149999000001</v>
      </c>
      <c r="AA87" s="161">
        <v>48.042208332916701</v>
      </c>
      <c r="AB87" s="161">
        <v>50.119399999999999</v>
      </c>
      <c r="AC87" s="161">
        <v>45.832149999999999</v>
      </c>
      <c r="AD87" s="161">
        <v>46.970541666666698</v>
      </c>
      <c r="AE87" s="161">
        <v>50.413208333333301</v>
      </c>
      <c r="AF87" s="161">
        <v>59.066341666666702</v>
      </c>
      <c r="AG87" s="161">
        <v>63.205866666666701</v>
      </c>
      <c r="AH87" s="161">
        <v>74.735383333333303</v>
      </c>
      <c r="AI87" s="161">
        <v>78.988391666666701</v>
      </c>
      <c r="AJ87" s="161">
        <v>91.933183333333304</v>
      </c>
      <c r="AK87" s="161">
        <v>105.160458333333</v>
      </c>
      <c r="AL87" s="168">
        <v>125.681425</v>
      </c>
      <c r="AM87" s="168">
        <v>152.64666666666699</v>
      </c>
      <c r="AN87" s="168">
        <v>186.789166666667</v>
      </c>
      <c r="AO87" s="168">
        <v>214.40166666666701</v>
      </c>
      <c r="AP87" s="168">
        <v>237.145833333333</v>
      </c>
      <c r="AQ87" s="168">
        <v>282.17916666666702</v>
      </c>
      <c r="AR87" s="168">
        <v>286.49</v>
      </c>
      <c r="AS87" s="168">
        <v>257.886666666667</v>
      </c>
      <c r="AT87" s="168">
        <v>224.30666666666701</v>
      </c>
      <c r="AU87" s="168">
        <v>202.745833333333</v>
      </c>
      <c r="AV87" s="168">
        <v>199.58250000000001</v>
      </c>
      <c r="AW87" s="168">
        <v>210.39</v>
      </c>
      <c r="AX87" s="168">
        <v>183.62583333333299</v>
      </c>
      <c r="AY87" s="168">
        <v>172.113333333333</v>
      </c>
      <c r="AZ87" s="168">
        <v>202.34166666666701</v>
      </c>
      <c r="BA87" s="168">
        <v>207.944166666667</v>
      </c>
      <c r="BB87" s="168">
        <v>201.05500000000001</v>
      </c>
      <c r="BC87" s="168">
        <v>225.104166666667</v>
      </c>
      <c r="BD87" s="168">
        <v>223.69499999999999</v>
      </c>
    </row>
    <row r="88" spans="1:56">
      <c r="A88" s="163" t="s">
        <v>289</v>
      </c>
      <c r="B88" s="163" t="s">
        <v>290</v>
      </c>
      <c r="C88" s="161">
        <v>0.36190474997773803</v>
      </c>
      <c r="D88" s="161">
        <v>0.40083333330882998</v>
      </c>
      <c r="E88" s="161">
        <v>0.42999999997444099</v>
      </c>
      <c r="F88" s="161">
        <v>0.42999999997444099</v>
      </c>
      <c r="G88" s="161">
        <v>0.42999999997444099</v>
      </c>
      <c r="H88" s="161">
        <v>0.42999999997444099</v>
      </c>
      <c r="I88" s="161">
        <v>0.42999999997444099</v>
      </c>
      <c r="J88" s="161">
        <v>0.441666666559482</v>
      </c>
      <c r="K88" s="161">
        <v>0.62166666663583903</v>
      </c>
      <c r="L88" s="161">
        <v>0.87999999996815803</v>
      </c>
      <c r="M88" s="161">
        <v>0.87999999996815803</v>
      </c>
      <c r="N88" s="161">
        <v>0.87999999900000003</v>
      </c>
      <c r="O88" s="161">
        <v>0.88260354595338797</v>
      </c>
      <c r="P88" s="161">
        <v>0.904449360161238</v>
      </c>
      <c r="Q88" s="161">
        <v>0.99951666650049997</v>
      </c>
      <c r="R88" s="161">
        <v>1.53694999974941</v>
      </c>
      <c r="S88" s="161">
        <v>1.82171666637135</v>
      </c>
      <c r="T88" s="161">
        <v>1.98869999967762</v>
      </c>
      <c r="U88" s="161">
        <v>2.7111083328974801</v>
      </c>
      <c r="V88" s="161">
        <v>3.5259999994328202</v>
      </c>
      <c r="W88" s="161">
        <v>4.7976416658989001</v>
      </c>
      <c r="X88" s="161">
        <v>7.2241833323333298</v>
      </c>
      <c r="Y88" s="161">
        <v>12.35153333275</v>
      </c>
      <c r="Z88" s="161">
        <v>24.842766665749998</v>
      </c>
      <c r="AA88" s="161">
        <v>31.693741666249998</v>
      </c>
      <c r="AB88" s="161">
        <v>41.507666666666701</v>
      </c>
      <c r="AC88" s="161">
        <v>41.104158333333302</v>
      </c>
      <c r="AD88" s="161">
        <v>38.677183333333303</v>
      </c>
      <c r="AE88" s="161">
        <v>43.0139833333333</v>
      </c>
      <c r="AF88" s="161">
        <v>57.041791666666697</v>
      </c>
      <c r="AG88" s="161">
        <v>58.283774999999999</v>
      </c>
      <c r="AH88" s="161">
        <v>58.996341666666702</v>
      </c>
      <c r="AI88" s="161">
        <v>57.545933333333302</v>
      </c>
      <c r="AJ88" s="161">
        <v>67.6031816666667</v>
      </c>
      <c r="AK88" s="161">
        <v>69.944378333333304</v>
      </c>
      <c r="AL88" s="168">
        <v>64.691666666666706</v>
      </c>
      <c r="AM88" s="168">
        <v>66.5</v>
      </c>
      <c r="AN88" s="168">
        <v>70.904290833333306</v>
      </c>
      <c r="AO88" s="168">
        <v>70.9583333333333</v>
      </c>
      <c r="AP88" s="168">
        <v>72.335293333333297</v>
      </c>
      <c r="AQ88" s="168">
        <v>78.615946666666702</v>
      </c>
      <c r="AR88" s="168">
        <v>97.424603333333295</v>
      </c>
      <c r="AS88" s="168">
        <v>91.661666666666704</v>
      </c>
      <c r="AT88" s="168">
        <v>76.708982500000005</v>
      </c>
      <c r="AU88" s="168">
        <v>70.191666666666706</v>
      </c>
      <c r="AV88" s="168">
        <v>62.981666666666698</v>
      </c>
      <c r="AW88" s="168">
        <v>70.180000000000007</v>
      </c>
      <c r="AX88" s="168">
        <v>64.055000000000007</v>
      </c>
      <c r="AY88" s="168">
        <v>87.9479166666667</v>
      </c>
      <c r="AZ88" s="168">
        <v>123.638381413044</v>
      </c>
      <c r="BA88" s="168">
        <v>122.24181120516501</v>
      </c>
      <c r="BB88" s="168">
        <v>115.954039762284</v>
      </c>
      <c r="BC88" s="168">
        <v>125.08278701376901</v>
      </c>
      <c r="BD88" s="168">
        <v>122.17912132045799</v>
      </c>
    </row>
    <row r="89" spans="1:56">
      <c r="A89" s="163" t="s">
        <v>67</v>
      </c>
      <c r="B89" s="163" t="s">
        <v>291</v>
      </c>
      <c r="C89" s="161">
        <v>4.7619000037618999</v>
      </c>
      <c r="D89" s="161">
        <v>4.7619000037618999</v>
      </c>
      <c r="E89" s="161">
        <v>4.7619000037618999</v>
      </c>
      <c r="F89" s="161">
        <v>4.7619000037618999</v>
      </c>
      <c r="G89" s="161">
        <v>4.7619000037618999</v>
      </c>
      <c r="H89" s="161">
        <v>4.7619000037618999</v>
      </c>
      <c r="I89" s="161">
        <v>6.35912500535912</v>
      </c>
      <c r="J89" s="161">
        <v>7.5000000064999996</v>
      </c>
      <c r="K89" s="161">
        <v>7.5000000064999996</v>
      </c>
      <c r="L89" s="161">
        <v>7.5000000064999996</v>
      </c>
      <c r="M89" s="161">
        <v>7.5000000064999996</v>
      </c>
      <c r="N89" s="161">
        <v>7.4919352309682399</v>
      </c>
      <c r="O89" s="161">
        <v>7.5944683739493604</v>
      </c>
      <c r="P89" s="161">
        <v>7.7420385621496797</v>
      </c>
      <c r="Q89" s="161">
        <v>8.1016032272182894</v>
      </c>
      <c r="R89" s="161">
        <v>8.3758919456538603</v>
      </c>
      <c r="S89" s="161">
        <v>8.9604127281239201</v>
      </c>
      <c r="T89" s="161">
        <v>8.7385761713145698</v>
      </c>
      <c r="U89" s="161">
        <v>8.1928403484039301</v>
      </c>
      <c r="V89" s="161">
        <v>8.12579094635689</v>
      </c>
      <c r="W89" s="161">
        <v>7.8629447011379803</v>
      </c>
      <c r="X89" s="161">
        <v>8.6585228170931696</v>
      </c>
      <c r="Y89" s="161">
        <v>9.4551319334863901</v>
      </c>
      <c r="Z89" s="161">
        <v>10.098898244046101</v>
      </c>
      <c r="AA89" s="161">
        <v>11.3625833326667</v>
      </c>
      <c r="AB89" s="161">
        <v>12.368749999583301</v>
      </c>
      <c r="AC89" s="161">
        <v>12.61083333325</v>
      </c>
      <c r="AD89" s="161">
        <v>12.961499999999999</v>
      </c>
      <c r="AE89" s="161">
        <v>13.9170833333333</v>
      </c>
      <c r="AF89" s="161">
        <v>16.2255</v>
      </c>
      <c r="AG89" s="161">
        <v>17.503499999999999</v>
      </c>
      <c r="AH89" s="161">
        <v>22.742433333333299</v>
      </c>
      <c r="AI89" s="161">
        <v>25.9180833333333</v>
      </c>
      <c r="AJ89" s="161">
        <v>30.4932916666667</v>
      </c>
      <c r="AK89" s="161">
        <v>31.373742499999999</v>
      </c>
      <c r="AL89" s="168">
        <v>32.4270766666667</v>
      </c>
      <c r="AM89" s="168">
        <v>35.433173333333301</v>
      </c>
      <c r="AN89" s="168">
        <v>36.313285833333303</v>
      </c>
      <c r="AO89" s="168">
        <v>41.259365000000003</v>
      </c>
      <c r="AP89" s="168">
        <v>43.055428333333303</v>
      </c>
      <c r="AQ89" s="168">
        <v>44.941605000000003</v>
      </c>
      <c r="AR89" s="168">
        <v>47.186414166666701</v>
      </c>
      <c r="AS89" s="168">
        <v>48.610319166666699</v>
      </c>
      <c r="AT89" s="168">
        <v>46.583284166666701</v>
      </c>
      <c r="AU89" s="168">
        <v>45.316466666666699</v>
      </c>
      <c r="AV89" s="168">
        <v>44.099975000000001</v>
      </c>
      <c r="AW89" s="168">
        <v>45.3070083333333</v>
      </c>
      <c r="AX89" s="168">
        <v>41.3485333333333</v>
      </c>
      <c r="AY89" s="168">
        <v>43.505183333333299</v>
      </c>
      <c r="AZ89" s="168">
        <v>48.405266666666698</v>
      </c>
      <c r="BA89" s="168">
        <v>45.725812121212101</v>
      </c>
      <c r="BB89" s="168">
        <v>46.670466666666698</v>
      </c>
      <c r="BC89" s="168">
        <v>53.437233333333303</v>
      </c>
      <c r="BD89" s="168">
        <v>58.597845416666701</v>
      </c>
    </row>
    <row r="90" spans="1:56">
      <c r="A90" s="163" t="s">
        <v>76</v>
      </c>
      <c r="B90" s="163" t="s">
        <v>292</v>
      </c>
      <c r="C90" s="161" t="s">
        <v>125</v>
      </c>
      <c r="D90" s="161" t="s">
        <v>125</v>
      </c>
      <c r="E90" s="161" t="s">
        <v>125</v>
      </c>
      <c r="F90" s="161" t="s">
        <v>125</v>
      </c>
      <c r="G90" s="161" t="s">
        <v>125</v>
      </c>
      <c r="H90" s="161" t="s">
        <v>125</v>
      </c>
      <c r="I90" s="161" t="s">
        <v>125</v>
      </c>
      <c r="J90" s="161">
        <v>149.583333333333</v>
      </c>
      <c r="K90" s="161">
        <v>296.29166666666703</v>
      </c>
      <c r="L90" s="161">
        <v>326</v>
      </c>
      <c r="M90" s="161">
        <v>362.83333333333297</v>
      </c>
      <c r="N90" s="161">
        <v>391.875</v>
      </c>
      <c r="O90" s="161">
        <v>415</v>
      </c>
      <c r="P90" s="161">
        <v>415</v>
      </c>
      <c r="Q90" s="161">
        <v>415</v>
      </c>
      <c r="R90" s="161">
        <v>414.99999999900001</v>
      </c>
      <c r="S90" s="161">
        <v>414.99999999900001</v>
      </c>
      <c r="T90" s="161">
        <v>414.99999999900001</v>
      </c>
      <c r="U90" s="161">
        <v>442.045416665917</v>
      </c>
      <c r="V90" s="161">
        <v>623.05549999908305</v>
      </c>
      <c r="W90" s="161">
        <v>626.99399999858304</v>
      </c>
      <c r="X90" s="161">
        <v>631.75666666416703</v>
      </c>
      <c r="Y90" s="161">
        <v>661.42074999925001</v>
      </c>
      <c r="Z90" s="161">
        <v>909.26483333199997</v>
      </c>
      <c r="AA90" s="161">
        <v>1025.9448333314999</v>
      </c>
      <c r="AB90" s="161">
        <v>1110.57999999967</v>
      </c>
      <c r="AC90" s="161">
        <v>1282.5599999997501</v>
      </c>
      <c r="AD90" s="161">
        <v>1643.8483333333299</v>
      </c>
      <c r="AE90" s="161">
        <v>1685.7041666666701</v>
      </c>
      <c r="AF90" s="161">
        <v>1770.0591666666701</v>
      </c>
      <c r="AG90" s="161">
        <v>1842.8133333333301</v>
      </c>
      <c r="AH90" s="161">
        <v>1950.3175000000001</v>
      </c>
      <c r="AI90" s="161">
        <v>2029.9208333333299</v>
      </c>
      <c r="AJ90" s="161">
        <v>2087.10386666667</v>
      </c>
      <c r="AK90" s="161">
        <v>2160.7536749999999</v>
      </c>
      <c r="AL90" s="168">
        <v>2248.6079749999999</v>
      </c>
      <c r="AM90" s="168">
        <v>2342.2962916666702</v>
      </c>
      <c r="AN90" s="168">
        <v>2909.38</v>
      </c>
      <c r="AO90" s="168">
        <v>10013.622499999999</v>
      </c>
      <c r="AP90" s="168">
        <v>7855.15</v>
      </c>
      <c r="AQ90" s="168">
        <v>8421.7749999999996</v>
      </c>
      <c r="AR90" s="168">
        <v>10260.85</v>
      </c>
      <c r="AS90" s="168">
        <v>9311.1916666666693</v>
      </c>
      <c r="AT90" s="168">
        <v>8577.1333333333296</v>
      </c>
      <c r="AU90" s="168">
        <v>8938.85</v>
      </c>
      <c r="AV90" s="168">
        <v>9704.7416666666704</v>
      </c>
      <c r="AW90" s="168">
        <v>9159.3166666666693</v>
      </c>
      <c r="AX90" s="168">
        <v>9141</v>
      </c>
      <c r="AY90" s="168">
        <v>9698.9624999999996</v>
      </c>
      <c r="AZ90" s="168">
        <v>10389.9375</v>
      </c>
      <c r="BA90" s="168">
        <v>9090.4333333333307</v>
      </c>
      <c r="BB90" s="168">
        <v>8770.4333333333307</v>
      </c>
      <c r="BC90" s="168">
        <v>9386.6291666666693</v>
      </c>
      <c r="BD90" s="168">
        <v>10461.24</v>
      </c>
    </row>
    <row r="91" spans="1:56">
      <c r="A91" s="163" t="s">
        <v>293</v>
      </c>
      <c r="B91" s="163" t="s">
        <v>294</v>
      </c>
      <c r="C91" s="161">
        <v>75.750000075749995</v>
      </c>
      <c r="D91" s="161">
        <v>75.750000075749995</v>
      </c>
      <c r="E91" s="161">
        <v>75.750000075749995</v>
      </c>
      <c r="F91" s="161">
        <v>75.750000075749995</v>
      </c>
      <c r="G91" s="161">
        <v>75.750000075749995</v>
      </c>
      <c r="H91" s="161">
        <v>75.750000075749995</v>
      </c>
      <c r="I91" s="161">
        <v>75.750000075749995</v>
      </c>
      <c r="J91" s="161">
        <v>75.750000075749995</v>
      </c>
      <c r="K91" s="161">
        <v>75.750000075749995</v>
      </c>
      <c r="L91" s="161">
        <v>75.750000075749995</v>
      </c>
      <c r="M91" s="161">
        <v>75.750000075749995</v>
      </c>
      <c r="N91" s="161">
        <v>75.75</v>
      </c>
      <c r="O91" s="161">
        <v>75.749970134520197</v>
      </c>
      <c r="P91" s="161">
        <v>68.885227521037507</v>
      </c>
      <c r="Q91" s="161">
        <v>67.638084537732595</v>
      </c>
      <c r="R91" s="161">
        <v>67.651687168401494</v>
      </c>
      <c r="S91" s="161">
        <v>70.235687041694206</v>
      </c>
      <c r="T91" s="161">
        <v>70.630330052011104</v>
      </c>
      <c r="U91" s="161">
        <v>70.488635973812507</v>
      </c>
      <c r="V91" s="161">
        <v>70.488635973812507</v>
      </c>
      <c r="W91" s="161">
        <v>70.628446353527707</v>
      </c>
      <c r="X91" s="161">
        <v>78.343072075702494</v>
      </c>
      <c r="Y91" s="161">
        <v>83.618642630864997</v>
      </c>
      <c r="Z91" s="161">
        <v>86.374575764103696</v>
      </c>
      <c r="AA91" s="161">
        <v>90.047102878607603</v>
      </c>
      <c r="AB91" s="161">
        <v>91.069200602910996</v>
      </c>
      <c r="AC91" s="161">
        <v>78.774988963707003</v>
      </c>
      <c r="AD91" s="161">
        <v>71.473993258121396</v>
      </c>
      <c r="AE91" s="161">
        <v>68.696455945570094</v>
      </c>
      <c r="AF91" s="161">
        <v>72.028767245408105</v>
      </c>
      <c r="AG91" s="161">
        <v>68.109092320508594</v>
      </c>
      <c r="AH91" s="161">
        <v>67.518478066615401</v>
      </c>
      <c r="AI91" s="161">
        <v>65.564683439814402</v>
      </c>
      <c r="AJ91" s="161">
        <v>1268.0176887564301</v>
      </c>
      <c r="AK91" s="161">
        <v>1749.08949341006</v>
      </c>
      <c r="AL91" s="168">
        <v>1748.26604244742</v>
      </c>
      <c r="AM91" s="168">
        <v>1751.10201606443</v>
      </c>
      <c r="AN91" s="168">
        <v>1753.26103372481</v>
      </c>
      <c r="AO91" s="168">
        <v>1752.2016018618301</v>
      </c>
      <c r="AP91" s="168">
        <v>1753.27050555712</v>
      </c>
      <c r="AQ91" s="168">
        <v>1764.7710711664199</v>
      </c>
      <c r="AR91" s="168">
        <v>1753.9012100664499</v>
      </c>
      <c r="AS91" s="168">
        <v>6907.0203792354096</v>
      </c>
      <c r="AT91" s="168">
        <v>8193.8875191666702</v>
      </c>
      <c r="AU91" s="168">
        <v>8613.9894207500001</v>
      </c>
      <c r="AV91" s="168">
        <v>8963.9589066666704</v>
      </c>
      <c r="AW91" s="168">
        <v>9170.9428774999997</v>
      </c>
      <c r="AX91" s="168">
        <v>9281.1518283333298</v>
      </c>
      <c r="AY91" s="168">
        <v>9428.5282608333291</v>
      </c>
      <c r="AZ91" s="168">
        <v>9864.3024562682003</v>
      </c>
      <c r="BA91" s="168">
        <v>10254.176470289</v>
      </c>
      <c r="BB91" s="168">
        <v>10616.306643907599</v>
      </c>
      <c r="BC91" s="168">
        <v>12175.5472222222</v>
      </c>
      <c r="BD91" s="168">
        <v>18414.448010037398</v>
      </c>
    </row>
    <row r="92" spans="1:56">
      <c r="A92" s="163" t="s">
        <v>295</v>
      </c>
      <c r="B92" s="163" t="s">
        <v>296</v>
      </c>
      <c r="C92" s="161">
        <v>0.357142999357143</v>
      </c>
      <c r="D92" s="161">
        <v>0.357142999357143</v>
      </c>
      <c r="E92" s="161">
        <v>0.357142999357143</v>
      </c>
      <c r="F92" s="161">
        <v>0.357142999357143</v>
      </c>
      <c r="G92" s="161">
        <v>0.357142999357143</v>
      </c>
      <c r="H92" s="161">
        <v>0.357142999357143</v>
      </c>
      <c r="I92" s="161">
        <v>0.357142999357143</v>
      </c>
      <c r="J92" s="161">
        <v>0.357142999357143</v>
      </c>
      <c r="K92" s="161">
        <v>0.357142999357143</v>
      </c>
      <c r="L92" s="161">
        <v>0.357142999357143</v>
      </c>
      <c r="M92" s="161">
        <v>0.357142999357143</v>
      </c>
      <c r="N92" s="161">
        <v>0.35372453227276002</v>
      </c>
      <c r="O92" s="161">
        <v>0.32894879786402298</v>
      </c>
      <c r="P92" s="161">
        <v>0.299720767372464</v>
      </c>
      <c r="Q92" s="161">
        <v>0.29568311107206002</v>
      </c>
      <c r="R92" s="161">
        <v>0.29531366749907301</v>
      </c>
      <c r="S92" s="161">
        <v>0.29531366749907301</v>
      </c>
      <c r="T92" s="161">
        <v>0.29531366749907301</v>
      </c>
      <c r="U92" s="161">
        <v>0.29531366749907301</v>
      </c>
      <c r="V92" s="161">
        <v>0.29531366749907301</v>
      </c>
      <c r="W92" s="161">
        <v>0.29531366749907301</v>
      </c>
      <c r="X92" s="161">
        <v>0.29531366749907301</v>
      </c>
      <c r="Y92" s="161">
        <v>0.29850454795786402</v>
      </c>
      <c r="Z92" s="161">
        <v>0.31085731348123802</v>
      </c>
      <c r="AA92" s="161">
        <v>0.310857313424869</v>
      </c>
      <c r="AB92" s="161">
        <v>0.31085731338460598</v>
      </c>
      <c r="AC92" s="161">
        <v>0.31085731338460598</v>
      </c>
      <c r="AD92" s="161">
        <v>0.31085731338460598</v>
      </c>
      <c r="AE92" s="161">
        <v>0.31085731338460598</v>
      </c>
      <c r="AF92" s="161">
        <v>0.31085731338460598</v>
      </c>
      <c r="AG92" s="161">
        <v>0.31085731338460598</v>
      </c>
      <c r="AH92" s="161">
        <v>0.31085731338460598</v>
      </c>
      <c r="AI92" s="161">
        <v>0.31085731338460598</v>
      </c>
      <c r="AJ92" s="161">
        <v>0.31085731338460598</v>
      </c>
      <c r="AK92" s="161">
        <v>0.31085731338460598</v>
      </c>
      <c r="AL92" s="168">
        <v>0.31085731338460598</v>
      </c>
      <c r="AM92" s="168">
        <v>0.31085731338460598</v>
      </c>
      <c r="AN92" s="168">
        <v>0.31085731338460598</v>
      </c>
      <c r="AO92" s="168">
        <v>0.31085731338460598</v>
      </c>
      <c r="AP92" s="168">
        <v>0.31085731338460598</v>
      </c>
      <c r="AQ92" s="168">
        <v>0.31085731338460598</v>
      </c>
      <c r="AR92" s="168">
        <v>0.31085731338460598</v>
      </c>
      <c r="AS92" s="168">
        <v>0.31085739391174699</v>
      </c>
      <c r="AT92" s="168">
        <v>2133.7777777000001</v>
      </c>
      <c r="AU92" s="168">
        <v>1453.4166666666699</v>
      </c>
      <c r="AV92" s="168">
        <v>1472</v>
      </c>
      <c r="AW92" s="168">
        <v>1467.4166666666699</v>
      </c>
      <c r="AX92" s="168">
        <v>1254.5672185870401</v>
      </c>
      <c r="AY92" s="168">
        <v>1193.0833333333301</v>
      </c>
      <c r="AZ92" s="168">
        <v>1170</v>
      </c>
      <c r="BA92" s="168">
        <v>1170</v>
      </c>
      <c r="BB92" s="168">
        <v>1170</v>
      </c>
      <c r="BC92" s="168">
        <v>1166.1666666666699</v>
      </c>
      <c r="BD92" s="168">
        <v>1166</v>
      </c>
    </row>
    <row r="93" spans="1:56">
      <c r="A93" s="163" t="s">
        <v>297</v>
      </c>
      <c r="B93" s="163" t="s">
        <v>298</v>
      </c>
      <c r="C93" s="161">
        <v>0.357142999357143</v>
      </c>
      <c r="D93" s="161">
        <v>0.357142999357143</v>
      </c>
      <c r="E93" s="161">
        <v>0.357142999357143</v>
      </c>
      <c r="F93" s="161">
        <v>0.357142999357143</v>
      </c>
      <c r="G93" s="161">
        <v>0.357142999357143</v>
      </c>
      <c r="H93" s="161">
        <v>0.357142999357143</v>
      </c>
      <c r="I93" s="161">
        <v>0.357142999357143</v>
      </c>
      <c r="J93" s="161">
        <v>0.36210333266567502</v>
      </c>
      <c r="K93" s="161">
        <v>0.41666699941666702</v>
      </c>
      <c r="L93" s="161">
        <v>0.41666699941666702</v>
      </c>
      <c r="M93" s="161">
        <v>0.41666699941666702</v>
      </c>
      <c r="N93" s="161">
        <v>0.41092022003512402</v>
      </c>
      <c r="O93" s="161">
        <v>0.40039046153000801</v>
      </c>
      <c r="P93" s="161">
        <v>0.40817094529930797</v>
      </c>
      <c r="Q93" s="161">
        <v>0.42775643974766298</v>
      </c>
      <c r="R93" s="161">
        <v>0.45204116566666702</v>
      </c>
      <c r="S93" s="161">
        <v>0.55650983233333295</v>
      </c>
      <c r="T93" s="161">
        <v>0.57327199900000003</v>
      </c>
      <c r="U93" s="161">
        <v>0.52150458233333297</v>
      </c>
      <c r="V93" s="161">
        <v>0.48859487408443097</v>
      </c>
      <c r="W93" s="161">
        <v>0.48664527682958703</v>
      </c>
      <c r="X93" s="161">
        <v>0.62129806687560296</v>
      </c>
      <c r="Y93" s="161">
        <v>0.70456163604996203</v>
      </c>
      <c r="Z93" s="161">
        <v>0.80467792271777405</v>
      </c>
      <c r="AA93" s="161">
        <v>0.92255349958333299</v>
      </c>
      <c r="AB93" s="161">
        <v>0.94561499991666698</v>
      </c>
      <c r="AC93" s="161">
        <v>0.74312833316666704</v>
      </c>
      <c r="AD93" s="161">
        <v>0.67291666666666705</v>
      </c>
      <c r="AE93" s="161">
        <v>0.65646749999999998</v>
      </c>
      <c r="AF93" s="161">
        <v>0.70554333333333297</v>
      </c>
      <c r="AG93" s="161">
        <v>0.60458833333333295</v>
      </c>
      <c r="AH93" s="161">
        <v>0.62129749999999995</v>
      </c>
      <c r="AI93" s="161">
        <v>0.58772083333333303</v>
      </c>
      <c r="AJ93" s="161">
        <v>0.67724930666666705</v>
      </c>
      <c r="AK93" s="161">
        <v>0.66862810166666697</v>
      </c>
      <c r="AL93" s="168">
        <v>0.62373307499999997</v>
      </c>
      <c r="AM93" s="168">
        <v>0.62502836833333297</v>
      </c>
      <c r="AN93" s="168">
        <v>0.65964312666666702</v>
      </c>
      <c r="AO93" s="168">
        <v>0.70227099833333295</v>
      </c>
      <c r="AP93" s="168" t="s">
        <v>125</v>
      </c>
      <c r="AQ93" s="168" t="s">
        <v>125</v>
      </c>
      <c r="AR93" s="168" t="s">
        <v>125</v>
      </c>
      <c r="AS93" s="168" t="s">
        <v>125</v>
      </c>
      <c r="AT93" s="168" t="s">
        <v>125</v>
      </c>
      <c r="AU93" s="168" t="s">
        <v>125</v>
      </c>
      <c r="AV93" s="168" t="s">
        <v>125</v>
      </c>
      <c r="AW93" s="168" t="s">
        <v>125</v>
      </c>
      <c r="AX93" s="168" t="s">
        <v>125</v>
      </c>
      <c r="AY93" s="168" t="s">
        <v>125</v>
      </c>
      <c r="AZ93" s="168" t="s">
        <v>125</v>
      </c>
      <c r="BA93" s="168" t="s">
        <v>125</v>
      </c>
      <c r="BB93" s="168" t="s">
        <v>125</v>
      </c>
      <c r="BC93" s="168" t="s">
        <v>125</v>
      </c>
      <c r="BD93" s="168" t="s">
        <v>125</v>
      </c>
    </row>
    <row r="94" spans="1:56">
      <c r="A94" s="163" t="s">
        <v>299</v>
      </c>
      <c r="B94" s="163" t="s">
        <v>567</v>
      </c>
      <c r="C94" s="161">
        <v>0.357142999357143</v>
      </c>
      <c r="D94" s="161">
        <v>0.357142999357143</v>
      </c>
      <c r="E94" s="161">
        <v>0.357142999357143</v>
      </c>
      <c r="F94" s="161">
        <v>0.357142999357143</v>
      </c>
      <c r="G94" s="161">
        <v>0.357142999357143</v>
      </c>
      <c r="H94" s="161">
        <v>0.357142999357143</v>
      </c>
      <c r="I94" s="161">
        <v>0.357142999357143</v>
      </c>
      <c r="J94" s="161">
        <v>0.36706399936706402</v>
      </c>
      <c r="K94" s="161">
        <v>0.41666699941666702</v>
      </c>
      <c r="L94" s="161">
        <v>0.41666699941666702</v>
      </c>
      <c r="M94" s="161">
        <v>0.41666699941666702</v>
      </c>
      <c r="N94" s="161">
        <v>0.40916028052403602</v>
      </c>
      <c r="O94" s="161">
        <v>0.39968025595510798</v>
      </c>
      <c r="P94" s="161">
        <v>0.40783034274381302</v>
      </c>
      <c r="Q94" s="161">
        <v>0.42946499900000001</v>
      </c>
      <c r="R94" s="161">
        <v>0.45204116566666702</v>
      </c>
      <c r="S94" s="161">
        <v>0.55650983233333295</v>
      </c>
      <c r="T94" s="161">
        <v>0.57327199900000003</v>
      </c>
      <c r="U94" s="161">
        <v>0.52150458233333297</v>
      </c>
      <c r="V94" s="161">
        <v>0.47218116566666701</v>
      </c>
      <c r="W94" s="161">
        <v>0.43029499900000001</v>
      </c>
      <c r="X94" s="161">
        <v>0.49764133233333302</v>
      </c>
      <c r="Y94" s="161">
        <v>0.57244683233333304</v>
      </c>
      <c r="Z94" s="161">
        <v>0.65972458233333298</v>
      </c>
      <c r="AA94" s="161">
        <v>0.75180666625000003</v>
      </c>
      <c r="AB94" s="161">
        <v>0.77924599974999997</v>
      </c>
      <c r="AC94" s="161">
        <v>0.68219733333333299</v>
      </c>
      <c r="AD94" s="161">
        <v>0.61192650000000004</v>
      </c>
      <c r="AE94" s="161">
        <v>0.56217016666666697</v>
      </c>
      <c r="AF94" s="161">
        <v>0.61117275000000004</v>
      </c>
      <c r="AG94" s="161">
        <v>0.56317716666666695</v>
      </c>
      <c r="AH94" s="161">
        <v>0.56701533333333298</v>
      </c>
      <c r="AI94" s="161">
        <v>0.56977416666666703</v>
      </c>
      <c r="AJ94" s="161">
        <v>0.66675655333333295</v>
      </c>
      <c r="AK94" s="161">
        <v>0.65342660416666698</v>
      </c>
      <c r="AL94" s="168">
        <v>0.63366811999999995</v>
      </c>
      <c r="AM94" s="168">
        <v>0.64095825500000003</v>
      </c>
      <c r="AN94" s="168">
        <v>0.61083611416666705</v>
      </c>
      <c r="AO94" s="168">
        <v>0.60382359416666698</v>
      </c>
      <c r="AP94" s="168">
        <v>0.61805684500000002</v>
      </c>
      <c r="AQ94" s="168">
        <v>0.66093083333333302</v>
      </c>
      <c r="AR94" s="168">
        <v>0.69465500000000002</v>
      </c>
      <c r="AS94" s="168">
        <v>0.66722333333333295</v>
      </c>
      <c r="AT94" s="168">
        <v>0.61247249999999998</v>
      </c>
      <c r="AU94" s="168">
        <v>0.54618</v>
      </c>
      <c r="AV94" s="168">
        <v>0.54999833333333303</v>
      </c>
      <c r="AW94" s="168">
        <v>0.54348666666666701</v>
      </c>
      <c r="AX94" s="168">
        <v>0.499771666666667</v>
      </c>
      <c r="AY94" s="168">
        <v>0.54396624999999998</v>
      </c>
      <c r="AZ94" s="168">
        <v>0.64191926349599604</v>
      </c>
      <c r="BA94" s="168">
        <v>0.64717934556016499</v>
      </c>
      <c r="BB94" s="168">
        <v>0.62414083574049495</v>
      </c>
      <c r="BC94" s="168">
        <v>0.63304698885732702</v>
      </c>
      <c r="BD94" s="168">
        <v>0.63966057761347705</v>
      </c>
    </row>
    <row r="95" spans="1:56">
      <c r="A95" s="163" t="s">
        <v>301</v>
      </c>
      <c r="B95" s="163" t="s">
        <v>302</v>
      </c>
      <c r="C95" s="161">
        <v>1.7999960538263101E-4</v>
      </c>
      <c r="D95" s="161">
        <v>1.7999960538263101E-4</v>
      </c>
      <c r="E95" s="161">
        <v>2.89999364288684E-4</v>
      </c>
      <c r="F95" s="161">
        <v>2.9999934237105199E-4</v>
      </c>
      <c r="G95" s="161">
        <v>2.9999934237105199E-4</v>
      </c>
      <c r="H95" s="161">
        <v>2.9999934237105199E-4</v>
      </c>
      <c r="I95" s="161">
        <v>2.9999934237105199E-4</v>
      </c>
      <c r="J95" s="161">
        <v>3.0833265743969202E-4</v>
      </c>
      <c r="K95" s="161">
        <v>3.4999923278289402E-4</v>
      </c>
      <c r="L95" s="161">
        <v>3.4999923278289402E-4</v>
      </c>
      <c r="M95" s="161">
        <v>3.4999923278289402E-4</v>
      </c>
      <c r="N95" s="161">
        <v>4.1999947816918898E-4</v>
      </c>
      <c r="O95" s="161">
        <v>4.1797967141147098E-4</v>
      </c>
      <c r="P95" s="161">
        <v>4.1946923065525998E-4</v>
      </c>
      <c r="Q95" s="161">
        <v>4.4515339823069901E-4</v>
      </c>
      <c r="R95" s="161">
        <v>6.3361493114652697E-4</v>
      </c>
      <c r="S95" s="161">
        <v>7.9255714918527302E-4</v>
      </c>
      <c r="T95" s="161">
        <v>1.0445457989628E-3</v>
      </c>
      <c r="U95" s="161">
        <v>1.7435371736355201E-3</v>
      </c>
      <c r="V95" s="161">
        <v>2.5406369082757599E-3</v>
      </c>
      <c r="W95" s="161">
        <v>5.1242916656839398E-3</v>
      </c>
      <c r="X95" s="161">
        <v>1.14305749992885E-2</v>
      </c>
      <c r="Y95" s="161">
        <v>2.4266999999081801E-2</v>
      </c>
      <c r="Z95" s="161">
        <v>5.6214491666022902E-2</v>
      </c>
      <c r="AA95" s="161">
        <v>0.29320966666707199</v>
      </c>
      <c r="AB95" s="161">
        <v>1.1788493333343899</v>
      </c>
      <c r="AC95" s="161">
        <v>1.4878416665833301</v>
      </c>
      <c r="AD95" s="161">
        <v>1.5946416666666701</v>
      </c>
      <c r="AE95" s="161">
        <v>1.59893333333333</v>
      </c>
      <c r="AF95" s="161">
        <v>1.91641666666667</v>
      </c>
      <c r="AG95" s="161">
        <v>2.0161750000000001</v>
      </c>
      <c r="AH95" s="161">
        <v>2.2791083333333302</v>
      </c>
      <c r="AI95" s="161">
        <v>2.45908333333333</v>
      </c>
      <c r="AJ95" s="161">
        <v>2.83008333333333</v>
      </c>
      <c r="AK95" s="161">
        <v>3.01105520833333</v>
      </c>
      <c r="AL95" s="168">
        <v>3.0112916666666698</v>
      </c>
      <c r="AM95" s="168">
        <v>3.1916500000000001</v>
      </c>
      <c r="AN95" s="168">
        <v>3.4493499999999999</v>
      </c>
      <c r="AO95" s="168">
        <v>3.8000750000000001</v>
      </c>
      <c r="AP95" s="168">
        <v>4.1397166666666703</v>
      </c>
      <c r="AQ95" s="168">
        <v>4.0773333333333301</v>
      </c>
      <c r="AR95" s="168">
        <v>4.2056500000000003</v>
      </c>
      <c r="AS95" s="168">
        <v>4.737825</v>
      </c>
      <c r="AT95" s="168">
        <v>4.55413333333333</v>
      </c>
      <c r="AU95" s="168">
        <v>4.4819833333333303</v>
      </c>
      <c r="AV95" s="168">
        <v>4.4877000000000002</v>
      </c>
      <c r="AW95" s="168">
        <v>4.45580833333333</v>
      </c>
      <c r="AX95" s="168">
        <v>4.1080829490557802</v>
      </c>
      <c r="AY95" s="168">
        <v>3.5880211940836899</v>
      </c>
      <c r="AZ95" s="168">
        <v>3.9323354779166699</v>
      </c>
      <c r="BA95" s="168">
        <v>3.7389749999999999</v>
      </c>
      <c r="BB95" s="168">
        <v>3.5781293062201001</v>
      </c>
      <c r="BC95" s="168">
        <v>3.8559218253968202</v>
      </c>
      <c r="BD95" s="168">
        <v>3.61075833333333</v>
      </c>
    </row>
    <row r="96" spans="1:56">
      <c r="A96" s="163" t="s">
        <v>303</v>
      </c>
      <c r="B96" s="163" t="s">
        <v>304</v>
      </c>
      <c r="C96" s="161">
        <v>623.98750046924999</v>
      </c>
      <c r="D96" s="161">
        <v>625.00000062499998</v>
      </c>
      <c r="E96" s="161">
        <v>625.00000062499998</v>
      </c>
      <c r="F96" s="161">
        <v>625.00000062499998</v>
      </c>
      <c r="G96" s="161">
        <v>625.00000062499998</v>
      </c>
      <c r="H96" s="161">
        <v>625.00000062499998</v>
      </c>
      <c r="I96" s="161">
        <v>625.00000062499998</v>
      </c>
      <c r="J96" s="161">
        <v>625.00000062499998</v>
      </c>
      <c r="K96" s="161">
        <v>625.00000062499998</v>
      </c>
      <c r="L96" s="161">
        <v>625.00000062499998</v>
      </c>
      <c r="M96" s="161">
        <v>625.00000062499998</v>
      </c>
      <c r="N96" s="161">
        <v>620.35928929756199</v>
      </c>
      <c r="O96" s="161">
        <v>583.21749999941699</v>
      </c>
      <c r="P96" s="161">
        <v>582.99583333191697</v>
      </c>
      <c r="Q96" s="161">
        <v>650.34333333183304</v>
      </c>
      <c r="R96" s="161">
        <v>652.84916666599997</v>
      </c>
      <c r="S96" s="161">
        <v>832.33499999966705</v>
      </c>
      <c r="T96" s="161">
        <v>882.38833333125001</v>
      </c>
      <c r="U96" s="161">
        <v>848.663333330917</v>
      </c>
      <c r="V96" s="161">
        <v>830.86166666591703</v>
      </c>
      <c r="W96" s="161">
        <v>856.44749999741703</v>
      </c>
      <c r="X96" s="161">
        <v>1136.7649999995799</v>
      </c>
      <c r="Y96" s="161">
        <v>1352.50999999808</v>
      </c>
      <c r="Z96" s="161">
        <v>1518.84833333283</v>
      </c>
      <c r="AA96" s="161">
        <v>1756.9608333318299</v>
      </c>
      <c r="AB96" s="161">
        <v>1909.4391666639999</v>
      </c>
      <c r="AC96" s="161">
        <v>1490.8099999987501</v>
      </c>
      <c r="AD96" s="161">
        <v>1296.07</v>
      </c>
      <c r="AE96" s="161">
        <v>1301.6275000000001</v>
      </c>
      <c r="AF96" s="161">
        <v>1372.0933333333301</v>
      </c>
      <c r="AG96" s="161">
        <v>1198.1016666666701</v>
      </c>
      <c r="AH96" s="161">
        <v>1240.61333333333</v>
      </c>
      <c r="AI96" s="161">
        <v>1232.4058333333301</v>
      </c>
      <c r="AJ96" s="161">
        <v>1573.6658666666699</v>
      </c>
      <c r="AK96" s="161">
        <v>1612.4449833333299</v>
      </c>
      <c r="AL96" s="168">
        <v>1628.9331583333301</v>
      </c>
      <c r="AM96" s="168">
        <v>1542.9469666666701</v>
      </c>
      <c r="AN96" s="168">
        <v>1703.09690833333</v>
      </c>
      <c r="AO96" s="168">
        <v>1736.20738333333</v>
      </c>
      <c r="AP96" s="168" t="s">
        <v>125</v>
      </c>
      <c r="AQ96" s="168" t="s">
        <v>125</v>
      </c>
      <c r="AR96" s="168" t="s">
        <v>125</v>
      </c>
      <c r="AS96" s="168" t="s">
        <v>125</v>
      </c>
      <c r="AT96" s="168" t="s">
        <v>125</v>
      </c>
      <c r="AU96" s="168" t="s">
        <v>125</v>
      </c>
      <c r="AV96" s="168" t="s">
        <v>125</v>
      </c>
      <c r="AW96" s="168" t="s">
        <v>125</v>
      </c>
      <c r="AX96" s="168" t="s">
        <v>125</v>
      </c>
      <c r="AY96" s="168" t="s">
        <v>125</v>
      </c>
      <c r="AZ96" s="168" t="s">
        <v>125</v>
      </c>
      <c r="BA96" s="168" t="s">
        <v>125</v>
      </c>
      <c r="BB96" s="168" t="s">
        <v>125</v>
      </c>
      <c r="BC96" s="168" t="s">
        <v>125</v>
      </c>
      <c r="BD96" s="168" t="s">
        <v>125</v>
      </c>
    </row>
    <row r="97" spans="1:56">
      <c r="A97" s="163" t="s">
        <v>305</v>
      </c>
      <c r="B97" s="163" t="s">
        <v>306</v>
      </c>
      <c r="C97" s="161">
        <v>0.71428599957142902</v>
      </c>
      <c r="D97" s="161">
        <v>0.71428599957142902</v>
      </c>
      <c r="E97" s="161">
        <v>0.71428599957142902</v>
      </c>
      <c r="F97" s="161">
        <v>0.71428599957142902</v>
      </c>
      <c r="G97" s="161">
        <v>0.71428599957142902</v>
      </c>
      <c r="H97" s="161">
        <v>0.71428599957142902</v>
      </c>
      <c r="I97" s="161">
        <v>0.71428599957142902</v>
      </c>
      <c r="J97" s="161">
        <v>0.72420699954563506</v>
      </c>
      <c r="K97" s="161">
        <v>0.833333999833334</v>
      </c>
      <c r="L97" s="161">
        <v>0.83333374983333397</v>
      </c>
      <c r="M97" s="161">
        <v>0.83333299983333298</v>
      </c>
      <c r="N97" s="161">
        <v>0.832801749902778</v>
      </c>
      <c r="O97" s="161">
        <v>0.76746000000000003</v>
      </c>
      <c r="P97" s="161">
        <v>0.90242674867877404</v>
      </c>
      <c r="Q97" s="161">
        <v>0.90908999991666695</v>
      </c>
      <c r="R97" s="161">
        <v>0.90908999999999995</v>
      </c>
      <c r="S97" s="161">
        <v>0.90908999999999995</v>
      </c>
      <c r="T97" s="161">
        <v>0.90908999999999995</v>
      </c>
      <c r="U97" s="161">
        <v>1.4132583330833299</v>
      </c>
      <c r="V97" s="161">
        <v>1.7647783326666699</v>
      </c>
      <c r="W97" s="161">
        <v>1.7814199989999999</v>
      </c>
      <c r="X97" s="161">
        <v>1.7814199989999999</v>
      </c>
      <c r="Y97" s="161">
        <v>1.7814199989999999</v>
      </c>
      <c r="Z97" s="161">
        <v>1.9322174990000001</v>
      </c>
      <c r="AA97" s="161">
        <v>3.94280416641667</v>
      </c>
      <c r="AB97" s="161">
        <v>5.5585583331666699</v>
      </c>
      <c r="AC97" s="161">
        <v>5.4778333332500004</v>
      </c>
      <c r="AD97" s="161">
        <v>5.4866666666666699</v>
      </c>
      <c r="AE97" s="161">
        <v>5.4885541666666704</v>
      </c>
      <c r="AF97" s="161">
        <v>5.74464166666667</v>
      </c>
      <c r="AG97" s="161">
        <v>7.1840250000000001</v>
      </c>
      <c r="AH97" s="161">
        <v>12.115875000000001</v>
      </c>
      <c r="AI97" s="161">
        <v>22.960349999999998</v>
      </c>
      <c r="AJ97" s="161">
        <v>24.948550000000001</v>
      </c>
      <c r="AK97" s="161">
        <v>33.085933333333301</v>
      </c>
      <c r="AL97" s="168">
        <v>35.142116666666702</v>
      </c>
      <c r="AM97" s="168">
        <v>37.119558333333302</v>
      </c>
      <c r="AN97" s="168">
        <v>35.4044666666667</v>
      </c>
      <c r="AO97" s="168">
        <v>36.549999999999997</v>
      </c>
      <c r="AP97" s="168">
        <v>39.043516666666697</v>
      </c>
      <c r="AQ97" s="168">
        <v>42.985700000000001</v>
      </c>
      <c r="AR97" s="168">
        <v>45.996250000000003</v>
      </c>
      <c r="AS97" s="168">
        <v>48.415941666666697</v>
      </c>
      <c r="AT97" s="168">
        <v>57.740873749999999</v>
      </c>
      <c r="AU97" s="168">
        <v>61.197200000000002</v>
      </c>
      <c r="AV97" s="168">
        <v>62.280714944083698</v>
      </c>
      <c r="AW97" s="168">
        <v>65.743857539682494</v>
      </c>
      <c r="AX97" s="168">
        <v>69.1921618494152</v>
      </c>
      <c r="AY97" s="168">
        <v>72.756203406152096</v>
      </c>
      <c r="AZ97" s="168">
        <v>87.894119810653507</v>
      </c>
      <c r="BA97" s="168">
        <v>87.196136812547707</v>
      </c>
      <c r="BB97" s="168">
        <v>85.892458333333295</v>
      </c>
      <c r="BC97" s="168">
        <v>88.750937362392705</v>
      </c>
      <c r="BD97" s="168">
        <v>100.241055631431</v>
      </c>
    </row>
    <row r="98" spans="1:56">
      <c r="A98" s="163" t="s">
        <v>307</v>
      </c>
      <c r="B98" s="163" t="s">
        <v>308</v>
      </c>
      <c r="C98" s="161">
        <v>360.00000035900001</v>
      </c>
      <c r="D98" s="161">
        <v>360.00000035900001</v>
      </c>
      <c r="E98" s="161">
        <v>360.00000035900001</v>
      </c>
      <c r="F98" s="161">
        <v>360.00000035900001</v>
      </c>
      <c r="G98" s="161">
        <v>360.00000035900001</v>
      </c>
      <c r="H98" s="161">
        <v>360.00000035900001</v>
      </c>
      <c r="I98" s="161">
        <v>360.00000035900001</v>
      </c>
      <c r="J98" s="161">
        <v>360.00000035900001</v>
      </c>
      <c r="K98" s="161">
        <v>360.00000035900001</v>
      </c>
      <c r="L98" s="161">
        <v>360.00000035900001</v>
      </c>
      <c r="M98" s="161">
        <v>360.00000035900001</v>
      </c>
      <c r="N98" s="161">
        <v>350.677693533362</v>
      </c>
      <c r="O98" s="161">
        <v>303.17249999900002</v>
      </c>
      <c r="P98" s="161">
        <v>271.70166666608299</v>
      </c>
      <c r="Q98" s="161">
        <v>292.08249999924999</v>
      </c>
      <c r="R98" s="161">
        <v>296.78749999916698</v>
      </c>
      <c r="S98" s="161">
        <v>296.55249999916703</v>
      </c>
      <c r="T98" s="161">
        <v>268.50999999933299</v>
      </c>
      <c r="U98" s="161">
        <v>210.441666666</v>
      </c>
      <c r="V98" s="161">
        <v>219.13999999933301</v>
      </c>
      <c r="W98" s="161">
        <v>226.74083333283301</v>
      </c>
      <c r="X98" s="161">
        <v>220.53583333275</v>
      </c>
      <c r="Y98" s="161">
        <v>249.07666666583299</v>
      </c>
      <c r="Z98" s="161">
        <v>237.51166666608299</v>
      </c>
      <c r="AA98" s="161">
        <v>237.52249999933301</v>
      </c>
      <c r="AB98" s="161">
        <v>238.53583333275</v>
      </c>
      <c r="AC98" s="161">
        <v>168.519833333083</v>
      </c>
      <c r="AD98" s="161">
        <v>144.63749999999999</v>
      </c>
      <c r="AE98" s="161">
        <v>128.15166666666701</v>
      </c>
      <c r="AF98" s="161">
        <v>137.96441666666701</v>
      </c>
      <c r="AG98" s="161">
        <v>144.79249999999999</v>
      </c>
      <c r="AH98" s="161">
        <v>134.70666666666699</v>
      </c>
      <c r="AI98" s="161">
        <v>126.651333333333</v>
      </c>
      <c r="AJ98" s="161">
        <v>111.197785833333</v>
      </c>
      <c r="AK98" s="161">
        <v>102.207805833333</v>
      </c>
      <c r="AL98" s="168">
        <v>94.059579166666694</v>
      </c>
      <c r="AM98" s="168">
        <v>108.779056666667</v>
      </c>
      <c r="AN98" s="168">
        <v>120.99086250000001</v>
      </c>
      <c r="AO98" s="168">
        <v>130.90530066666699</v>
      </c>
      <c r="AP98" s="168">
        <v>113.90680500000001</v>
      </c>
      <c r="AQ98" s="168">
        <v>107.765498333333</v>
      </c>
      <c r="AR98" s="168">
        <v>121.5289475</v>
      </c>
      <c r="AS98" s="168">
        <v>125.38801916666699</v>
      </c>
      <c r="AT98" s="168">
        <v>115.93346416666699</v>
      </c>
      <c r="AU98" s="168">
        <v>108.192569166667</v>
      </c>
      <c r="AV98" s="168">
        <v>110.218211666667</v>
      </c>
      <c r="AW98" s="168">
        <v>116.29931166666699</v>
      </c>
      <c r="AX98" s="168">
        <v>117.75352916666699</v>
      </c>
      <c r="AY98" s="168">
        <v>103.359493968254</v>
      </c>
      <c r="AZ98" s="168">
        <v>93.570089087045702</v>
      </c>
      <c r="BA98" s="168">
        <v>87.779875000000004</v>
      </c>
      <c r="BB98" s="168">
        <v>79.807019832189198</v>
      </c>
      <c r="BC98" s="168">
        <v>79.790455417006498</v>
      </c>
      <c r="BD98" s="168">
        <v>97.595658277638506</v>
      </c>
    </row>
    <row r="99" spans="1:56">
      <c r="A99" s="163" t="s">
        <v>309</v>
      </c>
      <c r="B99" s="163" t="s">
        <v>310</v>
      </c>
      <c r="C99" s="161">
        <v>0.357142999357143</v>
      </c>
      <c r="D99" s="161">
        <v>0.357142999357143</v>
      </c>
      <c r="E99" s="161">
        <v>0.357142999357143</v>
      </c>
      <c r="F99" s="161">
        <v>0.357142999357143</v>
      </c>
      <c r="G99" s="161">
        <v>0.357142999357143</v>
      </c>
      <c r="H99" s="161">
        <v>0.357142999357143</v>
      </c>
      <c r="I99" s="161">
        <v>0.357142999357143</v>
      </c>
      <c r="J99" s="161">
        <v>0.357142999357143</v>
      </c>
      <c r="K99" s="161">
        <v>0.357142999357143</v>
      </c>
      <c r="L99" s="161">
        <v>0.357142999357143</v>
      </c>
      <c r="M99" s="161">
        <v>0.357142999357143</v>
      </c>
      <c r="N99" s="161">
        <v>0.35714299900000002</v>
      </c>
      <c r="O99" s="161">
        <v>0.35714325128914998</v>
      </c>
      <c r="P99" s="161">
        <v>0.32857086795212997</v>
      </c>
      <c r="Q99" s="161">
        <v>0.32209166566666703</v>
      </c>
      <c r="R99" s="161">
        <v>0.319791665666667</v>
      </c>
      <c r="S99" s="161">
        <v>0.33198333233333299</v>
      </c>
      <c r="T99" s="161">
        <v>0.32926666566666701</v>
      </c>
      <c r="U99" s="161">
        <v>0.30562499900000001</v>
      </c>
      <c r="V99" s="161">
        <v>0.30033333233333298</v>
      </c>
      <c r="W99" s="161">
        <v>0.29792499900000002</v>
      </c>
      <c r="X99" s="161">
        <v>0.330433332333333</v>
      </c>
      <c r="Y99" s="161">
        <v>0.35249166566666701</v>
      </c>
      <c r="Z99" s="161">
        <v>0.36307916566666698</v>
      </c>
      <c r="AA99" s="161">
        <v>0.38446499941666701</v>
      </c>
      <c r="AB99" s="161">
        <v>0.39462499974999998</v>
      </c>
      <c r="AC99" s="161">
        <v>0.34996583316666702</v>
      </c>
      <c r="AD99" s="161">
        <v>0.33845874999999997</v>
      </c>
      <c r="AE99" s="161">
        <v>0.37429249999999997</v>
      </c>
      <c r="AF99" s="161">
        <v>0.57457583333333295</v>
      </c>
      <c r="AG99" s="161">
        <v>0.66371166666666703</v>
      </c>
      <c r="AH99" s="161">
        <v>0.68086583333333295</v>
      </c>
      <c r="AI99" s="161">
        <v>0.67981833333333297</v>
      </c>
      <c r="AJ99" s="161">
        <v>0.69285083333333297</v>
      </c>
      <c r="AK99" s="161">
        <v>0.69876416666666696</v>
      </c>
      <c r="AL99" s="168">
        <v>0.70037749999999999</v>
      </c>
      <c r="AM99" s="168">
        <v>0.70899999999999996</v>
      </c>
      <c r="AN99" s="168">
        <v>0.70899999999999996</v>
      </c>
      <c r="AO99" s="168">
        <v>0.70899999999999996</v>
      </c>
      <c r="AP99" s="168">
        <v>0.70899999999999996</v>
      </c>
      <c r="AQ99" s="168">
        <v>0.70899999999999996</v>
      </c>
      <c r="AR99" s="168">
        <v>0.708983174066667</v>
      </c>
      <c r="AS99" s="168">
        <v>0.70899983333333305</v>
      </c>
      <c r="AT99" s="168">
        <v>0.70899999999999996</v>
      </c>
      <c r="AU99" s="168">
        <v>0.70899999999999996</v>
      </c>
      <c r="AV99" s="168">
        <v>0.70899999999999996</v>
      </c>
      <c r="AW99" s="168">
        <v>0.70899999999999996</v>
      </c>
      <c r="AX99" s="168">
        <v>0.70899976666666698</v>
      </c>
      <c r="AY99" s="168">
        <v>0.70966655000000001</v>
      </c>
      <c r="AZ99" s="168">
        <v>0.71</v>
      </c>
      <c r="BA99" s="168">
        <v>0.71</v>
      </c>
      <c r="BB99" s="168">
        <v>0.71</v>
      </c>
      <c r="BC99" s="168">
        <v>0.71</v>
      </c>
      <c r="BD99" s="168">
        <v>0.71</v>
      </c>
    </row>
    <row r="100" spans="1:56">
      <c r="A100" s="163" t="s">
        <v>311</v>
      </c>
      <c r="B100" s="163" t="s">
        <v>312</v>
      </c>
      <c r="C100" s="161" t="s">
        <v>125</v>
      </c>
      <c r="D100" s="161" t="s">
        <v>125</v>
      </c>
      <c r="E100" s="161" t="s">
        <v>125</v>
      </c>
      <c r="F100" s="161" t="s">
        <v>125</v>
      </c>
      <c r="G100" s="161" t="s">
        <v>125</v>
      </c>
      <c r="H100" s="161" t="s">
        <v>125</v>
      </c>
      <c r="I100" s="161" t="s">
        <v>125</v>
      </c>
      <c r="J100" s="161" t="s">
        <v>125</v>
      </c>
      <c r="K100" s="161" t="s">
        <v>125</v>
      </c>
      <c r="L100" s="161" t="s">
        <v>125</v>
      </c>
      <c r="M100" s="161" t="s">
        <v>125</v>
      </c>
      <c r="N100" s="161" t="s">
        <v>125</v>
      </c>
      <c r="O100" s="161" t="s">
        <v>125</v>
      </c>
      <c r="P100" s="161" t="s">
        <v>125</v>
      </c>
      <c r="Q100" s="161" t="s">
        <v>125</v>
      </c>
      <c r="R100" s="161" t="s">
        <v>125</v>
      </c>
      <c r="S100" s="161" t="s">
        <v>125</v>
      </c>
      <c r="T100" s="161" t="s">
        <v>125</v>
      </c>
      <c r="U100" s="161" t="s">
        <v>125</v>
      </c>
      <c r="V100" s="161" t="s">
        <v>125</v>
      </c>
      <c r="W100" s="161" t="s">
        <v>125</v>
      </c>
      <c r="X100" s="161" t="s">
        <v>125</v>
      </c>
      <c r="Y100" s="161" t="s">
        <v>125</v>
      </c>
      <c r="Z100" s="161" t="s">
        <v>125</v>
      </c>
      <c r="AA100" s="161" t="s">
        <v>125</v>
      </c>
      <c r="AB100" s="161" t="s">
        <v>125</v>
      </c>
      <c r="AC100" s="161" t="s">
        <v>125</v>
      </c>
      <c r="AD100" s="161" t="s">
        <v>125</v>
      </c>
      <c r="AE100" s="161" t="s">
        <v>125</v>
      </c>
      <c r="AF100" s="161" t="s">
        <v>125</v>
      </c>
      <c r="AG100" s="161" t="s">
        <v>125</v>
      </c>
      <c r="AH100" s="161" t="s">
        <v>125</v>
      </c>
      <c r="AI100" s="161" t="s">
        <v>125</v>
      </c>
      <c r="AJ100" s="161" t="s">
        <v>125</v>
      </c>
      <c r="AK100" s="161">
        <v>35.538333333333298</v>
      </c>
      <c r="AL100" s="168">
        <v>60.95</v>
      </c>
      <c r="AM100" s="168">
        <v>67.303333333333299</v>
      </c>
      <c r="AN100" s="168">
        <v>75.4375</v>
      </c>
      <c r="AO100" s="168">
        <v>78.303333333333299</v>
      </c>
      <c r="AP100" s="168">
        <v>119.523333333333</v>
      </c>
      <c r="AQ100" s="168">
        <v>142.13333333333301</v>
      </c>
      <c r="AR100" s="168">
        <v>146.73583333333301</v>
      </c>
      <c r="AS100" s="168">
        <v>153.27916666666701</v>
      </c>
      <c r="AT100" s="168">
        <v>149.57583333333301</v>
      </c>
      <c r="AU100" s="168">
        <v>136.035</v>
      </c>
      <c r="AV100" s="168">
        <v>132.88</v>
      </c>
      <c r="AW100" s="168">
        <v>126.089430555555</v>
      </c>
      <c r="AX100" s="168">
        <v>122.554166666667</v>
      </c>
      <c r="AY100" s="168">
        <v>120.29916666666701</v>
      </c>
      <c r="AZ100" s="168">
        <v>147.49666666666701</v>
      </c>
      <c r="BA100" s="168">
        <v>147.35499999999999</v>
      </c>
      <c r="BB100" s="168">
        <v>146.620833333333</v>
      </c>
      <c r="BC100" s="168">
        <v>149.11250000000001</v>
      </c>
      <c r="BD100" s="168">
        <v>152.129166666667</v>
      </c>
    </row>
    <row r="101" spans="1:56">
      <c r="A101" s="163" t="s">
        <v>68</v>
      </c>
      <c r="B101" s="163" t="s">
        <v>313</v>
      </c>
      <c r="C101" s="161">
        <v>7.1428600061428602</v>
      </c>
      <c r="D101" s="161">
        <v>7.1428600061428602</v>
      </c>
      <c r="E101" s="161">
        <v>7.1428600061428602</v>
      </c>
      <c r="F101" s="161">
        <v>7.1428600061428602</v>
      </c>
      <c r="G101" s="161">
        <v>7.1428600061428602</v>
      </c>
      <c r="H101" s="161">
        <v>7.1428600061428602</v>
      </c>
      <c r="I101" s="161">
        <v>7.1428600061428602</v>
      </c>
      <c r="J101" s="161">
        <v>7.1428600061428602</v>
      </c>
      <c r="K101" s="161">
        <v>7.1428600061428602</v>
      </c>
      <c r="L101" s="161">
        <v>7.1428600061428602</v>
      </c>
      <c r="M101" s="161">
        <v>7.1428600061428602</v>
      </c>
      <c r="N101" s="161">
        <v>7.1428599977626002</v>
      </c>
      <c r="O101" s="161">
        <v>7.1428599989999997</v>
      </c>
      <c r="P101" s="161">
        <v>7.0203836880377004</v>
      </c>
      <c r="Q101" s="161">
        <v>7.1348111007360204</v>
      </c>
      <c r="R101" s="161">
        <v>7.34319333233333</v>
      </c>
      <c r="S101" s="161">
        <v>8.3671449991666709</v>
      </c>
      <c r="T101" s="161">
        <v>8.2765608324166706</v>
      </c>
      <c r="U101" s="161">
        <v>7.7293833323333301</v>
      </c>
      <c r="V101" s="161">
        <v>7.4753091656666699</v>
      </c>
      <c r="W101" s="161">
        <v>7.4201874989999999</v>
      </c>
      <c r="X101" s="161">
        <v>9.0474983325833307</v>
      </c>
      <c r="Y101" s="161">
        <v>10.9223249994167</v>
      </c>
      <c r="Z101" s="161">
        <v>13.311516665916701</v>
      </c>
      <c r="AA101" s="161">
        <v>14.4138749994167</v>
      </c>
      <c r="AB101" s="161">
        <v>16.432116666500001</v>
      </c>
      <c r="AC101" s="161">
        <v>16.225741666499999</v>
      </c>
      <c r="AD101" s="161">
        <v>16.454491666666701</v>
      </c>
      <c r="AE101" s="161">
        <v>17.7471</v>
      </c>
      <c r="AF101" s="161">
        <v>20.572466666666699</v>
      </c>
      <c r="AG101" s="161">
        <v>22.914766666666701</v>
      </c>
      <c r="AH101" s="161">
        <v>27.5078666666667</v>
      </c>
      <c r="AI101" s="161">
        <v>32.216833333333298</v>
      </c>
      <c r="AJ101" s="161">
        <v>58.001333333333299</v>
      </c>
      <c r="AK101" s="161">
        <v>56.050575000000002</v>
      </c>
      <c r="AL101" s="168">
        <v>51.429833333333299</v>
      </c>
      <c r="AM101" s="168">
        <v>57.1148666666667</v>
      </c>
      <c r="AN101" s="168">
        <v>58.731841666666703</v>
      </c>
      <c r="AO101" s="168">
        <v>60.366700000000002</v>
      </c>
      <c r="AP101" s="168">
        <v>70.326216666666696</v>
      </c>
      <c r="AQ101" s="168">
        <v>76.175541666666703</v>
      </c>
      <c r="AR101" s="168">
        <v>78.563194999999993</v>
      </c>
      <c r="AS101" s="168">
        <v>78.749141666666702</v>
      </c>
      <c r="AT101" s="168">
        <v>75.935569444444397</v>
      </c>
      <c r="AU101" s="168">
        <v>79.173876064213601</v>
      </c>
      <c r="AV101" s="168">
        <v>75.554109451431103</v>
      </c>
      <c r="AW101" s="168">
        <v>72.100835017862096</v>
      </c>
      <c r="AX101" s="168">
        <v>67.317638124285693</v>
      </c>
      <c r="AY101" s="168">
        <v>69.175319816225993</v>
      </c>
      <c r="AZ101" s="168">
        <v>77.352012297578995</v>
      </c>
      <c r="BA101" s="168">
        <v>79.233151704545506</v>
      </c>
      <c r="BB101" s="168">
        <v>88.810769971045602</v>
      </c>
      <c r="BC101" s="168">
        <v>84.529601757352907</v>
      </c>
      <c r="BD101" s="168">
        <v>86.122878898265398</v>
      </c>
    </row>
    <row r="102" spans="1:56">
      <c r="A102" s="163" t="s">
        <v>314</v>
      </c>
      <c r="B102" s="163" t="s">
        <v>315</v>
      </c>
      <c r="C102" s="161">
        <v>0.89285699989285705</v>
      </c>
      <c r="D102" s="161">
        <v>0.89285699989285705</v>
      </c>
      <c r="E102" s="161">
        <v>0.89285699989285705</v>
      </c>
      <c r="F102" s="161">
        <v>0.89285699989285705</v>
      </c>
      <c r="G102" s="161">
        <v>0.89285699989285705</v>
      </c>
      <c r="H102" s="161">
        <v>0.89285699989285705</v>
      </c>
      <c r="I102" s="161">
        <v>0.89285699989285705</v>
      </c>
      <c r="J102" s="161">
        <v>0.89285699989285705</v>
      </c>
      <c r="K102" s="161">
        <v>0.89285699989285705</v>
      </c>
      <c r="L102" s="161">
        <v>0.89285699989285705</v>
      </c>
      <c r="M102" s="161">
        <v>0.89285699989285705</v>
      </c>
      <c r="N102" s="161">
        <v>0.88060784236696699</v>
      </c>
      <c r="O102" s="161">
        <v>0.81920056904624705</v>
      </c>
      <c r="P102" s="161">
        <v>0.70411390796665796</v>
      </c>
      <c r="Q102" s="161">
        <v>0.63838313111901701</v>
      </c>
      <c r="R102" s="161">
        <v>0.76387124900000003</v>
      </c>
      <c r="S102" s="161">
        <v>0.81828408233333305</v>
      </c>
      <c r="T102" s="161">
        <v>0.90182499900000002</v>
      </c>
      <c r="U102" s="161">
        <v>0.87365924900000003</v>
      </c>
      <c r="V102" s="161">
        <v>0.89464091566666704</v>
      </c>
      <c r="W102" s="161">
        <v>0.87824433233333299</v>
      </c>
      <c r="X102" s="161">
        <v>0.87021458233333304</v>
      </c>
      <c r="Y102" s="161">
        <v>0.98586283233333305</v>
      </c>
      <c r="Z102" s="161">
        <v>1.1100149991666699</v>
      </c>
      <c r="AA102" s="161">
        <v>1.1395191659166699</v>
      </c>
      <c r="AB102" s="161">
        <v>1.4318949995000001</v>
      </c>
      <c r="AC102" s="161">
        <v>1.4959741664166699</v>
      </c>
      <c r="AD102" s="161">
        <v>1.42818</v>
      </c>
      <c r="AE102" s="161">
        <v>1.2799083333333301</v>
      </c>
      <c r="AF102" s="161">
        <v>1.2645966666666699</v>
      </c>
      <c r="AG102" s="161">
        <v>1.2810566666666701</v>
      </c>
      <c r="AH102" s="161">
        <v>1.2837558333333301</v>
      </c>
      <c r="AI102" s="161">
        <v>1.36164833333333</v>
      </c>
      <c r="AJ102" s="161">
        <v>1.4705600000000001</v>
      </c>
      <c r="AK102" s="161">
        <v>1.3677508333333299</v>
      </c>
      <c r="AL102" s="168">
        <v>1.3490325000000001</v>
      </c>
      <c r="AM102" s="168">
        <v>1.27786333333333</v>
      </c>
      <c r="AN102" s="168">
        <v>1.34738</v>
      </c>
      <c r="AO102" s="168">
        <v>1.5918283333333301</v>
      </c>
      <c r="AP102" s="168">
        <v>1.5499499999999999</v>
      </c>
      <c r="AQ102" s="168">
        <v>1.7248266666666701</v>
      </c>
      <c r="AR102" s="168">
        <v>1.9334425</v>
      </c>
      <c r="AS102" s="168">
        <v>1.8405625000000001</v>
      </c>
      <c r="AT102" s="168">
        <v>1.54191416666667</v>
      </c>
      <c r="AU102" s="168">
        <v>1.3597524999999999</v>
      </c>
      <c r="AV102" s="168">
        <v>1.3094733333333299</v>
      </c>
      <c r="AW102" s="168">
        <v>1.3279734405000001</v>
      </c>
      <c r="AX102" s="168">
        <v>1.1950725</v>
      </c>
      <c r="AY102" s="168">
        <v>1.19217833333333</v>
      </c>
      <c r="AZ102" s="168">
        <v>1.28218881008452</v>
      </c>
      <c r="BA102" s="168">
        <v>1.0901594863867701</v>
      </c>
      <c r="BB102" s="168">
        <v>0.96946320149673504</v>
      </c>
      <c r="BC102" s="168">
        <v>0.96580103065870804</v>
      </c>
      <c r="BD102" s="168">
        <v>1.0358430965205401</v>
      </c>
    </row>
    <row r="103" spans="1:56">
      <c r="A103" s="163" t="s">
        <v>316</v>
      </c>
      <c r="B103" s="163" t="s">
        <v>317</v>
      </c>
      <c r="C103" s="161" t="s">
        <v>125</v>
      </c>
      <c r="D103" s="161" t="s">
        <v>125</v>
      </c>
      <c r="E103" s="161" t="s">
        <v>125</v>
      </c>
      <c r="F103" s="161" t="s">
        <v>125</v>
      </c>
      <c r="G103" s="161" t="s">
        <v>125</v>
      </c>
      <c r="H103" s="161" t="s">
        <v>125</v>
      </c>
      <c r="I103" s="161" t="s">
        <v>125</v>
      </c>
      <c r="J103" s="161" t="s">
        <v>125</v>
      </c>
      <c r="K103" s="161" t="s">
        <v>125</v>
      </c>
      <c r="L103" s="161" t="s">
        <v>125</v>
      </c>
      <c r="M103" s="161" t="s">
        <v>125</v>
      </c>
      <c r="N103" s="161" t="s">
        <v>125</v>
      </c>
      <c r="O103" s="161" t="s">
        <v>125</v>
      </c>
      <c r="P103" s="161" t="s">
        <v>125</v>
      </c>
      <c r="Q103" s="161" t="s">
        <v>125</v>
      </c>
      <c r="R103" s="161" t="s">
        <v>125</v>
      </c>
      <c r="S103" s="161" t="s">
        <v>125</v>
      </c>
      <c r="T103" s="161" t="s">
        <v>125</v>
      </c>
      <c r="U103" s="161" t="s">
        <v>125</v>
      </c>
      <c r="V103" s="161" t="s">
        <v>125</v>
      </c>
      <c r="W103" s="161" t="s">
        <v>125</v>
      </c>
      <c r="X103" s="161" t="s">
        <v>125</v>
      </c>
      <c r="Y103" s="161" t="s">
        <v>125</v>
      </c>
      <c r="Z103" s="161" t="s">
        <v>125</v>
      </c>
      <c r="AA103" s="161" t="s">
        <v>125</v>
      </c>
      <c r="AB103" s="161" t="s">
        <v>125</v>
      </c>
      <c r="AC103" s="161" t="s">
        <v>125</v>
      </c>
      <c r="AD103" s="161" t="s">
        <v>125</v>
      </c>
      <c r="AE103" s="161" t="s">
        <v>125</v>
      </c>
      <c r="AF103" s="161" t="s">
        <v>125</v>
      </c>
      <c r="AG103" s="161" t="s">
        <v>125</v>
      </c>
      <c r="AH103" s="161" t="s">
        <v>125</v>
      </c>
      <c r="AI103" s="161" t="s">
        <v>125</v>
      </c>
      <c r="AJ103" s="161" t="s">
        <v>125</v>
      </c>
      <c r="AK103" s="161" t="s">
        <v>125</v>
      </c>
      <c r="AL103" s="168" t="s">
        <v>125</v>
      </c>
      <c r="AM103" s="168" t="s">
        <v>125</v>
      </c>
      <c r="AN103" s="168" t="s">
        <v>125</v>
      </c>
      <c r="AO103" s="168" t="s">
        <v>125</v>
      </c>
      <c r="AP103" s="168" t="s">
        <v>125</v>
      </c>
      <c r="AQ103" s="168" t="s">
        <v>125</v>
      </c>
      <c r="AR103" s="168" t="s">
        <v>125</v>
      </c>
      <c r="AS103" s="168" t="s">
        <v>125</v>
      </c>
      <c r="AT103" s="168" t="s">
        <v>125</v>
      </c>
      <c r="AU103" s="168" t="s">
        <v>125</v>
      </c>
      <c r="AV103" s="168" t="s">
        <v>125</v>
      </c>
      <c r="AW103" s="168" t="s">
        <v>125</v>
      </c>
      <c r="AX103" s="168" t="s">
        <v>125</v>
      </c>
      <c r="AY103" s="168" t="s">
        <v>125</v>
      </c>
      <c r="AZ103" s="168" t="s">
        <v>125</v>
      </c>
      <c r="BA103" s="168" t="s">
        <v>125</v>
      </c>
      <c r="BB103" s="168" t="s">
        <v>125</v>
      </c>
      <c r="BC103" s="168" t="s">
        <v>125</v>
      </c>
      <c r="BD103" s="168" t="s">
        <v>125</v>
      </c>
    </row>
    <row r="104" spans="1:56">
      <c r="A104" s="163" t="s">
        <v>318</v>
      </c>
      <c r="B104" s="163" t="s">
        <v>319</v>
      </c>
      <c r="C104" s="161">
        <v>63.125</v>
      </c>
      <c r="D104" s="161">
        <v>124.791666666667</v>
      </c>
      <c r="E104" s="161">
        <v>130</v>
      </c>
      <c r="F104" s="161">
        <v>130</v>
      </c>
      <c r="G104" s="161">
        <v>213.846666666</v>
      </c>
      <c r="H104" s="161">
        <v>266.40083333266699</v>
      </c>
      <c r="I104" s="161">
        <v>271.33749999908298</v>
      </c>
      <c r="J104" s="161">
        <v>270.516666665917</v>
      </c>
      <c r="K104" s="161">
        <v>276.64499999908298</v>
      </c>
      <c r="L104" s="161">
        <v>288.16083333258302</v>
      </c>
      <c r="M104" s="161">
        <v>310.55583333233301</v>
      </c>
      <c r="N104" s="161">
        <v>347.14749999908298</v>
      </c>
      <c r="O104" s="161">
        <v>392.89416666583298</v>
      </c>
      <c r="P104" s="161">
        <v>398.32166666575</v>
      </c>
      <c r="Q104" s="161">
        <v>404.47249999966698</v>
      </c>
      <c r="R104" s="161">
        <v>484</v>
      </c>
      <c r="S104" s="161">
        <v>484</v>
      </c>
      <c r="T104" s="161">
        <v>484</v>
      </c>
      <c r="U104" s="161">
        <v>484</v>
      </c>
      <c r="V104" s="161">
        <v>484</v>
      </c>
      <c r="W104" s="161">
        <v>607.43249999925001</v>
      </c>
      <c r="X104" s="161">
        <v>681.02833333183298</v>
      </c>
      <c r="Y104" s="161">
        <v>731.084166665917</v>
      </c>
      <c r="Z104" s="161">
        <v>775.74833333125002</v>
      </c>
      <c r="AA104" s="161">
        <v>805.97583333233297</v>
      </c>
      <c r="AB104" s="161">
        <v>870.0199999985</v>
      </c>
      <c r="AC104" s="161">
        <v>881.45416666633298</v>
      </c>
      <c r="AD104" s="161">
        <v>822.5675</v>
      </c>
      <c r="AE104" s="161">
        <v>731.46833333333302</v>
      </c>
      <c r="AF104" s="161">
        <v>671.45583333333298</v>
      </c>
      <c r="AG104" s="161">
        <v>707.76416666666705</v>
      </c>
      <c r="AH104" s="161">
        <v>733.35333333333301</v>
      </c>
      <c r="AI104" s="161">
        <v>780.65083333333303</v>
      </c>
      <c r="AJ104" s="161">
        <v>802.67083333333301</v>
      </c>
      <c r="AK104" s="161">
        <v>803.44583333333298</v>
      </c>
      <c r="AL104" s="168">
        <v>771.27333333333297</v>
      </c>
      <c r="AM104" s="168">
        <v>804.45333333333303</v>
      </c>
      <c r="AN104" s="168">
        <v>951.28916666666703</v>
      </c>
      <c r="AO104" s="168">
        <v>1401.4366666666699</v>
      </c>
      <c r="AP104" s="168">
        <v>1188.81666666667</v>
      </c>
      <c r="AQ104" s="168">
        <v>1130.9575</v>
      </c>
      <c r="AR104" s="168">
        <v>1290.99458333333</v>
      </c>
      <c r="AS104" s="168">
        <v>1251.08833333333</v>
      </c>
      <c r="AT104" s="168">
        <v>1191.6141666666699</v>
      </c>
      <c r="AU104" s="168">
        <v>1145.3191666666701</v>
      </c>
      <c r="AV104" s="168">
        <v>1024.11666666667</v>
      </c>
      <c r="AW104" s="168">
        <v>954.79051583333296</v>
      </c>
      <c r="AX104" s="168">
        <v>929.25726166666698</v>
      </c>
      <c r="AY104" s="168">
        <v>1102.04666666667</v>
      </c>
      <c r="AZ104" s="168">
        <v>1276.93</v>
      </c>
      <c r="BA104" s="168">
        <v>1156.06098787879</v>
      </c>
      <c r="BB104" s="168">
        <v>1108.2921249999999</v>
      </c>
      <c r="BC104" s="168">
        <v>1126.4708260833299</v>
      </c>
      <c r="BD104" s="168">
        <v>1094.8529166666699</v>
      </c>
    </row>
    <row r="105" spans="1:56">
      <c r="A105" s="163" t="s">
        <v>320</v>
      </c>
      <c r="B105" s="163" t="s">
        <v>321</v>
      </c>
      <c r="C105" s="161" t="s">
        <v>125</v>
      </c>
      <c r="D105" s="161" t="s">
        <v>125</v>
      </c>
      <c r="E105" s="161" t="s">
        <v>125</v>
      </c>
      <c r="F105" s="161" t="s">
        <v>125</v>
      </c>
      <c r="G105" s="161" t="s">
        <v>125</v>
      </c>
      <c r="H105" s="161" t="s">
        <v>125</v>
      </c>
      <c r="I105" s="161" t="s">
        <v>125</v>
      </c>
      <c r="J105" s="161" t="s">
        <v>125</v>
      </c>
      <c r="K105" s="161" t="s">
        <v>125</v>
      </c>
      <c r="L105" s="161" t="s">
        <v>125</v>
      </c>
      <c r="M105" s="161" t="s">
        <v>125</v>
      </c>
      <c r="N105" s="161" t="s">
        <v>125</v>
      </c>
      <c r="O105" s="161" t="s">
        <v>125</v>
      </c>
      <c r="P105" s="161" t="s">
        <v>125</v>
      </c>
      <c r="Q105" s="161" t="s">
        <v>125</v>
      </c>
      <c r="R105" s="161" t="s">
        <v>125</v>
      </c>
      <c r="S105" s="161" t="s">
        <v>125</v>
      </c>
      <c r="T105" s="161" t="s">
        <v>125</v>
      </c>
      <c r="U105" s="161" t="s">
        <v>125</v>
      </c>
      <c r="V105" s="161" t="s">
        <v>125</v>
      </c>
      <c r="W105" s="161" t="s">
        <v>125</v>
      </c>
      <c r="X105" s="161" t="s">
        <v>125</v>
      </c>
      <c r="Y105" s="161" t="s">
        <v>125</v>
      </c>
      <c r="Z105" s="161" t="s">
        <v>125</v>
      </c>
      <c r="AA105" s="161" t="s">
        <v>125</v>
      </c>
      <c r="AB105" s="161" t="s">
        <v>125</v>
      </c>
      <c r="AC105" s="161" t="s">
        <v>125</v>
      </c>
      <c r="AD105" s="161" t="s">
        <v>125</v>
      </c>
      <c r="AE105" s="161" t="s">
        <v>125</v>
      </c>
      <c r="AF105" s="161" t="s">
        <v>125</v>
      </c>
      <c r="AG105" s="161" t="s">
        <v>125</v>
      </c>
      <c r="AH105" s="161" t="s">
        <v>125</v>
      </c>
      <c r="AI105" s="161" t="s">
        <v>125</v>
      </c>
      <c r="AJ105" s="161" t="s">
        <v>125</v>
      </c>
      <c r="AK105" s="161" t="s">
        <v>125</v>
      </c>
      <c r="AL105" s="168" t="s">
        <v>125</v>
      </c>
      <c r="AM105" s="168" t="s">
        <v>125</v>
      </c>
      <c r="AN105" s="168" t="s">
        <v>125</v>
      </c>
      <c r="AO105" s="168" t="s">
        <v>125</v>
      </c>
      <c r="AP105" s="168" t="s">
        <v>125</v>
      </c>
      <c r="AQ105" s="168" t="s">
        <v>125</v>
      </c>
      <c r="AR105" s="168" t="s">
        <v>125</v>
      </c>
      <c r="AS105" s="168" t="s">
        <v>125</v>
      </c>
      <c r="AT105" s="168" t="s">
        <v>125</v>
      </c>
      <c r="AU105" s="168" t="s">
        <v>125</v>
      </c>
      <c r="AV105" s="168" t="s">
        <v>125</v>
      </c>
      <c r="AW105" s="168" t="s">
        <v>125</v>
      </c>
      <c r="AX105" s="168" t="s">
        <v>125</v>
      </c>
      <c r="AY105" s="168">
        <v>0.682674711239873</v>
      </c>
      <c r="AZ105" s="168">
        <v>0.71984335978561498</v>
      </c>
      <c r="BA105" s="168">
        <v>0.75504495198983501</v>
      </c>
      <c r="BB105" s="168">
        <v>0.71935525360915398</v>
      </c>
      <c r="BC105" s="168">
        <v>0.77829360141285198</v>
      </c>
      <c r="BD105" s="168">
        <v>0.75315918184727004</v>
      </c>
    </row>
    <row r="106" spans="1:56">
      <c r="A106" s="163" t="s">
        <v>322</v>
      </c>
      <c r="B106" s="163" t="s">
        <v>323</v>
      </c>
      <c r="C106" s="161">
        <v>0.357142999357143</v>
      </c>
      <c r="D106" s="161">
        <v>0.357142999357143</v>
      </c>
      <c r="E106" s="161">
        <v>0.357142999357143</v>
      </c>
      <c r="F106" s="161">
        <v>0.357142999357143</v>
      </c>
      <c r="G106" s="161">
        <v>0.357142999357143</v>
      </c>
      <c r="H106" s="161">
        <v>0.357142999357143</v>
      </c>
      <c r="I106" s="161">
        <v>0.357142999357143</v>
      </c>
      <c r="J106" s="161">
        <v>0.357142999357143</v>
      </c>
      <c r="K106" s="161">
        <v>0.357142999357143</v>
      </c>
      <c r="L106" s="161">
        <v>0.357142999357143</v>
      </c>
      <c r="M106" s="161">
        <v>0.357142999357143</v>
      </c>
      <c r="N106" s="161">
        <v>0.35609771386009298</v>
      </c>
      <c r="O106" s="161">
        <v>0.32894879786402298</v>
      </c>
      <c r="P106" s="161">
        <v>0.29657231557200198</v>
      </c>
      <c r="Q106" s="161">
        <v>0.29315141566666703</v>
      </c>
      <c r="R106" s="161">
        <v>0.29003233233333298</v>
      </c>
      <c r="S106" s="161">
        <v>0.29238741566666698</v>
      </c>
      <c r="T106" s="161">
        <v>0.28656599900000002</v>
      </c>
      <c r="U106" s="161">
        <v>0.27505274899999999</v>
      </c>
      <c r="V106" s="161">
        <v>0.27636608233333299</v>
      </c>
      <c r="W106" s="161">
        <v>0.27029741566666698</v>
      </c>
      <c r="X106" s="161">
        <v>0.27878533233333302</v>
      </c>
      <c r="Y106" s="161">
        <v>0.287910999</v>
      </c>
      <c r="Z106" s="161">
        <v>0.29147666566666702</v>
      </c>
      <c r="AA106" s="161">
        <v>0.29606191616666699</v>
      </c>
      <c r="AB106" s="161">
        <v>0.30075324991666702</v>
      </c>
      <c r="AC106" s="161">
        <v>0.29059466658333299</v>
      </c>
      <c r="AD106" s="161">
        <v>0.27866324999999997</v>
      </c>
      <c r="AE106" s="161">
        <v>0.27902925000000001</v>
      </c>
      <c r="AF106" s="161">
        <v>0.29377941666666701</v>
      </c>
      <c r="AG106" s="161">
        <v>0.28845500000000002</v>
      </c>
      <c r="AH106" s="161">
        <v>0.28426857695150398</v>
      </c>
      <c r="AI106" s="161">
        <v>0.29322266666666702</v>
      </c>
      <c r="AJ106" s="161">
        <v>0.30183860000000001</v>
      </c>
      <c r="AK106" s="161">
        <v>0.296870315</v>
      </c>
      <c r="AL106" s="168">
        <v>0.29844772083333299</v>
      </c>
      <c r="AM106" s="168">
        <v>0.29940856333333299</v>
      </c>
      <c r="AN106" s="168">
        <v>0.30334883499999998</v>
      </c>
      <c r="AO106" s="168">
        <v>0.30475563999999999</v>
      </c>
      <c r="AP106" s="168">
        <v>0.304414666666667</v>
      </c>
      <c r="AQ106" s="168">
        <v>0.30675158333333302</v>
      </c>
      <c r="AR106" s="168">
        <v>0.30668166666666702</v>
      </c>
      <c r="AS106" s="168">
        <v>0.30391425166666702</v>
      </c>
      <c r="AT106" s="168">
        <v>0.29801152108333301</v>
      </c>
      <c r="AU106" s="168">
        <v>0.29470000000000002</v>
      </c>
      <c r="AV106" s="168">
        <v>0.29199999999999998</v>
      </c>
      <c r="AW106" s="168">
        <v>0.29017622500000001</v>
      </c>
      <c r="AX106" s="168">
        <v>0.28421395833333302</v>
      </c>
      <c r="AY106" s="168">
        <v>0.26882836666666698</v>
      </c>
      <c r="AZ106" s="168">
        <v>0.28778541666666702</v>
      </c>
      <c r="BA106" s="168">
        <v>0.28660659166666702</v>
      </c>
      <c r="BB106" s="168">
        <v>0.27597894444444399</v>
      </c>
      <c r="BC106" s="168">
        <v>0.279935558333333</v>
      </c>
      <c r="BD106" s="168">
        <v>0.28358333333333302</v>
      </c>
    </row>
    <row r="107" spans="1:56">
      <c r="A107" s="163" t="s">
        <v>324</v>
      </c>
      <c r="B107" s="163" t="s">
        <v>325</v>
      </c>
      <c r="C107" s="161" t="s">
        <v>125</v>
      </c>
      <c r="D107" s="161" t="s">
        <v>125</v>
      </c>
      <c r="E107" s="161" t="s">
        <v>125</v>
      </c>
      <c r="F107" s="161" t="s">
        <v>125</v>
      </c>
      <c r="G107" s="161" t="s">
        <v>125</v>
      </c>
      <c r="H107" s="161" t="s">
        <v>125</v>
      </c>
      <c r="I107" s="161" t="s">
        <v>125</v>
      </c>
      <c r="J107" s="161" t="s">
        <v>125</v>
      </c>
      <c r="K107" s="161" t="s">
        <v>125</v>
      </c>
      <c r="L107" s="161" t="s">
        <v>125</v>
      </c>
      <c r="M107" s="161" t="s">
        <v>125</v>
      </c>
      <c r="N107" s="161" t="s">
        <v>125</v>
      </c>
      <c r="O107" s="161" t="s">
        <v>125</v>
      </c>
      <c r="P107" s="161" t="s">
        <v>125</v>
      </c>
      <c r="Q107" s="161" t="s">
        <v>125</v>
      </c>
      <c r="R107" s="161" t="s">
        <v>125</v>
      </c>
      <c r="S107" s="161" t="s">
        <v>125</v>
      </c>
      <c r="T107" s="161" t="s">
        <v>125</v>
      </c>
      <c r="U107" s="161" t="s">
        <v>125</v>
      </c>
      <c r="V107" s="161" t="s">
        <v>125</v>
      </c>
      <c r="W107" s="161" t="s">
        <v>125</v>
      </c>
      <c r="X107" s="161" t="s">
        <v>125</v>
      </c>
      <c r="Y107" s="161" t="s">
        <v>125</v>
      </c>
      <c r="Z107" s="161" t="s">
        <v>125</v>
      </c>
      <c r="AA107" s="161" t="s">
        <v>125</v>
      </c>
      <c r="AB107" s="161" t="s">
        <v>125</v>
      </c>
      <c r="AC107" s="161" t="s">
        <v>125</v>
      </c>
      <c r="AD107" s="161" t="s">
        <v>125</v>
      </c>
      <c r="AE107" s="161" t="s">
        <v>125</v>
      </c>
      <c r="AF107" s="161" t="s">
        <v>125</v>
      </c>
      <c r="AG107" s="161" t="s">
        <v>125</v>
      </c>
      <c r="AH107" s="161" t="s">
        <v>125</v>
      </c>
      <c r="AI107" s="161" t="s">
        <v>125</v>
      </c>
      <c r="AJ107" s="161" t="s">
        <v>125</v>
      </c>
      <c r="AK107" s="161">
        <v>10.8416833333333</v>
      </c>
      <c r="AL107" s="168">
        <v>10.8218833333333</v>
      </c>
      <c r="AM107" s="168">
        <v>12.8095583333333</v>
      </c>
      <c r="AN107" s="168">
        <v>17.362491666666699</v>
      </c>
      <c r="AO107" s="168">
        <v>20.837566666666699</v>
      </c>
      <c r="AP107" s="168">
        <v>39.007733333333299</v>
      </c>
      <c r="AQ107" s="168">
        <v>47.7038333333333</v>
      </c>
      <c r="AR107" s="168">
        <v>48.377958333333297</v>
      </c>
      <c r="AS107" s="168">
        <v>46.937066666666702</v>
      </c>
      <c r="AT107" s="168">
        <v>43.648375000000001</v>
      </c>
      <c r="AU107" s="168">
        <v>42.649941666666699</v>
      </c>
      <c r="AV107" s="168">
        <v>41.011820505934899</v>
      </c>
      <c r="AW107" s="168">
        <v>40.152899945420501</v>
      </c>
      <c r="AX107" s="168">
        <v>37.316256805555597</v>
      </c>
      <c r="AY107" s="168">
        <v>36.574591666666699</v>
      </c>
      <c r="AZ107" s="168">
        <v>42.904108333333298</v>
      </c>
      <c r="BA107" s="168">
        <v>45.964261400813903</v>
      </c>
      <c r="BB107" s="168">
        <v>46.143901317204303</v>
      </c>
      <c r="BC107" s="168">
        <v>47.004479142256798</v>
      </c>
      <c r="BD107" s="168">
        <v>48.438059008772598</v>
      </c>
    </row>
    <row r="108" spans="1:56">
      <c r="A108" s="163" t="s">
        <v>326</v>
      </c>
      <c r="B108" s="163" t="s">
        <v>327</v>
      </c>
      <c r="C108" s="161">
        <v>80.000154725774706</v>
      </c>
      <c r="D108" s="161">
        <v>80.000154725774706</v>
      </c>
      <c r="E108" s="161">
        <v>80.000154725774706</v>
      </c>
      <c r="F108" s="161">
        <v>80.000154725774706</v>
      </c>
      <c r="G108" s="161">
        <v>240.00046417732401</v>
      </c>
      <c r="H108" s="161">
        <v>240.00046417732401</v>
      </c>
      <c r="I108" s="161">
        <v>240.00046417732401</v>
      </c>
      <c r="J108" s="161">
        <v>240.00046417732401</v>
      </c>
      <c r="K108" s="161">
        <v>240.00046417732401</v>
      </c>
      <c r="L108" s="161">
        <v>240.00046417732401</v>
      </c>
      <c r="M108" s="161">
        <v>240.00046417732401</v>
      </c>
      <c r="N108" s="161">
        <v>240.00046417732401</v>
      </c>
      <c r="O108" s="161">
        <v>510.00098637681401</v>
      </c>
      <c r="P108" s="161">
        <v>600.00116044331003</v>
      </c>
      <c r="Q108" s="161">
        <v>600.00116044331003</v>
      </c>
      <c r="R108" s="161">
        <v>724.99998063374403</v>
      </c>
      <c r="S108" s="161">
        <v>429.166988536058</v>
      </c>
      <c r="T108" s="161">
        <v>199.99999465758501</v>
      </c>
      <c r="U108" s="161">
        <v>333.33332442930703</v>
      </c>
      <c r="V108" s="161">
        <v>367.49999018331198</v>
      </c>
      <c r="W108" s="161">
        <v>9.9999997328792301</v>
      </c>
      <c r="X108" s="161">
        <v>21.666666087905</v>
      </c>
      <c r="Y108" s="161">
        <v>34.999999065077297</v>
      </c>
      <c r="Z108" s="161">
        <v>34.999999065077297</v>
      </c>
      <c r="AA108" s="161">
        <v>34.999999065077297</v>
      </c>
      <c r="AB108" s="161">
        <v>54.999998530835697</v>
      </c>
      <c r="AC108" s="161">
        <v>94.999997462352695</v>
      </c>
      <c r="AD108" s="161">
        <v>187.49999499148501</v>
      </c>
      <c r="AE108" s="161">
        <v>400.37498930515198</v>
      </c>
      <c r="AF108" s="161">
        <v>591.49998419980602</v>
      </c>
      <c r="AG108" s="161">
        <v>707.74998109452702</v>
      </c>
      <c r="AH108" s="161">
        <v>702.08331457922895</v>
      </c>
      <c r="AI108" s="161">
        <v>716.08331420525997</v>
      </c>
      <c r="AJ108" s="161">
        <v>716.24998086747496</v>
      </c>
      <c r="AK108" s="161">
        <v>717.66664749629899</v>
      </c>
      <c r="AL108" s="168">
        <v>804.69</v>
      </c>
      <c r="AM108" s="168">
        <v>921.02166666666699</v>
      </c>
      <c r="AN108" s="168">
        <v>1259.9791666666699</v>
      </c>
      <c r="AO108" s="168">
        <v>3298.3333333333298</v>
      </c>
      <c r="AP108" s="168">
        <v>7102.0249999999996</v>
      </c>
      <c r="AQ108" s="168">
        <v>7887.6433333333298</v>
      </c>
      <c r="AR108" s="168">
        <v>8954.5833333333303</v>
      </c>
      <c r="AS108" s="168">
        <v>10056.333333333299</v>
      </c>
      <c r="AT108" s="168">
        <v>10569.0375</v>
      </c>
      <c r="AU108" s="168">
        <v>10585.375</v>
      </c>
      <c r="AV108" s="168">
        <v>10655.166666666701</v>
      </c>
      <c r="AW108" s="168">
        <v>10159.9391666667</v>
      </c>
      <c r="AX108" s="168">
        <v>9603.1603062450195</v>
      </c>
      <c r="AY108" s="168">
        <v>8744.2240881609705</v>
      </c>
      <c r="AZ108" s="168">
        <v>8516.0526154260806</v>
      </c>
      <c r="BA108" s="168">
        <v>8258.7700862033598</v>
      </c>
      <c r="BB108" s="168">
        <v>8030.0550000000003</v>
      </c>
      <c r="BC108" s="168">
        <v>8007.7574999999997</v>
      </c>
      <c r="BD108" s="168" t="s">
        <v>125</v>
      </c>
    </row>
    <row r="109" spans="1:56">
      <c r="A109" s="163" t="s">
        <v>328</v>
      </c>
      <c r="B109" s="163" t="s">
        <v>329</v>
      </c>
      <c r="C109" s="161" t="s">
        <v>125</v>
      </c>
      <c r="D109" s="161" t="s">
        <v>125</v>
      </c>
      <c r="E109" s="161" t="s">
        <v>125</v>
      </c>
      <c r="F109" s="161" t="s">
        <v>125</v>
      </c>
      <c r="G109" s="161" t="s">
        <v>125</v>
      </c>
      <c r="H109" s="161" t="s">
        <v>125</v>
      </c>
      <c r="I109" s="161" t="s">
        <v>125</v>
      </c>
      <c r="J109" s="161" t="s">
        <v>125</v>
      </c>
      <c r="K109" s="161" t="s">
        <v>125</v>
      </c>
      <c r="L109" s="161" t="s">
        <v>125</v>
      </c>
      <c r="M109" s="161" t="s">
        <v>125</v>
      </c>
      <c r="N109" s="161" t="s">
        <v>125</v>
      </c>
      <c r="O109" s="161" t="s">
        <v>125</v>
      </c>
      <c r="P109" s="161" t="s">
        <v>125</v>
      </c>
      <c r="Q109" s="161" t="s">
        <v>125</v>
      </c>
      <c r="R109" s="161" t="s">
        <v>125</v>
      </c>
      <c r="S109" s="161" t="s">
        <v>125</v>
      </c>
      <c r="T109" s="161" t="s">
        <v>125</v>
      </c>
      <c r="U109" s="161" t="s">
        <v>125</v>
      </c>
      <c r="V109" s="161" t="s">
        <v>125</v>
      </c>
      <c r="W109" s="161" t="s">
        <v>125</v>
      </c>
      <c r="X109" s="161" t="s">
        <v>125</v>
      </c>
      <c r="Y109" s="161" t="s">
        <v>125</v>
      </c>
      <c r="Z109" s="161" t="s">
        <v>125</v>
      </c>
      <c r="AA109" s="161" t="s">
        <v>125</v>
      </c>
      <c r="AB109" s="161" t="s">
        <v>125</v>
      </c>
      <c r="AC109" s="161" t="s">
        <v>125</v>
      </c>
      <c r="AD109" s="161" t="s">
        <v>125</v>
      </c>
      <c r="AE109" s="161" t="s">
        <v>125</v>
      </c>
      <c r="AF109" s="161" t="s">
        <v>125</v>
      </c>
      <c r="AG109" s="161" t="s">
        <v>125</v>
      </c>
      <c r="AH109" s="161" t="s">
        <v>125</v>
      </c>
      <c r="AI109" s="161">
        <v>0.73646666666666605</v>
      </c>
      <c r="AJ109" s="161">
        <v>0.67533333333333301</v>
      </c>
      <c r="AK109" s="161">
        <v>0.55974999999999997</v>
      </c>
      <c r="AL109" s="168">
        <v>0.52758333333333296</v>
      </c>
      <c r="AM109" s="168">
        <v>0.55074999999999996</v>
      </c>
      <c r="AN109" s="168">
        <v>0.58091666666666697</v>
      </c>
      <c r="AO109" s="168">
        <v>0.58983333333333299</v>
      </c>
      <c r="AP109" s="168">
        <v>0.58516666666666695</v>
      </c>
      <c r="AQ109" s="168">
        <v>0.60650000000000004</v>
      </c>
      <c r="AR109" s="168">
        <v>0.62791666666666701</v>
      </c>
      <c r="AS109" s="168">
        <v>0.61819166666666703</v>
      </c>
      <c r="AT109" s="168">
        <v>0.57147499999999996</v>
      </c>
      <c r="AU109" s="168">
        <v>0.54023333333333301</v>
      </c>
      <c r="AV109" s="168">
        <v>0.56471666666666698</v>
      </c>
      <c r="AW109" s="168">
        <v>0.56040833333333295</v>
      </c>
      <c r="AX109" s="168">
        <v>0.51379166666666698</v>
      </c>
      <c r="AY109" s="168">
        <v>0.480816666666667</v>
      </c>
      <c r="AZ109" s="168">
        <v>0.50555000000000005</v>
      </c>
      <c r="BA109" s="168">
        <v>0.53047500000000003</v>
      </c>
      <c r="BB109" s="168">
        <v>0.50123333333333298</v>
      </c>
      <c r="BC109" s="168">
        <v>0.546875</v>
      </c>
      <c r="BD109" s="168">
        <v>0.52939166666666704</v>
      </c>
    </row>
    <row r="110" spans="1:56">
      <c r="A110" s="163" t="s">
        <v>330</v>
      </c>
      <c r="B110" s="163" t="s">
        <v>331</v>
      </c>
      <c r="C110" s="161">
        <v>3.169349999</v>
      </c>
      <c r="D110" s="161">
        <v>3.07861666566667</v>
      </c>
      <c r="E110" s="161">
        <v>3.0090416656666701</v>
      </c>
      <c r="F110" s="161">
        <v>3.09729166566667</v>
      </c>
      <c r="G110" s="161">
        <v>3.0736583323333302</v>
      </c>
      <c r="H110" s="161">
        <v>3.0718499989999999</v>
      </c>
      <c r="I110" s="161">
        <v>3.1307499989999998</v>
      </c>
      <c r="J110" s="161">
        <v>3.2045166656666701</v>
      </c>
      <c r="K110" s="161">
        <v>3.1568249989999999</v>
      </c>
      <c r="L110" s="161">
        <v>3.25458333233333</v>
      </c>
      <c r="M110" s="161">
        <v>3.2689833323333302</v>
      </c>
      <c r="N110" s="161">
        <v>3.2277333323333299</v>
      </c>
      <c r="O110" s="161">
        <v>3.0507166656666702</v>
      </c>
      <c r="P110" s="161">
        <v>2.61039999908333</v>
      </c>
      <c r="Q110" s="161">
        <v>2.32775833241667</v>
      </c>
      <c r="R110" s="161">
        <v>2.3019833324166701</v>
      </c>
      <c r="S110" s="161">
        <v>2.8715916659166698</v>
      </c>
      <c r="T110" s="161">
        <v>3.06895833233333</v>
      </c>
      <c r="U110" s="161">
        <v>2.955374999</v>
      </c>
      <c r="V110" s="161">
        <v>3.2427499989999999</v>
      </c>
      <c r="W110" s="161">
        <v>3.4361083323333301</v>
      </c>
      <c r="X110" s="161">
        <v>4.3138749990000003</v>
      </c>
      <c r="Y110" s="161">
        <v>4.74353333233333</v>
      </c>
      <c r="Z110" s="161">
        <v>4.5281666656666699</v>
      </c>
      <c r="AA110" s="161">
        <v>6.5110916662499996</v>
      </c>
      <c r="AB110" s="161">
        <v>16.417024999666701</v>
      </c>
      <c r="AC110" s="161">
        <v>38.3699166665833</v>
      </c>
      <c r="AD110" s="161">
        <v>224.59633333333301</v>
      </c>
      <c r="AE110" s="161">
        <v>409.23</v>
      </c>
      <c r="AF110" s="161">
        <v>496.68916666666701</v>
      </c>
      <c r="AG110" s="161">
        <v>695.08916666666698</v>
      </c>
      <c r="AH110" s="161">
        <v>928.22749999999996</v>
      </c>
      <c r="AI110" s="161">
        <v>1712.7908333333301</v>
      </c>
      <c r="AJ110" s="161">
        <v>1741.36333333333</v>
      </c>
      <c r="AK110" s="161">
        <v>1680.0733333333301</v>
      </c>
      <c r="AL110" s="168">
        <v>1621.41333333333</v>
      </c>
      <c r="AM110" s="168">
        <v>1571.4441666666701</v>
      </c>
      <c r="AN110" s="168">
        <v>1539.45</v>
      </c>
      <c r="AO110" s="168">
        <v>1516.1316666666701</v>
      </c>
      <c r="AP110" s="168">
        <v>1507.8441666666699</v>
      </c>
      <c r="AQ110" s="168">
        <v>1507.5</v>
      </c>
      <c r="AR110" s="168">
        <v>1507.5</v>
      </c>
      <c r="AS110" s="168">
        <v>1507.5</v>
      </c>
      <c r="AT110" s="168">
        <v>1507.5</v>
      </c>
      <c r="AU110" s="168">
        <v>1507.5</v>
      </c>
      <c r="AV110" s="168">
        <v>1507.5</v>
      </c>
      <c r="AW110" s="168">
        <v>1507.5</v>
      </c>
      <c r="AX110" s="168">
        <v>1507.5</v>
      </c>
      <c r="AY110" s="168">
        <v>1507.5</v>
      </c>
      <c r="AZ110" s="168">
        <v>1507.5</v>
      </c>
      <c r="BA110" s="168">
        <v>1507.5</v>
      </c>
      <c r="BB110" s="168">
        <v>1507.5</v>
      </c>
      <c r="BC110" s="168">
        <v>1507.5</v>
      </c>
      <c r="BD110" s="168">
        <v>1507.5</v>
      </c>
    </row>
    <row r="111" spans="1:56">
      <c r="A111" s="163" t="s">
        <v>332</v>
      </c>
      <c r="B111" s="163" t="s">
        <v>333</v>
      </c>
      <c r="C111" s="161">
        <v>0.71428599971428597</v>
      </c>
      <c r="D111" s="161">
        <v>0.71428599971428597</v>
      </c>
      <c r="E111" s="161">
        <v>0.71428599971428597</v>
      </c>
      <c r="F111" s="161">
        <v>0.71428599971428597</v>
      </c>
      <c r="G111" s="161">
        <v>0.71428599971428597</v>
      </c>
      <c r="H111" s="161">
        <v>0.71428599971428597</v>
      </c>
      <c r="I111" s="161">
        <v>0.71428599971428597</v>
      </c>
      <c r="J111" s="161">
        <v>0.71428599971428597</v>
      </c>
      <c r="K111" s="161">
        <v>0.71428599971428597</v>
      </c>
      <c r="L111" s="161">
        <v>0.71428599971428597</v>
      </c>
      <c r="M111" s="161">
        <v>0.71428599971428597</v>
      </c>
      <c r="N111" s="161">
        <v>0.71521699900000002</v>
      </c>
      <c r="O111" s="161">
        <v>0.76870451342999402</v>
      </c>
      <c r="P111" s="161">
        <v>0.69395909802109201</v>
      </c>
      <c r="Q111" s="161">
        <v>0.67947700357025098</v>
      </c>
      <c r="R111" s="161">
        <v>0.73950775529633594</v>
      </c>
      <c r="S111" s="161">
        <v>0.86956521814744803</v>
      </c>
      <c r="T111" s="161">
        <v>0.86956521814744803</v>
      </c>
      <c r="U111" s="161">
        <v>0.86956521814744803</v>
      </c>
      <c r="V111" s="161">
        <v>0.84202260193494305</v>
      </c>
      <c r="W111" s="161">
        <v>0.77883373727604199</v>
      </c>
      <c r="X111" s="161">
        <v>0.87752833316666701</v>
      </c>
      <c r="Y111" s="161">
        <v>1.0858158330833301</v>
      </c>
      <c r="Z111" s="161">
        <v>1.1140999997500001</v>
      </c>
      <c r="AA111" s="161">
        <v>1.47527749975</v>
      </c>
      <c r="AB111" s="161">
        <v>2.2286749994166701</v>
      </c>
      <c r="AC111" s="161">
        <v>2.2850316664166699</v>
      </c>
      <c r="AD111" s="161">
        <v>2.03603333333333</v>
      </c>
      <c r="AE111" s="161">
        <v>2.2734675000000002</v>
      </c>
      <c r="AF111" s="161">
        <v>2.6226775</v>
      </c>
      <c r="AG111" s="161">
        <v>2.58732083333333</v>
      </c>
      <c r="AH111" s="161">
        <v>2.7613150000000002</v>
      </c>
      <c r="AI111" s="161">
        <v>2.8520141666666698</v>
      </c>
      <c r="AJ111" s="161">
        <v>3.2677415833333301</v>
      </c>
      <c r="AK111" s="161">
        <v>3.5507983333333302</v>
      </c>
      <c r="AL111" s="168">
        <v>3.6270850000000001</v>
      </c>
      <c r="AM111" s="168">
        <v>4.2993491666666701</v>
      </c>
      <c r="AN111" s="168">
        <v>4.6079616666666698</v>
      </c>
      <c r="AO111" s="168">
        <v>5.52828416666667</v>
      </c>
      <c r="AP111" s="168">
        <v>6.1094841666666699</v>
      </c>
      <c r="AQ111" s="168">
        <v>6.9398283333333302</v>
      </c>
      <c r="AR111" s="168">
        <v>8.6091808333333297</v>
      </c>
      <c r="AS111" s="168">
        <v>10.540746666666699</v>
      </c>
      <c r="AT111" s="168">
        <v>7.5647491666666697</v>
      </c>
      <c r="AU111" s="168">
        <v>6.4596925000000001</v>
      </c>
      <c r="AV111" s="168">
        <v>6.3593283333333304</v>
      </c>
      <c r="AW111" s="168">
        <v>6.7715491666666701</v>
      </c>
      <c r="AX111" s="168">
        <v>7.0453650000000003</v>
      </c>
      <c r="AY111" s="168">
        <v>8.26122333333333</v>
      </c>
      <c r="AZ111" s="168">
        <v>8.4736741582488797</v>
      </c>
      <c r="BA111" s="168">
        <v>7.3212219611528804</v>
      </c>
      <c r="BB111" s="168">
        <v>7.2611321323273499</v>
      </c>
      <c r="BC111" s="168">
        <v>8.2099686265933105</v>
      </c>
      <c r="BD111" s="168">
        <v>9.6550560691352594</v>
      </c>
    </row>
    <row r="112" spans="1:56">
      <c r="A112" s="163" t="s">
        <v>334</v>
      </c>
      <c r="B112" s="163" t="s">
        <v>335</v>
      </c>
      <c r="C112" s="161">
        <v>1</v>
      </c>
      <c r="D112" s="161">
        <v>1</v>
      </c>
      <c r="E112" s="161">
        <v>1</v>
      </c>
      <c r="F112" s="161">
        <v>1</v>
      </c>
      <c r="G112" s="161">
        <v>1</v>
      </c>
      <c r="H112" s="161">
        <v>1</v>
      </c>
      <c r="I112" s="161">
        <v>1</v>
      </c>
      <c r="J112" s="161">
        <v>1</v>
      </c>
      <c r="K112" s="161">
        <v>1</v>
      </c>
      <c r="L112" s="161">
        <v>1</v>
      </c>
      <c r="M112" s="161">
        <v>1</v>
      </c>
      <c r="N112" s="161">
        <v>0.99999999900000003</v>
      </c>
      <c r="O112" s="161">
        <v>1</v>
      </c>
      <c r="P112" s="161">
        <v>1</v>
      </c>
      <c r="Q112" s="161">
        <v>1.00000013796208</v>
      </c>
      <c r="R112" s="161">
        <v>1.00000027592416</v>
      </c>
      <c r="S112" s="161">
        <v>1.00000027592416</v>
      </c>
      <c r="T112" s="161">
        <v>1.00000027592416</v>
      </c>
      <c r="U112" s="161">
        <v>1.00000027592416</v>
      </c>
      <c r="V112" s="161">
        <v>1.00000027592416</v>
      </c>
      <c r="W112" s="161">
        <v>1.00000027592416</v>
      </c>
      <c r="X112" s="161">
        <v>1.00000027592416</v>
      </c>
      <c r="Y112" s="161">
        <v>1.00000027592416</v>
      </c>
      <c r="Z112" s="161">
        <v>1.00000027592416</v>
      </c>
      <c r="AA112" s="161">
        <v>1.00000027650749</v>
      </c>
      <c r="AB112" s="161">
        <v>1.00000027692416</v>
      </c>
      <c r="AC112" s="161">
        <v>1.00000027692416</v>
      </c>
      <c r="AD112" s="161">
        <v>1.00000027692416</v>
      </c>
      <c r="AE112" s="161">
        <v>1.00000027692416</v>
      </c>
      <c r="AF112" s="161">
        <v>1.00000027692416</v>
      </c>
      <c r="AG112" s="161">
        <v>1.00000027692416</v>
      </c>
      <c r="AH112" s="161">
        <v>1.00000027692416</v>
      </c>
      <c r="AI112" s="161">
        <v>1.00000027692416</v>
      </c>
      <c r="AJ112" s="161">
        <v>1.00000027692416</v>
      </c>
      <c r="AK112" s="161">
        <v>1.00000027692416</v>
      </c>
      <c r="AL112" s="168">
        <v>1.00000027692416</v>
      </c>
      <c r="AM112" s="168">
        <v>1.00000027692416</v>
      </c>
      <c r="AN112" s="168">
        <v>1.00000027692416</v>
      </c>
      <c r="AO112" s="168">
        <v>41.5075</v>
      </c>
      <c r="AP112" s="168">
        <v>41.902500000000003</v>
      </c>
      <c r="AQ112" s="168">
        <v>40.952500000000001</v>
      </c>
      <c r="AR112" s="168">
        <v>48.5833333333333</v>
      </c>
      <c r="AS112" s="168">
        <v>61.754166666666698</v>
      </c>
      <c r="AT112" s="168">
        <v>59.378833333333297</v>
      </c>
      <c r="AU112" s="168">
        <v>54.905833333333298</v>
      </c>
      <c r="AV112" s="168">
        <v>57.095833333333303</v>
      </c>
      <c r="AW112" s="168">
        <v>58.0133333333333</v>
      </c>
      <c r="AX112" s="168">
        <v>61.272222222222197</v>
      </c>
      <c r="AY112" s="168">
        <v>63.207500000000003</v>
      </c>
      <c r="AZ112" s="168">
        <v>68.286666666666704</v>
      </c>
      <c r="BA112" s="168">
        <v>71.403333333333293</v>
      </c>
      <c r="BB112" s="168">
        <v>72.226666666666702</v>
      </c>
      <c r="BC112" s="168">
        <v>73.514772079772101</v>
      </c>
      <c r="BD112" s="168">
        <v>77.52</v>
      </c>
    </row>
    <row r="113" spans="1:56">
      <c r="A113" s="163" t="s">
        <v>336</v>
      </c>
      <c r="B113" s="163" t="s">
        <v>337</v>
      </c>
      <c r="C113" s="161">
        <v>0.35714299900000002</v>
      </c>
      <c r="D113" s="161">
        <v>0.35714299900000002</v>
      </c>
      <c r="E113" s="161">
        <v>0.35714299900000002</v>
      </c>
      <c r="F113" s="161">
        <v>0.35714299900000002</v>
      </c>
      <c r="G113" s="161">
        <v>0.35714299900000002</v>
      </c>
      <c r="H113" s="161">
        <v>0.35714299900000002</v>
      </c>
      <c r="I113" s="161">
        <v>0.35714299900000002</v>
      </c>
      <c r="J113" s="161">
        <v>0.35714299900000002</v>
      </c>
      <c r="K113" s="161">
        <v>0.35714299900000002</v>
      </c>
      <c r="L113" s="161">
        <v>0.35714299900000002</v>
      </c>
      <c r="M113" s="161">
        <v>0.35714299900000002</v>
      </c>
      <c r="N113" s="161">
        <v>0.35632574900000002</v>
      </c>
      <c r="O113" s="161">
        <v>0.32894699900000002</v>
      </c>
      <c r="P113" s="161">
        <v>0.30002599899999999</v>
      </c>
      <c r="Q113" s="161">
        <v>0.29605099899999998</v>
      </c>
      <c r="R113" s="161">
        <v>0.29605099899999998</v>
      </c>
      <c r="S113" s="161">
        <v>0.29605099899999998</v>
      </c>
      <c r="T113" s="161">
        <v>0.29605099899999998</v>
      </c>
      <c r="U113" s="161">
        <v>0.29605099899999998</v>
      </c>
      <c r="V113" s="161">
        <v>0.29605099899999998</v>
      </c>
      <c r="W113" s="161">
        <v>0.296050749</v>
      </c>
      <c r="X113" s="161">
        <v>0.29605174899999998</v>
      </c>
      <c r="Y113" s="161">
        <v>0.29605299899999998</v>
      </c>
      <c r="Z113" s="161">
        <v>0.29605299908333299</v>
      </c>
      <c r="AA113" s="161">
        <v>0.29605299958333298</v>
      </c>
      <c r="AB113" s="161">
        <v>0.29605300000000001</v>
      </c>
      <c r="AC113" s="161">
        <v>0.31539580253923399</v>
      </c>
      <c r="AD113" s="161">
        <v>0.29702864435074999</v>
      </c>
      <c r="AE113" s="161">
        <v>0.285766198804</v>
      </c>
      <c r="AF113" s="161">
        <v>0.29960165611424999</v>
      </c>
      <c r="AG113" s="161">
        <v>0.28317718970299999</v>
      </c>
      <c r="AH113" s="161">
        <v>0.28072831727850001</v>
      </c>
      <c r="AI113" s="161">
        <v>0.28155335412458299</v>
      </c>
      <c r="AJ113" s="161">
        <v>0.30437021879031601</v>
      </c>
      <c r="AK113" s="161">
        <v>0.34836821013777403</v>
      </c>
      <c r="AL113" s="168">
        <v>0.41814493434980698</v>
      </c>
      <c r="AM113" s="168">
        <v>0.43679976921490199</v>
      </c>
      <c r="AN113" s="168">
        <v>0.46086611531154598</v>
      </c>
      <c r="AO113" s="168">
        <v>0.46757443745260102</v>
      </c>
      <c r="AP113" s="168">
        <v>0.463810768619974</v>
      </c>
      <c r="AQ113" s="168">
        <v>0.51218961330833301</v>
      </c>
      <c r="AR113" s="168">
        <v>0.60506425362333305</v>
      </c>
      <c r="AS113" s="168">
        <v>1.2706791739733301</v>
      </c>
      <c r="AT113" s="168">
        <v>1.29294412808415</v>
      </c>
      <c r="AU113" s="168">
        <v>1.3049661442676701</v>
      </c>
      <c r="AV113" s="168">
        <v>1.3083848239159199</v>
      </c>
      <c r="AW113" s="168">
        <v>1.3135716247906699</v>
      </c>
      <c r="AX113" s="168">
        <v>1.26264486767833</v>
      </c>
      <c r="AY113" s="168">
        <v>1.2235623934186699</v>
      </c>
      <c r="AZ113" s="168">
        <v>1.2535344886256801</v>
      </c>
      <c r="BA113" s="168">
        <v>1.26678941001316</v>
      </c>
      <c r="BB113" s="168">
        <v>1.2241524946034601</v>
      </c>
      <c r="BC113" s="168">
        <v>1.26165963821484</v>
      </c>
      <c r="BD113" s="168">
        <v>1.2715980273912399</v>
      </c>
    </row>
    <row r="114" spans="1:56">
      <c r="A114" s="163" t="s">
        <v>338</v>
      </c>
      <c r="B114" s="163" t="s">
        <v>339</v>
      </c>
      <c r="C114" s="161" t="s">
        <v>125</v>
      </c>
      <c r="D114" s="161" t="s">
        <v>125</v>
      </c>
      <c r="E114" s="161" t="s">
        <v>125</v>
      </c>
      <c r="F114" s="161" t="s">
        <v>125</v>
      </c>
      <c r="G114" s="161" t="s">
        <v>125</v>
      </c>
      <c r="H114" s="161" t="s">
        <v>125</v>
      </c>
      <c r="I114" s="161" t="s">
        <v>125</v>
      </c>
      <c r="J114" s="161" t="s">
        <v>125</v>
      </c>
      <c r="K114" s="161" t="s">
        <v>125</v>
      </c>
      <c r="L114" s="161" t="s">
        <v>125</v>
      </c>
      <c r="M114" s="161" t="s">
        <v>125</v>
      </c>
      <c r="N114" s="161" t="s">
        <v>125</v>
      </c>
      <c r="O114" s="161" t="s">
        <v>125</v>
      </c>
      <c r="P114" s="161" t="s">
        <v>125</v>
      </c>
      <c r="Q114" s="161" t="s">
        <v>125</v>
      </c>
      <c r="R114" s="161" t="s">
        <v>125</v>
      </c>
      <c r="S114" s="161" t="s">
        <v>125</v>
      </c>
      <c r="T114" s="161" t="s">
        <v>125</v>
      </c>
      <c r="U114" s="161" t="s">
        <v>125</v>
      </c>
      <c r="V114" s="161" t="s">
        <v>125</v>
      </c>
      <c r="W114" s="161" t="s">
        <v>125</v>
      </c>
      <c r="X114" s="161" t="s">
        <v>125</v>
      </c>
      <c r="Y114" s="161" t="s">
        <v>125</v>
      </c>
      <c r="Z114" s="161" t="s">
        <v>125</v>
      </c>
      <c r="AA114" s="161" t="s">
        <v>125</v>
      </c>
      <c r="AB114" s="161" t="s">
        <v>125</v>
      </c>
      <c r="AC114" s="161" t="s">
        <v>125</v>
      </c>
      <c r="AD114" s="161" t="s">
        <v>125</v>
      </c>
      <c r="AE114" s="161" t="s">
        <v>125</v>
      </c>
      <c r="AF114" s="161" t="s">
        <v>125</v>
      </c>
      <c r="AG114" s="161" t="s">
        <v>125</v>
      </c>
      <c r="AH114" s="161" t="s">
        <v>125</v>
      </c>
      <c r="AI114" s="161" t="s">
        <v>125</v>
      </c>
      <c r="AJ114" s="161" t="s">
        <v>125</v>
      </c>
      <c r="AK114" s="161" t="s">
        <v>125</v>
      </c>
      <c r="AL114" s="168" t="s">
        <v>125</v>
      </c>
      <c r="AM114" s="168" t="s">
        <v>125</v>
      </c>
      <c r="AN114" s="168" t="s">
        <v>125</v>
      </c>
      <c r="AO114" s="168" t="s">
        <v>125</v>
      </c>
      <c r="AP114" s="168" t="s">
        <v>125</v>
      </c>
      <c r="AQ114" s="168" t="s">
        <v>125</v>
      </c>
      <c r="AR114" s="168" t="s">
        <v>125</v>
      </c>
      <c r="AS114" s="168" t="s">
        <v>125</v>
      </c>
      <c r="AT114" s="168" t="s">
        <v>125</v>
      </c>
      <c r="AU114" s="168" t="s">
        <v>125</v>
      </c>
      <c r="AV114" s="168" t="s">
        <v>125</v>
      </c>
      <c r="AW114" s="168" t="s">
        <v>125</v>
      </c>
      <c r="AX114" s="168" t="s">
        <v>125</v>
      </c>
      <c r="AY114" s="168" t="s">
        <v>125</v>
      </c>
      <c r="AZ114" s="168" t="s">
        <v>125</v>
      </c>
      <c r="BA114" s="168" t="s">
        <v>125</v>
      </c>
      <c r="BB114" s="168" t="s">
        <v>125</v>
      </c>
      <c r="BC114" s="168" t="s">
        <v>125</v>
      </c>
      <c r="BD114" s="168" t="s">
        <v>125</v>
      </c>
    </row>
    <row r="115" spans="1:56">
      <c r="A115" s="163" t="s">
        <v>340</v>
      </c>
      <c r="B115" s="163" t="s">
        <v>341</v>
      </c>
      <c r="C115" s="161" t="s">
        <v>125</v>
      </c>
      <c r="D115" s="161" t="s">
        <v>125</v>
      </c>
      <c r="E115" s="161" t="s">
        <v>125</v>
      </c>
      <c r="F115" s="161" t="s">
        <v>125</v>
      </c>
      <c r="G115" s="161" t="s">
        <v>125</v>
      </c>
      <c r="H115" s="161" t="s">
        <v>125</v>
      </c>
      <c r="I115" s="161" t="s">
        <v>125</v>
      </c>
      <c r="J115" s="161" t="s">
        <v>125</v>
      </c>
      <c r="K115" s="161" t="s">
        <v>125</v>
      </c>
      <c r="L115" s="161" t="s">
        <v>125</v>
      </c>
      <c r="M115" s="161" t="s">
        <v>125</v>
      </c>
      <c r="N115" s="161" t="s">
        <v>125</v>
      </c>
      <c r="O115" s="161" t="s">
        <v>125</v>
      </c>
      <c r="P115" s="161" t="s">
        <v>125</v>
      </c>
      <c r="Q115" s="161" t="s">
        <v>125</v>
      </c>
      <c r="R115" s="161" t="s">
        <v>125</v>
      </c>
      <c r="S115" s="161" t="s">
        <v>125</v>
      </c>
      <c r="T115" s="161" t="s">
        <v>125</v>
      </c>
      <c r="U115" s="161" t="s">
        <v>125</v>
      </c>
      <c r="V115" s="161" t="s">
        <v>125</v>
      </c>
      <c r="W115" s="161" t="s">
        <v>125</v>
      </c>
      <c r="X115" s="161" t="s">
        <v>125</v>
      </c>
      <c r="Y115" s="161" t="s">
        <v>125</v>
      </c>
      <c r="Z115" s="161" t="s">
        <v>125</v>
      </c>
      <c r="AA115" s="161" t="s">
        <v>125</v>
      </c>
      <c r="AB115" s="161" t="s">
        <v>125</v>
      </c>
      <c r="AC115" s="161" t="s">
        <v>125</v>
      </c>
      <c r="AD115" s="161" t="s">
        <v>125</v>
      </c>
      <c r="AE115" s="161" t="s">
        <v>125</v>
      </c>
      <c r="AF115" s="161" t="s">
        <v>125</v>
      </c>
      <c r="AG115" s="161" t="s">
        <v>125</v>
      </c>
      <c r="AH115" s="161" t="s">
        <v>125</v>
      </c>
      <c r="AI115" s="161">
        <v>1.77275</v>
      </c>
      <c r="AJ115" s="161">
        <v>4.3440633333333301</v>
      </c>
      <c r="AK115" s="161">
        <v>3.9777499999999999</v>
      </c>
      <c r="AL115" s="168">
        <v>4</v>
      </c>
      <c r="AM115" s="168">
        <v>4</v>
      </c>
      <c r="AN115" s="168">
        <v>4</v>
      </c>
      <c r="AO115" s="168">
        <v>4</v>
      </c>
      <c r="AP115" s="168">
        <v>4</v>
      </c>
      <c r="AQ115" s="168">
        <v>4</v>
      </c>
      <c r="AR115" s="168">
        <v>4</v>
      </c>
      <c r="AS115" s="168">
        <v>3.6769583333333302</v>
      </c>
      <c r="AT115" s="168">
        <v>3.0608666666666702</v>
      </c>
      <c r="AU115" s="168">
        <v>2.7805916666666701</v>
      </c>
      <c r="AV115" s="168">
        <v>2.774025</v>
      </c>
      <c r="AW115" s="168">
        <v>2.7522250000000001</v>
      </c>
      <c r="AX115" s="168">
        <v>2.5237250000000002</v>
      </c>
      <c r="AY115" s="168">
        <v>2.357075</v>
      </c>
      <c r="AZ115" s="168">
        <v>2.48403333333333</v>
      </c>
      <c r="BA115" s="168">
        <v>2.6063333333333301</v>
      </c>
      <c r="BB115" s="168">
        <v>2.4811000000000001</v>
      </c>
      <c r="BC115" s="168">
        <v>2.6862916666666701</v>
      </c>
      <c r="BD115" s="168">
        <v>2.60100833333333</v>
      </c>
    </row>
    <row r="116" spans="1:56">
      <c r="A116" s="163" t="s">
        <v>342</v>
      </c>
      <c r="B116" s="163" t="s">
        <v>343</v>
      </c>
      <c r="C116" s="161">
        <v>50.000000049000001</v>
      </c>
      <c r="D116" s="161">
        <v>50.000000049000001</v>
      </c>
      <c r="E116" s="161">
        <v>50.000000049000001</v>
      </c>
      <c r="F116" s="161">
        <v>50.000000049000001</v>
      </c>
      <c r="G116" s="161">
        <v>50.000000049000001</v>
      </c>
      <c r="H116" s="161">
        <v>50.000000049000001</v>
      </c>
      <c r="I116" s="161">
        <v>50.000000049000001</v>
      </c>
      <c r="J116" s="161">
        <v>50.000000049000001</v>
      </c>
      <c r="K116" s="161">
        <v>50.000000049000001</v>
      </c>
      <c r="L116" s="161">
        <v>50.000000049000001</v>
      </c>
      <c r="M116" s="161">
        <v>50.000000049000001</v>
      </c>
      <c r="N116" s="161">
        <v>48.869799999000001</v>
      </c>
      <c r="O116" s="161">
        <v>44.014583332333302</v>
      </c>
      <c r="P116" s="161">
        <v>38.976499998999998</v>
      </c>
      <c r="Q116" s="161">
        <v>38.951499998999999</v>
      </c>
      <c r="R116" s="161">
        <v>36.778916665666699</v>
      </c>
      <c r="S116" s="161">
        <v>38.605166665666701</v>
      </c>
      <c r="T116" s="161">
        <v>35.842749998999999</v>
      </c>
      <c r="U116" s="161">
        <v>31.492083332333301</v>
      </c>
      <c r="V116" s="161">
        <v>29.318666665666701</v>
      </c>
      <c r="W116" s="161">
        <v>29.24166666575</v>
      </c>
      <c r="X116" s="161">
        <v>37.129249999166703</v>
      </c>
      <c r="Y116" s="161">
        <v>45.690583332333297</v>
      </c>
      <c r="Z116" s="161">
        <v>51.131666665833301</v>
      </c>
      <c r="AA116" s="161">
        <v>57.783916666416701</v>
      </c>
      <c r="AB116" s="161">
        <v>59.378</v>
      </c>
      <c r="AC116" s="161">
        <v>44.671916666666696</v>
      </c>
      <c r="AD116" s="161">
        <v>37.334083333333297</v>
      </c>
      <c r="AE116" s="161">
        <v>36.768333333333302</v>
      </c>
      <c r="AF116" s="161">
        <v>39.404000000000003</v>
      </c>
      <c r="AG116" s="161">
        <v>33.417916666666699</v>
      </c>
      <c r="AH116" s="161">
        <v>34.148249999999997</v>
      </c>
      <c r="AI116" s="161">
        <v>32.149500000000003</v>
      </c>
      <c r="AJ116" s="161">
        <v>34.596520833333301</v>
      </c>
      <c r="AK116" s="161">
        <v>33.456497499999998</v>
      </c>
      <c r="AL116" s="168">
        <v>29.4800166666667</v>
      </c>
      <c r="AM116" s="168">
        <v>30.961513333333301</v>
      </c>
      <c r="AN116" s="168">
        <v>35.773890833333297</v>
      </c>
      <c r="AO116" s="168">
        <v>36.298640833333302</v>
      </c>
      <c r="AP116" s="168" t="s">
        <v>125</v>
      </c>
      <c r="AQ116" s="168" t="s">
        <v>125</v>
      </c>
      <c r="AR116" s="168" t="s">
        <v>125</v>
      </c>
      <c r="AS116" s="168" t="s">
        <v>125</v>
      </c>
      <c r="AT116" s="168" t="s">
        <v>125</v>
      </c>
      <c r="AU116" s="168" t="s">
        <v>125</v>
      </c>
      <c r="AV116" s="168" t="s">
        <v>125</v>
      </c>
      <c r="AW116" s="168" t="s">
        <v>125</v>
      </c>
      <c r="AX116" s="168" t="s">
        <v>125</v>
      </c>
      <c r="AY116" s="168" t="s">
        <v>125</v>
      </c>
      <c r="AZ116" s="168" t="s">
        <v>125</v>
      </c>
      <c r="BA116" s="168" t="s">
        <v>125</v>
      </c>
      <c r="BB116" s="168" t="s">
        <v>125</v>
      </c>
      <c r="BC116" s="168" t="s">
        <v>125</v>
      </c>
      <c r="BD116" s="168" t="s">
        <v>125</v>
      </c>
    </row>
    <row r="117" spans="1:56">
      <c r="A117" s="163" t="s">
        <v>344</v>
      </c>
      <c r="B117" s="163" t="s">
        <v>345</v>
      </c>
      <c r="C117" s="161" t="s">
        <v>125</v>
      </c>
      <c r="D117" s="161" t="s">
        <v>125</v>
      </c>
      <c r="E117" s="161" t="s">
        <v>125</v>
      </c>
      <c r="F117" s="161" t="s">
        <v>125</v>
      </c>
      <c r="G117" s="161" t="s">
        <v>125</v>
      </c>
      <c r="H117" s="161" t="s">
        <v>125</v>
      </c>
      <c r="I117" s="161" t="s">
        <v>125</v>
      </c>
      <c r="J117" s="161">
        <v>6.0757894730000004</v>
      </c>
      <c r="K117" s="161">
        <v>6.0715789468333297</v>
      </c>
      <c r="L117" s="161">
        <v>6.0361403504166704</v>
      </c>
      <c r="M117" s="161">
        <v>6.05140350825</v>
      </c>
      <c r="N117" s="161">
        <v>5.9473684206666704</v>
      </c>
      <c r="O117" s="161">
        <v>5.7145614030000003</v>
      </c>
      <c r="P117" s="161">
        <v>4.9287547528333304</v>
      </c>
      <c r="Q117" s="161">
        <v>5.0397640408333304</v>
      </c>
      <c r="R117" s="161">
        <v>5.1264373541666703</v>
      </c>
      <c r="S117" s="161">
        <v>6.0614489860000003</v>
      </c>
      <c r="T117" s="161">
        <v>5.5737853099999999</v>
      </c>
      <c r="U117" s="161">
        <v>5.02916666575</v>
      </c>
      <c r="V117" s="161">
        <v>5.1766666656666702</v>
      </c>
      <c r="W117" s="161">
        <v>5.0949999990833303</v>
      </c>
      <c r="X117" s="161">
        <v>5.75166666583333</v>
      </c>
      <c r="Y117" s="161">
        <v>6.2258333324999997</v>
      </c>
      <c r="Z117" s="161">
        <v>7.4641666659999997</v>
      </c>
      <c r="AA117" s="161">
        <v>8.0353499999999993</v>
      </c>
      <c r="AB117" s="161">
        <v>7.99884166666667</v>
      </c>
      <c r="AC117" s="161">
        <v>8.0131583333333296</v>
      </c>
      <c r="AD117" s="161">
        <v>8.0098083333333303</v>
      </c>
      <c r="AE117" s="161">
        <v>8.0405916666666695</v>
      </c>
      <c r="AF117" s="161">
        <v>8.0338833333333302</v>
      </c>
      <c r="AG117" s="161">
        <v>8.0209916666666707</v>
      </c>
      <c r="AH117" s="161">
        <v>8.0042500000000008</v>
      </c>
      <c r="AI117" s="161">
        <v>7.9723416666666704</v>
      </c>
      <c r="AJ117" s="161">
        <v>7.9675500000000001</v>
      </c>
      <c r="AK117" s="161">
        <v>7.9602833333333303</v>
      </c>
      <c r="AL117" s="168">
        <v>7.9677583333333297</v>
      </c>
      <c r="AM117" s="168">
        <v>7.9664000000000001</v>
      </c>
      <c r="AN117" s="168">
        <v>7.9752916666666698</v>
      </c>
      <c r="AO117" s="168">
        <v>7.9787666666666697</v>
      </c>
      <c r="AP117" s="168">
        <v>7.9918500000000003</v>
      </c>
      <c r="AQ117" s="168">
        <v>8.0259</v>
      </c>
      <c r="AR117" s="168">
        <v>8.0335000000000001</v>
      </c>
      <c r="AS117" s="168">
        <v>8.0334333333333294</v>
      </c>
      <c r="AT117" s="168">
        <v>8.0212411666666696</v>
      </c>
      <c r="AU117" s="168">
        <v>8.0221710833333297</v>
      </c>
      <c r="AV117" s="168">
        <v>8.0110645833333294</v>
      </c>
      <c r="AW117" s="168">
        <v>8.0014261666666702</v>
      </c>
      <c r="AX117" s="168">
        <v>8.0358539166666692</v>
      </c>
      <c r="AY117" s="168">
        <v>8.0201099166666694</v>
      </c>
      <c r="AZ117" s="168">
        <v>7.9842833333333303</v>
      </c>
      <c r="BA117" s="168">
        <v>8.0022166666666692</v>
      </c>
      <c r="BB117" s="168">
        <v>8.0182083333333303</v>
      </c>
      <c r="BC117" s="168">
        <v>7.9898635000000002</v>
      </c>
      <c r="BD117" s="168">
        <v>7.9892553333333298</v>
      </c>
    </row>
    <row r="118" spans="1:56">
      <c r="A118" s="163" t="s">
        <v>346</v>
      </c>
      <c r="B118" s="163" t="s">
        <v>347</v>
      </c>
      <c r="C118" s="161" t="s">
        <v>125</v>
      </c>
      <c r="D118" s="161" t="s">
        <v>125</v>
      </c>
      <c r="E118" s="161" t="s">
        <v>125</v>
      </c>
      <c r="F118" s="161" t="s">
        <v>125</v>
      </c>
      <c r="G118" s="161" t="s">
        <v>125</v>
      </c>
      <c r="H118" s="161" t="s">
        <v>125</v>
      </c>
      <c r="I118" s="161" t="s">
        <v>125</v>
      </c>
      <c r="J118" s="161" t="s">
        <v>125</v>
      </c>
      <c r="K118" s="161" t="s">
        <v>125</v>
      </c>
      <c r="L118" s="161" t="s">
        <v>125</v>
      </c>
      <c r="M118" s="161" t="s">
        <v>125</v>
      </c>
      <c r="N118" s="161" t="s">
        <v>125</v>
      </c>
      <c r="O118" s="161" t="s">
        <v>125</v>
      </c>
      <c r="P118" s="161" t="s">
        <v>125</v>
      </c>
      <c r="Q118" s="161" t="s">
        <v>125</v>
      </c>
      <c r="R118" s="161" t="s">
        <v>125</v>
      </c>
      <c r="S118" s="161" t="s">
        <v>125</v>
      </c>
      <c r="T118" s="161" t="s">
        <v>125</v>
      </c>
      <c r="U118" s="161" t="s">
        <v>125</v>
      </c>
      <c r="V118" s="161" t="s">
        <v>125</v>
      </c>
      <c r="W118" s="161" t="s">
        <v>125</v>
      </c>
      <c r="X118" s="161" t="s">
        <v>125</v>
      </c>
      <c r="Y118" s="161" t="s">
        <v>125</v>
      </c>
      <c r="Z118" s="161" t="s">
        <v>125</v>
      </c>
      <c r="AA118" s="161" t="s">
        <v>125</v>
      </c>
      <c r="AB118" s="161" t="s">
        <v>125</v>
      </c>
      <c r="AC118" s="161" t="s">
        <v>125</v>
      </c>
      <c r="AD118" s="161" t="s">
        <v>125</v>
      </c>
      <c r="AE118" s="161" t="s">
        <v>125</v>
      </c>
      <c r="AF118" s="161" t="s">
        <v>125</v>
      </c>
      <c r="AG118" s="161" t="s">
        <v>125</v>
      </c>
      <c r="AH118" s="161" t="s">
        <v>125</v>
      </c>
      <c r="AI118" s="161" t="s">
        <v>125</v>
      </c>
      <c r="AJ118" s="161" t="s">
        <v>125</v>
      </c>
      <c r="AK118" s="161">
        <v>43.263183333333302</v>
      </c>
      <c r="AL118" s="168">
        <v>37.881758333333302</v>
      </c>
      <c r="AM118" s="168">
        <v>39.981074999999997</v>
      </c>
      <c r="AN118" s="168">
        <v>50.003549999999997</v>
      </c>
      <c r="AO118" s="168">
        <v>54.461733333333299</v>
      </c>
      <c r="AP118" s="168">
        <v>56.901828333333299</v>
      </c>
      <c r="AQ118" s="168">
        <v>65.903866666666701</v>
      </c>
      <c r="AR118" s="168">
        <v>68.037133333333301</v>
      </c>
      <c r="AS118" s="168">
        <v>64.349791666666704</v>
      </c>
      <c r="AT118" s="168">
        <v>54.322258333333302</v>
      </c>
      <c r="AU118" s="168">
        <v>49.409933333333299</v>
      </c>
      <c r="AV118" s="168">
        <v>49.2836833333333</v>
      </c>
      <c r="AW118" s="168">
        <v>48.801766666666701</v>
      </c>
      <c r="AX118" s="168">
        <v>44.7298166666667</v>
      </c>
      <c r="AY118" s="168">
        <v>41.867683333333297</v>
      </c>
      <c r="AZ118" s="168">
        <v>44.100574999999999</v>
      </c>
      <c r="BA118" s="168">
        <v>46.4853916666667</v>
      </c>
      <c r="BB118" s="168">
        <v>44.230825000000003</v>
      </c>
      <c r="BC118" s="168">
        <v>47.890250000000002</v>
      </c>
      <c r="BD118" s="168">
        <v>46.395341666666702</v>
      </c>
    </row>
    <row r="119" spans="1:56">
      <c r="A119" s="163" t="s">
        <v>70</v>
      </c>
      <c r="B119" s="163" t="s">
        <v>348</v>
      </c>
      <c r="C119" s="161">
        <v>49.370600049526097</v>
      </c>
      <c r="D119" s="161">
        <v>49.370600049526097</v>
      </c>
      <c r="E119" s="161">
        <v>49.370600049526097</v>
      </c>
      <c r="F119" s="161">
        <v>49.370600049526097</v>
      </c>
      <c r="G119" s="161">
        <v>49.370600049526097</v>
      </c>
      <c r="H119" s="161">
        <v>49.370600049526097</v>
      </c>
      <c r="I119" s="161">
        <v>49.370600049526097</v>
      </c>
      <c r="J119" s="161">
        <v>49.370600049526097</v>
      </c>
      <c r="K119" s="161">
        <v>49.370600049526097</v>
      </c>
      <c r="L119" s="161">
        <v>51.941975052032703</v>
      </c>
      <c r="M119" s="161">
        <v>55.541900055541902</v>
      </c>
      <c r="N119" s="161">
        <v>55.426325050080102</v>
      </c>
      <c r="O119" s="161">
        <v>50.405333331666696</v>
      </c>
      <c r="P119" s="161">
        <v>44.577666666666701</v>
      </c>
      <c r="Q119" s="161">
        <v>48.140749999999997</v>
      </c>
      <c r="R119" s="161">
        <v>42.862416663333299</v>
      </c>
      <c r="S119" s="161">
        <v>47.789916663333301</v>
      </c>
      <c r="T119" s="161">
        <v>49.135749992500003</v>
      </c>
      <c r="U119" s="161">
        <v>45.130999993333297</v>
      </c>
      <c r="V119" s="161">
        <v>42.544166660833298</v>
      </c>
      <c r="W119" s="161">
        <v>42.255749990833301</v>
      </c>
      <c r="X119" s="161">
        <v>54.346083325833298</v>
      </c>
      <c r="Y119" s="161">
        <v>69.947166664166701</v>
      </c>
      <c r="Z119" s="161">
        <v>86.089833333333303</v>
      </c>
      <c r="AA119" s="161">
        <v>115.32850000000001</v>
      </c>
      <c r="AB119" s="161">
        <v>132.49549999999999</v>
      </c>
      <c r="AC119" s="161">
        <v>135.26816666666701</v>
      </c>
      <c r="AD119" s="161">
        <v>213.84266666666699</v>
      </c>
      <c r="AE119" s="161">
        <v>281.421333333333</v>
      </c>
      <c r="AF119" s="161">
        <v>320.6875</v>
      </c>
      <c r="AG119" s="161">
        <v>298.82933333333301</v>
      </c>
      <c r="AH119" s="161">
        <v>367.072</v>
      </c>
      <c r="AI119" s="161">
        <v>372.79333333333301</v>
      </c>
      <c r="AJ119" s="161">
        <v>382.75650000000002</v>
      </c>
      <c r="AK119" s="161">
        <v>613.46716666666703</v>
      </c>
      <c r="AL119" s="168">
        <v>853.12633333333304</v>
      </c>
      <c r="AM119" s="168">
        <v>812.25033333333295</v>
      </c>
      <c r="AN119" s="168">
        <v>1018.17716666667</v>
      </c>
      <c r="AO119" s="168">
        <v>1088.27966666667</v>
      </c>
      <c r="AP119" s="168">
        <v>1256.7550000000001</v>
      </c>
      <c r="AQ119" s="168">
        <v>1353.49616666667</v>
      </c>
      <c r="AR119" s="168">
        <v>1317.69883333333</v>
      </c>
      <c r="AS119" s="168">
        <v>1366.39116666667</v>
      </c>
      <c r="AT119" s="168">
        <v>1238.32766666667</v>
      </c>
      <c r="AU119" s="168">
        <v>1868.8578333333301</v>
      </c>
      <c r="AV119" s="168">
        <v>2003.02583333333</v>
      </c>
      <c r="AW119" s="168">
        <v>2142.3016666666699</v>
      </c>
      <c r="AX119" s="168">
        <v>1873.87666666667</v>
      </c>
      <c r="AY119" s="168">
        <v>1708.37083333333</v>
      </c>
      <c r="AZ119" s="168">
        <v>1956.20583333333</v>
      </c>
      <c r="BA119" s="168">
        <v>2089.9499999999998</v>
      </c>
      <c r="BB119" s="168">
        <v>2025.1175000000001</v>
      </c>
      <c r="BC119" s="168">
        <v>2194.9666666666699</v>
      </c>
      <c r="BD119" s="168">
        <v>2206.9141666666701</v>
      </c>
    </row>
    <row r="120" spans="1:56">
      <c r="A120" s="163" t="s">
        <v>75</v>
      </c>
      <c r="B120" s="163" t="s">
        <v>349</v>
      </c>
      <c r="C120" s="161">
        <v>0.71428514242891405</v>
      </c>
      <c r="D120" s="161">
        <v>0.71428514242891405</v>
      </c>
      <c r="E120" s="161">
        <v>0.71428514242891405</v>
      </c>
      <c r="F120" s="161">
        <v>0.71428514242891405</v>
      </c>
      <c r="G120" s="161">
        <v>0.71428514242891405</v>
      </c>
      <c r="H120" s="161">
        <v>0.71428514242891405</v>
      </c>
      <c r="I120" s="161">
        <v>0.71428514242891405</v>
      </c>
      <c r="J120" s="161">
        <v>0.72420586859353897</v>
      </c>
      <c r="K120" s="161">
        <v>0.83333299983333298</v>
      </c>
      <c r="L120" s="161">
        <v>0.83333299983333298</v>
      </c>
      <c r="M120" s="161">
        <v>0.83333299983333298</v>
      </c>
      <c r="N120" s="161">
        <v>0.83089400256529</v>
      </c>
      <c r="O120" s="161">
        <v>0.801557908669424</v>
      </c>
      <c r="P120" s="161">
        <v>0.81926216566666699</v>
      </c>
      <c r="Q120" s="161">
        <v>0.84120341566666701</v>
      </c>
      <c r="R120" s="161">
        <v>0.86383349899999995</v>
      </c>
      <c r="S120" s="161">
        <v>0.91301141566666699</v>
      </c>
      <c r="T120" s="161">
        <v>0.90292808233333299</v>
      </c>
      <c r="U120" s="161">
        <v>0.84374508233333301</v>
      </c>
      <c r="V120" s="161">
        <v>0.81687791566666701</v>
      </c>
      <c r="W120" s="161">
        <v>0.81209566566666702</v>
      </c>
      <c r="X120" s="161">
        <v>0.895299082333333</v>
      </c>
      <c r="Y120" s="161">
        <v>1.05550908241667</v>
      </c>
      <c r="Z120" s="161">
        <v>1.17476333241667</v>
      </c>
      <c r="AA120" s="161">
        <v>1.4133799995</v>
      </c>
      <c r="AB120" s="161">
        <v>1.71909666625</v>
      </c>
      <c r="AC120" s="161">
        <v>1.86107333308333</v>
      </c>
      <c r="AD120" s="161">
        <v>2.2087425000000001</v>
      </c>
      <c r="AE120" s="161">
        <v>2.56130083333333</v>
      </c>
      <c r="AF120" s="161">
        <v>2.7595241666666701</v>
      </c>
      <c r="AG120" s="161">
        <v>2.7288816666666702</v>
      </c>
      <c r="AH120" s="161">
        <v>2.8033125000000001</v>
      </c>
      <c r="AI120" s="161">
        <v>3.6032754166666701</v>
      </c>
      <c r="AJ120" s="161">
        <v>4.4027783333333304</v>
      </c>
      <c r="AK120" s="161">
        <v>8.7364049999999995</v>
      </c>
      <c r="AL120" s="168">
        <v>15.2837416666667</v>
      </c>
      <c r="AM120" s="168">
        <v>15.3084666666667</v>
      </c>
      <c r="AN120" s="168">
        <v>16.444175000000001</v>
      </c>
      <c r="AO120" s="168">
        <v>31.072683333333298</v>
      </c>
      <c r="AP120" s="168">
        <v>44.088141666666701</v>
      </c>
      <c r="AQ120" s="168">
        <v>59.543808333333303</v>
      </c>
      <c r="AR120" s="168">
        <v>72.197333333333304</v>
      </c>
      <c r="AS120" s="168">
        <v>76.686608333333297</v>
      </c>
      <c r="AT120" s="168">
        <v>97.432474999999997</v>
      </c>
      <c r="AU120" s="168">
        <v>108.89750833333299</v>
      </c>
      <c r="AV120" s="168">
        <v>118.41974166666699</v>
      </c>
      <c r="AW120" s="168">
        <v>136.01354166666701</v>
      </c>
      <c r="AX120" s="168">
        <v>139.95728662071801</v>
      </c>
      <c r="AY120" s="168">
        <v>140.52269213564199</v>
      </c>
      <c r="AZ120" s="168">
        <v>141.16694375</v>
      </c>
      <c r="BA120" s="168">
        <v>150.486655869408</v>
      </c>
      <c r="BB120" s="168">
        <v>156.51545111111099</v>
      </c>
      <c r="BC120" s="168">
        <v>249.105950100379</v>
      </c>
      <c r="BD120" s="168">
        <v>364.40728728829703</v>
      </c>
    </row>
    <row r="121" spans="1:56">
      <c r="A121" s="163" t="s">
        <v>350</v>
      </c>
      <c r="B121" s="163" t="s">
        <v>351</v>
      </c>
      <c r="C121" s="161">
        <v>3.0612200020612201</v>
      </c>
      <c r="D121" s="161">
        <v>3.0612200020612201</v>
      </c>
      <c r="E121" s="161">
        <v>3.0612200020612201</v>
      </c>
      <c r="F121" s="161">
        <v>3.0612200020612201</v>
      </c>
      <c r="G121" s="161">
        <v>3.0612200020612201</v>
      </c>
      <c r="H121" s="161">
        <v>3.0612200020612201</v>
      </c>
      <c r="I121" s="161">
        <v>3.0612200020612201</v>
      </c>
      <c r="J121" s="161">
        <v>3.0612200020612201</v>
      </c>
      <c r="K121" s="161">
        <v>3.0612200020612201</v>
      </c>
      <c r="L121" s="161">
        <v>3.0612200020612201</v>
      </c>
      <c r="M121" s="161">
        <v>3.0612200020612201</v>
      </c>
      <c r="N121" s="161">
        <v>3.0522604298093099</v>
      </c>
      <c r="O121" s="161">
        <v>2.81955586834381</v>
      </c>
      <c r="P121" s="161">
        <v>2.4433296548619801</v>
      </c>
      <c r="Q121" s="161">
        <v>2.4070666659166702</v>
      </c>
      <c r="R121" s="161">
        <v>2.3937833331666698</v>
      </c>
      <c r="S121" s="161">
        <v>2.5415749991666701</v>
      </c>
      <c r="T121" s="161">
        <v>2.4612833324166701</v>
      </c>
      <c r="U121" s="161">
        <v>2.3160416657499998</v>
      </c>
      <c r="V121" s="161">
        <v>2.1884416659166699</v>
      </c>
      <c r="W121" s="161">
        <v>2.1768833324166699</v>
      </c>
      <c r="X121" s="161">
        <v>2.3041249991666701</v>
      </c>
      <c r="Y121" s="161">
        <v>2.3353916658333298</v>
      </c>
      <c r="Z121" s="161">
        <v>2.3212499991666702</v>
      </c>
      <c r="AA121" s="161">
        <v>2.3436416661666701</v>
      </c>
      <c r="AB121" s="161">
        <v>2.4830416666666699</v>
      </c>
      <c r="AC121" s="161">
        <v>2.5814416666666702</v>
      </c>
      <c r="AD121" s="161">
        <v>2.5196383333333299</v>
      </c>
      <c r="AE121" s="161">
        <v>2.6187833333333299</v>
      </c>
      <c r="AF121" s="161">
        <v>2.7088416666666699</v>
      </c>
      <c r="AG121" s="161">
        <v>2.7048749999999999</v>
      </c>
      <c r="AH121" s="161">
        <v>2.7500666666666702</v>
      </c>
      <c r="AI121" s="161">
        <v>2.5473833333333298</v>
      </c>
      <c r="AJ121" s="161">
        <v>2.5740949999999998</v>
      </c>
      <c r="AK121" s="161">
        <v>2.6242566666666698</v>
      </c>
      <c r="AL121" s="168">
        <v>2.5044041666666699</v>
      </c>
      <c r="AM121" s="168">
        <v>2.5159425</v>
      </c>
      <c r="AN121" s="168">
        <v>2.8131916666666701</v>
      </c>
      <c r="AO121" s="168">
        <v>3.9243749999999999</v>
      </c>
      <c r="AP121" s="168">
        <v>3.8</v>
      </c>
      <c r="AQ121" s="168">
        <v>3.8</v>
      </c>
      <c r="AR121" s="168">
        <v>3.8</v>
      </c>
      <c r="AS121" s="168">
        <v>3.8</v>
      </c>
      <c r="AT121" s="168">
        <v>3.8</v>
      </c>
      <c r="AU121" s="168">
        <v>3.8</v>
      </c>
      <c r="AV121" s="168">
        <v>3.7870916666666701</v>
      </c>
      <c r="AW121" s="168">
        <v>3.6681769583333299</v>
      </c>
      <c r="AX121" s="168">
        <v>3.43756938226247</v>
      </c>
      <c r="AY121" s="168">
        <v>3.3358333333333299</v>
      </c>
      <c r="AZ121" s="168">
        <v>3.5245029107064401</v>
      </c>
      <c r="BA121" s="168">
        <v>3.22108691472175</v>
      </c>
      <c r="BB121" s="168">
        <v>3.06000301052058</v>
      </c>
      <c r="BC121" s="168">
        <v>3.08880086662188</v>
      </c>
      <c r="BD121" s="168">
        <v>3.1509085500972498</v>
      </c>
    </row>
    <row r="122" spans="1:56">
      <c r="A122" s="163" t="s">
        <v>352</v>
      </c>
      <c r="B122" s="163" t="s">
        <v>353</v>
      </c>
      <c r="C122" s="161">
        <v>4.7619000037618999</v>
      </c>
      <c r="D122" s="161">
        <v>4.7619000037618999</v>
      </c>
      <c r="E122" s="161">
        <v>4.7619000037618999</v>
      </c>
      <c r="F122" s="161">
        <v>4.7619000037618999</v>
      </c>
      <c r="G122" s="161">
        <v>4.7619000037618999</v>
      </c>
      <c r="H122" s="161">
        <v>4.7619000037618999</v>
      </c>
      <c r="I122" s="161">
        <v>4.7619000037618999</v>
      </c>
      <c r="J122" s="161">
        <v>4.7609083363015801</v>
      </c>
      <c r="K122" s="161">
        <v>4.7499999989999999</v>
      </c>
      <c r="L122" s="161">
        <v>4.7499999989999999</v>
      </c>
      <c r="M122" s="161">
        <v>4.7499999989999999</v>
      </c>
      <c r="N122" s="161">
        <v>4.7344166656666697</v>
      </c>
      <c r="O122" s="161">
        <v>4.3749999989999999</v>
      </c>
      <c r="P122" s="161">
        <v>3.9856666656666699</v>
      </c>
      <c r="Q122" s="161">
        <v>3.9299999990000001</v>
      </c>
      <c r="R122" s="161">
        <v>5.7648333323333301</v>
      </c>
      <c r="S122" s="161">
        <v>8.3646666663333296</v>
      </c>
      <c r="T122" s="161">
        <v>8.7667499995</v>
      </c>
      <c r="U122" s="161">
        <v>8.9687499994166693</v>
      </c>
      <c r="V122" s="161">
        <v>7.48858333233333</v>
      </c>
      <c r="W122" s="161">
        <v>7.5499999989999997</v>
      </c>
      <c r="X122" s="161">
        <v>7.5499999989999997</v>
      </c>
      <c r="Y122" s="161">
        <v>7.1736666656666701</v>
      </c>
      <c r="Z122" s="161">
        <v>7.0499999989999997</v>
      </c>
      <c r="AA122" s="161">
        <v>7.0499999995833296</v>
      </c>
      <c r="AB122" s="161">
        <v>7.0980833333333297</v>
      </c>
      <c r="AC122" s="161">
        <v>7.1507333333333296</v>
      </c>
      <c r="AD122" s="161">
        <v>9.2230000000000008</v>
      </c>
      <c r="AE122" s="161">
        <v>8.7845833333333303</v>
      </c>
      <c r="AF122" s="161">
        <v>9.0408333333333406</v>
      </c>
      <c r="AG122" s="161">
        <v>9.5517416666666701</v>
      </c>
      <c r="AH122" s="161">
        <v>10.2526666666667</v>
      </c>
      <c r="AI122" s="161">
        <v>10.5691666666667</v>
      </c>
      <c r="AJ122" s="161">
        <v>10.956991666666701</v>
      </c>
      <c r="AK122" s="161">
        <v>11.585750000000001</v>
      </c>
      <c r="AL122" s="168">
        <v>11.77</v>
      </c>
      <c r="AM122" s="168">
        <v>11.77</v>
      </c>
      <c r="AN122" s="168">
        <v>11.77</v>
      </c>
      <c r="AO122" s="168">
        <v>11.77</v>
      </c>
      <c r="AP122" s="168">
        <v>11.77</v>
      </c>
      <c r="AQ122" s="168">
        <v>11.77</v>
      </c>
      <c r="AR122" s="168">
        <v>12.2420833333333</v>
      </c>
      <c r="AS122" s="168">
        <v>12.8</v>
      </c>
      <c r="AT122" s="168">
        <v>12.8</v>
      </c>
      <c r="AU122" s="168">
        <v>12.8</v>
      </c>
      <c r="AV122" s="168">
        <v>12.8</v>
      </c>
      <c r="AW122" s="168">
        <v>12.8</v>
      </c>
      <c r="AX122" s="168">
        <v>12.8</v>
      </c>
      <c r="AY122" s="168">
        <v>12.8</v>
      </c>
      <c r="AZ122" s="168">
        <v>12.8</v>
      </c>
      <c r="BA122" s="168">
        <v>12.8</v>
      </c>
      <c r="BB122" s="168">
        <v>14.6020084036964</v>
      </c>
      <c r="BC122" s="168">
        <v>15.364835316359599</v>
      </c>
      <c r="BD122" s="168">
        <v>15.3667100302841</v>
      </c>
    </row>
    <row r="123" spans="1:56">
      <c r="A123" s="163" t="s">
        <v>354</v>
      </c>
      <c r="B123" s="163" t="s">
        <v>355</v>
      </c>
      <c r="C123" s="161">
        <v>245.19510139835899</v>
      </c>
      <c r="D123" s="161">
        <v>245.26010162116</v>
      </c>
      <c r="E123" s="161">
        <v>245.013850686544</v>
      </c>
      <c r="F123" s="161">
        <v>245.01635069607499</v>
      </c>
      <c r="G123" s="161">
        <v>245.027184079042</v>
      </c>
      <c r="H123" s="161">
        <v>245.06093420770799</v>
      </c>
      <c r="I123" s="161">
        <v>245.67843655764401</v>
      </c>
      <c r="J123" s="161">
        <v>246.00093779128099</v>
      </c>
      <c r="K123" s="161">
        <v>247.56469375695099</v>
      </c>
      <c r="L123" s="161">
        <v>259.960574351236</v>
      </c>
      <c r="M123" s="161">
        <v>276.403137026845</v>
      </c>
      <c r="N123" s="161">
        <v>253.026797909283</v>
      </c>
      <c r="O123" s="161">
        <v>252.02762746264901</v>
      </c>
      <c r="P123" s="161">
        <v>222.88918305322699</v>
      </c>
      <c r="Q123" s="161">
        <v>240.70466763782301</v>
      </c>
      <c r="R123" s="161">
        <v>214.31290034121901</v>
      </c>
      <c r="S123" s="161">
        <v>238.95049426705901</v>
      </c>
      <c r="T123" s="161">
        <v>245.67968656657601</v>
      </c>
      <c r="U123" s="161">
        <v>225.65586023395699</v>
      </c>
      <c r="V123" s="161">
        <v>212.721644262377</v>
      </c>
      <c r="W123" s="161">
        <v>211.27955541470499</v>
      </c>
      <c r="X123" s="161">
        <v>271.73145255032699</v>
      </c>
      <c r="Y123" s="161">
        <v>328.60625269898998</v>
      </c>
      <c r="Z123" s="161">
        <v>381.06603602462798</v>
      </c>
      <c r="AA123" s="161">
        <v>436.95666578800802</v>
      </c>
      <c r="AB123" s="161">
        <v>449.26296271160697</v>
      </c>
      <c r="AC123" s="161">
        <v>346.305903554493</v>
      </c>
      <c r="AD123" s="161">
        <v>300.53656240147802</v>
      </c>
      <c r="AE123" s="161">
        <v>297.84821881937802</v>
      </c>
      <c r="AF123" s="161">
        <v>319.008299487903</v>
      </c>
      <c r="AG123" s="161">
        <v>272.264787954393</v>
      </c>
      <c r="AH123" s="161">
        <v>282.10690880881998</v>
      </c>
      <c r="AI123" s="161">
        <v>264.69180075057898</v>
      </c>
      <c r="AJ123" s="161">
        <v>283.16257950001801</v>
      </c>
      <c r="AK123" s="161">
        <v>555.20469565569704</v>
      </c>
      <c r="AL123" s="168">
        <v>499.14842590131002</v>
      </c>
      <c r="AM123" s="168">
        <v>511.55243027251601</v>
      </c>
      <c r="AN123" s="168">
        <v>583.66937235339606</v>
      </c>
      <c r="AO123" s="168">
        <v>589.951774567332</v>
      </c>
      <c r="AP123" s="168">
        <v>615.69913197380595</v>
      </c>
      <c r="AQ123" s="168">
        <v>711.97627443083297</v>
      </c>
      <c r="AR123" s="168">
        <v>733.03850707000004</v>
      </c>
      <c r="AS123" s="168">
        <v>696.98820361166702</v>
      </c>
      <c r="AT123" s="168">
        <v>581.20031386416701</v>
      </c>
      <c r="AU123" s="168">
        <v>528.28480930499995</v>
      </c>
      <c r="AV123" s="168">
        <v>527.46814284000004</v>
      </c>
      <c r="AW123" s="168">
        <v>522.89010961083295</v>
      </c>
      <c r="AX123" s="168">
        <v>479.26678258750002</v>
      </c>
      <c r="AY123" s="168">
        <v>447.80525556077299</v>
      </c>
      <c r="AZ123" s="168">
        <v>472.18629075489298</v>
      </c>
      <c r="BA123" s="168">
        <v>495.277021572396</v>
      </c>
      <c r="BB123" s="168">
        <v>471.86611409170001</v>
      </c>
      <c r="BC123" s="168">
        <v>510.52713590196998</v>
      </c>
      <c r="BD123" s="168">
        <v>494.04003744699003</v>
      </c>
    </row>
    <row r="124" spans="1:56">
      <c r="A124" s="163" t="s">
        <v>356</v>
      </c>
      <c r="B124" s="163" t="s">
        <v>357</v>
      </c>
      <c r="C124" s="161">
        <v>0.357142999357143</v>
      </c>
      <c r="D124" s="161">
        <v>0.357142999357143</v>
      </c>
      <c r="E124" s="161">
        <v>0.357142999357143</v>
      </c>
      <c r="F124" s="161">
        <v>0.357142999357143</v>
      </c>
      <c r="G124" s="161">
        <v>0.357142999357143</v>
      </c>
      <c r="H124" s="161">
        <v>0.357142999357143</v>
      </c>
      <c r="I124" s="161">
        <v>0.357142999357143</v>
      </c>
      <c r="J124" s="161">
        <v>0.36210333266567502</v>
      </c>
      <c r="K124" s="161">
        <v>0.41666699941666702</v>
      </c>
      <c r="L124" s="161">
        <v>0.41666699941666702</v>
      </c>
      <c r="M124" s="161">
        <v>0.41666699941666702</v>
      </c>
      <c r="N124" s="161">
        <v>0.40710752594094302</v>
      </c>
      <c r="O124" s="161">
        <v>0.38157666566666698</v>
      </c>
      <c r="P124" s="161">
        <v>0.36879666566666702</v>
      </c>
      <c r="Q124" s="161">
        <v>0.38548166566666697</v>
      </c>
      <c r="R124" s="161">
        <v>0.38478333233333301</v>
      </c>
      <c r="S124" s="161">
        <v>0.42513583233333302</v>
      </c>
      <c r="T124" s="161">
        <v>0.42230916566666699</v>
      </c>
      <c r="U124" s="161">
        <v>0.385383332333333</v>
      </c>
      <c r="V124" s="161">
        <v>0.35846999899999998</v>
      </c>
      <c r="W124" s="161">
        <v>0.34542666566666702</v>
      </c>
      <c r="X124" s="161">
        <v>0.38670083233333302</v>
      </c>
      <c r="Y124" s="161">
        <v>0.412142499</v>
      </c>
      <c r="Z124" s="161">
        <v>0.43244916566666702</v>
      </c>
      <c r="AA124" s="161">
        <v>0.46103416591666702</v>
      </c>
      <c r="AB124" s="161">
        <v>0.46915499983333298</v>
      </c>
      <c r="AC124" s="161">
        <v>0.39299249983333301</v>
      </c>
      <c r="AD124" s="161">
        <v>0.34549166666666697</v>
      </c>
      <c r="AE124" s="161">
        <v>0.33085666666666702</v>
      </c>
      <c r="AF124" s="161">
        <v>0.34849249999999998</v>
      </c>
      <c r="AG124" s="161">
        <v>0.31779000000000002</v>
      </c>
      <c r="AH124" s="161">
        <v>0.32324249999999999</v>
      </c>
      <c r="AI124" s="161">
        <v>0.318923333333333</v>
      </c>
      <c r="AJ124" s="161">
        <v>0.38228933333333298</v>
      </c>
      <c r="AK124" s="161">
        <v>0.37792108333333302</v>
      </c>
      <c r="AL124" s="168">
        <v>0.35305874999999998</v>
      </c>
      <c r="AM124" s="168">
        <v>0.36045586833333298</v>
      </c>
      <c r="AN124" s="168">
        <v>0.38596612499999999</v>
      </c>
      <c r="AO124" s="168">
        <v>0.38845951083333302</v>
      </c>
      <c r="AP124" s="168">
        <v>0.39889839500000002</v>
      </c>
      <c r="AQ124" s="168">
        <v>0.43814999166666702</v>
      </c>
      <c r="AR124" s="168">
        <v>0.450041566666667</v>
      </c>
      <c r="AS124" s="168">
        <v>0.43362033825000001</v>
      </c>
      <c r="AT124" s="168">
        <v>0.37723333333333298</v>
      </c>
      <c r="AU124" s="168">
        <v>0.34466317998548601</v>
      </c>
      <c r="AV124" s="168">
        <v>0.34577739224999998</v>
      </c>
      <c r="AW124" s="168">
        <v>0.340893885583333</v>
      </c>
      <c r="AX124" s="168">
        <v>0.31167499999999998</v>
      </c>
      <c r="AY124" s="168" t="s">
        <v>125</v>
      </c>
      <c r="AZ124" s="168" t="s">
        <v>125</v>
      </c>
      <c r="BA124" s="168" t="s">
        <v>125</v>
      </c>
      <c r="BB124" s="168" t="s">
        <v>125</v>
      </c>
      <c r="BC124" s="168" t="s">
        <v>125</v>
      </c>
      <c r="BD124" s="168" t="s">
        <v>125</v>
      </c>
    </row>
    <row r="125" spans="1:56">
      <c r="A125" s="163" t="s">
        <v>358</v>
      </c>
      <c r="B125" s="163" t="s">
        <v>359</v>
      </c>
      <c r="C125" s="161" t="s">
        <v>125</v>
      </c>
      <c r="D125" s="161" t="s">
        <v>125</v>
      </c>
      <c r="E125" s="161" t="s">
        <v>125</v>
      </c>
      <c r="F125" s="161" t="s">
        <v>125</v>
      </c>
      <c r="G125" s="161" t="s">
        <v>125</v>
      </c>
      <c r="H125" s="161" t="s">
        <v>125</v>
      </c>
      <c r="I125" s="161" t="s">
        <v>125</v>
      </c>
      <c r="J125" s="161" t="s">
        <v>125</v>
      </c>
      <c r="K125" s="161" t="s">
        <v>125</v>
      </c>
      <c r="L125" s="161" t="s">
        <v>125</v>
      </c>
      <c r="M125" s="161" t="s">
        <v>125</v>
      </c>
      <c r="N125" s="161" t="s">
        <v>125</v>
      </c>
      <c r="O125" s="161" t="s">
        <v>125</v>
      </c>
      <c r="P125" s="161" t="s">
        <v>125</v>
      </c>
      <c r="Q125" s="161" t="s">
        <v>125</v>
      </c>
      <c r="R125" s="161" t="s">
        <v>125</v>
      </c>
      <c r="S125" s="161" t="s">
        <v>125</v>
      </c>
      <c r="T125" s="161" t="s">
        <v>125</v>
      </c>
      <c r="U125" s="161" t="s">
        <v>125</v>
      </c>
      <c r="V125" s="161" t="s">
        <v>125</v>
      </c>
      <c r="W125" s="161" t="s">
        <v>125</v>
      </c>
      <c r="X125" s="161" t="s">
        <v>125</v>
      </c>
      <c r="Y125" s="161" t="s">
        <v>125</v>
      </c>
      <c r="Z125" s="161" t="s">
        <v>125</v>
      </c>
      <c r="AA125" s="161" t="s">
        <v>125</v>
      </c>
      <c r="AB125" s="161" t="s">
        <v>125</v>
      </c>
      <c r="AC125" s="161" t="s">
        <v>125</v>
      </c>
      <c r="AD125" s="161" t="s">
        <v>125</v>
      </c>
      <c r="AE125" s="161" t="s">
        <v>125</v>
      </c>
      <c r="AF125" s="161" t="s">
        <v>125</v>
      </c>
      <c r="AG125" s="161" t="s">
        <v>125</v>
      </c>
      <c r="AH125" s="161" t="s">
        <v>125</v>
      </c>
      <c r="AI125" s="161" t="s">
        <v>125</v>
      </c>
      <c r="AJ125" s="161" t="s">
        <v>125</v>
      </c>
      <c r="AK125" s="161" t="s">
        <v>125</v>
      </c>
      <c r="AL125" s="168" t="s">
        <v>125</v>
      </c>
      <c r="AM125" s="168" t="s">
        <v>125</v>
      </c>
      <c r="AN125" s="168" t="s">
        <v>125</v>
      </c>
      <c r="AO125" s="168" t="s">
        <v>125</v>
      </c>
      <c r="AP125" s="168" t="s">
        <v>125</v>
      </c>
      <c r="AQ125" s="168" t="s">
        <v>125</v>
      </c>
      <c r="AR125" s="168" t="s">
        <v>125</v>
      </c>
      <c r="AS125" s="168" t="s">
        <v>125</v>
      </c>
      <c r="AT125" s="168" t="s">
        <v>125</v>
      </c>
      <c r="AU125" s="168" t="s">
        <v>125</v>
      </c>
      <c r="AV125" s="168" t="s">
        <v>125</v>
      </c>
      <c r="AW125" s="168" t="s">
        <v>125</v>
      </c>
      <c r="AX125" s="168" t="s">
        <v>125</v>
      </c>
      <c r="AY125" s="168" t="s">
        <v>125</v>
      </c>
      <c r="AZ125" s="168" t="s">
        <v>125</v>
      </c>
      <c r="BA125" s="168" t="s">
        <v>125</v>
      </c>
      <c r="BB125" s="168" t="s">
        <v>125</v>
      </c>
      <c r="BC125" s="168" t="s">
        <v>125</v>
      </c>
      <c r="BD125" s="168" t="s">
        <v>125</v>
      </c>
    </row>
    <row r="126" spans="1:56">
      <c r="A126" s="163" t="s">
        <v>360</v>
      </c>
      <c r="B126" s="163" t="s">
        <v>361</v>
      </c>
      <c r="C126" s="161">
        <v>49.369911160770201</v>
      </c>
      <c r="D126" s="161">
        <v>49.369911160770201</v>
      </c>
      <c r="E126" s="161">
        <v>49.369911160770201</v>
      </c>
      <c r="F126" s="161">
        <v>49.369911160770201</v>
      </c>
      <c r="G126" s="161">
        <v>49.369911160770201</v>
      </c>
      <c r="H126" s="161">
        <v>49.369911160770201</v>
      </c>
      <c r="I126" s="161">
        <v>49.369911160770201</v>
      </c>
      <c r="J126" s="161">
        <v>49.369911160770201</v>
      </c>
      <c r="K126" s="161">
        <v>49.369911160770201</v>
      </c>
      <c r="L126" s="161">
        <v>51.941573199841798</v>
      </c>
      <c r="M126" s="161">
        <v>55.541900054541898</v>
      </c>
      <c r="N126" s="161">
        <v>55.426325049163403</v>
      </c>
      <c r="O126" s="161">
        <v>50.405333331666696</v>
      </c>
      <c r="P126" s="161">
        <v>44.577666666666701</v>
      </c>
      <c r="Q126" s="161">
        <v>45.333333332333297</v>
      </c>
      <c r="R126" s="161">
        <v>43.104249998999997</v>
      </c>
      <c r="S126" s="161">
        <v>45.022249999000003</v>
      </c>
      <c r="T126" s="161">
        <v>45.58708333325</v>
      </c>
      <c r="U126" s="161">
        <v>46.162500000000001</v>
      </c>
      <c r="V126" s="161">
        <v>45.892499999999998</v>
      </c>
      <c r="W126" s="161">
        <v>45.914083332499999</v>
      </c>
      <c r="X126" s="161">
        <v>48.295833333333299</v>
      </c>
      <c r="Y126" s="161">
        <v>51.769166666666699</v>
      </c>
      <c r="Z126" s="161">
        <v>54.811666665666699</v>
      </c>
      <c r="AA126" s="161">
        <v>63.803333332833297</v>
      </c>
      <c r="AB126" s="161">
        <v>77.084999999583303</v>
      </c>
      <c r="AC126" s="161">
        <v>74.374999999833307</v>
      </c>
      <c r="AD126" s="161">
        <v>73.878333333333302</v>
      </c>
      <c r="AE126" s="161">
        <v>75.260833333333295</v>
      </c>
      <c r="AF126" s="161">
        <v>83.051000000000002</v>
      </c>
      <c r="AG126" s="161">
        <v>80.608999999999995</v>
      </c>
      <c r="AH126" s="161">
        <v>81.945833333333297</v>
      </c>
      <c r="AI126" s="161">
        <v>87.026750000000007</v>
      </c>
      <c r="AJ126" s="161">
        <v>120.805833333333</v>
      </c>
      <c r="AK126" s="161">
        <v>123.575</v>
      </c>
      <c r="AL126" s="168">
        <v>129.768333333333</v>
      </c>
      <c r="AM126" s="168">
        <v>137.22166666666701</v>
      </c>
      <c r="AN126" s="168">
        <v>151.85333333333301</v>
      </c>
      <c r="AO126" s="168">
        <v>188.47583333333299</v>
      </c>
      <c r="AP126" s="168">
        <v>209.51416666666699</v>
      </c>
      <c r="AQ126" s="168">
        <v>238.92333333333301</v>
      </c>
      <c r="AR126" s="168">
        <v>255.629166666667</v>
      </c>
      <c r="AS126" s="168">
        <v>271.73916666666702</v>
      </c>
      <c r="AT126" s="168">
        <v>263.02999999999997</v>
      </c>
      <c r="AU126" s="168" t="s">
        <v>125</v>
      </c>
      <c r="AV126" s="168">
        <v>265.52833333333302</v>
      </c>
      <c r="AW126" s="168">
        <v>268.60000000000002</v>
      </c>
      <c r="AX126" s="168">
        <v>258.58666666666699</v>
      </c>
      <c r="AY126" s="168">
        <v>238.20333333333301</v>
      </c>
      <c r="AZ126" s="168">
        <v>262.365833333333</v>
      </c>
      <c r="BA126" s="168">
        <v>275.89416666666699</v>
      </c>
      <c r="BB126" s="168">
        <v>281.118333333333</v>
      </c>
      <c r="BC126" s="168">
        <v>296.62</v>
      </c>
      <c r="BD126" s="168" t="s">
        <v>125</v>
      </c>
    </row>
    <row r="127" spans="1:56">
      <c r="A127" s="163" t="s">
        <v>362</v>
      </c>
      <c r="B127" s="163" t="s">
        <v>363</v>
      </c>
      <c r="C127" s="161">
        <v>4.7619000037618999</v>
      </c>
      <c r="D127" s="161">
        <v>4.7619000037618999</v>
      </c>
      <c r="E127" s="161">
        <v>4.7619000037618999</v>
      </c>
      <c r="F127" s="161">
        <v>4.7619000037618999</v>
      </c>
      <c r="G127" s="161">
        <v>4.7619000037618999</v>
      </c>
      <c r="H127" s="161">
        <v>4.7619000037618999</v>
      </c>
      <c r="I127" s="161">
        <v>4.7619000037618999</v>
      </c>
      <c r="J127" s="161">
        <v>4.8280375034312097</v>
      </c>
      <c r="K127" s="161">
        <v>5.5555500045555499</v>
      </c>
      <c r="L127" s="161">
        <v>5.5555500045555499</v>
      </c>
      <c r="M127" s="161">
        <v>5.5555500045555499</v>
      </c>
      <c r="N127" s="161">
        <v>5.4857589078418396</v>
      </c>
      <c r="O127" s="161">
        <v>5.3385261876059804</v>
      </c>
      <c r="P127" s="161">
        <v>5.4422657127583198</v>
      </c>
      <c r="Q127" s="161">
        <v>5.7030750726300301</v>
      </c>
      <c r="R127" s="161">
        <v>6.0267973347139598</v>
      </c>
      <c r="S127" s="161">
        <v>6.6815249989999996</v>
      </c>
      <c r="T127" s="161">
        <v>6.6073083323333304</v>
      </c>
      <c r="U127" s="161">
        <v>6.1632749990000004</v>
      </c>
      <c r="V127" s="161">
        <v>6.3081083323333296</v>
      </c>
      <c r="W127" s="161">
        <v>7.6842916656666702</v>
      </c>
      <c r="X127" s="161">
        <v>8.9365416660833308</v>
      </c>
      <c r="Y127" s="161">
        <v>10.872549999583301</v>
      </c>
      <c r="Z127" s="161">
        <v>11.7061999994167</v>
      </c>
      <c r="AA127" s="161">
        <v>13.800333332833301</v>
      </c>
      <c r="AB127" s="161">
        <v>15.442483333166701</v>
      </c>
      <c r="AC127" s="161">
        <v>13.4663583333333</v>
      </c>
      <c r="AD127" s="161">
        <v>12.878216666666701</v>
      </c>
      <c r="AE127" s="161">
        <v>13.437725</v>
      </c>
      <c r="AF127" s="161">
        <v>15.2497666666667</v>
      </c>
      <c r="AG127" s="161">
        <v>14.863466666666699</v>
      </c>
      <c r="AH127" s="161">
        <v>15.6523083333333</v>
      </c>
      <c r="AI127" s="161">
        <v>15.5632083333333</v>
      </c>
      <c r="AJ127" s="161">
        <v>17.648025000000001</v>
      </c>
      <c r="AK127" s="161">
        <v>17.960366666666701</v>
      </c>
      <c r="AL127" s="168">
        <v>17.386316666666701</v>
      </c>
      <c r="AM127" s="168">
        <v>17.948066666666701</v>
      </c>
      <c r="AN127" s="168">
        <v>21.057258333333301</v>
      </c>
      <c r="AO127" s="168">
        <v>23.992650000000001</v>
      </c>
      <c r="AP127" s="168">
        <v>25.185808333333298</v>
      </c>
      <c r="AQ127" s="168">
        <v>26.249558333333301</v>
      </c>
      <c r="AR127" s="168">
        <v>29.129258333333301</v>
      </c>
      <c r="AS127" s="168">
        <v>29.962</v>
      </c>
      <c r="AT127" s="168">
        <v>27.901475000000001</v>
      </c>
      <c r="AU127" s="168">
        <v>27.498516666666699</v>
      </c>
      <c r="AV127" s="168">
        <v>29.496233333333301</v>
      </c>
      <c r="AW127" s="168">
        <v>31.708066666666699</v>
      </c>
      <c r="AX127" s="168">
        <v>31.313656250000001</v>
      </c>
      <c r="AY127" s="168">
        <v>28.452837500000001</v>
      </c>
      <c r="AZ127" s="168">
        <v>31.959800000000001</v>
      </c>
      <c r="BA127" s="168">
        <v>30.784400000000002</v>
      </c>
      <c r="BB127" s="168">
        <v>28.705950000000001</v>
      </c>
      <c r="BC127" s="168">
        <v>30.0499716666667</v>
      </c>
      <c r="BD127" s="168">
        <v>30.7013583333333</v>
      </c>
    </row>
    <row r="128" spans="1:56">
      <c r="A128" s="163" t="s">
        <v>88</v>
      </c>
      <c r="B128" s="163" t="s">
        <v>364</v>
      </c>
      <c r="C128" s="161">
        <v>1.25000000125E-2</v>
      </c>
      <c r="D128" s="161">
        <v>1.25000000125E-2</v>
      </c>
      <c r="E128" s="161">
        <v>1.25000000125E-2</v>
      </c>
      <c r="F128" s="161">
        <v>1.25000000125E-2</v>
      </c>
      <c r="G128" s="161">
        <v>1.25000000125E-2</v>
      </c>
      <c r="H128" s="161">
        <v>1.25000000125E-2</v>
      </c>
      <c r="I128" s="161">
        <v>1.25000000125E-2</v>
      </c>
      <c r="J128" s="161">
        <v>1.25000000125E-2</v>
      </c>
      <c r="K128" s="161">
        <v>1.25000000125E-2</v>
      </c>
      <c r="L128" s="161">
        <v>1.25000000125E-2</v>
      </c>
      <c r="M128" s="161">
        <v>1.25000000125E-2</v>
      </c>
      <c r="N128" s="161">
        <v>1.2500000000000001E-2</v>
      </c>
      <c r="O128" s="161">
        <v>1.2500023037919901E-2</v>
      </c>
      <c r="P128" s="161">
        <v>1.24999519112712E-2</v>
      </c>
      <c r="Q128" s="161">
        <v>1.24999689192606E-2</v>
      </c>
      <c r="R128" s="161">
        <v>1.2500000000000001E-2</v>
      </c>
      <c r="S128" s="161">
        <v>1.54258499996667E-2</v>
      </c>
      <c r="T128" s="161">
        <v>2.2572866665750001E-2</v>
      </c>
      <c r="U128" s="161">
        <v>2.2767283332333299E-2</v>
      </c>
      <c r="V128" s="161">
        <v>2.2805383332333298E-2</v>
      </c>
      <c r="W128" s="161">
        <v>2.2951008332333302E-2</v>
      </c>
      <c r="X128" s="161">
        <v>2.45145999990833E-2</v>
      </c>
      <c r="Y128" s="161">
        <v>5.6401699999250002E-2</v>
      </c>
      <c r="Z128" s="161">
        <v>0.1200935833325</v>
      </c>
      <c r="AA128" s="161">
        <v>0.16782758333266701</v>
      </c>
      <c r="AB128" s="161">
        <v>0.25687158333316701</v>
      </c>
      <c r="AC128" s="161">
        <v>0.611772583333</v>
      </c>
      <c r="AD128" s="161">
        <v>1.3781825000000001</v>
      </c>
      <c r="AE128" s="161">
        <v>2.2731050000000002</v>
      </c>
      <c r="AF128" s="161">
        <v>2.4614725000000002</v>
      </c>
      <c r="AG128" s="161">
        <v>2.8125991666666699</v>
      </c>
      <c r="AH128" s="161">
        <v>3.0184299999999999</v>
      </c>
      <c r="AI128" s="161">
        <v>3.09489833333333</v>
      </c>
      <c r="AJ128" s="161">
        <v>3.11561666666667</v>
      </c>
      <c r="AK128" s="161">
        <v>3.3751166666666701</v>
      </c>
      <c r="AL128" s="168">
        <v>6.4194250000000004</v>
      </c>
      <c r="AM128" s="168">
        <v>7.5994484166666698</v>
      </c>
      <c r="AN128" s="168">
        <v>7.9184599999999996</v>
      </c>
      <c r="AO128" s="168">
        <v>9.1360417500000004</v>
      </c>
      <c r="AP128" s="168">
        <v>9.5603975000000005</v>
      </c>
      <c r="AQ128" s="168">
        <v>9.4555583333333306</v>
      </c>
      <c r="AR128" s="168">
        <v>9.3423416666666697</v>
      </c>
      <c r="AS128" s="168">
        <v>9.6559583333333308</v>
      </c>
      <c r="AT128" s="168">
        <v>10.7890191666667</v>
      </c>
      <c r="AU128" s="168">
        <v>11.285966666666701</v>
      </c>
      <c r="AV128" s="168">
        <v>10.8978916666667</v>
      </c>
      <c r="AW128" s="168">
        <v>10.8992416666667</v>
      </c>
      <c r="AX128" s="168">
        <v>10.9281916666667</v>
      </c>
      <c r="AY128" s="168">
        <v>11.129716666666701</v>
      </c>
      <c r="AZ128" s="168">
        <v>13.513475</v>
      </c>
      <c r="BA128" s="168">
        <v>12.636008333333301</v>
      </c>
      <c r="BB128" s="168">
        <v>12.423325</v>
      </c>
      <c r="BC128" s="168">
        <v>13.169458333333299</v>
      </c>
      <c r="BD128" s="168">
        <v>12.7719916666667</v>
      </c>
    </row>
    <row r="129" spans="1:56">
      <c r="A129" s="163" t="s">
        <v>365</v>
      </c>
      <c r="B129" s="163" t="s">
        <v>366</v>
      </c>
      <c r="C129" s="161">
        <v>1</v>
      </c>
      <c r="D129" s="161">
        <v>1</v>
      </c>
      <c r="E129" s="161">
        <v>1</v>
      </c>
      <c r="F129" s="161">
        <v>1</v>
      </c>
      <c r="G129" s="161">
        <v>1</v>
      </c>
      <c r="H129" s="161">
        <v>1</v>
      </c>
      <c r="I129" s="161">
        <v>1</v>
      </c>
      <c r="J129" s="161">
        <v>1</v>
      </c>
      <c r="K129" s="161">
        <v>1</v>
      </c>
      <c r="L129" s="161">
        <v>1</v>
      </c>
      <c r="M129" s="161">
        <v>1</v>
      </c>
      <c r="N129" s="161">
        <v>1</v>
      </c>
      <c r="O129" s="161">
        <v>1</v>
      </c>
      <c r="P129" s="161">
        <v>1</v>
      </c>
      <c r="Q129" s="161">
        <v>1</v>
      </c>
      <c r="R129" s="161">
        <v>1</v>
      </c>
      <c r="S129" s="161">
        <v>1</v>
      </c>
      <c r="T129" s="161">
        <v>1</v>
      </c>
      <c r="U129" s="161">
        <v>1</v>
      </c>
      <c r="V129" s="161">
        <v>1</v>
      </c>
      <c r="W129" s="161">
        <v>1</v>
      </c>
      <c r="X129" s="161">
        <v>1</v>
      </c>
      <c r="Y129" s="161">
        <v>1</v>
      </c>
      <c r="Z129" s="161">
        <v>1</v>
      </c>
      <c r="AA129" s="161">
        <v>1</v>
      </c>
      <c r="AB129" s="161">
        <v>1</v>
      </c>
      <c r="AC129" s="161">
        <v>1</v>
      </c>
      <c r="AD129" s="161">
        <v>1</v>
      </c>
      <c r="AE129" s="161">
        <v>1</v>
      </c>
      <c r="AF129" s="161">
        <v>1</v>
      </c>
      <c r="AG129" s="161">
        <v>1</v>
      </c>
      <c r="AH129" s="161">
        <v>1</v>
      </c>
      <c r="AI129" s="161">
        <v>1</v>
      </c>
      <c r="AJ129" s="161">
        <v>1</v>
      </c>
      <c r="AK129" s="161">
        <v>1</v>
      </c>
      <c r="AL129" s="168">
        <v>1</v>
      </c>
      <c r="AM129" s="168">
        <v>1</v>
      </c>
      <c r="AN129" s="168">
        <v>1</v>
      </c>
      <c r="AO129" s="168">
        <v>1</v>
      </c>
      <c r="AP129" s="168">
        <v>1</v>
      </c>
      <c r="AQ129" s="168">
        <v>1</v>
      </c>
      <c r="AR129" s="168">
        <v>1</v>
      </c>
      <c r="AS129" s="168">
        <v>1</v>
      </c>
      <c r="AT129" s="168">
        <v>1</v>
      </c>
      <c r="AU129" s="168">
        <v>1</v>
      </c>
      <c r="AV129" s="168">
        <v>1</v>
      </c>
      <c r="AW129" s="168">
        <v>1</v>
      </c>
      <c r="AX129" s="168">
        <v>1</v>
      </c>
      <c r="AY129" s="168">
        <v>1</v>
      </c>
      <c r="AZ129" s="168">
        <v>1</v>
      </c>
      <c r="BA129" s="168">
        <v>1</v>
      </c>
      <c r="BB129" s="168">
        <v>1</v>
      </c>
      <c r="BC129" s="168">
        <v>1</v>
      </c>
      <c r="BD129" s="168">
        <v>1</v>
      </c>
    </row>
    <row r="130" spans="1:56">
      <c r="A130" s="163" t="s">
        <v>367</v>
      </c>
      <c r="B130" s="163" t="s">
        <v>368</v>
      </c>
      <c r="C130" s="161" t="s">
        <v>125</v>
      </c>
      <c r="D130" s="161" t="s">
        <v>125</v>
      </c>
      <c r="E130" s="161" t="s">
        <v>125</v>
      </c>
      <c r="F130" s="161" t="s">
        <v>125</v>
      </c>
      <c r="G130" s="161" t="s">
        <v>125</v>
      </c>
      <c r="H130" s="161" t="s">
        <v>125</v>
      </c>
      <c r="I130" s="161" t="s">
        <v>125</v>
      </c>
      <c r="J130" s="161" t="s">
        <v>125</v>
      </c>
      <c r="K130" s="161" t="s">
        <v>125</v>
      </c>
      <c r="L130" s="161" t="s">
        <v>125</v>
      </c>
      <c r="M130" s="161" t="s">
        <v>125</v>
      </c>
      <c r="N130" s="161" t="s">
        <v>125</v>
      </c>
      <c r="O130" s="161" t="s">
        <v>125</v>
      </c>
      <c r="P130" s="161" t="s">
        <v>125</v>
      </c>
      <c r="Q130" s="161" t="s">
        <v>125</v>
      </c>
      <c r="R130" s="161" t="s">
        <v>125</v>
      </c>
      <c r="S130" s="161" t="s">
        <v>125</v>
      </c>
      <c r="T130" s="161" t="s">
        <v>125</v>
      </c>
      <c r="U130" s="161" t="s">
        <v>125</v>
      </c>
      <c r="V130" s="161" t="s">
        <v>125</v>
      </c>
      <c r="W130" s="161" t="s">
        <v>125</v>
      </c>
      <c r="X130" s="161" t="s">
        <v>125</v>
      </c>
      <c r="Y130" s="161" t="s">
        <v>125</v>
      </c>
      <c r="Z130" s="161" t="s">
        <v>125</v>
      </c>
      <c r="AA130" s="161" t="s">
        <v>125</v>
      </c>
      <c r="AB130" s="161" t="s">
        <v>125</v>
      </c>
      <c r="AC130" s="161" t="s">
        <v>125</v>
      </c>
      <c r="AD130" s="161" t="s">
        <v>125</v>
      </c>
      <c r="AE130" s="161" t="s">
        <v>125</v>
      </c>
      <c r="AF130" s="161" t="s">
        <v>125</v>
      </c>
      <c r="AG130" s="161" t="s">
        <v>125</v>
      </c>
      <c r="AH130" s="161" t="s">
        <v>125</v>
      </c>
      <c r="AI130" s="161" t="s">
        <v>125</v>
      </c>
      <c r="AJ130" s="161" t="s">
        <v>125</v>
      </c>
      <c r="AK130" s="161" t="s">
        <v>125</v>
      </c>
      <c r="AL130" s="168">
        <v>4.4958</v>
      </c>
      <c r="AM130" s="168">
        <v>4.6044833333333299</v>
      </c>
      <c r="AN130" s="168">
        <v>4.6235833333333298</v>
      </c>
      <c r="AO130" s="168">
        <v>5.3707000000000003</v>
      </c>
      <c r="AP130" s="168">
        <v>10.5158083333333</v>
      </c>
      <c r="AQ130" s="168">
        <v>12.4342166666667</v>
      </c>
      <c r="AR130" s="168">
        <v>12.8651416666667</v>
      </c>
      <c r="AS130" s="168">
        <v>13.5704975</v>
      </c>
      <c r="AT130" s="168">
        <v>13.9448833333333</v>
      </c>
      <c r="AU130" s="168">
        <v>12.3297166666667</v>
      </c>
      <c r="AV130" s="168">
        <v>12.599625</v>
      </c>
      <c r="AW130" s="168">
        <v>13.1310583333333</v>
      </c>
      <c r="AX130" s="168">
        <v>12.1399449731183</v>
      </c>
      <c r="AY130" s="168">
        <v>10.3920436827957</v>
      </c>
      <c r="AZ130" s="168">
        <v>11.1095754339478</v>
      </c>
      <c r="BA130" s="168">
        <v>12.369260961341499</v>
      </c>
      <c r="BB130" s="168">
        <v>11.7386124865591</v>
      </c>
      <c r="BC130" s="168">
        <v>12.1114368159066</v>
      </c>
      <c r="BD130" s="168">
        <v>12.5867562314388</v>
      </c>
    </row>
    <row r="131" spans="1:56">
      <c r="A131" s="163" t="s">
        <v>369</v>
      </c>
      <c r="B131" s="163" t="s">
        <v>370</v>
      </c>
      <c r="C131" s="161" t="s">
        <v>125</v>
      </c>
      <c r="D131" s="161" t="s">
        <v>125</v>
      </c>
      <c r="E131" s="161" t="s">
        <v>125</v>
      </c>
      <c r="F131" s="161" t="s">
        <v>125</v>
      </c>
      <c r="G131" s="161" t="s">
        <v>125</v>
      </c>
      <c r="H131" s="161" t="s">
        <v>125</v>
      </c>
      <c r="I131" s="161" t="s">
        <v>125</v>
      </c>
      <c r="J131" s="161" t="s">
        <v>125</v>
      </c>
      <c r="K131" s="161" t="s">
        <v>125</v>
      </c>
      <c r="L131" s="161" t="s">
        <v>125</v>
      </c>
      <c r="M131" s="161" t="s">
        <v>125</v>
      </c>
      <c r="N131" s="161" t="s">
        <v>125</v>
      </c>
      <c r="O131" s="161" t="s">
        <v>125</v>
      </c>
      <c r="P131" s="161" t="s">
        <v>125</v>
      </c>
      <c r="Q131" s="161" t="s">
        <v>125</v>
      </c>
      <c r="R131" s="161" t="s">
        <v>125</v>
      </c>
      <c r="S131" s="161" t="s">
        <v>125</v>
      </c>
      <c r="T131" s="161" t="s">
        <v>125</v>
      </c>
      <c r="U131" s="161" t="s">
        <v>125</v>
      </c>
      <c r="V131" s="161" t="s">
        <v>125</v>
      </c>
      <c r="W131" s="161" t="s">
        <v>125</v>
      </c>
      <c r="X131" s="161" t="s">
        <v>125</v>
      </c>
      <c r="Y131" s="161" t="s">
        <v>125</v>
      </c>
      <c r="Z131" s="161" t="s">
        <v>125</v>
      </c>
      <c r="AA131" s="161" t="s">
        <v>125</v>
      </c>
      <c r="AB131" s="161" t="s">
        <v>125</v>
      </c>
      <c r="AC131" s="161" t="s">
        <v>125</v>
      </c>
      <c r="AD131" s="161" t="s">
        <v>125</v>
      </c>
      <c r="AE131" s="161" t="s">
        <v>125</v>
      </c>
      <c r="AF131" s="161" t="s">
        <v>125</v>
      </c>
      <c r="AG131" s="161" t="s">
        <v>125</v>
      </c>
      <c r="AH131" s="161" t="s">
        <v>125</v>
      </c>
      <c r="AI131" s="161" t="s">
        <v>125</v>
      </c>
      <c r="AJ131" s="161" t="s">
        <v>125</v>
      </c>
      <c r="AK131" s="161" t="s">
        <v>125</v>
      </c>
      <c r="AL131" s="168" t="s">
        <v>125</v>
      </c>
      <c r="AM131" s="168" t="s">
        <v>125</v>
      </c>
      <c r="AN131" s="168" t="s">
        <v>125</v>
      </c>
      <c r="AO131" s="168" t="s">
        <v>125</v>
      </c>
      <c r="AP131" s="168" t="s">
        <v>125</v>
      </c>
      <c r="AQ131" s="168" t="s">
        <v>125</v>
      </c>
      <c r="AR131" s="168" t="s">
        <v>125</v>
      </c>
      <c r="AS131" s="168" t="s">
        <v>125</v>
      </c>
      <c r="AT131" s="168" t="s">
        <v>125</v>
      </c>
      <c r="AU131" s="168" t="s">
        <v>125</v>
      </c>
      <c r="AV131" s="168" t="s">
        <v>125</v>
      </c>
      <c r="AW131" s="168" t="s">
        <v>125</v>
      </c>
      <c r="AX131" s="168" t="s">
        <v>125</v>
      </c>
      <c r="AY131" s="168" t="s">
        <v>125</v>
      </c>
      <c r="AZ131" s="168" t="s">
        <v>125</v>
      </c>
      <c r="BA131" s="168" t="s">
        <v>125</v>
      </c>
      <c r="BB131" s="168" t="s">
        <v>125</v>
      </c>
      <c r="BC131" s="168" t="s">
        <v>125</v>
      </c>
      <c r="BD131" s="168" t="s">
        <v>125</v>
      </c>
    </row>
    <row r="132" spans="1:56">
      <c r="A132" s="163" t="s">
        <v>371</v>
      </c>
      <c r="B132" s="163" t="s">
        <v>372</v>
      </c>
      <c r="C132" s="161" t="s">
        <v>125</v>
      </c>
      <c r="D132" s="161" t="s">
        <v>125</v>
      </c>
      <c r="E132" s="161" t="s">
        <v>125</v>
      </c>
      <c r="F132" s="161" t="s">
        <v>125</v>
      </c>
      <c r="G132" s="161" t="s">
        <v>125</v>
      </c>
      <c r="H132" s="161" t="s">
        <v>125</v>
      </c>
      <c r="I132" s="161" t="s">
        <v>125</v>
      </c>
      <c r="J132" s="161" t="s">
        <v>125</v>
      </c>
      <c r="K132" s="161" t="s">
        <v>125</v>
      </c>
      <c r="L132" s="161" t="s">
        <v>125</v>
      </c>
      <c r="M132" s="161" t="s">
        <v>125</v>
      </c>
      <c r="N132" s="161" t="s">
        <v>125</v>
      </c>
      <c r="O132" s="161" t="s">
        <v>125</v>
      </c>
      <c r="P132" s="161" t="s">
        <v>125</v>
      </c>
      <c r="Q132" s="161" t="s">
        <v>125</v>
      </c>
      <c r="R132" s="161" t="s">
        <v>125</v>
      </c>
      <c r="S132" s="161" t="s">
        <v>125</v>
      </c>
      <c r="T132" s="161" t="s">
        <v>125</v>
      </c>
      <c r="U132" s="161" t="s">
        <v>125</v>
      </c>
      <c r="V132" s="161" t="s">
        <v>125</v>
      </c>
      <c r="W132" s="161" t="s">
        <v>125</v>
      </c>
      <c r="X132" s="161" t="s">
        <v>125</v>
      </c>
      <c r="Y132" s="161" t="s">
        <v>125</v>
      </c>
      <c r="Z132" s="161" t="s">
        <v>125</v>
      </c>
      <c r="AA132" s="161" t="s">
        <v>125</v>
      </c>
      <c r="AB132" s="161" t="s">
        <v>125</v>
      </c>
      <c r="AC132" s="161" t="s">
        <v>125</v>
      </c>
      <c r="AD132" s="161" t="s">
        <v>125</v>
      </c>
      <c r="AE132" s="161" t="s">
        <v>125</v>
      </c>
      <c r="AF132" s="161" t="s">
        <v>125</v>
      </c>
      <c r="AG132" s="161" t="s">
        <v>125</v>
      </c>
      <c r="AH132" s="161">
        <v>8.0116666666666703</v>
      </c>
      <c r="AI132" s="161">
        <v>35.8333333333333</v>
      </c>
      <c r="AJ132" s="161">
        <v>295.01052583333302</v>
      </c>
      <c r="AK132" s="161">
        <v>412.72141666666698</v>
      </c>
      <c r="AL132" s="168">
        <v>448.61263333333301</v>
      </c>
      <c r="AM132" s="168">
        <v>548.40333333333297</v>
      </c>
      <c r="AN132" s="168">
        <v>789.99249999999995</v>
      </c>
      <c r="AO132" s="168">
        <v>840.82833333333303</v>
      </c>
      <c r="AP132" s="168">
        <v>1021.8674999999999</v>
      </c>
      <c r="AQ132" s="168">
        <v>1076.6666666666699</v>
      </c>
      <c r="AR132" s="168">
        <v>1097.6975</v>
      </c>
      <c r="AS132" s="168">
        <v>1110.31</v>
      </c>
      <c r="AT132" s="168">
        <v>1146.5425</v>
      </c>
      <c r="AU132" s="168">
        <v>1185.2974999999999</v>
      </c>
      <c r="AV132" s="168">
        <v>1205.2466666666701</v>
      </c>
      <c r="AW132" s="168">
        <v>1179.69916666667</v>
      </c>
      <c r="AX132" s="168">
        <v>1170.40083333333</v>
      </c>
      <c r="AY132" s="168">
        <v>1165.80416666667</v>
      </c>
      <c r="AZ132" s="168">
        <v>1437.7950000000001</v>
      </c>
      <c r="BA132" s="168">
        <v>1357.06416666667</v>
      </c>
      <c r="BB132" s="168">
        <v>1265.51583333333</v>
      </c>
      <c r="BC132" s="168">
        <v>1357.58</v>
      </c>
      <c r="BD132" s="168">
        <v>1523.9275</v>
      </c>
    </row>
    <row r="133" spans="1:56">
      <c r="A133" s="163" t="s">
        <v>373</v>
      </c>
      <c r="B133" s="163" t="s">
        <v>374</v>
      </c>
      <c r="C133" s="161" t="s">
        <v>125</v>
      </c>
      <c r="D133" s="161" t="s">
        <v>125</v>
      </c>
      <c r="E133" s="161" t="s">
        <v>125</v>
      </c>
      <c r="F133" s="161" t="s">
        <v>125</v>
      </c>
      <c r="G133" s="161" t="s">
        <v>125</v>
      </c>
      <c r="H133" s="161" t="s">
        <v>125</v>
      </c>
      <c r="I133" s="161" t="s">
        <v>125</v>
      </c>
      <c r="J133" s="161" t="s">
        <v>125</v>
      </c>
      <c r="K133" s="161" t="s">
        <v>125</v>
      </c>
      <c r="L133" s="161" t="s">
        <v>125</v>
      </c>
      <c r="M133" s="161" t="s">
        <v>125</v>
      </c>
      <c r="N133" s="161" t="s">
        <v>125</v>
      </c>
      <c r="O133" s="161" t="s">
        <v>125</v>
      </c>
      <c r="P133" s="161" t="s">
        <v>125</v>
      </c>
      <c r="Q133" s="161" t="s">
        <v>125</v>
      </c>
      <c r="R133" s="161" t="s">
        <v>125</v>
      </c>
      <c r="S133" s="161" t="s">
        <v>125</v>
      </c>
      <c r="T133" s="161" t="s">
        <v>125</v>
      </c>
      <c r="U133" s="161" t="s">
        <v>125</v>
      </c>
      <c r="V133" s="161" t="s">
        <v>125</v>
      </c>
      <c r="W133" s="161" t="s">
        <v>125</v>
      </c>
      <c r="X133" s="161" t="s">
        <v>125</v>
      </c>
      <c r="Y133" s="161" t="s">
        <v>125</v>
      </c>
      <c r="Z133" s="161" t="s">
        <v>125</v>
      </c>
      <c r="AA133" s="161" t="s">
        <v>125</v>
      </c>
      <c r="AB133" s="161" t="s">
        <v>125</v>
      </c>
      <c r="AC133" s="161" t="s">
        <v>125</v>
      </c>
      <c r="AD133" s="161" t="s">
        <v>125</v>
      </c>
      <c r="AE133" s="161" t="s">
        <v>125</v>
      </c>
      <c r="AF133" s="161" t="s">
        <v>125</v>
      </c>
      <c r="AG133" s="161" t="s">
        <v>125</v>
      </c>
      <c r="AH133" s="161" t="s">
        <v>125</v>
      </c>
      <c r="AI133" s="161" t="s">
        <v>125</v>
      </c>
      <c r="AJ133" s="161" t="s">
        <v>125</v>
      </c>
      <c r="AK133" s="161" t="s">
        <v>125</v>
      </c>
      <c r="AL133" s="168" t="s">
        <v>125</v>
      </c>
      <c r="AM133" s="168" t="s">
        <v>125</v>
      </c>
      <c r="AN133" s="168" t="s">
        <v>125</v>
      </c>
      <c r="AO133" s="168" t="s">
        <v>125</v>
      </c>
      <c r="AP133" s="168">
        <v>0.93862727583333305</v>
      </c>
      <c r="AQ133" s="168">
        <v>1.08540083333333</v>
      </c>
      <c r="AR133" s="168">
        <v>1.11751</v>
      </c>
      <c r="AS133" s="168">
        <v>1.0625516666666699</v>
      </c>
      <c r="AT133" s="168">
        <v>0.88603416666666701</v>
      </c>
      <c r="AU133" s="168">
        <v>0.805365</v>
      </c>
      <c r="AV133" s="168">
        <v>0.80411999999999995</v>
      </c>
      <c r="AW133" s="168">
        <v>0.79714083333333297</v>
      </c>
      <c r="AX133" s="168">
        <v>0.73063750000000005</v>
      </c>
      <c r="AY133" s="168">
        <v>0.682674711239873</v>
      </c>
      <c r="AZ133" s="168">
        <v>0.71984335978561498</v>
      </c>
      <c r="BA133" s="168">
        <v>0.75504495198983501</v>
      </c>
      <c r="BB133" s="168">
        <v>0.71935525360915398</v>
      </c>
      <c r="BC133" s="168">
        <v>0.77829360141285198</v>
      </c>
      <c r="BD133" s="168">
        <v>0.75315918184727004</v>
      </c>
    </row>
    <row r="134" spans="1:56">
      <c r="A134" s="163" t="s">
        <v>81</v>
      </c>
      <c r="B134" s="163" t="s">
        <v>375</v>
      </c>
      <c r="C134" s="161">
        <v>5.0604900040604903</v>
      </c>
      <c r="D134" s="161">
        <v>5.0604900040604903</v>
      </c>
      <c r="E134" s="161">
        <v>5.0604900040604903</v>
      </c>
      <c r="F134" s="161">
        <v>5.0604900040604903</v>
      </c>
      <c r="G134" s="161">
        <v>5.0604900040604903</v>
      </c>
      <c r="H134" s="161">
        <v>5.0604900040604903</v>
      </c>
      <c r="I134" s="161">
        <v>5.0604900040604903</v>
      </c>
      <c r="J134" s="161">
        <v>5.0604900040604903</v>
      </c>
      <c r="K134" s="161">
        <v>5.0604900040604903</v>
      </c>
      <c r="L134" s="161">
        <v>5.0604900040604903</v>
      </c>
      <c r="M134" s="161">
        <v>5.0604900040604903</v>
      </c>
      <c r="N134" s="161">
        <v>5.0499588536115603</v>
      </c>
      <c r="O134" s="161">
        <v>4.5924803201409503</v>
      </c>
      <c r="P134" s="161">
        <v>4.1069208323333299</v>
      </c>
      <c r="Q134" s="161">
        <v>4.3697666656666696</v>
      </c>
      <c r="R134" s="161">
        <v>4.0524874989999997</v>
      </c>
      <c r="S134" s="161">
        <v>4.4193124990000001</v>
      </c>
      <c r="T134" s="161">
        <v>4.5033458323333297</v>
      </c>
      <c r="U134" s="161">
        <v>4.1666708323333301</v>
      </c>
      <c r="V134" s="161">
        <v>3.8991341656666698</v>
      </c>
      <c r="W134" s="161">
        <v>3.9366458323333302</v>
      </c>
      <c r="X134" s="161">
        <v>5.1722958323333303</v>
      </c>
      <c r="Y134" s="161">
        <v>6.0230224989999996</v>
      </c>
      <c r="Z134" s="161">
        <v>7.1113233323333302</v>
      </c>
      <c r="AA134" s="161">
        <v>8.8105358327500003</v>
      </c>
      <c r="AB134" s="161">
        <v>10.0624941664167</v>
      </c>
      <c r="AC134" s="161">
        <v>9.1044416664166707</v>
      </c>
      <c r="AD134" s="161">
        <v>8.3592250000000003</v>
      </c>
      <c r="AE134" s="161">
        <v>8.2091499999999993</v>
      </c>
      <c r="AF134" s="161">
        <v>8.4881700000000002</v>
      </c>
      <c r="AG134" s="161">
        <v>8.24234166666667</v>
      </c>
      <c r="AH134" s="161">
        <v>8.70655</v>
      </c>
      <c r="AI134" s="161">
        <v>8.5378749999999997</v>
      </c>
      <c r="AJ134" s="161">
        <v>9.2987091666666704</v>
      </c>
      <c r="AK134" s="161">
        <v>9.2027149999999995</v>
      </c>
      <c r="AL134" s="168">
        <v>8.5402358333333304</v>
      </c>
      <c r="AM134" s="168">
        <v>8.7158758333333299</v>
      </c>
      <c r="AN134" s="168">
        <v>9.5271066666666702</v>
      </c>
      <c r="AO134" s="168">
        <v>9.6044158333333307</v>
      </c>
      <c r="AP134" s="168">
        <v>9.8044191666666691</v>
      </c>
      <c r="AQ134" s="168">
        <v>10.6256361666667</v>
      </c>
      <c r="AR134" s="168">
        <v>11.302975</v>
      </c>
      <c r="AS134" s="168">
        <v>11.020583333333301</v>
      </c>
      <c r="AT134" s="168">
        <v>9.5743833333333299</v>
      </c>
      <c r="AU134" s="168">
        <v>8.8680166666666693</v>
      </c>
      <c r="AV134" s="168">
        <v>8.8650083333333303</v>
      </c>
      <c r="AW134" s="168">
        <v>8.7955833333333295</v>
      </c>
      <c r="AX134" s="168">
        <v>8.1923333333333304</v>
      </c>
      <c r="AY134" s="168">
        <v>7.7503250000000001</v>
      </c>
      <c r="AZ134" s="168">
        <v>8.0571000000000002</v>
      </c>
      <c r="BA134" s="168">
        <v>8.4171570833333291</v>
      </c>
      <c r="BB134" s="168">
        <v>8.0898672145930792</v>
      </c>
      <c r="BC134" s="168">
        <v>8.6284413726551197</v>
      </c>
      <c r="BD134" s="168">
        <v>8.4055039167442995</v>
      </c>
    </row>
    <row r="135" spans="1:56">
      <c r="A135" s="163" t="s">
        <v>376</v>
      </c>
      <c r="B135" s="163" t="s">
        <v>377</v>
      </c>
      <c r="C135" s="161">
        <v>2.875000002875E-2</v>
      </c>
      <c r="D135" s="161">
        <v>2.875000002875E-2</v>
      </c>
      <c r="E135" s="161">
        <v>2.875000002875E-2</v>
      </c>
      <c r="F135" s="161">
        <v>2.875000002875E-2</v>
      </c>
      <c r="G135" s="161">
        <v>2.875000002875E-2</v>
      </c>
      <c r="H135" s="161">
        <v>2.875000002875E-2</v>
      </c>
      <c r="I135" s="161">
        <v>2.875000002875E-2</v>
      </c>
      <c r="J135" s="161">
        <v>2.875000002875E-2</v>
      </c>
      <c r="K135" s="161">
        <v>2.875000002875E-2</v>
      </c>
      <c r="L135" s="161">
        <v>2.875000002875E-2</v>
      </c>
      <c r="M135" s="161">
        <v>2.875000002875E-2</v>
      </c>
      <c r="N135" s="161">
        <v>2.8312083349854199E-2</v>
      </c>
      <c r="O135" s="161">
        <v>2.7053416666500001E-2</v>
      </c>
      <c r="P135" s="161">
        <v>2.4515166666416701E-2</v>
      </c>
      <c r="Q135" s="161">
        <v>2.5408166665666702E-2</v>
      </c>
      <c r="R135" s="161">
        <v>2.5552749999E-2</v>
      </c>
      <c r="S135" s="161">
        <v>3.0229083332583302E-2</v>
      </c>
      <c r="T135" s="161">
        <v>3.04072499998333E-2</v>
      </c>
      <c r="U135" s="161">
        <v>0.03</v>
      </c>
      <c r="V135" s="161">
        <v>0.03</v>
      </c>
      <c r="W135" s="161">
        <v>3.2400249999999998E-2</v>
      </c>
      <c r="X135" s="161">
        <v>3.5349499999999999E-2</v>
      </c>
      <c r="Y135" s="161">
        <v>3.7769749999999998E-2</v>
      </c>
      <c r="Z135" s="161">
        <v>4.01833333333333E-2</v>
      </c>
      <c r="AA135" s="161">
        <v>4.2442750000000001E-2</v>
      </c>
      <c r="AB135" s="161">
        <v>4.3180666666666701E-2</v>
      </c>
      <c r="AC135" s="161">
        <v>4.0428916666666703E-2</v>
      </c>
      <c r="AD135" s="161">
        <v>0.29073125</v>
      </c>
      <c r="AE135" s="161">
        <v>0.52464466666666698</v>
      </c>
      <c r="AF135" s="161">
        <v>0.74491808333333298</v>
      </c>
      <c r="AG135" s="161">
        <v>0.92908883333333303</v>
      </c>
      <c r="AH135" s="161">
        <v>1.4344675</v>
      </c>
      <c r="AI135" s="161">
        <v>2.51655416666667</v>
      </c>
      <c r="AJ135" s="161">
        <v>3.8742366666666701</v>
      </c>
      <c r="AK135" s="161">
        <v>6.0385883333333297</v>
      </c>
      <c r="AL135" s="168">
        <v>9.0243333333333293</v>
      </c>
      <c r="AM135" s="168">
        <v>11.293749999999999</v>
      </c>
      <c r="AN135" s="168">
        <v>11.5435833333333</v>
      </c>
      <c r="AO135" s="168">
        <v>11.8745833333333</v>
      </c>
      <c r="AP135" s="168">
        <v>12.7751116666667</v>
      </c>
      <c r="AQ135" s="168">
        <v>15.22725</v>
      </c>
      <c r="AR135" s="168">
        <v>20.703640833333299</v>
      </c>
      <c r="AS135" s="168">
        <v>23.677956666666699</v>
      </c>
      <c r="AT135" s="168">
        <v>23.7822675</v>
      </c>
      <c r="AU135" s="168">
        <v>22.581342500000002</v>
      </c>
      <c r="AV135" s="168">
        <v>23.060964999999999</v>
      </c>
      <c r="AW135" s="168">
        <v>25.400779166666702</v>
      </c>
      <c r="AX135" s="168">
        <v>25.840341450216499</v>
      </c>
      <c r="AY135" s="168">
        <v>24.300642472865299</v>
      </c>
      <c r="AZ135" s="168">
        <v>27.518299963924999</v>
      </c>
      <c r="BA135" s="168">
        <v>33.960098800690801</v>
      </c>
      <c r="BB135" s="168">
        <v>29.067599931977501</v>
      </c>
      <c r="BC135" s="168">
        <v>28.3729844798921</v>
      </c>
      <c r="BD135" s="168">
        <v>30.1041110929498</v>
      </c>
    </row>
    <row r="136" spans="1:56">
      <c r="A136" s="163" t="s">
        <v>378</v>
      </c>
      <c r="B136" s="163" t="s">
        <v>379</v>
      </c>
      <c r="C136" s="161">
        <v>4.7619000037618999</v>
      </c>
      <c r="D136" s="161">
        <v>4.7619000037618999</v>
      </c>
      <c r="E136" s="161">
        <v>4.7619000037618999</v>
      </c>
      <c r="F136" s="161">
        <v>4.7619000037618999</v>
      </c>
      <c r="G136" s="161">
        <v>4.7619000037618999</v>
      </c>
      <c r="H136" s="161">
        <v>4.7619000037618999</v>
      </c>
      <c r="I136" s="161">
        <v>4.7619000037618999</v>
      </c>
      <c r="J136" s="161">
        <v>4.7619000037618999</v>
      </c>
      <c r="K136" s="161">
        <v>4.7619000037618999</v>
      </c>
      <c r="L136" s="161">
        <v>4.7619000037618999</v>
      </c>
      <c r="M136" s="161">
        <v>4.7619000037618999</v>
      </c>
      <c r="N136" s="161">
        <v>4.7648426288663002</v>
      </c>
      <c r="O136" s="161">
        <v>5.4594854287077901</v>
      </c>
      <c r="P136" s="161">
        <v>4.9310476184523804</v>
      </c>
      <c r="Q136" s="161">
        <v>4.8625168833695902</v>
      </c>
      <c r="R136" s="161">
        <v>6.3793993244748703</v>
      </c>
      <c r="S136" s="161">
        <v>6.7067493564075997</v>
      </c>
      <c r="T136" s="161">
        <v>7.0675997590921096</v>
      </c>
      <c r="U136" s="161">
        <v>6.7982604310998598</v>
      </c>
      <c r="V136" s="161">
        <v>6.58576139284986</v>
      </c>
      <c r="W136" s="161">
        <v>6.5381423224165296</v>
      </c>
      <c r="X136" s="161">
        <v>7.2203372662331997</v>
      </c>
      <c r="Y136" s="161">
        <v>7.7090637830331996</v>
      </c>
      <c r="Z136" s="161">
        <v>7.9603968964415301</v>
      </c>
      <c r="AA136" s="161">
        <v>8.3032669705207596</v>
      </c>
      <c r="AB136" s="161">
        <v>8.4748499994166693</v>
      </c>
      <c r="AC136" s="161">
        <v>7.3303750000000001</v>
      </c>
      <c r="AD136" s="161">
        <v>6.6534500000000003</v>
      </c>
      <c r="AE136" s="161">
        <v>6.3945416666666697</v>
      </c>
      <c r="AF136" s="161">
        <v>6.7049000000000003</v>
      </c>
      <c r="AG136" s="161">
        <v>6.3385583333333297</v>
      </c>
      <c r="AH136" s="161">
        <v>6.2836999999999996</v>
      </c>
      <c r="AI136" s="161">
        <v>6.1045333333333298</v>
      </c>
      <c r="AJ136" s="161">
        <v>6.15696666666667</v>
      </c>
      <c r="AK136" s="161">
        <v>5.9749125000000003</v>
      </c>
      <c r="AL136" s="168">
        <v>5.6670416666666696</v>
      </c>
      <c r="AM136" s="168">
        <v>5.9175666666666702</v>
      </c>
      <c r="AN136" s="168">
        <v>6.2418333333333296</v>
      </c>
      <c r="AO136" s="168">
        <v>6.3431583333333297</v>
      </c>
      <c r="AP136" s="168">
        <v>6.28579166666667</v>
      </c>
      <c r="AQ136" s="168">
        <v>6.5167250000000001</v>
      </c>
      <c r="AR136" s="168">
        <v>6.74890833333333</v>
      </c>
      <c r="AS136" s="168">
        <v>6.6420833333333302</v>
      </c>
      <c r="AT136" s="168">
        <v>6.1389250000000004</v>
      </c>
      <c r="AU136" s="168">
        <v>5.8058333333333296</v>
      </c>
      <c r="AV136" s="168">
        <v>5.81816666666667</v>
      </c>
      <c r="AW136" s="168">
        <v>5.84294166666667</v>
      </c>
      <c r="AX136" s="168">
        <v>5.6168833333333303</v>
      </c>
      <c r="AY136" s="168">
        <v>5.4414499999999997</v>
      </c>
      <c r="AZ136" s="168">
        <v>5.5763666666666696</v>
      </c>
      <c r="BA136" s="168">
        <v>5.6348833333333301</v>
      </c>
      <c r="BB136" s="168">
        <v>5.4441083333333298</v>
      </c>
      <c r="BC136" s="168">
        <v>640.653416666667</v>
      </c>
      <c r="BD136" s="168">
        <v>933.57045405802899</v>
      </c>
    </row>
    <row r="137" spans="1:56">
      <c r="A137" s="163" t="s">
        <v>380</v>
      </c>
      <c r="B137" s="163" t="s">
        <v>381</v>
      </c>
      <c r="C137" s="161" t="s">
        <v>125</v>
      </c>
      <c r="D137" s="161" t="s">
        <v>125</v>
      </c>
      <c r="E137" s="161">
        <v>0.71326549427167596</v>
      </c>
      <c r="F137" s="161">
        <v>0.71528718525026103</v>
      </c>
      <c r="G137" s="161">
        <v>0.71725864624589497</v>
      </c>
      <c r="H137" s="161">
        <v>0.71633440114267999</v>
      </c>
      <c r="I137" s="161">
        <v>0.71698343163387301</v>
      </c>
      <c r="J137" s="161">
        <v>0.71704961913768805</v>
      </c>
      <c r="K137" s="161">
        <v>0.71699815611019702</v>
      </c>
      <c r="L137" s="161">
        <v>0.71805712542767897</v>
      </c>
      <c r="M137" s="161">
        <v>0.71641352003693604</v>
      </c>
      <c r="N137" s="161">
        <v>0.713047571920987</v>
      </c>
      <c r="O137" s="161">
        <v>0.772828411038462</v>
      </c>
      <c r="P137" s="161">
        <v>0.69411413758375096</v>
      </c>
      <c r="Q137" s="161">
        <v>0.67947700357025098</v>
      </c>
      <c r="R137" s="161">
        <v>0.73950775529633594</v>
      </c>
      <c r="S137" s="161">
        <v>0.86956521814744803</v>
      </c>
      <c r="T137" s="161">
        <v>0.86956521814744803</v>
      </c>
      <c r="U137" s="161">
        <v>0.86956521814744803</v>
      </c>
      <c r="V137" s="161">
        <v>0.84202260193494305</v>
      </c>
      <c r="W137" s="161">
        <v>0.77883373727604199</v>
      </c>
      <c r="X137" s="161">
        <v>0.87757894275815296</v>
      </c>
      <c r="Y137" s="161">
        <v>1.0858158330833301</v>
      </c>
      <c r="Z137" s="161">
        <v>1.1140999997500001</v>
      </c>
      <c r="AA137" s="161">
        <v>1.47527749975</v>
      </c>
      <c r="AB137" s="161">
        <v>2.2286749994166701</v>
      </c>
      <c r="AC137" s="161">
        <v>2.2850316664166699</v>
      </c>
      <c r="AD137" s="161">
        <v>2.03603333333333</v>
      </c>
      <c r="AE137" s="161">
        <v>2.2734675000000002</v>
      </c>
      <c r="AF137" s="161">
        <v>2.6226775</v>
      </c>
      <c r="AG137" s="161">
        <v>2.58732083333333</v>
      </c>
      <c r="AH137" s="161">
        <v>2.7613150000000002</v>
      </c>
      <c r="AI137" s="161">
        <v>2.8520141666666698</v>
      </c>
      <c r="AJ137" s="161">
        <v>3.2677415833333301</v>
      </c>
      <c r="AK137" s="161">
        <v>3.5507983333333302</v>
      </c>
      <c r="AL137" s="168">
        <v>3.6270850000000001</v>
      </c>
      <c r="AM137" s="168">
        <v>4.2993491666666701</v>
      </c>
      <c r="AN137" s="168">
        <v>4.6079616666666698</v>
      </c>
      <c r="AO137" s="168">
        <v>5.52828416666667</v>
      </c>
      <c r="AP137" s="168">
        <v>6.1094841666666699</v>
      </c>
      <c r="AQ137" s="168">
        <v>6.9398283333333302</v>
      </c>
      <c r="AR137" s="168">
        <v>8.6091808333333297</v>
      </c>
      <c r="AS137" s="168">
        <v>10.540746666666699</v>
      </c>
      <c r="AT137" s="168">
        <v>7.5647491666666697</v>
      </c>
      <c r="AU137" s="168">
        <v>6.4596925000000001</v>
      </c>
      <c r="AV137" s="168">
        <v>6.3593283333333304</v>
      </c>
      <c r="AW137" s="168">
        <v>6.7715491666666701</v>
      </c>
      <c r="AX137" s="168">
        <v>7.0453650000000003</v>
      </c>
      <c r="AY137" s="168">
        <v>8.26122333333333</v>
      </c>
      <c r="AZ137" s="168">
        <v>8.4736741582488797</v>
      </c>
      <c r="BA137" s="168">
        <v>7.3212219611528804</v>
      </c>
      <c r="BB137" s="168">
        <v>7.2611321323273499</v>
      </c>
      <c r="BC137" s="168">
        <v>8.2099686265933105</v>
      </c>
      <c r="BD137" s="168">
        <v>9.6550560691352594</v>
      </c>
    </row>
    <row r="138" spans="1:56">
      <c r="A138" s="163" t="s">
        <v>74</v>
      </c>
      <c r="B138" s="163" t="s">
        <v>382</v>
      </c>
      <c r="C138" s="161">
        <v>7.5000000064999996</v>
      </c>
      <c r="D138" s="161">
        <v>7.6190000066190002</v>
      </c>
      <c r="E138" s="161">
        <v>7.6190000066190002</v>
      </c>
      <c r="F138" s="161">
        <v>7.6190000066190002</v>
      </c>
      <c r="G138" s="161">
        <v>7.6190000066190002</v>
      </c>
      <c r="H138" s="161">
        <v>7.6190000066190002</v>
      </c>
      <c r="I138" s="161">
        <v>7.6172500066172502</v>
      </c>
      <c r="J138" s="161">
        <v>8.0341666738674995</v>
      </c>
      <c r="K138" s="161">
        <v>10.125000010125</v>
      </c>
      <c r="L138" s="161">
        <v>10.125000010125</v>
      </c>
      <c r="M138" s="161">
        <v>10.125000010125</v>
      </c>
      <c r="N138" s="161">
        <v>10.125004030341699</v>
      </c>
      <c r="O138" s="161">
        <v>10.125</v>
      </c>
      <c r="P138" s="161">
        <v>10.4715089885092</v>
      </c>
      <c r="Q138" s="161">
        <v>10.559999999</v>
      </c>
      <c r="R138" s="161">
        <v>11.0028333325</v>
      </c>
      <c r="S138" s="161">
        <v>12.5</v>
      </c>
      <c r="T138" s="161">
        <v>12.5</v>
      </c>
      <c r="U138" s="161">
        <v>12.1105</v>
      </c>
      <c r="V138" s="161">
        <v>12</v>
      </c>
      <c r="W138" s="161">
        <v>12</v>
      </c>
      <c r="X138" s="161">
        <v>12.336333333000001</v>
      </c>
      <c r="Y138" s="161">
        <v>13.243833332416701</v>
      </c>
      <c r="Z138" s="161">
        <v>14.545249999416701</v>
      </c>
      <c r="AA138" s="161">
        <v>16.459416666333301</v>
      </c>
      <c r="AB138" s="161">
        <v>18.2464166665</v>
      </c>
      <c r="AC138" s="161">
        <v>21.229833333166699</v>
      </c>
      <c r="AD138" s="161">
        <v>21.8191666666667</v>
      </c>
      <c r="AE138" s="161">
        <v>23.289249999999999</v>
      </c>
      <c r="AF138" s="161">
        <v>27.188833333333299</v>
      </c>
      <c r="AG138" s="161">
        <v>29.3691666666667</v>
      </c>
      <c r="AH138" s="161">
        <v>37.255000000000003</v>
      </c>
      <c r="AI138" s="161">
        <v>42.717500000000001</v>
      </c>
      <c r="AJ138" s="161">
        <v>48.607165000000002</v>
      </c>
      <c r="AK138" s="161">
        <v>49.397518333333302</v>
      </c>
      <c r="AL138" s="168">
        <v>51.890333333333302</v>
      </c>
      <c r="AM138" s="168">
        <v>56.691952499999999</v>
      </c>
      <c r="AN138" s="168">
        <v>58.009549166666702</v>
      </c>
      <c r="AO138" s="168">
        <v>65.975787499999996</v>
      </c>
      <c r="AP138" s="168">
        <v>68.239370833333297</v>
      </c>
      <c r="AQ138" s="168">
        <v>71.093795833333303</v>
      </c>
      <c r="AR138" s="168">
        <v>74.949250000000006</v>
      </c>
      <c r="AS138" s="168">
        <v>77.8766191666667</v>
      </c>
      <c r="AT138" s="168">
        <v>76.141447499999998</v>
      </c>
      <c r="AU138" s="168">
        <v>73.673596666666697</v>
      </c>
      <c r="AV138" s="168">
        <v>71.367500000000007</v>
      </c>
      <c r="AW138" s="168">
        <v>72.755605833333306</v>
      </c>
      <c r="AX138" s="168">
        <v>66.415027499999994</v>
      </c>
      <c r="AY138" s="168">
        <v>69.761695000000003</v>
      </c>
      <c r="AZ138" s="168">
        <v>77.545214027699302</v>
      </c>
      <c r="BA138" s="168">
        <v>73.155546840913701</v>
      </c>
      <c r="BB138" s="168">
        <v>74.019679993588497</v>
      </c>
      <c r="BC138" s="168">
        <v>85.197155411224799</v>
      </c>
      <c r="BD138" s="168">
        <v>93.581837443988803</v>
      </c>
    </row>
    <row r="139" spans="1:56">
      <c r="A139" s="163" t="s">
        <v>383</v>
      </c>
      <c r="B139" s="163" t="s">
        <v>384</v>
      </c>
      <c r="C139" s="161">
        <v>3.8000000028000001</v>
      </c>
      <c r="D139" s="161">
        <v>3.6500000026500001</v>
      </c>
      <c r="E139" s="161">
        <v>3.6200000026199999</v>
      </c>
      <c r="F139" s="161">
        <v>3.6200000026199999</v>
      </c>
      <c r="G139" s="161">
        <v>3.6200000026199999</v>
      </c>
      <c r="H139" s="161">
        <v>3.6200000026199999</v>
      </c>
      <c r="I139" s="161">
        <v>3.6200000026199999</v>
      </c>
      <c r="J139" s="161">
        <v>3.6200000026199999</v>
      </c>
      <c r="K139" s="161">
        <v>3.6200000026199999</v>
      </c>
      <c r="L139" s="161">
        <v>3.6200000026199999</v>
      </c>
      <c r="M139" s="161">
        <v>3.6200000026199999</v>
      </c>
      <c r="N139" s="161">
        <v>3.5170805388896298</v>
      </c>
      <c r="O139" s="161">
        <v>3.2094999990000002</v>
      </c>
      <c r="P139" s="161">
        <v>2.7955499990833301</v>
      </c>
      <c r="Q139" s="161">
        <v>2.6883833323333302</v>
      </c>
      <c r="R139" s="161">
        <v>2.52899166575</v>
      </c>
      <c r="S139" s="161">
        <v>2.6439416656666701</v>
      </c>
      <c r="T139" s="161">
        <v>2.4542499990833302</v>
      </c>
      <c r="U139" s="161">
        <v>2.1635833325833298</v>
      </c>
      <c r="V139" s="161">
        <v>2.0059916657499999</v>
      </c>
      <c r="W139" s="161">
        <v>1.98811666591667</v>
      </c>
      <c r="X139" s="161">
        <v>2.4951999990833298</v>
      </c>
      <c r="Y139" s="161">
        <v>2.6702083324166699</v>
      </c>
      <c r="Z139" s="161">
        <v>2.8541249990000002</v>
      </c>
      <c r="AA139" s="161">
        <v>3.20868333291667</v>
      </c>
      <c r="AB139" s="161">
        <v>3.3214000000000001</v>
      </c>
      <c r="AC139" s="161">
        <v>2.4500249999166699</v>
      </c>
      <c r="AD139" s="161">
        <v>2.0257000000000001</v>
      </c>
      <c r="AE139" s="161">
        <v>1.97658333333333</v>
      </c>
      <c r="AF139" s="161">
        <v>2.1207375000000002</v>
      </c>
      <c r="AG139" s="161">
        <v>1.82094166666667</v>
      </c>
      <c r="AH139" s="161">
        <v>1.8696666666666699</v>
      </c>
      <c r="AI139" s="161">
        <v>1.7584663333333299</v>
      </c>
      <c r="AJ139" s="161">
        <v>1.85730516666667</v>
      </c>
      <c r="AK139" s="161">
        <v>1.81999508333333</v>
      </c>
      <c r="AL139" s="168">
        <v>1.60567525</v>
      </c>
      <c r="AM139" s="168">
        <v>1.6858967499999999</v>
      </c>
      <c r="AN139" s="168">
        <v>1.95126991666667</v>
      </c>
      <c r="AO139" s="168">
        <v>1.983733</v>
      </c>
      <c r="AP139" s="168" t="s">
        <v>125</v>
      </c>
      <c r="AQ139" s="168" t="s">
        <v>125</v>
      </c>
      <c r="AR139" s="168" t="s">
        <v>125</v>
      </c>
      <c r="AS139" s="168" t="s">
        <v>125</v>
      </c>
      <c r="AT139" s="168" t="s">
        <v>125</v>
      </c>
      <c r="AU139" s="168" t="s">
        <v>125</v>
      </c>
      <c r="AV139" s="168" t="s">
        <v>125</v>
      </c>
      <c r="AW139" s="168" t="s">
        <v>125</v>
      </c>
      <c r="AX139" s="168" t="s">
        <v>125</v>
      </c>
      <c r="AY139" s="168" t="s">
        <v>125</v>
      </c>
      <c r="AZ139" s="168" t="s">
        <v>125</v>
      </c>
      <c r="BA139" s="168" t="s">
        <v>125</v>
      </c>
      <c r="BB139" s="168" t="s">
        <v>125</v>
      </c>
      <c r="BC139" s="168" t="s">
        <v>125</v>
      </c>
      <c r="BD139" s="168" t="s">
        <v>125</v>
      </c>
    </row>
    <row r="140" spans="1:56">
      <c r="A140" s="163" t="s">
        <v>385</v>
      </c>
      <c r="B140" s="163" t="s">
        <v>386</v>
      </c>
      <c r="C140" s="161">
        <v>89.765000088765007</v>
      </c>
      <c r="D140" s="161">
        <v>89.765000088765007</v>
      </c>
      <c r="E140" s="161">
        <v>89.765000088765007</v>
      </c>
      <c r="F140" s="161">
        <v>89.765000088765007</v>
      </c>
      <c r="G140" s="161">
        <v>89.765000088765007</v>
      </c>
      <c r="H140" s="161">
        <v>89.765000088765007</v>
      </c>
      <c r="I140" s="161">
        <v>89.765000088765007</v>
      </c>
      <c r="J140" s="161">
        <v>89.765000088765007</v>
      </c>
      <c r="K140" s="161">
        <v>89.765000088765007</v>
      </c>
      <c r="L140" s="161">
        <v>94.440000093440005</v>
      </c>
      <c r="M140" s="161">
        <v>100.985000099985</v>
      </c>
      <c r="N140" s="161">
        <v>100.689451223571</v>
      </c>
      <c r="O140" s="161">
        <v>91.645968951929206</v>
      </c>
      <c r="P140" s="161">
        <v>81.0502219755422</v>
      </c>
      <c r="Q140" s="161">
        <v>87.528548830185898</v>
      </c>
      <c r="R140" s="161">
        <v>77.931588724653196</v>
      </c>
      <c r="S140" s="161">
        <v>86.890670674160404</v>
      </c>
      <c r="T140" s="161">
        <v>89.337637916450106</v>
      </c>
      <c r="U140" s="161">
        <v>82.056281563365701</v>
      </c>
      <c r="V140" s="161">
        <v>77.352952935139498</v>
      </c>
      <c r="W140" s="161">
        <v>76.828559514107795</v>
      </c>
      <c r="X140" s="161">
        <v>98.810961781363503</v>
      </c>
      <c r="Y140" s="161">
        <v>119.492607763333</v>
      </c>
      <c r="Z140" s="161">
        <v>138.56880080833301</v>
      </c>
      <c r="AA140" s="161">
        <v>158.89256837242399</v>
      </c>
      <c r="AB140" s="161">
        <v>163.367563900455</v>
      </c>
      <c r="AC140" s="161">
        <v>125.928813465</v>
      </c>
      <c r="AD140" s="161">
        <v>109.285496775</v>
      </c>
      <c r="AE140" s="161">
        <v>108.307921995</v>
      </c>
      <c r="AF140" s="161">
        <v>116.002459755</v>
      </c>
      <c r="AG140" s="161">
        <v>99.004900995</v>
      </c>
      <c r="AH140" s="161">
        <v>102.58383680999999</v>
      </c>
      <c r="AI140" s="161">
        <v>96.251100718499998</v>
      </c>
      <c r="AJ140" s="161">
        <v>102.96771521399999</v>
      </c>
      <c r="AK140" s="161">
        <v>100.946171781</v>
      </c>
      <c r="AL140" s="168">
        <v>90.754136518500005</v>
      </c>
      <c r="AM140" s="168">
        <v>93.009406990499997</v>
      </c>
      <c r="AN140" s="168">
        <v>106.12156054499999</v>
      </c>
      <c r="AO140" s="168">
        <v>107.2638139482</v>
      </c>
      <c r="AP140" s="168">
        <v>112.00798849156099</v>
      </c>
      <c r="AQ140" s="168">
        <v>129.522726623083</v>
      </c>
      <c r="AR140" s="168">
        <v>133.354368067</v>
      </c>
      <c r="AS140" s="168">
        <v>126.796096721167</v>
      </c>
      <c r="AT140" s="168">
        <v>105.73196336641701</v>
      </c>
      <c r="AU140" s="168">
        <v>96.105574570499996</v>
      </c>
      <c r="AV140" s="168">
        <v>95.957006604</v>
      </c>
      <c r="AW140" s="168">
        <v>95.124170781083293</v>
      </c>
      <c r="AX140" s="168">
        <v>87.188214958749995</v>
      </c>
      <c r="AY140" s="168">
        <v>81.464733839263204</v>
      </c>
      <c r="AZ140" s="168">
        <v>85.900131856929093</v>
      </c>
      <c r="BA140" s="168">
        <v>90.100797697365394</v>
      </c>
      <c r="BB140" s="168">
        <v>85.841885317111505</v>
      </c>
      <c r="BC140" s="168">
        <v>92.875098555717997</v>
      </c>
      <c r="BD140" s="168" t="s">
        <v>125</v>
      </c>
    </row>
    <row r="141" spans="1:56">
      <c r="A141" s="163" t="s">
        <v>387</v>
      </c>
      <c r="B141" s="163" t="s">
        <v>388</v>
      </c>
      <c r="C141" s="161">
        <v>0.71428798606437804</v>
      </c>
      <c r="D141" s="161">
        <v>0.71551415608481606</v>
      </c>
      <c r="E141" s="161">
        <v>0.71919399971919395</v>
      </c>
      <c r="F141" s="161">
        <v>0.71919399971919395</v>
      </c>
      <c r="G141" s="161">
        <v>0.71919399971919395</v>
      </c>
      <c r="H141" s="161">
        <v>0.71919399971919395</v>
      </c>
      <c r="I141" s="161">
        <v>0.71919399971919395</v>
      </c>
      <c r="J141" s="161">
        <v>0.73366558300706597</v>
      </c>
      <c r="K141" s="161">
        <v>0.89285699989285705</v>
      </c>
      <c r="L141" s="161">
        <v>0.89285699989285705</v>
      </c>
      <c r="M141" s="161">
        <v>0.89285699989285705</v>
      </c>
      <c r="N141" s="161">
        <v>0.88060719460315895</v>
      </c>
      <c r="O141" s="161">
        <v>0.83668005354752395</v>
      </c>
      <c r="P141" s="161">
        <v>0.73681212551313802</v>
      </c>
      <c r="Q141" s="161">
        <v>0.71540258866536799</v>
      </c>
      <c r="R141" s="161">
        <v>0.83230721942330699</v>
      </c>
      <c r="S141" s="161">
        <v>1.0048887896505101</v>
      </c>
      <c r="T141" s="161">
        <v>1.03031165084621</v>
      </c>
      <c r="U141" s="161">
        <v>0.96442499900000001</v>
      </c>
      <c r="V141" s="161">
        <v>0.97850249899999997</v>
      </c>
      <c r="W141" s="161">
        <v>1.02667999916667</v>
      </c>
      <c r="X141" s="161">
        <v>1.15279499925</v>
      </c>
      <c r="Y141" s="161">
        <v>1.33260833233333</v>
      </c>
      <c r="Z141" s="161">
        <v>1.4967733323333301</v>
      </c>
      <c r="AA141" s="161">
        <v>1.76399249916667</v>
      </c>
      <c r="AB141" s="161">
        <v>2.02337249966667</v>
      </c>
      <c r="AC141" s="161">
        <v>1.9131608330833301</v>
      </c>
      <c r="AD141" s="161">
        <v>1.69456083333333</v>
      </c>
      <c r="AE141" s="161">
        <v>1.5264008333333301</v>
      </c>
      <c r="AF141" s="161">
        <v>1.67214833333333</v>
      </c>
      <c r="AG141" s="161">
        <v>1.6762033333333299</v>
      </c>
      <c r="AH141" s="161">
        <v>1.73351416666667</v>
      </c>
      <c r="AI141" s="161">
        <v>1.8617916666666701</v>
      </c>
      <c r="AJ141" s="161">
        <v>1.8505133333333299</v>
      </c>
      <c r="AK141" s="161">
        <v>1.68652166666667</v>
      </c>
      <c r="AL141" s="168">
        <v>1.5238766666666701</v>
      </c>
      <c r="AM141" s="168">
        <v>1.4548475000000001</v>
      </c>
      <c r="AN141" s="168">
        <v>1.51242083333333</v>
      </c>
      <c r="AO141" s="168">
        <v>1.8682491666666701</v>
      </c>
      <c r="AP141" s="168">
        <v>1.88961389919167</v>
      </c>
      <c r="AQ141" s="168">
        <v>2.2011491666666698</v>
      </c>
      <c r="AR141" s="168">
        <v>2.37875083333333</v>
      </c>
      <c r="AS141" s="168">
        <v>2.1621908333333302</v>
      </c>
      <c r="AT141" s="168">
        <v>1.7220991463977799</v>
      </c>
      <c r="AU141" s="168">
        <v>1.50868127077323</v>
      </c>
      <c r="AV141" s="168">
        <v>1.42027345661433</v>
      </c>
      <c r="AW141" s="168">
        <v>1.5420557566968101</v>
      </c>
      <c r="AX141" s="168">
        <v>1.36067522852426</v>
      </c>
      <c r="AY141" s="168">
        <v>1.4227268095265</v>
      </c>
      <c r="AZ141" s="168">
        <v>1.6008772952194701</v>
      </c>
      <c r="BA141" s="168">
        <v>1.38783382768108</v>
      </c>
      <c r="BB141" s="168">
        <v>1.26581069673447</v>
      </c>
      <c r="BC141" s="168">
        <v>1.2342836550132901</v>
      </c>
      <c r="BD141" s="168">
        <v>1.21940714161595</v>
      </c>
    </row>
    <row r="142" spans="1:56">
      <c r="A142" s="163" t="s">
        <v>82</v>
      </c>
      <c r="B142" s="163" t="s">
        <v>389</v>
      </c>
      <c r="C142" s="161">
        <v>2.0606441896551702E-9</v>
      </c>
      <c r="D142" s="161">
        <v>2.0606441896551702E-9</v>
      </c>
      <c r="E142" s="161">
        <v>2.0606441896551702E-9</v>
      </c>
      <c r="F142" s="161">
        <v>2.0606441896551702E-9</v>
      </c>
      <c r="G142" s="161">
        <v>2.0606441896551702E-9</v>
      </c>
      <c r="H142" s="161">
        <v>2.0606441896551702E-9</v>
      </c>
      <c r="I142" s="161">
        <v>2.0606441896551702E-9</v>
      </c>
      <c r="J142" s="161">
        <v>2.0606441896551702E-9</v>
      </c>
      <c r="K142" s="161">
        <v>2.0606441896551702E-9</v>
      </c>
      <c r="L142" s="161">
        <v>2.0606441896551702E-9</v>
      </c>
      <c r="M142" s="161">
        <v>2.0606441896551702E-9</v>
      </c>
      <c r="N142" s="161">
        <v>2.0606441896551702E-9</v>
      </c>
      <c r="O142" s="161">
        <v>2.0606441896551702E-9</v>
      </c>
      <c r="P142" s="161">
        <v>2.0606197500000002E-9</v>
      </c>
      <c r="Q142" s="161">
        <v>2.0606441896551702E-9</v>
      </c>
      <c r="R142" s="161">
        <v>2.0606441896551702E-9</v>
      </c>
      <c r="S142" s="161">
        <v>2.0606441896551702E-9</v>
      </c>
      <c r="T142" s="161">
        <v>2.0606441896551702E-9</v>
      </c>
      <c r="U142" s="161">
        <v>2.0606441896551702E-9</v>
      </c>
      <c r="V142" s="161">
        <v>2.7882567155172501E-9</v>
      </c>
      <c r="W142" s="161">
        <v>2.9474224137930999E-9</v>
      </c>
      <c r="X142" s="161">
        <v>2.9474224137930999E-9</v>
      </c>
      <c r="Y142" s="161">
        <v>2.9474224137930999E-9</v>
      </c>
      <c r="Z142" s="161">
        <v>2.9476668103448302E-9</v>
      </c>
      <c r="AA142" s="161">
        <v>2.9476668103448302E-9</v>
      </c>
      <c r="AB142" s="161">
        <v>7.7730323275862004E-9</v>
      </c>
      <c r="AC142" s="161">
        <v>1.9502844827586202E-8</v>
      </c>
      <c r="AD142" s="161">
        <v>2.05293103448276E-8</v>
      </c>
      <c r="AE142" s="161">
        <v>5.3946239999999998E-5</v>
      </c>
      <c r="AF142" s="161">
        <v>3.1308999999999998E-3</v>
      </c>
      <c r="AG142" s="161">
        <v>0.14092241666666699</v>
      </c>
      <c r="AH142" s="161">
        <v>4.27082828333333</v>
      </c>
      <c r="AI142" s="161">
        <v>5</v>
      </c>
      <c r="AJ142" s="161">
        <v>5.6204083333333301</v>
      </c>
      <c r="AK142" s="161">
        <v>6.7228750000000002</v>
      </c>
      <c r="AL142" s="168">
        <v>7.5455916666666702</v>
      </c>
      <c r="AM142" s="168">
        <v>8.4354999999999993</v>
      </c>
      <c r="AN142" s="168">
        <v>9.4480833333333294</v>
      </c>
      <c r="AO142" s="168">
        <v>10.5819166666667</v>
      </c>
      <c r="AP142" s="168">
        <v>11.80925</v>
      </c>
      <c r="AQ142" s="168">
        <v>12.6843916666667</v>
      </c>
      <c r="AR142" s="168">
        <v>13.3719416666667</v>
      </c>
      <c r="AS142" s="168">
        <v>14.251325250000001</v>
      </c>
      <c r="AT142" s="168">
        <v>15.1046433333333</v>
      </c>
      <c r="AU142" s="168">
        <v>15.937247316462701</v>
      </c>
      <c r="AV142" s="168">
        <v>16.733329534050199</v>
      </c>
      <c r="AW142" s="168">
        <v>17.569998431899599</v>
      </c>
      <c r="AX142" s="168">
        <v>18.448506159754199</v>
      </c>
      <c r="AY142" s="168">
        <v>19.371896406501101</v>
      </c>
      <c r="AZ142" s="168">
        <v>20.339481870199702</v>
      </c>
      <c r="BA142" s="168">
        <v>21.356448683435801</v>
      </c>
      <c r="BB142" s="168">
        <v>22.424270616359401</v>
      </c>
      <c r="BC142" s="168">
        <v>23.546663531083901</v>
      </c>
      <c r="BD142" s="168">
        <v>24.7227641666667</v>
      </c>
    </row>
    <row r="143" spans="1:56">
      <c r="A143" s="163" t="s">
        <v>390</v>
      </c>
      <c r="B143" s="163" t="s">
        <v>391</v>
      </c>
      <c r="C143" s="161">
        <v>245.19510139835899</v>
      </c>
      <c r="D143" s="161">
        <v>245.26010162116</v>
      </c>
      <c r="E143" s="161">
        <v>245.013850686544</v>
      </c>
      <c r="F143" s="161">
        <v>245.01635069607499</v>
      </c>
      <c r="G143" s="161">
        <v>245.027184079042</v>
      </c>
      <c r="H143" s="161">
        <v>245.06093420770799</v>
      </c>
      <c r="I143" s="161">
        <v>245.67843655764401</v>
      </c>
      <c r="J143" s="161">
        <v>246.00093779128099</v>
      </c>
      <c r="K143" s="161">
        <v>247.56469375695099</v>
      </c>
      <c r="L143" s="161">
        <v>259.960574351236</v>
      </c>
      <c r="M143" s="161">
        <v>276.403137026845</v>
      </c>
      <c r="N143" s="161">
        <v>275.35645668533198</v>
      </c>
      <c r="O143" s="161">
        <v>252.02762746264901</v>
      </c>
      <c r="P143" s="161">
        <v>222.88918305322699</v>
      </c>
      <c r="Q143" s="161">
        <v>240.70466763782301</v>
      </c>
      <c r="R143" s="161">
        <v>214.31290034121901</v>
      </c>
      <c r="S143" s="161">
        <v>238.95049426705901</v>
      </c>
      <c r="T143" s="161">
        <v>245.67968656657601</v>
      </c>
      <c r="U143" s="161">
        <v>225.65586023395699</v>
      </c>
      <c r="V143" s="161">
        <v>212.721644262377</v>
      </c>
      <c r="W143" s="161">
        <v>211.27955541470499</v>
      </c>
      <c r="X143" s="161">
        <v>271.73145255032699</v>
      </c>
      <c r="Y143" s="161">
        <v>328.60625269898998</v>
      </c>
      <c r="Z143" s="161">
        <v>381.06603602462798</v>
      </c>
      <c r="AA143" s="161">
        <v>436.95666578800802</v>
      </c>
      <c r="AB143" s="161">
        <v>449.26296271160697</v>
      </c>
      <c r="AC143" s="161">
        <v>346.305903554493</v>
      </c>
      <c r="AD143" s="161">
        <v>300.53656240147802</v>
      </c>
      <c r="AE143" s="161">
        <v>297.84821881937802</v>
      </c>
      <c r="AF143" s="161">
        <v>319.008299487903</v>
      </c>
      <c r="AG143" s="161">
        <v>272.264787954393</v>
      </c>
      <c r="AH143" s="161">
        <v>282.10690880881998</v>
      </c>
      <c r="AI143" s="161">
        <v>264.69180075057898</v>
      </c>
      <c r="AJ143" s="161">
        <v>283.16257950001801</v>
      </c>
      <c r="AK143" s="161">
        <v>555.20469565569704</v>
      </c>
      <c r="AL143" s="168">
        <v>499.14842590131002</v>
      </c>
      <c r="AM143" s="168">
        <v>511.55243027251601</v>
      </c>
      <c r="AN143" s="168">
        <v>583.66937235339606</v>
      </c>
      <c r="AO143" s="168">
        <v>589.951774567332</v>
      </c>
      <c r="AP143" s="168">
        <v>615.69913197380595</v>
      </c>
      <c r="AQ143" s="168">
        <v>711.97627443083297</v>
      </c>
      <c r="AR143" s="168">
        <v>733.03850707000004</v>
      </c>
      <c r="AS143" s="168">
        <v>696.98820361166702</v>
      </c>
      <c r="AT143" s="168">
        <v>581.20031386416701</v>
      </c>
      <c r="AU143" s="168">
        <v>528.28480930499995</v>
      </c>
      <c r="AV143" s="168">
        <v>527.46814284000004</v>
      </c>
      <c r="AW143" s="168">
        <v>522.89010961083295</v>
      </c>
      <c r="AX143" s="168">
        <v>479.26678258750002</v>
      </c>
      <c r="AY143" s="168">
        <v>447.80525556077299</v>
      </c>
      <c r="AZ143" s="168">
        <v>472.18629075489298</v>
      </c>
      <c r="BA143" s="168">
        <v>495.277021572396</v>
      </c>
      <c r="BB143" s="168">
        <v>471.86611409170001</v>
      </c>
      <c r="BC143" s="168">
        <v>510.52713590196998</v>
      </c>
      <c r="BD143" s="168">
        <v>494.04003744699003</v>
      </c>
    </row>
    <row r="144" spans="1:56">
      <c r="A144" s="163" t="s">
        <v>392</v>
      </c>
      <c r="B144" s="163" t="s">
        <v>393</v>
      </c>
      <c r="C144" s="161">
        <v>0.71428599971428597</v>
      </c>
      <c r="D144" s="161">
        <v>0.71428599971428597</v>
      </c>
      <c r="E144" s="161">
        <v>0.71428599971428597</v>
      </c>
      <c r="F144" s="161">
        <v>0.71428599971428597</v>
      </c>
      <c r="G144" s="161">
        <v>0.71428599971428597</v>
      </c>
      <c r="H144" s="161">
        <v>0.71428599971428597</v>
      </c>
      <c r="I144" s="161">
        <v>0.71428599971428597</v>
      </c>
      <c r="J144" s="161">
        <v>0.71428599971428597</v>
      </c>
      <c r="K144" s="161">
        <v>0.71428599971428597</v>
      </c>
      <c r="L144" s="161">
        <v>0.71428599971428597</v>
      </c>
      <c r="M144" s="161">
        <v>0.71428599971428597</v>
      </c>
      <c r="N144" s="161">
        <v>0.71285583298809596</v>
      </c>
      <c r="O144" s="161">
        <v>0.65789499900000004</v>
      </c>
      <c r="P144" s="161">
        <v>0.65789499900000004</v>
      </c>
      <c r="Q144" s="161">
        <v>0.63028204624823903</v>
      </c>
      <c r="R144" s="161">
        <v>0.61550155335078705</v>
      </c>
      <c r="S144" s="161">
        <v>0.62660100366536897</v>
      </c>
      <c r="T144" s="161">
        <v>0.64470106214118506</v>
      </c>
      <c r="U144" s="161">
        <v>0.63527199426580105</v>
      </c>
      <c r="V144" s="161">
        <v>0.60400737401714399</v>
      </c>
      <c r="W144" s="161">
        <v>0.54678089191608303</v>
      </c>
      <c r="X144" s="161">
        <v>0.61770817502880504</v>
      </c>
      <c r="Y144" s="161">
        <v>0.67346126152852404</v>
      </c>
      <c r="Z144" s="161">
        <v>0.72440985115157297</v>
      </c>
      <c r="AA144" s="161">
        <v>0.76652744911239201</v>
      </c>
      <c r="AB144" s="161">
        <v>0.89377408333333297</v>
      </c>
      <c r="AC144" s="161">
        <v>1.7545230040748101</v>
      </c>
      <c r="AD144" s="161">
        <v>4.0160373443362998</v>
      </c>
      <c r="AE144" s="161">
        <v>4.5369666666666699</v>
      </c>
      <c r="AF144" s="161">
        <v>7.3647349999999996</v>
      </c>
      <c r="AG144" s="161">
        <v>8.0382850000000001</v>
      </c>
      <c r="AH144" s="161">
        <v>9.9094916666666695</v>
      </c>
      <c r="AI144" s="161">
        <v>17.298425000000002</v>
      </c>
      <c r="AJ144" s="161">
        <v>22.0654</v>
      </c>
      <c r="AK144" s="161">
        <v>21.995999999999999</v>
      </c>
      <c r="AL144" s="168">
        <v>21.895258333333299</v>
      </c>
      <c r="AM144" s="168">
        <v>21.884425</v>
      </c>
      <c r="AN144" s="168">
        <v>21.886050000000001</v>
      </c>
      <c r="AO144" s="168">
        <v>21.885999999999999</v>
      </c>
      <c r="AP144" s="168">
        <v>92.338099999999997</v>
      </c>
      <c r="AQ144" s="168">
        <v>101.69733333333301</v>
      </c>
      <c r="AR144" s="168">
        <v>111.23125</v>
      </c>
      <c r="AS144" s="168">
        <v>120.57815833333299</v>
      </c>
      <c r="AT144" s="168">
        <v>129.22235000000001</v>
      </c>
      <c r="AU144" s="168">
        <v>132.888025</v>
      </c>
      <c r="AV144" s="168">
        <v>131.274333333333</v>
      </c>
      <c r="AW144" s="168">
        <v>128.65166666666701</v>
      </c>
      <c r="AX144" s="168">
        <v>125.808108333333</v>
      </c>
      <c r="AY144" s="168">
        <v>118.546016666667</v>
      </c>
      <c r="AZ144" s="168">
        <v>148.90174166666699</v>
      </c>
      <c r="BA144" s="168">
        <v>150.298025</v>
      </c>
      <c r="BB144" s="168">
        <v>154.74029999999999</v>
      </c>
      <c r="BC144" s="168">
        <v>156.80968562314899</v>
      </c>
      <c r="BD144" s="168" t="s">
        <v>125</v>
      </c>
    </row>
    <row r="145" spans="1:56">
      <c r="A145" s="163" t="s">
        <v>394</v>
      </c>
      <c r="B145" s="163" t="s">
        <v>395</v>
      </c>
      <c r="C145" s="161" t="s">
        <v>125</v>
      </c>
      <c r="D145" s="161" t="s">
        <v>125</v>
      </c>
      <c r="E145" s="161" t="s">
        <v>125</v>
      </c>
      <c r="F145" s="161" t="s">
        <v>125</v>
      </c>
      <c r="G145" s="161" t="s">
        <v>125</v>
      </c>
      <c r="H145" s="161" t="s">
        <v>125</v>
      </c>
      <c r="I145" s="161" t="s">
        <v>125</v>
      </c>
      <c r="J145" s="161" t="s">
        <v>125</v>
      </c>
      <c r="K145" s="161" t="s">
        <v>125</v>
      </c>
      <c r="L145" s="161" t="s">
        <v>125</v>
      </c>
      <c r="M145" s="161" t="s">
        <v>125</v>
      </c>
      <c r="N145" s="161" t="s">
        <v>125</v>
      </c>
      <c r="O145" s="161" t="s">
        <v>125</v>
      </c>
      <c r="P145" s="161" t="s">
        <v>125</v>
      </c>
      <c r="Q145" s="161" t="s">
        <v>125</v>
      </c>
      <c r="R145" s="161" t="s">
        <v>125</v>
      </c>
      <c r="S145" s="161" t="s">
        <v>125</v>
      </c>
      <c r="T145" s="161" t="s">
        <v>125</v>
      </c>
      <c r="U145" s="161" t="s">
        <v>125</v>
      </c>
      <c r="V145" s="161" t="s">
        <v>125</v>
      </c>
      <c r="W145" s="161" t="s">
        <v>125</v>
      </c>
      <c r="X145" s="161" t="s">
        <v>125</v>
      </c>
      <c r="Y145" s="161" t="s">
        <v>125</v>
      </c>
      <c r="Z145" s="161" t="s">
        <v>125</v>
      </c>
      <c r="AA145" s="161" t="s">
        <v>125</v>
      </c>
      <c r="AB145" s="161" t="s">
        <v>125</v>
      </c>
      <c r="AC145" s="161" t="s">
        <v>125</v>
      </c>
      <c r="AD145" s="161" t="s">
        <v>125</v>
      </c>
      <c r="AE145" s="161" t="s">
        <v>125</v>
      </c>
      <c r="AF145" s="161" t="s">
        <v>125</v>
      </c>
      <c r="AG145" s="161" t="s">
        <v>125</v>
      </c>
      <c r="AH145" s="161" t="s">
        <v>125</v>
      </c>
      <c r="AI145" s="161" t="s">
        <v>125</v>
      </c>
      <c r="AJ145" s="161" t="s">
        <v>125</v>
      </c>
      <c r="AK145" s="161" t="s">
        <v>125</v>
      </c>
      <c r="AL145" s="168" t="s">
        <v>125</v>
      </c>
      <c r="AM145" s="168" t="s">
        <v>125</v>
      </c>
      <c r="AN145" s="168" t="s">
        <v>125</v>
      </c>
      <c r="AO145" s="168" t="s">
        <v>125</v>
      </c>
      <c r="AP145" s="168" t="s">
        <v>125</v>
      </c>
      <c r="AQ145" s="168" t="s">
        <v>125</v>
      </c>
      <c r="AR145" s="168" t="s">
        <v>125</v>
      </c>
      <c r="AS145" s="168" t="s">
        <v>125</v>
      </c>
      <c r="AT145" s="168" t="s">
        <v>125</v>
      </c>
      <c r="AU145" s="168" t="s">
        <v>125</v>
      </c>
      <c r="AV145" s="168" t="s">
        <v>125</v>
      </c>
      <c r="AW145" s="168" t="s">
        <v>125</v>
      </c>
      <c r="AX145" s="168" t="s">
        <v>125</v>
      </c>
      <c r="AY145" s="168" t="s">
        <v>125</v>
      </c>
      <c r="AZ145" s="168" t="s">
        <v>125</v>
      </c>
      <c r="BA145" s="168" t="s">
        <v>125</v>
      </c>
      <c r="BB145" s="168" t="s">
        <v>125</v>
      </c>
      <c r="BC145" s="168" t="s">
        <v>125</v>
      </c>
      <c r="BD145" s="168" t="s">
        <v>125</v>
      </c>
    </row>
    <row r="146" spans="1:56">
      <c r="A146" s="163" t="s">
        <v>396</v>
      </c>
      <c r="B146" s="163" t="s">
        <v>397</v>
      </c>
      <c r="C146" s="161">
        <v>7.1428600061428602</v>
      </c>
      <c r="D146" s="161">
        <v>7.1428600061428602</v>
      </c>
      <c r="E146" s="161">
        <v>7.1428600061428602</v>
      </c>
      <c r="F146" s="161">
        <v>7.1428600061428602</v>
      </c>
      <c r="G146" s="161">
        <v>7.1428600061428602</v>
      </c>
      <c r="H146" s="161">
        <v>7.1428600061428602</v>
      </c>
      <c r="I146" s="161">
        <v>7.1428600061428602</v>
      </c>
      <c r="J146" s="161">
        <v>7.1428600061428602</v>
      </c>
      <c r="K146" s="161">
        <v>7.1428600061428602</v>
      </c>
      <c r="L146" s="161">
        <v>7.1428600061428602</v>
      </c>
      <c r="M146" s="161">
        <v>7.1428600061428602</v>
      </c>
      <c r="N146" s="161">
        <v>7.0559054708010303</v>
      </c>
      <c r="O146" s="161">
        <v>6.5882491722678704</v>
      </c>
      <c r="P146" s="161">
        <v>5.7658333323333304</v>
      </c>
      <c r="Q146" s="161">
        <v>5.5397083323333298</v>
      </c>
      <c r="R146" s="161">
        <v>5.2269416656666703</v>
      </c>
      <c r="S146" s="161">
        <v>5.4565166656666699</v>
      </c>
      <c r="T146" s="161">
        <v>5.323499999</v>
      </c>
      <c r="U146" s="161">
        <v>5.2422499990000002</v>
      </c>
      <c r="V146" s="161">
        <v>5.0640666656666697</v>
      </c>
      <c r="W146" s="161">
        <v>4.9392249990000003</v>
      </c>
      <c r="X146" s="161">
        <v>5.7395083323333296</v>
      </c>
      <c r="Y146" s="161">
        <v>6.4540333323333297</v>
      </c>
      <c r="Z146" s="161">
        <v>7.2963666656666701</v>
      </c>
      <c r="AA146" s="161">
        <v>8.1614583325833294</v>
      </c>
      <c r="AB146" s="161">
        <v>8.5972333330833308</v>
      </c>
      <c r="AC146" s="161">
        <v>7.3947416666666701</v>
      </c>
      <c r="AD146" s="161">
        <v>6.7374499999999999</v>
      </c>
      <c r="AE146" s="161">
        <v>6.5169833333333296</v>
      </c>
      <c r="AF146" s="161">
        <v>6.9044999999999996</v>
      </c>
      <c r="AG146" s="161">
        <v>6.2597416666666703</v>
      </c>
      <c r="AH146" s="161">
        <v>6.4829425000000001</v>
      </c>
      <c r="AI146" s="161">
        <v>6.2145008333333296</v>
      </c>
      <c r="AJ146" s="161">
        <v>7.0941291666666704</v>
      </c>
      <c r="AK146" s="161">
        <v>7.0575841666666701</v>
      </c>
      <c r="AL146" s="168">
        <v>6.3351566666666699</v>
      </c>
      <c r="AM146" s="168">
        <v>6.4498083333333298</v>
      </c>
      <c r="AN146" s="168">
        <v>7.0734008333333298</v>
      </c>
      <c r="AO146" s="168">
        <v>7.5450974999999998</v>
      </c>
      <c r="AP146" s="168">
        <v>7.7991716666666697</v>
      </c>
      <c r="AQ146" s="168">
        <v>8.8018416666666699</v>
      </c>
      <c r="AR146" s="168">
        <v>8.9916541666666703</v>
      </c>
      <c r="AS146" s="168">
        <v>7.9837788333333304</v>
      </c>
      <c r="AT146" s="168">
        <v>7.0802166666666704</v>
      </c>
      <c r="AU146" s="168">
        <v>6.7408333333333301</v>
      </c>
      <c r="AV146" s="168">
        <v>6.4424999999999999</v>
      </c>
      <c r="AW146" s="168">
        <v>6.4133333333333304</v>
      </c>
      <c r="AX146" s="168">
        <v>5.8616666666666699</v>
      </c>
      <c r="AY146" s="168">
        <v>5.64</v>
      </c>
      <c r="AZ146" s="168">
        <v>6.2883333333333304</v>
      </c>
      <c r="BA146" s="168">
        <v>6.04416666666667</v>
      </c>
      <c r="BB146" s="168">
        <v>5.60460730676329</v>
      </c>
      <c r="BC146" s="168">
        <v>5.8174999999999999</v>
      </c>
      <c r="BD146" s="168">
        <v>5.875</v>
      </c>
    </row>
    <row r="147" spans="1:56">
      <c r="A147" s="163" t="s">
        <v>398</v>
      </c>
      <c r="B147" s="163" t="s">
        <v>399</v>
      </c>
      <c r="C147" s="161">
        <v>0.357142999357143</v>
      </c>
      <c r="D147" s="161">
        <v>0.357142999357143</v>
      </c>
      <c r="E147" s="161">
        <v>0.357142999357143</v>
      </c>
      <c r="F147" s="161">
        <v>0.357142999357143</v>
      </c>
      <c r="G147" s="161">
        <v>0.357142999357143</v>
      </c>
      <c r="H147" s="161">
        <v>0.357142999357143</v>
      </c>
      <c r="I147" s="161">
        <v>0.357142999357143</v>
      </c>
      <c r="J147" s="161">
        <v>0.36210333266567502</v>
      </c>
      <c r="K147" s="161">
        <v>0.41666699941666702</v>
      </c>
      <c r="L147" s="161">
        <v>0.41666699941666702</v>
      </c>
      <c r="M147" s="161">
        <v>0.41666699941666702</v>
      </c>
      <c r="N147" s="161">
        <v>0.41544749932071001</v>
      </c>
      <c r="O147" s="161">
        <v>0.383772999</v>
      </c>
      <c r="P147" s="161">
        <v>0.35067616566666698</v>
      </c>
      <c r="Q147" s="161">
        <v>0.34539999900000001</v>
      </c>
      <c r="R147" s="161">
        <v>0.34539999900000001</v>
      </c>
      <c r="S147" s="161">
        <v>0.34539999900000001</v>
      </c>
      <c r="T147" s="161">
        <v>0.34539999900000001</v>
      </c>
      <c r="U147" s="161">
        <v>0.34539999900000001</v>
      </c>
      <c r="V147" s="161">
        <v>0.34539999900000001</v>
      </c>
      <c r="W147" s="161">
        <v>0.34539999900000001</v>
      </c>
      <c r="X147" s="161">
        <v>0.34539999900000001</v>
      </c>
      <c r="Y147" s="161">
        <v>0.34539999900000001</v>
      </c>
      <c r="Z147" s="161">
        <v>0.34539999900000001</v>
      </c>
      <c r="AA147" s="161">
        <v>0.34539749958333299</v>
      </c>
      <c r="AB147" s="161">
        <v>0.34539500000000001</v>
      </c>
      <c r="AC147" s="161">
        <v>0.38198191666666698</v>
      </c>
      <c r="AD147" s="161">
        <v>0.38450000000000001</v>
      </c>
      <c r="AE147" s="161">
        <v>0.38450000000000001</v>
      </c>
      <c r="AF147" s="161">
        <v>0.38450000000000001</v>
      </c>
      <c r="AG147" s="161">
        <v>0.38450000000000001</v>
      </c>
      <c r="AH147" s="161">
        <v>0.38450000000000001</v>
      </c>
      <c r="AI147" s="161">
        <v>0.38450000000000001</v>
      </c>
      <c r="AJ147" s="161">
        <v>0.38449999750000002</v>
      </c>
      <c r="AK147" s="161">
        <v>0.38449999499999998</v>
      </c>
      <c r="AL147" s="168">
        <v>0.3844999925</v>
      </c>
      <c r="AM147" s="168">
        <v>0.38449999499999998</v>
      </c>
      <c r="AN147" s="168">
        <v>0.38449999499999998</v>
      </c>
      <c r="AO147" s="168">
        <v>0.38449999750000002</v>
      </c>
      <c r="AP147" s="168">
        <v>0.38449999750000002</v>
      </c>
      <c r="AQ147" s="168">
        <v>0.38450000000000001</v>
      </c>
      <c r="AR147" s="168">
        <v>0.38450000000000001</v>
      </c>
      <c r="AS147" s="168">
        <v>0.38450000000000001</v>
      </c>
      <c r="AT147" s="168">
        <v>0.38450000000000001</v>
      </c>
      <c r="AU147" s="168">
        <v>0.38450000000000001</v>
      </c>
      <c r="AV147" s="168">
        <v>0.38450000000000001</v>
      </c>
      <c r="AW147" s="168">
        <v>0.38450000000000001</v>
      </c>
      <c r="AX147" s="168">
        <v>0.38450000000000001</v>
      </c>
      <c r="AY147" s="168">
        <v>0.38450000000000001</v>
      </c>
      <c r="AZ147" s="168">
        <v>0.38450000000000001</v>
      </c>
      <c r="BA147" s="168">
        <v>0.38450000000000001</v>
      </c>
      <c r="BB147" s="168">
        <v>0.38450000000000001</v>
      </c>
      <c r="BC147" s="168">
        <v>0.38450000000000001</v>
      </c>
      <c r="BD147" s="168">
        <v>0.38450000000000001</v>
      </c>
    </row>
    <row r="148" spans="1:56">
      <c r="A148" s="163" t="s">
        <v>79</v>
      </c>
      <c r="B148" s="163" t="s">
        <v>400</v>
      </c>
      <c r="C148" s="161">
        <v>4.7619000037618999</v>
      </c>
      <c r="D148" s="161">
        <v>4.7619000037618999</v>
      </c>
      <c r="E148" s="161">
        <v>4.7619000037618999</v>
      </c>
      <c r="F148" s="161">
        <v>4.7619000037618999</v>
      </c>
      <c r="G148" s="161">
        <v>4.7619000037618999</v>
      </c>
      <c r="H148" s="161">
        <v>4.7619000037618999</v>
      </c>
      <c r="I148" s="161">
        <v>4.7619000037618999</v>
      </c>
      <c r="J148" s="161">
        <v>4.7619000037618999</v>
      </c>
      <c r="K148" s="161">
        <v>4.7619000037618999</v>
      </c>
      <c r="L148" s="161">
        <v>4.7619000037618999</v>
      </c>
      <c r="M148" s="161">
        <v>4.7619000037618999</v>
      </c>
      <c r="N148" s="161">
        <v>4.7618999989999997</v>
      </c>
      <c r="O148" s="161">
        <v>8.6813825825993707</v>
      </c>
      <c r="P148" s="161">
        <v>9.9942499999166703</v>
      </c>
      <c r="Q148" s="161">
        <v>9.9</v>
      </c>
      <c r="R148" s="161">
        <v>9.9</v>
      </c>
      <c r="S148" s="161">
        <v>9.9</v>
      </c>
      <c r="T148" s="161">
        <v>9.9</v>
      </c>
      <c r="U148" s="161">
        <v>9.9</v>
      </c>
      <c r="V148" s="161">
        <v>9.9</v>
      </c>
      <c r="W148" s="161">
        <v>9.9</v>
      </c>
      <c r="X148" s="161">
        <v>9.9</v>
      </c>
      <c r="Y148" s="161">
        <v>11.8474666658333</v>
      </c>
      <c r="Z148" s="161">
        <v>13.1169749993333</v>
      </c>
      <c r="AA148" s="161">
        <v>14.0463333330833</v>
      </c>
      <c r="AB148" s="161">
        <v>15.92839166625</v>
      </c>
      <c r="AC148" s="161">
        <v>16.647508333083302</v>
      </c>
      <c r="AD148" s="161">
        <v>17.398800000000001</v>
      </c>
      <c r="AE148" s="161">
        <v>18.003291666666701</v>
      </c>
      <c r="AF148" s="161">
        <v>20.541491666666701</v>
      </c>
      <c r="AG148" s="161">
        <v>21.707374999999999</v>
      </c>
      <c r="AH148" s="161">
        <v>23.8007666666667</v>
      </c>
      <c r="AI148" s="161">
        <v>25.082791666666701</v>
      </c>
      <c r="AJ148" s="161">
        <v>28.1071833333333</v>
      </c>
      <c r="AK148" s="161">
        <v>30.566591666666699</v>
      </c>
      <c r="AL148" s="168">
        <v>31.642683333333299</v>
      </c>
      <c r="AM148" s="168">
        <v>36.078683333333302</v>
      </c>
      <c r="AN148" s="168">
        <v>41.111525</v>
      </c>
      <c r="AO148" s="168">
        <v>45.046666666666702</v>
      </c>
      <c r="AP148" s="168">
        <v>49.5006915833333</v>
      </c>
      <c r="AQ148" s="168">
        <v>53.648186500000001</v>
      </c>
      <c r="AR148" s="168">
        <v>61.927161666666699</v>
      </c>
      <c r="AS148" s="168">
        <v>59.723781666666703</v>
      </c>
      <c r="AT148" s="168">
        <v>57.751996666666699</v>
      </c>
      <c r="AU148" s="168">
        <v>58.257863333333297</v>
      </c>
      <c r="AV148" s="168">
        <v>59.514474999999997</v>
      </c>
      <c r="AW148" s="168">
        <v>60.271335000000001</v>
      </c>
      <c r="AX148" s="168">
        <v>60.738515833333302</v>
      </c>
      <c r="AY148" s="168">
        <v>70.408033333333293</v>
      </c>
      <c r="AZ148" s="168">
        <v>81.712891666666707</v>
      </c>
      <c r="BA148" s="168">
        <v>85.193816325757595</v>
      </c>
      <c r="BB148" s="168">
        <v>86.343383333333307</v>
      </c>
      <c r="BC148" s="168">
        <v>93.395197222222194</v>
      </c>
      <c r="BD148" s="168">
        <v>101.628899206349</v>
      </c>
    </row>
    <row r="149" spans="1:56">
      <c r="A149" s="163" t="s">
        <v>401</v>
      </c>
      <c r="B149" s="163" t="s">
        <v>402</v>
      </c>
      <c r="C149" s="161" t="s">
        <v>125</v>
      </c>
      <c r="D149" s="161" t="s">
        <v>125</v>
      </c>
      <c r="E149" s="161" t="s">
        <v>125</v>
      </c>
      <c r="F149" s="161" t="s">
        <v>125</v>
      </c>
      <c r="G149" s="161" t="s">
        <v>125</v>
      </c>
      <c r="H149" s="161" t="s">
        <v>125</v>
      </c>
      <c r="I149" s="161" t="s">
        <v>125</v>
      </c>
      <c r="J149" s="161" t="s">
        <v>125</v>
      </c>
      <c r="K149" s="161" t="s">
        <v>125</v>
      </c>
      <c r="L149" s="161" t="s">
        <v>125</v>
      </c>
      <c r="M149" s="161" t="s">
        <v>125</v>
      </c>
      <c r="N149" s="161" t="s">
        <v>125</v>
      </c>
      <c r="O149" s="161" t="s">
        <v>125</v>
      </c>
      <c r="P149" s="161" t="s">
        <v>125</v>
      </c>
      <c r="Q149" s="161" t="s">
        <v>125</v>
      </c>
      <c r="R149" s="161" t="s">
        <v>125</v>
      </c>
      <c r="S149" s="161" t="s">
        <v>125</v>
      </c>
      <c r="T149" s="161" t="s">
        <v>125</v>
      </c>
      <c r="U149" s="161" t="s">
        <v>125</v>
      </c>
      <c r="V149" s="161" t="s">
        <v>125</v>
      </c>
      <c r="W149" s="161" t="s">
        <v>125</v>
      </c>
      <c r="X149" s="161" t="s">
        <v>125</v>
      </c>
      <c r="Y149" s="161" t="s">
        <v>125</v>
      </c>
      <c r="Z149" s="161" t="s">
        <v>125</v>
      </c>
      <c r="AA149" s="161" t="s">
        <v>125</v>
      </c>
      <c r="AB149" s="161" t="s">
        <v>125</v>
      </c>
      <c r="AC149" s="161" t="s">
        <v>125</v>
      </c>
      <c r="AD149" s="161" t="s">
        <v>125</v>
      </c>
      <c r="AE149" s="161" t="s">
        <v>125</v>
      </c>
      <c r="AF149" s="161" t="s">
        <v>125</v>
      </c>
      <c r="AG149" s="161" t="s">
        <v>125</v>
      </c>
      <c r="AH149" s="161" t="s">
        <v>125</v>
      </c>
      <c r="AI149" s="161" t="s">
        <v>125</v>
      </c>
      <c r="AJ149" s="161" t="s">
        <v>125</v>
      </c>
      <c r="AK149" s="161" t="s">
        <v>125</v>
      </c>
      <c r="AL149" s="168" t="s">
        <v>125</v>
      </c>
      <c r="AM149" s="168" t="s">
        <v>125</v>
      </c>
      <c r="AN149" s="168" t="s">
        <v>125</v>
      </c>
      <c r="AO149" s="168" t="s">
        <v>125</v>
      </c>
      <c r="AP149" s="168" t="s">
        <v>125</v>
      </c>
      <c r="AQ149" s="168" t="s">
        <v>125</v>
      </c>
      <c r="AR149" s="168" t="s">
        <v>125</v>
      </c>
      <c r="AS149" s="168" t="s">
        <v>125</v>
      </c>
      <c r="AT149" s="168" t="s">
        <v>125</v>
      </c>
      <c r="AU149" s="168" t="s">
        <v>125</v>
      </c>
      <c r="AV149" s="168" t="s">
        <v>125</v>
      </c>
      <c r="AW149" s="168" t="s">
        <v>125</v>
      </c>
      <c r="AX149" s="168" t="s">
        <v>125</v>
      </c>
      <c r="AY149" s="168" t="s">
        <v>125</v>
      </c>
      <c r="AZ149" s="168" t="s">
        <v>125</v>
      </c>
      <c r="BA149" s="168" t="s">
        <v>125</v>
      </c>
      <c r="BB149" s="168" t="s">
        <v>125</v>
      </c>
      <c r="BC149" s="168" t="s">
        <v>125</v>
      </c>
      <c r="BD149" s="168" t="s">
        <v>125</v>
      </c>
    </row>
    <row r="150" spans="1:56">
      <c r="A150" s="163" t="s">
        <v>403</v>
      </c>
      <c r="B150" s="163" t="s">
        <v>404</v>
      </c>
      <c r="C150" s="161">
        <v>1</v>
      </c>
      <c r="D150" s="161">
        <v>1</v>
      </c>
      <c r="E150" s="161">
        <v>1</v>
      </c>
      <c r="F150" s="161">
        <v>1</v>
      </c>
      <c r="G150" s="161">
        <v>1</v>
      </c>
      <c r="H150" s="161">
        <v>1</v>
      </c>
      <c r="I150" s="161">
        <v>1</v>
      </c>
      <c r="J150" s="161">
        <v>1</v>
      </c>
      <c r="K150" s="161">
        <v>1</v>
      </c>
      <c r="L150" s="161">
        <v>1</v>
      </c>
      <c r="M150" s="161">
        <v>1</v>
      </c>
      <c r="N150" s="161">
        <v>0.99999999900000003</v>
      </c>
      <c r="O150" s="161">
        <v>1</v>
      </c>
      <c r="P150" s="161">
        <v>1</v>
      </c>
      <c r="Q150" s="161">
        <v>0.99999999949999996</v>
      </c>
      <c r="R150" s="161">
        <v>0.99999999900000003</v>
      </c>
      <c r="S150" s="161">
        <v>0.99999999900000003</v>
      </c>
      <c r="T150" s="161">
        <v>0.99999999900000003</v>
      </c>
      <c r="U150" s="161">
        <v>0.99999999900000003</v>
      </c>
      <c r="V150" s="161">
        <v>0.99999999900000003</v>
      </c>
      <c r="W150" s="161">
        <v>0.99999999900000003</v>
      </c>
      <c r="X150" s="161">
        <v>0.99999999900000003</v>
      </c>
      <c r="Y150" s="161">
        <v>0.99999999900000003</v>
      </c>
      <c r="Z150" s="161">
        <v>0.99999999900000003</v>
      </c>
      <c r="AA150" s="161">
        <v>0.99999999958333297</v>
      </c>
      <c r="AB150" s="161">
        <v>1</v>
      </c>
      <c r="AC150" s="161">
        <v>1</v>
      </c>
      <c r="AD150" s="161">
        <v>1</v>
      </c>
      <c r="AE150" s="161">
        <v>1</v>
      </c>
      <c r="AF150" s="161">
        <v>1</v>
      </c>
      <c r="AG150" s="161">
        <v>1</v>
      </c>
      <c r="AH150" s="161">
        <v>1</v>
      </c>
      <c r="AI150" s="161">
        <v>1</v>
      </c>
      <c r="AJ150" s="161">
        <v>1</v>
      </c>
      <c r="AK150" s="161">
        <v>1</v>
      </c>
      <c r="AL150" s="168">
        <v>1</v>
      </c>
      <c r="AM150" s="168">
        <v>1</v>
      </c>
      <c r="AN150" s="168">
        <v>1</v>
      </c>
      <c r="AO150" s="168">
        <v>1</v>
      </c>
      <c r="AP150" s="168">
        <v>1</v>
      </c>
      <c r="AQ150" s="168">
        <v>1</v>
      </c>
      <c r="AR150" s="168">
        <v>1</v>
      </c>
      <c r="AS150" s="168">
        <v>1</v>
      </c>
      <c r="AT150" s="168">
        <v>1</v>
      </c>
      <c r="AU150" s="168">
        <v>1</v>
      </c>
      <c r="AV150" s="168">
        <v>1</v>
      </c>
      <c r="AW150" s="168">
        <v>1</v>
      </c>
      <c r="AX150" s="168">
        <v>1</v>
      </c>
      <c r="AY150" s="168">
        <v>1</v>
      </c>
      <c r="AZ150" s="168">
        <v>1</v>
      </c>
      <c r="BA150" s="168">
        <v>1</v>
      </c>
      <c r="BB150" s="168">
        <v>1</v>
      </c>
      <c r="BC150" s="168">
        <v>1</v>
      </c>
      <c r="BD150" s="168">
        <v>1</v>
      </c>
    </row>
    <row r="151" spans="1:56">
      <c r="A151" s="163" t="s">
        <v>405</v>
      </c>
      <c r="B151" s="163" t="s">
        <v>406</v>
      </c>
      <c r="C151" s="161">
        <v>0.89285699989285705</v>
      </c>
      <c r="D151" s="161">
        <v>0.89285699989285705</v>
      </c>
      <c r="E151" s="161">
        <v>0.89285699989285705</v>
      </c>
      <c r="F151" s="161">
        <v>0.89285699989285705</v>
      </c>
      <c r="G151" s="161">
        <v>0.89285699989285705</v>
      </c>
      <c r="H151" s="161">
        <v>0.89285699989285705</v>
      </c>
      <c r="I151" s="161">
        <v>0.89285699989285705</v>
      </c>
      <c r="J151" s="161">
        <v>0.89285699989285705</v>
      </c>
      <c r="K151" s="161">
        <v>0.89285699989285705</v>
      </c>
      <c r="L151" s="161">
        <v>0.89285699989285705</v>
      </c>
      <c r="M151" s="161">
        <v>0.89285699989285705</v>
      </c>
      <c r="N151" s="161">
        <v>0.88275827124897299</v>
      </c>
      <c r="O151" s="161">
        <v>0.83503897375136704</v>
      </c>
      <c r="P151" s="161">
        <v>0.70411390796665796</v>
      </c>
      <c r="Q151" s="161">
        <v>0.69666586863809599</v>
      </c>
      <c r="R151" s="161">
        <v>0.76389333233333301</v>
      </c>
      <c r="S151" s="161">
        <v>0.79280749900000003</v>
      </c>
      <c r="T151" s="161">
        <v>0.79140833233333296</v>
      </c>
      <c r="U151" s="161">
        <v>0.70892499899999994</v>
      </c>
      <c r="V151" s="161">
        <v>0.71175749899999996</v>
      </c>
      <c r="W151" s="161">
        <v>0.67094583233333305</v>
      </c>
      <c r="X151" s="161">
        <v>0.67296749899999997</v>
      </c>
      <c r="Y151" s="161">
        <v>0.73845833233333302</v>
      </c>
      <c r="Z151" s="161">
        <v>0.83614583233333295</v>
      </c>
      <c r="AA151" s="161">
        <v>0.89855166625000005</v>
      </c>
      <c r="AB151" s="161">
        <v>1.0003141664166699</v>
      </c>
      <c r="AC151" s="161">
        <v>0.97141416666666702</v>
      </c>
      <c r="AD151" s="161">
        <v>0.90789916666666703</v>
      </c>
      <c r="AE151" s="161">
        <v>0.8670525</v>
      </c>
      <c r="AF151" s="161">
        <v>0.85879749999999999</v>
      </c>
      <c r="AG151" s="161">
        <v>0.95499999999999996</v>
      </c>
      <c r="AH151" s="161">
        <v>0.95170916666666705</v>
      </c>
      <c r="AI151" s="161">
        <v>0.96466333333333298</v>
      </c>
      <c r="AJ151" s="161">
        <v>0.97817666666666703</v>
      </c>
      <c r="AK151" s="161">
        <v>1.0113399999999999</v>
      </c>
      <c r="AL151" s="168">
        <v>1.2798416666666701</v>
      </c>
      <c r="AM151" s="168">
        <v>1.319075</v>
      </c>
      <c r="AN151" s="168">
        <v>1.43797166666667</v>
      </c>
      <c r="AO151" s="168">
        <v>2.0735916666666698</v>
      </c>
      <c r="AP151" s="168">
        <v>2.5707724999999999</v>
      </c>
      <c r="AQ151" s="168">
        <v>2.7821566666666699</v>
      </c>
      <c r="AR151" s="168">
        <v>3.3887150645833302</v>
      </c>
      <c r="AS151" s="168">
        <v>3.8952208016666701</v>
      </c>
      <c r="AT151" s="168">
        <v>3.5634528749999999</v>
      </c>
      <c r="AU151" s="168">
        <v>3.2225401036691999</v>
      </c>
      <c r="AV151" s="168">
        <v>3.1019498003333301</v>
      </c>
      <c r="AW151" s="168">
        <v>3.0567347873333302</v>
      </c>
      <c r="AX151" s="168">
        <v>2.96534583333333</v>
      </c>
      <c r="AY151" s="168">
        <v>2.7000883333333299</v>
      </c>
      <c r="AZ151" s="168">
        <v>2.7551433333333302</v>
      </c>
      <c r="BA151" s="168">
        <v>2.7192941666666699</v>
      </c>
      <c r="BB151" s="168">
        <v>2.37096994940423</v>
      </c>
      <c r="BC151" s="168">
        <v>2.0836483390254799</v>
      </c>
      <c r="BD151" s="168">
        <v>2.24451</v>
      </c>
    </row>
    <row r="152" spans="1:56">
      <c r="A152" s="163" t="s">
        <v>407</v>
      </c>
      <c r="B152" s="163" t="s">
        <v>408</v>
      </c>
      <c r="C152" s="161">
        <v>123.166666666667</v>
      </c>
      <c r="D152" s="161">
        <v>126</v>
      </c>
      <c r="E152" s="161">
        <v>126</v>
      </c>
      <c r="F152" s="161">
        <v>126</v>
      </c>
      <c r="G152" s="161">
        <v>126</v>
      </c>
      <c r="H152" s="161">
        <v>126</v>
      </c>
      <c r="I152" s="161">
        <v>126</v>
      </c>
      <c r="J152" s="161">
        <v>126</v>
      </c>
      <c r="K152" s="161">
        <v>126</v>
      </c>
      <c r="L152" s="161">
        <v>126</v>
      </c>
      <c r="M152" s="161">
        <v>126</v>
      </c>
      <c r="N152" s="161">
        <v>126</v>
      </c>
      <c r="O152" s="161">
        <v>126</v>
      </c>
      <c r="P152" s="161">
        <v>126</v>
      </c>
      <c r="Q152" s="161">
        <v>126</v>
      </c>
      <c r="R152" s="161">
        <v>126</v>
      </c>
      <c r="S152" s="161">
        <v>126</v>
      </c>
      <c r="T152" s="161">
        <v>126</v>
      </c>
      <c r="U152" s="161">
        <v>126</v>
      </c>
      <c r="V152" s="161">
        <v>126</v>
      </c>
      <c r="W152" s="161">
        <v>126</v>
      </c>
      <c r="X152" s="161">
        <v>126</v>
      </c>
      <c r="Y152" s="161">
        <v>126</v>
      </c>
      <c r="Z152" s="161">
        <v>126</v>
      </c>
      <c r="AA152" s="161">
        <v>201</v>
      </c>
      <c r="AB152" s="161">
        <v>306.66666666666703</v>
      </c>
      <c r="AC152" s="161">
        <v>339.16666666666703</v>
      </c>
      <c r="AD152" s="161">
        <v>550</v>
      </c>
      <c r="AE152" s="161">
        <v>550</v>
      </c>
      <c r="AF152" s="161">
        <v>1056.2166666666701</v>
      </c>
      <c r="AG152" s="161">
        <v>1229.80833333333</v>
      </c>
      <c r="AH152" s="161">
        <v>1325.18333333333</v>
      </c>
      <c r="AI152" s="161">
        <v>1500.25833333333</v>
      </c>
      <c r="AJ152" s="161">
        <v>1744.3458333333299</v>
      </c>
      <c r="AK152" s="161">
        <v>1904.7608333333301</v>
      </c>
      <c r="AL152" s="168">
        <v>1963.0191666666699</v>
      </c>
      <c r="AM152" s="168">
        <v>2056.8116666666701</v>
      </c>
      <c r="AN152" s="168">
        <v>2177.8625000000002</v>
      </c>
      <c r="AO152" s="168">
        <v>2726.49</v>
      </c>
      <c r="AP152" s="168">
        <v>3119.0733333333301</v>
      </c>
      <c r="AQ152" s="168">
        <v>3486.3533333333298</v>
      </c>
      <c r="AR152" s="168">
        <v>4105.9250000000002</v>
      </c>
      <c r="AS152" s="168">
        <v>5716.2583333333296</v>
      </c>
      <c r="AT152" s="168">
        <v>6424.3391666666703</v>
      </c>
      <c r="AU152" s="168">
        <v>5974.5775000000003</v>
      </c>
      <c r="AV152" s="168">
        <v>6177.9583333333303</v>
      </c>
      <c r="AW152" s="168">
        <v>5635.4624999999996</v>
      </c>
      <c r="AX152" s="168">
        <v>5032.7166666666699</v>
      </c>
      <c r="AY152" s="168">
        <v>4363.2416666666704</v>
      </c>
      <c r="AZ152" s="168">
        <v>4965.3916666666701</v>
      </c>
      <c r="BA152" s="168">
        <v>4735.4616666666698</v>
      </c>
      <c r="BB152" s="168">
        <v>4191.4162500000002</v>
      </c>
      <c r="BC152" s="168">
        <v>4424.9174999999996</v>
      </c>
      <c r="BD152" s="168">
        <v>4320.6741666666703</v>
      </c>
    </row>
    <row r="153" spans="1:56">
      <c r="A153" s="163" t="s">
        <v>80</v>
      </c>
      <c r="B153" s="163" t="s">
        <v>409</v>
      </c>
      <c r="C153" s="161">
        <v>2.7299166665916701E-8</v>
      </c>
      <c r="D153" s="161">
        <v>2.681666666575E-8</v>
      </c>
      <c r="E153" s="161">
        <v>2.6819999998999999E-8</v>
      </c>
      <c r="F153" s="161">
        <v>2.6819999998999999E-8</v>
      </c>
      <c r="G153" s="161">
        <v>2.6819999998999999E-8</v>
      </c>
      <c r="H153" s="161">
        <v>2.6819999998999999E-8</v>
      </c>
      <c r="I153" s="161">
        <v>2.6819999998999999E-8</v>
      </c>
      <c r="J153" s="161">
        <v>3.0248333332333302E-8</v>
      </c>
      <c r="K153" s="161">
        <v>3.8699999999000001E-8</v>
      </c>
      <c r="L153" s="161">
        <v>3.8699999999000001E-8</v>
      </c>
      <c r="M153" s="161">
        <v>3.8699999999000001E-8</v>
      </c>
      <c r="N153" s="161">
        <v>3.8699999999000001E-8</v>
      </c>
      <c r="O153" s="161">
        <v>3.8699999999000001E-8</v>
      </c>
      <c r="P153" s="161">
        <v>3.8699999999000001E-8</v>
      </c>
      <c r="Q153" s="161">
        <v>3.8699999999000001E-8</v>
      </c>
      <c r="R153" s="161">
        <v>4.0370833332583299E-8</v>
      </c>
      <c r="S153" s="161">
        <v>5.5755833332916701E-8</v>
      </c>
      <c r="T153" s="161">
        <v>8.4234833332583294E-8</v>
      </c>
      <c r="U153" s="161">
        <v>1.5634883333275001E-7</v>
      </c>
      <c r="V153" s="161">
        <v>2.24718916665667E-7</v>
      </c>
      <c r="W153" s="161">
        <v>2.8885524999866702E-7</v>
      </c>
      <c r="X153" s="161">
        <v>4.2231799999849999E-7</v>
      </c>
      <c r="Y153" s="161">
        <v>6.9756674999766704E-7</v>
      </c>
      <c r="Z153" s="161">
        <v>1.62863416666367E-6</v>
      </c>
      <c r="AA153" s="161">
        <v>3.4668541666649202E-6</v>
      </c>
      <c r="AB153" s="161">
        <v>1.09749424999999E-5</v>
      </c>
      <c r="AC153" s="161">
        <v>1.39475E-5</v>
      </c>
      <c r="AD153" s="161">
        <v>1.6835833333333298E-5</v>
      </c>
      <c r="AE153" s="161">
        <v>1.2883166666666701E-4</v>
      </c>
      <c r="AF153" s="161">
        <v>2.6661875000000002E-3</v>
      </c>
      <c r="AG153" s="161">
        <v>0.18788557916666701</v>
      </c>
      <c r="AH153" s="161">
        <v>0.77249999999999996</v>
      </c>
      <c r="AI153" s="161">
        <v>1.24583333333333</v>
      </c>
      <c r="AJ153" s="161">
        <v>1.9883189166666699</v>
      </c>
      <c r="AK153" s="161">
        <v>2.1949999999999998</v>
      </c>
      <c r="AL153" s="168">
        <v>2.2533333333333299</v>
      </c>
      <c r="AM153" s="168">
        <v>2.45333333333333</v>
      </c>
      <c r="AN153" s="168">
        <v>2.6641666666666701</v>
      </c>
      <c r="AO153" s="168">
        <v>2.93</v>
      </c>
      <c r="AP153" s="168">
        <v>3.3833333333333302</v>
      </c>
      <c r="AQ153" s="168">
        <v>3.49</v>
      </c>
      <c r="AR153" s="168">
        <v>3.5068333333333301</v>
      </c>
      <c r="AS153" s="168">
        <v>3.5165000000000002</v>
      </c>
      <c r="AT153" s="168">
        <v>3.4784670000000002</v>
      </c>
      <c r="AU153" s="168">
        <v>3.4131749999999998</v>
      </c>
      <c r="AV153" s="168">
        <v>3.2958416666666701</v>
      </c>
      <c r="AW153" s="168">
        <v>3.27403250265816</v>
      </c>
      <c r="AX153" s="168">
        <v>3.1280445773524699</v>
      </c>
      <c r="AY153" s="168">
        <v>2.9244083333333299</v>
      </c>
      <c r="AZ153" s="168">
        <v>3.0115083333333299</v>
      </c>
      <c r="BA153" s="168">
        <v>2.8251249999999999</v>
      </c>
      <c r="BB153" s="168">
        <v>2.7541000000000002</v>
      </c>
      <c r="BC153" s="168">
        <v>2.6375864177489201</v>
      </c>
      <c r="BD153" s="168">
        <v>2.7018990259740301</v>
      </c>
    </row>
    <row r="154" spans="1:56">
      <c r="A154" s="163" t="s">
        <v>69</v>
      </c>
      <c r="B154" s="163" t="s">
        <v>410</v>
      </c>
      <c r="C154" s="161">
        <v>2.0149984883118099</v>
      </c>
      <c r="D154" s="161">
        <v>2.0199979840824098</v>
      </c>
      <c r="E154" s="161">
        <v>3.7278515776187202</v>
      </c>
      <c r="F154" s="161">
        <v>3.9104231462455998</v>
      </c>
      <c r="G154" s="161">
        <v>3.9100072879016801</v>
      </c>
      <c r="H154" s="161">
        <v>3.90917334748488</v>
      </c>
      <c r="I154" s="161">
        <v>3.9000000029000002</v>
      </c>
      <c r="J154" s="161">
        <v>3.9000000029000002</v>
      </c>
      <c r="K154" s="161">
        <v>3.9000000029000002</v>
      </c>
      <c r="L154" s="161">
        <v>3.9000000029000002</v>
      </c>
      <c r="M154" s="161">
        <v>5.9043499993250004</v>
      </c>
      <c r="N154" s="161">
        <v>6.4317083323333302</v>
      </c>
      <c r="O154" s="161">
        <v>6.6748416657499998</v>
      </c>
      <c r="P154" s="161">
        <v>6.7562833323333296</v>
      </c>
      <c r="Q154" s="161">
        <v>6.7878749994166698</v>
      </c>
      <c r="R154" s="161">
        <v>7.2478999990000004</v>
      </c>
      <c r="S154" s="161">
        <v>7.4402583323333298</v>
      </c>
      <c r="T154" s="161">
        <v>7.4028249989999999</v>
      </c>
      <c r="U154" s="161">
        <v>7.3657583324999996</v>
      </c>
      <c r="V154" s="161">
        <v>7.3775499990000002</v>
      </c>
      <c r="W154" s="161">
        <v>7.51143333233333</v>
      </c>
      <c r="X154" s="161">
        <v>7.89964999908333</v>
      </c>
      <c r="Y154" s="161">
        <v>8.5399999994166702</v>
      </c>
      <c r="Z154" s="161">
        <v>11.1127166658333</v>
      </c>
      <c r="AA154" s="161">
        <v>16.698708332916699</v>
      </c>
      <c r="AB154" s="161">
        <v>18.607341666500002</v>
      </c>
      <c r="AC154" s="161">
        <v>20.385683333333301</v>
      </c>
      <c r="AD154" s="161">
        <v>20.567675000000001</v>
      </c>
      <c r="AE154" s="161">
        <v>21.094674999999999</v>
      </c>
      <c r="AF154" s="161">
        <v>21.7366833333333</v>
      </c>
      <c r="AG154" s="161">
        <v>24.310500000000001</v>
      </c>
      <c r="AH154" s="161">
        <v>27.478633333333299</v>
      </c>
      <c r="AI154" s="161">
        <v>25.512491666666701</v>
      </c>
      <c r="AJ154" s="161">
        <v>27.119841666666701</v>
      </c>
      <c r="AK154" s="161">
        <v>26.417166666666699</v>
      </c>
      <c r="AL154" s="168">
        <v>25.714466666666699</v>
      </c>
      <c r="AM154" s="168">
        <v>26.216100000000001</v>
      </c>
      <c r="AN154" s="168">
        <v>29.470658333333301</v>
      </c>
      <c r="AO154" s="168">
        <v>40.893050000000002</v>
      </c>
      <c r="AP154" s="168">
        <v>39.088983333333303</v>
      </c>
      <c r="AQ154" s="168">
        <v>44.192250000000001</v>
      </c>
      <c r="AR154" s="168">
        <v>50.992649999999998</v>
      </c>
      <c r="AS154" s="168">
        <v>51.603566666666701</v>
      </c>
      <c r="AT154" s="168">
        <v>54.203333333333298</v>
      </c>
      <c r="AU154" s="168">
        <v>56.039916666666699</v>
      </c>
      <c r="AV154" s="168">
        <v>55.085491666666698</v>
      </c>
      <c r="AW154" s="168">
        <v>51.314272500000001</v>
      </c>
      <c r="AX154" s="168">
        <v>46.148391177755002</v>
      </c>
      <c r="AY154" s="168">
        <v>44.323287609410002</v>
      </c>
      <c r="AZ154" s="168">
        <v>47.679688453509101</v>
      </c>
      <c r="BA154" s="168">
        <v>45.109664180089602</v>
      </c>
      <c r="BB154" s="168">
        <v>43.3131369237488</v>
      </c>
      <c r="BC154" s="168">
        <v>42.228794734943399</v>
      </c>
      <c r="BD154" s="168">
        <v>42.446184830673999</v>
      </c>
    </row>
    <row r="155" spans="1:56">
      <c r="A155" s="163" t="s">
        <v>411</v>
      </c>
      <c r="B155" s="163" t="s">
        <v>412</v>
      </c>
      <c r="C155" s="161">
        <v>3.9999999989999999E-4</v>
      </c>
      <c r="D155" s="161">
        <v>3.9999999989999999E-4</v>
      </c>
      <c r="E155" s="161">
        <v>3.9999999989999999E-4</v>
      </c>
      <c r="F155" s="161">
        <v>3.9999999989999999E-4</v>
      </c>
      <c r="G155" s="161">
        <v>3.9999999989999999E-4</v>
      </c>
      <c r="H155" s="161">
        <v>3.9999999989999999E-4</v>
      </c>
      <c r="I155" s="161">
        <v>3.9999999989999999E-4</v>
      </c>
      <c r="J155" s="161">
        <v>3.9999999989999999E-4</v>
      </c>
      <c r="K155" s="161">
        <v>3.9999999989999999E-4</v>
      </c>
      <c r="L155" s="161">
        <v>3.9999999989999999E-4</v>
      </c>
      <c r="M155" s="161">
        <v>4.0000000000000002E-4</v>
      </c>
      <c r="N155" s="161">
        <v>3.8933333323333302E-4</v>
      </c>
      <c r="O155" s="161">
        <v>3.6799999990000002E-4</v>
      </c>
      <c r="P155" s="161">
        <v>3.3499999989999998E-4</v>
      </c>
      <c r="Q155" s="161">
        <v>3.3199999990000001E-4</v>
      </c>
      <c r="R155" s="161">
        <v>3.3199999999999999E-4</v>
      </c>
      <c r="S155" s="161">
        <v>3.3199999999999999E-4</v>
      </c>
      <c r="T155" s="161">
        <v>3.3199999999999999E-4</v>
      </c>
      <c r="U155" s="161">
        <v>5.8100000000000003E-4</v>
      </c>
      <c r="V155" s="161">
        <v>3.32E-3</v>
      </c>
      <c r="W155" s="161">
        <v>4.4216666666666701E-3</v>
      </c>
      <c r="X155" s="161">
        <v>5.11525E-3</v>
      </c>
      <c r="Y155" s="161">
        <v>8.4824166666416703E-3</v>
      </c>
      <c r="Z155" s="161">
        <v>9.1549999999666707E-3</v>
      </c>
      <c r="AA155" s="161">
        <v>1.1323999999950001E-2</v>
      </c>
      <c r="AB155" s="161">
        <v>1.47141666666333E-2</v>
      </c>
      <c r="AC155" s="161">
        <v>1.7528666666666699E-2</v>
      </c>
      <c r="AD155" s="161">
        <v>2.6508250000000001E-2</v>
      </c>
      <c r="AE155" s="161">
        <v>4.3054583333333299E-2</v>
      </c>
      <c r="AF155" s="161">
        <v>0.14391841666666699</v>
      </c>
      <c r="AG155" s="161">
        <v>0.95</v>
      </c>
      <c r="AH155" s="161">
        <v>1.05760583333333</v>
      </c>
      <c r="AI155" s="161">
        <v>1.3626433333333301</v>
      </c>
      <c r="AJ155" s="161">
        <v>1.8114966666666701</v>
      </c>
      <c r="AK155" s="161">
        <v>2.2722766666666701</v>
      </c>
      <c r="AL155" s="168">
        <v>2.4249833333333299</v>
      </c>
      <c r="AM155" s="168">
        <v>2.6960999999999999</v>
      </c>
      <c r="AN155" s="168">
        <v>3.27929166666667</v>
      </c>
      <c r="AO155" s="168">
        <v>3.4754</v>
      </c>
      <c r="AP155" s="168">
        <v>3.9671083333333299</v>
      </c>
      <c r="AQ155" s="168">
        <v>4.3460749999999999</v>
      </c>
      <c r="AR155" s="168">
        <v>4.0938999999999997</v>
      </c>
      <c r="AS155" s="168">
        <v>4.0800333333333301</v>
      </c>
      <c r="AT155" s="168">
        <v>3.8890750000000001</v>
      </c>
      <c r="AU155" s="168">
        <v>3.6576416666666698</v>
      </c>
      <c r="AV155" s="168">
        <v>3.2354833333333302</v>
      </c>
      <c r="AW155" s="168">
        <v>3.1031583333333299</v>
      </c>
      <c r="AX155" s="168">
        <v>2.7679499999999999</v>
      </c>
      <c r="AY155" s="168">
        <v>2.4092416666666701</v>
      </c>
      <c r="AZ155" s="168">
        <v>3.1201416666666701</v>
      </c>
      <c r="BA155" s="168">
        <v>3.0152999999999999</v>
      </c>
      <c r="BB155" s="168">
        <v>2.96284777777778</v>
      </c>
      <c r="BC155" s="168">
        <v>3.2565416666666702</v>
      </c>
      <c r="BD155" s="168">
        <v>3.16061666666667</v>
      </c>
    </row>
    <row r="156" spans="1:56">
      <c r="A156" s="163" t="s">
        <v>413</v>
      </c>
      <c r="B156" s="163" t="s">
        <v>414</v>
      </c>
      <c r="C156" s="161">
        <v>28.750000028750001</v>
      </c>
      <c r="D156" s="161">
        <v>28.750000028750001</v>
      </c>
      <c r="E156" s="161">
        <v>28.750000028750001</v>
      </c>
      <c r="F156" s="161">
        <v>28.750000028750001</v>
      </c>
      <c r="G156" s="161">
        <v>28.750000028750001</v>
      </c>
      <c r="H156" s="161">
        <v>28.750000028750001</v>
      </c>
      <c r="I156" s="161">
        <v>28.750000028750001</v>
      </c>
      <c r="J156" s="161">
        <v>28.750000028750001</v>
      </c>
      <c r="K156" s="161">
        <v>28.750000028750001</v>
      </c>
      <c r="L156" s="161">
        <v>28.750000028750001</v>
      </c>
      <c r="M156" s="161">
        <v>28.750000028750001</v>
      </c>
      <c r="N156" s="161">
        <v>28.360170287656</v>
      </c>
      <c r="O156" s="161">
        <v>27.053416666499999</v>
      </c>
      <c r="P156" s="161">
        <v>24.5151666664167</v>
      </c>
      <c r="Q156" s="161">
        <v>25.408166665666698</v>
      </c>
      <c r="R156" s="161">
        <v>25.552749999</v>
      </c>
      <c r="S156" s="161">
        <v>30.229083332583301</v>
      </c>
      <c r="T156" s="161">
        <v>38.276949999000003</v>
      </c>
      <c r="U156" s="161">
        <v>43.9373333325833</v>
      </c>
      <c r="V156" s="161">
        <v>48.923466665666702</v>
      </c>
      <c r="W156" s="161">
        <v>50.062133332333303</v>
      </c>
      <c r="X156" s="161">
        <v>61.546374999249998</v>
      </c>
      <c r="Y156" s="161">
        <v>79.473333332833306</v>
      </c>
      <c r="Z156" s="161">
        <v>110.779833332583</v>
      </c>
      <c r="AA156" s="161">
        <v>146.39033333291701</v>
      </c>
      <c r="AB156" s="161">
        <v>170.3946666665</v>
      </c>
      <c r="AC156" s="161">
        <v>149.58674999999999</v>
      </c>
      <c r="AD156" s="161">
        <v>140.88241666666701</v>
      </c>
      <c r="AE156" s="161">
        <v>143.953916666667</v>
      </c>
      <c r="AF156" s="161">
        <v>157.45824999999999</v>
      </c>
      <c r="AG156" s="161">
        <v>142.55475000000001</v>
      </c>
      <c r="AH156" s="161">
        <v>144.482</v>
      </c>
      <c r="AI156" s="161">
        <v>134.99783333333301</v>
      </c>
      <c r="AJ156" s="161">
        <v>160.80018583333299</v>
      </c>
      <c r="AK156" s="161">
        <v>165.992776666667</v>
      </c>
      <c r="AL156" s="168">
        <v>151.10552833333301</v>
      </c>
      <c r="AM156" s="168">
        <v>154.24366166666701</v>
      </c>
      <c r="AN156" s="168">
        <v>175.312445</v>
      </c>
      <c r="AO156" s="168">
        <v>180.10448</v>
      </c>
      <c r="AP156" s="168" t="s">
        <v>125</v>
      </c>
      <c r="AQ156" s="168" t="s">
        <v>125</v>
      </c>
      <c r="AR156" s="168" t="s">
        <v>125</v>
      </c>
      <c r="AS156" s="168" t="s">
        <v>125</v>
      </c>
      <c r="AT156" s="168" t="s">
        <v>125</v>
      </c>
      <c r="AU156" s="168" t="s">
        <v>125</v>
      </c>
      <c r="AV156" s="168" t="s">
        <v>125</v>
      </c>
      <c r="AW156" s="168" t="s">
        <v>125</v>
      </c>
      <c r="AX156" s="168" t="s">
        <v>125</v>
      </c>
      <c r="AY156" s="168" t="s">
        <v>125</v>
      </c>
      <c r="AZ156" s="168" t="s">
        <v>125</v>
      </c>
      <c r="BA156" s="168" t="s">
        <v>125</v>
      </c>
      <c r="BB156" s="168" t="s">
        <v>125</v>
      </c>
      <c r="BC156" s="168" t="s">
        <v>125</v>
      </c>
      <c r="BD156" s="168" t="s">
        <v>125</v>
      </c>
    </row>
    <row r="157" spans="1:56">
      <c r="A157" s="163" t="s">
        <v>415</v>
      </c>
      <c r="B157" s="163" t="s">
        <v>416</v>
      </c>
      <c r="C157" s="161" t="s">
        <v>125</v>
      </c>
      <c r="D157" s="161" t="s">
        <v>125</v>
      </c>
      <c r="E157" s="161" t="s">
        <v>125</v>
      </c>
      <c r="F157" s="161" t="s">
        <v>125</v>
      </c>
      <c r="G157" s="161" t="s">
        <v>125</v>
      </c>
      <c r="H157" s="161" t="s">
        <v>125</v>
      </c>
      <c r="I157" s="161" t="s">
        <v>125</v>
      </c>
      <c r="J157" s="161" t="s">
        <v>125</v>
      </c>
      <c r="K157" s="161" t="s">
        <v>125</v>
      </c>
      <c r="L157" s="161" t="s">
        <v>125</v>
      </c>
      <c r="M157" s="161" t="s">
        <v>125</v>
      </c>
      <c r="N157" s="161" t="s">
        <v>125</v>
      </c>
      <c r="O157" s="161" t="s">
        <v>125</v>
      </c>
      <c r="P157" s="161" t="s">
        <v>125</v>
      </c>
      <c r="Q157" s="161" t="s">
        <v>125</v>
      </c>
      <c r="R157" s="161" t="s">
        <v>125</v>
      </c>
      <c r="S157" s="161" t="s">
        <v>125</v>
      </c>
      <c r="T157" s="161" t="s">
        <v>125</v>
      </c>
      <c r="U157" s="161" t="s">
        <v>125</v>
      </c>
      <c r="V157" s="161" t="s">
        <v>125</v>
      </c>
      <c r="W157" s="161" t="s">
        <v>125</v>
      </c>
      <c r="X157" s="161" t="s">
        <v>125</v>
      </c>
      <c r="Y157" s="161" t="s">
        <v>125</v>
      </c>
      <c r="Z157" s="161" t="s">
        <v>125</v>
      </c>
      <c r="AA157" s="161" t="s">
        <v>125</v>
      </c>
      <c r="AB157" s="161" t="s">
        <v>125</v>
      </c>
      <c r="AC157" s="161" t="s">
        <v>125</v>
      </c>
      <c r="AD157" s="161" t="s">
        <v>125</v>
      </c>
      <c r="AE157" s="161" t="s">
        <v>125</v>
      </c>
      <c r="AF157" s="161" t="s">
        <v>125</v>
      </c>
      <c r="AG157" s="161" t="s">
        <v>125</v>
      </c>
      <c r="AH157" s="161" t="s">
        <v>125</v>
      </c>
      <c r="AI157" s="161" t="s">
        <v>125</v>
      </c>
      <c r="AJ157" s="161" t="s">
        <v>125</v>
      </c>
      <c r="AK157" s="161" t="s">
        <v>125</v>
      </c>
      <c r="AL157" s="168" t="s">
        <v>125</v>
      </c>
      <c r="AM157" s="168" t="s">
        <v>125</v>
      </c>
      <c r="AN157" s="168" t="s">
        <v>125</v>
      </c>
      <c r="AO157" s="168" t="s">
        <v>125</v>
      </c>
      <c r="AP157" s="168" t="s">
        <v>125</v>
      </c>
      <c r="AQ157" s="168" t="s">
        <v>125</v>
      </c>
      <c r="AR157" s="168" t="s">
        <v>125</v>
      </c>
      <c r="AS157" s="168" t="s">
        <v>125</v>
      </c>
      <c r="AT157" s="168" t="s">
        <v>125</v>
      </c>
      <c r="AU157" s="168" t="s">
        <v>125</v>
      </c>
      <c r="AV157" s="168" t="s">
        <v>125</v>
      </c>
      <c r="AW157" s="168" t="s">
        <v>125</v>
      </c>
      <c r="AX157" s="168" t="s">
        <v>125</v>
      </c>
      <c r="AY157" s="168" t="s">
        <v>125</v>
      </c>
      <c r="AZ157" s="168" t="s">
        <v>125</v>
      </c>
      <c r="BA157" s="168" t="s">
        <v>125</v>
      </c>
      <c r="BB157" s="168" t="s">
        <v>125</v>
      </c>
      <c r="BC157" s="168" t="s">
        <v>125</v>
      </c>
      <c r="BD157" s="168" t="s">
        <v>125</v>
      </c>
    </row>
    <row r="158" spans="1:56">
      <c r="A158" s="163" t="s">
        <v>417</v>
      </c>
      <c r="B158" s="163" t="s">
        <v>418</v>
      </c>
      <c r="C158" s="161" t="s">
        <v>125</v>
      </c>
      <c r="D158" s="161" t="s">
        <v>125</v>
      </c>
      <c r="E158" s="161" t="s">
        <v>125</v>
      </c>
      <c r="F158" s="161" t="s">
        <v>125</v>
      </c>
      <c r="G158" s="161" t="s">
        <v>125</v>
      </c>
      <c r="H158" s="161" t="s">
        <v>125</v>
      </c>
      <c r="I158" s="161">
        <v>4.7619000037618999</v>
      </c>
      <c r="J158" s="161">
        <v>4.7619000037618999</v>
      </c>
      <c r="K158" s="161">
        <v>4.7619000037618999</v>
      </c>
      <c r="L158" s="161">
        <v>4.7619000037618999</v>
      </c>
      <c r="M158" s="161">
        <v>4.7619000037618999</v>
      </c>
      <c r="N158" s="161">
        <v>4.7479628848644202</v>
      </c>
      <c r="O158" s="161">
        <v>4.3859778425048797</v>
      </c>
      <c r="P158" s="161">
        <v>3.99629355042679</v>
      </c>
      <c r="Q158" s="161">
        <v>3.9473999989999999</v>
      </c>
      <c r="R158" s="161">
        <v>3.9307166656666701</v>
      </c>
      <c r="S158" s="161">
        <v>3.96343333233333</v>
      </c>
      <c r="T158" s="161">
        <v>3.9590166656666699</v>
      </c>
      <c r="U158" s="161">
        <v>3.8768999989999999</v>
      </c>
      <c r="V158" s="161">
        <v>3.7733249990000002</v>
      </c>
      <c r="W158" s="161">
        <v>3.6569666656666699</v>
      </c>
      <c r="X158" s="161">
        <v>3.639999999</v>
      </c>
      <c r="Y158" s="161">
        <v>3.639999999</v>
      </c>
      <c r="Z158" s="161">
        <v>3.639999999</v>
      </c>
      <c r="AA158" s="161">
        <v>3.6399999995833299</v>
      </c>
      <c r="AB158" s="161">
        <v>3.64</v>
      </c>
      <c r="AC158" s="161">
        <v>3.64</v>
      </c>
      <c r="AD158" s="161">
        <v>3.64</v>
      </c>
      <c r="AE158" s="161">
        <v>3.64</v>
      </c>
      <c r="AF158" s="161">
        <v>3.64</v>
      </c>
      <c r="AG158" s="161">
        <v>3.64</v>
      </c>
      <c r="AH158" s="161">
        <v>3.64</v>
      </c>
      <c r="AI158" s="161">
        <v>3.64</v>
      </c>
      <c r="AJ158" s="161">
        <v>3.64</v>
      </c>
      <c r="AK158" s="161">
        <v>3.64</v>
      </c>
      <c r="AL158" s="168">
        <v>3.64</v>
      </c>
      <c r="AM158" s="168">
        <v>3.64</v>
      </c>
      <c r="AN158" s="168">
        <v>3.64</v>
      </c>
      <c r="AO158" s="168">
        <v>3.64</v>
      </c>
      <c r="AP158" s="168">
        <v>3.64</v>
      </c>
      <c r="AQ158" s="168">
        <v>3.64</v>
      </c>
      <c r="AR158" s="168">
        <v>3.64</v>
      </c>
      <c r="AS158" s="168">
        <v>3.64</v>
      </c>
      <c r="AT158" s="168">
        <v>3.64</v>
      </c>
      <c r="AU158" s="168">
        <v>3.64</v>
      </c>
      <c r="AV158" s="168">
        <v>3.64</v>
      </c>
      <c r="AW158" s="168">
        <v>3.64</v>
      </c>
      <c r="AX158" s="168">
        <v>3.64</v>
      </c>
      <c r="AY158" s="168">
        <v>3.64</v>
      </c>
      <c r="AZ158" s="168">
        <v>3.64</v>
      </c>
      <c r="BA158" s="168">
        <v>3.64</v>
      </c>
      <c r="BB158" s="168">
        <v>3.64</v>
      </c>
      <c r="BC158" s="168">
        <v>3.64</v>
      </c>
      <c r="BD158" s="168">
        <v>3.64</v>
      </c>
    </row>
    <row r="159" spans="1:56">
      <c r="A159" s="163" t="s">
        <v>419</v>
      </c>
      <c r="B159" s="163" t="s">
        <v>568</v>
      </c>
      <c r="C159" s="161">
        <v>5.9999999989999997E-4</v>
      </c>
      <c r="D159" s="161">
        <v>5.9999999989999997E-4</v>
      </c>
      <c r="E159" s="161">
        <v>5.9999999989999997E-4</v>
      </c>
      <c r="F159" s="161">
        <v>5.9999999989999997E-4</v>
      </c>
      <c r="G159" s="161">
        <v>5.9999999989999997E-4</v>
      </c>
      <c r="H159" s="161">
        <v>5.9999999989999997E-4</v>
      </c>
      <c r="I159" s="161">
        <v>5.9999999989999997E-4</v>
      </c>
      <c r="J159" s="161">
        <v>5.9999999989999997E-4</v>
      </c>
      <c r="K159" s="161">
        <v>5.9999999989999997E-4</v>
      </c>
      <c r="L159" s="161">
        <v>5.9999999989999997E-4</v>
      </c>
      <c r="M159" s="161">
        <v>5.9999999989999997E-4</v>
      </c>
      <c r="N159" s="161">
        <v>5.9999999989999997E-4</v>
      </c>
      <c r="O159" s="161">
        <v>5.5299999990000002E-4</v>
      </c>
      <c r="P159" s="161">
        <v>1.87941666665833E-3</v>
      </c>
      <c r="Q159" s="161">
        <v>2E-3</v>
      </c>
      <c r="R159" s="161">
        <v>2E-3</v>
      </c>
      <c r="S159" s="161">
        <v>2E-3</v>
      </c>
      <c r="T159" s="161">
        <v>2E-3</v>
      </c>
      <c r="U159" s="161">
        <v>1.8360249999916701E-3</v>
      </c>
      <c r="V159" s="161">
        <v>1.8E-3</v>
      </c>
      <c r="W159" s="161">
        <v>1.8E-3</v>
      </c>
      <c r="X159" s="161">
        <v>1.5E-3</v>
      </c>
      <c r="Y159" s="161">
        <v>1.5E-3</v>
      </c>
      <c r="Z159" s="161">
        <v>1.71784999995E-3</v>
      </c>
      <c r="AA159" s="161">
        <v>2.1280166666249999E-3</v>
      </c>
      <c r="AB159" s="161">
        <v>1.714141666625E-3</v>
      </c>
      <c r="AC159" s="161">
        <v>1.6153416666499999E-3</v>
      </c>
      <c r="AD159" s="161">
        <v>1.4557000000000001E-3</v>
      </c>
      <c r="AE159" s="161">
        <v>1.42769166666667E-3</v>
      </c>
      <c r="AF159" s="161">
        <v>1.4921583333333301E-3</v>
      </c>
      <c r="AG159" s="161">
        <v>2.2432083333333301E-3</v>
      </c>
      <c r="AH159" s="161">
        <v>7.6387249999999999E-3</v>
      </c>
      <c r="AI159" s="161">
        <v>3.07953333333333E-2</v>
      </c>
      <c r="AJ159" s="161">
        <v>7.6005083333333306E-2</v>
      </c>
      <c r="AK159" s="161">
        <v>0.16550858333333299</v>
      </c>
      <c r="AL159" s="168">
        <v>0.20332758333333301</v>
      </c>
      <c r="AM159" s="168">
        <v>0.30842174999999999</v>
      </c>
      <c r="AN159" s="168">
        <v>0.71679433333333298</v>
      </c>
      <c r="AO159" s="168">
        <v>0.88755758333333301</v>
      </c>
      <c r="AP159" s="168">
        <v>1.5332837500000001</v>
      </c>
      <c r="AQ159" s="168">
        <v>2.1708720833333301</v>
      </c>
      <c r="AR159" s="168">
        <v>2.9060791666666699</v>
      </c>
      <c r="AS159" s="168">
        <v>3.3055430000000001</v>
      </c>
      <c r="AT159" s="168">
        <v>3.3200070833333299</v>
      </c>
      <c r="AU159" s="168">
        <v>3.26365683333333</v>
      </c>
      <c r="AV159" s="168">
        <v>2.9136531666666698</v>
      </c>
      <c r="AW159" s="168">
        <v>2.8089833333333298</v>
      </c>
      <c r="AX159" s="168">
        <v>2.43825</v>
      </c>
      <c r="AY159" s="168">
        <v>2.5188583333333301</v>
      </c>
      <c r="AZ159" s="168">
        <v>3.0493250000000001</v>
      </c>
      <c r="BA159" s="168">
        <v>3.1779000000000002</v>
      </c>
      <c r="BB159" s="168">
        <v>3.04860833333333</v>
      </c>
      <c r="BC159" s="168">
        <v>3.4681999999999999</v>
      </c>
      <c r="BD159" s="168">
        <v>3.32791666666667</v>
      </c>
    </row>
    <row r="160" spans="1:56">
      <c r="A160" s="163" t="s">
        <v>421</v>
      </c>
      <c r="B160" s="163" t="s">
        <v>422</v>
      </c>
      <c r="C160" s="161" t="s">
        <v>125</v>
      </c>
      <c r="D160" s="161" t="s">
        <v>125</v>
      </c>
      <c r="E160" s="161" t="s">
        <v>125</v>
      </c>
      <c r="F160" s="161" t="s">
        <v>125</v>
      </c>
      <c r="G160" s="161" t="s">
        <v>125</v>
      </c>
      <c r="H160" s="161" t="s">
        <v>125</v>
      </c>
      <c r="I160" s="161" t="s">
        <v>125</v>
      </c>
      <c r="J160" s="161" t="s">
        <v>125</v>
      </c>
      <c r="K160" s="161" t="s">
        <v>125</v>
      </c>
      <c r="L160" s="161" t="s">
        <v>125</v>
      </c>
      <c r="M160" s="161" t="s">
        <v>125</v>
      </c>
      <c r="N160" s="161" t="s">
        <v>125</v>
      </c>
      <c r="O160" s="161" t="s">
        <v>125</v>
      </c>
      <c r="P160" s="161" t="s">
        <v>125</v>
      </c>
      <c r="Q160" s="161" t="s">
        <v>125</v>
      </c>
      <c r="R160" s="161" t="s">
        <v>125</v>
      </c>
      <c r="S160" s="161" t="s">
        <v>125</v>
      </c>
      <c r="T160" s="161" t="s">
        <v>125</v>
      </c>
      <c r="U160" s="161" t="s">
        <v>125</v>
      </c>
      <c r="V160" s="161" t="s">
        <v>125</v>
      </c>
      <c r="W160" s="161" t="s">
        <v>125</v>
      </c>
      <c r="X160" s="161" t="s">
        <v>125</v>
      </c>
      <c r="Y160" s="161" t="s">
        <v>125</v>
      </c>
      <c r="Z160" s="161" t="s">
        <v>125</v>
      </c>
      <c r="AA160" s="161" t="s">
        <v>125</v>
      </c>
      <c r="AB160" s="161" t="s">
        <v>125</v>
      </c>
      <c r="AC160" s="161" t="s">
        <v>125</v>
      </c>
      <c r="AD160" s="161" t="s">
        <v>125</v>
      </c>
      <c r="AE160" s="161" t="s">
        <v>125</v>
      </c>
      <c r="AF160" s="161" t="s">
        <v>125</v>
      </c>
      <c r="AG160" s="161" t="s">
        <v>125</v>
      </c>
      <c r="AH160" s="161" t="s">
        <v>125</v>
      </c>
      <c r="AI160" s="161" t="s">
        <v>125</v>
      </c>
      <c r="AJ160" s="161">
        <v>0.99166666666666703</v>
      </c>
      <c r="AK160" s="161">
        <v>2.19075</v>
      </c>
      <c r="AL160" s="168">
        <v>4.5591499999999998</v>
      </c>
      <c r="AM160" s="168">
        <v>5.12083333333333</v>
      </c>
      <c r="AN160" s="168">
        <v>5.7848333333333297</v>
      </c>
      <c r="AO160" s="168">
        <v>9.7050833333333308</v>
      </c>
      <c r="AP160" s="168">
        <v>24.619900000000001</v>
      </c>
      <c r="AQ160" s="168">
        <v>28.129166666666698</v>
      </c>
      <c r="AR160" s="168">
        <v>29.168524999999999</v>
      </c>
      <c r="AS160" s="168">
        <v>31.348483333333299</v>
      </c>
      <c r="AT160" s="168">
        <v>30.692025000000001</v>
      </c>
      <c r="AU160" s="168">
        <v>28.813741666666701</v>
      </c>
      <c r="AV160" s="168">
        <v>28.284441666666702</v>
      </c>
      <c r="AW160" s="168">
        <v>27.190958333333299</v>
      </c>
      <c r="AX160" s="168">
        <v>25.580845367540402</v>
      </c>
      <c r="AY160" s="168">
        <v>24.852875000000001</v>
      </c>
      <c r="AZ160" s="168">
        <v>31.740358333333301</v>
      </c>
      <c r="BA160" s="168">
        <v>30.367915338305899</v>
      </c>
      <c r="BB160" s="168">
        <v>29.382341370930199</v>
      </c>
      <c r="BC160" s="168">
        <v>30.839831351991698</v>
      </c>
      <c r="BD160" s="168">
        <v>31.837143640281301</v>
      </c>
    </row>
    <row r="161" spans="1:56">
      <c r="A161" s="163" t="s">
        <v>423</v>
      </c>
      <c r="B161" s="163" t="s">
        <v>424</v>
      </c>
      <c r="C161" s="161">
        <v>49.999999950000003</v>
      </c>
      <c r="D161" s="161">
        <v>49.999999950000003</v>
      </c>
      <c r="E161" s="161">
        <v>49.999999950000003</v>
      </c>
      <c r="F161" s="161">
        <v>49.999999950000003</v>
      </c>
      <c r="G161" s="161">
        <v>49.999999950000003</v>
      </c>
      <c r="H161" s="161">
        <v>49.999999950000003</v>
      </c>
      <c r="I161" s="161">
        <v>87.499999912500002</v>
      </c>
      <c r="J161" s="161">
        <v>99.999999900000006</v>
      </c>
      <c r="K161" s="161">
        <v>99.999999900000006</v>
      </c>
      <c r="L161" s="161">
        <v>99.999999900000006</v>
      </c>
      <c r="M161" s="161">
        <v>99.999999900000006</v>
      </c>
      <c r="N161" s="161">
        <v>99.707333233333301</v>
      </c>
      <c r="O161" s="161">
        <v>92.104999899999996</v>
      </c>
      <c r="P161" s="161">
        <v>83.921999900000003</v>
      </c>
      <c r="Q161" s="161">
        <v>92.978505905258302</v>
      </c>
      <c r="R161" s="161">
        <v>92.277266554666696</v>
      </c>
      <c r="S161" s="161">
        <v>97.012346554666706</v>
      </c>
      <c r="T161" s="161">
        <v>95.935093221333304</v>
      </c>
      <c r="U161" s="161">
        <v>89.487906554666694</v>
      </c>
      <c r="V161" s="161">
        <v>86.690706554666704</v>
      </c>
      <c r="W161" s="161">
        <v>86.063879888000002</v>
      </c>
      <c r="X161" s="161">
        <v>87.160305038956693</v>
      </c>
      <c r="Y161" s="161">
        <v>93.059967438956704</v>
      </c>
      <c r="Z161" s="161">
        <v>96.093935247290005</v>
      </c>
      <c r="AA161" s="161">
        <v>100.23289152364499</v>
      </c>
      <c r="AB161" s="161">
        <v>101.244670649548</v>
      </c>
      <c r="AC161" s="161">
        <v>87.590916816666606</v>
      </c>
      <c r="AD161" s="161">
        <v>79.460649991666699</v>
      </c>
      <c r="AE161" s="161">
        <v>76.447737733333298</v>
      </c>
      <c r="AF161" s="161">
        <v>80.148978174999996</v>
      </c>
      <c r="AG161" s="161">
        <v>83.704097558333302</v>
      </c>
      <c r="AH161" s="161">
        <v>125.1642483</v>
      </c>
      <c r="AI161" s="161">
        <v>133.938583325</v>
      </c>
      <c r="AJ161" s="161">
        <v>144.23702053722499</v>
      </c>
      <c r="AK161" s="161">
        <v>140.703847467575</v>
      </c>
      <c r="AL161" s="168">
        <v>262.18226325860002</v>
      </c>
      <c r="AM161" s="168">
        <v>306.82</v>
      </c>
      <c r="AN161" s="168">
        <v>301.52981666666699</v>
      </c>
      <c r="AO161" s="168">
        <v>312.31409166666703</v>
      </c>
      <c r="AP161" s="168">
        <v>333.94192500000003</v>
      </c>
      <c r="AQ161" s="168">
        <v>389.696216666667</v>
      </c>
      <c r="AR161" s="168">
        <v>442.99189166666702</v>
      </c>
      <c r="AS161" s="168">
        <v>475.36524166666698</v>
      </c>
      <c r="AT161" s="168">
        <v>537.65498475000004</v>
      </c>
      <c r="AU161" s="168">
        <v>577.44897458333298</v>
      </c>
      <c r="AV161" s="168">
        <v>557.82264077499997</v>
      </c>
      <c r="AW161" s="168">
        <v>551.71033333333298</v>
      </c>
      <c r="AX161" s="168">
        <v>546.95500000000004</v>
      </c>
      <c r="AY161" s="168">
        <v>546.84865308253995</v>
      </c>
      <c r="AZ161" s="168">
        <v>568.28132683333297</v>
      </c>
      <c r="BA161" s="168">
        <v>583.13090659057195</v>
      </c>
      <c r="BB161" s="168">
        <v>600.30651968109703</v>
      </c>
      <c r="BC161" s="168">
        <v>614.29514240306696</v>
      </c>
      <c r="BD161" s="168">
        <v>646.63597455067304</v>
      </c>
    </row>
    <row r="162" spans="1:56">
      <c r="A162" s="163" t="s">
        <v>425</v>
      </c>
      <c r="B162" s="163" t="s">
        <v>426</v>
      </c>
      <c r="C162" s="161">
        <v>0.71428999971428997</v>
      </c>
      <c r="D162" s="161">
        <v>0.71551499971551502</v>
      </c>
      <c r="E162" s="161">
        <v>0.71918999971918995</v>
      </c>
      <c r="F162" s="161">
        <v>0.71918999971918995</v>
      </c>
      <c r="G162" s="161">
        <v>0.71918999971918995</v>
      </c>
      <c r="H162" s="161">
        <v>0.71918999971918995</v>
      </c>
      <c r="I162" s="161">
        <v>0.71918999971918995</v>
      </c>
      <c r="J162" s="161">
        <v>0.71950333305283698</v>
      </c>
      <c r="K162" s="161">
        <v>0.72106999972107</v>
      </c>
      <c r="L162" s="161">
        <v>0.72106999972107</v>
      </c>
      <c r="M162" s="161">
        <v>0.72106999972107</v>
      </c>
      <c r="N162" s="161">
        <v>0.71895973437828298</v>
      </c>
      <c r="O162" s="161">
        <v>0.67542999999999997</v>
      </c>
      <c r="P162" s="161">
        <v>0.61245700047593998</v>
      </c>
      <c r="Q162" s="161">
        <v>0.60658000000000001</v>
      </c>
      <c r="R162" s="161">
        <v>0.63278858316666697</v>
      </c>
      <c r="S162" s="161">
        <v>0.79536549899999998</v>
      </c>
      <c r="T162" s="161">
        <v>0.78607749900000001</v>
      </c>
      <c r="U162" s="161">
        <v>0.73633283233333302</v>
      </c>
      <c r="V162" s="161">
        <v>0.82615833233333302</v>
      </c>
      <c r="W162" s="161">
        <v>0.91930666566666697</v>
      </c>
      <c r="X162" s="161">
        <v>1.0340849990833301</v>
      </c>
      <c r="Y162" s="161">
        <v>1.2073324990833301</v>
      </c>
      <c r="Z162" s="161">
        <v>1.54913083308333</v>
      </c>
      <c r="AA162" s="161">
        <v>1.86230583283333</v>
      </c>
      <c r="AB162" s="161">
        <v>2.2452733330833299</v>
      </c>
      <c r="AC162" s="161">
        <v>2.2357599999166702</v>
      </c>
      <c r="AD162" s="161">
        <v>2.12174833333333</v>
      </c>
      <c r="AE162" s="161">
        <v>2.08043666666667</v>
      </c>
      <c r="AF162" s="161">
        <v>2.2701916666666699</v>
      </c>
      <c r="AG162" s="161">
        <v>2.30985166666667</v>
      </c>
      <c r="AH162" s="161">
        <v>2.3996223333333302</v>
      </c>
      <c r="AI162" s="161">
        <v>2.46630833333333</v>
      </c>
      <c r="AJ162" s="161">
        <v>2.56860341666667</v>
      </c>
      <c r="AK162" s="161">
        <v>2.5350371666666698</v>
      </c>
      <c r="AL162" s="168">
        <v>2.4734041666666702</v>
      </c>
      <c r="AM162" s="168">
        <v>2.4621729166666699</v>
      </c>
      <c r="AN162" s="168">
        <v>2.5593716666666699</v>
      </c>
      <c r="AO162" s="168">
        <v>2.9476868333333299</v>
      </c>
      <c r="AP162" s="168">
        <v>3.0131519999999998</v>
      </c>
      <c r="AQ162" s="168">
        <v>3.2863615249999998</v>
      </c>
      <c r="AR162" s="168">
        <v>3.4780400715000002</v>
      </c>
      <c r="AS162" s="168">
        <v>3.3762581025</v>
      </c>
      <c r="AT162" s="168">
        <v>2.9732376583333302</v>
      </c>
      <c r="AU162" s="168">
        <v>2.7807234306666699</v>
      </c>
      <c r="AV162" s="168">
        <v>2.71033673441667</v>
      </c>
      <c r="AW162" s="168">
        <v>2.7792940446967198</v>
      </c>
      <c r="AX162" s="168">
        <v>2.6165724724799602</v>
      </c>
      <c r="AY162" s="168">
        <v>2.64417628032353</v>
      </c>
      <c r="AZ162" s="168">
        <v>2.7307785095373101</v>
      </c>
      <c r="BA162" s="168">
        <v>2.4846565845233801</v>
      </c>
      <c r="BB162" s="168">
        <v>2.3174720118126002</v>
      </c>
      <c r="BC162" s="168">
        <v>2.29231194992329</v>
      </c>
      <c r="BD162" s="168">
        <v>2.3109000348257598</v>
      </c>
    </row>
    <row r="163" spans="1:56">
      <c r="A163" s="163" t="s">
        <v>427</v>
      </c>
      <c r="B163" s="163" t="s">
        <v>428</v>
      </c>
      <c r="C163" s="161" t="s">
        <v>125</v>
      </c>
      <c r="D163" s="161" t="s">
        <v>125</v>
      </c>
      <c r="E163" s="161" t="s">
        <v>125</v>
      </c>
      <c r="F163" s="161" t="s">
        <v>125</v>
      </c>
      <c r="G163" s="161" t="s">
        <v>125</v>
      </c>
      <c r="H163" s="161" t="s">
        <v>125</v>
      </c>
      <c r="I163" s="161" t="s">
        <v>125</v>
      </c>
      <c r="J163" s="161" t="s">
        <v>125</v>
      </c>
      <c r="K163" s="161" t="s">
        <v>125</v>
      </c>
      <c r="L163" s="161" t="s">
        <v>125</v>
      </c>
      <c r="M163" s="161" t="s">
        <v>125</v>
      </c>
      <c r="N163" s="161" t="s">
        <v>125</v>
      </c>
      <c r="O163" s="161">
        <v>583.21749999941699</v>
      </c>
      <c r="P163" s="161">
        <v>582.99583333191697</v>
      </c>
      <c r="Q163" s="161">
        <v>650.34333333183304</v>
      </c>
      <c r="R163" s="161">
        <v>652.84916666599997</v>
      </c>
      <c r="S163" s="161">
        <v>832.33499999966705</v>
      </c>
      <c r="T163" s="161">
        <v>882.38833333125001</v>
      </c>
      <c r="U163" s="161">
        <v>848.663333330917</v>
      </c>
      <c r="V163" s="161">
        <v>830.86166666591703</v>
      </c>
      <c r="W163" s="161">
        <v>856.44749999741703</v>
      </c>
      <c r="X163" s="161">
        <v>1136.7649999995799</v>
      </c>
      <c r="Y163" s="161">
        <v>1352.50999999808</v>
      </c>
      <c r="Z163" s="161">
        <v>1518.84833333283</v>
      </c>
      <c r="AA163" s="161">
        <v>1756.9608333318299</v>
      </c>
      <c r="AB163" s="161">
        <v>1909.4391666639999</v>
      </c>
      <c r="AC163" s="161">
        <v>1490.8099999987501</v>
      </c>
      <c r="AD163" s="161">
        <v>1296.07</v>
      </c>
      <c r="AE163" s="161">
        <v>1301.6275000000001</v>
      </c>
      <c r="AF163" s="161">
        <v>1372.0933333333301</v>
      </c>
      <c r="AG163" s="161">
        <v>1198.1016666666701</v>
      </c>
      <c r="AH163" s="161">
        <v>1240.61333333333</v>
      </c>
      <c r="AI163" s="161">
        <v>1232.4058333333301</v>
      </c>
      <c r="AJ163" s="161">
        <v>1573.6658666666699</v>
      </c>
      <c r="AK163" s="161">
        <v>1612.4449833333299</v>
      </c>
      <c r="AL163" s="168">
        <v>1628.9331583333301</v>
      </c>
      <c r="AM163" s="168">
        <v>1542.9469666666701</v>
      </c>
      <c r="AN163" s="168">
        <v>1703.09690833333</v>
      </c>
      <c r="AO163" s="168">
        <v>1736.20738333333</v>
      </c>
      <c r="AP163" s="168">
        <v>0.93862727583333305</v>
      </c>
      <c r="AQ163" s="168">
        <v>1.08540083333333</v>
      </c>
      <c r="AR163" s="168">
        <v>1.11751</v>
      </c>
      <c r="AS163" s="168">
        <v>1.0625516666666699</v>
      </c>
      <c r="AT163" s="168">
        <v>0.88603416666666701</v>
      </c>
      <c r="AU163" s="168">
        <v>0.805365</v>
      </c>
      <c r="AV163" s="168">
        <v>0.80411999999999995</v>
      </c>
      <c r="AW163" s="168">
        <v>0.79714083333333297</v>
      </c>
      <c r="AX163" s="168">
        <v>0.73063750000000005</v>
      </c>
      <c r="AY163" s="168">
        <v>0.682674711239873</v>
      </c>
      <c r="AZ163" s="168">
        <v>0.71984335978561498</v>
      </c>
      <c r="BA163" s="168">
        <v>0.75504495198983501</v>
      </c>
      <c r="BB163" s="168">
        <v>0.71935525360915398</v>
      </c>
      <c r="BC163" s="168">
        <v>0.77829360141285198</v>
      </c>
      <c r="BD163" s="168">
        <v>0.75315918184727004</v>
      </c>
    </row>
    <row r="164" spans="1:56">
      <c r="A164" s="163" t="s">
        <v>429</v>
      </c>
      <c r="B164" s="163" t="s">
        <v>430</v>
      </c>
      <c r="C164" s="161">
        <v>28.750000028750001</v>
      </c>
      <c r="D164" s="161">
        <v>28.750000028750001</v>
      </c>
      <c r="E164" s="161">
        <v>28.750000028750001</v>
      </c>
      <c r="F164" s="161">
        <v>28.750000028750001</v>
      </c>
      <c r="G164" s="161">
        <v>28.750000028750001</v>
      </c>
      <c r="H164" s="161">
        <v>28.750000028750001</v>
      </c>
      <c r="I164" s="161">
        <v>28.750000028750001</v>
      </c>
      <c r="J164" s="161">
        <v>28.750000028750001</v>
      </c>
      <c r="K164" s="161">
        <v>28.750000028750001</v>
      </c>
      <c r="L164" s="161">
        <v>28.750000028750001</v>
      </c>
      <c r="M164" s="161">
        <v>28.750000028750001</v>
      </c>
      <c r="N164" s="161">
        <v>28.360170287822701</v>
      </c>
      <c r="O164" s="161">
        <v>27.053416666666699</v>
      </c>
      <c r="P164" s="161">
        <v>24.515166666583301</v>
      </c>
      <c r="Q164" s="161">
        <v>25.408166666583298</v>
      </c>
      <c r="R164" s="161">
        <v>25.5432499999167</v>
      </c>
      <c r="S164" s="161">
        <v>30.2290833333333</v>
      </c>
      <c r="T164" s="161">
        <v>37.558070960585603</v>
      </c>
      <c r="U164" s="161">
        <v>36.154724439896903</v>
      </c>
      <c r="V164" s="161">
        <v>35.024583566634902</v>
      </c>
      <c r="W164" s="161">
        <v>34.7713987737202</v>
      </c>
      <c r="X164" s="161">
        <v>38.399464445231601</v>
      </c>
      <c r="Y164" s="161">
        <v>40.998602033422898</v>
      </c>
      <c r="Z164" s="161">
        <v>42.335198473825301</v>
      </c>
      <c r="AA164" s="161">
        <v>44.158667395588601</v>
      </c>
      <c r="AB164" s="161">
        <v>44.604388848353302</v>
      </c>
      <c r="AC164" s="161">
        <v>38.589012228171804</v>
      </c>
      <c r="AD164" s="161">
        <v>54.211215237687803</v>
      </c>
      <c r="AE164" s="161">
        <v>86.343333333333305</v>
      </c>
      <c r="AF164" s="161">
        <v>124.67225000000001</v>
      </c>
      <c r="AG164" s="161">
        <v>143.33091666666701</v>
      </c>
      <c r="AH164" s="161">
        <v>201.81591666666699</v>
      </c>
      <c r="AI164" s="161">
        <v>321.337083333333</v>
      </c>
      <c r="AJ164" s="161">
        <v>429.85416666666703</v>
      </c>
      <c r="AK164" s="161">
        <v>732.62816666666697</v>
      </c>
      <c r="AL164" s="168">
        <v>1420.34183333333</v>
      </c>
      <c r="AM164" s="168">
        <v>2203.1635833333298</v>
      </c>
      <c r="AN164" s="168">
        <v>4552.5059166666697</v>
      </c>
      <c r="AO164" s="168">
        <v>6883.2428333333301</v>
      </c>
      <c r="AP164" s="168">
        <v>7118.9583333333303</v>
      </c>
      <c r="AQ164" s="168">
        <v>7978.1716666666698</v>
      </c>
      <c r="AR164" s="168">
        <v>8842.1091666666707</v>
      </c>
      <c r="AS164" s="168">
        <v>9088.3250000000007</v>
      </c>
      <c r="AT164" s="168">
        <v>9347.5833333333394</v>
      </c>
      <c r="AU164" s="168">
        <v>9902.3241666666709</v>
      </c>
      <c r="AV164" s="168">
        <v>10557.9703333333</v>
      </c>
      <c r="AW164" s="168">
        <v>12448.6425</v>
      </c>
      <c r="AX164" s="168">
        <v>13536.754999999999</v>
      </c>
      <c r="AY164" s="168">
        <v>14695.2016666667</v>
      </c>
      <c r="AZ164" s="168">
        <v>16208.451254166701</v>
      </c>
      <c r="BA164" s="168">
        <v>18498.601323751001</v>
      </c>
      <c r="BB164" s="168">
        <v>17622.935005819701</v>
      </c>
      <c r="BC164" s="168">
        <v>19068.416808415401</v>
      </c>
      <c r="BD164" s="168">
        <v>18449.9526248781</v>
      </c>
    </row>
    <row r="165" spans="1:56">
      <c r="A165" s="163" t="s">
        <v>431</v>
      </c>
      <c r="B165" s="163" t="s">
        <v>432</v>
      </c>
      <c r="C165" s="161">
        <v>4.5000000035000003</v>
      </c>
      <c r="D165" s="161">
        <v>4.5000000035000003</v>
      </c>
      <c r="E165" s="161">
        <v>4.5000000035000003</v>
      </c>
      <c r="F165" s="161">
        <v>4.5000000035000003</v>
      </c>
      <c r="G165" s="161">
        <v>4.5000000035000003</v>
      </c>
      <c r="H165" s="161">
        <v>4.5000000035000003</v>
      </c>
      <c r="I165" s="161">
        <v>4.5000000035000003</v>
      </c>
      <c r="J165" s="161">
        <v>4.5000000035000003</v>
      </c>
      <c r="K165" s="161">
        <v>4.5000000035000003</v>
      </c>
      <c r="L165" s="161">
        <v>4.5000000035000003</v>
      </c>
      <c r="M165" s="161">
        <v>4.5000000035000003</v>
      </c>
      <c r="N165" s="161">
        <v>4.4868294129714501</v>
      </c>
      <c r="O165" s="161">
        <v>4.1447532058696597</v>
      </c>
      <c r="P165" s="161">
        <v>3.70658904010295</v>
      </c>
      <c r="Q165" s="161">
        <v>3.5499999990000002</v>
      </c>
      <c r="R165" s="161">
        <v>3.5176124990000002</v>
      </c>
      <c r="S165" s="161">
        <v>3.5299999990000002</v>
      </c>
      <c r="T165" s="161">
        <v>3.525064999</v>
      </c>
      <c r="U165" s="161">
        <v>3.3995616656666701</v>
      </c>
      <c r="V165" s="161">
        <v>3.3608366656666702</v>
      </c>
      <c r="W165" s="161">
        <v>3.32674166566667</v>
      </c>
      <c r="X165" s="161">
        <v>3.3825083325833298</v>
      </c>
      <c r="Y165" s="161">
        <v>3.42817083241667</v>
      </c>
      <c r="Z165" s="161">
        <v>3.4547591657500001</v>
      </c>
      <c r="AA165" s="161">
        <v>3.5238108330000002</v>
      </c>
      <c r="AB165" s="161">
        <v>3.62213583316667</v>
      </c>
      <c r="AC165" s="161">
        <v>3.7062499999999998</v>
      </c>
      <c r="AD165" s="161">
        <v>3.75</v>
      </c>
      <c r="AE165" s="161">
        <v>3.75</v>
      </c>
      <c r="AF165" s="161">
        <v>3.75</v>
      </c>
      <c r="AG165" s="161">
        <v>3.75</v>
      </c>
      <c r="AH165" s="161">
        <v>3.75</v>
      </c>
      <c r="AI165" s="161">
        <v>3.75</v>
      </c>
      <c r="AJ165" s="161">
        <v>3.75</v>
      </c>
      <c r="AK165" s="161">
        <v>3.75</v>
      </c>
      <c r="AL165" s="168">
        <v>3.75</v>
      </c>
      <c r="AM165" s="168">
        <v>3.75</v>
      </c>
      <c r="AN165" s="168">
        <v>3.75</v>
      </c>
      <c r="AO165" s="168">
        <v>3.75</v>
      </c>
      <c r="AP165" s="168">
        <v>3.75</v>
      </c>
      <c r="AQ165" s="168">
        <v>3.75</v>
      </c>
      <c r="AR165" s="168">
        <v>3.75</v>
      </c>
      <c r="AS165" s="168">
        <v>3.75</v>
      </c>
      <c r="AT165" s="168">
        <v>3.75</v>
      </c>
      <c r="AU165" s="168">
        <v>3.75</v>
      </c>
      <c r="AV165" s="168">
        <v>3.7470833333333302</v>
      </c>
      <c r="AW165" s="168">
        <v>3.7450000000000001</v>
      </c>
      <c r="AX165" s="168">
        <v>3.7475000000000001</v>
      </c>
      <c r="AY165" s="168">
        <v>3.75</v>
      </c>
      <c r="AZ165" s="168">
        <v>3.75</v>
      </c>
      <c r="BA165" s="168">
        <v>3.75</v>
      </c>
      <c r="BB165" s="168">
        <v>3.75</v>
      </c>
      <c r="BC165" s="168">
        <v>3.75</v>
      </c>
      <c r="BD165" s="168">
        <v>3.75</v>
      </c>
    </row>
    <row r="166" spans="1:56">
      <c r="A166" s="163" t="s">
        <v>433</v>
      </c>
      <c r="B166" s="163" t="s">
        <v>434</v>
      </c>
      <c r="C166" s="161">
        <v>245.19510139835899</v>
      </c>
      <c r="D166" s="161">
        <v>245.26010162116</v>
      </c>
      <c r="E166" s="161">
        <v>245.013850686544</v>
      </c>
      <c r="F166" s="161">
        <v>245.01635069607499</v>
      </c>
      <c r="G166" s="161">
        <v>245.027184079042</v>
      </c>
      <c r="H166" s="161">
        <v>245.06093420770799</v>
      </c>
      <c r="I166" s="161">
        <v>245.67843655764401</v>
      </c>
      <c r="J166" s="161">
        <v>246.00093779128099</v>
      </c>
      <c r="K166" s="161">
        <v>247.56469375695099</v>
      </c>
      <c r="L166" s="161">
        <v>259.960574351236</v>
      </c>
      <c r="M166" s="161">
        <v>276.403137026845</v>
      </c>
      <c r="N166" s="161">
        <v>275.35645668533198</v>
      </c>
      <c r="O166" s="161">
        <v>252.02762746264901</v>
      </c>
      <c r="P166" s="161">
        <v>222.88918305322699</v>
      </c>
      <c r="Q166" s="161">
        <v>240.70466763782301</v>
      </c>
      <c r="R166" s="161">
        <v>214.31290034121901</v>
      </c>
      <c r="S166" s="161">
        <v>238.95049426705901</v>
      </c>
      <c r="T166" s="161">
        <v>245.67968656657601</v>
      </c>
      <c r="U166" s="161">
        <v>225.65586023395699</v>
      </c>
      <c r="V166" s="161">
        <v>212.721644262377</v>
      </c>
      <c r="W166" s="161">
        <v>211.27955541470499</v>
      </c>
      <c r="X166" s="161">
        <v>271.73145255032699</v>
      </c>
      <c r="Y166" s="161">
        <v>328.60625269898998</v>
      </c>
      <c r="Z166" s="161">
        <v>381.06603602462798</v>
      </c>
      <c r="AA166" s="161">
        <v>436.95666578800802</v>
      </c>
      <c r="AB166" s="161">
        <v>449.26296271160697</v>
      </c>
      <c r="AC166" s="161">
        <v>346.305903554493</v>
      </c>
      <c r="AD166" s="161">
        <v>300.53656240147802</v>
      </c>
      <c r="AE166" s="161">
        <v>297.84821881937802</v>
      </c>
      <c r="AF166" s="161">
        <v>319.008299487903</v>
      </c>
      <c r="AG166" s="161">
        <v>272.264787954393</v>
      </c>
      <c r="AH166" s="161">
        <v>282.10690880881998</v>
      </c>
      <c r="AI166" s="161">
        <v>264.69180075057898</v>
      </c>
      <c r="AJ166" s="161">
        <v>283.16257950001801</v>
      </c>
      <c r="AK166" s="161">
        <v>555.20469565569704</v>
      </c>
      <c r="AL166" s="168">
        <v>499.14842590131002</v>
      </c>
      <c r="AM166" s="168">
        <v>511.55243027251601</v>
      </c>
      <c r="AN166" s="168">
        <v>583.66937235339606</v>
      </c>
      <c r="AO166" s="168">
        <v>589.951774567332</v>
      </c>
      <c r="AP166" s="168">
        <v>615.69913197380595</v>
      </c>
      <c r="AQ166" s="168">
        <v>711.97627443083297</v>
      </c>
      <c r="AR166" s="168">
        <v>733.03850707000004</v>
      </c>
      <c r="AS166" s="168">
        <v>696.98820361166702</v>
      </c>
      <c r="AT166" s="168">
        <v>581.20031386416701</v>
      </c>
      <c r="AU166" s="168">
        <v>528.28480930499995</v>
      </c>
      <c r="AV166" s="168">
        <v>527.46814284000004</v>
      </c>
      <c r="AW166" s="168">
        <v>522.89010961083295</v>
      </c>
      <c r="AX166" s="168">
        <v>479.26678258750002</v>
      </c>
      <c r="AY166" s="168">
        <v>447.80525556077299</v>
      </c>
      <c r="AZ166" s="168">
        <v>472.18629075489298</v>
      </c>
      <c r="BA166" s="168">
        <v>495.277021572396</v>
      </c>
      <c r="BB166" s="168">
        <v>471.86611409170001</v>
      </c>
      <c r="BC166" s="168">
        <v>510.52713590196998</v>
      </c>
      <c r="BD166" s="168">
        <v>494.04003744699003</v>
      </c>
    </row>
    <row r="167" spans="1:56">
      <c r="A167" s="163" t="s">
        <v>435</v>
      </c>
      <c r="B167" s="163" t="s">
        <v>436</v>
      </c>
      <c r="C167" s="161" t="s">
        <v>125</v>
      </c>
      <c r="D167" s="161" t="s">
        <v>125</v>
      </c>
      <c r="E167" s="161" t="s">
        <v>125</v>
      </c>
      <c r="F167" s="161" t="s">
        <v>125</v>
      </c>
      <c r="G167" s="161" t="s">
        <v>125</v>
      </c>
      <c r="H167" s="161" t="s">
        <v>125</v>
      </c>
      <c r="I167" s="161" t="s">
        <v>125</v>
      </c>
      <c r="J167" s="161" t="s">
        <v>125</v>
      </c>
      <c r="K167" s="161" t="s">
        <v>125</v>
      </c>
      <c r="L167" s="161" t="s">
        <v>125</v>
      </c>
      <c r="M167" s="161" t="s">
        <v>125</v>
      </c>
      <c r="N167" s="161" t="s">
        <v>125</v>
      </c>
      <c r="O167" s="161" t="s">
        <v>125</v>
      </c>
      <c r="P167" s="161" t="s">
        <v>125</v>
      </c>
      <c r="Q167" s="161" t="s">
        <v>125</v>
      </c>
      <c r="R167" s="161" t="s">
        <v>125</v>
      </c>
      <c r="S167" s="161" t="s">
        <v>125</v>
      </c>
      <c r="T167" s="161" t="s">
        <v>125</v>
      </c>
      <c r="U167" s="161" t="s">
        <v>125</v>
      </c>
      <c r="V167" s="161" t="s">
        <v>125</v>
      </c>
      <c r="W167" s="161" t="s">
        <v>125</v>
      </c>
      <c r="X167" s="161" t="s">
        <v>125</v>
      </c>
      <c r="Y167" s="161" t="s">
        <v>125</v>
      </c>
      <c r="Z167" s="161" t="s">
        <v>125</v>
      </c>
      <c r="AA167" s="161" t="s">
        <v>125</v>
      </c>
      <c r="AB167" s="161" t="s">
        <v>125</v>
      </c>
      <c r="AC167" s="161" t="s">
        <v>125</v>
      </c>
      <c r="AD167" s="161" t="s">
        <v>125</v>
      </c>
      <c r="AE167" s="161" t="s">
        <v>125</v>
      </c>
      <c r="AF167" s="161" t="s">
        <v>125</v>
      </c>
      <c r="AG167" s="161" t="s">
        <v>125</v>
      </c>
      <c r="AH167" s="161" t="s">
        <v>125</v>
      </c>
      <c r="AI167" s="161" t="s">
        <v>125</v>
      </c>
      <c r="AJ167" s="161" t="s">
        <v>125</v>
      </c>
      <c r="AK167" s="161" t="s">
        <v>125</v>
      </c>
      <c r="AL167" s="168" t="s">
        <v>125</v>
      </c>
      <c r="AM167" s="168" t="s">
        <v>125</v>
      </c>
      <c r="AN167" s="168">
        <v>5.9123000000000001</v>
      </c>
      <c r="AO167" s="168">
        <v>10.030799999999999</v>
      </c>
      <c r="AP167" s="168">
        <v>11.6615</v>
      </c>
      <c r="AQ167" s="168">
        <v>63.165900000000001</v>
      </c>
      <c r="AR167" s="168">
        <v>66.913659999999993</v>
      </c>
      <c r="AS167" s="168">
        <v>64.398251269576605</v>
      </c>
      <c r="AT167" s="168">
        <v>57.585425000000001</v>
      </c>
      <c r="AU167" s="168">
        <v>58.381399999999999</v>
      </c>
      <c r="AV167" s="168">
        <v>66.713808333333304</v>
      </c>
      <c r="AW167" s="168">
        <v>67.145816666666704</v>
      </c>
      <c r="AX167" s="168">
        <v>58.453524999999999</v>
      </c>
      <c r="AY167" s="168">
        <v>55.723483333333299</v>
      </c>
      <c r="AZ167" s="168">
        <v>67.580600000000004</v>
      </c>
      <c r="BA167" s="168">
        <v>77.728933333333302</v>
      </c>
      <c r="BB167" s="168">
        <v>73.333399999999997</v>
      </c>
      <c r="BC167" s="168">
        <v>87.973299999999995</v>
      </c>
      <c r="BD167" s="168">
        <v>85.158850000000001</v>
      </c>
    </row>
    <row r="168" spans="1:56">
      <c r="A168" s="163" t="s">
        <v>437</v>
      </c>
      <c r="B168" s="163" t="s">
        <v>438</v>
      </c>
      <c r="C168" s="161">
        <v>4.7618947529714504</v>
      </c>
      <c r="D168" s="161">
        <v>4.7618947529714504</v>
      </c>
      <c r="E168" s="161">
        <v>4.7618947529714504</v>
      </c>
      <c r="F168" s="161">
        <v>4.7618947529714504</v>
      </c>
      <c r="G168" s="161">
        <v>4.7618947529714504</v>
      </c>
      <c r="H168" s="161">
        <v>4.7618947529714504</v>
      </c>
      <c r="I168" s="161">
        <v>4.7618947529714504</v>
      </c>
      <c r="J168" s="161">
        <v>4.8280328026350103</v>
      </c>
      <c r="K168" s="161">
        <v>5.5555461029055797</v>
      </c>
      <c r="L168" s="161">
        <v>5.5555461029055797</v>
      </c>
      <c r="M168" s="161">
        <v>5.5555461029055797</v>
      </c>
      <c r="N168" s="161">
        <v>5.48576276265615</v>
      </c>
      <c r="O168" s="161">
        <v>5.3385333323333297</v>
      </c>
      <c r="P168" s="161">
        <v>5.4422833323333304</v>
      </c>
      <c r="Q168" s="161">
        <v>5.7030916656666699</v>
      </c>
      <c r="R168" s="161">
        <v>6.0267999989999996</v>
      </c>
      <c r="S168" s="161">
        <v>7.4188833324166703</v>
      </c>
      <c r="T168" s="161">
        <v>7.6433833323333298</v>
      </c>
      <c r="U168" s="161">
        <v>6.9524666656666696</v>
      </c>
      <c r="V168" s="161">
        <v>6.332649999</v>
      </c>
      <c r="W168" s="161">
        <v>6.3919499990000004</v>
      </c>
      <c r="X168" s="161">
        <v>6.3149249989999996</v>
      </c>
      <c r="Y168" s="161">
        <v>6.55254166566667</v>
      </c>
      <c r="Z168" s="161">
        <v>6.7676416656666696</v>
      </c>
      <c r="AA168" s="161">
        <v>7.0588666662500001</v>
      </c>
      <c r="AB168" s="161">
        <v>7.1343333333333296</v>
      </c>
      <c r="AC168" s="161">
        <v>6.17679166666667</v>
      </c>
      <c r="AD168" s="161">
        <v>5.6000083333333297</v>
      </c>
      <c r="AE168" s="161">
        <v>5.3835666666666704</v>
      </c>
      <c r="AF168" s="161">
        <v>5.6457166666666696</v>
      </c>
      <c r="AG168" s="161">
        <v>5.3369</v>
      </c>
      <c r="AH168" s="161">
        <v>5.2893083333333299</v>
      </c>
      <c r="AI168" s="161">
        <v>5.12198333333333</v>
      </c>
      <c r="AJ168" s="161">
        <v>5.1815333333333298</v>
      </c>
      <c r="AK168" s="161">
        <v>5.0558583333333296</v>
      </c>
      <c r="AL168" s="168">
        <v>4.7619749999999996</v>
      </c>
      <c r="AM168" s="168">
        <v>4.9699833333333299</v>
      </c>
      <c r="AN168" s="168">
        <v>5.0263416666666698</v>
      </c>
      <c r="AO168" s="168">
        <v>5.2621916666666699</v>
      </c>
      <c r="AP168" s="168">
        <v>5.3425833333333301</v>
      </c>
      <c r="AQ168" s="168">
        <v>5.7138166666666699</v>
      </c>
      <c r="AR168" s="168">
        <v>5.8575416666666698</v>
      </c>
      <c r="AS168" s="168">
        <v>5.4800333333333304</v>
      </c>
      <c r="AT168" s="168">
        <v>5.4007166666666704</v>
      </c>
      <c r="AU168" s="168">
        <v>5.5</v>
      </c>
      <c r="AV168" s="168">
        <v>5.5</v>
      </c>
      <c r="AW168" s="168">
        <v>5.5196916666666702</v>
      </c>
      <c r="AX168" s="168">
        <v>6.7010595376306004</v>
      </c>
      <c r="AY168" s="168">
        <v>9.4572432834492108</v>
      </c>
      <c r="AZ168" s="168">
        <v>13.609940452489999</v>
      </c>
      <c r="BA168" s="168">
        <v>12.06775664095</v>
      </c>
      <c r="BB168" s="168">
        <v>12.381031907384401</v>
      </c>
      <c r="BC168" s="168">
        <v>13.704031214932501</v>
      </c>
      <c r="BD168" s="168">
        <v>12.0583166666667</v>
      </c>
    </row>
    <row r="169" spans="1:56">
      <c r="A169" s="163" t="s">
        <v>83</v>
      </c>
      <c r="B169" s="163" t="s">
        <v>439</v>
      </c>
      <c r="C169" s="161">
        <v>0.71428599971428597</v>
      </c>
      <c r="D169" s="161">
        <v>0.71428599971428597</v>
      </c>
      <c r="E169" s="161">
        <v>0.71428599971428597</v>
      </c>
      <c r="F169" s="161">
        <v>0.71428599971428597</v>
      </c>
      <c r="G169" s="161">
        <v>0.71428599971428597</v>
      </c>
      <c r="H169" s="161">
        <v>0.71428599971428597</v>
      </c>
      <c r="I169" s="161">
        <v>0.71428599971428597</v>
      </c>
      <c r="J169" s="161">
        <v>0.72420691633134904</v>
      </c>
      <c r="K169" s="161">
        <v>0.83333299983333298</v>
      </c>
      <c r="L169" s="161">
        <v>0.83333299983333298</v>
      </c>
      <c r="M169" s="161">
        <v>0.83333299983333298</v>
      </c>
      <c r="N169" s="161">
        <v>0.83089400256529</v>
      </c>
      <c r="O169" s="161">
        <v>0.80078166566666698</v>
      </c>
      <c r="P169" s="161">
        <v>0.81634166566666699</v>
      </c>
      <c r="Q169" s="161">
        <v>0.85546083233333303</v>
      </c>
      <c r="R169" s="161">
        <v>0.90402166566666697</v>
      </c>
      <c r="S169" s="161">
        <v>1.1128408325000001</v>
      </c>
      <c r="T169" s="161">
        <v>1.14649666575</v>
      </c>
      <c r="U169" s="161">
        <v>1.0470433324999999</v>
      </c>
      <c r="V169" s="161">
        <v>1.0569725444662901</v>
      </c>
      <c r="W169" s="161">
        <v>1.04979764914153</v>
      </c>
      <c r="X169" s="161">
        <v>1.15909847113534</v>
      </c>
      <c r="Y169" s="161">
        <v>1.2386504266874001</v>
      </c>
      <c r="Z169" s="161">
        <v>1.8853301635048201</v>
      </c>
      <c r="AA169" s="161">
        <v>2.5099499995833301</v>
      </c>
      <c r="AB169" s="161">
        <v>5.0941625000000004</v>
      </c>
      <c r="AC169" s="161">
        <v>16.092133333250001</v>
      </c>
      <c r="AD169" s="161">
        <v>34.042524999999998</v>
      </c>
      <c r="AE169" s="161">
        <v>32.514083333333303</v>
      </c>
      <c r="AF169" s="161">
        <v>59.812758333333299</v>
      </c>
      <c r="AG169" s="161">
        <v>151.44583333333301</v>
      </c>
      <c r="AH169" s="161">
        <v>295.34416666666698</v>
      </c>
      <c r="AI169" s="161">
        <v>499.44183333333302</v>
      </c>
      <c r="AJ169" s="161">
        <v>567.45858333333297</v>
      </c>
      <c r="AK169" s="161">
        <v>586.73970833333306</v>
      </c>
      <c r="AL169" s="168">
        <v>755.21583333333297</v>
      </c>
      <c r="AM169" s="168">
        <v>920.73249999999996</v>
      </c>
      <c r="AN169" s="168">
        <v>981.48249999999996</v>
      </c>
      <c r="AO169" s="168">
        <v>1563.6179999999999</v>
      </c>
      <c r="AP169" s="168">
        <v>1804.1949999999999</v>
      </c>
      <c r="AQ169" s="168">
        <v>2092.125</v>
      </c>
      <c r="AR169" s="168">
        <v>1986.1541666666701</v>
      </c>
      <c r="AS169" s="168">
        <v>2099.0338657500001</v>
      </c>
      <c r="AT169" s="168">
        <v>2347.9416666666698</v>
      </c>
      <c r="AU169" s="168">
        <v>2701.2966666666698</v>
      </c>
      <c r="AV169" s="168">
        <v>2889.5875000000001</v>
      </c>
      <c r="AW169" s="168">
        <v>2961.90916666667</v>
      </c>
      <c r="AX169" s="168">
        <v>2985.1858333333298</v>
      </c>
      <c r="AY169" s="168">
        <v>2981.5146583333299</v>
      </c>
      <c r="AZ169" s="168">
        <v>3385.65</v>
      </c>
      <c r="BA169" s="168">
        <v>3978.0875265341401</v>
      </c>
      <c r="BB169" s="168">
        <v>4349.1621352623997</v>
      </c>
      <c r="BC169" s="168">
        <v>4344.0376417010802</v>
      </c>
      <c r="BD169" s="168">
        <v>4332.4990985828799</v>
      </c>
    </row>
    <row r="170" spans="1:56">
      <c r="A170" s="163" t="s">
        <v>440</v>
      </c>
      <c r="B170" s="163" t="s">
        <v>441</v>
      </c>
      <c r="C170" s="161">
        <v>3.0612200020612201</v>
      </c>
      <c r="D170" s="161">
        <v>3.0612200020612201</v>
      </c>
      <c r="E170" s="161">
        <v>3.0612200020612201</v>
      </c>
      <c r="F170" s="161">
        <v>3.0612200020612201</v>
      </c>
      <c r="G170" s="161">
        <v>3.0612200020612201</v>
      </c>
      <c r="H170" s="161">
        <v>3.0612200020612201</v>
      </c>
      <c r="I170" s="161">
        <v>3.0612200020612201</v>
      </c>
      <c r="J170" s="161">
        <v>3.0612200020612201</v>
      </c>
      <c r="K170" s="161">
        <v>3.0612200020612201</v>
      </c>
      <c r="L170" s="161">
        <v>3.0612200020612201</v>
      </c>
      <c r="M170" s="161">
        <v>3.0612200020612201</v>
      </c>
      <c r="N170" s="161">
        <v>3.0507016684727799</v>
      </c>
      <c r="O170" s="161">
        <v>2.8124999989999999</v>
      </c>
      <c r="P170" s="161">
        <v>2.4573666658333302</v>
      </c>
      <c r="Q170" s="161">
        <v>2.43686666583333</v>
      </c>
      <c r="R170" s="161">
        <v>2.3712999990833299</v>
      </c>
      <c r="S170" s="161">
        <v>2.4708416659166699</v>
      </c>
      <c r="T170" s="161">
        <v>2.43939999925</v>
      </c>
      <c r="U170" s="161">
        <v>2.2740249991666701</v>
      </c>
      <c r="V170" s="161">
        <v>2.1745583325000002</v>
      </c>
      <c r="W170" s="161">
        <v>2.14120833258333</v>
      </c>
      <c r="X170" s="161">
        <v>2.1126916659999999</v>
      </c>
      <c r="Y170" s="161">
        <v>2.1400249991666702</v>
      </c>
      <c r="Z170" s="161">
        <v>2.1130499989999998</v>
      </c>
      <c r="AA170" s="161">
        <v>2.1330833330000001</v>
      </c>
      <c r="AB170" s="161">
        <v>2.20014999966667</v>
      </c>
      <c r="AC170" s="161">
        <v>2.1774166665000001</v>
      </c>
      <c r="AD170" s="161">
        <v>2.10598333333333</v>
      </c>
      <c r="AE170" s="161">
        <v>2.0124249999999999</v>
      </c>
      <c r="AF170" s="161">
        <v>1.9502583333333301</v>
      </c>
      <c r="AG170" s="161">
        <v>1.81253333333333</v>
      </c>
      <c r="AH170" s="161">
        <v>1.7275499999999999</v>
      </c>
      <c r="AI170" s="161">
        <v>1.62896666666667</v>
      </c>
      <c r="AJ170" s="161">
        <v>1.61579083333333</v>
      </c>
      <c r="AK170" s="161">
        <v>1.52744416666667</v>
      </c>
      <c r="AL170" s="168">
        <v>1.4173750000000001</v>
      </c>
      <c r="AM170" s="168">
        <v>1.4100408333333301</v>
      </c>
      <c r="AN170" s="168">
        <v>1.48480583333333</v>
      </c>
      <c r="AO170" s="168">
        <v>1.67360166666667</v>
      </c>
      <c r="AP170" s="168">
        <v>1.69495666666667</v>
      </c>
      <c r="AQ170" s="168">
        <v>1.72396333333333</v>
      </c>
      <c r="AR170" s="168">
        <v>1.7917225000000001</v>
      </c>
      <c r="AS170" s="168">
        <v>1.7905883333333299</v>
      </c>
      <c r="AT170" s="168">
        <v>1.7421833333333301</v>
      </c>
      <c r="AU170" s="168">
        <v>1.6902283333333299</v>
      </c>
      <c r="AV170" s="168">
        <v>1.6643975</v>
      </c>
      <c r="AW170" s="168">
        <v>1.58893333333333</v>
      </c>
      <c r="AX170" s="168">
        <v>1.5071016666666699</v>
      </c>
      <c r="AY170" s="168">
        <v>1.4148608333333299</v>
      </c>
      <c r="AZ170" s="168">
        <v>1.45451471343873</v>
      </c>
      <c r="BA170" s="168">
        <v>1.36350833333333</v>
      </c>
      <c r="BB170" s="168">
        <v>1.2577758771929799</v>
      </c>
      <c r="BC170" s="168">
        <v>1.2496762037036999</v>
      </c>
      <c r="BD170" s="168">
        <v>1.2513000000000001</v>
      </c>
    </row>
    <row r="171" spans="1:56">
      <c r="A171" s="163" t="s">
        <v>442</v>
      </c>
      <c r="B171" s="163" t="s">
        <v>443</v>
      </c>
      <c r="C171" s="161" t="s">
        <v>125</v>
      </c>
      <c r="D171" s="161" t="s">
        <v>125</v>
      </c>
      <c r="E171" s="161" t="s">
        <v>125</v>
      </c>
      <c r="F171" s="161" t="s">
        <v>125</v>
      </c>
      <c r="G171" s="161" t="s">
        <v>125</v>
      </c>
      <c r="H171" s="161" t="s">
        <v>125</v>
      </c>
      <c r="I171" s="161" t="s">
        <v>125</v>
      </c>
      <c r="J171" s="161" t="s">
        <v>125</v>
      </c>
      <c r="K171" s="161" t="s">
        <v>125</v>
      </c>
      <c r="L171" s="161" t="s">
        <v>125</v>
      </c>
      <c r="M171" s="161" t="s">
        <v>125</v>
      </c>
      <c r="N171" s="161" t="s">
        <v>125</v>
      </c>
      <c r="O171" s="161" t="s">
        <v>125</v>
      </c>
      <c r="P171" s="161" t="s">
        <v>125</v>
      </c>
      <c r="Q171" s="161" t="s">
        <v>125</v>
      </c>
      <c r="R171" s="161" t="s">
        <v>125</v>
      </c>
      <c r="S171" s="161" t="s">
        <v>125</v>
      </c>
      <c r="T171" s="161" t="s">
        <v>125</v>
      </c>
      <c r="U171" s="161" t="s">
        <v>125</v>
      </c>
      <c r="V171" s="161" t="s">
        <v>125</v>
      </c>
      <c r="W171" s="161" t="s">
        <v>125</v>
      </c>
      <c r="X171" s="161" t="s">
        <v>125</v>
      </c>
      <c r="Y171" s="161" t="s">
        <v>125</v>
      </c>
      <c r="Z171" s="161" t="s">
        <v>125</v>
      </c>
      <c r="AA171" s="161" t="s">
        <v>125</v>
      </c>
      <c r="AB171" s="161" t="s">
        <v>125</v>
      </c>
      <c r="AC171" s="161" t="s">
        <v>125</v>
      </c>
      <c r="AD171" s="161" t="s">
        <v>125</v>
      </c>
      <c r="AE171" s="161" t="s">
        <v>125</v>
      </c>
      <c r="AF171" s="161" t="s">
        <v>125</v>
      </c>
      <c r="AG171" s="161" t="s">
        <v>125</v>
      </c>
      <c r="AH171" s="161" t="s">
        <v>125</v>
      </c>
      <c r="AI171" s="161" t="s">
        <v>125</v>
      </c>
      <c r="AJ171" s="161" t="s">
        <v>125</v>
      </c>
      <c r="AK171" s="161" t="s">
        <v>125</v>
      </c>
      <c r="AL171" s="168" t="s">
        <v>125</v>
      </c>
      <c r="AM171" s="168" t="s">
        <v>125</v>
      </c>
      <c r="AN171" s="168" t="s">
        <v>125</v>
      </c>
      <c r="AO171" s="168" t="s">
        <v>125</v>
      </c>
      <c r="AP171" s="168" t="s">
        <v>125</v>
      </c>
      <c r="AQ171" s="168" t="s">
        <v>125</v>
      </c>
      <c r="AR171" s="168" t="s">
        <v>125</v>
      </c>
      <c r="AS171" s="168" t="s">
        <v>125</v>
      </c>
      <c r="AT171" s="168" t="s">
        <v>125</v>
      </c>
      <c r="AU171" s="168" t="s">
        <v>125</v>
      </c>
      <c r="AV171" s="168" t="s">
        <v>125</v>
      </c>
      <c r="AW171" s="168" t="s">
        <v>125</v>
      </c>
      <c r="AX171" s="168" t="s">
        <v>125</v>
      </c>
      <c r="AY171" s="168" t="s">
        <v>125</v>
      </c>
      <c r="AZ171" s="168" t="s">
        <v>125</v>
      </c>
      <c r="BA171" s="168" t="s">
        <v>125</v>
      </c>
      <c r="BB171" s="168" t="s">
        <v>125</v>
      </c>
      <c r="BC171" s="168" t="s">
        <v>125</v>
      </c>
      <c r="BD171" s="168" t="s">
        <v>125</v>
      </c>
    </row>
    <row r="172" spans="1:56">
      <c r="A172" s="163" t="s">
        <v>444</v>
      </c>
      <c r="B172" s="163" t="s">
        <v>445</v>
      </c>
      <c r="C172" s="161" t="s">
        <v>125</v>
      </c>
      <c r="D172" s="161" t="s">
        <v>125</v>
      </c>
      <c r="E172" s="161" t="s">
        <v>125</v>
      </c>
      <c r="F172" s="161" t="s">
        <v>125</v>
      </c>
      <c r="G172" s="161" t="s">
        <v>125</v>
      </c>
      <c r="H172" s="161" t="s">
        <v>125</v>
      </c>
      <c r="I172" s="161" t="s">
        <v>125</v>
      </c>
      <c r="J172" s="161" t="s">
        <v>125</v>
      </c>
      <c r="K172" s="161" t="s">
        <v>125</v>
      </c>
      <c r="L172" s="161" t="s">
        <v>125</v>
      </c>
      <c r="M172" s="161" t="s">
        <v>125</v>
      </c>
      <c r="N172" s="161" t="s">
        <v>125</v>
      </c>
      <c r="O172" s="161" t="s">
        <v>125</v>
      </c>
      <c r="P172" s="161" t="s">
        <v>125</v>
      </c>
      <c r="Q172" s="161" t="s">
        <v>125</v>
      </c>
      <c r="R172" s="161" t="s">
        <v>125</v>
      </c>
      <c r="S172" s="161" t="s">
        <v>125</v>
      </c>
      <c r="T172" s="161" t="s">
        <v>125</v>
      </c>
      <c r="U172" s="161" t="s">
        <v>125</v>
      </c>
      <c r="V172" s="161" t="s">
        <v>125</v>
      </c>
      <c r="W172" s="161" t="s">
        <v>125</v>
      </c>
      <c r="X172" s="161" t="s">
        <v>125</v>
      </c>
      <c r="Y172" s="161" t="s">
        <v>125</v>
      </c>
      <c r="Z172" s="161" t="s">
        <v>125</v>
      </c>
      <c r="AA172" s="161" t="s">
        <v>125</v>
      </c>
      <c r="AB172" s="161" t="s">
        <v>125</v>
      </c>
      <c r="AC172" s="161" t="s">
        <v>125</v>
      </c>
      <c r="AD172" s="161" t="s">
        <v>125</v>
      </c>
      <c r="AE172" s="161" t="s">
        <v>125</v>
      </c>
      <c r="AF172" s="161" t="s">
        <v>125</v>
      </c>
      <c r="AG172" s="161" t="s">
        <v>125</v>
      </c>
      <c r="AH172" s="161" t="s">
        <v>125</v>
      </c>
      <c r="AI172" s="161" t="s">
        <v>125</v>
      </c>
      <c r="AJ172" s="161">
        <v>30.769583333333301</v>
      </c>
      <c r="AK172" s="161">
        <v>32.044833333333301</v>
      </c>
      <c r="AL172" s="168">
        <v>29.713416666666699</v>
      </c>
      <c r="AM172" s="168">
        <v>30.653749999999999</v>
      </c>
      <c r="AN172" s="168">
        <v>33.6161666666667</v>
      </c>
      <c r="AO172" s="168">
        <v>35.233416666666699</v>
      </c>
      <c r="AP172" s="168">
        <v>41.362833333333299</v>
      </c>
      <c r="AQ172" s="168">
        <v>46.035166666666697</v>
      </c>
      <c r="AR172" s="168">
        <v>48.354833333333303</v>
      </c>
      <c r="AS172" s="168">
        <v>45.326749999999997</v>
      </c>
      <c r="AT172" s="168">
        <v>36.772916666666703</v>
      </c>
      <c r="AU172" s="168">
        <v>32.256916666666697</v>
      </c>
      <c r="AV172" s="168">
        <v>31.018249999999998</v>
      </c>
      <c r="AW172" s="168">
        <v>29.69725</v>
      </c>
      <c r="AX172" s="168">
        <v>24.694333333333301</v>
      </c>
      <c r="AY172" s="168">
        <v>21.361416666666699</v>
      </c>
      <c r="AZ172" s="168" t="s">
        <v>125</v>
      </c>
      <c r="BA172" s="168" t="s">
        <v>125</v>
      </c>
      <c r="BB172" s="168" t="s">
        <v>125</v>
      </c>
      <c r="BC172" s="168" t="s">
        <v>125</v>
      </c>
      <c r="BD172" s="168" t="s">
        <v>125</v>
      </c>
    </row>
    <row r="173" spans="1:56">
      <c r="A173" s="163" t="s">
        <v>446</v>
      </c>
      <c r="B173" s="163" t="s">
        <v>447</v>
      </c>
      <c r="C173" s="161" t="s">
        <v>125</v>
      </c>
      <c r="D173" s="161" t="s">
        <v>125</v>
      </c>
      <c r="E173" s="161" t="s">
        <v>125</v>
      </c>
      <c r="F173" s="161" t="s">
        <v>125</v>
      </c>
      <c r="G173" s="161" t="s">
        <v>125</v>
      </c>
      <c r="H173" s="161" t="s">
        <v>125</v>
      </c>
      <c r="I173" s="161" t="s">
        <v>125</v>
      </c>
      <c r="J173" s="161" t="s">
        <v>125</v>
      </c>
      <c r="K173" s="161" t="s">
        <v>125</v>
      </c>
      <c r="L173" s="161" t="s">
        <v>125</v>
      </c>
      <c r="M173" s="161" t="s">
        <v>125</v>
      </c>
      <c r="N173" s="161" t="s">
        <v>125</v>
      </c>
      <c r="O173" s="161" t="s">
        <v>125</v>
      </c>
      <c r="P173" s="161" t="s">
        <v>125</v>
      </c>
      <c r="Q173" s="161" t="s">
        <v>125</v>
      </c>
      <c r="R173" s="161" t="s">
        <v>125</v>
      </c>
      <c r="S173" s="161" t="s">
        <v>125</v>
      </c>
      <c r="T173" s="161" t="s">
        <v>125</v>
      </c>
      <c r="U173" s="161" t="s">
        <v>125</v>
      </c>
      <c r="V173" s="161" t="s">
        <v>125</v>
      </c>
      <c r="W173" s="161" t="s">
        <v>125</v>
      </c>
      <c r="X173" s="161" t="s">
        <v>125</v>
      </c>
      <c r="Y173" s="161" t="s">
        <v>125</v>
      </c>
      <c r="Z173" s="161" t="s">
        <v>125</v>
      </c>
      <c r="AA173" s="161" t="s">
        <v>125</v>
      </c>
      <c r="AB173" s="161" t="s">
        <v>125</v>
      </c>
      <c r="AC173" s="161" t="s">
        <v>125</v>
      </c>
      <c r="AD173" s="161" t="s">
        <v>125</v>
      </c>
      <c r="AE173" s="161" t="s">
        <v>125</v>
      </c>
      <c r="AF173" s="161" t="s">
        <v>125</v>
      </c>
      <c r="AG173" s="161" t="s">
        <v>125</v>
      </c>
      <c r="AH173" s="161">
        <v>27.571200000000001</v>
      </c>
      <c r="AI173" s="161">
        <v>81.286991666666694</v>
      </c>
      <c r="AJ173" s="161">
        <v>113.24188333333301</v>
      </c>
      <c r="AK173" s="161">
        <v>128.808558333333</v>
      </c>
      <c r="AL173" s="168">
        <v>118.518466666667</v>
      </c>
      <c r="AM173" s="168">
        <v>135.36430833333301</v>
      </c>
      <c r="AN173" s="168">
        <v>159.68833333333299</v>
      </c>
      <c r="AO173" s="168">
        <v>166.134166666667</v>
      </c>
      <c r="AP173" s="168">
        <v>181.76919333333299</v>
      </c>
      <c r="AQ173" s="168">
        <v>222.65608583333301</v>
      </c>
      <c r="AR173" s="168">
        <v>242.74883500000001</v>
      </c>
      <c r="AS173" s="168">
        <v>240.24821499999999</v>
      </c>
      <c r="AT173" s="168">
        <v>207.11371569658101</v>
      </c>
      <c r="AU173" s="168">
        <v>192.38112433333299</v>
      </c>
      <c r="AV173" s="168">
        <v>192.705468</v>
      </c>
      <c r="AW173" s="168">
        <v>191.02825783333299</v>
      </c>
      <c r="AX173" s="168" t="s">
        <v>125</v>
      </c>
      <c r="AY173" s="168" t="s">
        <v>125</v>
      </c>
      <c r="AZ173" s="168" t="s">
        <v>125</v>
      </c>
      <c r="BA173" s="168" t="s">
        <v>125</v>
      </c>
      <c r="BB173" s="168" t="s">
        <v>125</v>
      </c>
      <c r="BC173" s="168" t="s">
        <v>125</v>
      </c>
      <c r="BD173" s="168" t="s">
        <v>125</v>
      </c>
    </row>
    <row r="174" spans="1:56">
      <c r="A174" s="163" t="s">
        <v>448</v>
      </c>
      <c r="B174" s="163" t="s">
        <v>449</v>
      </c>
      <c r="C174" s="161">
        <v>0.89285699989285705</v>
      </c>
      <c r="D174" s="161">
        <v>0.89285699989285705</v>
      </c>
      <c r="E174" s="161">
        <v>0.89285699989285705</v>
      </c>
      <c r="F174" s="161">
        <v>0.89285699989285705</v>
      </c>
      <c r="G174" s="161">
        <v>0.89285699989285705</v>
      </c>
      <c r="H174" s="161">
        <v>0.89285699989285705</v>
      </c>
      <c r="I174" s="161">
        <v>0.89285699989285705</v>
      </c>
      <c r="J174" s="161">
        <v>0.89285699989285705</v>
      </c>
      <c r="K174" s="161">
        <v>0.89285699989285705</v>
      </c>
      <c r="L174" s="161">
        <v>0.89285699989285705</v>
      </c>
      <c r="M174" s="161">
        <v>0.89285699989285705</v>
      </c>
      <c r="N174" s="161">
        <v>0.88161645427590696</v>
      </c>
      <c r="O174" s="161">
        <v>0.83729999899999996</v>
      </c>
      <c r="P174" s="161">
        <v>0.70411390796665796</v>
      </c>
      <c r="Q174" s="161">
        <v>0.698085449275053</v>
      </c>
      <c r="R174" s="161">
        <v>0.76386666666666703</v>
      </c>
      <c r="S174" s="161">
        <v>0.81828333333333303</v>
      </c>
      <c r="T174" s="161">
        <v>0.90181666666666704</v>
      </c>
      <c r="U174" s="161">
        <v>0.87365833333333298</v>
      </c>
      <c r="V174" s="161">
        <v>0.86596432184602701</v>
      </c>
      <c r="W174" s="161">
        <v>0.82982723705133399</v>
      </c>
      <c r="X174" s="161">
        <v>0.87016628815513497</v>
      </c>
      <c r="Y174" s="161">
        <v>0.97110438154040202</v>
      </c>
      <c r="Z174" s="161">
        <v>1.1485583118840701</v>
      </c>
      <c r="AA174" s="161">
        <v>1.2737151385596699</v>
      </c>
      <c r="AB174" s="161">
        <v>1.4807666665000001</v>
      </c>
      <c r="AC174" s="161">
        <v>1.74149999983333</v>
      </c>
      <c r="AD174" s="161">
        <v>2.0032916666666698</v>
      </c>
      <c r="AE174" s="161">
        <v>2.0825166666666699</v>
      </c>
      <c r="AF174" s="161">
        <v>2.29324166666667</v>
      </c>
      <c r="AG174" s="161">
        <v>2.5287833333333301</v>
      </c>
      <c r="AH174" s="161">
        <v>2.71475</v>
      </c>
      <c r="AI174" s="161">
        <v>2.9281000000000001</v>
      </c>
      <c r="AJ174" s="161">
        <v>3.18773333333333</v>
      </c>
      <c r="AK174" s="161">
        <v>3.2913583333333301</v>
      </c>
      <c r="AL174" s="168">
        <v>3.4058999999999999</v>
      </c>
      <c r="AM174" s="168">
        <v>3.56635833333333</v>
      </c>
      <c r="AN174" s="168">
        <v>3.7169416666666701</v>
      </c>
      <c r="AO174" s="168">
        <v>4.8156491666666703</v>
      </c>
      <c r="AP174" s="168">
        <v>4.8381416666666697</v>
      </c>
      <c r="AQ174" s="168">
        <v>5.0889308333333299</v>
      </c>
      <c r="AR174" s="168">
        <v>5.2779849531703702</v>
      </c>
      <c r="AS174" s="168">
        <v>6.7487721028988696</v>
      </c>
      <c r="AT174" s="168">
        <v>7.50594374859842</v>
      </c>
      <c r="AU174" s="168">
        <v>7.48474390550839</v>
      </c>
      <c r="AV174" s="168">
        <v>7.5298730248359602</v>
      </c>
      <c r="AW174" s="168">
        <v>7.6094583333333299</v>
      </c>
      <c r="AX174" s="168">
        <v>7.6520000000000001</v>
      </c>
      <c r="AY174" s="168">
        <v>7.7479166666666703</v>
      </c>
      <c r="AZ174" s="168">
        <v>8.0550416666666695</v>
      </c>
      <c r="BA174" s="168">
        <v>8.06450134408602</v>
      </c>
      <c r="BB174" s="168">
        <v>7.64125903009875</v>
      </c>
      <c r="BC174" s="168">
        <v>7.3552028471520297</v>
      </c>
      <c r="BD174" s="168">
        <v>7.3021351000420598</v>
      </c>
    </row>
    <row r="175" spans="1:56">
      <c r="A175" s="163" t="s">
        <v>450</v>
      </c>
      <c r="B175" s="163" t="s">
        <v>451</v>
      </c>
      <c r="C175" s="161">
        <v>7.1428600061428602</v>
      </c>
      <c r="D175" s="161">
        <v>7.1428600061428602</v>
      </c>
      <c r="E175" s="161">
        <v>7.1428600061428602</v>
      </c>
      <c r="F175" s="161">
        <v>7.1428600061428602</v>
      </c>
      <c r="G175" s="161">
        <v>7.1428600061428602</v>
      </c>
      <c r="H175" s="161">
        <v>7.1428600061428602</v>
      </c>
      <c r="I175" s="161">
        <v>7.1428600061428602</v>
      </c>
      <c r="J175" s="161">
        <v>7.1428600061428602</v>
      </c>
      <c r="K175" s="161">
        <v>7.1428600061428602</v>
      </c>
      <c r="L175" s="161">
        <v>7.1428600061428602</v>
      </c>
      <c r="M175" s="161">
        <v>7.1428600061428602</v>
      </c>
      <c r="N175" s="161">
        <v>7.1285599990000001</v>
      </c>
      <c r="O175" s="161">
        <v>6.9801249990000001</v>
      </c>
      <c r="P175" s="161">
        <v>6.2814999990000002</v>
      </c>
      <c r="Q175" s="161">
        <v>6.2949999989999998</v>
      </c>
      <c r="R175" s="161">
        <v>6.2949999989999998</v>
      </c>
      <c r="S175" s="161">
        <v>6.2949999989999998</v>
      </c>
      <c r="T175" s="161">
        <v>6.2949999989999998</v>
      </c>
      <c r="U175" s="161">
        <v>6.2949999989999998</v>
      </c>
      <c r="V175" s="161">
        <v>6.2949999989999998</v>
      </c>
      <c r="W175" s="161">
        <v>6.2949999989999998</v>
      </c>
      <c r="X175" s="161">
        <v>6.2949999989999998</v>
      </c>
      <c r="Y175" s="161">
        <v>10.750349999000001</v>
      </c>
      <c r="Z175" s="161">
        <v>15.787658332333301</v>
      </c>
      <c r="AA175" s="161">
        <v>20.0185499995833</v>
      </c>
      <c r="AB175" s="161">
        <v>39.487141666666702</v>
      </c>
      <c r="AC175" s="161">
        <v>72</v>
      </c>
      <c r="AD175" s="161">
        <v>105.177083333333</v>
      </c>
      <c r="AE175" s="161">
        <v>170.45275000000001</v>
      </c>
      <c r="AF175" s="161">
        <v>490.675166666667</v>
      </c>
      <c r="AG175" s="161" t="s">
        <v>125</v>
      </c>
      <c r="AH175" s="161" t="s">
        <v>125</v>
      </c>
      <c r="AI175" s="161" t="s">
        <v>125</v>
      </c>
      <c r="AJ175" s="161" t="s">
        <v>125</v>
      </c>
      <c r="AK175" s="161" t="s">
        <v>125</v>
      </c>
      <c r="AL175" s="168" t="s">
        <v>125</v>
      </c>
      <c r="AM175" s="168" t="s">
        <v>125</v>
      </c>
      <c r="AN175" s="168" t="s">
        <v>125</v>
      </c>
      <c r="AO175" s="168" t="s">
        <v>125</v>
      </c>
      <c r="AP175" s="168" t="s">
        <v>125</v>
      </c>
      <c r="AQ175" s="168" t="s">
        <v>125</v>
      </c>
      <c r="AR175" s="168" t="s">
        <v>125</v>
      </c>
      <c r="AS175" s="168" t="s">
        <v>125</v>
      </c>
      <c r="AT175" s="168" t="s">
        <v>125</v>
      </c>
      <c r="AU175" s="168" t="s">
        <v>125</v>
      </c>
      <c r="AV175" s="168" t="s">
        <v>125</v>
      </c>
      <c r="AW175" s="168" t="s">
        <v>125</v>
      </c>
      <c r="AX175" s="168" t="s">
        <v>125</v>
      </c>
      <c r="AY175" s="168" t="s">
        <v>125</v>
      </c>
      <c r="AZ175" s="168" t="s">
        <v>125</v>
      </c>
      <c r="BA175" s="168" t="s">
        <v>125</v>
      </c>
      <c r="BB175" s="168" t="s">
        <v>125</v>
      </c>
      <c r="BC175" s="168" t="s">
        <v>125</v>
      </c>
      <c r="BD175" s="168" t="s">
        <v>125</v>
      </c>
    </row>
    <row r="176" spans="1:56">
      <c r="A176" s="163" t="s">
        <v>452</v>
      </c>
      <c r="B176" s="163" t="s">
        <v>453</v>
      </c>
      <c r="C176" s="161">
        <v>0.71428599971428597</v>
      </c>
      <c r="D176" s="161">
        <v>0.71428599971428597</v>
      </c>
      <c r="E176" s="161">
        <v>0.71428599971428597</v>
      </c>
      <c r="F176" s="161">
        <v>0.71428599971428597</v>
      </c>
      <c r="G176" s="161">
        <v>0.71428599971428597</v>
      </c>
      <c r="H176" s="161">
        <v>0.71428599971428597</v>
      </c>
      <c r="I176" s="161">
        <v>0.71428599971428597</v>
      </c>
      <c r="J176" s="161">
        <v>0.71428599971428597</v>
      </c>
      <c r="K176" s="161">
        <v>0.71428599971428597</v>
      </c>
      <c r="L176" s="161">
        <v>0.71428599971428597</v>
      </c>
      <c r="M176" s="161">
        <v>0.71428599971428597</v>
      </c>
      <c r="N176" s="161">
        <v>0.71521699900000002</v>
      </c>
      <c r="O176" s="161">
        <v>0.76870451342999402</v>
      </c>
      <c r="P176" s="161">
        <v>0.69395909802109201</v>
      </c>
      <c r="Q176" s="161">
        <v>0.67947700357025098</v>
      </c>
      <c r="R176" s="161">
        <v>0.73950775529633594</v>
      </c>
      <c r="S176" s="161">
        <v>0.86956521814744803</v>
      </c>
      <c r="T176" s="161">
        <v>0.86956521814744803</v>
      </c>
      <c r="U176" s="161">
        <v>0.86956521814744803</v>
      </c>
      <c r="V176" s="161">
        <v>0.84202260193494305</v>
      </c>
      <c r="W176" s="161">
        <v>0.77883373727604199</v>
      </c>
      <c r="X176" s="161">
        <v>0.87757894275815296</v>
      </c>
      <c r="Y176" s="161">
        <v>1.0858158330833301</v>
      </c>
      <c r="Z176" s="161">
        <v>1.1140999997500001</v>
      </c>
      <c r="AA176" s="161">
        <v>1.47527749975</v>
      </c>
      <c r="AB176" s="161">
        <v>2.2286749994166701</v>
      </c>
      <c r="AC176" s="161">
        <v>2.2850316664166699</v>
      </c>
      <c r="AD176" s="161">
        <v>2.03603333333333</v>
      </c>
      <c r="AE176" s="161">
        <v>2.2734675000000002</v>
      </c>
      <c r="AF176" s="161">
        <v>2.6226775</v>
      </c>
      <c r="AG176" s="161">
        <v>2.58732083333333</v>
      </c>
      <c r="AH176" s="161">
        <v>2.7613150000000002</v>
      </c>
      <c r="AI176" s="161">
        <v>2.8520141666666698</v>
      </c>
      <c r="AJ176" s="161">
        <v>3.2677415833333301</v>
      </c>
      <c r="AK176" s="161">
        <v>3.5507983333333302</v>
      </c>
      <c r="AL176" s="168">
        <v>3.6270850000000001</v>
      </c>
      <c r="AM176" s="168">
        <v>4.2993491666666701</v>
      </c>
      <c r="AN176" s="168">
        <v>4.6079616666666698</v>
      </c>
      <c r="AO176" s="168">
        <v>5.52828416666667</v>
      </c>
      <c r="AP176" s="168">
        <v>6.1094841666666699</v>
      </c>
      <c r="AQ176" s="168">
        <v>6.9398283333333302</v>
      </c>
      <c r="AR176" s="168">
        <v>8.6091808333333297</v>
      </c>
      <c r="AS176" s="168">
        <v>10.540746666666699</v>
      </c>
      <c r="AT176" s="168">
        <v>7.5647491666666697</v>
      </c>
      <c r="AU176" s="168">
        <v>6.4596925000000001</v>
      </c>
      <c r="AV176" s="168">
        <v>6.3593283333333304</v>
      </c>
      <c r="AW176" s="168">
        <v>6.7715491666666701</v>
      </c>
      <c r="AX176" s="168">
        <v>7.0453650000000003</v>
      </c>
      <c r="AY176" s="168">
        <v>8.26122333333333</v>
      </c>
      <c r="AZ176" s="168">
        <v>8.4736741582488797</v>
      </c>
      <c r="BA176" s="168">
        <v>7.3212219611528804</v>
      </c>
      <c r="BB176" s="168">
        <v>7.2611321323273499</v>
      </c>
      <c r="BC176" s="168">
        <v>8.2099686265933105</v>
      </c>
      <c r="BD176" s="168">
        <v>9.6550560691352594</v>
      </c>
    </row>
    <row r="177" spans="1:56">
      <c r="A177" s="163" t="s">
        <v>454</v>
      </c>
      <c r="B177" s="163" t="s">
        <v>455</v>
      </c>
      <c r="C177" s="161" t="s">
        <v>125</v>
      </c>
      <c r="D177" s="161" t="s">
        <v>125</v>
      </c>
      <c r="E177" s="161" t="s">
        <v>125</v>
      </c>
      <c r="F177" s="161" t="s">
        <v>125</v>
      </c>
      <c r="G177" s="161" t="s">
        <v>125</v>
      </c>
      <c r="H177" s="161" t="s">
        <v>125</v>
      </c>
      <c r="I177" s="161" t="s">
        <v>125</v>
      </c>
      <c r="J177" s="161" t="s">
        <v>125</v>
      </c>
      <c r="K177" s="161" t="s">
        <v>125</v>
      </c>
      <c r="L177" s="161" t="s">
        <v>125</v>
      </c>
      <c r="M177" s="161" t="s">
        <v>125</v>
      </c>
      <c r="N177" s="161" t="s">
        <v>125</v>
      </c>
      <c r="O177" s="161" t="s">
        <v>125</v>
      </c>
      <c r="P177" s="161" t="s">
        <v>125</v>
      </c>
      <c r="Q177" s="161" t="s">
        <v>125</v>
      </c>
      <c r="R177" s="161" t="s">
        <v>125</v>
      </c>
      <c r="S177" s="161" t="s">
        <v>125</v>
      </c>
      <c r="T177" s="161" t="s">
        <v>125</v>
      </c>
      <c r="U177" s="161" t="s">
        <v>125</v>
      </c>
      <c r="V177" s="161" t="s">
        <v>125</v>
      </c>
      <c r="W177" s="161" t="s">
        <v>125</v>
      </c>
      <c r="X177" s="161" t="s">
        <v>125</v>
      </c>
      <c r="Y177" s="161" t="s">
        <v>125</v>
      </c>
      <c r="Z177" s="161" t="s">
        <v>125</v>
      </c>
      <c r="AA177" s="161" t="s">
        <v>125</v>
      </c>
      <c r="AB177" s="161" t="s">
        <v>125</v>
      </c>
      <c r="AC177" s="161" t="s">
        <v>125</v>
      </c>
      <c r="AD177" s="161" t="s">
        <v>125</v>
      </c>
      <c r="AE177" s="161" t="s">
        <v>125</v>
      </c>
      <c r="AF177" s="161" t="s">
        <v>125</v>
      </c>
      <c r="AG177" s="161" t="s">
        <v>125</v>
      </c>
      <c r="AH177" s="161" t="s">
        <v>125</v>
      </c>
      <c r="AI177" s="161" t="s">
        <v>125</v>
      </c>
      <c r="AJ177" s="161" t="s">
        <v>125</v>
      </c>
      <c r="AK177" s="161" t="s">
        <v>125</v>
      </c>
      <c r="AL177" s="168" t="s">
        <v>125</v>
      </c>
      <c r="AM177" s="168" t="s">
        <v>125</v>
      </c>
      <c r="AN177" s="168" t="s">
        <v>125</v>
      </c>
      <c r="AO177" s="168" t="s">
        <v>125</v>
      </c>
      <c r="AP177" s="168" t="s">
        <v>125</v>
      </c>
      <c r="AQ177" s="168" t="s">
        <v>125</v>
      </c>
      <c r="AR177" s="168" t="s">
        <v>125</v>
      </c>
      <c r="AS177" s="168" t="s">
        <v>125</v>
      </c>
      <c r="AT177" s="168" t="s">
        <v>125</v>
      </c>
      <c r="AU177" s="168" t="s">
        <v>125</v>
      </c>
      <c r="AV177" s="168" t="s">
        <v>125</v>
      </c>
      <c r="AW177" s="168" t="s">
        <v>125</v>
      </c>
      <c r="AX177" s="168" t="s">
        <v>125</v>
      </c>
      <c r="AY177" s="168" t="s">
        <v>125</v>
      </c>
      <c r="AZ177" s="168" t="s">
        <v>125</v>
      </c>
      <c r="BA177" s="168" t="s">
        <v>125</v>
      </c>
      <c r="BB177" s="168" t="s">
        <v>125</v>
      </c>
      <c r="BC177" s="168" t="s">
        <v>125</v>
      </c>
      <c r="BD177" s="168" t="s">
        <v>125</v>
      </c>
    </row>
    <row r="178" spans="1:56">
      <c r="A178" s="163" t="s">
        <v>456</v>
      </c>
      <c r="B178" s="163" t="s">
        <v>457</v>
      </c>
      <c r="C178" s="161">
        <v>60.000000059000001</v>
      </c>
      <c r="D178" s="161">
        <v>60.000000059000001</v>
      </c>
      <c r="E178" s="161">
        <v>60.000000059000001</v>
      </c>
      <c r="F178" s="161">
        <v>60.000000059000001</v>
      </c>
      <c r="G178" s="161">
        <v>60.000000059000001</v>
      </c>
      <c r="H178" s="161">
        <v>60.000000059000001</v>
      </c>
      <c r="I178" s="161">
        <v>60.000000059000001</v>
      </c>
      <c r="J178" s="161">
        <v>61.666666727500001</v>
      </c>
      <c r="K178" s="161">
        <v>70.000000069999999</v>
      </c>
      <c r="L178" s="161">
        <v>70.000000069999999</v>
      </c>
      <c r="M178" s="161">
        <v>70.000000069999999</v>
      </c>
      <c r="N178" s="161">
        <v>69.468666707166705</v>
      </c>
      <c r="O178" s="161">
        <v>64.271416665916703</v>
      </c>
      <c r="P178" s="161">
        <v>58.260083332333302</v>
      </c>
      <c r="Q178" s="161">
        <v>57.686499998999999</v>
      </c>
      <c r="R178" s="161">
        <v>57.406916665666699</v>
      </c>
      <c r="S178" s="161">
        <v>66.9029166660833</v>
      </c>
      <c r="T178" s="161">
        <v>75.961833332416703</v>
      </c>
      <c r="U178" s="161">
        <v>76.667833332833297</v>
      </c>
      <c r="V178" s="161">
        <v>67.124999999583295</v>
      </c>
      <c r="W178" s="161">
        <v>71.701916665916698</v>
      </c>
      <c r="X178" s="161">
        <v>92.321833332500006</v>
      </c>
      <c r="Y178" s="161">
        <v>109.859166665833</v>
      </c>
      <c r="Z178" s="161">
        <v>143.42991666633301</v>
      </c>
      <c r="AA178" s="161">
        <v>160.76099999966701</v>
      </c>
      <c r="AB178" s="161">
        <v>170.04408333316701</v>
      </c>
      <c r="AC178" s="161">
        <v>140.04837544216801</v>
      </c>
      <c r="AD178" s="161">
        <v>123.478333333333</v>
      </c>
      <c r="AE178" s="161">
        <v>116.486833333333</v>
      </c>
      <c r="AF178" s="161">
        <v>118.377666666667</v>
      </c>
      <c r="AG178" s="161">
        <v>101.933916666667</v>
      </c>
      <c r="AH178" s="161">
        <v>103.911583333333</v>
      </c>
      <c r="AI178" s="161">
        <v>102.379083333333</v>
      </c>
      <c r="AJ178" s="161">
        <v>127.260416666667</v>
      </c>
      <c r="AK178" s="161">
        <v>133.957955</v>
      </c>
      <c r="AL178" s="168">
        <v>124.68899999999999</v>
      </c>
      <c r="AM178" s="168">
        <v>126.661583333333</v>
      </c>
      <c r="AN178" s="168">
        <v>146.41362833333301</v>
      </c>
      <c r="AO178" s="168">
        <v>149.395331666667</v>
      </c>
      <c r="AP178" s="168" t="s">
        <v>125</v>
      </c>
      <c r="AQ178" s="168" t="s">
        <v>125</v>
      </c>
      <c r="AR178" s="168" t="s">
        <v>125</v>
      </c>
      <c r="AS178" s="168" t="s">
        <v>125</v>
      </c>
      <c r="AT178" s="168" t="s">
        <v>125</v>
      </c>
      <c r="AU178" s="168" t="s">
        <v>125</v>
      </c>
      <c r="AV178" s="168" t="s">
        <v>125</v>
      </c>
      <c r="AW178" s="168" t="s">
        <v>125</v>
      </c>
      <c r="AX178" s="168" t="s">
        <v>125</v>
      </c>
      <c r="AY178" s="168" t="s">
        <v>125</v>
      </c>
      <c r="AZ178" s="168" t="s">
        <v>125</v>
      </c>
      <c r="BA178" s="168" t="s">
        <v>125</v>
      </c>
      <c r="BB178" s="168" t="s">
        <v>125</v>
      </c>
      <c r="BC178" s="168" t="s">
        <v>125</v>
      </c>
      <c r="BD178" s="168" t="s">
        <v>125</v>
      </c>
    </row>
    <row r="179" spans="1:56">
      <c r="A179" s="163" t="s">
        <v>458</v>
      </c>
      <c r="B179" s="163" t="s">
        <v>459</v>
      </c>
      <c r="C179" s="161">
        <v>4.7619000037618999</v>
      </c>
      <c r="D179" s="161">
        <v>4.7619000037618999</v>
      </c>
      <c r="E179" s="161">
        <v>4.7619000037618999</v>
      </c>
      <c r="F179" s="161">
        <v>4.7619000037618999</v>
      </c>
      <c r="G179" s="161">
        <v>4.7619000037618999</v>
      </c>
      <c r="H179" s="161">
        <v>4.7619000037618999</v>
      </c>
      <c r="I179" s="161">
        <v>4.7619000037618999</v>
      </c>
      <c r="J179" s="161">
        <v>4.8611058367976101</v>
      </c>
      <c r="K179" s="161">
        <v>5.9523700049523702</v>
      </c>
      <c r="L179" s="161">
        <v>5.9523700049523702</v>
      </c>
      <c r="M179" s="161">
        <v>5.9523700049523702</v>
      </c>
      <c r="N179" s="161">
        <v>5.9349486209637803</v>
      </c>
      <c r="O179" s="161">
        <v>5.9703171818733498</v>
      </c>
      <c r="P179" s="161">
        <v>6.4024999989999998</v>
      </c>
      <c r="Q179" s="161">
        <v>6.6507499990000003</v>
      </c>
      <c r="R179" s="161">
        <v>7.00716666566667</v>
      </c>
      <c r="S179" s="161">
        <v>8.4119999990833296</v>
      </c>
      <c r="T179" s="161">
        <v>8.8728333326666693</v>
      </c>
      <c r="U179" s="161">
        <v>15.610666665749999</v>
      </c>
      <c r="V179" s="161">
        <v>15.571833332583299</v>
      </c>
      <c r="W179" s="161">
        <v>16.534416666166699</v>
      </c>
      <c r="X179" s="161">
        <v>19.245749999166701</v>
      </c>
      <c r="Y179" s="161">
        <v>20.812249998999999</v>
      </c>
      <c r="Z179" s="161">
        <v>23.528583332416702</v>
      </c>
      <c r="AA179" s="161">
        <v>25.438166666083301</v>
      </c>
      <c r="AB179" s="161">
        <v>27.162583333000001</v>
      </c>
      <c r="AC179" s="161">
        <v>28.017333333250001</v>
      </c>
      <c r="AD179" s="161">
        <v>29.444749999999999</v>
      </c>
      <c r="AE179" s="161">
        <v>31.806750000000001</v>
      </c>
      <c r="AF179" s="161">
        <v>36.047083333333298</v>
      </c>
      <c r="AG179" s="161">
        <v>40.062916666666702</v>
      </c>
      <c r="AH179" s="161">
        <v>41.371499999999997</v>
      </c>
      <c r="AI179" s="161">
        <v>43.829625</v>
      </c>
      <c r="AJ179" s="161">
        <v>48.322167499999999</v>
      </c>
      <c r="AK179" s="161">
        <v>49.415141666666699</v>
      </c>
      <c r="AL179" s="168">
        <v>51.251589166666697</v>
      </c>
      <c r="AM179" s="168">
        <v>55.271444166666697</v>
      </c>
      <c r="AN179" s="168">
        <v>58.994605</v>
      </c>
      <c r="AO179" s="168">
        <v>64.450118333333293</v>
      </c>
      <c r="AP179" s="168">
        <v>70.635450000000006</v>
      </c>
      <c r="AQ179" s="168">
        <v>77.005116666666694</v>
      </c>
      <c r="AR179" s="168">
        <v>89.383013333333295</v>
      </c>
      <c r="AS179" s="168">
        <v>95.662064999999998</v>
      </c>
      <c r="AT179" s="168">
        <v>96.520950833333302</v>
      </c>
      <c r="AU179" s="168">
        <v>101.1944575</v>
      </c>
      <c r="AV179" s="168">
        <v>100.498051666667</v>
      </c>
      <c r="AW179" s="168">
        <v>103.914445833333</v>
      </c>
      <c r="AX179" s="168">
        <v>110.623233333333</v>
      </c>
      <c r="AY179" s="168">
        <v>108.33376271929799</v>
      </c>
      <c r="AZ179" s="168">
        <v>114.94478333333301</v>
      </c>
      <c r="BA179" s="168">
        <v>113.064480448821</v>
      </c>
      <c r="BB179" s="168">
        <v>110.565207851396</v>
      </c>
      <c r="BC179" s="168">
        <v>127.60335350681</v>
      </c>
      <c r="BD179" s="168">
        <v>129.06903093288801</v>
      </c>
    </row>
    <row r="180" spans="1:56">
      <c r="A180" s="163" t="s">
        <v>460</v>
      </c>
      <c r="B180" s="163" t="s">
        <v>461</v>
      </c>
      <c r="C180" s="161">
        <v>1.7142900007142901</v>
      </c>
      <c r="D180" s="161">
        <v>1.7142900007142901</v>
      </c>
      <c r="E180" s="161">
        <v>1.7142900007142901</v>
      </c>
      <c r="F180" s="161">
        <v>1.7142900007142901</v>
      </c>
      <c r="G180" s="161">
        <v>1.7142900007142901</v>
      </c>
      <c r="H180" s="161">
        <v>1.7142900007142901</v>
      </c>
      <c r="I180" s="161">
        <v>1.7142900007142901</v>
      </c>
      <c r="J180" s="161">
        <v>1.7619083340952399</v>
      </c>
      <c r="K180" s="161">
        <v>2.0000000010000001</v>
      </c>
      <c r="L180" s="161">
        <v>2.0000000010000001</v>
      </c>
      <c r="M180" s="161">
        <v>2.0000000010000001</v>
      </c>
      <c r="N180" s="161">
        <v>1.97487273321145</v>
      </c>
      <c r="O180" s="161">
        <v>1.9212781494760101</v>
      </c>
      <c r="P180" s="161">
        <v>1.9592192359816101</v>
      </c>
      <c r="Q180" s="161">
        <v>2.0532324085176299</v>
      </c>
      <c r="R180" s="161">
        <v>2.16979583233333</v>
      </c>
      <c r="S180" s="161">
        <v>2.6146708328333301</v>
      </c>
      <c r="T180" s="161">
        <v>2.7</v>
      </c>
      <c r="U180" s="161">
        <v>2.7</v>
      </c>
      <c r="V180" s="161">
        <v>2.7</v>
      </c>
      <c r="W180" s="161">
        <v>2.7</v>
      </c>
      <c r="X180" s="161">
        <v>2.7</v>
      </c>
      <c r="Y180" s="161">
        <v>2.7</v>
      </c>
      <c r="Z180" s="161">
        <v>2.7</v>
      </c>
      <c r="AA180" s="161">
        <v>2.7</v>
      </c>
      <c r="AB180" s="161">
        <v>2.7</v>
      </c>
      <c r="AC180" s="161">
        <v>2.7</v>
      </c>
      <c r="AD180" s="161">
        <v>2.7</v>
      </c>
      <c r="AE180" s="161">
        <v>2.7</v>
      </c>
      <c r="AF180" s="161">
        <v>2.7</v>
      </c>
      <c r="AG180" s="161">
        <v>2.7</v>
      </c>
      <c r="AH180" s="161">
        <v>2.7</v>
      </c>
      <c r="AI180" s="161">
        <v>2.7</v>
      </c>
      <c r="AJ180" s="161">
        <v>2.7</v>
      </c>
      <c r="AK180" s="161">
        <v>2.7</v>
      </c>
      <c r="AL180" s="168">
        <v>2.7</v>
      </c>
      <c r="AM180" s="168">
        <v>2.7</v>
      </c>
      <c r="AN180" s="168">
        <v>2.7</v>
      </c>
      <c r="AO180" s="168">
        <v>2.7</v>
      </c>
      <c r="AP180" s="168">
        <v>2.7</v>
      </c>
      <c r="AQ180" s="168">
        <v>2.7</v>
      </c>
      <c r="AR180" s="168">
        <v>2.7</v>
      </c>
      <c r="AS180" s="168">
        <v>2.7</v>
      </c>
      <c r="AT180" s="168">
        <v>2.7</v>
      </c>
      <c r="AU180" s="168">
        <v>2.7</v>
      </c>
      <c r="AV180" s="168">
        <v>2.7</v>
      </c>
      <c r="AW180" s="168">
        <v>2.7</v>
      </c>
      <c r="AX180" s="168">
        <v>2.7</v>
      </c>
      <c r="AY180" s="168">
        <v>2.7</v>
      </c>
      <c r="AZ180" s="168">
        <v>2.7</v>
      </c>
      <c r="BA180" s="168">
        <v>2.7</v>
      </c>
      <c r="BB180" s="168">
        <v>2.7</v>
      </c>
      <c r="BC180" s="168">
        <v>2.7</v>
      </c>
      <c r="BD180" s="168">
        <v>2.7</v>
      </c>
    </row>
    <row r="181" spans="1:56">
      <c r="A181" s="163" t="s">
        <v>462</v>
      </c>
      <c r="B181" s="163" t="s">
        <v>463</v>
      </c>
      <c r="C181" s="161">
        <v>1.7142900007142901</v>
      </c>
      <c r="D181" s="161">
        <v>1.7142900007142901</v>
      </c>
      <c r="E181" s="161">
        <v>1.7142900007142901</v>
      </c>
      <c r="F181" s="161">
        <v>1.7142900007142901</v>
      </c>
      <c r="G181" s="161">
        <v>1.7142900007142901</v>
      </c>
      <c r="H181" s="161">
        <v>1.7142900007142901</v>
      </c>
      <c r="I181" s="161">
        <v>1.7142900007142901</v>
      </c>
      <c r="J181" s="161">
        <v>1.7619083340952399</v>
      </c>
      <c r="K181" s="161">
        <v>2.0000000010000001</v>
      </c>
      <c r="L181" s="161">
        <v>2.0000000010000001</v>
      </c>
      <c r="M181" s="161">
        <v>2.0000000010000001</v>
      </c>
      <c r="N181" s="161">
        <v>1.97487273321145</v>
      </c>
      <c r="O181" s="161">
        <v>1.9212781494760101</v>
      </c>
      <c r="P181" s="161">
        <v>1.9592192359816101</v>
      </c>
      <c r="Q181" s="161">
        <v>2.0532324085176299</v>
      </c>
      <c r="R181" s="161">
        <v>2.16979583233333</v>
      </c>
      <c r="S181" s="161">
        <v>2.6146708328333301</v>
      </c>
      <c r="T181" s="161">
        <v>2.7</v>
      </c>
      <c r="U181" s="161">
        <v>2.7</v>
      </c>
      <c r="V181" s="161">
        <v>2.7</v>
      </c>
      <c r="W181" s="161">
        <v>2.7</v>
      </c>
      <c r="X181" s="161">
        <v>2.7</v>
      </c>
      <c r="Y181" s="161">
        <v>2.7</v>
      </c>
      <c r="Z181" s="161">
        <v>2.7</v>
      </c>
      <c r="AA181" s="161">
        <v>2.7</v>
      </c>
      <c r="AB181" s="161">
        <v>2.7</v>
      </c>
      <c r="AC181" s="161">
        <v>2.7</v>
      </c>
      <c r="AD181" s="161">
        <v>2.7</v>
      </c>
      <c r="AE181" s="161">
        <v>2.7</v>
      </c>
      <c r="AF181" s="161">
        <v>2.7</v>
      </c>
      <c r="AG181" s="161">
        <v>2.7</v>
      </c>
      <c r="AH181" s="161">
        <v>2.7</v>
      </c>
      <c r="AI181" s="161">
        <v>2.7</v>
      </c>
      <c r="AJ181" s="161">
        <v>2.7</v>
      </c>
      <c r="AK181" s="161">
        <v>2.7</v>
      </c>
      <c r="AL181" s="168">
        <v>2.7</v>
      </c>
      <c r="AM181" s="168">
        <v>2.7</v>
      </c>
      <c r="AN181" s="168">
        <v>2.7</v>
      </c>
      <c r="AO181" s="168">
        <v>2.7</v>
      </c>
      <c r="AP181" s="168">
        <v>2.7</v>
      </c>
      <c r="AQ181" s="168">
        <v>2.7</v>
      </c>
      <c r="AR181" s="168">
        <v>2.7</v>
      </c>
      <c r="AS181" s="168">
        <v>2.7</v>
      </c>
      <c r="AT181" s="168">
        <v>2.7</v>
      </c>
      <c r="AU181" s="168">
        <v>2.7</v>
      </c>
      <c r="AV181" s="168">
        <v>2.7</v>
      </c>
      <c r="AW181" s="168">
        <v>2.7</v>
      </c>
      <c r="AX181" s="168">
        <v>2.7</v>
      </c>
      <c r="AY181" s="168">
        <v>2.7</v>
      </c>
      <c r="AZ181" s="168">
        <v>2.7</v>
      </c>
      <c r="BA181" s="168">
        <v>2.7</v>
      </c>
      <c r="BB181" s="168">
        <v>2.7</v>
      </c>
      <c r="BC181" s="168">
        <v>2.7</v>
      </c>
      <c r="BD181" s="168">
        <v>2.7</v>
      </c>
    </row>
    <row r="182" spans="1:56">
      <c r="A182" s="163" t="s">
        <v>464</v>
      </c>
      <c r="B182" s="163" t="s">
        <v>465</v>
      </c>
      <c r="C182" s="161" t="s">
        <v>125</v>
      </c>
      <c r="D182" s="161" t="s">
        <v>125</v>
      </c>
      <c r="E182" s="161" t="s">
        <v>125</v>
      </c>
      <c r="F182" s="161" t="s">
        <v>125</v>
      </c>
      <c r="G182" s="161" t="s">
        <v>125</v>
      </c>
      <c r="H182" s="161" t="s">
        <v>125</v>
      </c>
      <c r="I182" s="161" t="s">
        <v>125</v>
      </c>
      <c r="J182" s="161" t="s">
        <v>125</v>
      </c>
      <c r="K182" s="161" t="s">
        <v>125</v>
      </c>
      <c r="L182" s="161" t="s">
        <v>125</v>
      </c>
      <c r="M182" s="161" t="s">
        <v>125</v>
      </c>
      <c r="N182" s="161" t="s">
        <v>125</v>
      </c>
      <c r="O182" s="161" t="s">
        <v>125</v>
      </c>
      <c r="P182" s="161" t="s">
        <v>125</v>
      </c>
      <c r="Q182" s="161" t="s">
        <v>125</v>
      </c>
      <c r="R182" s="161" t="s">
        <v>125</v>
      </c>
      <c r="S182" s="161" t="s">
        <v>125</v>
      </c>
      <c r="T182" s="161" t="s">
        <v>125</v>
      </c>
      <c r="U182" s="161" t="s">
        <v>125</v>
      </c>
      <c r="V182" s="161" t="s">
        <v>125</v>
      </c>
      <c r="W182" s="161" t="s">
        <v>125</v>
      </c>
      <c r="X182" s="161" t="s">
        <v>125</v>
      </c>
      <c r="Y182" s="161" t="s">
        <v>125</v>
      </c>
      <c r="Z182" s="161" t="s">
        <v>125</v>
      </c>
      <c r="AA182" s="161" t="s">
        <v>125</v>
      </c>
      <c r="AB182" s="161" t="s">
        <v>125</v>
      </c>
      <c r="AC182" s="161" t="s">
        <v>125</v>
      </c>
      <c r="AD182" s="161" t="s">
        <v>125</v>
      </c>
      <c r="AE182" s="161" t="s">
        <v>125</v>
      </c>
      <c r="AF182" s="161" t="s">
        <v>125</v>
      </c>
      <c r="AG182" s="161" t="s">
        <v>125</v>
      </c>
      <c r="AH182" s="161" t="s">
        <v>125</v>
      </c>
      <c r="AI182" s="161" t="s">
        <v>125</v>
      </c>
      <c r="AJ182" s="161" t="s">
        <v>125</v>
      </c>
      <c r="AK182" s="161" t="s">
        <v>125</v>
      </c>
      <c r="AL182" s="168" t="s">
        <v>125</v>
      </c>
      <c r="AM182" s="168" t="s">
        <v>125</v>
      </c>
      <c r="AN182" s="168" t="s">
        <v>125</v>
      </c>
      <c r="AO182" s="168" t="s">
        <v>125</v>
      </c>
      <c r="AP182" s="168" t="s">
        <v>125</v>
      </c>
      <c r="AQ182" s="168" t="s">
        <v>125</v>
      </c>
      <c r="AR182" s="168" t="s">
        <v>125</v>
      </c>
      <c r="AS182" s="168" t="s">
        <v>125</v>
      </c>
      <c r="AT182" s="168" t="s">
        <v>125</v>
      </c>
      <c r="AU182" s="168" t="s">
        <v>125</v>
      </c>
      <c r="AV182" s="168" t="s">
        <v>125</v>
      </c>
      <c r="AW182" s="168" t="s">
        <v>125</v>
      </c>
      <c r="AX182" s="168" t="s">
        <v>125</v>
      </c>
      <c r="AY182" s="168" t="s">
        <v>125</v>
      </c>
      <c r="AZ182" s="168" t="s">
        <v>125</v>
      </c>
      <c r="BA182" s="168" t="s">
        <v>125</v>
      </c>
      <c r="BB182" s="168" t="s">
        <v>125</v>
      </c>
      <c r="BC182" s="168" t="s">
        <v>125</v>
      </c>
      <c r="BD182" s="168" t="s">
        <v>125</v>
      </c>
    </row>
    <row r="183" spans="1:56">
      <c r="A183" s="169" t="s">
        <v>569</v>
      </c>
      <c r="B183" s="163" t="s">
        <v>467</v>
      </c>
      <c r="C183" s="161">
        <v>1.7142900007142901</v>
      </c>
      <c r="D183" s="161">
        <v>1.7142900007142901</v>
      </c>
      <c r="E183" s="161">
        <v>1.7142900007142901</v>
      </c>
      <c r="F183" s="161">
        <v>1.7142900007142901</v>
      </c>
      <c r="G183" s="161">
        <v>1.7142900007142901</v>
      </c>
      <c r="H183" s="161">
        <v>1.7142900007142901</v>
      </c>
      <c r="I183" s="161">
        <v>1.7142900007142901</v>
      </c>
      <c r="J183" s="161">
        <v>1.7619083340952399</v>
      </c>
      <c r="K183" s="161">
        <v>2.0000000010000001</v>
      </c>
      <c r="L183" s="161">
        <v>2.0000000010000001</v>
      </c>
      <c r="M183" s="161">
        <v>2.0000000010000001</v>
      </c>
      <c r="N183" s="161">
        <v>1.97487273321145</v>
      </c>
      <c r="O183" s="161">
        <v>1.9212781494760101</v>
      </c>
      <c r="P183" s="161">
        <v>1.9592192359816101</v>
      </c>
      <c r="Q183" s="161">
        <v>2.0532324085176299</v>
      </c>
      <c r="R183" s="161">
        <v>2.16979583233333</v>
      </c>
      <c r="S183" s="161">
        <v>2.6146708328333301</v>
      </c>
      <c r="T183" s="161">
        <v>2.7</v>
      </c>
      <c r="U183" s="161">
        <v>2.7</v>
      </c>
      <c r="V183" s="161">
        <v>2.7</v>
      </c>
      <c r="W183" s="161">
        <v>2.7</v>
      </c>
      <c r="X183" s="161">
        <v>2.7</v>
      </c>
      <c r="Y183" s="161">
        <v>2.7</v>
      </c>
      <c r="Z183" s="161">
        <v>2.7</v>
      </c>
      <c r="AA183" s="161">
        <v>2.7</v>
      </c>
      <c r="AB183" s="161">
        <v>2.7</v>
      </c>
      <c r="AC183" s="161">
        <v>2.7</v>
      </c>
      <c r="AD183" s="161">
        <v>2.7</v>
      </c>
      <c r="AE183" s="161">
        <v>2.7</v>
      </c>
      <c r="AF183" s="161">
        <v>2.7</v>
      </c>
      <c r="AG183" s="161">
        <v>2.7</v>
      </c>
      <c r="AH183" s="161">
        <v>2.7</v>
      </c>
      <c r="AI183" s="161">
        <v>2.7</v>
      </c>
      <c r="AJ183" s="161">
        <v>2.7</v>
      </c>
      <c r="AK183" s="161">
        <v>2.7</v>
      </c>
      <c r="AL183" s="168">
        <v>2.7</v>
      </c>
      <c r="AM183" s="168">
        <v>2.7</v>
      </c>
      <c r="AN183" s="168">
        <v>2.7</v>
      </c>
      <c r="AO183" s="168">
        <v>2.7</v>
      </c>
      <c r="AP183" s="168">
        <v>2.7</v>
      </c>
      <c r="AQ183" s="168">
        <v>2.7</v>
      </c>
      <c r="AR183" s="168">
        <v>2.7</v>
      </c>
      <c r="AS183" s="168">
        <v>2.7</v>
      </c>
      <c r="AT183" s="168">
        <v>2.7</v>
      </c>
      <c r="AU183" s="168">
        <v>2.7</v>
      </c>
      <c r="AV183" s="168">
        <v>2.7</v>
      </c>
      <c r="AW183" s="168">
        <v>2.7</v>
      </c>
      <c r="AX183" s="168">
        <v>2.7</v>
      </c>
      <c r="AY183" s="168">
        <v>2.7</v>
      </c>
      <c r="AZ183" s="168">
        <v>2.7</v>
      </c>
      <c r="BA183" s="168">
        <v>2.7</v>
      </c>
      <c r="BB183" s="168">
        <v>2.7</v>
      </c>
      <c r="BC183" s="168">
        <v>2.7</v>
      </c>
      <c r="BD183" s="168">
        <v>2.7</v>
      </c>
    </row>
    <row r="184" spans="1:56">
      <c r="A184" s="163" t="s">
        <v>468</v>
      </c>
      <c r="B184" s="163" t="s">
        <v>469</v>
      </c>
      <c r="C184" s="161">
        <v>3.4819999900000001E-4</v>
      </c>
      <c r="D184" s="161">
        <v>3.4819999900000001E-4</v>
      </c>
      <c r="E184" s="161">
        <v>3.4819999900000001E-4</v>
      </c>
      <c r="F184" s="161">
        <v>3.4819999900000001E-4</v>
      </c>
      <c r="G184" s="161">
        <v>3.4819999900000001E-4</v>
      </c>
      <c r="H184" s="161">
        <v>3.4819999900000001E-4</v>
      </c>
      <c r="I184" s="161">
        <v>3.4819999900000001E-4</v>
      </c>
      <c r="J184" s="161">
        <v>3.4819999900000001E-4</v>
      </c>
      <c r="K184" s="161">
        <v>3.4819999900000001E-4</v>
      </c>
      <c r="L184" s="161">
        <v>3.4819999900000001E-4</v>
      </c>
      <c r="M184" s="161">
        <v>3.4819999900000001E-4</v>
      </c>
      <c r="N184" s="161">
        <v>3.4819999900000001E-4</v>
      </c>
      <c r="O184" s="161">
        <v>3.4819999900000001E-4</v>
      </c>
      <c r="P184" s="161">
        <v>3.4819999900000001E-4</v>
      </c>
      <c r="Q184" s="161">
        <v>3.4819999900000001E-4</v>
      </c>
      <c r="R184" s="161">
        <v>3.4819999900000001E-4</v>
      </c>
      <c r="S184" s="161">
        <v>3.4819999900000001E-4</v>
      </c>
      <c r="T184" s="161">
        <v>3.4820616566666701E-4</v>
      </c>
      <c r="U184" s="161">
        <v>3.7745183233333301E-4</v>
      </c>
      <c r="V184" s="161">
        <v>4.29166665666667E-4</v>
      </c>
      <c r="W184" s="161">
        <v>4.9999999900000001E-4</v>
      </c>
      <c r="X184" s="161">
        <v>5.5885833233333302E-4</v>
      </c>
      <c r="Y184" s="161">
        <v>9.5229999916666703E-4</v>
      </c>
      <c r="Z184" s="161">
        <v>1.2999999999999999E-3</v>
      </c>
      <c r="AA184" s="161">
        <v>1.2999999999999999E-3</v>
      </c>
      <c r="AB184" s="161">
        <v>2.3040249999166699E-3</v>
      </c>
      <c r="AC184" s="161">
        <v>2.5000000000000001E-3</v>
      </c>
      <c r="AD184" s="161">
        <v>3.0000000000000001E-3</v>
      </c>
      <c r="AE184" s="161">
        <v>4.4999999999999997E-3</v>
      </c>
      <c r="AF184" s="161">
        <v>4.4999999999999997E-3</v>
      </c>
      <c r="AG184" s="161">
        <v>4.4999999999999997E-3</v>
      </c>
      <c r="AH184" s="161">
        <v>6.95564166666667E-3</v>
      </c>
      <c r="AI184" s="161">
        <v>9.7431666666666694E-2</v>
      </c>
      <c r="AJ184" s="161">
        <v>0.159313916666667</v>
      </c>
      <c r="AK184" s="161">
        <v>0.28960891666666699</v>
      </c>
      <c r="AL184" s="168">
        <v>0.58087374999999997</v>
      </c>
      <c r="AM184" s="168">
        <v>1.2507916666666701</v>
      </c>
      <c r="AN184" s="168">
        <v>1.5757425</v>
      </c>
      <c r="AO184" s="168">
        <v>2.0080191666666698</v>
      </c>
      <c r="AP184" s="168">
        <v>2.52550416666667</v>
      </c>
      <c r="AQ184" s="168">
        <v>2.5712250000000001</v>
      </c>
      <c r="AR184" s="168">
        <v>2.5870210416666701</v>
      </c>
      <c r="AS184" s="168">
        <v>2.6330583333333299</v>
      </c>
      <c r="AT184" s="168">
        <v>2.60983433333333</v>
      </c>
      <c r="AU184" s="168">
        <v>2.5790500000000001</v>
      </c>
      <c r="AV184" s="168">
        <v>2.4360583333333299</v>
      </c>
      <c r="AW184" s="168">
        <v>2.17153333333333</v>
      </c>
      <c r="AX184" s="168">
        <v>2.0160999999999998</v>
      </c>
      <c r="AY184" s="168">
        <v>2.0901628287698402</v>
      </c>
      <c r="AZ184" s="168">
        <v>2.3015333333333299</v>
      </c>
      <c r="BA184" s="168">
        <v>2.30600092016667</v>
      </c>
      <c r="BB184" s="168">
        <v>2.6666196217746898</v>
      </c>
      <c r="BC184" s="168">
        <v>3.5729583333333301</v>
      </c>
      <c r="BD184" s="168">
        <v>4.7567605470882102</v>
      </c>
    </row>
    <row r="185" spans="1:56">
      <c r="A185" s="163" t="s">
        <v>470</v>
      </c>
      <c r="B185" s="163" t="s">
        <v>471</v>
      </c>
      <c r="C185" s="161">
        <v>1.885E-3</v>
      </c>
      <c r="D185" s="161">
        <v>1.885E-3</v>
      </c>
      <c r="E185" s="161">
        <v>1.885E-3</v>
      </c>
      <c r="F185" s="161">
        <v>1.885E-3</v>
      </c>
      <c r="G185" s="161">
        <v>1.885E-3</v>
      </c>
      <c r="H185" s="161">
        <v>1.885E-3</v>
      </c>
      <c r="I185" s="161">
        <v>1.885E-3</v>
      </c>
      <c r="J185" s="161">
        <v>1.885E-3</v>
      </c>
      <c r="K185" s="161">
        <v>1.885E-3</v>
      </c>
      <c r="L185" s="161">
        <v>1.885E-3</v>
      </c>
      <c r="M185" s="161">
        <v>1.885E-3</v>
      </c>
      <c r="N185" s="161">
        <v>1.88358333333333E-3</v>
      </c>
      <c r="O185" s="161">
        <v>1.7849999999999999E-3</v>
      </c>
      <c r="P185" s="161">
        <v>1.7849999999999999E-3</v>
      </c>
      <c r="Q185" s="161">
        <v>1.7849999999999999E-3</v>
      </c>
      <c r="R185" s="161">
        <v>1.7849999999999999E-3</v>
      </c>
      <c r="S185" s="161">
        <v>1.7849999999999999E-3</v>
      </c>
      <c r="T185" s="161">
        <v>1.7849999999999999E-3</v>
      </c>
      <c r="U185" s="161">
        <v>1.7849999999999999E-3</v>
      </c>
      <c r="V185" s="161">
        <v>1.7849999999999999E-3</v>
      </c>
      <c r="W185" s="161">
        <v>1.7849999999999999E-3</v>
      </c>
      <c r="X185" s="161">
        <v>1.7849999999999999E-3</v>
      </c>
      <c r="Y185" s="161">
        <v>1.7849999999999999E-3</v>
      </c>
      <c r="Z185" s="161">
        <v>1.7849999999999999E-3</v>
      </c>
      <c r="AA185" s="161">
        <v>1.7849999999999999E-3</v>
      </c>
      <c r="AB185" s="161">
        <v>1.7849999999999999E-3</v>
      </c>
      <c r="AC185" s="161">
        <v>1.7849999999999999E-3</v>
      </c>
      <c r="AD185" s="161">
        <v>1.7849999999999999E-3</v>
      </c>
      <c r="AE185" s="161">
        <v>1.7849999999999999E-3</v>
      </c>
      <c r="AF185" s="161">
        <v>1.7849999999999999E-3</v>
      </c>
      <c r="AG185" s="161">
        <v>1.7849999999999999E-3</v>
      </c>
      <c r="AH185" s="161">
        <v>1.7849999999999999E-3</v>
      </c>
      <c r="AI185" s="161">
        <v>1.7849999999999999E-3</v>
      </c>
      <c r="AJ185" s="161">
        <v>1.7849999999999999E-3</v>
      </c>
      <c r="AK185" s="161">
        <v>0.22246075758842601</v>
      </c>
      <c r="AL185" s="168">
        <v>0.44277198913867399</v>
      </c>
      <c r="AM185" s="168">
        <v>0.40101835370904798</v>
      </c>
      <c r="AN185" s="168">
        <v>0.401566152294698</v>
      </c>
      <c r="AO185" s="168">
        <v>0.40160642570281102</v>
      </c>
      <c r="AP185" s="168">
        <v>0.83408426422225102</v>
      </c>
      <c r="AQ185" s="168">
        <v>1.3224905154787401</v>
      </c>
      <c r="AR185" s="168">
        <v>2.1781822542340898</v>
      </c>
      <c r="AS185" s="168">
        <v>2.3467500000000001</v>
      </c>
      <c r="AT185" s="168">
        <v>2.6013333333333302</v>
      </c>
      <c r="AU185" s="168">
        <v>2.7335833333333301</v>
      </c>
      <c r="AV185" s="168">
        <v>2.73166666666667</v>
      </c>
      <c r="AW185" s="168">
        <v>2.7437499999999999</v>
      </c>
      <c r="AX185" s="168">
        <v>2.7450000000000001</v>
      </c>
      <c r="AY185" s="168">
        <v>2.7450000000000001</v>
      </c>
      <c r="AZ185" s="168">
        <v>2.7450000000000001</v>
      </c>
      <c r="BA185" s="168">
        <v>2.7454166666666699</v>
      </c>
      <c r="BB185" s="168">
        <v>3.2679999999999998</v>
      </c>
      <c r="BC185" s="168">
        <v>3.3</v>
      </c>
      <c r="BD185" s="168">
        <v>3.3</v>
      </c>
    </row>
    <row r="186" spans="1:56">
      <c r="A186" s="163" t="s">
        <v>472</v>
      </c>
      <c r="B186" s="163" t="s">
        <v>473</v>
      </c>
      <c r="C186" s="161">
        <v>0.71428599971428597</v>
      </c>
      <c r="D186" s="161">
        <v>0.71428599971428597</v>
      </c>
      <c r="E186" s="161">
        <v>0.71428599971428597</v>
      </c>
      <c r="F186" s="161">
        <v>0.71428599971428597</v>
      </c>
      <c r="G186" s="161">
        <v>0.71428599971428597</v>
      </c>
      <c r="H186" s="161">
        <v>0.71428599971428597</v>
      </c>
      <c r="I186" s="161">
        <v>0.71428599971428597</v>
      </c>
      <c r="J186" s="161">
        <v>0.71428599971428597</v>
      </c>
      <c r="K186" s="161">
        <v>0.71428599971428597</v>
      </c>
      <c r="L186" s="161">
        <v>0.71428599971428597</v>
      </c>
      <c r="M186" s="161">
        <v>0.71428599971428597</v>
      </c>
      <c r="N186" s="161">
        <v>0.71521699900000002</v>
      </c>
      <c r="O186" s="161">
        <v>0.76870451342999402</v>
      </c>
      <c r="P186" s="161">
        <v>0.69395909802109201</v>
      </c>
      <c r="Q186" s="161">
        <v>0.67947700357025098</v>
      </c>
      <c r="R186" s="161">
        <v>0.73950775529633594</v>
      </c>
      <c r="S186" s="161">
        <v>0.86956521814744803</v>
      </c>
      <c r="T186" s="161">
        <v>0.86956521814744803</v>
      </c>
      <c r="U186" s="161">
        <v>0.86956521814744803</v>
      </c>
      <c r="V186" s="161">
        <v>0.84179807087060499</v>
      </c>
      <c r="W186" s="161">
        <v>0.77878999999999998</v>
      </c>
      <c r="X186" s="161">
        <v>0.87644333325000001</v>
      </c>
      <c r="Y186" s="161">
        <v>1.0858158330833301</v>
      </c>
      <c r="Z186" s="161">
        <v>1.1140999997500001</v>
      </c>
      <c r="AA186" s="161">
        <v>1.47527749975</v>
      </c>
      <c r="AB186" s="161">
        <v>2.2229158328333298</v>
      </c>
      <c r="AC186" s="161">
        <v>2.2850316664166699</v>
      </c>
      <c r="AD186" s="161">
        <v>2.03603333333333</v>
      </c>
      <c r="AE186" s="161">
        <v>2.2734675000000002</v>
      </c>
      <c r="AF186" s="161">
        <v>2.6226775</v>
      </c>
      <c r="AG186" s="161">
        <v>2.58732083333333</v>
      </c>
      <c r="AH186" s="161">
        <v>2.7613150000000002</v>
      </c>
      <c r="AI186" s="161">
        <v>2.8520141666666698</v>
      </c>
      <c r="AJ186" s="161">
        <v>3.2677415833333301</v>
      </c>
      <c r="AK186" s="161">
        <v>3.5507983333333302</v>
      </c>
      <c r="AL186" s="168">
        <v>3.6270850000000001</v>
      </c>
      <c r="AM186" s="168">
        <v>4.2993491666666701</v>
      </c>
      <c r="AN186" s="168">
        <v>4.6079616666666698</v>
      </c>
      <c r="AO186" s="168">
        <v>5.52828416666667</v>
      </c>
      <c r="AP186" s="168">
        <v>6.1094841666666699</v>
      </c>
      <c r="AQ186" s="168">
        <v>6.9398283333333302</v>
      </c>
      <c r="AR186" s="168">
        <v>8.6091808333333297</v>
      </c>
      <c r="AS186" s="168">
        <v>10.540746666666699</v>
      </c>
      <c r="AT186" s="168">
        <v>7.5647491666666697</v>
      </c>
      <c r="AU186" s="168">
        <v>6.4596925000000001</v>
      </c>
      <c r="AV186" s="168">
        <v>6.3593283333333304</v>
      </c>
      <c r="AW186" s="168">
        <v>6.7715491666666701</v>
      </c>
      <c r="AX186" s="168">
        <v>7.0453650000000003</v>
      </c>
      <c r="AY186" s="168">
        <v>8.26122333333333</v>
      </c>
      <c r="AZ186" s="168">
        <v>8.4736741582488797</v>
      </c>
      <c r="BA186" s="168">
        <v>7.3212219611528804</v>
      </c>
      <c r="BB186" s="168">
        <v>7.2611321323273499</v>
      </c>
      <c r="BC186" s="168">
        <v>8.2099686265933105</v>
      </c>
      <c r="BD186" s="168">
        <v>9.6550560691352594</v>
      </c>
    </row>
    <row r="187" spans="1:56">
      <c r="A187" s="163" t="s">
        <v>474</v>
      </c>
      <c r="B187" s="163" t="s">
        <v>475</v>
      </c>
      <c r="C187" s="161">
        <v>5.1732100041732103</v>
      </c>
      <c r="D187" s="161">
        <v>5.1732100041732103</v>
      </c>
      <c r="E187" s="161">
        <v>5.1732100041732103</v>
      </c>
      <c r="F187" s="161">
        <v>5.1732100041732103</v>
      </c>
      <c r="G187" s="161">
        <v>5.1732100041732103</v>
      </c>
      <c r="H187" s="161">
        <v>5.1732100041732103</v>
      </c>
      <c r="I187" s="161">
        <v>5.1732100041732103</v>
      </c>
      <c r="J187" s="161">
        <v>5.1732100041732103</v>
      </c>
      <c r="K187" s="161">
        <v>5.1732100041732103</v>
      </c>
      <c r="L187" s="161">
        <v>5.1732100041732103</v>
      </c>
      <c r="M187" s="161">
        <v>5.1732100041732103</v>
      </c>
      <c r="N187" s="161">
        <v>5.1259052475026801</v>
      </c>
      <c r="O187" s="161">
        <v>4.7624166656666702</v>
      </c>
      <c r="P187" s="161">
        <v>4.3672499990000002</v>
      </c>
      <c r="Q187" s="161">
        <v>4.4394249989999999</v>
      </c>
      <c r="R187" s="161">
        <v>4.1521916656666704</v>
      </c>
      <c r="S187" s="161">
        <v>4.35589166566667</v>
      </c>
      <c r="T187" s="161">
        <v>4.48164166566667</v>
      </c>
      <c r="U187" s="161">
        <v>4.5184749990000004</v>
      </c>
      <c r="V187" s="161">
        <v>4.2870833323333297</v>
      </c>
      <c r="W187" s="161">
        <v>4.2295749989999996</v>
      </c>
      <c r="X187" s="161">
        <v>5.0634416656666703</v>
      </c>
      <c r="Y187" s="161">
        <v>6.2826083323333304</v>
      </c>
      <c r="Z187" s="161">
        <v>7.6671083323333296</v>
      </c>
      <c r="AA187" s="161">
        <v>8.27179999941667</v>
      </c>
      <c r="AB187" s="161">
        <v>8.6039249996666705</v>
      </c>
      <c r="AC187" s="161">
        <v>7.1235833333333298</v>
      </c>
      <c r="AD187" s="161">
        <v>6.3404416666666696</v>
      </c>
      <c r="AE187" s="161">
        <v>6.1271500000000003</v>
      </c>
      <c r="AF187" s="161">
        <v>6.4468758333333298</v>
      </c>
      <c r="AG187" s="161">
        <v>5.9187900000000004</v>
      </c>
      <c r="AH187" s="161">
        <v>6.0474666666666703</v>
      </c>
      <c r="AI187" s="161">
        <v>5.8238333333333303</v>
      </c>
      <c r="AJ187" s="161">
        <v>7.7834266666666698</v>
      </c>
      <c r="AK187" s="161">
        <v>7.7159700000000004</v>
      </c>
      <c r="AL187" s="168">
        <v>7.13326833333333</v>
      </c>
      <c r="AM187" s="168">
        <v>6.7059558333333298</v>
      </c>
      <c r="AN187" s="168">
        <v>7.6348941666666699</v>
      </c>
      <c r="AO187" s="168">
        <v>7.9498681666666702</v>
      </c>
      <c r="AP187" s="168">
        <v>8.2624283333333306</v>
      </c>
      <c r="AQ187" s="168">
        <v>9.1622441666666692</v>
      </c>
      <c r="AR187" s="168">
        <v>10.3291358333333</v>
      </c>
      <c r="AS187" s="168">
        <v>9.7371233333333294</v>
      </c>
      <c r="AT187" s="168">
        <v>8.08630416666667</v>
      </c>
      <c r="AU187" s="168">
        <v>7.3488866666666697</v>
      </c>
      <c r="AV187" s="168">
        <v>7.4730883333333296</v>
      </c>
      <c r="AW187" s="168">
        <v>7.3782491666666701</v>
      </c>
      <c r="AX187" s="168">
        <v>6.7587700000000002</v>
      </c>
      <c r="AY187" s="168">
        <v>6.5910991666666696</v>
      </c>
      <c r="AZ187" s="168">
        <v>7.6538191666666702</v>
      </c>
      <c r="BA187" s="168">
        <v>7.2075241666666701</v>
      </c>
      <c r="BB187" s="168">
        <v>6.4935433333333297</v>
      </c>
      <c r="BC187" s="168">
        <v>6.7750158333333301</v>
      </c>
      <c r="BD187" s="168">
        <v>6.51397166666667</v>
      </c>
    </row>
    <row r="188" spans="1:56">
      <c r="A188" s="163" t="s">
        <v>476</v>
      </c>
      <c r="B188" s="163" t="s">
        <v>477</v>
      </c>
      <c r="C188" s="161">
        <v>4.3729500033729503</v>
      </c>
      <c r="D188" s="161">
        <v>4.3729500033729503</v>
      </c>
      <c r="E188" s="161">
        <v>4.3729500033729503</v>
      </c>
      <c r="F188" s="161">
        <v>4.3729500033729503</v>
      </c>
      <c r="G188" s="161">
        <v>4.3729500033729503</v>
      </c>
      <c r="H188" s="161">
        <v>4.3729500033729503</v>
      </c>
      <c r="I188" s="161">
        <v>4.3729500033729503</v>
      </c>
      <c r="J188" s="161">
        <v>4.3729500033729503</v>
      </c>
      <c r="K188" s="161">
        <v>4.3729500033729503</v>
      </c>
      <c r="L188" s="161">
        <v>4.3729500033729503</v>
      </c>
      <c r="M188" s="161">
        <v>4.3729500033729503</v>
      </c>
      <c r="N188" s="161">
        <v>4.1338541683120198</v>
      </c>
      <c r="O188" s="161">
        <v>3.8192499990000002</v>
      </c>
      <c r="P188" s="161">
        <v>3.16483333241667</v>
      </c>
      <c r="Q188" s="161">
        <v>2.9792499989999999</v>
      </c>
      <c r="R188" s="161">
        <v>2.5812833324166702</v>
      </c>
      <c r="S188" s="161">
        <v>2.49964166575</v>
      </c>
      <c r="T188" s="161">
        <v>2.4035249993333299</v>
      </c>
      <c r="U188" s="161">
        <v>1.7880249992499999</v>
      </c>
      <c r="V188" s="161">
        <v>1.6627249990833299</v>
      </c>
      <c r="W188" s="161">
        <v>1.67570833258333</v>
      </c>
      <c r="X188" s="161">
        <v>1.9642416659166699</v>
      </c>
      <c r="Y188" s="161">
        <v>2.0302749990833302</v>
      </c>
      <c r="Z188" s="161">
        <v>2.0991416657499999</v>
      </c>
      <c r="AA188" s="161">
        <v>2.34968333283333</v>
      </c>
      <c r="AB188" s="161">
        <v>2.457125</v>
      </c>
      <c r="AC188" s="161">
        <v>1.7989166665</v>
      </c>
      <c r="AD188" s="161">
        <v>1.49119166666667</v>
      </c>
      <c r="AE188" s="161">
        <v>1.4633</v>
      </c>
      <c r="AF188" s="161">
        <v>1.6359250000000001</v>
      </c>
      <c r="AG188" s="161">
        <v>1.3891583333333299</v>
      </c>
      <c r="AH188" s="161">
        <v>1.4339916666666701</v>
      </c>
      <c r="AI188" s="161">
        <v>1.40621833333333</v>
      </c>
      <c r="AJ188" s="161">
        <v>1.4776166666666699</v>
      </c>
      <c r="AK188" s="161">
        <v>1.3676925</v>
      </c>
      <c r="AL188" s="168">
        <v>1.18246916666667</v>
      </c>
      <c r="AM188" s="168">
        <v>1.2360100000000001</v>
      </c>
      <c r="AN188" s="168">
        <v>1.4513125</v>
      </c>
      <c r="AO188" s="168">
        <v>1.44981330833333</v>
      </c>
      <c r="AP188" s="168">
        <v>1.5021549999999999</v>
      </c>
      <c r="AQ188" s="168">
        <v>1.6888425</v>
      </c>
      <c r="AR188" s="168">
        <v>1.6876150000000001</v>
      </c>
      <c r="AS188" s="168">
        <v>1.5586074999999999</v>
      </c>
      <c r="AT188" s="168">
        <v>1.34665083333333</v>
      </c>
      <c r="AU188" s="168">
        <v>1.2434958333333299</v>
      </c>
      <c r="AV188" s="168">
        <v>1.2451766666666699</v>
      </c>
      <c r="AW188" s="168">
        <v>1.2538433333333301</v>
      </c>
      <c r="AX188" s="168">
        <v>1.20036583333333</v>
      </c>
      <c r="AY188" s="168">
        <v>1.0830900000000001</v>
      </c>
      <c r="AZ188" s="168">
        <v>1.08814169630268</v>
      </c>
      <c r="BA188" s="168">
        <v>1.04290564573352</v>
      </c>
      <c r="BB188" s="168">
        <v>0.88804202822328104</v>
      </c>
      <c r="BC188" s="168">
        <v>0.93768448070934896</v>
      </c>
      <c r="BD188" s="168">
        <v>0.92690354775828498</v>
      </c>
    </row>
    <row r="189" spans="1:56">
      <c r="A189" s="163" t="s">
        <v>478</v>
      </c>
      <c r="B189" s="163" t="s">
        <v>479</v>
      </c>
      <c r="C189" s="161">
        <v>3.579999999</v>
      </c>
      <c r="D189" s="161">
        <v>3.579999999</v>
      </c>
      <c r="E189" s="161">
        <v>3.6899999989999999</v>
      </c>
      <c r="F189" s="161">
        <v>3.8199999990000002</v>
      </c>
      <c r="G189" s="161">
        <v>3.8199999990000002</v>
      </c>
      <c r="H189" s="161">
        <v>3.8199999990000002</v>
      </c>
      <c r="I189" s="161">
        <v>3.8199999990000002</v>
      </c>
      <c r="J189" s="161">
        <v>3.8199999990000002</v>
      </c>
      <c r="K189" s="161">
        <v>3.8199999990000002</v>
      </c>
      <c r="L189" s="161">
        <v>3.8199999990000002</v>
      </c>
      <c r="M189" s="161">
        <v>3.8199999990000002</v>
      </c>
      <c r="N189" s="161">
        <v>3.8199999990000002</v>
      </c>
      <c r="O189" s="161">
        <v>3.8199999990000002</v>
      </c>
      <c r="P189" s="161">
        <v>3.8232499990000002</v>
      </c>
      <c r="Q189" s="161">
        <v>3.7329166656666701</v>
      </c>
      <c r="R189" s="161">
        <v>3.6999999990000001</v>
      </c>
      <c r="S189" s="161">
        <v>3.8526666656666699</v>
      </c>
      <c r="T189" s="161">
        <v>3.9249999990000002</v>
      </c>
      <c r="U189" s="161">
        <v>3.9249999990000002</v>
      </c>
      <c r="V189" s="161">
        <v>3.9249999990000002</v>
      </c>
      <c r="W189" s="161">
        <v>3.9249999990000002</v>
      </c>
      <c r="X189" s="161">
        <v>3.9249999990000002</v>
      </c>
      <c r="Y189" s="161">
        <v>3.9249999990000002</v>
      </c>
      <c r="Z189" s="161">
        <v>3.9249999990000002</v>
      </c>
      <c r="AA189" s="161">
        <v>3.92499999958333</v>
      </c>
      <c r="AB189" s="161">
        <v>3.9249999999999998</v>
      </c>
      <c r="AC189" s="161">
        <v>3.9249999999999998</v>
      </c>
      <c r="AD189" s="161">
        <v>3.9249999999999998</v>
      </c>
      <c r="AE189" s="161">
        <v>11.225</v>
      </c>
      <c r="AF189" s="161">
        <v>11.225</v>
      </c>
      <c r="AG189" s="161">
        <v>11.225</v>
      </c>
      <c r="AH189" s="161">
        <v>11.225</v>
      </c>
      <c r="AI189" s="161">
        <v>11.225</v>
      </c>
      <c r="AJ189" s="161">
        <v>11.225</v>
      </c>
      <c r="AK189" s="161">
        <v>11.225</v>
      </c>
      <c r="AL189" s="168">
        <v>11.225</v>
      </c>
      <c r="AM189" s="168">
        <v>11.225</v>
      </c>
      <c r="AN189" s="168">
        <v>11.225</v>
      </c>
      <c r="AO189" s="168">
        <v>11.225</v>
      </c>
      <c r="AP189" s="168">
        <v>11.225</v>
      </c>
      <c r="AQ189" s="168">
        <v>11.225</v>
      </c>
      <c r="AR189" s="168">
        <v>11.225</v>
      </c>
      <c r="AS189" s="168">
        <v>11.225</v>
      </c>
      <c r="AT189" s="168">
        <v>11.225</v>
      </c>
      <c r="AU189" s="168">
        <v>11.225</v>
      </c>
      <c r="AV189" s="168">
        <v>11.225</v>
      </c>
      <c r="AW189" s="168">
        <v>11.225</v>
      </c>
      <c r="AX189" s="168">
        <v>11.225</v>
      </c>
      <c r="AY189" s="168">
        <v>11.225</v>
      </c>
      <c r="AZ189" s="168">
        <v>11.225</v>
      </c>
      <c r="BA189" s="168">
        <v>11.225</v>
      </c>
      <c r="BB189" s="168">
        <v>11.225</v>
      </c>
      <c r="BC189" s="168">
        <v>11.225</v>
      </c>
      <c r="BD189" s="168">
        <v>11.225</v>
      </c>
    </row>
    <row r="190" spans="1:56">
      <c r="A190" s="163" t="s">
        <v>480</v>
      </c>
      <c r="B190" s="163" t="s">
        <v>481</v>
      </c>
      <c r="C190" s="161" t="s">
        <v>125</v>
      </c>
      <c r="D190" s="161" t="s">
        <v>125</v>
      </c>
      <c r="E190" s="161" t="s">
        <v>125</v>
      </c>
      <c r="F190" s="161" t="s">
        <v>125</v>
      </c>
      <c r="G190" s="161" t="s">
        <v>125</v>
      </c>
      <c r="H190" s="161" t="s">
        <v>125</v>
      </c>
      <c r="I190" s="161" t="s">
        <v>125</v>
      </c>
      <c r="J190" s="161" t="s">
        <v>125</v>
      </c>
      <c r="K190" s="161" t="s">
        <v>125</v>
      </c>
      <c r="L190" s="161" t="s">
        <v>125</v>
      </c>
      <c r="M190" s="161" t="s">
        <v>125</v>
      </c>
      <c r="N190" s="161" t="s">
        <v>125</v>
      </c>
      <c r="O190" s="161" t="s">
        <v>125</v>
      </c>
      <c r="P190" s="161" t="s">
        <v>125</v>
      </c>
      <c r="Q190" s="161" t="s">
        <v>125</v>
      </c>
      <c r="R190" s="161" t="s">
        <v>125</v>
      </c>
      <c r="S190" s="161" t="s">
        <v>125</v>
      </c>
      <c r="T190" s="161" t="s">
        <v>125</v>
      </c>
      <c r="U190" s="161" t="s">
        <v>125</v>
      </c>
      <c r="V190" s="161" t="s">
        <v>125</v>
      </c>
      <c r="W190" s="161" t="s">
        <v>125</v>
      </c>
      <c r="X190" s="161" t="s">
        <v>125</v>
      </c>
      <c r="Y190" s="161" t="s">
        <v>125</v>
      </c>
      <c r="Z190" s="161" t="s">
        <v>125</v>
      </c>
      <c r="AA190" s="161" t="s">
        <v>125</v>
      </c>
      <c r="AB190" s="161" t="s">
        <v>125</v>
      </c>
      <c r="AC190" s="161" t="s">
        <v>125</v>
      </c>
      <c r="AD190" s="161" t="s">
        <v>125</v>
      </c>
      <c r="AE190" s="161" t="s">
        <v>125</v>
      </c>
      <c r="AF190" s="161" t="s">
        <v>125</v>
      </c>
      <c r="AG190" s="161" t="s">
        <v>125</v>
      </c>
      <c r="AH190" s="161" t="s">
        <v>125</v>
      </c>
      <c r="AI190" s="161">
        <v>2.4685179666666698E-3</v>
      </c>
      <c r="AJ190" s="161">
        <v>1.0357405E-2</v>
      </c>
      <c r="AK190" s="161">
        <v>2.44943481666667E-2</v>
      </c>
      <c r="AL190" s="168">
        <v>0.122858703333333</v>
      </c>
      <c r="AM190" s="168">
        <v>0.29549999999999998</v>
      </c>
      <c r="AN190" s="168">
        <v>0.56233333333333302</v>
      </c>
      <c r="AO190" s="168">
        <v>0.77662500000000001</v>
      </c>
      <c r="AP190" s="168">
        <v>1.23779166666667</v>
      </c>
      <c r="AQ190" s="168">
        <v>2.0762499999999999</v>
      </c>
      <c r="AR190" s="168">
        <v>2.3721916666666698</v>
      </c>
      <c r="AS190" s="168">
        <v>2.76413333333333</v>
      </c>
      <c r="AT190" s="168">
        <v>3.0613666666666699</v>
      </c>
      <c r="AU190" s="168">
        <v>2.97050833333333</v>
      </c>
      <c r="AV190" s="168">
        <v>3.11656666666667</v>
      </c>
      <c r="AW190" s="168">
        <v>3.2984083333333301</v>
      </c>
      <c r="AX190" s="168">
        <v>3.44248333333333</v>
      </c>
      <c r="AY190" s="168">
        <v>3.4307249999999998</v>
      </c>
      <c r="AZ190" s="168">
        <v>4.1427083333333297</v>
      </c>
      <c r="BA190" s="168">
        <v>4.3789666666666696</v>
      </c>
      <c r="BB190" s="168">
        <v>4.61018333333333</v>
      </c>
      <c r="BC190" s="168">
        <v>4.7377083333333303</v>
      </c>
      <c r="BD190" s="168">
        <v>4.7642333333333298</v>
      </c>
    </row>
    <row r="191" spans="1:56">
      <c r="A191" s="163" t="s">
        <v>482</v>
      </c>
      <c r="B191" s="163" t="s">
        <v>483</v>
      </c>
      <c r="C191" s="161">
        <v>7.1428600061428602</v>
      </c>
      <c r="D191" s="161">
        <v>7.1428600061428602</v>
      </c>
      <c r="E191" s="161">
        <v>7.1428600061428602</v>
      </c>
      <c r="F191" s="161">
        <v>7.1428600061428602</v>
      </c>
      <c r="G191" s="161">
        <v>7.1428600061428602</v>
      </c>
      <c r="H191" s="161">
        <v>7.1428600061428602</v>
      </c>
      <c r="I191" s="161">
        <v>7.1428600061428602</v>
      </c>
      <c r="J191" s="161">
        <v>7.1428600061428602</v>
      </c>
      <c r="K191" s="161">
        <v>7.1428600061428602</v>
      </c>
      <c r="L191" s="161">
        <v>7.1428600061428602</v>
      </c>
      <c r="M191" s="161">
        <v>7.1428600061428602</v>
      </c>
      <c r="N191" s="161">
        <v>7.1428599989999997</v>
      </c>
      <c r="O191" s="161">
        <v>7.1428999989999999</v>
      </c>
      <c r="P191" s="161">
        <v>7.0203836880377004</v>
      </c>
      <c r="Q191" s="161">
        <v>7.13484110073603</v>
      </c>
      <c r="R191" s="161">
        <v>7.3667916656666703</v>
      </c>
      <c r="S191" s="161">
        <v>8.3767749994166696</v>
      </c>
      <c r="T191" s="161">
        <v>8.2892083324999994</v>
      </c>
      <c r="U191" s="161">
        <v>7.7120499990000004</v>
      </c>
      <c r="V191" s="161">
        <v>8.2166249990000004</v>
      </c>
      <c r="W191" s="161">
        <v>8.1965916658333295</v>
      </c>
      <c r="X191" s="161">
        <v>8.2835083325833292</v>
      </c>
      <c r="Y191" s="161">
        <v>9.2825916658333298</v>
      </c>
      <c r="Z191" s="161">
        <v>11.1427833323333</v>
      </c>
      <c r="AA191" s="161">
        <v>15.292249999499999</v>
      </c>
      <c r="AB191" s="161">
        <v>17.472333333083299</v>
      </c>
      <c r="AC191" s="161">
        <v>32.698016666416699</v>
      </c>
      <c r="AD191" s="161">
        <v>64.260350000000003</v>
      </c>
      <c r="AE191" s="161">
        <v>99.292108333333303</v>
      </c>
      <c r="AF191" s="161">
        <v>143.376916666667</v>
      </c>
      <c r="AG191" s="161">
        <v>195.055916666667</v>
      </c>
      <c r="AH191" s="161">
        <v>219.15741666666699</v>
      </c>
      <c r="AI191" s="161">
        <v>297.70808333333298</v>
      </c>
      <c r="AJ191" s="161">
        <v>405.27401666666702</v>
      </c>
      <c r="AK191" s="161">
        <v>509.630875</v>
      </c>
      <c r="AL191" s="168">
        <v>574.76174166666704</v>
      </c>
      <c r="AM191" s="168">
        <v>579.97666666666703</v>
      </c>
      <c r="AN191" s="168">
        <v>612.12249999999995</v>
      </c>
      <c r="AO191" s="168">
        <v>664.67120833333297</v>
      </c>
      <c r="AP191" s="168">
        <v>744.75907500000005</v>
      </c>
      <c r="AQ191" s="168">
        <v>800.40851666666697</v>
      </c>
      <c r="AR191" s="168">
        <v>876.41166666666697</v>
      </c>
      <c r="AS191" s="168">
        <v>966.58278425925903</v>
      </c>
      <c r="AT191" s="168">
        <v>1038.4190065960399</v>
      </c>
      <c r="AU191" s="168">
        <v>1089.33477148982</v>
      </c>
      <c r="AV191" s="168">
        <v>1128.9341791619199</v>
      </c>
      <c r="AW191" s="168">
        <v>1251.89997292515</v>
      </c>
      <c r="AX191" s="168">
        <v>1245.0354640478299</v>
      </c>
      <c r="AY191" s="168">
        <v>1196.3107092104599</v>
      </c>
      <c r="AZ191" s="168">
        <v>1320.3120607404101</v>
      </c>
      <c r="BA191" s="168">
        <v>1409.2722105612399</v>
      </c>
      <c r="BB191" s="168">
        <v>1572.1162253145999</v>
      </c>
      <c r="BC191" s="168">
        <v>1583.00278737484</v>
      </c>
      <c r="BD191" s="168">
        <v>1600.44431740292</v>
      </c>
    </row>
    <row r="192" spans="1:56">
      <c r="A192" s="163" t="s">
        <v>484</v>
      </c>
      <c r="B192" s="163" t="s">
        <v>485</v>
      </c>
      <c r="C192" s="161">
        <v>21.181773533674701</v>
      </c>
      <c r="D192" s="161">
        <v>21.058439578086801</v>
      </c>
      <c r="E192" s="161">
        <v>20.880105345007198</v>
      </c>
      <c r="F192" s="161">
        <v>20.830078862346198</v>
      </c>
      <c r="G192" s="161">
        <v>20.800000019799999</v>
      </c>
      <c r="H192" s="161">
        <v>20.800000019799999</v>
      </c>
      <c r="I192" s="161">
        <v>20.800000019799999</v>
      </c>
      <c r="J192" s="161">
        <v>20.800000019799999</v>
      </c>
      <c r="K192" s="161">
        <v>20.800000019799999</v>
      </c>
      <c r="L192" s="161">
        <v>20.800000019799999</v>
      </c>
      <c r="M192" s="161">
        <v>20.800000019799999</v>
      </c>
      <c r="N192" s="161">
        <v>20.799999999000001</v>
      </c>
      <c r="O192" s="161">
        <v>20.800029492037499</v>
      </c>
      <c r="P192" s="161">
        <v>20.491587976649001</v>
      </c>
      <c r="Q192" s="161">
        <v>20.375102798127202</v>
      </c>
      <c r="R192" s="161">
        <v>20.379269485649299</v>
      </c>
      <c r="S192" s="161">
        <v>20.400102923259801</v>
      </c>
      <c r="T192" s="161">
        <v>20.400102923259801</v>
      </c>
      <c r="U192" s="161">
        <v>20.336102600360199</v>
      </c>
      <c r="V192" s="161">
        <v>20.418936351696502</v>
      </c>
      <c r="W192" s="161">
        <v>20.476353308047798</v>
      </c>
      <c r="X192" s="161">
        <v>21.820443423110699</v>
      </c>
      <c r="Y192" s="161">
        <v>23.000116042057702</v>
      </c>
      <c r="Z192" s="161">
        <v>23.000116042057702</v>
      </c>
      <c r="AA192" s="161">
        <v>23.639369267103401</v>
      </c>
      <c r="AB192" s="161">
        <v>27.158887023977499</v>
      </c>
      <c r="AC192" s="161">
        <v>26.2988826852636</v>
      </c>
      <c r="AD192" s="161">
        <v>25.722796445413099</v>
      </c>
      <c r="AE192" s="161">
        <v>25.293877614730299</v>
      </c>
      <c r="AF192" s="161">
        <v>25.702046340723001</v>
      </c>
      <c r="AG192" s="161">
        <v>25.585462419191</v>
      </c>
      <c r="AH192" s="161">
        <v>25.5167954060799</v>
      </c>
      <c r="AI192" s="161">
        <v>25.400128150794099</v>
      </c>
      <c r="AJ192" s="161">
        <v>25.319611077896202</v>
      </c>
      <c r="AK192" s="161">
        <v>25.1499518885845</v>
      </c>
      <c r="AL192" s="168">
        <v>24.915175704072599</v>
      </c>
      <c r="AM192" s="168">
        <v>25.342682860966502</v>
      </c>
      <c r="AN192" s="168">
        <v>31.364334454295399</v>
      </c>
      <c r="AO192" s="168">
        <v>41.359387499999997</v>
      </c>
      <c r="AP192" s="168">
        <v>37.8136558333333</v>
      </c>
      <c r="AQ192" s="168">
        <v>40.111803333333299</v>
      </c>
      <c r="AR192" s="168">
        <v>44.431899999999999</v>
      </c>
      <c r="AS192" s="168">
        <v>42.960083333333301</v>
      </c>
      <c r="AT192" s="168">
        <v>41.484616666666703</v>
      </c>
      <c r="AU192" s="168">
        <v>40.2224149175021</v>
      </c>
      <c r="AV192" s="168">
        <v>40.220130208333302</v>
      </c>
      <c r="AW192" s="168">
        <v>37.881983221536302</v>
      </c>
      <c r="AX192" s="168">
        <v>34.518180591701302</v>
      </c>
      <c r="AY192" s="168">
        <v>33.313300641233802</v>
      </c>
      <c r="AZ192" s="168">
        <v>34.285774123424098</v>
      </c>
      <c r="BA192" s="168">
        <v>31.685704999999999</v>
      </c>
      <c r="BB192" s="168">
        <v>30.4917333333333</v>
      </c>
      <c r="BC192" s="168">
        <v>31.0830916666667</v>
      </c>
      <c r="BD192" s="168">
        <v>30.7259666666667</v>
      </c>
    </row>
    <row r="193" spans="1:56">
      <c r="A193" s="163" t="s">
        <v>486</v>
      </c>
      <c r="B193" s="163" t="s">
        <v>570</v>
      </c>
      <c r="C193" s="161">
        <v>1</v>
      </c>
      <c r="D193" s="161">
        <v>1</v>
      </c>
      <c r="E193" s="161">
        <v>1</v>
      </c>
      <c r="F193" s="161">
        <v>1</v>
      </c>
      <c r="G193" s="161">
        <v>1</v>
      </c>
      <c r="H193" s="161">
        <v>1</v>
      </c>
      <c r="I193" s="161">
        <v>1</v>
      </c>
      <c r="J193" s="161">
        <v>1</v>
      </c>
      <c r="K193" s="161">
        <v>1</v>
      </c>
      <c r="L193" s="161">
        <v>1</v>
      </c>
      <c r="M193" s="161">
        <v>1</v>
      </c>
      <c r="N193" s="161">
        <v>1</v>
      </c>
      <c r="O193" s="161">
        <v>1</v>
      </c>
      <c r="P193" s="161">
        <v>1</v>
      </c>
      <c r="Q193" s="161">
        <v>1</v>
      </c>
      <c r="R193" s="161">
        <v>1</v>
      </c>
      <c r="S193" s="161">
        <v>1</v>
      </c>
      <c r="T193" s="161">
        <v>1</v>
      </c>
      <c r="U193" s="161">
        <v>1</v>
      </c>
      <c r="V193" s="161">
        <v>1</v>
      </c>
      <c r="W193" s="161">
        <v>1</v>
      </c>
      <c r="X193" s="161">
        <v>1</v>
      </c>
      <c r="Y193" s="161">
        <v>1</v>
      </c>
      <c r="Z193" s="161">
        <v>1</v>
      </c>
      <c r="AA193" s="161">
        <v>1</v>
      </c>
      <c r="AB193" s="161">
        <v>1</v>
      </c>
      <c r="AC193" s="161">
        <v>1</v>
      </c>
      <c r="AD193" s="161">
        <v>1</v>
      </c>
      <c r="AE193" s="161">
        <v>1</v>
      </c>
      <c r="AF193" s="161">
        <v>1</v>
      </c>
      <c r="AG193" s="161">
        <v>1</v>
      </c>
      <c r="AH193" s="161">
        <v>1</v>
      </c>
      <c r="AI193" s="161">
        <v>1</v>
      </c>
      <c r="AJ193" s="161">
        <v>1</v>
      </c>
      <c r="AK193" s="161">
        <v>1</v>
      </c>
      <c r="AL193" s="168">
        <v>1</v>
      </c>
      <c r="AM193" s="168">
        <v>1</v>
      </c>
      <c r="AN193" s="168">
        <v>1</v>
      </c>
      <c r="AO193" s="168">
        <v>1</v>
      </c>
      <c r="AP193" s="168">
        <v>1</v>
      </c>
      <c r="AQ193" s="168">
        <v>1</v>
      </c>
      <c r="AR193" s="168">
        <v>1</v>
      </c>
      <c r="AS193" s="168">
        <v>1</v>
      </c>
      <c r="AT193" s="168">
        <v>1</v>
      </c>
      <c r="AU193" s="168">
        <v>1</v>
      </c>
      <c r="AV193" s="168">
        <v>1</v>
      </c>
      <c r="AW193" s="168">
        <v>1</v>
      </c>
      <c r="AX193" s="168">
        <v>1</v>
      </c>
      <c r="AY193" s="168">
        <v>1</v>
      </c>
      <c r="AZ193" s="168">
        <v>1</v>
      </c>
      <c r="BA193" s="168">
        <v>1</v>
      </c>
      <c r="BB193" s="168">
        <v>1</v>
      </c>
      <c r="BC193" s="168">
        <v>1</v>
      </c>
      <c r="BD193" s="168">
        <v>1</v>
      </c>
    </row>
    <row r="194" spans="1:56">
      <c r="A194" s="163" t="s">
        <v>488</v>
      </c>
      <c r="B194" s="163" t="s">
        <v>489</v>
      </c>
      <c r="C194" s="161">
        <v>245.19510139835899</v>
      </c>
      <c r="D194" s="161">
        <v>245.26010162116</v>
      </c>
      <c r="E194" s="161">
        <v>245.013850686544</v>
      </c>
      <c r="F194" s="161">
        <v>245.01635069607499</v>
      </c>
      <c r="G194" s="161">
        <v>245.027184079042</v>
      </c>
      <c r="H194" s="161">
        <v>245.06093420770799</v>
      </c>
      <c r="I194" s="161">
        <v>245.67843655764401</v>
      </c>
      <c r="J194" s="161">
        <v>246.00093779128099</v>
      </c>
      <c r="K194" s="161">
        <v>247.56469375695099</v>
      </c>
      <c r="L194" s="161">
        <v>259.960574351236</v>
      </c>
      <c r="M194" s="161">
        <v>276.403137026845</v>
      </c>
      <c r="N194" s="161">
        <v>275.35645668533198</v>
      </c>
      <c r="O194" s="161">
        <v>252.02762746264901</v>
      </c>
      <c r="P194" s="161">
        <v>222.88918305322699</v>
      </c>
      <c r="Q194" s="161">
        <v>240.70466763782301</v>
      </c>
      <c r="R194" s="161">
        <v>214.31290034121901</v>
      </c>
      <c r="S194" s="161">
        <v>238.95049426705901</v>
      </c>
      <c r="T194" s="161">
        <v>245.67968656657601</v>
      </c>
      <c r="U194" s="161">
        <v>225.65586023395699</v>
      </c>
      <c r="V194" s="161">
        <v>212.721644262377</v>
      </c>
      <c r="W194" s="161">
        <v>211.27955541470499</v>
      </c>
      <c r="X194" s="161">
        <v>271.73145255032699</v>
      </c>
      <c r="Y194" s="161">
        <v>328.60625269898998</v>
      </c>
      <c r="Z194" s="161">
        <v>381.06603602462798</v>
      </c>
      <c r="AA194" s="161">
        <v>436.95666578800802</v>
      </c>
      <c r="AB194" s="161">
        <v>449.26296271160697</v>
      </c>
      <c r="AC194" s="161">
        <v>346.305903554493</v>
      </c>
      <c r="AD194" s="161">
        <v>300.53656240147802</v>
      </c>
      <c r="AE194" s="161">
        <v>297.84821881937802</v>
      </c>
      <c r="AF194" s="161">
        <v>319.008299487903</v>
      </c>
      <c r="AG194" s="161">
        <v>272.264787954393</v>
      </c>
      <c r="AH194" s="161">
        <v>282.10690880881998</v>
      </c>
      <c r="AI194" s="161">
        <v>264.69180075057898</v>
      </c>
      <c r="AJ194" s="161">
        <v>283.16257950001801</v>
      </c>
      <c r="AK194" s="161">
        <v>555.20469565569704</v>
      </c>
      <c r="AL194" s="168">
        <v>499.14842590131002</v>
      </c>
      <c r="AM194" s="168">
        <v>511.55243027251601</v>
      </c>
      <c r="AN194" s="168">
        <v>583.66937235339606</v>
      </c>
      <c r="AO194" s="168">
        <v>589.951774567332</v>
      </c>
      <c r="AP194" s="168">
        <v>615.69913197380595</v>
      </c>
      <c r="AQ194" s="168">
        <v>711.97627443083297</v>
      </c>
      <c r="AR194" s="168">
        <v>733.03850707000004</v>
      </c>
      <c r="AS194" s="168">
        <v>696.98820361166702</v>
      </c>
      <c r="AT194" s="168">
        <v>581.20031386416701</v>
      </c>
      <c r="AU194" s="168">
        <v>528.28480930499995</v>
      </c>
      <c r="AV194" s="168">
        <v>527.46814284000004</v>
      </c>
      <c r="AW194" s="168">
        <v>522.89010961083295</v>
      </c>
      <c r="AX194" s="168">
        <v>479.26678258750002</v>
      </c>
      <c r="AY194" s="168">
        <v>447.80525556077299</v>
      </c>
      <c r="AZ194" s="168">
        <v>472.18629075489298</v>
      </c>
      <c r="BA194" s="168">
        <v>495.277021572396</v>
      </c>
      <c r="BB194" s="168">
        <v>471.86611409170001</v>
      </c>
      <c r="BC194" s="168">
        <v>510.52713590196998</v>
      </c>
      <c r="BD194" s="168">
        <v>494.04003744699003</v>
      </c>
    </row>
    <row r="195" spans="1:56">
      <c r="A195" s="163" t="s">
        <v>490</v>
      </c>
      <c r="B195" s="163" t="s">
        <v>491</v>
      </c>
      <c r="C195" s="161">
        <v>0.89285699989285705</v>
      </c>
      <c r="D195" s="161">
        <v>0.89285699989285705</v>
      </c>
      <c r="E195" s="161">
        <v>0.89285699989285705</v>
      </c>
      <c r="F195" s="161">
        <v>0.89285699989285705</v>
      </c>
      <c r="G195" s="161">
        <v>0.89285699989285705</v>
      </c>
      <c r="H195" s="161">
        <v>0.89285699989285705</v>
      </c>
      <c r="I195" s="161">
        <v>0.89285699989285705</v>
      </c>
      <c r="J195" s="161">
        <v>0.89285699989285705</v>
      </c>
      <c r="K195" s="161">
        <v>0.89285699989285705</v>
      </c>
      <c r="L195" s="161">
        <v>0.89285699989285705</v>
      </c>
      <c r="M195" s="161">
        <v>0.89285699989285705</v>
      </c>
      <c r="N195" s="161">
        <v>0.88060784236696699</v>
      </c>
      <c r="O195" s="161">
        <v>0.81920056904624705</v>
      </c>
      <c r="P195" s="161">
        <v>0.70411390796665796</v>
      </c>
      <c r="Q195" s="161">
        <v>0.69584522149195405</v>
      </c>
      <c r="R195" s="161">
        <v>0.763901879621256</v>
      </c>
      <c r="S195" s="161">
        <v>0.81831689486533898</v>
      </c>
      <c r="T195" s="161">
        <v>0.90186116145541395</v>
      </c>
      <c r="U195" s="161">
        <v>0.87369428203154598</v>
      </c>
      <c r="V195" s="161">
        <v>0.89467679004612999</v>
      </c>
      <c r="W195" s="161">
        <v>0.87827954922302398</v>
      </c>
      <c r="X195" s="161">
        <v>0.87024947723652302</v>
      </c>
      <c r="Y195" s="161">
        <v>0.98590236463811198</v>
      </c>
      <c r="Z195" s="161">
        <v>1.11005950987325</v>
      </c>
      <c r="AA195" s="161">
        <v>1.13956485971655</v>
      </c>
      <c r="AB195" s="161">
        <v>1.4319524173350899</v>
      </c>
      <c r="AC195" s="161">
        <v>1.49603415377469</v>
      </c>
      <c r="AD195" s="161">
        <v>1.4282372688666101</v>
      </c>
      <c r="AE195" s="161">
        <v>1.27498844541721</v>
      </c>
      <c r="AF195" s="161">
        <v>1.26123285511588</v>
      </c>
      <c r="AG195" s="161">
        <v>1.28003686506171</v>
      </c>
      <c r="AH195" s="161">
        <v>1.2961145894858599</v>
      </c>
      <c r="AI195" s="161">
        <v>1.34717068495896</v>
      </c>
      <c r="AJ195" s="161">
        <v>1.3840888319542</v>
      </c>
      <c r="AK195" s="161">
        <v>1.32021960428569</v>
      </c>
      <c r="AL195" s="168">
        <v>1.2709426283979099</v>
      </c>
      <c r="AM195" s="168">
        <v>1.2319743991993299</v>
      </c>
      <c r="AN195" s="168">
        <v>1.26351842815085</v>
      </c>
      <c r="AO195" s="168">
        <v>1.4920553704766999</v>
      </c>
      <c r="AP195" s="168">
        <v>1.5991323724217399</v>
      </c>
      <c r="AQ195" s="168">
        <v>1.75850260417167</v>
      </c>
      <c r="AR195" s="168">
        <v>2.1235741689248901</v>
      </c>
      <c r="AS195" s="168">
        <v>2.1951873352873799</v>
      </c>
      <c r="AT195" s="168">
        <v>2.1458922520015999</v>
      </c>
      <c r="AU195" s="168">
        <v>1.9715627931326101</v>
      </c>
      <c r="AV195" s="168">
        <v>1.9430362169364801</v>
      </c>
      <c r="AW195" s="168">
        <v>2.0258807949091402</v>
      </c>
      <c r="AX195" s="168">
        <v>1.97093365696189</v>
      </c>
      <c r="AY195" s="168">
        <v>1.9424442568685301</v>
      </c>
      <c r="AZ195" s="168">
        <v>2.0344936132287899</v>
      </c>
      <c r="BA195" s="168">
        <v>1.9059878423835299</v>
      </c>
      <c r="BB195" s="168">
        <v>1.7289507097783201</v>
      </c>
      <c r="BC195" s="168">
        <v>1.7195070158616499</v>
      </c>
      <c r="BD195" s="168">
        <v>1.77371311869907</v>
      </c>
    </row>
    <row r="196" spans="1:56">
      <c r="A196" s="163" t="s">
        <v>492</v>
      </c>
      <c r="B196" s="163" t="s">
        <v>493</v>
      </c>
      <c r="C196" s="161">
        <v>1.7142900007142901</v>
      </c>
      <c r="D196" s="161">
        <v>1.7142900007142901</v>
      </c>
      <c r="E196" s="161">
        <v>1.7142900007142901</v>
      </c>
      <c r="F196" s="161">
        <v>1.7142900007142901</v>
      </c>
      <c r="G196" s="161">
        <v>1.7142900007142901</v>
      </c>
      <c r="H196" s="161">
        <v>1.7142900007142901</v>
      </c>
      <c r="I196" s="161">
        <v>1.7142900007142901</v>
      </c>
      <c r="J196" s="161">
        <v>1.7380991672619099</v>
      </c>
      <c r="K196" s="161">
        <v>2.0000000010000001</v>
      </c>
      <c r="L196" s="161">
        <v>2.0000000010000001</v>
      </c>
      <c r="M196" s="161">
        <v>2.0000000010000001</v>
      </c>
      <c r="N196" s="161">
        <v>1.97487615254815</v>
      </c>
      <c r="O196" s="161">
        <v>1.92128071035726</v>
      </c>
      <c r="P196" s="161">
        <v>1.95922053743668</v>
      </c>
      <c r="Q196" s="161">
        <v>2.0532309107887801</v>
      </c>
      <c r="R196" s="161">
        <v>2.1697975951999999</v>
      </c>
      <c r="S196" s="161">
        <v>2.4357864317</v>
      </c>
      <c r="T196" s="161">
        <v>2.3999999989999998</v>
      </c>
      <c r="U196" s="161">
        <v>2.3999999989999998</v>
      </c>
      <c r="V196" s="161">
        <v>2.3999999989999998</v>
      </c>
      <c r="W196" s="161">
        <v>2.3999999989999998</v>
      </c>
      <c r="X196" s="161">
        <v>2.3999999989999998</v>
      </c>
      <c r="Y196" s="161">
        <v>2.3999999989999998</v>
      </c>
      <c r="Z196" s="161">
        <v>2.3999999989999998</v>
      </c>
      <c r="AA196" s="161">
        <v>2.3999999995833301</v>
      </c>
      <c r="AB196" s="161">
        <v>2.4500000000000002</v>
      </c>
      <c r="AC196" s="161">
        <v>3.6</v>
      </c>
      <c r="AD196" s="161">
        <v>3.6</v>
      </c>
      <c r="AE196" s="161">
        <v>3.84375</v>
      </c>
      <c r="AF196" s="161">
        <v>4.25</v>
      </c>
      <c r="AG196" s="161">
        <v>4.25</v>
      </c>
      <c r="AH196" s="161">
        <v>4.25</v>
      </c>
      <c r="AI196" s="161">
        <v>4.25</v>
      </c>
      <c r="AJ196" s="161">
        <v>5.3510966666666704</v>
      </c>
      <c r="AK196" s="161">
        <v>5.9249291666666704</v>
      </c>
      <c r="AL196" s="168">
        <v>5.9477958333333296</v>
      </c>
      <c r="AM196" s="168">
        <v>6.0050658333333304</v>
      </c>
      <c r="AN196" s="168">
        <v>6.2516783333333299</v>
      </c>
      <c r="AO196" s="168">
        <v>6.2983074999999999</v>
      </c>
      <c r="AP196" s="168">
        <v>6.2988999999999997</v>
      </c>
      <c r="AQ196" s="168">
        <v>6.29979666666667</v>
      </c>
      <c r="AR196" s="168">
        <v>6.23321666666667</v>
      </c>
      <c r="AS196" s="168">
        <v>6.2486833333333296</v>
      </c>
      <c r="AT196" s="168">
        <v>6.2950999999999997</v>
      </c>
      <c r="AU196" s="168">
        <v>6.2989916666666703</v>
      </c>
      <c r="AV196" s="168">
        <v>6.29955833333333</v>
      </c>
      <c r="AW196" s="168">
        <v>6.3122833333333297</v>
      </c>
      <c r="AX196" s="168">
        <v>6.3280333333333303</v>
      </c>
      <c r="AY196" s="168">
        <v>6.2894333333333297</v>
      </c>
      <c r="AZ196" s="168">
        <v>6.3249083333333296</v>
      </c>
      <c r="BA196" s="168">
        <v>6.3755083333333298</v>
      </c>
      <c r="BB196" s="168">
        <v>6.40930070568578</v>
      </c>
      <c r="BC196" s="168">
        <v>6.4296026559454198</v>
      </c>
      <c r="BD196" s="168">
        <v>6.4426293976465896</v>
      </c>
    </row>
    <row r="197" spans="1:56">
      <c r="A197" s="163" t="s">
        <v>494</v>
      </c>
      <c r="B197" s="163" t="s">
        <v>495</v>
      </c>
      <c r="C197" s="161">
        <v>0.41999999941999999</v>
      </c>
      <c r="D197" s="161">
        <v>0.41999999941999999</v>
      </c>
      <c r="E197" s="161">
        <v>0.41999999941999999</v>
      </c>
      <c r="F197" s="161">
        <v>0.41999999941999999</v>
      </c>
      <c r="G197" s="161">
        <v>0.44624999934124998</v>
      </c>
      <c r="H197" s="161">
        <v>0.52499999952499998</v>
      </c>
      <c r="I197" s="161">
        <v>0.52499999952499998</v>
      </c>
      <c r="J197" s="161">
        <v>0.52499999952499998</v>
      </c>
      <c r="K197" s="161">
        <v>0.52499999952499998</v>
      </c>
      <c r="L197" s="161">
        <v>0.52499999952499998</v>
      </c>
      <c r="M197" s="161">
        <v>0.52499999952499998</v>
      </c>
      <c r="N197" s="161">
        <v>0.52291666623124999</v>
      </c>
      <c r="O197" s="161">
        <v>0.477083333</v>
      </c>
      <c r="P197" s="161">
        <v>0.42159583283333302</v>
      </c>
      <c r="Q197" s="161">
        <v>0.43650833233333303</v>
      </c>
      <c r="R197" s="161">
        <v>0.40226666566666702</v>
      </c>
      <c r="S197" s="161">
        <v>0.42877499899999999</v>
      </c>
      <c r="T197" s="161">
        <v>0.42894999900000003</v>
      </c>
      <c r="U197" s="161">
        <v>0.41617083233333302</v>
      </c>
      <c r="V197" s="161">
        <v>0.40646249899999998</v>
      </c>
      <c r="W197" s="161">
        <v>0.40495416566666698</v>
      </c>
      <c r="X197" s="161">
        <v>0.49380416566666702</v>
      </c>
      <c r="Y197" s="161">
        <v>0.59068749899999995</v>
      </c>
      <c r="Z197" s="161">
        <v>0.67876666575</v>
      </c>
      <c r="AA197" s="161">
        <v>0.77683333291666701</v>
      </c>
      <c r="AB197" s="161">
        <v>0.83449583324999999</v>
      </c>
      <c r="AC197" s="161">
        <v>0.79402916666666701</v>
      </c>
      <c r="AD197" s="161">
        <v>0.82866249999999997</v>
      </c>
      <c r="AE197" s="161">
        <v>0.85780416666666703</v>
      </c>
      <c r="AF197" s="161">
        <v>0.94932083333333295</v>
      </c>
      <c r="AG197" s="161">
        <v>0.87833333333333297</v>
      </c>
      <c r="AH197" s="161">
        <v>0.924620833333333</v>
      </c>
      <c r="AI197" s="161">
        <v>0.88443333333333296</v>
      </c>
      <c r="AJ197" s="161">
        <v>1.0037416666666701</v>
      </c>
      <c r="AK197" s="161">
        <v>1.0115541666666701</v>
      </c>
      <c r="AL197" s="168">
        <v>0.94574999999999998</v>
      </c>
      <c r="AM197" s="168">
        <v>0.97340833333333299</v>
      </c>
      <c r="AN197" s="168">
        <v>1.1059083333333299</v>
      </c>
      <c r="AO197" s="168">
        <v>1.138725</v>
      </c>
      <c r="AP197" s="168">
        <v>1.1862250000000001</v>
      </c>
      <c r="AQ197" s="168">
        <v>1.3706833333333299</v>
      </c>
      <c r="AR197" s="168">
        <v>1.4387125000000001</v>
      </c>
      <c r="AS197" s="168">
        <v>1.42173333333333</v>
      </c>
      <c r="AT197" s="168">
        <v>1.2884583333333299</v>
      </c>
      <c r="AU197" s="168">
        <v>1.2454666666666701</v>
      </c>
      <c r="AV197" s="168">
        <v>1.2974333333333301</v>
      </c>
      <c r="AW197" s="168">
        <v>1.3310249999999999</v>
      </c>
      <c r="AX197" s="168">
        <v>1.28135833333333</v>
      </c>
      <c r="AY197" s="168">
        <v>1.23214166666667</v>
      </c>
      <c r="AZ197" s="168">
        <v>1.3502749999999999</v>
      </c>
      <c r="BA197" s="168">
        <v>1.4314</v>
      </c>
      <c r="BB197" s="168">
        <v>1.4077833333333301</v>
      </c>
      <c r="BC197" s="168">
        <v>1.56189166666667</v>
      </c>
      <c r="BD197" s="168">
        <v>1.62465833333333</v>
      </c>
    </row>
    <row r="198" spans="1:56">
      <c r="A198" s="163" t="s">
        <v>496</v>
      </c>
      <c r="B198" s="163" t="s">
        <v>497</v>
      </c>
      <c r="C198" s="161">
        <v>9.0169166665833305E-6</v>
      </c>
      <c r="D198" s="161">
        <v>9.02E-6</v>
      </c>
      <c r="E198" s="161">
        <v>9.02E-6</v>
      </c>
      <c r="F198" s="161">
        <v>9.02E-6</v>
      </c>
      <c r="G198" s="161">
        <v>9.0391666657500005E-6</v>
      </c>
      <c r="H198" s="161">
        <v>9.0399999989999995E-6</v>
      </c>
      <c r="I198" s="161">
        <v>9.0399999989999995E-6</v>
      </c>
      <c r="J198" s="161">
        <v>9.0399999989999995E-6</v>
      </c>
      <c r="K198" s="161">
        <v>9.0399999989999995E-6</v>
      </c>
      <c r="L198" s="161">
        <v>9.0399999989999995E-6</v>
      </c>
      <c r="M198" s="161">
        <v>1.1328499999E-5</v>
      </c>
      <c r="N198" s="161">
        <v>1.48666666670833E-5</v>
      </c>
      <c r="O198" s="161">
        <v>1.415E-5</v>
      </c>
      <c r="P198" s="161">
        <v>1.415E-5</v>
      </c>
      <c r="Q198" s="161">
        <v>1.39270833330833E-5</v>
      </c>
      <c r="R198" s="161">
        <v>1.44420833326667E-5</v>
      </c>
      <c r="S198" s="161">
        <v>1.60530833323333E-5</v>
      </c>
      <c r="T198" s="161">
        <v>1.8002249999000002E-5</v>
      </c>
      <c r="U198" s="161">
        <v>2.42821666656667E-5</v>
      </c>
      <c r="V198" s="161">
        <v>3.1077499999000002E-5</v>
      </c>
      <c r="W198" s="161">
        <v>7.6038083332833302E-5</v>
      </c>
      <c r="X198" s="161">
        <v>1.1121858333266701E-4</v>
      </c>
      <c r="Y198" s="161">
        <v>1.6255341666566699E-4</v>
      </c>
      <c r="Z198" s="161">
        <v>2.2545708333224999E-4</v>
      </c>
      <c r="AA198" s="161">
        <v>3.66677833333167E-4</v>
      </c>
      <c r="AB198" s="161">
        <v>5.2198308333316703E-4</v>
      </c>
      <c r="AC198" s="161">
        <v>6.7451175000024998E-4</v>
      </c>
      <c r="AD198" s="161">
        <v>8.5721416666666704E-4</v>
      </c>
      <c r="AE198" s="161">
        <v>1.4223458333333301E-3</v>
      </c>
      <c r="AF198" s="161">
        <v>2.1216791666666701E-3</v>
      </c>
      <c r="AG198" s="161">
        <v>2.6086416666666699E-3</v>
      </c>
      <c r="AH198" s="161">
        <v>4.17181583333333E-3</v>
      </c>
      <c r="AI198" s="161">
        <v>6.8724233333333296E-3</v>
      </c>
      <c r="AJ198" s="161">
        <v>1.09846283333333E-2</v>
      </c>
      <c r="AK198" s="161">
        <v>2.9608675833333299E-2</v>
      </c>
      <c r="AL198" s="168">
        <v>4.5845060833333298E-2</v>
      </c>
      <c r="AM198" s="168">
        <v>8.1404891666666701E-2</v>
      </c>
      <c r="AN198" s="168">
        <v>0.151865</v>
      </c>
      <c r="AO198" s="168">
        <v>0.26072424999999999</v>
      </c>
      <c r="AP198" s="168">
        <v>0.418782916666667</v>
      </c>
      <c r="AQ198" s="168">
        <v>0.62521850000000001</v>
      </c>
      <c r="AR198" s="168">
        <v>1.2255880833333299</v>
      </c>
      <c r="AS198" s="168">
        <v>1.50722641666667</v>
      </c>
      <c r="AT198" s="168">
        <v>1.50088520858333</v>
      </c>
      <c r="AU198" s="168">
        <v>1.4255372500000001</v>
      </c>
      <c r="AV198" s="168">
        <v>1.3435831083333301</v>
      </c>
      <c r="AW198" s="168">
        <v>1.4284534133384501</v>
      </c>
      <c r="AX198" s="168">
        <v>1.3029309053379401</v>
      </c>
      <c r="AY198" s="168">
        <v>1.30152170281795</v>
      </c>
      <c r="AZ198" s="168">
        <v>1.54995977566564</v>
      </c>
      <c r="BA198" s="168">
        <v>1.5028486296723</v>
      </c>
      <c r="BB198" s="168">
        <v>1.67495455197133</v>
      </c>
      <c r="BC198" s="168">
        <v>1.7960009444135501</v>
      </c>
      <c r="BD198" s="168">
        <v>1.90376824244752</v>
      </c>
    </row>
    <row r="199" spans="1:56">
      <c r="A199" s="163" t="s">
        <v>498</v>
      </c>
      <c r="B199" s="163" t="s">
        <v>499</v>
      </c>
      <c r="C199" s="161" t="s">
        <v>125</v>
      </c>
      <c r="D199" s="161" t="s">
        <v>125</v>
      </c>
      <c r="E199" s="161" t="s">
        <v>125</v>
      </c>
      <c r="F199" s="161" t="s">
        <v>125</v>
      </c>
      <c r="G199" s="161" t="s">
        <v>125</v>
      </c>
      <c r="H199" s="161" t="s">
        <v>125</v>
      </c>
      <c r="I199" s="161" t="s">
        <v>125</v>
      </c>
      <c r="J199" s="161" t="s">
        <v>125</v>
      </c>
      <c r="K199" s="161" t="s">
        <v>125</v>
      </c>
      <c r="L199" s="161" t="s">
        <v>125</v>
      </c>
      <c r="M199" s="161" t="s">
        <v>125</v>
      </c>
      <c r="N199" s="161" t="s">
        <v>125</v>
      </c>
      <c r="O199" s="161" t="s">
        <v>125</v>
      </c>
      <c r="P199" s="161" t="s">
        <v>125</v>
      </c>
      <c r="Q199" s="161" t="s">
        <v>125</v>
      </c>
      <c r="R199" s="161" t="s">
        <v>125</v>
      </c>
      <c r="S199" s="161" t="s">
        <v>125</v>
      </c>
      <c r="T199" s="161" t="s">
        <v>125</v>
      </c>
      <c r="U199" s="161" t="s">
        <v>125</v>
      </c>
      <c r="V199" s="161" t="s">
        <v>125</v>
      </c>
      <c r="W199" s="161" t="s">
        <v>125</v>
      </c>
      <c r="X199" s="161" t="s">
        <v>125</v>
      </c>
      <c r="Y199" s="161" t="s">
        <v>125</v>
      </c>
      <c r="Z199" s="161" t="s">
        <v>125</v>
      </c>
      <c r="AA199" s="161" t="s">
        <v>125</v>
      </c>
      <c r="AB199" s="161" t="s">
        <v>125</v>
      </c>
      <c r="AC199" s="161" t="s">
        <v>125</v>
      </c>
      <c r="AD199" s="161" t="s">
        <v>125</v>
      </c>
      <c r="AE199" s="161" t="s">
        <v>125</v>
      </c>
      <c r="AF199" s="161" t="s">
        <v>125</v>
      </c>
      <c r="AG199" s="161" t="s">
        <v>125</v>
      </c>
      <c r="AH199" s="161" t="s">
        <v>125</v>
      </c>
      <c r="AI199" s="161" t="s">
        <v>125</v>
      </c>
      <c r="AJ199" s="161" t="s">
        <v>125</v>
      </c>
      <c r="AK199" s="161">
        <v>19.198333333333299</v>
      </c>
      <c r="AL199" s="168">
        <v>110.916666666667</v>
      </c>
      <c r="AM199" s="168">
        <v>3257.6666666666702</v>
      </c>
      <c r="AN199" s="168">
        <v>4143.4166666666697</v>
      </c>
      <c r="AO199" s="168">
        <v>4890.1666666666697</v>
      </c>
      <c r="AP199" s="168">
        <v>5200</v>
      </c>
      <c r="AQ199" s="168">
        <v>5200</v>
      </c>
      <c r="AR199" s="168">
        <v>5200</v>
      </c>
      <c r="AS199" s="168" t="s">
        <v>125</v>
      </c>
      <c r="AT199" s="168" t="s">
        <v>125</v>
      </c>
      <c r="AU199" s="168" t="s">
        <v>125</v>
      </c>
      <c r="AV199" s="168" t="s">
        <v>125</v>
      </c>
      <c r="AW199" s="168" t="s">
        <v>125</v>
      </c>
      <c r="AX199" s="168" t="s">
        <v>125</v>
      </c>
      <c r="AY199" s="168" t="s">
        <v>125</v>
      </c>
      <c r="AZ199" s="168" t="s">
        <v>125</v>
      </c>
      <c r="BA199" s="168" t="s">
        <v>125</v>
      </c>
      <c r="BB199" s="168" t="s">
        <v>125</v>
      </c>
      <c r="BC199" s="168" t="s">
        <v>125</v>
      </c>
      <c r="BD199" s="168" t="s">
        <v>125</v>
      </c>
    </row>
    <row r="200" spans="1:56">
      <c r="A200" s="163" t="s">
        <v>500</v>
      </c>
      <c r="B200" s="163" t="s">
        <v>501</v>
      </c>
      <c r="C200" s="161" t="s">
        <v>125</v>
      </c>
      <c r="D200" s="161" t="s">
        <v>125</v>
      </c>
      <c r="E200" s="161" t="s">
        <v>125</v>
      </c>
      <c r="F200" s="161" t="s">
        <v>125</v>
      </c>
      <c r="G200" s="161" t="s">
        <v>125</v>
      </c>
      <c r="H200" s="161" t="s">
        <v>125</v>
      </c>
      <c r="I200" s="161" t="s">
        <v>125</v>
      </c>
      <c r="J200" s="161" t="s">
        <v>125</v>
      </c>
      <c r="K200" s="161" t="s">
        <v>125</v>
      </c>
      <c r="L200" s="161" t="s">
        <v>125</v>
      </c>
      <c r="M200" s="161" t="s">
        <v>125</v>
      </c>
      <c r="N200" s="161" t="s">
        <v>125</v>
      </c>
      <c r="O200" s="161" t="s">
        <v>125</v>
      </c>
      <c r="P200" s="161" t="s">
        <v>125</v>
      </c>
      <c r="Q200" s="161" t="s">
        <v>125</v>
      </c>
      <c r="R200" s="161" t="s">
        <v>125</v>
      </c>
      <c r="S200" s="161" t="s">
        <v>125</v>
      </c>
      <c r="T200" s="161" t="s">
        <v>125</v>
      </c>
      <c r="U200" s="161" t="s">
        <v>125</v>
      </c>
      <c r="V200" s="161" t="s">
        <v>125</v>
      </c>
      <c r="W200" s="161" t="s">
        <v>125</v>
      </c>
      <c r="X200" s="161" t="s">
        <v>125</v>
      </c>
      <c r="Y200" s="161" t="s">
        <v>125</v>
      </c>
      <c r="Z200" s="161" t="s">
        <v>125</v>
      </c>
      <c r="AA200" s="161" t="s">
        <v>125</v>
      </c>
      <c r="AB200" s="161" t="s">
        <v>125</v>
      </c>
      <c r="AC200" s="161" t="s">
        <v>125</v>
      </c>
      <c r="AD200" s="161" t="s">
        <v>125</v>
      </c>
      <c r="AE200" s="161" t="s">
        <v>125</v>
      </c>
      <c r="AF200" s="161" t="s">
        <v>125</v>
      </c>
      <c r="AG200" s="161" t="s">
        <v>125</v>
      </c>
      <c r="AH200" s="161" t="s">
        <v>125</v>
      </c>
      <c r="AI200" s="161" t="s">
        <v>125</v>
      </c>
      <c r="AJ200" s="161" t="s">
        <v>125</v>
      </c>
      <c r="AK200" s="161" t="s">
        <v>125</v>
      </c>
      <c r="AL200" s="168" t="s">
        <v>125</v>
      </c>
      <c r="AM200" s="168" t="s">
        <v>125</v>
      </c>
      <c r="AN200" s="168" t="s">
        <v>125</v>
      </c>
      <c r="AO200" s="168" t="s">
        <v>125</v>
      </c>
      <c r="AP200" s="168" t="s">
        <v>125</v>
      </c>
      <c r="AQ200" s="168" t="s">
        <v>125</v>
      </c>
      <c r="AR200" s="168" t="s">
        <v>125</v>
      </c>
      <c r="AS200" s="168" t="s">
        <v>125</v>
      </c>
      <c r="AT200" s="168" t="s">
        <v>125</v>
      </c>
      <c r="AU200" s="168" t="s">
        <v>125</v>
      </c>
      <c r="AV200" s="168" t="s">
        <v>125</v>
      </c>
      <c r="AW200" s="168" t="s">
        <v>125</v>
      </c>
      <c r="AX200" s="168" t="s">
        <v>125</v>
      </c>
      <c r="AY200" s="168" t="s">
        <v>125</v>
      </c>
      <c r="AZ200" s="168" t="s">
        <v>125</v>
      </c>
      <c r="BA200" s="168" t="s">
        <v>125</v>
      </c>
      <c r="BB200" s="168" t="s">
        <v>125</v>
      </c>
      <c r="BC200" s="168" t="s">
        <v>125</v>
      </c>
      <c r="BD200" s="168" t="s">
        <v>125</v>
      </c>
    </row>
    <row r="201" spans="1:56">
      <c r="A201" s="163" t="s">
        <v>502</v>
      </c>
      <c r="B201" s="163" t="s">
        <v>503</v>
      </c>
      <c r="C201" s="161" t="s">
        <v>125</v>
      </c>
      <c r="D201" s="161" t="s">
        <v>125</v>
      </c>
      <c r="E201" s="161" t="s">
        <v>125</v>
      </c>
      <c r="F201" s="161" t="s">
        <v>125</v>
      </c>
      <c r="G201" s="161" t="s">
        <v>125</v>
      </c>
      <c r="H201" s="161" t="s">
        <v>125</v>
      </c>
      <c r="I201" s="161" t="s">
        <v>125</v>
      </c>
      <c r="J201" s="161" t="s">
        <v>125</v>
      </c>
      <c r="K201" s="161" t="s">
        <v>125</v>
      </c>
      <c r="L201" s="161" t="s">
        <v>125</v>
      </c>
      <c r="M201" s="161" t="s">
        <v>125</v>
      </c>
      <c r="N201" s="161" t="s">
        <v>125</v>
      </c>
      <c r="O201" s="161" t="s">
        <v>125</v>
      </c>
      <c r="P201" s="161" t="s">
        <v>125</v>
      </c>
      <c r="Q201" s="161" t="s">
        <v>125</v>
      </c>
      <c r="R201" s="161" t="s">
        <v>125</v>
      </c>
      <c r="S201" s="161" t="s">
        <v>125</v>
      </c>
      <c r="T201" s="161" t="s">
        <v>125</v>
      </c>
      <c r="U201" s="161" t="s">
        <v>125</v>
      </c>
      <c r="V201" s="161" t="s">
        <v>125</v>
      </c>
      <c r="W201" s="161" t="s">
        <v>125</v>
      </c>
      <c r="X201" s="161" t="s">
        <v>125</v>
      </c>
      <c r="Y201" s="161" t="s">
        <v>125</v>
      </c>
      <c r="Z201" s="161" t="s">
        <v>125</v>
      </c>
      <c r="AA201" s="161" t="s">
        <v>125</v>
      </c>
      <c r="AB201" s="161" t="s">
        <v>125</v>
      </c>
      <c r="AC201" s="161" t="s">
        <v>125</v>
      </c>
      <c r="AD201" s="161" t="s">
        <v>125</v>
      </c>
      <c r="AE201" s="161" t="s">
        <v>125</v>
      </c>
      <c r="AF201" s="161" t="s">
        <v>125</v>
      </c>
      <c r="AG201" s="161" t="s">
        <v>125</v>
      </c>
      <c r="AH201" s="161" t="s">
        <v>125</v>
      </c>
      <c r="AI201" s="161" t="s">
        <v>125</v>
      </c>
      <c r="AJ201" s="161" t="s">
        <v>125</v>
      </c>
      <c r="AK201" s="161" t="s">
        <v>125</v>
      </c>
      <c r="AL201" s="168" t="s">
        <v>125</v>
      </c>
      <c r="AM201" s="168" t="s">
        <v>125</v>
      </c>
      <c r="AN201" s="168" t="s">
        <v>125</v>
      </c>
      <c r="AO201" s="168" t="s">
        <v>125</v>
      </c>
      <c r="AP201" s="168" t="s">
        <v>125</v>
      </c>
      <c r="AQ201" s="168" t="s">
        <v>125</v>
      </c>
      <c r="AR201" s="168" t="s">
        <v>125</v>
      </c>
      <c r="AS201" s="168" t="s">
        <v>125</v>
      </c>
      <c r="AT201" s="168" t="s">
        <v>125</v>
      </c>
      <c r="AU201" s="168" t="s">
        <v>125</v>
      </c>
      <c r="AV201" s="168" t="s">
        <v>125</v>
      </c>
      <c r="AW201" s="168" t="s">
        <v>125</v>
      </c>
      <c r="AX201" s="168" t="s">
        <v>125</v>
      </c>
      <c r="AY201" s="168" t="s">
        <v>125</v>
      </c>
      <c r="AZ201" s="168" t="s">
        <v>125</v>
      </c>
      <c r="BA201" s="168" t="s">
        <v>125</v>
      </c>
      <c r="BB201" s="168" t="s">
        <v>125</v>
      </c>
      <c r="BC201" s="168" t="s">
        <v>125</v>
      </c>
      <c r="BD201" s="168" t="s">
        <v>125</v>
      </c>
    </row>
    <row r="202" spans="1:56">
      <c r="A202" s="163" t="s">
        <v>85</v>
      </c>
      <c r="B202" s="163" t="s">
        <v>504</v>
      </c>
      <c r="C202" s="161">
        <v>7.1430000071429994E-2</v>
      </c>
      <c r="D202" s="161">
        <v>7.1430000071429994E-2</v>
      </c>
      <c r="E202" s="161">
        <v>7.1430000071429994E-2</v>
      </c>
      <c r="F202" s="161">
        <v>7.1430000071429994E-2</v>
      </c>
      <c r="G202" s="161">
        <v>7.1430000071429994E-2</v>
      </c>
      <c r="H202" s="161">
        <v>7.1430000071429994E-2</v>
      </c>
      <c r="I202" s="161">
        <v>7.1430000071429994E-2</v>
      </c>
      <c r="J202" s="161">
        <v>7.1430000071429994E-2</v>
      </c>
      <c r="K202" s="161">
        <v>7.1430000071429994E-2</v>
      </c>
      <c r="L202" s="161">
        <v>7.1430000071429994E-2</v>
      </c>
      <c r="M202" s="161">
        <v>7.1430000071429994E-2</v>
      </c>
      <c r="N202" s="161">
        <v>7.1429995890081102E-2</v>
      </c>
      <c r="O202" s="161">
        <v>7.1429999990000007E-2</v>
      </c>
      <c r="P202" s="161">
        <v>7.0214499989999998E-2</v>
      </c>
      <c r="Q202" s="161">
        <v>7.1359499990000005E-2</v>
      </c>
      <c r="R202" s="161">
        <v>7.421924999E-2</v>
      </c>
      <c r="S202" s="161">
        <v>8.2661666662499994E-2</v>
      </c>
      <c r="T202" s="161">
        <v>8.2589999993333302E-2</v>
      </c>
      <c r="U202" s="161">
        <v>7.7356666656666698E-2</v>
      </c>
      <c r="V202" s="161">
        <v>7.4828333323333301E-2</v>
      </c>
      <c r="W202" s="161">
        <v>7.4169999989999999E-2</v>
      </c>
      <c r="X202" s="161">
        <v>0.50052333332666699</v>
      </c>
      <c r="Y202" s="161">
        <v>0.94046666666166701</v>
      </c>
      <c r="Z202" s="161">
        <v>1.5386249999924999</v>
      </c>
      <c r="AA202" s="161">
        <v>3.5970249999949999</v>
      </c>
      <c r="AB202" s="161">
        <v>6.7202000000058302</v>
      </c>
      <c r="AC202" s="161">
        <v>14</v>
      </c>
      <c r="AD202" s="161">
        <v>42.841266666666698</v>
      </c>
      <c r="AE202" s="161">
        <v>106.135833333333</v>
      </c>
      <c r="AF202" s="161">
        <v>223.09160630809001</v>
      </c>
      <c r="AG202" s="161">
        <v>428.85466666666701</v>
      </c>
      <c r="AH202" s="161">
        <v>734.00991666666698</v>
      </c>
      <c r="AI202" s="161">
        <v>1133.8343333333301</v>
      </c>
      <c r="AJ202" s="161">
        <v>1195.01675</v>
      </c>
      <c r="AK202" s="161">
        <v>979.44541666666703</v>
      </c>
      <c r="AL202" s="168">
        <v>968.91666666666697</v>
      </c>
      <c r="AM202" s="168">
        <v>1046.08475</v>
      </c>
      <c r="AN202" s="168">
        <v>1083.00866666667</v>
      </c>
      <c r="AO202" s="168">
        <v>1240.3058333333299</v>
      </c>
      <c r="AP202" s="168">
        <v>1454.8271666666701</v>
      </c>
      <c r="AQ202" s="168">
        <v>1644.4753333333299</v>
      </c>
      <c r="AR202" s="168">
        <v>1755.6587500000001</v>
      </c>
      <c r="AS202" s="168">
        <v>1797.5505000000001</v>
      </c>
      <c r="AT202" s="168">
        <v>1963.72008333333</v>
      </c>
      <c r="AU202" s="168">
        <v>1810.3047136515099</v>
      </c>
      <c r="AV202" s="168">
        <v>1780.6657768939399</v>
      </c>
      <c r="AW202" s="168">
        <v>1831.45340494586</v>
      </c>
      <c r="AX202" s="168">
        <v>1723.4917723430001</v>
      </c>
      <c r="AY202" s="168">
        <v>1720.4438833177701</v>
      </c>
      <c r="AZ202" s="168">
        <v>2030.4880743341801</v>
      </c>
      <c r="BA202" s="168">
        <v>2177.5575068335802</v>
      </c>
      <c r="BB202" s="168">
        <v>2522.74632070807</v>
      </c>
      <c r="BC202" s="168">
        <v>2504.5630775832801</v>
      </c>
      <c r="BD202" s="168">
        <v>2586.8895685656098</v>
      </c>
    </row>
    <row r="203" spans="1:56">
      <c r="A203" s="163" t="s">
        <v>505</v>
      </c>
      <c r="B203" s="163" t="s">
        <v>506</v>
      </c>
      <c r="C203" s="161" t="s">
        <v>125</v>
      </c>
      <c r="D203" s="161" t="s">
        <v>125</v>
      </c>
      <c r="E203" s="161" t="s">
        <v>125</v>
      </c>
      <c r="F203" s="161" t="s">
        <v>125</v>
      </c>
      <c r="G203" s="161" t="s">
        <v>125</v>
      </c>
      <c r="H203" s="161" t="s">
        <v>125</v>
      </c>
      <c r="I203" s="161" t="s">
        <v>125</v>
      </c>
      <c r="J203" s="161" t="s">
        <v>125</v>
      </c>
      <c r="K203" s="161" t="s">
        <v>125</v>
      </c>
      <c r="L203" s="161" t="s">
        <v>125</v>
      </c>
      <c r="M203" s="161" t="s">
        <v>125</v>
      </c>
      <c r="N203" s="161" t="s">
        <v>125</v>
      </c>
      <c r="O203" s="161" t="s">
        <v>125</v>
      </c>
      <c r="P203" s="161" t="s">
        <v>125</v>
      </c>
      <c r="Q203" s="161" t="s">
        <v>125</v>
      </c>
      <c r="R203" s="161" t="s">
        <v>125</v>
      </c>
      <c r="S203" s="161" t="s">
        <v>125</v>
      </c>
      <c r="T203" s="161" t="s">
        <v>125</v>
      </c>
      <c r="U203" s="161" t="s">
        <v>125</v>
      </c>
      <c r="V203" s="161" t="s">
        <v>125</v>
      </c>
      <c r="W203" s="161" t="s">
        <v>125</v>
      </c>
      <c r="X203" s="161" t="s">
        <v>125</v>
      </c>
      <c r="Y203" s="161" t="s">
        <v>125</v>
      </c>
      <c r="Z203" s="161" t="s">
        <v>125</v>
      </c>
      <c r="AA203" s="161" t="s">
        <v>125</v>
      </c>
      <c r="AB203" s="161" t="s">
        <v>125</v>
      </c>
      <c r="AC203" s="161" t="s">
        <v>125</v>
      </c>
      <c r="AD203" s="161" t="s">
        <v>125</v>
      </c>
      <c r="AE203" s="161" t="s">
        <v>125</v>
      </c>
      <c r="AF203" s="161" t="s">
        <v>125</v>
      </c>
      <c r="AG203" s="161" t="s">
        <v>125</v>
      </c>
      <c r="AH203" s="161" t="s">
        <v>125</v>
      </c>
      <c r="AI203" s="161" t="s">
        <v>125</v>
      </c>
      <c r="AJ203" s="161">
        <v>4.5324999999999997E-2</v>
      </c>
      <c r="AK203" s="161">
        <v>0.32751416666666699</v>
      </c>
      <c r="AL203" s="168">
        <v>1.4730749999999999</v>
      </c>
      <c r="AM203" s="168">
        <v>1.8294685583333301</v>
      </c>
      <c r="AN203" s="168">
        <v>1.8616583333333301</v>
      </c>
      <c r="AO203" s="168">
        <v>2.4495416666666698</v>
      </c>
      <c r="AP203" s="168">
        <v>4.1304416666666697</v>
      </c>
      <c r="AQ203" s="168">
        <v>5.4402333333333299</v>
      </c>
      <c r="AR203" s="168">
        <v>5.3721583333333296</v>
      </c>
      <c r="AS203" s="168">
        <v>5.3266249999999999</v>
      </c>
      <c r="AT203" s="168">
        <v>5.3326883333333299</v>
      </c>
      <c r="AU203" s="168">
        <v>5.3191806666666697</v>
      </c>
      <c r="AV203" s="168">
        <v>5.1247290000000003</v>
      </c>
      <c r="AW203" s="168">
        <v>5.05</v>
      </c>
      <c r="AX203" s="168">
        <v>5.05</v>
      </c>
      <c r="AY203" s="168">
        <v>5.2672214166666702</v>
      </c>
      <c r="AZ203" s="168">
        <v>7.79124033333333</v>
      </c>
      <c r="BA203" s="168">
        <v>7.9356394166666702</v>
      </c>
      <c r="BB203" s="168">
        <v>7.9675628333333304</v>
      </c>
      <c r="BC203" s="168">
        <v>7.99102933333333</v>
      </c>
      <c r="BD203" s="168">
        <v>7.9930000000000003</v>
      </c>
    </row>
    <row r="204" spans="1:56">
      <c r="A204" s="163" t="s">
        <v>507</v>
      </c>
      <c r="B204" s="163" t="s">
        <v>508</v>
      </c>
      <c r="C204" s="161" t="s">
        <v>125</v>
      </c>
      <c r="D204" s="161" t="s">
        <v>125</v>
      </c>
      <c r="E204" s="161" t="s">
        <v>125</v>
      </c>
      <c r="F204" s="161" t="s">
        <v>125</v>
      </c>
      <c r="G204" s="161" t="s">
        <v>125</v>
      </c>
      <c r="H204" s="161" t="s">
        <v>125</v>
      </c>
      <c r="I204" s="161">
        <v>4.7619000037618999</v>
      </c>
      <c r="J204" s="161">
        <v>4.7619000037618999</v>
      </c>
      <c r="K204" s="161">
        <v>4.7619000037618999</v>
      </c>
      <c r="L204" s="161">
        <v>4.7619000037618999</v>
      </c>
      <c r="M204" s="161">
        <v>4.7619000037618999</v>
      </c>
      <c r="N204" s="161">
        <v>4.7479628848644202</v>
      </c>
      <c r="O204" s="161">
        <v>4.3859778425048797</v>
      </c>
      <c r="P204" s="161">
        <v>3.9962713138644301</v>
      </c>
      <c r="Q204" s="161">
        <v>3.95904515568157</v>
      </c>
      <c r="R204" s="161">
        <v>3.9612849990000001</v>
      </c>
      <c r="S204" s="161">
        <v>3.9530724990000001</v>
      </c>
      <c r="T204" s="161">
        <v>3.9032474989999999</v>
      </c>
      <c r="U204" s="161">
        <v>3.8712108323333299</v>
      </c>
      <c r="V204" s="161">
        <v>3.81567583233333</v>
      </c>
      <c r="W204" s="161">
        <v>3.7073649990000002</v>
      </c>
      <c r="X204" s="161">
        <v>3.6709999990000002</v>
      </c>
      <c r="Y204" s="161">
        <v>3.6709999990000002</v>
      </c>
      <c r="Z204" s="161">
        <v>3.6709999990000002</v>
      </c>
      <c r="AA204" s="161">
        <v>3.67099999958333</v>
      </c>
      <c r="AB204" s="161">
        <v>3.6709999999999998</v>
      </c>
      <c r="AC204" s="161">
        <v>3.6709999999999998</v>
      </c>
      <c r="AD204" s="161">
        <v>3.6709999999999998</v>
      </c>
      <c r="AE204" s="161">
        <v>3.6709999999999998</v>
      </c>
      <c r="AF204" s="161">
        <v>3.6709999999999998</v>
      </c>
      <c r="AG204" s="161">
        <v>3.6709999999999998</v>
      </c>
      <c r="AH204" s="161">
        <v>3.6709999999999998</v>
      </c>
      <c r="AI204" s="161">
        <v>3.6709999999999998</v>
      </c>
      <c r="AJ204" s="161">
        <v>3.6709999999999998</v>
      </c>
      <c r="AK204" s="161">
        <v>3.6709999999999998</v>
      </c>
      <c r="AL204" s="168">
        <v>3.6709999999999998</v>
      </c>
      <c r="AM204" s="168">
        <v>3.6709999999999998</v>
      </c>
      <c r="AN204" s="168">
        <v>3.671125</v>
      </c>
      <c r="AO204" s="168">
        <v>3.6724999999999999</v>
      </c>
      <c r="AP204" s="168">
        <v>3.6724999999999999</v>
      </c>
      <c r="AQ204" s="168">
        <v>3.6724999999999999</v>
      </c>
      <c r="AR204" s="168">
        <v>3.6724999999999999</v>
      </c>
      <c r="AS204" s="168">
        <v>3.6724999999999999</v>
      </c>
      <c r="AT204" s="168">
        <v>3.6724999999999999</v>
      </c>
      <c r="AU204" s="168">
        <v>3.6724999999999999</v>
      </c>
      <c r="AV204" s="168">
        <v>3.6724999999999999</v>
      </c>
      <c r="AW204" s="168">
        <v>3.6724999999999999</v>
      </c>
      <c r="AX204" s="168">
        <v>3.6724999999999999</v>
      </c>
      <c r="AY204" s="168">
        <v>3.6724999999999999</v>
      </c>
      <c r="AZ204" s="168">
        <v>3.6724999999999999</v>
      </c>
      <c r="BA204" s="168">
        <v>3.6724999999999999</v>
      </c>
      <c r="BB204" s="168">
        <v>3.6724999999999999</v>
      </c>
      <c r="BC204" s="168">
        <v>3.6724999999999999</v>
      </c>
      <c r="BD204" s="168">
        <v>3.6724999999999999</v>
      </c>
    </row>
    <row r="205" spans="1:56">
      <c r="A205" s="163" t="s">
        <v>509</v>
      </c>
      <c r="B205" s="163" t="s">
        <v>510</v>
      </c>
      <c r="C205" s="161">
        <v>0.357142999357143</v>
      </c>
      <c r="D205" s="161">
        <v>0.357142999357143</v>
      </c>
      <c r="E205" s="161">
        <v>0.357142999357143</v>
      </c>
      <c r="F205" s="161">
        <v>0.357142999357143</v>
      </c>
      <c r="G205" s="161">
        <v>0.357142999357143</v>
      </c>
      <c r="H205" s="161">
        <v>0.357142999357143</v>
      </c>
      <c r="I205" s="161">
        <v>0.357142999357143</v>
      </c>
      <c r="J205" s="161">
        <v>0.36210333266567502</v>
      </c>
      <c r="K205" s="161">
        <v>0.41666699941666702</v>
      </c>
      <c r="L205" s="161">
        <v>0.41666699941666702</v>
      </c>
      <c r="M205" s="161">
        <v>0.41666699941666702</v>
      </c>
      <c r="N205" s="161">
        <v>0.41092023742942502</v>
      </c>
      <c r="O205" s="161">
        <v>0.40039046153000801</v>
      </c>
      <c r="P205" s="161">
        <v>0.40817094529930797</v>
      </c>
      <c r="Q205" s="161">
        <v>0.42775643974766298</v>
      </c>
      <c r="R205" s="161">
        <v>0.45204116566666702</v>
      </c>
      <c r="S205" s="161">
        <v>0.55650983233333295</v>
      </c>
      <c r="T205" s="161">
        <v>0.57327199900000003</v>
      </c>
      <c r="U205" s="161">
        <v>0.52150458233333297</v>
      </c>
      <c r="V205" s="161">
        <v>0.47218116566666701</v>
      </c>
      <c r="W205" s="161">
        <v>0.43029499900000001</v>
      </c>
      <c r="X205" s="161">
        <v>0.49764133233333302</v>
      </c>
      <c r="Y205" s="161">
        <v>0.57244683233333304</v>
      </c>
      <c r="Z205" s="161">
        <v>0.65972458233333298</v>
      </c>
      <c r="AA205" s="161">
        <v>0.75180666625000003</v>
      </c>
      <c r="AB205" s="161">
        <v>0.77924599974999997</v>
      </c>
      <c r="AC205" s="161">
        <v>0.68219733333333299</v>
      </c>
      <c r="AD205" s="161">
        <v>0.61192650000000004</v>
      </c>
      <c r="AE205" s="161">
        <v>0.56217016666666697</v>
      </c>
      <c r="AF205" s="161">
        <v>0.61117275000000004</v>
      </c>
      <c r="AG205" s="161">
        <v>0.56317716666666695</v>
      </c>
      <c r="AH205" s="161">
        <v>0.56701533333333298</v>
      </c>
      <c r="AI205" s="161">
        <v>0.56977416666666703</v>
      </c>
      <c r="AJ205" s="161">
        <v>0.66675655333333295</v>
      </c>
      <c r="AK205" s="161">
        <v>0.65342660416666698</v>
      </c>
      <c r="AL205" s="168">
        <v>0.63366811999999995</v>
      </c>
      <c r="AM205" s="168">
        <v>0.64095825500000003</v>
      </c>
      <c r="AN205" s="168">
        <v>0.61083611416666705</v>
      </c>
      <c r="AO205" s="168">
        <v>0.60382359416666698</v>
      </c>
      <c r="AP205" s="168">
        <v>0.61805684500000002</v>
      </c>
      <c r="AQ205" s="168">
        <v>0.66093083333333302</v>
      </c>
      <c r="AR205" s="168">
        <v>0.69465500000000002</v>
      </c>
      <c r="AS205" s="168">
        <v>0.66722333333333295</v>
      </c>
      <c r="AT205" s="168">
        <v>0.61247249999999998</v>
      </c>
      <c r="AU205" s="168">
        <v>0.54618</v>
      </c>
      <c r="AV205" s="168">
        <v>0.54999833333333303</v>
      </c>
      <c r="AW205" s="168">
        <v>0.54348666666666701</v>
      </c>
      <c r="AX205" s="168">
        <v>0.499771666666667</v>
      </c>
      <c r="AY205" s="168">
        <v>0.54396624999999998</v>
      </c>
      <c r="AZ205" s="168">
        <v>0.64191926349599604</v>
      </c>
      <c r="BA205" s="168">
        <v>0.64717934556016499</v>
      </c>
      <c r="BB205" s="168">
        <v>0.62414083574049495</v>
      </c>
      <c r="BC205" s="168">
        <v>0.63304698885732702</v>
      </c>
      <c r="BD205" s="168">
        <v>0.63966057761347705</v>
      </c>
    </row>
    <row r="206" spans="1:56">
      <c r="A206" s="163" t="s">
        <v>34</v>
      </c>
      <c r="B206" s="163" t="s">
        <v>86</v>
      </c>
      <c r="C206" s="161">
        <v>1</v>
      </c>
      <c r="D206" s="161">
        <v>1</v>
      </c>
      <c r="E206" s="161">
        <v>1</v>
      </c>
      <c r="F206" s="161">
        <v>1</v>
      </c>
      <c r="G206" s="161">
        <v>1</v>
      </c>
      <c r="H206" s="161">
        <v>1</v>
      </c>
      <c r="I206" s="161">
        <v>1</v>
      </c>
      <c r="J206" s="161">
        <v>1</v>
      </c>
      <c r="K206" s="161">
        <v>1</v>
      </c>
      <c r="L206" s="161">
        <v>1</v>
      </c>
      <c r="M206" s="161">
        <v>1</v>
      </c>
      <c r="N206" s="161">
        <v>1</v>
      </c>
      <c r="O206" s="161">
        <v>1</v>
      </c>
      <c r="P206" s="161">
        <v>1</v>
      </c>
      <c r="Q206" s="161">
        <v>1</v>
      </c>
      <c r="R206" s="161">
        <v>1</v>
      </c>
      <c r="S206" s="161">
        <v>1</v>
      </c>
      <c r="T206" s="161">
        <v>1</v>
      </c>
      <c r="U206" s="161">
        <v>1</v>
      </c>
      <c r="V206" s="161">
        <v>1</v>
      </c>
      <c r="W206" s="161">
        <v>1</v>
      </c>
      <c r="X206" s="161">
        <v>1</v>
      </c>
      <c r="Y206" s="161">
        <v>1</v>
      </c>
      <c r="Z206" s="161">
        <v>1</v>
      </c>
      <c r="AA206" s="161">
        <v>1</v>
      </c>
      <c r="AB206" s="161">
        <v>1</v>
      </c>
      <c r="AC206" s="161">
        <v>1</v>
      </c>
      <c r="AD206" s="161">
        <v>1</v>
      </c>
      <c r="AE206" s="161">
        <v>1</v>
      </c>
      <c r="AF206" s="161">
        <v>1</v>
      </c>
      <c r="AG206" s="161">
        <v>1</v>
      </c>
      <c r="AH206" s="161">
        <v>1</v>
      </c>
      <c r="AI206" s="161">
        <v>1</v>
      </c>
      <c r="AJ206" s="161">
        <v>1</v>
      </c>
      <c r="AK206" s="161">
        <v>1</v>
      </c>
      <c r="AL206" s="168">
        <v>1</v>
      </c>
      <c r="AM206" s="168">
        <v>1</v>
      </c>
      <c r="AN206" s="168">
        <v>1</v>
      </c>
      <c r="AO206" s="168">
        <v>1</v>
      </c>
      <c r="AP206" s="168">
        <v>1</v>
      </c>
      <c r="AQ206" s="168">
        <v>1</v>
      </c>
      <c r="AR206" s="168">
        <v>1</v>
      </c>
      <c r="AS206" s="168">
        <v>1</v>
      </c>
      <c r="AT206" s="168">
        <v>1</v>
      </c>
      <c r="AU206" s="168">
        <v>1</v>
      </c>
      <c r="AV206" s="168">
        <v>1</v>
      </c>
      <c r="AW206" s="168">
        <v>1</v>
      </c>
      <c r="AX206" s="168">
        <v>1</v>
      </c>
      <c r="AY206" s="168">
        <v>1</v>
      </c>
      <c r="AZ206" s="168">
        <v>1</v>
      </c>
      <c r="BA206" s="168">
        <v>1</v>
      </c>
      <c r="BB206" s="168">
        <v>1</v>
      </c>
      <c r="BC206" s="168">
        <v>1</v>
      </c>
      <c r="BD206" s="168">
        <v>1</v>
      </c>
    </row>
    <row r="207" spans="1:56">
      <c r="A207" s="163" t="s">
        <v>511</v>
      </c>
      <c r="B207" s="163" t="s">
        <v>512</v>
      </c>
      <c r="C207" s="161">
        <v>1.12966666666667E-5</v>
      </c>
      <c r="D207" s="161">
        <v>1.10091666666667E-5</v>
      </c>
      <c r="E207" s="161">
        <v>1.098E-5</v>
      </c>
      <c r="F207" s="161">
        <v>1.46475E-5</v>
      </c>
      <c r="G207" s="161">
        <v>1.6411666666666701E-5</v>
      </c>
      <c r="H207" s="161">
        <v>2.90358333333333E-5</v>
      </c>
      <c r="I207" s="161">
        <v>5.3891666666666698E-5</v>
      </c>
      <c r="J207" s="161">
        <v>1.049625E-4</v>
      </c>
      <c r="K207" s="161">
        <v>2.3185416666666699E-4</v>
      </c>
      <c r="L207" s="161">
        <v>2.4800000000000001E-4</v>
      </c>
      <c r="M207" s="161">
        <v>2.4800000000000001E-4</v>
      </c>
      <c r="N207" s="161">
        <v>2.4800000000000001E-4</v>
      </c>
      <c r="O207" s="161">
        <v>5.3082583333333296E-4</v>
      </c>
      <c r="P207" s="161">
        <v>8.5715083333333299E-4</v>
      </c>
      <c r="Q207" s="161">
        <v>1.0983275E-3</v>
      </c>
      <c r="R207" s="161">
        <v>2.2358333333333301E-3</v>
      </c>
      <c r="S207" s="161">
        <v>3.3024999999999999E-3</v>
      </c>
      <c r="T207" s="161">
        <v>4.6466666666666696E-3</v>
      </c>
      <c r="U207" s="161">
        <v>6.0233333333333302E-3</v>
      </c>
      <c r="V207" s="161">
        <v>7.8383333333333308E-3</v>
      </c>
      <c r="W207" s="161">
        <v>9.0725000000000007E-3</v>
      </c>
      <c r="X207" s="161">
        <v>1.0793333333333301E-2</v>
      </c>
      <c r="Y207" s="161">
        <v>1.3853333333333301E-2</v>
      </c>
      <c r="Z207" s="161">
        <v>3.43758333333333E-2</v>
      </c>
      <c r="AA207" s="161">
        <v>5.5893333333333302E-2</v>
      </c>
      <c r="AB207" s="161">
        <v>0.101155833333333</v>
      </c>
      <c r="AC207" s="161">
        <v>0.15143416666666701</v>
      </c>
      <c r="AD207" s="161">
        <v>0.22552166666666701</v>
      </c>
      <c r="AE207" s="161">
        <v>0.35850749999999998</v>
      </c>
      <c r="AF207" s="161">
        <v>0.62117833333333305</v>
      </c>
      <c r="AG207" s="161">
        <v>1.16948416666667</v>
      </c>
      <c r="AH207" s="161">
        <v>2.01766333333333</v>
      </c>
      <c r="AI207" s="161">
        <v>3.02481166666667</v>
      </c>
      <c r="AJ207" s="161">
        <v>3.94109166666667</v>
      </c>
      <c r="AK207" s="161">
        <v>5.0439166666666697</v>
      </c>
      <c r="AL207" s="168">
        <v>6.3490000000000002</v>
      </c>
      <c r="AM207" s="168">
        <v>7.97183333333333</v>
      </c>
      <c r="AN207" s="168">
        <v>9.4418333333333297</v>
      </c>
      <c r="AO207" s="168">
        <v>10.471916666666701</v>
      </c>
      <c r="AP207" s="168">
        <v>11.3393</v>
      </c>
      <c r="AQ207" s="168">
        <v>12.099591666666701</v>
      </c>
      <c r="AR207" s="168">
        <v>13.3191166666667</v>
      </c>
      <c r="AS207" s="168">
        <v>21.256966666666699</v>
      </c>
      <c r="AT207" s="168">
        <v>28.208683333333301</v>
      </c>
      <c r="AU207" s="168">
        <v>28.7037333333333</v>
      </c>
      <c r="AV207" s="168">
        <v>24.4786</v>
      </c>
      <c r="AW207" s="168">
        <v>24.073358333333299</v>
      </c>
      <c r="AX207" s="168">
        <v>23.471025000000001</v>
      </c>
      <c r="AY207" s="168">
        <v>20.9493166666667</v>
      </c>
      <c r="AZ207" s="168">
        <v>22.567983333333299</v>
      </c>
      <c r="BA207" s="168">
        <v>20.059275</v>
      </c>
      <c r="BB207" s="168">
        <v>19.314208333333301</v>
      </c>
      <c r="BC207" s="168">
        <v>20.310575</v>
      </c>
      <c r="BD207" s="168">
        <v>20.481608333333298</v>
      </c>
    </row>
    <row r="208" spans="1:56">
      <c r="A208" s="163" t="s">
        <v>513</v>
      </c>
      <c r="B208" s="163" t="s">
        <v>514</v>
      </c>
      <c r="C208" s="161" t="s">
        <v>125</v>
      </c>
      <c r="D208" s="161" t="s">
        <v>125</v>
      </c>
      <c r="E208" s="161" t="s">
        <v>125</v>
      </c>
      <c r="F208" s="161" t="s">
        <v>125</v>
      </c>
      <c r="G208" s="161" t="s">
        <v>125</v>
      </c>
      <c r="H208" s="161" t="s">
        <v>125</v>
      </c>
      <c r="I208" s="161" t="s">
        <v>125</v>
      </c>
      <c r="J208" s="161" t="s">
        <v>125</v>
      </c>
      <c r="K208" s="161" t="s">
        <v>125</v>
      </c>
      <c r="L208" s="161" t="s">
        <v>125</v>
      </c>
      <c r="M208" s="161" t="s">
        <v>125</v>
      </c>
      <c r="N208" s="161" t="s">
        <v>125</v>
      </c>
      <c r="O208" s="161" t="s">
        <v>125</v>
      </c>
      <c r="P208" s="161" t="s">
        <v>125</v>
      </c>
      <c r="Q208" s="161" t="s">
        <v>125</v>
      </c>
      <c r="R208" s="161" t="s">
        <v>125</v>
      </c>
      <c r="S208" s="161" t="s">
        <v>125</v>
      </c>
      <c r="T208" s="161" t="s">
        <v>125</v>
      </c>
      <c r="U208" s="161" t="s">
        <v>125</v>
      </c>
      <c r="V208" s="161" t="s">
        <v>125</v>
      </c>
      <c r="W208" s="161" t="s">
        <v>125</v>
      </c>
      <c r="X208" s="161" t="s">
        <v>125</v>
      </c>
      <c r="Y208" s="161" t="s">
        <v>125</v>
      </c>
      <c r="Z208" s="161" t="s">
        <v>125</v>
      </c>
      <c r="AA208" s="161" t="s">
        <v>125</v>
      </c>
      <c r="AB208" s="161" t="s">
        <v>125</v>
      </c>
      <c r="AC208" s="161" t="s">
        <v>125</v>
      </c>
      <c r="AD208" s="161" t="s">
        <v>125</v>
      </c>
      <c r="AE208" s="161" t="s">
        <v>125</v>
      </c>
      <c r="AF208" s="161" t="s">
        <v>125</v>
      </c>
      <c r="AG208" s="161" t="s">
        <v>125</v>
      </c>
      <c r="AH208" s="161" t="s">
        <v>125</v>
      </c>
      <c r="AI208" s="161" t="s">
        <v>125</v>
      </c>
      <c r="AJ208" s="161" t="s">
        <v>125</v>
      </c>
      <c r="AK208" s="161" t="s">
        <v>125</v>
      </c>
      <c r="AL208" s="168">
        <v>29.774999999999999</v>
      </c>
      <c r="AM208" s="168">
        <v>40.066666666666698</v>
      </c>
      <c r="AN208" s="168">
        <v>62.9166666666667</v>
      </c>
      <c r="AO208" s="168">
        <v>94.491666666666703</v>
      </c>
      <c r="AP208" s="168">
        <v>124.625</v>
      </c>
      <c r="AQ208" s="168">
        <v>236.60833333333301</v>
      </c>
      <c r="AR208" s="168" t="s">
        <v>125</v>
      </c>
      <c r="AS208" s="168" t="s">
        <v>125</v>
      </c>
      <c r="AT208" s="168" t="s">
        <v>125</v>
      </c>
      <c r="AU208" s="168" t="s">
        <v>125</v>
      </c>
      <c r="AV208" s="168" t="s">
        <v>125</v>
      </c>
      <c r="AW208" s="168" t="s">
        <v>125</v>
      </c>
      <c r="AX208" s="168" t="s">
        <v>125</v>
      </c>
      <c r="AY208" s="168" t="s">
        <v>125</v>
      </c>
      <c r="AZ208" s="168" t="s">
        <v>125</v>
      </c>
      <c r="BA208" s="168" t="s">
        <v>125</v>
      </c>
      <c r="BB208" s="168" t="s">
        <v>125</v>
      </c>
      <c r="BC208" s="168" t="s">
        <v>125</v>
      </c>
      <c r="BD208" s="168" t="s">
        <v>125</v>
      </c>
    </row>
    <row r="209" spans="1:56">
      <c r="A209" s="163" t="s">
        <v>515</v>
      </c>
      <c r="B209" s="163" t="s">
        <v>516</v>
      </c>
      <c r="C209" s="161">
        <v>89.765000088765007</v>
      </c>
      <c r="D209" s="161">
        <v>89.765000088765007</v>
      </c>
      <c r="E209" s="161">
        <v>89.765000088765007</v>
      </c>
      <c r="F209" s="161">
        <v>89.765000088765007</v>
      </c>
      <c r="G209" s="161">
        <v>89.765000088765007</v>
      </c>
      <c r="H209" s="161">
        <v>89.765000088765007</v>
      </c>
      <c r="I209" s="161">
        <v>89.765000088765007</v>
      </c>
      <c r="J209" s="161">
        <v>89.765000088765007</v>
      </c>
      <c r="K209" s="161">
        <v>89.765000088765007</v>
      </c>
      <c r="L209" s="161">
        <v>94.440000093440005</v>
      </c>
      <c r="M209" s="161">
        <v>100.985000099985</v>
      </c>
      <c r="N209" s="161">
        <v>100.689451223571</v>
      </c>
      <c r="O209" s="161">
        <v>81.610909090916707</v>
      </c>
      <c r="P209" s="161">
        <v>72.044713804750003</v>
      </c>
      <c r="Q209" s="161">
        <v>77.803232323333305</v>
      </c>
      <c r="R209" s="161">
        <v>69.272592592666697</v>
      </c>
      <c r="S209" s="161">
        <v>77.236228956166698</v>
      </c>
      <c r="T209" s="161">
        <v>79.411313131166693</v>
      </c>
      <c r="U209" s="161">
        <v>72.938989898916702</v>
      </c>
      <c r="V209" s="161">
        <v>68.7582491583333</v>
      </c>
      <c r="W209" s="161">
        <v>68.292121212166705</v>
      </c>
      <c r="X209" s="161">
        <v>87.825925925999996</v>
      </c>
      <c r="Y209" s="161">
        <v>96.207499999999996</v>
      </c>
      <c r="Z209" s="161">
        <v>99.367661992999999</v>
      </c>
      <c r="AA209" s="161">
        <v>99.233333333000004</v>
      </c>
      <c r="AB209" s="161">
        <v>106.03166666600001</v>
      </c>
      <c r="AC209" s="161">
        <v>106.075833332917</v>
      </c>
      <c r="AD209" s="161">
        <v>109.849166666667</v>
      </c>
      <c r="AE209" s="161">
        <v>104.425833333333</v>
      </c>
      <c r="AF209" s="161">
        <v>116.041666666667</v>
      </c>
      <c r="AG209" s="161">
        <v>117.06125</v>
      </c>
      <c r="AH209" s="161">
        <v>111.675</v>
      </c>
      <c r="AI209" s="161">
        <v>113.39166666666701</v>
      </c>
      <c r="AJ209" s="161">
        <v>121.580833333333</v>
      </c>
      <c r="AK209" s="161">
        <v>116.405</v>
      </c>
      <c r="AL209" s="168">
        <v>112.11166666666701</v>
      </c>
      <c r="AM209" s="168">
        <v>111.71916666666699</v>
      </c>
      <c r="AN209" s="168">
        <v>115.87333333333299</v>
      </c>
      <c r="AO209" s="168">
        <v>127.5175</v>
      </c>
      <c r="AP209" s="168">
        <v>129.07499999999999</v>
      </c>
      <c r="AQ209" s="168">
        <v>137.643333333333</v>
      </c>
      <c r="AR209" s="168">
        <v>145.3125</v>
      </c>
      <c r="AS209" s="168">
        <v>139.19833333333301</v>
      </c>
      <c r="AT209" s="168">
        <v>122.18916666666701</v>
      </c>
      <c r="AU209" s="168">
        <v>111.79</v>
      </c>
      <c r="AV209" s="168">
        <v>109.245833333333</v>
      </c>
      <c r="AW209" s="168">
        <v>110.64083333333301</v>
      </c>
      <c r="AX209" s="168">
        <v>102.4375</v>
      </c>
      <c r="AY209" s="168">
        <v>101.334166666667</v>
      </c>
      <c r="AZ209" s="168">
        <v>106.740833333333</v>
      </c>
      <c r="BA209" s="168">
        <v>96.905833333333305</v>
      </c>
      <c r="BB209" s="168">
        <v>89.469166666666695</v>
      </c>
      <c r="BC209" s="168">
        <v>92.637500000000003</v>
      </c>
      <c r="BD209" s="168" t="s">
        <v>125</v>
      </c>
    </row>
    <row r="210" spans="1:56">
      <c r="A210" s="163" t="s">
        <v>517</v>
      </c>
      <c r="B210" s="163" t="s">
        <v>518</v>
      </c>
      <c r="C210" s="161">
        <v>3.3495833323333302</v>
      </c>
      <c r="D210" s="161">
        <v>3.34983333233333</v>
      </c>
      <c r="E210" s="161">
        <v>3.3496666656666698</v>
      </c>
      <c r="F210" s="161">
        <v>3.3496666656666698</v>
      </c>
      <c r="G210" s="161">
        <v>4.3499999999999997E-3</v>
      </c>
      <c r="H210" s="161">
        <v>4.4000000000000003E-3</v>
      </c>
      <c r="I210" s="161">
        <v>4.4000000000000003E-3</v>
      </c>
      <c r="J210" s="161">
        <v>4.4000000000000003E-3</v>
      </c>
      <c r="K210" s="161">
        <v>4.4000000000000003E-3</v>
      </c>
      <c r="L210" s="161">
        <v>4.4000000000000003E-3</v>
      </c>
      <c r="M210" s="161">
        <v>4.4000000000000003E-3</v>
      </c>
      <c r="N210" s="161">
        <v>4.4000000000000003E-3</v>
      </c>
      <c r="O210" s="161">
        <v>4.3E-3</v>
      </c>
      <c r="P210" s="161">
        <v>4.3E-3</v>
      </c>
      <c r="Q210" s="161">
        <v>4.3E-3</v>
      </c>
      <c r="R210" s="161">
        <v>4.3E-3</v>
      </c>
      <c r="S210" s="161">
        <v>4.3E-3</v>
      </c>
      <c r="T210" s="161">
        <v>4.3E-3</v>
      </c>
      <c r="U210" s="161">
        <v>4.3E-3</v>
      </c>
      <c r="V210" s="161">
        <v>4.3E-3</v>
      </c>
      <c r="W210" s="161">
        <v>4.3E-3</v>
      </c>
      <c r="X210" s="161">
        <v>4.3E-3</v>
      </c>
      <c r="Y210" s="161">
        <v>4.3E-3</v>
      </c>
      <c r="Z210" s="161">
        <v>4.3E-3</v>
      </c>
      <c r="AA210" s="161">
        <v>7.0166666666666702E-3</v>
      </c>
      <c r="AB210" s="161">
        <v>7.4999999999999997E-3</v>
      </c>
      <c r="AC210" s="161">
        <v>8.0833333333333295E-3</v>
      </c>
      <c r="AD210" s="161">
        <v>1.4500000000000001E-2</v>
      </c>
      <c r="AE210" s="161">
        <v>1.4500000000000001E-2</v>
      </c>
      <c r="AF210" s="161">
        <v>3.4691666666666697E-2</v>
      </c>
      <c r="AG210" s="161">
        <v>4.68916666666667E-2</v>
      </c>
      <c r="AH210" s="161">
        <v>5.6825000000000001E-2</v>
      </c>
      <c r="AI210" s="161">
        <v>6.8383333333333296E-2</v>
      </c>
      <c r="AJ210" s="161">
        <v>9.0841666666666696E-2</v>
      </c>
      <c r="AK210" s="161">
        <v>0.14685833333333301</v>
      </c>
      <c r="AL210" s="168">
        <v>0.17684166666666701</v>
      </c>
      <c r="AM210" s="168">
        <v>0.41735</v>
      </c>
      <c r="AN210" s="168">
        <v>0.48863333333333298</v>
      </c>
      <c r="AO210" s="168">
        <v>0.54756666666666698</v>
      </c>
      <c r="AP210" s="168">
        <v>0.60572499999999996</v>
      </c>
      <c r="AQ210" s="168">
        <v>0.67996666666666705</v>
      </c>
      <c r="AR210" s="168">
        <v>0.72365833333333296</v>
      </c>
      <c r="AS210" s="168">
        <v>1.1609499999999999</v>
      </c>
      <c r="AT210" s="168">
        <v>1.6069583333333299</v>
      </c>
      <c r="AU210" s="168">
        <v>1.89133333333333</v>
      </c>
      <c r="AV210" s="168">
        <v>2.08975</v>
      </c>
      <c r="AW210" s="168">
        <v>2.1469999999999998</v>
      </c>
      <c r="AX210" s="168">
        <v>2.1469999999999998</v>
      </c>
      <c r="AY210" s="168">
        <v>2.1469999999999998</v>
      </c>
      <c r="AZ210" s="168">
        <v>2.1469999999999998</v>
      </c>
      <c r="BA210" s="168">
        <v>2.5820603174603201</v>
      </c>
      <c r="BB210" s="168">
        <v>4.2892999999999999</v>
      </c>
      <c r="BC210" s="168">
        <v>4.2892999999999999</v>
      </c>
      <c r="BD210" s="168">
        <v>6.0479618416666696</v>
      </c>
    </row>
    <row r="211" spans="1:56">
      <c r="A211" s="163" t="s">
        <v>519</v>
      </c>
      <c r="B211" s="163" t="s">
        <v>520</v>
      </c>
      <c r="C211" s="161" t="s">
        <v>125</v>
      </c>
      <c r="D211" s="161" t="s">
        <v>125</v>
      </c>
      <c r="E211" s="161" t="s">
        <v>125</v>
      </c>
      <c r="F211" s="161" t="s">
        <v>125</v>
      </c>
      <c r="G211" s="161" t="s">
        <v>125</v>
      </c>
      <c r="H211" s="161" t="s">
        <v>125</v>
      </c>
      <c r="I211" s="161" t="s">
        <v>125</v>
      </c>
      <c r="J211" s="161" t="s">
        <v>125</v>
      </c>
      <c r="K211" s="161" t="s">
        <v>125</v>
      </c>
      <c r="L211" s="161" t="s">
        <v>125</v>
      </c>
      <c r="M211" s="161" t="s">
        <v>125</v>
      </c>
      <c r="N211" s="161" t="s">
        <v>125</v>
      </c>
      <c r="O211" s="161" t="s">
        <v>125</v>
      </c>
      <c r="P211" s="161" t="s">
        <v>125</v>
      </c>
      <c r="Q211" s="161" t="s">
        <v>125</v>
      </c>
      <c r="R211" s="161" t="s">
        <v>125</v>
      </c>
      <c r="S211" s="161" t="s">
        <v>125</v>
      </c>
      <c r="T211" s="161" t="s">
        <v>125</v>
      </c>
      <c r="U211" s="161" t="s">
        <v>125</v>
      </c>
      <c r="V211" s="161" t="s">
        <v>125</v>
      </c>
      <c r="W211" s="161" t="s">
        <v>125</v>
      </c>
      <c r="X211" s="161" t="s">
        <v>125</v>
      </c>
      <c r="Y211" s="161" t="s">
        <v>125</v>
      </c>
      <c r="Z211" s="161">
        <v>1.0017709226849301</v>
      </c>
      <c r="AA211" s="161" t="s">
        <v>125</v>
      </c>
      <c r="AB211" s="161" t="s">
        <v>125</v>
      </c>
      <c r="AC211" s="161">
        <v>22.7444347826086</v>
      </c>
      <c r="AD211" s="161">
        <v>78.291398840579504</v>
      </c>
      <c r="AE211" s="161">
        <v>606.51826086956396</v>
      </c>
      <c r="AF211" s="161">
        <v>4463.9459694565103</v>
      </c>
      <c r="AG211" s="161">
        <v>6482.7957028985302</v>
      </c>
      <c r="AH211" s="161">
        <v>10037.034830917801</v>
      </c>
      <c r="AI211" s="161">
        <v>11202.1916666667</v>
      </c>
      <c r="AJ211" s="161">
        <v>10640.958333333299</v>
      </c>
      <c r="AK211" s="161">
        <v>10965.666666666701</v>
      </c>
      <c r="AL211" s="168">
        <v>11038.25</v>
      </c>
      <c r="AM211" s="168">
        <v>11032.583333333299</v>
      </c>
      <c r="AN211" s="168">
        <v>11683.333333333299</v>
      </c>
      <c r="AO211" s="168">
        <v>13268</v>
      </c>
      <c r="AP211" s="168">
        <v>13943.166666666701</v>
      </c>
      <c r="AQ211" s="168">
        <v>14167.75</v>
      </c>
      <c r="AR211" s="168">
        <v>14725.166666666701</v>
      </c>
      <c r="AS211" s="168">
        <v>15279.5</v>
      </c>
      <c r="AT211" s="168">
        <v>15509.583333333299</v>
      </c>
      <c r="AU211" s="168">
        <v>15746</v>
      </c>
      <c r="AV211" s="168">
        <v>15858.916666666701</v>
      </c>
      <c r="AW211" s="168">
        <v>15994.25</v>
      </c>
      <c r="AX211" s="168">
        <v>16105.125</v>
      </c>
      <c r="AY211" s="168">
        <v>16302.25</v>
      </c>
      <c r="AZ211" s="168">
        <v>17065.083333333299</v>
      </c>
      <c r="BA211" s="168">
        <v>18612.916666666701</v>
      </c>
      <c r="BB211" s="168">
        <v>20509.75</v>
      </c>
      <c r="BC211" s="168">
        <v>20828</v>
      </c>
      <c r="BD211" s="168">
        <v>20933.416666666701</v>
      </c>
    </row>
    <row r="212" spans="1:56">
      <c r="A212" s="163" t="s">
        <v>521</v>
      </c>
      <c r="B212" s="163" t="s">
        <v>522</v>
      </c>
      <c r="C212" s="161">
        <v>1</v>
      </c>
      <c r="D212" s="161">
        <v>1</v>
      </c>
      <c r="E212" s="161">
        <v>1</v>
      </c>
      <c r="F212" s="161">
        <v>1</v>
      </c>
      <c r="G212" s="161">
        <v>1</v>
      </c>
      <c r="H212" s="161">
        <v>1</v>
      </c>
      <c r="I212" s="161">
        <v>1</v>
      </c>
      <c r="J212" s="161">
        <v>1</v>
      </c>
      <c r="K212" s="161">
        <v>1</v>
      </c>
      <c r="L212" s="161">
        <v>1</v>
      </c>
      <c r="M212" s="161">
        <v>1</v>
      </c>
      <c r="N212" s="161">
        <v>1</v>
      </c>
      <c r="O212" s="161">
        <v>1</v>
      </c>
      <c r="P212" s="161">
        <v>1</v>
      </c>
      <c r="Q212" s="161">
        <v>1</v>
      </c>
      <c r="R212" s="161">
        <v>1</v>
      </c>
      <c r="S212" s="161">
        <v>1</v>
      </c>
      <c r="T212" s="161">
        <v>1</v>
      </c>
      <c r="U212" s="161">
        <v>1</v>
      </c>
      <c r="V212" s="161">
        <v>1</v>
      </c>
      <c r="W212" s="161">
        <v>1</v>
      </c>
      <c r="X212" s="161">
        <v>1</v>
      </c>
      <c r="Y212" s="161">
        <v>1</v>
      </c>
      <c r="Z212" s="161">
        <v>1</v>
      </c>
      <c r="AA212" s="161">
        <v>1</v>
      </c>
      <c r="AB212" s="161">
        <v>1</v>
      </c>
      <c r="AC212" s="161">
        <v>1</v>
      </c>
      <c r="AD212" s="161">
        <v>1</v>
      </c>
      <c r="AE212" s="161">
        <v>1</v>
      </c>
      <c r="AF212" s="161">
        <v>1</v>
      </c>
      <c r="AG212" s="161">
        <v>1</v>
      </c>
      <c r="AH212" s="161">
        <v>1</v>
      </c>
      <c r="AI212" s="161">
        <v>1</v>
      </c>
      <c r="AJ212" s="161">
        <v>1</v>
      </c>
      <c r="AK212" s="161">
        <v>1</v>
      </c>
      <c r="AL212" s="168">
        <v>1</v>
      </c>
      <c r="AM212" s="168">
        <v>1</v>
      </c>
      <c r="AN212" s="168">
        <v>1</v>
      </c>
      <c r="AO212" s="168">
        <v>1</v>
      </c>
      <c r="AP212" s="168">
        <v>1</v>
      </c>
      <c r="AQ212" s="168">
        <v>1</v>
      </c>
      <c r="AR212" s="168">
        <v>1</v>
      </c>
      <c r="AS212" s="168">
        <v>1</v>
      </c>
      <c r="AT212" s="168">
        <v>1</v>
      </c>
      <c r="AU212" s="168">
        <v>1</v>
      </c>
      <c r="AV212" s="168">
        <v>1</v>
      </c>
      <c r="AW212" s="168">
        <v>1</v>
      </c>
      <c r="AX212" s="168">
        <v>1</v>
      </c>
      <c r="AY212" s="168">
        <v>1</v>
      </c>
      <c r="AZ212" s="168">
        <v>1</v>
      </c>
      <c r="BA212" s="168">
        <v>1</v>
      </c>
      <c r="BB212" s="168">
        <v>1</v>
      </c>
      <c r="BC212" s="168">
        <v>1</v>
      </c>
      <c r="BD212" s="168">
        <v>1</v>
      </c>
    </row>
    <row r="213" spans="1:56">
      <c r="A213" s="163" t="s">
        <v>523</v>
      </c>
      <c r="B213" s="163" t="s">
        <v>571</v>
      </c>
      <c r="C213" s="161" t="s">
        <v>125</v>
      </c>
      <c r="D213" s="161" t="s">
        <v>125</v>
      </c>
      <c r="E213" s="161" t="s">
        <v>125</v>
      </c>
      <c r="F213" s="161" t="s">
        <v>125</v>
      </c>
      <c r="G213" s="161" t="s">
        <v>125</v>
      </c>
      <c r="H213" s="161" t="s">
        <v>125</v>
      </c>
      <c r="I213" s="161" t="s">
        <v>125</v>
      </c>
      <c r="J213" s="161" t="s">
        <v>125</v>
      </c>
      <c r="K213" s="161" t="s">
        <v>125</v>
      </c>
      <c r="L213" s="161" t="s">
        <v>125</v>
      </c>
      <c r="M213" s="161" t="s">
        <v>125</v>
      </c>
      <c r="N213" s="161" t="s">
        <v>125</v>
      </c>
      <c r="O213" s="161" t="s">
        <v>125</v>
      </c>
      <c r="P213" s="161" t="s">
        <v>125</v>
      </c>
      <c r="Q213" s="161" t="s">
        <v>125</v>
      </c>
      <c r="R213" s="161" t="s">
        <v>125</v>
      </c>
      <c r="S213" s="161" t="s">
        <v>125</v>
      </c>
      <c r="T213" s="161" t="s">
        <v>125</v>
      </c>
      <c r="U213" s="161" t="s">
        <v>125</v>
      </c>
      <c r="V213" s="161" t="s">
        <v>125</v>
      </c>
      <c r="W213" s="161" t="s">
        <v>125</v>
      </c>
      <c r="X213" s="161" t="s">
        <v>125</v>
      </c>
      <c r="Y213" s="161" t="s">
        <v>125</v>
      </c>
      <c r="Z213" s="161" t="s">
        <v>125</v>
      </c>
      <c r="AA213" s="161" t="s">
        <v>125</v>
      </c>
      <c r="AB213" s="161" t="s">
        <v>125</v>
      </c>
      <c r="AC213" s="161" t="s">
        <v>125</v>
      </c>
      <c r="AD213" s="161" t="s">
        <v>125</v>
      </c>
      <c r="AE213" s="161" t="s">
        <v>125</v>
      </c>
      <c r="AF213" s="161" t="s">
        <v>125</v>
      </c>
      <c r="AG213" s="161" t="s">
        <v>125</v>
      </c>
      <c r="AH213" s="161" t="s">
        <v>125</v>
      </c>
      <c r="AI213" s="161" t="s">
        <v>125</v>
      </c>
      <c r="AJ213" s="161" t="s">
        <v>125</v>
      </c>
      <c r="AK213" s="161" t="s">
        <v>125</v>
      </c>
      <c r="AL213" s="168" t="s">
        <v>125</v>
      </c>
      <c r="AM213" s="168" t="s">
        <v>125</v>
      </c>
      <c r="AN213" s="168" t="s">
        <v>125</v>
      </c>
      <c r="AO213" s="168" t="s">
        <v>125</v>
      </c>
      <c r="AP213" s="168" t="s">
        <v>125</v>
      </c>
      <c r="AQ213" s="168" t="s">
        <v>125</v>
      </c>
      <c r="AR213" s="168" t="s">
        <v>125</v>
      </c>
      <c r="AS213" s="168" t="s">
        <v>125</v>
      </c>
      <c r="AT213" s="168" t="s">
        <v>125</v>
      </c>
      <c r="AU213" s="168" t="s">
        <v>125</v>
      </c>
      <c r="AV213" s="168" t="s">
        <v>125</v>
      </c>
      <c r="AW213" s="168" t="s">
        <v>125</v>
      </c>
      <c r="AX213" s="168" t="s">
        <v>125</v>
      </c>
      <c r="AY213" s="168" t="s">
        <v>125</v>
      </c>
      <c r="AZ213" s="168" t="s">
        <v>125</v>
      </c>
      <c r="BA213" s="168" t="s">
        <v>125</v>
      </c>
      <c r="BB213" s="168" t="s">
        <v>125</v>
      </c>
      <c r="BC213" s="168" t="s">
        <v>125</v>
      </c>
      <c r="BD213" s="168" t="s">
        <v>125</v>
      </c>
    </row>
    <row r="214" spans="1:56">
      <c r="A214" s="163" t="s">
        <v>525</v>
      </c>
      <c r="B214" s="163" t="s">
        <v>526</v>
      </c>
      <c r="C214" s="161" t="s">
        <v>125</v>
      </c>
      <c r="D214" s="161" t="s">
        <v>125</v>
      </c>
      <c r="E214" s="161" t="s">
        <v>125</v>
      </c>
      <c r="F214" s="161" t="s">
        <v>125</v>
      </c>
      <c r="G214" s="161" t="s">
        <v>125</v>
      </c>
      <c r="H214" s="161" t="s">
        <v>125</v>
      </c>
      <c r="I214" s="161" t="s">
        <v>125</v>
      </c>
      <c r="J214" s="161" t="s">
        <v>125</v>
      </c>
      <c r="K214" s="161" t="s">
        <v>125</v>
      </c>
      <c r="L214" s="161" t="s">
        <v>125</v>
      </c>
      <c r="M214" s="161" t="s">
        <v>125</v>
      </c>
      <c r="N214" s="161" t="s">
        <v>125</v>
      </c>
      <c r="O214" s="161" t="s">
        <v>125</v>
      </c>
      <c r="P214" s="161" t="s">
        <v>125</v>
      </c>
      <c r="Q214" s="161" t="s">
        <v>125</v>
      </c>
      <c r="R214" s="161" t="s">
        <v>125</v>
      </c>
      <c r="S214" s="161" t="s">
        <v>125</v>
      </c>
      <c r="T214" s="161" t="s">
        <v>125</v>
      </c>
      <c r="U214" s="161" t="s">
        <v>125</v>
      </c>
      <c r="V214" s="161" t="s">
        <v>125</v>
      </c>
      <c r="W214" s="161" t="s">
        <v>125</v>
      </c>
      <c r="X214" s="161" t="s">
        <v>125</v>
      </c>
      <c r="Y214" s="161" t="s">
        <v>125</v>
      </c>
      <c r="Z214" s="161" t="s">
        <v>125</v>
      </c>
      <c r="AA214" s="161" t="s">
        <v>125</v>
      </c>
      <c r="AB214" s="161" t="s">
        <v>125</v>
      </c>
      <c r="AC214" s="161" t="s">
        <v>125</v>
      </c>
      <c r="AD214" s="161" t="s">
        <v>125</v>
      </c>
      <c r="AE214" s="161" t="s">
        <v>125</v>
      </c>
      <c r="AF214" s="161" t="s">
        <v>125</v>
      </c>
      <c r="AG214" s="161">
        <v>12.0100611997629</v>
      </c>
      <c r="AH214" s="161">
        <v>12.0100611997629</v>
      </c>
      <c r="AI214" s="161">
        <v>12.0100611997629</v>
      </c>
      <c r="AJ214" s="161">
        <v>12.0100611997629</v>
      </c>
      <c r="AK214" s="161">
        <v>12.0100611997629</v>
      </c>
      <c r="AL214" s="168">
        <v>40.839166816264701</v>
      </c>
      <c r="AM214" s="168">
        <v>94.156666999999999</v>
      </c>
      <c r="AN214" s="168">
        <v>129.28083333333299</v>
      </c>
      <c r="AO214" s="168">
        <v>135.881666666667</v>
      </c>
      <c r="AP214" s="168">
        <v>155.71833333333299</v>
      </c>
      <c r="AQ214" s="168">
        <v>161.71833333333299</v>
      </c>
      <c r="AR214" s="168">
        <v>168.67166666666699</v>
      </c>
      <c r="AS214" s="168">
        <v>175.625</v>
      </c>
      <c r="AT214" s="168">
        <v>183.44833333333301</v>
      </c>
      <c r="AU214" s="168">
        <v>184.775833333333</v>
      </c>
      <c r="AV214" s="168">
        <v>191.509166666667</v>
      </c>
      <c r="AW214" s="168">
        <v>197.04916666666699</v>
      </c>
      <c r="AX214" s="168">
        <v>198.95333333333301</v>
      </c>
      <c r="AY214" s="168">
        <v>199.76416666666699</v>
      </c>
      <c r="AZ214" s="168">
        <v>202.84666666666701</v>
      </c>
      <c r="BA214" s="168">
        <v>219.59</v>
      </c>
      <c r="BB214" s="168">
        <v>213.8</v>
      </c>
      <c r="BC214" s="168">
        <v>214.35083333333299</v>
      </c>
      <c r="BD214" s="168">
        <v>214.89</v>
      </c>
    </row>
    <row r="215" spans="1:56">
      <c r="A215" s="163" t="s">
        <v>527</v>
      </c>
      <c r="B215" s="163" t="s">
        <v>528</v>
      </c>
      <c r="C215" s="161">
        <v>0.71428599971428597</v>
      </c>
      <c r="D215" s="161">
        <v>0.71428599971428597</v>
      </c>
      <c r="E215" s="161">
        <v>0.71428599971428597</v>
      </c>
      <c r="F215" s="161">
        <v>0.71428599971428597</v>
      </c>
      <c r="G215" s="161">
        <v>0.71428599971428597</v>
      </c>
      <c r="H215" s="161">
        <v>0.71428599971428597</v>
      </c>
      <c r="I215" s="161">
        <v>0.71428599971428597</v>
      </c>
      <c r="J215" s="161">
        <v>0.71428599971428597</v>
      </c>
      <c r="K215" s="161">
        <v>0.71428599971428597</v>
      </c>
      <c r="L215" s="161">
        <v>0.71428599971428597</v>
      </c>
      <c r="M215" s="161">
        <v>0.71428599971428597</v>
      </c>
      <c r="N215" s="161">
        <v>0.71428599887889399</v>
      </c>
      <c r="O215" s="161">
        <v>7.1431749899999997E-4</v>
      </c>
      <c r="P215" s="161">
        <v>6.5239666566666704E-4</v>
      </c>
      <c r="Q215" s="161">
        <v>6.43459999E-4</v>
      </c>
      <c r="R215" s="161">
        <v>6.4322999949999995E-4</v>
      </c>
      <c r="S215" s="161">
        <v>7.0098383316666703E-4</v>
      </c>
      <c r="T215" s="161">
        <v>7.89727832416667E-4</v>
      </c>
      <c r="U215" s="161">
        <v>8.0066666666666697E-4</v>
      </c>
      <c r="V215" s="161">
        <v>7.9333333333333296E-4</v>
      </c>
      <c r="W215" s="161">
        <v>7.8866666666666701E-4</v>
      </c>
      <c r="X215" s="161">
        <v>8.6958333333333299E-4</v>
      </c>
      <c r="Y215" s="161">
        <v>9.2875E-4</v>
      </c>
      <c r="Z215" s="161">
        <v>1.2589999999999999E-3</v>
      </c>
      <c r="AA215" s="161">
        <v>1.8131883327499999E-3</v>
      </c>
      <c r="AB215" s="161">
        <v>3.1396416662499999E-3</v>
      </c>
      <c r="AC215" s="161">
        <v>7.7884491665833298E-3</v>
      </c>
      <c r="AD215" s="161">
        <v>9.5194749999999995E-3</v>
      </c>
      <c r="AE215" s="161">
        <v>8.2660249999999998E-3</v>
      </c>
      <c r="AF215" s="161">
        <v>1.3813695833333301E-2</v>
      </c>
      <c r="AG215" s="161">
        <v>3.0289108333333301E-2</v>
      </c>
      <c r="AH215" s="161">
        <v>6.4639708333333296E-2</v>
      </c>
      <c r="AI215" s="161">
        <v>0.17221378333333301</v>
      </c>
      <c r="AJ215" s="161">
        <v>0.45276266666666698</v>
      </c>
      <c r="AK215" s="161">
        <v>0.66937062166666705</v>
      </c>
      <c r="AL215" s="168">
        <v>0.86411916666666699</v>
      </c>
      <c r="AM215" s="168">
        <v>1.2079</v>
      </c>
      <c r="AN215" s="168">
        <v>1.3144975000000001</v>
      </c>
      <c r="AO215" s="168">
        <v>1.86206916666667</v>
      </c>
      <c r="AP215" s="168">
        <v>2.3880191666666701</v>
      </c>
      <c r="AQ215" s="168">
        <v>3.11084416666667</v>
      </c>
      <c r="AR215" s="168">
        <v>3.610935</v>
      </c>
      <c r="AS215" s="168">
        <v>4.3985950000000003</v>
      </c>
      <c r="AT215" s="168">
        <v>4.7332710464987198</v>
      </c>
      <c r="AU215" s="168">
        <v>4.7788753864357902</v>
      </c>
      <c r="AV215" s="168">
        <v>4.4635033105158701</v>
      </c>
      <c r="AW215" s="168">
        <v>3.60307204258249</v>
      </c>
      <c r="AX215" s="168">
        <v>4.0025226650364303</v>
      </c>
      <c r="AY215" s="168">
        <v>3.7456606900876399</v>
      </c>
      <c r="AZ215" s="168">
        <v>5.0461092452123504</v>
      </c>
      <c r="BA215" s="168">
        <v>4.7971368749999996</v>
      </c>
      <c r="BB215" s="168">
        <v>4.8606655320934902</v>
      </c>
      <c r="BC215" s="168">
        <v>5.1472526651441299</v>
      </c>
      <c r="BD215" s="168">
        <v>5.3958870679444599</v>
      </c>
    </row>
    <row r="216" spans="1:56">
      <c r="A216" s="163" t="s">
        <v>529</v>
      </c>
      <c r="B216" s="163" t="s">
        <v>530</v>
      </c>
      <c r="C216" s="161">
        <v>7.1428600071428601E-4</v>
      </c>
      <c r="D216" s="161">
        <v>7.1428600071428601E-4</v>
      </c>
      <c r="E216" s="161">
        <v>7.1428600071428601E-4</v>
      </c>
      <c r="F216" s="161">
        <v>7.1428600071428601E-4</v>
      </c>
      <c r="G216" s="161">
        <v>7.1428600071428601E-4</v>
      </c>
      <c r="H216" s="161">
        <v>7.1428600071428601E-4</v>
      </c>
      <c r="I216" s="161">
        <v>7.1428600071428601E-4</v>
      </c>
      <c r="J216" s="161">
        <v>7.1428600071428601E-4</v>
      </c>
      <c r="K216" s="161">
        <v>7.1428600071428601E-4</v>
      </c>
      <c r="L216" s="161">
        <v>7.1428600071428601E-4</v>
      </c>
      <c r="M216" s="161">
        <v>7.1428600071428601E-4</v>
      </c>
      <c r="N216" s="161">
        <v>7.1219542995242695E-4</v>
      </c>
      <c r="O216" s="161">
        <v>6.5783174204698505E-4</v>
      </c>
      <c r="P216" s="161">
        <v>5.8571488122451999E-4</v>
      </c>
      <c r="Q216" s="161">
        <v>5.8357882281972399E-4</v>
      </c>
      <c r="R216" s="161">
        <v>5.7076428281416605E-4</v>
      </c>
      <c r="S216" s="161">
        <v>6.2607704338503499E-4</v>
      </c>
      <c r="T216" s="161">
        <v>6.2906376559987204E-4</v>
      </c>
      <c r="U216" s="161">
        <v>6.7482402076295101E-4</v>
      </c>
      <c r="V216" s="161">
        <v>6.8049712441124505E-4</v>
      </c>
      <c r="W216" s="161">
        <v>6.4529051059388995E-4</v>
      </c>
      <c r="X216" s="161">
        <v>6.9097568056162499E-4</v>
      </c>
      <c r="Y216" s="161">
        <v>7.5994560388581401E-4</v>
      </c>
      <c r="Z216" s="161">
        <v>1.01423413220455E-3</v>
      </c>
      <c r="AA216" s="161">
        <v>1.25893678408442E-3</v>
      </c>
      <c r="AB216" s="161">
        <v>1.6155163771118799E-3</v>
      </c>
      <c r="AC216" s="161">
        <v>1.6684764684788899E-3</v>
      </c>
      <c r="AD216" s="161">
        <v>1.6634624460731601E-3</v>
      </c>
      <c r="AE216" s="161">
        <v>1.80773447752897E-3</v>
      </c>
      <c r="AF216" s="161">
        <v>2.12134031008689E-3</v>
      </c>
      <c r="AG216" s="161">
        <v>2.45451835023142E-3</v>
      </c>
      <c r="AH216" s="161">
        <v>3.6254886572367698E-3</v>
      </c>
      <c r="AI216" s="161">
        <v>5.1042665511594996E-3</v>
      </c>
      <c r="AJ216" s="161">
        <v>6.4904940995879198E-3</v>
      </c>
      <c r="AK216" s="161">
        <v>8.1607990595128806E-3</v>
      </c>
      <c r="AL216" s="168">
        <v>8.6752193293132395E-3</v>
      </c>
      <c r="AM216" s="168">
        <v>1.00137132167889E-2</v>
      </c>
      <c r="AN216" s="168">
        <v>1.21250465891802E-2</v>
      </c>
      <c r="AO216" s="168">
        <v>2.3706012838122799E-2</v>
      </c>
      <c r="AP216" s="168">
        <v>3.8344710205420497E-2</v>
      </c>
      <c r="AQ216" s="168">
        <v>4.4468376417429997E-2</v>
      </c>
      <c r="AR216" s="168">
        <v>5.5114659712586597E-2</v>
      </c>
      <c r="AS216" s="168">
        <v>5.5098290581033799E-2</v>
      </c>
      <c r="AT216" s="168">
        <v>0.69821607130572305</v>
      </c>
      <c r="AU216" s="168">
        <v>5.0744194146319499</v>
      </c>
      <c r="AV216" s="168">
        <v>22.389039604825498</v>
      </c>
      <c r="AW216" s="168">
        <v>164.547356500646</v>
      </c>
      <c r="AX216" s="168">
        <v>9686.7716695417494</v>
      </c>
      <c r="AY216" s="168">
        <v>6723052073.3381004</v>
      </c>
      <c r="AZ216" s="168" t="s">
        <v>125</v>
      </c>
      <c r="BA216" s="168" t="s">
        <v>125</v>
      </c>
      <c r="BB216" s="168" t="s">
        <v>125</v>
      </c>
      <c r="BC216" s="168" t="s">
        <v>125</v>
      </c>
      <c r="BD216" s="168" t="s">
        <v>125</v>
      </c>
    </row>
    <row r="221" spans="1:56">
      <c r="A221" s="170" t="s">
        <v>572</v>
      </c>
    </row>
    <row r="222" spans="1:56">
      <c r="A222" s="169" t="s">
        <v>573</v>
      </c>
    </row>
    <row r="223" spans="1:56">
      <c r="A223" s="169" t="s">
        <v>574</v>
      </c>
    </row>
    <row r="225" spans="1:1">
      <c r="A225" s="163" t="s">
        <v>575</v>
      </c>
    </row>
  </sheetData>
  <printOptions gridLines="1"/>
  <pageMargins left="0.7" right="0.7" top="0.75" bottom="0.75" header="0.3" footer="0.3"/>
  <headerFooter alignWithMargins="0">
    <oddHeader>&amp;C&amp;"-,Bold"Exchange Rates
J-PAL Cost-Effectiveness</oddHeader>
  </headerFooter>
  <colBreaks count="1" manualBreakCount="1">
    <brk id="5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FD259"/>
  <sheetViews>
    <sheetView topLeftCell="A2" workbookViewId="0">
      <selection activeCell="BF231" sqref="BF231"/>
    </sheetView>
  </sheetViews>
  <sheetFormatPr baseColWidth="10" defaultColWidth="8.83203125" defaultRowHeight="15" outlineLevelRow="1"/>
  <cols>
    <col min="1" max="1" width="27.33203125" style="163" customWidth="1"/>
    <col min="2" max="2" width="12" style="163" hidden="1" customWidth="1"/>
    <col min="3" max="22" width="5" style="163" hidden="1" customWidth="1"/>
    <col min="23" max="32" width="11.5" style="163" hidden="1" customWidth="1"/>
    <col min="33" max="39" width="11.5" style="165" customWidth="1"/>
    <col min="40" max="43" width="10.5" style="165" customWidth="1"/>
    <col min="44" max="54" width="12" style="165" bestFit="1" customWidth="1"/>
    <col min="55" max="56" width="10.33203125" style="165" customWidth="1"/>
    <col min="57" max="16384" width="8.83203125" style="163"/>
  </cols>
  <sheetData>
    <row r="1" spans="1:16384" s="154" customFormat="1" hidden="1" outlineLevel="1">
      <c r="A1" s="154" t="s">
        <v>1</v>
      </c>
      <c r="C1" s="154" t="str">
        <f>C2&amp;"y"</f>
        <v>1960y</v>
      </c>
      <c r="D1" s="154" t="str">
        <f t="shared" ref="D1:BO1" si="0">D2&amp;"y"</f>
        <v>1961y</v>
      </c>
      <c r="E1" s="154" t="str">
        <f t="shared" si="0"/>
        <v>1962y</v>
      </c>
      <c r="F1" s="154" t="str">
        <f t="shared" si="0"/>
        <v>1963y</v>
      </c>
      <c r="G1" s="154" t="str">
        <f t="shared" si="0"/>
        <v>1964y</v>
      </c>
      <c r="H1" s="154" t="str">
        <f t="shared" si="0"/>
        <v>1965y</v>
      </c>
      <c r="I1" s="154" t="str">
        <f t="shared" si="0"/>
        <v>1966y</v>
      </c>
      <c r="J1" s="154" t="str">
        <f t="shared" si="0"/>
        <v>1967y</v>
      </c>
      <c r="K1" s="154" t="str">
        <f t="shared" si="0"/>
        <v>1968y</v>
      </c>
      <c r="L1" s="154" t="str">
        <f t="shared" si="0"/>
        <v>1969y</v>
      </c>
      <c r="M1" s="154" t="str">
        <f t="shared" si="0"/>
        <v>1970y</v>
      </c>
      <c r="N1" s="154" t="str">
        <f t="shared" si="0"/>
        <v>1971y</v>
      </c>
      <c r="O1" s="154" t="str">
        <f t="shared" si="0"/>
        <v>1972y</v>
      </c>
      <c r="P1" s="154" t="str">
        <f t="shared" si="0"/>
        <v>1973y</v>
      </c>
      <c r="Q1" s="154" t="str">
        <f t="shared" si="0"/>
        <v>1974y</v>
      </c>
      <c r="R1" s="154" t="str">
        <f t="shared" si="0"/>
        <v>1975y</v>
      </c>
      <c r="S1" s="154" t="str">
        <f t="shared" si="0"/>
        <v>1976y</v>
      </c>
      <c r="T1" s="154" t="str">
        <f t="shared" si="0"/>
        <v>1977y</v>
      </c>
      <c r="U1" s="154" t="str">
        <f t="shared" si="0"/>
        <v>1978y</v>
      </c>
      <c r="V1" s="154" t="str">
        <f t="shared" si="0"/>
        <v>1979y</v>
      </c>
      <c r="W1" s="154" t="str">
        <f t="shared" si="0"/>
        <v>1980y</v>
      </c>
      <c r="X1" s="154" t="str">
        <f t="shared" si="0"/>
        <v>1981y</v>
      </c>
      <c r="Y1" s="154" t="str">
        <f t="shared" si="0"/>
        <v>1982y</v>
      </c>
      <c r="Z1" s="154" t="str">
        <f t="shared" si="0"/>
        <v>1983y</v>
      </c>
      <c r="AA1" s="154" t="str">
        <f t="shared" si="0"/>
        <v>1984y</v>
      </c>
      <c r="AB1" s="154" t="str">
        <f t="shared" si="0"/>
        <v>1985y</v>
      </c>
      <c r="AC1" s="154" t="str">
        <f t="shared" si="0"/>
        <v>1986y</v>
      </c>
      <c r="AD1" s="154" t="str">
        <f t="shared" si="0"/>
        <v>1987y</v>
      </c>
      <c r="AE1" s="154" t="str">
        <f t="shared" si="0"/>
        <v>1988y</v>
      </c>
      <c r="AF1" s="154" t="str">
        <f t="shared" si="0"/>
        <v>1989y</v>
      </c>
      <c r="AG1" s="155" t="str">
        <f t="shared" si="0"/>
        <v>1990y</v>
      </c>
      <c r="AH1" s="155" t="str">
        <f t="shared" si="0"/>
        <v>1991y</v>
      </c>
      <c r="AI1" s="155" t="str">
        <f t="shared" si="0"/>
        <v>1992y</v>
      </c>
      <c r="AJ1" s="155" t="str">
        <f t="shared" si="0"/>
        <v>1993y</v>
      </c>
      <c r="AK1" s="155" t="str">
        <f t="shared" si="0"/>
        <v>1994y</v>
      </c>
      <c r="AL1" s="155" t="str">
        <f t="shared" si="0"/>
        <v>1995y</v>
      </c>
      <c r="AM1" s="155" t="str">
        <f t="shared" si="0"/>
        <v>1996y</v>
      </c>
      <c r="AN1" s="155" t="str">
        <f t="shared" si="0"/>
        <v>1997y</v>
      </c>
      <c r="AO1" s="155" t="str">
        <f t="shared" si="0"/>
        <v>1998y</v>
      </c>
      <c r="AP1" s="155" t="str">
        <f t="shared" si="0"/>
        <v>1999y</v>
      </c>
      <c r="AQ1" s="155" t="str">
        <f t="shared" si="0"/>
        <v>2000y</v>
      </c>
      <c r="AR1" s="155" t="str">
        <f t="shared" si="0"/>
        <v>2001y</v>
      </c>
      <c r="AS1" s="155" t="str">
        <f t="shared" si="0"/>
        <v>2002y</v>
      </c>
      <c r="AT1" s="155" t="str">
        <f t="shared" si="0"/>
        <v>2003y</v>
      </c>
      <c r="AU1" s="155" t="str">
        <f t="shared" si="0"/>
        <v>2004y</v>
      </c>
      <c r="AV1" s="155" t="str">
        <f t="shared" si="0"/>
        <v>2005y</v>
      </c>
      <c r="AW1" s="155" t="str">
        <f t="shared" si="0"/>
        <v>2006y</v>
      </c>
      <c r="AX1" s="155" t="str">
        <f t="shared" si="0"/>
        <v>2007y</v>
      </c>
      <c r="AY1" s="155" t="str">
        <f t="shared" si="0"/>
        <v>2008y</v>
      </c>
      <c r="AZ1" s="155" t="str">
        <f t="shared" si="0"/>
        <v>2009y</v>
      </c>
      <c r="BA1" s="155" t="str">
        <f t="shared" si="0"/>
        <v>2010y</v>
      </c>
      <c r="BB1" s="155" t="str">
        <f t="shared" si="0"/>
        <v>2011y</v>
      </c>
      <c r="BC1" s="155" t="str">
        <f t="shared" si="0"/>
        <v>2012y</v>
      </c>
      <c r="BD1" s="155" t="str">
        <f t="shared" si="0"/>
        <v>2013y</v>
      </c>
      <c r="BE1" s="154" t="str">
        <f t="shared" si="0"/>
        <v>y</v>
      </c>
      <c r="BF1" s="154" t="str">
        <f t="shared" si="0"/>
        <v>y</v>
      </c>
      <c r="BG1" s="154" t="str">
        <f t="shared" si="0"/>
        <v>y</v>
      </c>
      <c r="BH1" s="154" t="str">
        <f t="shared" si="0"/>
        <v>y</v>
      </c>
      <c r="BI1" s="154" t="str">
        <f t="shared" si="0"/>
        <v>y</v>
      </c>
      <c r="BJ1" s="154" t="str">
        <f t="shared" si="0"/>
        <v>y</v>
      </c>
      <c r="BK1" s="154" t="str">
        <f t="shared" si="0"/>
        <v>y</v>
      </c>
      <c r="BL1" s="154" t="str">
        <f t="shared" si="0"/>
        <v>y</v>
      </c>
      <c r="BM1" s="154" t="str">
        <f t="shared" si="0"/>
        <v>y</v>
      </c>
      <c r="BN1" s="154" t="str">
        <f t="shared" si="0"/>
        <v>y</v>
      </c>
      <c r="BO1" s="154" t="str">
        <f t="shared" si="0"/>
        <v>y</v>
      </c>
      <c r="BP1" s="154" t="str">
        <f t="shared" ref="BP1:EA1" si="1">BP2&amp;"y"</f>
        <v>y</v>
      </c>
      <c r="BQ1" s="154" t="str">
        <f t="shared" si="1"/>
        <v>y</v>
      </c>
      <c r="BR1" s="154" t="str">
        <f t="shared" si="1"/>
        <v>y</v>
      </c>
      <c r="BS1" s="154" t="str">
        <f t="shared" si="1"/>
        <v>y</v>
      </c>
      <c r="BT1" s="154" t="str">
        <f t="shared" si="1"/>
        <v>y</v>
      </c>
      <c r="BU1" s="154" t="str">
        <f t="shared" si="1"/>
        <v>y</v>
      </c>
      <c r="BV1" s="154" t="str">
        <f t="shared" si="1"/>
        <v>y</v>
      </c>
      <c r="BW1" s="154" t="str">
        <f t="shared" si="1"/>
        <v>y</v>
      </c>
      <c r="BX1" s="154" t="str">
        <f t="shared" si="1"/>
        <v>y</v>
      </c>
      <c r="BY1" s="154" t="str">
        <f t="shared" si="1"/>
        <v>y</v>
      </c>
      <c r="BZ1" s="154" t="str">
        <f t="shared" si="1"/>
        <v>y</v>
      </c>
      <c r="CA1" s="154" t="str">
        <f t="shared" si="1"/>
        <v>y</v>
      </c>
      <c r="CB1" s="154" t="str">
        <f t="shared" si="1"/>
        <v>y</v>
      </c>
      <c r="CC1" s="154" t="str">
        <f t="shared" si="1"/>
        <v>y</v>
      </c>
      <c r="CD1" s="154" t="str">
        <f t="shared" si="1"/>
        <v>y</v>
      </c>
      <c r="CE1" s="154" t="str">
        <f t="shared" si="1"/>
        <v>y</v>
      </c>
      <c r="CF1" s="154" t="str">
        <f t="shared" si="1"/>
        <v>y</v>
      </c>
      <c r="CG1" s="154" t="str">
        <f t="shared" si="1"/>
        <v>y</v>
      </c>
      <c r="CH1" s="154" t="str">
        <f t="shared" si="1"/>
        <v>y</v>
      </c>
      <c r="CI1" s="154" t="str">
        <f t="shared" si="1"/>
        <v>y</v>
      </c>
      <c r="CJ1" s="154" t="str">
        <f t="shared" si="1"/>
        <v>y</v>
      </c>
      <c r="CK1" s="154" t="str">
        <f t="shared" si="1"/>
        <v>y</v>
      </c>
      <c r="CL1" s="154" t="str">
        <f t="shared" si="1"/>
        <v>y</v>
      </c>
      <c r="CM1" s="154" t="str">
        <f t="shared" si="1"/>
        <v>y</v>
      </c>
      <c r="CN1" s="154" t="str">
        <f t="shared" si="1"/>
        <v>y</v>
      </c>
      <c r="CO1" s="154" t="str">
        <f t="shared" si="1"/>
        <v>y</v>
      </c>
      <c r="CP1" s="154" t="str">
        <f t="shared" si="1"/>
        <v>y</v>
      </c>
      <c r="CQ1" s="154" t="str">
        <f t="shared" si="1"/>
        <v>y</v>
      </c>
      <c r="CR1" s="154" t="str">
        <f t="shared" si="1"/>
        <v>y</v>
      </c>
      <c r="CS1" s="154" t="str">
        <f t="shared" si="1"/>
        <v>y</v>
      </c>
      <c r="CT1" s="154" t="str">
        <f t="shared" si="1"/>
        <v>y</v>
      </c>
      <c r="CU1" s="154" t="str">
        <f t="shared" si="1"/>
        <v>y</v>
      </c>
      <c r="CV1" s="154" t="str">
        <f t="shared" si="1"/>
        <v>y</v>
      </c>
      <c r="CW1" s="154" t="str">
        <f t="shared" si="1"/>
        <v>y</v>
      </c>
      <c r="CX1" s="154" t="str">
        <f t="shared" si="1"/>
        <v>y</v>
      </c>
      <c r="CY1" s="154" t="str">
        <f t="shared" si="1"/>
        <v>y</v>
      </c>
      <c r="CZ1" s="154" t="str">
        <f t="shared" si="1"/>
        <v>y</v>
      </c>
      <c r="DA1" s="154" t="str">
        <f t="shared" si="1"/>
        <v>y</v>
      </c>
      <c r="DB1" s="154" t="str">
        <f t="shared" si="1"/>
        <v>y</v>
      </c>
      <c r="DC1" s="154" t="str">
        <f t="shared" si="1"/>
        <v>y</v>
      </c>
      <c r="DD1" s="154" t="str">
        <f t="shared" si="1"/>
        <v>y</v>
      </c>
      <c r="DE1" s="154" t="str">
        <f t="shared" si="1"/>
        <v>y</v>
      </c>
      <c r="DF1" s="154" t="str">
        <f t="shared" si="1"/>
        <v>y</v>
      </c>
      <c r="DG1" s="154" t="str">
        <f t="shared" si="1"/>
        <v>y</v>
      </c>
      <c r="DH1" s="154" t="str">
        <f t="shared" si="1"/>
        <v>y</v>
      </c>
      <c r="DI1" s="154" t="str">
        <f t="shared" si="1"/>
        <v>y</v>
      </c>
      <c r="DJ1" s="154" t="str">
        <f t="shared" si="1"/>
        <v>y</v>
      </c>
      <c r="DK1" s="154" t="str">
        <f t="shared" si="1"/>
        <v>y</v>
      </c>
      <c r="DL1" s="154" t="str">
        <f t="shared" si="1"/>
        <v>y</v>
      </c>
      <c r="DM1" s="154" t="str">
        <f t="shared" si="1"/>
        <v>y</v>
      </c>
      <c r="DN1" s="154" t="str">
        <f t="shared" si="1"/>
        <v>y</v>
      </c>
      <c r="DO1" s="154" t="str">
        <f t="shared" si="1"/>
        <v>y</v>
      </c>
      <c r="DP1" s="154" t="str">
        <f t="shared" si="1"/>
        <v>y</v>
      </c>
      <c r="DQ1" s="154" t="str">
        <f t="shared" si="1"/>
        <v>y</v>
      </c>
      <c r="DR1" s="154" t="str">
        <f t="shared" si="1"/>
        <v>y</v>
      </c>
      <c r="DS1" s="154" t="str">
        <f t="shared" si="1"/>
        <v>y</v>
      </c>
      <c r="DT1" s="154" t="str">
        <f t="shared" si="1"/>
        <v>y</v>
      </c>
      <c r="DU1" s="154" t="str">
        <f t="shared" si="1"/>
        <v>y</v>
      </c>
      <c r="DV1" s="154" t="str">
        <f t="shared" si="1"/>
        <v>y</v>
      </c>
      <c r="DW1" s="154" t="str">
        <f t="shared" si="1"/>
        <v>y</v>
      </c>
      <c r="DX1" s="154" t="str">
        <f t="shared" si="1"/>
        <v>y</v>
      </c>
      <c r="DY1" s="154" t="str">
        <f t="shared" si="1"/>
        <v>y</v>
      </c>
      <c r="DZ1" s="154" t="str">
        <f t="shared" si="1"/>
        <v>y</v>
      </c>
      <c r="EA1" s="154" t="str">
        <f t="shared" si="1"/>
        <v>y</v>
      </c>
      <c r="EB1" s="154" t="str">
        <f t="shared" ref="EB1:GM1" si="2">EB2&amp;"y"</f>
        <v>y</v>
      </c>
      <c r="EC1" s="154" t="str">
        <f t="shared" si="2"/>
        <v>y</v>
      </c>
      <c r="ED1" s="154" t="str">
        <f t="shared" si="2"/>
        <v>y</v>
      </c>
      <c r="EE1" s="154" t="str">
        <f t="shared" si="2"/>
        <v>y</v>
      </c>
      <c r="EF1" s="154" t="str">
        <f t="shared" si="2"/>
        <v>y</v>
      </c>
      <c r="EG1" s="154" t="str">
        <f t="shared" si="2"/>
        <v>y</v>
      </c>
      <c r="EH1" s="154" t="str">
        <f t="shared" si="2"/>
        <v>y</v>
      </c>
      <c r="EI1" s="154" t="str">
        <f t="shared" si="2"/>
        <v>y</v>
      </c>
      <c r="EJ1" s="154" t="str">
        <f t="shared" si="2"/>
        <v>y</v>
      </c>
      <c r="EK1" s="154" t="str">
        <f t="shared" si="2"/>
        <v>y</v>
      </c>
      <c r="EL1" s="154" t="str">
        <f t="shared" si="2"/>
        <v>y</v>
      </c>
      <c r="EM1" s="154" t="str">
        <f t="shared" si="2"/>
        <v>y</v>
      </c>
      <c r="EN1" s="154" t="str">
        <f t="shared" si="2"/>
        <v>y</v>
      </c>
      <c r="EO1" s="154" t="str">
        <f t="shared" si="2"/>
        <v>y</v>
      </c>
      <c r="EP1" s="154" t="str">
        <f t="shared" si="2"/>
        <v>y</v>
      </c>
      <c r="EQ1" s="154" t="str">
        <f t="shared" si="2"/>
        <v>y</v>
      </c>
      <c r="ER1" s="154" t="str">
        <f t="shared" si="2"/>
        <v>y</v>
      </c>
      <c r="ES1" s="154" t="str">
        <f t="shared" si="2"/>
        <v>y</v>
      </c>
      <c r="ET1" s="154" t="str">
        <f t="shared" si="2"/>
        <v>y</v>
      </c>
      <c r="EU1" s="154" t="str">
        <f t="shared" si="2"/>
        <v>y</v>
      </c>
      <c r="EV1" s="154" t="str">
        <f t="shared" si="2"/>
        <v>y</v>
      </c>
      <c r="EW1" s="154" t="str">
        <f t="shared" si="2"/>
        <v>y</v>
      </c>
      <c r="EX1" s="154" t="str">
        <f t="shared" si="2"/>
        <v>y</v>
      </c>
      <c r="EY1" s="154" t="str">
        <f t="shared" si="2"/>
        <v>y</v>
      </c>
      <c r="EZ1" s="154" t="str">
        <f t="shared" si="2"/>
        <v>y</v>
      </c>
      <c r="FA1" s="154" t="str">
        <f t="shared" si="2"/>
        <v>y</v>
      </c>
      <c r="FB1" s="154" t="str">
        <f t="shared" si="2"/>
        <v>y</v>
      </c>
      <c r="FC1" s="154" t="str">
        <f t="shared" si="2"/>
        <v>y</v>
      </c>
      <c r="FD1" s="154" t="str">
        <f t="shared" si="2"/>
        <v>y</v>
      </c>
      <c r="FE1" s="154" t="str">
        <f t="shared" si="2"/>
        <v>y</v>
      </c>
      <c r="FF1" s="154" t="str">
        <f t="shared" si="2"/>
        <v>y</v>
      </c>
      <c r="FG1" s="154" t="str">
        <f t="shared" si="2"/>
        <v>y</v>
      </c>
      <c r="FH1" s="154" t="str">
        <f t="shared" si="2"/>
        <v>y</v>
      </c>
      <c r="FI1" s="154" t="str">
        <f t="shared" si="2"/>
        <v>y</v>
      </c>
      <c r="FJ1" s="154" t="str">
        <f t="shared" si="2"/>
        <v>y</v>
      </c>
      <c r="FK1" s="154" t="str">
        <f t="shared" si="2"/>
        <v>y</v>
      </c>
      <c r="FL1" s="154" t="str">
        <f t="shared" si="2"/>
        <v>y</v>
      </c>
      <c r="FM1" s="154" t="str">
        <f t="shared" si="2"/>
        <v>y</v>
      </c>
      <c r="FN1" s="154" t="str">
        <f t="shared" si="2"/>
        <v>y</v>
      </c>
      <c r="FO1" s="154" t="str">
        <f t="shared" si="2"/>
        <v>y</v>
      </c>
      <c r="FP1" s="154" t="str">
        <f t="shared" si="2"/>
        <v>y</v>
      </c>
      <c r="FQ1" s="154" t="str">
        <f t="shared" si="2"/>
        <v>y</v>
      </c>
      <c r="FR1" s="154" t="str">
        <f t="shared" si="2"/>
        <v>y</v>
      </c>
      <c r="FS1" s="154" t="str">
        <f t="shared" si="2"/>
        <v>y</v>
      </c>
      <c r="FT1" s="154" t="str">
        <f t="shared" si="2"/>
        <v>y</v>
      </c>
      <c r="FU1" s="154" t="str">
        <f t="shared" si="2"/>
        <v>y</v>
      </c>
      <c r="FV1" s="154" t="str">
        <f t="shared" si="2"/>
        <v>y</v>
      </c>
      <c r="FW1" s="154" t="str">
        <f t="shared" si="2"/>
        <v>y</v>
      </c>
      <c r="FX1" s="154" t="str">
        <f t="shared" si="2"/>
        <v>y</v>
      </c>
      <c r="FY1" s="154" t="str">
        <f t="shared" si="2"/>
        <v>y</v>
      </c>
      <c r="FZ1" s="154" t="str">
        <f t="shared" si="2"/>
        <v>y</v>
      </c>
      <c r="GA1" s="154" t="str">
        <f t="shared" si="2"/>
        <v>y</v>
      </c>
      <c r="GB1" s="154" t="str">
        <f t="shared" si="2"/>
        <v>y</v>
      </c>
      <c r="GC1" s="154" t="str">
        <f t="shared" si="2"/>
        <v>y</v>
      </c>
      <c r="GD1" s="154" t="str">
        <f t="shared" si="2"/>
        <v>y</v>
      </c>
      <c r="GE1" s="154" t="str">
        <f t="shared" si="2"/>
        <v>y</v>
      </c>
      <c r="GF1" s="154" t="str">
        <f t="shared" si="2"/>
        <v>y</v>
      </c>
      <c r="GG1" s="154" t="str">
        <f t="shared" si="2"/>
        <v>y</v>
      </c>
      <c r="GH1" s="154" t="str">
        <f t="shared" si="2"/>
        <v>y</v>
      </c>
      <c r="GI1" s="154" t="str">
        <f t="shared" si="2"/>
        <v>y</v>
      </c>
      <c r="GJ1" s="154" t="str">
        <f t="shared" si="2"/>
        <v>y</v>
      </c>
      <c r="GK1" s="154" t="str">
        <f t="shared" si="2"/>
        <v>y</v>
      </c>
      <c r="GL1" s="154" t="str">
        <f t="shared" si="2"/>
        <v>y</v>
      </c>
      <c r="GM1" s="154" t="str">
        <f t="shared" si="2"/>
        <v>y</v>
      </c>
      <c r="GN1" s="154" t="str">
        <f t="shared" ref="GN1:IY1" si="3">GN2&amp;"y"</f>
        <v>y</v>
      </c>
      <c r="GO1" s="154" t="str">
        <f t="shared" si="3"/>
        <v>y</v>
      </c>
      <c r="GP1" s="154" t="str">
        <f t="shared" si="3"/>
        <v>y</v>
      </c>
      <c r="GQ1" s="154" t="str">
        <f t="shared" si="3"/>
        <v>y</v>
      </c>
      <c r="GR1" s="154" t="str">
        <f t="shared" si="3"/>
        <v>y</v>
      </c>
      <c r="GS1" s="154" t="str">
        <f t="shared" si="3"/>
        <v>y</v>
      </c>
      <c r="GT1" s="154" t="str">
        <f t="shared" si="3"/>
        <v>y</v>
      </c>
      <c r="GU1" s="154" t="str">
        <f t="shared" si="3"/>
        <v>y</v>
      </c>
      <c r="GV1" s="154" t="str">
        <f t="shared" si="3"/>
        <v>y</v>
      </c>
      <c r="GW1" s="154" t="str">
        <f t="shared" si="3"/>
        <v>y</v>
      </c>
      <c r="GX1" s="154" t="str">
        <f t="shared" si="3"/>
        <v>y</v>
      </c>
      <c r="GY1" s="154" t="str">
        <f t="shared" si="3"/>
        <v>y</v>
      </c>
      <c r="GZ1" s="154" t="str">
        <f t="shared" si="3"/>
        <v>y</v>
      </c>
      <c r="HA1" s="154" t="str">
        <f t="shared" si="3"/>
        <v>y</v>
      </c>
      <c r="HB1" s="154" t="str">
        <f t="shared" si="3"/>
        <v>y</v>
      </c>
      <c r="HC1" s="154" t="str">
        <f t="shared" si="3"/>
        <v>y</v>
      </c>
      <c r="HD1" s="154" t="str">
        <f t="shared" si="3"/>
        <v>y</v>
      </c>
      <c r="HE1" s="154" t="str">
        <f t="shared" si="3"/>
        <v>y</v>
      </c>
      <c r="HF1" s="154" t="str">
        <f t="shared" si="3"/>
        <v>y</v>
      </c>
      <c r="HG1" s="154" t="str">
        <f t="shared" si="3"/>
        <v>y</v>
      </c>
      <c r="HH1" s="154" t="str">
        <f t="shared" si="3"/>
        <v>y</v>
      </c>
      <c r="HI1" s="154" t="str">
        <f t="shared" si="3"/>
        <v>y</v>
      </c>
      <c r="HJ1" s="154" t="str">
        <f t="shared" si="3"/>
        <v>y</v>
      </c>
      <c r="HK1" s="154" t="str">
        <f t="shared" si="3"/>
        <v>y</v>
      </c>
      <c r="HL1" s="154" t="str">
        <f t="shared" si="3"/>
        <v>y</v>
      </c>
      <c r="HM1" s="154" t="str">
        <f t="shared" si="3"/>
        <v>y</v>
      </c>
      <c r="HN1" s="154" t="str">
        <f t="shared" si="3"/>
        <v>y</v>
      </c>
      <c r="HO1" s="154" t="str">
        <f t="shared" si="3"/>
        <v>y</v>
      </c>
      <c r="HP1" s="154" t="str">
        <f t="shared" si="3"/>
        <v>y</v>
      </c>
      <c r="HQ1" s="154" t="str">
        <f t="shared" si="3"/>
        <v>y</v>
      </c>
      <c r="HR1" s="154" t="str">
        <f t="shared" si="3"/>
        <v>y</v>
      </c>
      <c r="HS1" s="154" t="str">
        <f t="shared" si="3"/>
        <v>y</v>
      </c>
      <c r="HT1" s="154" t="str">
        <f t="shared" si="3"/>
        <v>y</v>
      </c>
      <c r="HU1" s="154" t="str">
        <f t="shared" si="3"/>
        <v>y</v>
      </c>
      <c r="HV1" s="154" t="str">
        <f t="shared" si="3"/>
        <v>y</v>
      </c>
      <c r="HW1" s="154" t="str">
        <f t="shared" si="3"/>
        <v>y</v>
      </c>
      <c r="HX1" s="154" t="str">
        <f t="shared" si="3"/>
        <v>y</v>
      </c>
      <c r="HY1" s="154" t="str">
        <f t="shared" si="3"/>
        <v>y</v>
      </c>
      <c r="HZ1" s="154" t="str">
        <f t="shared" si="3"/>
        <v>y</v>
      </c>
      <c r="IA1" s="154" t="str">
        <f t="shared" si="3"/>
        <v>y</v>
      </c>
      <c r="IB1" s="154" t="str">
        <f t="shared" si="3"/>
        <v>y</v>
      </c>
      <c r="IC1" s="154" t="str">
        <f t="shared" si="3"/>
        <v>y</v>
      </c>
      <c r="ID1" s="154" t="str">
        <f t="shared" si="3"/>
        <v>y</v>
      </c>
      <c r="IE1" s="154" t="str">
        <f t="shared" si="3"/>
        <v>y</v>
      </c>
      <c r="IF1" s="154" t="str">
        <f t="shared" si="3"/>
        <v>y</v>
      </c>
      <c r="IG1" s="154" t="str">
        <f t="shared" si="3"/>
        <v>y</v>
      </c>
      <c r="IH1" s="154" t="str">
        <f t="shared" si="3"/>
        <v>y</v>
      </c>
      <c r="II1" s="154" t="str">
        <f t="shared" si="3"/>
        <v>y</v>
      </c>
      <c r="IJ1" s="154" t="str">
        <f t="shared" si="3"/>
        <v>y</v>
      </c>
      <c r="IK1" s="154" t="str">
        <f t="shared" si="3"/>
        <v>y</v>
      </c>
      <c r="IL1" s="154" t="str">
        <f t="shared" si="3"/>
        <v>y</v>
      </c>
      <c r="IM1" s="154" t="str">
        <f t="shared" si="3"/>
        <v>y</v>
      </c>
      <c r="IN1" s="154" t="str">
        <f t="shared" si="3"/>
        <v>y</v>
      </c>
      <c r="IO1" s="154" t="str">
        <f t="shared" si="3"/>
        <v>y</v>
      </c>
      <c r="IP1" s="154" t="str">
        <f t="shared" si="3"/>
        <v>y</v>
      </c>
      <c r="IQ1" s="154" t="str">
        <f t="shared" si="3"/>
        <v>y</v>
      </c>
      <c r="IR1" s="154" t="str">
        <f t="shared" si="3"/>
        <v>y</v>
      </c>
      <c r="IS1" s="154" t="str">
        <f t="shared" si="3"/>
        <v>y</v>
      </c>
      <c r="IT1" s="154" t="str">
        <f t="shared" si="3"/>
        <v>y</v>
      </c>
      <c r="IU1" s="154" t="str">
        <f t="shared" si="3"/>
        <v>y</v>
      </c>
      <c r="IV1" s="154" t="str">
        <f t="shared" si="3"/>
        <v>y</v>
      </c>
      <c r="IW1" s="154" t="str">
        <f t="shared" si="3"/>
        <v>y</v>
      </c>
      <c r="IX1" s="154" t="str">
        <f t="shared" si="3"/>
        <v>y</v>
      </c>
      <c r="IY1" s="154" t="str">
        <f t="shared" si="3"/>
        <v>y</v>
      </c>
      <c r="IZ1" s="154" t="str">
        <f t="shared" ref="IZ1:LK1" si="4">IZ2&amp;"y"</f>
        <v>y</v>
      </c>
      <c r="JA1" s="154" t="str">
        <f t="shared" si="4"/>
        <v>y</v>
      </c>
      <c r="JB1" s="154" t="str">
        <f t="shared" si="4"/>
        <v>y</v>
      </c>
      <c r="JC1" s="154" t="str">
        <f t="shared" si="4"/>
        <v>y</v>
      </c>
      <c r="JD1" s="154" t="str">
        <f t="shared" si="4"/>
        <v>y</v>
      </c>
      <c r="JE1" s="154" t="str">
        <f t="shared" si="4"/>
        <v>y</v>
      </c>
      <c r="JF1" s="154" t="str">
        <f t="shared" si="4"/>
        <v>y</v>
      </c>
      <c r="JG1" s="154" t="str">
        <f t="shared" si="4"/>
        <v>y</v>
      </c>
      <c r="JH1" s="154" t="str">
        <f t="shared" si="4"/>
        <v>y</v>
      </c>
      <c r="JI1" s="154" t="str">
        <f t="shared" si="4"/>
        <v>y</v>
      </c>
      <c r="JJ1" s="154" t="str">
        <f t="shared" si="4"/>
        <v>y</v>
      </c>
      <c r="JK1" s="154" t="str">
        <f t="shared" si="4"/>
        <v>y</v>
      </c>
      <c r="JL1" s="154" t="str">
        <f t="shared" si="4"/>
        <v>y</v>
      </c>
      <c r="JM1" s="154" t="str">
        <f t="shared" si="4"/>
        <v>y</v>
      </c>
      <c r="JN1" s="154" t="str">
        <f t="shared" si="4"/>
        <v>y</v>
      </c>
      <c r="JO1" s="154" t="str">
        <f t="shared" si="4"/>
        <v>y</v>
      </c>
      <c r="JP1" s="154" t="str">
        <f t="shared" si="4"/>
        <v>y</v>
      </c>
      <c r="JQ1" s="154" t="str">
        <f t="shared" si="4"/>
        <v>y</v>
      </c>
      <c r="JR1" s="154" t="str">
        <f t="shared" si="4"/>
        <v>y</v>
      </c>
      <c r="JS1" s="154" t="str">
        <f t="shared" si="4"/>
        <v>y</v>
      </c>
      <c r="JT1" s="154" t="str">
        <f t="shared" si="4"/>
        <v>y</v>
      </c>
      <c r="JU1" s="154" t="str">
        <f t="shared" si="4"/>
        <v>y</v>
      </c>
      <c r="JV1" s="154" t="str">
        <f t="shared" si="4"/>
        <v>y</v>
      </c>
      <c r="JW1" s="154" t="str">
        <f t="shared" si="4"/>
        <v>y</v>
      </c>
      <c r="JX1" s="154" t="str">
        <f t="shared" si="4"/>
        <v>y</v>
      </c>
      <c r="JY1" s="154" t="str">
        <f t="shared" si="4"/>
        <v>y</v>
      </c>
      <c r="JZ1" s="154" t="str">
        <f t="shared" si="4"/>
        <v>y</v>
      </c>
      <c r="KA1" s="154" t="str">
        <f t="shared" si="4"/>
        <v>y</v>
      </c>
      <c r="KB1" s="154" t="str">
        <f t="shared" si="4"/>
        <v>y</v>
      </c>
      <c r="KC1" s="154" t="str">
        <f t="shared" si="4"/>
        <v>y</v>
      </c>
      <c r="KD1" s="154" t="str">
        <f t="shared" si="4"/>
        <v>y</v>
      </c>
      <c r="KE1" s="154" t="str">
        <f t="shared" si="4"/>
        <v>y</v>
      </c>
      <c r="KF1" s="154" t="str">
        <f t="shared" si="4"/>
        <v>y</v>
      </c>
      <c r="KG1" s="154" t="str">
        <f t="shared" si="4"/>
        <v>y</v>
      </c>
      <c r="KH1" s="154" t="str">
        <f t="shared" si="4"/>
        <v>y</v>
      </c>
      <c r="KI1" s="154" t="str">
        <f t="shared" si="4"/>
        <v>y</v>
      </c>
      <c r="KJ1" s="154" t="str">
        <f t="shared" si="4"/>
        <v>y</v>
      </c>
      <c r="KK1" s="154" t="str">
        <f t="shared" si="4"/>
        <v>y</v>
      </c>
      <c r="KL1" s="154" t="str">
        <f t="shared" si="4"/>
        <v>y</v>
      </c>
      <c r="KM1" s="154" t="str">
        <f t="shared" si="4"/>
        <v>y</v>
      </c>
      <c r="KN1" s="154" t="str">
        <f t="shared" si="4"/>
        <v>y</v>
      </c>
      <c r="KO1" s="154" t="str">
        <f t="shared" si="4"/>
        <v>y</v>
      </c>
      <c r="KP1" s="154" t="str">
        <f t="shared" si="4"/>
        <v>y</v>
      </c>
      <c r="KQ1" s="154" t="str">
        <f t="shared" si="4"/>
        <v>y</v>
      </c>
      <c r="KR1" s="154" t="str">
        <f t="shared" si="4"/>
        <v>y</v>
      </c>
      <c r="KS1" s="154" t="str">
        <f t="shared" si="4"/>
        <v>y</v>
      </c>
      <c r="KT1" s="154" t="str">
        <f t="shared" si="4"/>
        <v>y</v>
      </c>
      <c r="KU1" s="154" t="str">
        <f t="shared" si="4"/>
        <v>y</v>
      </c>
      <c r="KV1" s="154" t="str">
        <f t="shared" si="4"/>
        <v>y</v>
      </c>
      <c r="KW1" s="154" t="str">
        <f t="shared" si="4"/>
        <v>y</v>
      </c>
      <c r="KX1" s="154" t="str">
        <f t="shared" si="4"/>
        <v>y</v>
      </c>
      <c r="KY1" s="154" t="str">
        <f t="shared" si="4"/>
        <v>y</v>
      </c>
      <c r="KZ1" s="154" t="str">
        <f t="shared" si="4"/>
        <v>y</v>
      </c>
      <c r="LA1" s="154" t="str">
        <f t="shared" si="4"/>
        <v>y</v>
      </c>
      <c r="LB1" s="154" t="str">
        <f t="shared" si="4"/>
        <v>y</v>
      </c>
      <c r="LC1" s="154" t="str">
        <f t="shared" si="4"/>
        <v>y</v>
      </c>
      <c r="LD1" s="154" t="str">
        <f t="shared" si="4"/>
        <v>y</v>
      </c>
      <c r="LE1" s="154" t="str">
        <f t="shared" si="4"/>
        <v>y</v>
      </c>
      <c r="LF1" s="154" t="str">
        <f t="shared" si="4"/>
        <v>y</v>
      </c>
      <c r="LG1" s="154" t="str">
        <f t="shared" si="4"/>
        <v>y</v>
      </c>
      <c r="LH1" s="154" t="str">
        <f t="shared" si="4"/>
        <v>y</v>
      </c>
      <c r="LI1" s="154" t="str">
        <f t="shared" si="4"/>
        <v>y</v>
      </c>
      <c r="LJ1" s="154" t="str">
        <f t="shared" si="4"/>
        <v>y</v>
      </c>
      <c r="LK1" s="154" t="str">
        <f t="shared" si="4"/>
        <v>y</v>
      </c>
      <c r="LL1" s="154" t="str">
        <f t="shared" ref="LL1:NW1" si="5">LL2&amp;"y"</f>
        <v>y</v>
      </c>
      <c r="LM1" s="154" t="str">
        <f t="shared" si="5"/>
        <v>y</v>
      </c>
      <c r="LN1" s="154" t="str">
        <f t="shared" si="5"/>
        <v>y</v>
      </c>
      <c r="LO1" s="154" t="str">
        <f t="shared" si="5"/>
        <v>y</v>
      </c>
      <c r="LP1" s="154" t="str">
        <f t="shared" si="5"/>
        <v>y</v>
      </c>
      <c r="LQ1" s="154" t="str">
        <f t="shared" si="5"/>
        <v>y</v>
      </c>
      <c r="LR1" s="154" t="str">
        <f t="shared" si="5"/>
        <v>y</v>
      </c>
      <c r="LS1" s="154" t="str">
        <f t="shared" si="5"/>
        <v>y</v>
      </c>
      <c r="LT1" s="154" t="str">
        <f t="shared" si="5"/>
        <v>y</v>
      </c>
      <c r="LU1" s="154" t="str">
        <f t="shared" si="5"/>
        <v>y</v>
      </c>
      <c r="LV1" s="154" t="str">
        <f t="shared" si="5"/>
        <v>y</v>
      </c>
      <c r="LW1" s="154" t="str">
        <f t="shared" si="5"/>
        <v>y</v>
      </c>
      <c r="LX1" s="154" t="str">
        <f t="shared" si="5"/>
        <v>y</v>
      </c>
      <c r="LY1" s="154" t="str">
        <f t="shared" si="5"/>
        <v>y</v>
      </c>
      <c r="LZ1" s="154" t="str">
        <f t="shared" si="5"/>
        <v>y</v>
      </c>
      <c r="MA1" s="154" t="str">
        <f t="shared" si="5"/>
        <v>y</v>
      </c>
      <c r="MB1" s="154" t="str">
        <f t="shared" si="5"/>
        <v>y</v>
      </c>
      <c r="MC1" s="154" t="str">
        <f t="shared" si="5"/>
        <v>y</v>
      </c>
      <c r="MD1" s="154" t="str">
        <f t="shared" si="5"/>
        <v>y</v>
      </c>
      <c r="ME1" s="154" t="str">
        <f t="shared" si="5"/>
        <v>y</v>
      </c>
      <c r="MF1" s="154" t="str">
        <f t="shared" si="5"/>
        <v>y</v>
      </c>
      <c r="MG1" s="154" t="str">
        <f t="shared" si="5"/>
        <v>y</v>
      </c>
      <c r="MH1" s="154" t="str">
        <f t="shared" si="5"/>
        <v>y</v>
      </c>
      <c r="MI1" s="154" t="str">
        <f t="shared" si="5"/>
        <v>y</v>
      </c>
      <c r="MJ1" s="154" t="str">
        <f t="shared" si="5"/>
        <v>y</v>
      </c>
      <c r="MK1" s="154" t="str">
        <f t="shared" si="5"/>
        <v>y</v>
      </c>
      <c r="ML1" s="154" t="str">
        <f t="shared" si="5"/>
        <v>y</v>
      </c>
      <c r="MM1" s="154" t="str">
        <f t="shared" si="5"/>
        <v>y</v>
      </c>
      <c r="MN1" s="154" t="str">
        <f t="shared" si="5"/>
        <v>y</v>
      </c>
      <c r="MO1" s="154" t="str">
        <f t="shared" si="5"/>
        <v>y</v>
      </c>
      <c r="MP1" s="154" t="str">
        <f t="shared" si="5"/>
        <v>y</v>
      </c>
      <c r="MQ1" s="154" t="str">
        <f t="shared" si="5"/>
        <v>y</v>
      </c>
      <c r="MR1" s="154" t="str">
        <f t="shared" si="5"/>
        <v>y</v>
      </c>
      <c r="MS1" s="154" t="str">
        <f t="shared" si="5"/>
        <v>y</v>
      </c>
      <c r="MT1" s="154" t="str">
        <f t="shared" si="5"/>
        <v>y</v>
      </c>
      <c r="MU1" s="154" t="str">
        <f t="shared" si="5"/>
        <v>y</v>
      </c>
      <c r="MV1" s="154" t="str">
        <f t="shared" si="5"/>
        <v>y</v>
      </c>
      <c r="MW1" s="154" t="str">
        <f t="shared" si="5"/>
        <v>y</v>
      </c>
      <c r="MX1" s="154" t="str">
        <f t="shared" si="5"/>
        <v>y</v>
      </c>
      <c r="MY1" s="154" t="str">
        <f t="shared" si="5"/>
        <v>y</v>
      </c>
      <c r="MZ1" s="154" t="str">
        <f t="shared" si="5"/>
        <v>y</v>
      </c>
      <c r="NA1" s="154" t="str">
        <f t="shared" si="5"/>
        <v>y</v>
      </c>
      <c r="NB1" s="154" t="str">
        <f t="shared" si="5"/>
        <v>y</v>
      </c>
      <c r="NC1" s="154" t="str">
        <f t="shared" si="5"/>
        <v>y</v>
      </c>
      <c r="ND1" s="154" t="str">
        <f t="shared" si="5"/>
        <v>y</v>
      </c>
      <c r="NE1" s="154" t="str">
        <f t="shared" si="5"/>
        <v>y</v>
      </c>
      <c r="NF1" s="154" t="str">
        <f t="shared" si="5"/>
        <v>y</v>
      </c>
      <c r="NG1" s="154" t="str">
        <f t="shared" si="5"/>
        <v>y</v>
      </c>
      <c r="NH1" s="154" t="str">
        <f t="shared" si="5"/>
        <v>y</v>
      </c>
      <c r="NI1" s="154" t="str">
        <f t="shared" si="5"/>
        <v>y</v>
      </c>
      <c r="NJ1" s="154" t="str">
        <f t="shared" si="5"/>
        <v>y</v>
      </c>
      <c r="NK1" s="154" t="str">
        <f t="shared" si="5"/>
        <v>y</v>
      </c>
      <c r="NL1" s="154" t="str">
        <f t="shared" si="5"/>
        <v>y</v>
      </c>
      <c r="NM1" s="154" t="str">
        <f t="shared" si="5"/>
        <v>y</v>
      </c>
      <c r="NN1" s="154" t="str">
        <f t="shared" si="5"/>
        <v>y</v>
      </c>
      <c r="NO1" s="154" t="str">
        <f t="shared" si="5"/>
        <v>y</v>
      </c>
      <c r="NP1" s="154" t="str">
        <f t="shared" si="5"/>
        <v>y</v>
      </c>
      <c r="NQ1" s="154" t="str">
        <f t="shared" si="5"/>
        <v>y</v>
      </c>
      <c r="NR1" s="154" t="str">
        <f t="shared" si="5"/>
        <v>y</v>
      </c>
      <c r="NS1" s="154" t="str">
        <f t="shared" si="5"/>
        <v>y</v>
      </c>
      <c r="NT1" s="154" t="str">
        <f t="shared" si="5"/>
        <v>y</v>
      </c>
      <c r="NU1" s="154" t="str">
        <f t="shared" si="5"/>
        <v>y</v>
      </c>
      <c r="NV1" s="154" t="str">
        <f t="shared" si="5"/>
        <v>y</v>
      </c>
      <c r="NW1" s="154" t="str">
        <f t="shared" si="5"/>
        <v>y</v>
      </c>
      <c r="NX1" s="154" t="str">
        <f t="shared" ref="NX1:QI1" si="6">NX2&amp;"y"</f>
        <v>y</v>
      </c>
      <c r="NY1" s="154" t="str">
        <f t="shared" si="6"/>
        <v>y</v>
      </c>
      <c r="NZ1" s="154" t="str">
        <f t="shared" si="6"/>
        <v>y</v>
      </c>
      <c r="OA1" s="154" t="str">
        <f t="shared" si="6"/>
        <v>y</v>
      </c>
      <c r="OB1" s="154" t="str">
        <f t="shared" si="6"/>
        <v>y</v>
      </c>
      <c r="OC1" s="154" t="str">
        <f t="shared" si="6"/>
        <v>y</v>
      </c>
      <c r="OD1" s="154" t="str">
        <f t="shared" si="6"/>
        <v>y</v>
      </c>
      <c r="OE1" s="154" t="str">
        <f t="shared" si="6"/>
        <v>y</v>
      </c>
      <c r="OF1" s="154" t="str">
        <f t="shared" si="6"/>
        <v>y</v>
      </c>
      <c r="OG1" s="154" t="str">
        <f t="shared" si="6"/>
        <v>y</v>
      </c>
      <c r="OH1" s="154" t="str">
        <f t="shared" si="6"/>
        <v>y</v>
      </c>
      <c r="OI1" s="154" t="str">
        <f t="shared" si="6"/>
        <v>y</v>
      </c>
      <c r="OJ1" s="154" t="str">
        <f t="shared" si="6"/>
        <v>y</v>
      </c>
      <c r="OK1" s="154" t="str">
        <f t="shared" si="6"/>
        <v>y</v>
      </c>
      <c r="OL1" s="154" t="str">
        <f t="shared" si="6"/>
        <v>y</v>
      </c>
      <c r="OM1" s="154" t="str">
        <f t="shared" si="6"/>
        <v>y</v>
      </c>
      <c r="ON1" s="154" t="str">
        <f t="shared" si="6"/>
        <v>y</v>
      </c>
      <c r="OO1" s="154" t="str">
        <f t="shared" si="6"/>
        <v>y</v>
      </c>
      <c r="OP1" s="154" t="str">
        <f t="shared" si="6"/>
        <v>y</v>
      </c>
      <c r="OQ1" s="154" t="str">
        <f t="shared" si="6"/>
        <v>y</v>
      </c>
      <c r="OR1" s="154" t="str">
        <f t="shared" si="6"/>
        <v>y</v>
      </c>
      <c r="OS1" s="154" t="str">
        <f t="shared" si="6"/>
        <v>y</v>
      </c>
      <c r="OT1" s="154" t="str">
        <f t="shared" si="6"/>
        <v>y</v>
      </c>
      <c r="OU1" s="154" t="str">
        <f t="shared" si="6"/>
        <v>y</v>
      </c>
      <c r="OV1" s="154" t="str">
        <f t="shared" si="6"/>
        <v>y</v>
      </c>
      <c r="OW1" s="154" t="str">
        <f t="shared" si="6"/>
        <v>y</v>
      </c>
      <c r="OX1" s="154" t="str">
        <f t="shared" si="6"/>
        <v>y</v>
      </c>
      <c r="OY1" s="154" t="str">
        <f t="shared" si="6"/>
        <v>y</v>
      </c>
      <c r="OZ1" s="154" t="str">
        <f t="shared" si="6"/>
        <v>y</v>
      </c>
      <c r="PA1" s="154" t="str">
        <f t="shared" si="6"/>
        <v>y</v>
      </c>
      <c r="PB1" s="154" t="str">
        <f t="shared" si="6"/>
        <v>y</v>
      </c>
      <c r="PC1" s="154" t="str">
        <f t="shared" si="6"/>
        <v>y</v>
      </c>
      <c r="PD1" s="154" t="str">
        <f t="shared" si="6"/>
        <v>y</v>
      </c>
      <c r="PE1" s="154" t="str">
        <f t="shared" si="6"/>
        <v>y</v>
      </c>
      <c r="PF1" s="154" t="str">
        <f t="shared" si="6"/>
        <v>y</v>
      </c>
      <c r="PG1" s="154" t="str">
        <f t="shared" si="6"/>
        <v>y</v>
      </c>
      <c r="PH1" s="154" t="str">
        <f t="shared" si="6"/>
        <v>y</v>
      </c>
      <c r="PI1" s="154" t="str">
        <f t="shared" si="6"/>
        <v>y</v>
      </c>
      <c r="PJ1" s="154" t="str">
        <f t="shared" si="6"/>
        <v>y</v>
      </c>
      <c r="PK1" s="154" t="str">
        <f t="shared" si="6"/>
        <v>y</v>
      </c>
      <c r="PL1" s="154" t="str">
        <f t="shared" si="6"/>
        <v>y</v>
      </c>
      <c r="PM1" s="154" t="str">
        <f t="shared" si="6"/>
        <v>y</v>
      </c>
      <c r="PN1" s="154" t="str">
        <f t="shared" si="6"/>
        <v>y</v>
      </c>
      <c r="PO1" s="154" t="str">
        <f t="shared" si="6"/>
        <v>y</v>
      </c>
      <c r="PP1" s="154" t="str">
        <f t="shared" si="6"/>
        <v>y</v>
      </c>
      <c r="PQ1" s="154" t="str">
        <f t="shared" si="6"/>
        <v>y</v>
      </c>
      <c r="PR1" s="154" t="str">
        <f t="shared" si="6"/>
        <v>y</v>
      </c>
      <c r="PS1" s="154" t="str">
        <f t="shared" si="6"/>
        <v>y</v>
      </c>
      <c r="PT1" s="154" t="str">
        <f t="shared" si="6"/>
        <v>y</v>
      </c>
      <c r="PU1" s="154" t="str">
        <f t="shared" si="6"/>
        <v>y</v>
      </c>
      <c r="PV1" s="154" t="str">
        <f t="shared" si="6"/>
        <v>y</v>
      </c>
      <c r="PW1" s="154" t="str">
        <f t="shared" si="6"/>
        <v>y</v>
      </c>
      <c r="PX1" s="154" t="str">
        <f t="shared" si="6"/>
        <v>y</v>
      </c>
      <c r="PY1" s="154" t="str">
        <f t="shared" si="6"/>
        <v>y</v>
      </c>
      <c r="PZ1" s="154" t="str">
        <f t="shared" si="6"/>
        <v>y</v>
      </c>
      <c r="QA1" s="154" t="str">
        <f t="shared" si="6"/>
        <v>y</v>
      </c>
      <c r="QB1" s="154" t="str">
        <f t="shared" si="6"/>
        <v>y</v>
      </c>
      <c r="QC1" s="154" t="str">
        <f t="shared" si="6"/>
        <v>y</v>
      </c>
      <c r="QD1" s="154" t="str">
        <f t="shared" si="6"/>
        <v>y</v>
      </c>
      <c r="QE1" s="154" t="str">
        <f t="shared" si="6"/>
        <v>y</v>
      </c>
      <c r="QF1" s="154" t="str">
        <f t="shared" si="6"/>
        <v>y</v>
      </c>
      <c r="QG1" s="154" t="str">
        <f t="shared" si="6"/>
        <v>y</v>
      </c>
      <c r="QH1" s="154" t="str">
        <f t="shared" si="6"/>
        <v>y</v>
      </c>
      <c r="QI1" s="154" t="str">
        <f t="shared" si="6"/>
        <v>y</v>
      </c>
      <c r="QJ1" s="154" t="str">
        <f t="shared" ref="QJ1:SU1" si="7">QJ2&amp;"y"</f>
        <v>y</v>
      </c>
      <c r="QK1" s="154" t="str">
        <f t="shared" si="7"/>
        <v>y</v>
      </c>
      <c r="QL1" s="154" t="str">
        <f t="shared" si="7"/>
        <v>y</v>
      </c>
      <c r="QM1" s="154" t="str">
        <f t="shared" si="7"/>
        <v>y</v>
      </c>
      <c r="QN1" s="154" t="str">
        <f t="shared" si="7"/>
        <v>y</v>
      </c>
      <c r="QO1" s="154" t="str">
        <f t="shared" si="7"/>
        <v>y</v>
      </c>
      <c r="QP1" s="154" t="str">
        <f t="shared" si="7"/>
        <v>y</v>
      </c>
      <c r="QQ1" s="154" t="str">
        <f t="shared" si="7"/>
        <v>y</v>
      </c>
      <c r="QR1" s="154" t="str">
        <f t="shared" si="7"/>
        <v>y</v>
      </c>
      <c r="QS1" s="154" t="str">
        <f t="shared" si="7"/>
        <v>y</v>
      </c>
      <c r="QT1" s="154" t="str">
        <f t="shared" si="7"/>
        <v>y</v>
      </c>
      <c r="QU1" s="154" t="str">
        <f t="shared" si="7"/>
        <v>y</v>
      </c>
      <c r="QV1" s="154" t="str">
        <f t="shared" si="7"/>
        <v>y</v>
      </c>
      <c r="QW1" s="154" t="str">
        <f t="shared" si="7"/>
        <v>y</v>
      </c>
      <c r="QX1" s="154" t="str">
        <f t="shared" si="7"/>
        <v>y</v>
      </c>
      <c r="QY1" s="154" t="str">
        <f t="shared" si="7"/>
        <v>y</v>
      </c>
      <c r="QZ1" s="154" t="str">
        <f t="shared" si="7"/>
        <v>y</v>
      </c>
      <c r="RA1" s="154" t="str">
        <f t="shared" si="7"/>
        <v>y</v>
      </c>
      <c r="RB1" s="154" t="str">
        <f t="shared" si="7"/>
        <v>y</v>
      </c>
      <c r="RC1" s="154" t="str">
        <f t="shared" si="7"/>
        <v>y</v>
      </c>
      <c r="RD1" s="154" t="str">
        <f t="shared" si="7"/>
        <v>y</v>
      </c>
      <c r="RE1" s="154" t="str">
        <f t="shared" si="7"/>
        <v>y</v>
      </c>
      <c r="RF1" s="154" t="str">
        <f t="shared" si="7"/>
        <v>y</v>
      </c>
      <c r="RG1" s="154" t="str">
        <f t="shared" si="7"/>
        <v>y</v>
      </c>
      <c r="RH1" s="154" t="str">
        <f t="shared" si="7"/>
        <v>y</v>
      </c>
      <c r="RI1" s="154" t="str">
        <f t="shared" si="7"/>
        <v>y</v>
      </c>
      <c r="RJ1" s="154" t="str">
        <f t="shared" si="7"/>
        <v>y</v>
      </c>
      <c r="RK1" s="154" t="str">
        <f t="shared" si="7"/>
        <v>y</v>
      </c>
      <c r="RL1" s="154" t="str">
        <f t="shared" si="7"/>
        <v>y</v>
      </c>
      <c r="RM1" s="154" t="str">
        <f t="shared" si="7"/>
        <v>y</v>
      </c>
      <c r="RN1" s="154" t="str">
        <f t="shared" si="7"/>
        <v>y</v>
      </c>
      <c r="RO1" s="154" t="str">
        <f t="shared" si="7"/>
        <v>y</v>
      </c>
      <c r="RP1" s="154" t="str">
        <f t="shared" si="7"/>
        <v>y</v>
      </c>
      <c r="RQ1" s="154" t="str">
        <f t="shared" si="7"/>
        <v>y</v>
      </c>
      <c r="RR1" s="154" t="str">
        <f t="shared" si="7"/>
        <v>y</v>
      </c>
      <c r="RS1" s="154" t="str">
        <f t="shared" si="7"/>
        <v>y</v>
      </c>
      <c r="RT1" s="154" t="str">
        <f t="shared" si="7"/>
        <v>y</v>
      </c>
      <c r="RU1" s="154" t="str">
        <f t="shared" si="7"/>
        <v>y</v>
      </c>
      <c r="RV1" s="154" t="str">
        <f t="shared" si="7"/>
        <v>y</v>
      </c>
      <c r="RW1" s="154" t="str">
        <f t="shared" si="7"/>
        <v>y</v>
      </c>
      <c r="RX1" s="154" t="str">
        <f t="shared" si="7"/>
        <v>y</v>
      </c>
      <c r="RY1" s="154" t="str">
        <f t="shared" si="7"/>
        <v>y</v>
      </c>
      <c r="RZ1" s="154" t="str">
        <f t="shared" si="7"/>
        <v>y</v>
      </c>
      <c r="SA1" s="154" t="str">
        <f t="shared" si="7"/>
        <v>y</v>
      </c>
      <c r="SB1" s="154" t="str">
        <f t="shared" si="7"/>
        <v>y</v>
      </c>
      <c r="SC1" s="154" t="str">
        <f t="shared" si="7"/>
        <v>y</v>
      </c>
      <c r="SD1" s="154" t="str">
        <f t="shared" si="7"/>
        <v>y</v>
      </c>
      <c r="SE1" s="154" t="str">
        <f t="shared" si="7"/>
        <v>y</v>
      </c>
      <c r="SF1" s="154" t="str">
        <f t="shared" si="7"/>
        <v>y</v>
      </c>
      <c r="SG1" s="154" t="str">
        <f t="shared" si="7"/>
        <v>y</v>
      </c>
      <c r="SH1" s="154" t="str">
        <f t="shared" si="7"/>
        <v>y</v>
      </c>
      <c r="SI1" s="154" t="str">
        <f t="shared" si="7"/>
        <v>y</v>
      </c>
      <c r="SJ1" s="154" t="str">
        <f t="shared" si="7"/>
        <v>y</v>
      </c>
      <c r="SK1" s="154" t="str">
        <f t="shared" si="7"/>
        <v>y</v>
      </c>
      <c r="SL1" s="154" t="str">
        <f t="shared" si="7"/>
        <v>y</v>
      </c>
      <c r="SM1" s="154" t="str">
        <f t="shared" si="7"/>
        <v>y</v>
      </c>
      <c r="SN1" s="154" t="str">
        <f t="shared" si="7"/>
        <v>y</v>
      </c>
      <c r="SO1" s="154" t="str">
        <f t="shared" si="7"/>
        <v>y</v>
      </c>
      <c r="SP1" s="154" t="str">
        <f t="shared" si="7"/>
        <v>y</v>
      </c>
      <c r="SQ1" s="154" t="str">
        <f t="shared" si="7"/>
        <v>y</v>
      </c>
      <c r="SR1" s="154" t="str">
        <f t="shared" si="7"/>
        <v>y</v>
      </c>
      <c r="SS1" s="154" t="str">
        <f t="shared" si="7"/>
        <v>y</v>
      </c>
      <c r="ST1" s="154" t="str">
        <f t="shared" si="7"/>
        <v>y</v>
      </c>
      <c r="SU1" s="154" t="str">
        <f t="shared" si="7"/>
        <v>y</v>
      </c>
      <c r="SV1" s="154" t="str">
        <f t="shared" ref="SV1:VG1" si="8">SV2&amp;"y"</f>
        <v>y</v>
      </c>
      <c r="SW1" s="154" t="str">
        <f t="shared" si="8"/>
        <v>y</v>
      </c>
      <c r="SX1" s="154" t="str">
        <f t="shared" si="8"/>
        <v>y</v>
      </c>
      <c r="SY1" s="154" t="str">
        <f t="shared" si="8"/>
        <v>y</v>
      </c>
      <c r="SZ1" s="154" t="str">
        <f t="shared" si="8"/>
        <v>y</v>
      </c>
      <c r="TA1" s="154" t="str">
        <f t="shared" si="8"/>
        <v>y</v>
      </c>
      <c r="TB1" s="154" t="str">
        <f t="shared" si="8"/>
        <v>y</v>
      </c>
      <c r="TC1" s="154" t="str">
        <f t="shared" si="8"/>
        <v>y</v>
      </c>
      <c r="TD1" s="154" t="str">
        <f t="shared" si="8"/>
        <v>y</v>
      </c>
      <c r="TE1" s="154" t="str">
        <f t="shared" si="8"/>
        <v>y</v>
      </c>
      <c r="TF1" s="154" t="str">
        <f t="shared" si="8"/>
        <v>y</v>
      </c>
      <c r="TG1" s="154" t="str">
        <f t="shared" si="8"/>
        <v>y</v>
      </c>
      <c r="TH1" s="154" t="str">
        <f t="shared" si="8"/>
        <v>y</v>
      </c>
      <c r="TI1" s="154" t="str">
        <f t="shared" si="8"/>
        <v>y</v>
      </c>
      <c r="TJ1" s="154" t="str">
        <f t="shared" si="8"/>
        <v>y</v>
      </c>
      <c r="TK1" s="154" t="str">
        <f t="shared" si="8"/>
        <v>y</v>
      </c>
      <c r="TL1" s="154" t="str">
        <f t="shared" si="8"/>
        <v>y</v>
      </c>
      <c r="TM1" s="154" t="str">
        <f t="shared" si="8"/>
        <v>y</v>
      </c>
      <c r="TN1" s="154" t="str">
        <f t="shared" si="8"/>
        <v>y</v>
      </c>
      <c r="TO1" s="154" t="str">
        <f t="shared" si="8"/>
        <v>y</v>
      </c>
      <c r="TP1" s="154" t="str">
        <f t="shared" si="8"/>
        <v>y</v>
      </c>
      <c r="TQ1" s="154" t="str">
        <f t="shared" si="8"/>
        <v>y</v>
      </c>
      <c r="TR1" s="154" t="str">
        <f t="shared" si="8"/>
        <v>y</v>
      </c>
      <c r="TS1" s="154" t="str">
        <f t="shared" si="8"/>
        <v>y</v>
      </c>
      <c r="TT1" s="154" t="str">
        <f t="shared" si="8"/>
        <v>y</v>
      </c>
      <c r="TU1" s="154" t="str">
        <f t="shared" si="8"/>
        <v>y</v>
      </c>
      <c r="TV1" s="154" t="str">
        <f t="shared" si="8"/>
        <v>y</v>
      </c>
      <c r="TW1" s="154" t="str">
        <f t="shared" si="8"/>
        <v>y</v>
      </c>
      <c r="TX1" s="154" t="str">
        <f t="shared" si="8"/>
        <v>y</v>
      </c>
      <c r="TY1" s="154" t="str">
        <f t="shared" si="8"/>
        <v>y</v>
      </c>
      <c r="TZ1" s="154" t="str">
        <f t="shared" si="8"/>
        <v>y</v>
      </c>
      <c r="UA1" s="154" t="str">
        <f t="shared" si="8"/>
        <v>y</v>
      </c>
      <c r="UB1" s="154" t="str">
        <f t="shared" si="8"/>
        <v>y</v>
      </c>
      <c r="UC1" s="154" t="str">
        <f t="shared" si="8"/>
        <v>y</v>
      </c>
      <c r="UD1" s="154" t="str">
        <f t="shared" si="8"/>
        <v>y</v>
      </c>
      <c r="UE1" s="154" t="str">
        <f t="shared" si="8"/>
        <v>y</v>
      </c>
      <c r="UF1" s="154" t="str">
        <f t="shared" si="8"/>
        <v>y</v>
      </c>
      <c r="UG1" s="154" t="str">
        <f t="shared" si="8"/>
        <v>y</v>
      </c>
      <c r="UH1" s="154" t="str">
        <f t="shared" si="8"/>
        <v>y</v>
      </c>
      <c r="UI1" s="154" t="str">
        <f t="shared" si="8"/>
        <v>y</v>
      </c>
      <c r="UJ1" s="154" t="str">
        <f t="shared" si="8"/>
        <v>y</v>
      </c>
      <c r="UK1" s="154" t="str">
        <f t="shared" si="8"/>
        <v>y</v>
      </c>
      <c r="UL1" s="154" t="str">
        <f t="shared" si="8"/>
        <v>y</v>
      </c>
      <c r="UM1" s="154" t="str">
        <f t="shared" si="8"/>
        <v>y</v>
      </c>
      <c r="UN1" s="154" t="str">
        <f t="shared" si="8"/>
        <v>y</v>
      </c>
      <c r="UO1" s="154" t="str">
        <f t="shared" si="8"/>
        <v>y</v>
      </c>
      <c r="UP1" s="154" t="str">
        <f t="shared" si="8"/>
        <v>y</v>
      </c>
      <c r="UQ1" s="154" t="str">
        <f t="shared" si="8"/>
        <v>y</v>
      </c>
      <c r="UR1" s="154" t="str">
        <f t="shared" si="8"/>
        <v>y</v>
      </c>
      <c r="US1" s="154" t="str">
        <f t="shared" si="8"/>
        <v>y</v>
      </c>
      <c r="UT1" s="154" t="str">
        <f t="shared" si="8"/>
        <v>y</v>
      </c>
      <c r="UU1" s="154" t="str">
        <f t="shared" si="8"/>
        <v>y</v>
      </c>
      <c r="UV1" s="154" t="str">
        <f t="shared" si="8"/>
        <v>y</v>
      </c>
      <c r="UW1" s="154" t="str">
        <f t="shared" si="8"/>
        <v>y</v>
      </c>
      <c r="UX1" s="154" t="str">
        <f t="shared" si="8"/>
        <v>y</v>
      </c>
      <c r="UY1" s="154" t="str">
        <f t="shared" si="8"/>
        <v>y</v>
      </c>
      <c r="UZ1" s="154" t="str">
        <f t="shared" si="8"/>
        <v>y</v>
      </c>
      <c r="VA1" s="154" t="str">
        <f t="shared" si="8"/>
        <v>y</v>
      </c>
      <c r="VB1" s="154" t="str">
        <f t="shared" si="8"/>
        <v>y</v>
      </c>
      <c r="VC1" s="154" t="str">
        <f t="shared" si="8"/>
        <v>y</v>
      </c>
      <c r="VD1" s="154" t="str">
        <f t="shared" si="8"/>
        <v>y</v>
      </c>
      <c r="VE1" s="154" t="str">
        <f t="shared" si="8"/>
        <v>y</v>
      </c>
      <c r="VF1" s="154" t="str">
        <f t="shared" si="8"/>
        <v>y</v>
      </c>
      <c r="VG1" s="154" t="str">
        <f t="shared" si="8"/>
        <v>y</v>
      </c>
      <c r="VH1" s="154" t="str">
        <f t="shared" ref="VH1:XS1" si="9">VH2&amp;"y"</f>
        <v>y</v>
      </c>
      <c r="VI1" s="154" t="str">
        <f t="shared" si="9"/>
        <v>y</v>
      </c>
      <c r="VJ1" s="154" t="str">
        <f t="shared" si="9"/>
        <v>y</v>
      </c>
      <c r="VK1" s="154" t="str">
        <f t="shared" si="9"/>
        <v>y</v>
      </c>
      <c r="VL1" s="154" t="str">
        <f t="shared" si="9"/>
        <v>y</v>
      </c>
      <c r="VM1" s="154" t="str">
        <f t="shared" si="9"/>
        <v>y</v>
      </c>
      <c r="VN1" s="154" t="str">
        <f t="shared" si="9"/>
        <v>y</v>
      </c>
      <c r="VO1" s="154" t="str">
        <f t="shared" si="9"/>
        <v>y</v>
      </c>
      <c r="VP1" s="154" t="str">
        <f t="shared" si="9"/>
        <v>y</v>
      </c>
      <c r="VQ1" s="154" t="str">
        <f t="shared" si="9"/>
        <v>y</v>
      </c>
      <c r="VR1" s="154" t="str">
        <f t="shared" si="9"/>
        <v>y</v>
      </c>
      <c r="VS1" s="154" t="str">
        <f t="shared" si="9"/>
        <v>y</v>
      </c>
      <c r="VT1" s="154" t="str">
        <f t="shared" si="9"/>
        <v>y</v>
      </c>
      <c r="VU1" s="154" t="str">
        <f t="shared" si="9"/>
        <v>y</v>
      </c>
      <c r="VV1" s="154" t="str">
        <f t="shared" si="9"/>
        <v>y</v>
      </c>
      <c r="VW1" s="154" t="str">
        <f t="shared" si="9"/>
        <v>y</v>
      </c>
      <c r="VX1" s="154" t="str">
        <f t="shared" si="9"/>
        <v>y</v>
      </c>
      <c r="VY1" s="154" t="str">
        <f t="shared" si="9"/>
        <v>y</v>
      </c>
      <c r="VZ1" s="154" t="str">
        <f t="shared" si="9"/>
        <v>y</v>
      </c>
      <c r="WA1" s="154" t="str">
        <f t="shared" si="9"/>
        <v>y</v>
      </c>
      <c r="WB1" s="154" t="str">
        <f t="shared" si="9"/>
        <v>y</v>
      </c>
      <c r="WC1" s="154" t="str">
        <f t="shared" si="9"/>
        <v>y</v>
      </c>
      <c r="WD1" s="154" t="str">
        <f t="shared" si="9"/>
        <v>y</v>
      </c>
      <c r="WE1" s="154" t="str">
        <f t="shared" si="9"/>
        <v>y</v>
      </c>
      <c r="WF1" s="154" t="str">
        <f t="shared" si="9"/>
        <v>y</v>
      </c>
      <c r="WG1" s="154" t="str">
        <f t="shared" si="9"/>
        <v>y</v>
      </c>
      <c r="WH1" s="154" t="str">
        <f t="shared" si="9"/>
        <v>y</v>
      </c>
      <c r="WI1" s="154" t="str">
        <f t="shared" si="9"/>
        <v>y</v>
      </c>
      <c r="WJ1" s="154" t="str">
        <f t="shared" si="9"/>
        <v>y</v>
      </c>
      <c r="WK1" s="154" t="str">
        <f t="shared" si="9"/>
        <v>y</v>
      </c>
      <c r="WL1" s="154" t="str">
        <f t="shared" si="9"/>
        <v>y</v>
      </c>
      <c r="WM1" s="154" t="str">
        <f t="shared" si="9"/>
        <v>y</v>
      </c>
      <c r="WN1" s="154" t="str">
        <f t="shared" si="9"/>
        <v>y</v>
      </c>
      <c r="WO1" s="154" t="str">
        <f t="shared" si="9"/>
        <v>y</v>
      </c>
      <c r="WP1" s="154" t="str">
        <f t="shared" si="9"/>
        <v>y</v>
      </c>
      <c r="WQ1" s="154" t="str">
        <f t="shared" si="9"/>
        <v>y</v>
      </c>
      <c r="WR1" s="154" t="str">
        <f t="shared" si="9"/>
        <v>y</v>
      </c>
      <c r="WS1" s="154" t="str">
        <f t="shared" si="9"/>
        <v>y</v>
      </c>
      <c r="WT1" s="154" t="str">
        <f t="shared" si="9"/>
        <v>y</v>
      </c>
      <c r="WU1" s="154" t="str">
        <f t="shared" si="9"/>
        <v>y</v>
      </c>
      <c r="WV1" s="154" t="str">
        <f t="shared" si="9"/>
        <v>y</v>
      </c>
      <c r="WW1" s="154" t="str">
        <f t="shared" si="9"/>
        <v>y</v>
      </c>
      <c r="WX1" s="154" t="str">
        <f t="shared" si="9"/>
        <v>y</v>
      </c>
      <c r="WY1" s="154" t="str">
        <f t="shared" si="9"/>
        <v>y</v>
      </c>
      <c r="WZ1" s="154" t="str">
        <f t="shared" si="9"/>
        <v>y</v>
      </c>
      <c r="XA1" s="154" t="str">
        <f t="shared" si="9"/>
        <v>y</v>
      </c>
      <c r="XB1" s="154" t="str">
        <f t="shared" si="9"/>
        <v>y</v>
      </c>
      <c r="XC1" s="154" t="str">
        <f t="shared" si="9"/>
        <v>y</v>
      </c>
      <c r="XD1" s="154" t="str">
        <f t="shared" si="9"/>
        <v>y</v>
      </c>
      <c r="XE1" s="154" t="str">
        <f t="shared" si="9"/>
        <v>y</v>
      </c>
      <c r="XF1" s="154" t="str">
        <f t="shared" si="9"/>
        <v>y</v>
      </c>
      <c r="XG1" s="154" t="str">
        <f t="shared" si="9"/>
        <v>y</v>
      </c>
      <c r="XH1" s="154" t="str">
        <f t="shared" si="9"/>
        <v>y</v>
      </c>
      <c r="XI1" s="154" t="str">
        <f t="shared" si="9"/>
        <v>y</v>
      </c>
      <c r="XJ1" s="154" t="str">
        <f t="shared" si="9"/>
        <v>y</v>
      </c>
      <c r="XK1" s="154" t="str">
        <f t="shared" si="9"/>
        <v>y</v>
      </c>
      <c r="XL1" s="154" t="str">
        <f t="shared" si="9"/>
        <v>y</v>
      </c>
      <c r="XM1" s="154" t="str">
        <f t="shared" si="9"/>
        <v>y</v>
      </c>
      <c r="XN1" s="154" t="str">
        <f t="shared" si="9"/>
        <v>y</v>
      </c>
      <c r="XO1" s="154" t="str">
        <f t="shared" si="9"/>
        <v>y</v>
      </c>
      <c r="XP1" s="154" t="str">
        <f t="shared" si="9"/>
        <v>y</v>
      </c>
      <c r="XQ1" s="154" t="str">
        <f t="shared" si="9"/>
        <v>y</v>
      </c>
      <c r="XR1" s="154" t="str">
        <f t="shared" si="9"/>
        <v>y</v>
      </c>
      <c r="XS1" s="154" t="str">
        <f t="shared" si="9"/>
        <v>y</v>
      </c>
      <c r="XT1" s="154" t="str">
        <f t="shared" ref="XT1:AAE1" si="10">XT2&amp;"y"</f>
        <v>y</v>
      </c>
      <c r="XU1" s="154" t="str">
        <f t="shared" si="10"/>
        <v>y</v>
      </c>
      <c r="XV1" s="154" t="str">
        <f t="shared" si="10"/>
        <v>y</v>
      </c>
      <c r="XW1" s="154" t="str">
        <f t="shared" si="10"/>
        <v>y</v>
      </c>
      <c r="XX1" s="154" t="str">
        <f t="shared" si="10"/>
        <v>y</v>
      </c>
      <c r="XY1" s="154" t="str">
        <f t="shared" si="10"/>
        <v>y</v>
      </c>
      <c r="XZ1" s="154" t="str">
        <f t="shared" si="10"/>
        <v>y</v>
      </c>
      <c r="YA1" s="154" t="str">
        <f t="shared" si="10"/>
        <v>y</v>
      </c>
      <c r="YB1" s="154" t="str">
        <f t="shared" si="10"/>
        <v>y</v>
      </c>
      <c r="YC1" s="154" t="str">
        <f t="shared" si="10"/>
        <v>y</v>
      </c>
      <c r="YD1" s="154" t="str">
        <f t="shared" si="10"/>
        <v>y</v>
      </c>
      <c r="YE1" s="154" t="str">
        <f t="shared" si="10"/>
        <v>y</v>
      </c>
      <c r="YF1" s="154" t="str">
        <f t="shared" si="10"/>
        <v>y</v>
      </c>
      <c r="YG1" s="154" t="str">
        <f t="shared" si="10"/>
        <v>y</v>
      </c>
      <c r="YH1" s="154" t="str">
        <f t="shared" si="10"/>
        <v>y</v>
      </c>
      <c r="YI1" s="154" t="str">
        <f t="shared" si="10"/>
        <v>y</v>
      </c>
      <c r="YJ1" s="154" t="str">
        <f t="shared" si="10"/>
        <v>y</v>
      </c>
      <c r="YK1" s="154" t="str">
        <f t="shared" si="10"/>
        <v>y</v>
      </c>
      <c r="YL1" s="154" t="str">
        <f t="shared" si="10"/>
        <v>y</v>
      </c>
      <c r="YM1" s="154" t="str">
        <f t="shared" si="10"/>
        <v>y</v>
      </c>
      <c r="YN1" s="154" t="str">
        <f t="shared" si="10"/>
        <v>y</v>
      </c>
      <c r="YO1" s="154" t="str">
        <f t="shared" si="10"/>
        <v>y</v>
      </c>
      <c r="YP1" s="154" t="str">
        <f t="shared" si="10"/>
        <v>y</v>
      </c>
      <c r="YQ1" s="154" t="str">
        <f t="shared" si="10"/>
        <v>y</v>
      </c>
      <c r="YR1" s="154" t="str">
        <f t="shared" si="10"/>
        <v>y</v>
      </c>
      <c r="YS1" s="154" t="str">
        <f t="shared" si="10"/>
        <v>y</v>
      </c>
      <c r="YT1" s="154" t="str">
        <f t="shared" si="10"/>
        <v>y</v>
      </c>
      <c r="YU1" s="154" t="str">
        <f t="shared" si="10"/>
        <v>y</v>
      </c>
      <c r="YV1" s="154" t="str">
        <f t="shared" si="10"/>
        <v>y</v>
      </c>
      <c r="YW1" s="154" t="str">
        <f t="shared" si="10"/>
        <v>y</v>
      </c>
      <c r="YX1" s="154" t="str">
        <f t="shared" si="10"/>
        <v>y</v>
      </c>
      <c r="YY1" s="154" t="str">
        <f t="shared" si="10"/>
        <v>y</v>
      </c>
      <c r="YZ1" s="154" t="str">
        <f t="shared" si="10"/>
        <v>y</v>
      </c>
      <c r="ZA1" s="154" t="str">
        <f t="shared" si="10"/>
        <v>y</v>
      </c>
      <c r="ZB1" s="154" t="str">
        <f t="shared" si="10"/>
        <v>y</v>
      </c>
      <c r="ZC1" s="154" t="str">
        <f t="shared" si="10"/>
        <v>y</v>
      </c>
      <c r="ZD1" s="154" t="str">
        <f t="shared" si="10"/>
        <v>y</v>
      </c>
      <c r="ZE1" s="154" t="str">
        <f t="shared" si="10"/>
        <v>y</v>
      </c>
      <c r="ZF1" s="154" t="str">
        <f t="shared" si="10"/>
        <v>y</v>
      </c>
      <c r="ZG1" s="154" t="str">
        <f t="shared" si="10"/>
        <v>y</v>
      </c>
      <c r="ZH1" s="154" t="str">
        <f t="shared" si="10"/>
        <v>y</v>
      </c>
      <c r="ZI1" s="154" t="str">
        <f t="shared" si="10"/>
        <v>y</v>
      </c>
      <c r="ZJ1" s="154" t="str">
        <f t="shared" si="10"/>
        <v>y</v>
      </c>
      <c r="ZK1" s="154" t="str">
        <f t="shared" si="10"/>
        <v>y</v>
      </c>
      <c r="ZL1" s="154" t="str">
        <f t="shared" si="10"/>
        <v>y</v>
      </c>
      <c r="ZM1" s="154" t="str">
        <f t="shared" si="10"/>
        <v>y</v>
      </c>
      <c r="ZN1" s="154" t="str">
        <f t="shared" si="10"/>
        <v>y</v>
      </c>
      <c r="ZO1" s="154" t="str">
        <f t="shared" si="10"/>
        <v>y</v>
      </c>
      <c r="ZP1" s="154" t="str">
        <f t="shared" si="10"/>
        <v>y</v>
      </c>
      <c r="ZQ1" s="154" t="str">
        <f t="shared" si="10"/>
        <v>y</v>
      </c>
      <c r="ZR1" s="154" t="str">
        <f t="shared" si="10"/>
        <v>y</v>
      </c>
      <c r="ZS1" s="154" t="str">
        <f t="shared" si="10"/>
        <v>y</v>
      </c>
      <c r="ZT1" s="154" t="str">
        <f t="shared" si="10"/>
        <v>y</v>
      </c>
      <c r="ZU1" s="154" t="str">
        <f t="shared" si="10"/>
        <v>y</v>
      </c>
      <c r="ZV1" s="154" t="str">
        <f t="shared" si="10"/>
        <v>y</v>
      </c>
      <c r="ZW1" s="154" t="str">
        <f t="shared" si="10"/>
        <v>y</v>
      </c>
      <c r="ZX1" s="154" t="str">
        <f t="shared" si="10"/>
        <v>y</v>
      </c>
      <c r="ZY1" s="154" t="str">
        <f t="shared" si="10"/>
        <v>y</v>
      </c>
      <c r="ZZ1" s="154" t="str">
        <f t="shared" si="10"/>
        <v>y</v>
      </c>
      <c r="AAA1" s="154" t="str">
        <f t="shared" si="10"/>
        <v>y</v>
      </c>
      <c r="AAB1" s="154" t="str">
        <f t="shared" si="10"/>
        <v>y</v>
      </c>
      <c r="AAC1" s="154" t="str">
        <f t="shared" si="10"/>
        <v>y</v>
      </c>
      <c r="AAD1" s="154" t="str">
        <f t="shared" si="10"/>
        <v>y</v>
      </c>
      <c r="AAE1" s="154" t="str">
        <f t="shared" si="10"/>
        <v>y</v>
      </c>
      <c r="AAF1" s="154" t="str">
        <f t="shared" ref="AAF1:ACQ1" si="11">AAF2&amp;"y"</f>
        <v>y</v>
      </c>
      <c r="AAG1" s="154" t="str">
        <f t="shared" si="11"/>
        <v>y</v>
      </c>
      <c r="AAH1" s="154" t="str">
        <f t="shared" si="11"/>
        <v>y</v>
      </c>
      <c r="AAI1" s="154" t="str">
        <f t="shared" si="11"/>
        <v>y</v>
      </c>
      <c r="AAJ1" s="154" t="str">
        <f t="shared" si="11"/>
        <v>y</v>
      </c>
      <c r="AAK1" s="154" t="str">
        <f t="shared" si="11"/>
        <v>y</v>
      </c>
      <c r="AAL1" s="154" t="str">
        <f t="shared" si="11"/>
        <v>y</v>
      </c>
      <c r="AAM1" s="154" t="str">
        <f t="shared" si="11"/>
        <v>y</v>
      </c>
      <c r="AAN1" s="154" t="str">
        <f t="shared" si="11"/>
        <v>y</v>
      </c>
      <c r="AAO1" s="154" t="str">
        <f t="shared" si="11"/>
        <v>y</v>
      </c>
      <c r="AAP1" s="154" t="str">
        <f t="shared" si="11"/>
        <v>y</v>
      </c>
      <c r="AAQ1" s="154" t="str">
        <f t="shared" si="11"/>
        <v>y</v>
      </c>
      <c r="AAR1" s="154" t="str">
        <f t="shared" si="11"/>
        <v>y</v>
      </c>
      <c r="AAS1" s="154" t="str">
        <f t="shared" si="11"/>
        <v>y</v>
      </c>
      <c r="AAT1" s="154" t="str">
        <f t="shared" si="11"/>
        <v>y</v>
      </c>
      <c r="AAU1" s="154" t="str">
        <f t="shared" si="11"/>
        <v>y</v>
      </c>
      <c r="AAV1" s="154" t="str">
        <f t="shared" si="11"/>
        <v>y</v>
      </c>
      <c r="AAW1" s="154" t="str">
        <f t="shared" si="11"/>
        <v>y</v>
      </c>
      <c r="AAX1" s="154" t="str">
        <f t="shared" si="11"/>
        <v>y</v>
      </c>
      <c r="AAY1" s="154" t="str">
        <f t="shared" si="11"/>
        <v>y</v>
      </c>
      <c r="AAZ1" s="154" t="str">
        <f t="shared" si="11"/>
        <v>y</v>
      </c>
      <c r="ABA1" s="154" t="str">
        <f t="shared" si="11"/>
        <v>y</v>
      </c>
      <c r="ABB1" s="154" t="str">
        <f t="shared" si="11"/>
        <v>y</v>
      </c>
      <c r="ABC1" s="154" t="str">
        <f t="shared" si="11"/>
        <v>y</v>
      </c>
      <c r="ABD1" s="154" t="str">
        <f t="shared" si="11"/>
        <v>y</v>
      </c>
      <c r="ABE1" s="154" t="str">
        <f t="shared" si="11"/>
        <v>y</v>
      </c>
      <c r="ABF1" s="154" t="str">
        <f t="shared" si="11"/>
        <v>y</v>
      </c>
      <c r="ABG1" s="154" t="str">
        <f t="shared" si="11"/>
        <v>y</v>
      </c>
      <c r="ABH1" s="154" t="str">
        <f t="shared" si="11"/>
        <v>y</v>
      </c>
      <c r="ABI1" s="154" t="str">
        <f t="shared" si="11"/>
        <v>y</v>
      </c>
      <c r="ABJ1" s="154" t="str">
        <f t="shared" si="11"/>
        <v>y</v>
      </c>
      <c r="ABK1" s="154" t="str">
        <f t="shared" si="11"/>
        <v>y</v>
      </c>
      <c r="ABL1" s="154" t="str">
        <f t="shared" si="11"/>
        <v>y</v>
      </c>
      <c r="ABM1" s="154" t="str">
        <f t="shared" si="11"/>
        <v>y</v>
      </c>
      <c r="ABN1" s="154" t="str">
        <f t="shared" si="11"/>
        <v>y</v>
      </c>
      <c r="ABO1" s="154" t="str">
        <f t="shared" si="11"/>
        <v>y</v>
      </c>
      <c r="ABP1" s="154" t="str">
        <f t="shared" si="11"/>
        <v>y</v>
      </c>
      <c r="ABQ1" s="154" t="str">
        <f t="shared" si="11"/>
        <v>y</v>
      </c>
      <c r="ABR1" s="154" t="str">
        <f t="shared" si="11"/>
        <v>y</v>
      </c>
      <c r="ABS1" s="154" t="str">
        <f t="shared" si="11"/>
        <v>y</v>
      </c>
      <c r="ABT1" s="154" t="str">
        <f t="shared" si="11"/>
        <v>y</v>
      </c>
      <c r="ABU1" s="154" t="str">
        <f t="shared" si="11"/>
        <v>y</v>
      </c>
      <c r="ABV1" s="154" t="str">
        <f t="shared" si="11"/>
        <v>y</v>
      </c>
      <c r="ABW1" s="154" t="str">
        <f t="shared" si="11"/>
        <v>y</v>
      </c>
      <c r="ABX1" s="154" t="str">
        <f t="shared" si="11"/>
        <v>y</v>
      </c>
      <c r="ABY1" s="154" t="str">
        <f t="shared" si="11"/>
        <v>y</v>
      </c>
      <c r="ABZ1" s="154" t="str">
        <f t="shared" si="11"/>
        <v>y</v>
      </c>
      <c r="ACA1" s="154" t="str">
        <f t="shared" si="11"/>
        <v>y</v>
      </c>
      <c r="ACB1" s="154" t="str">
        <f t="shared" si="11"/>
        <v>y</v>
      </c>
      <c r="ACC1" s="154" t="str">
        <f t="shared" si="11"/>
        <v>y</v>
      </c>
      <c r="ACD1" s="154" t="str">
        <f t="shared" si="11"/>
        <v>y</v>
      </c>
      <c r="ACE1" s="154" t="str">
        <f t="shared" si="11"/>
        <v>y</v>
      </c>
      <c r="ACF1" s="154" t="str">
        <f t="shared" si="11"/>
        <v>y</v>
      </c>
      <c r="ACG1" s="154" t="str">
        <f t="shared" si="11"/>
        <v>y</v>
      </c>
      <c r="ACH1" s="154" t="str">
        <f t="shared" si="11"/>
        <v>y</v>
      </c>
      <c r="ACI1" s="154" t="str">
        <f t="shared" si="11"/>
        <v>y</v>
      </c>
      <c r="ACJ1" s="154" t="str">
        <f t="shared" si="11"/>
        <v>y</v>
      </c>
      <c r="ACK1" s="154" t="str">
        <f t="shared" si="11"/>
        <v>y</v>
      </c>
      <c r="ACL1" s="154" t="str">
        <f t="shared" si="11"/>
        <v>y</v>
      </c>
      <c r="ACM1" s="154" t="str">
        <f t="shared" si="11"/>
        <v>y</v>
      </c>
      <c r="ACN1" s="154" t="str">
        <f t="shared" si="11"/>
        <v>y</v>
      </c>
      <c r="ACO1" s="154" t="str">
        <f t="shared" si="11"/>
        <v>y</v>
      </c>
      <c r="ACP1" s="154" t="str">
        <f t="shared" si="11"/>
        <v>y</v>
      </c>
      <c r="ACQ1" s="154" t="str">
        <f t="shared" si="11"/>
        <v>y</v>
      </c>
      <c r="ACR1" s="154" t="str">
        <f t="shared" ref="ACR1:AFC1" si="12">ACR2&amp;"y"</f>
        <v>y</v>
      </c>
      <c r="ACS1" s="154" t="str">
        <f t="shared" si="12"/>
        <v>y</v>
      </c>
      <c r="ACT1" s="154" t="str">
        <f t="shared" si="12"/>
        <v>y</v>
      </c>
      <c r="ACU1" s="154" t="str">
        <f t="shared" si="12"/>
        <v>y</v>
      </c>
      <c r="ACV1" s="154" t="str">
        <f t="shared" si="12"/>
        <v>y</v>
      </c>
      <c r="ACW1" s="154" t="str">
        <f t="shared" si="12"/>
        <v>y</v>
      </c>
      <c r="ACX1" s="154" t="str">
        <f t="shared" si="12"/>
        <v>y</v>
      </c>
      <c r="ACY1" s="154" t="str">
        <f t="shared" si="12"/>
        <v>y</v>
      </c>
      <c r="ACZ1" s="154" t="str">
        <f t="shared" si="12"/>
        <v>y</v>
      </c>
      <c r="ADA1" s="154" t="str">
        <f t="shared" si="12"/>
        <v>y</v>
      </c>
      <c r="ADB1" s="154" t="str">
        <f t="shared" si="12"/>
        <v>y</v>
      </c>
      <c r="ADC1" s="154" t="str">
        <f t="shared" si="12"/>
        <v>y</v>
      </c>
      <c r="ADD1" s="154" t="str">
        <f t="shared" si="12"/>
        <v>y</v>
      </c>
      <c r="ADE1" s="154" t="str">
        <f t="shared" si="12"/>
        <v>y</v>
      </c>
      <c r="ADF1" s="154" t="str">
        <f t="shared" si="12"/>
        <v>y</v>
      </c>
      <c r="ADG1" s="154" t="str">
        <f t="shared" si="12"/>
        <v>y</v>
      </c>
      <c r="ADH1" s="154" t="str">
        <f t="shared" si="12"/>
        <v>y</v>
      </c>
      <c r="ADI1" s="154" t="str">
        <f t="shared" si="12"/>
        <v>y</v>
      </c>
      <c r="ADJ1" s="154" t="str">
        <f t="shared" si="12"/>
        <v>y</v>
      </c>
      <c r="ADK1" s="154" t="str">
        <f t="shared" si="12"/>
        <v>y</v>
      </c>
      <c r="ADL1" s="154" t="str">
        <f t="shared" si="12"/>
        <v>y</v>
      </c>
      <c r="ADM1" s="154" t="str">
        <f t="shared" si="12"/>
        <v>y</v>
      </c>
      <c r="ADN1" s="154" t="str">
        <f t="shared" si="12"/>
        <v>y</v>
      </c>
      <c r="ADO1" s="154" t="str">
        <f t="shared" si="12"/>
        <v>y</v>
      </c>
      <c r="ADP1" s="154" t="str">
        <f t="shared" si="12"/>
        <v>y</v>
      </c>
      <c r="ADQ1" s="154" t="str">
        <f t="shared" si="12"/>
        <v>y</v>
      </c>
      <c r="ADR1" s="154" t="str">
        <f t="shared" si="12"/>
        <v>y</v>
      </c>
      <c r="ADS1" s="154" t="str">
        <f t="shared" si="12"/>
        <v>y</v>
      </c>
      <c r="ADT1" s="154" t="str">
        <f t="shared" si="12"/>
        <v>y</v>
      </c>
      <c r="ADU1" s="154" t="str">
        <f t="shared" si="12"/>
        <v>y</v>
      </c>
      <c r="ADV1" s="154" t="str">
        <f t="shared" si="12"/>
        <v>y</v>
      </c>
      <c r="ADW1" s="154" t="str">
        <f t="shared" si="12"/>
        <v>y</v>
      </c>
      <c r="ADX1" s="154" t="str">
        <f t="shared" si="12"/>
        <v>y</v>
      </c>
      <c r="ADY1" s="154" t="str">
        <f t="shared" si="12"/>
        <v>y</v>
      </c>
      <c r="ADZ1" s="154" t="str">
        <f t="shared" si="12"/>
        <v>y</v>
      </c>
      <c r="AEA1" s="154" t="str">
        <f t="shared" si="12"/>
        <v>y</v>
      </c>
      <c r="AEB1" s="154" t="str">
        <f t="shared" si="12"/>
        <v>y</v>
      </c>
      <c r="AEC1" s="154" t="str">
        <f t="shared" si="12"/>
        <v>y</v>
      </c>
      <c r="AED1" s="154" t="str">
        <f t="shared" si="12"/>
        <v>y</v>
      </c>
      <c r="AEE1" s="154" t="str">
        <f t="shared" si="12"/>
        <v>y</v>
      </c>
      <c r="AEF1" s="154" t="str">
        <f t="shared" si="12"/>
        <v>y</v>
      </c>
      <c r="AEG1" s="154" t="str">
        <f t="shared" si="12"/>
        <v>y</v>
      </c>
      <c r="AEH1" s="154" t="str">
        <f t="shared" si="12"/>
        <v>y</v>
      </c>
      <c r="AEI1" s="154" t="str">
        <f t="shared" si="12"/>
        <v>y</v>
      </c>
      <c r="AEJ1" s="154" t="str">
        <f t="shared" si="12"/>
        <v>y</v>
      </c>
      <c r="AEK1" s="154" t="str">
        <f t="shared" si="12"/>
        <v>y</v>
      </c>
      <c r="AEL1" s="154" t="str">
        <f t="shared" si="12"/>
        <v>y</v>
      </c>
      <c r="AEM1" s="154" t="str">
        <f t="shared" si="12"/>
        <v>y</v>
      </c>
      <c r="AEN1" s="154" t="str">
        <f t="shared" si="12"/>
        <v>y</v>
      </c>
      <c r="AEO1" s="154" t="str">
        <f t="shared" si="12"/>
        <v>y</v>
      </c>
      <c r="AEP1" s="154" t="str">
        <f t="shared" si="12"/>
        <v>y</v>
      </c>
      <c r="AEQ1" s="154" t="str">
        <f t="shared" si="12"/>
        <v>y</v>
      </c>
      <c r="AER1" s="154" t="str">
        <f t="shared" si="12"/>
        <v>y</v>
      </c>
      <c r="AES1" s="154" t="str">
        <f t="shared" si="12"/>
        <v>y</v>
      </c>
      <c r="AET1" s="154" t="str">
        <f t="shared" si="12"/>
        <v>y</v>
      </c>
      <c r="AEU1" s="154" t="str">
        <f t="shared" si="12"/>
        <v>y</v>
      </c>
      <c r="AEV1" s="154" t="str">
        <f t="shared" si="12"/>
        <v>y</v>
      </c>
      <c r="AEW1" s="154" t="str">
        <f t="shared" si="12"/>
        <v>y</v>
      </c>
      <c r="AEX1" s="154" t="str">
        <f t="shared" si="12"/>
        <v>y</v>
      </c>
      <c r="AEY1" s="154" t="str">
        <f t="shared" si="12"/>
        <v>y</v>
      </c>
      <c r="AEZ1" s="154" t="str">
        <f t="shared" si="12"/>
        <v>y</v>
      </c>
      <c r="AFA1" s="154" t="str">
        <f t="shared" si="12"/>
        <v>y</v>
      </c>
      <c r="AFB1" s="154" t="str">
        <f t="shared" si="12"/>
        <v>y</v>
      </c>
      <c r="AFC1" s="154" t="str">
        <f t="shared" si="12"/>
        <v>y</v>
      </c>
      <c r="AFD1" s="154" t="str">
        <f t="shared" ref="AFD1:AHO1" si="13">AFD2&amp;"y"</f>
        <v>y</v>
      </c>
      <c r="AFE1" s="154" t="str">
        <f t="shared" si="13"/>
        <v>y</v>
      </c>
      <c r="AFF1" s="154" t="str">
        <f t="shared" si="13"/>
        <v>y</v>
      </c>
      <c r="AFG1" s="154" t="str">
        <f t="shared" si="13"/>
        <v>y</v>
      </c>
      <c r="AFH1" s="154" t="str">
        <f t="shared" si="13"/>
        <v>y</v>
      </c>
      <c r="AFI1" s="154" t="str">
        <f t="shared" si="13"/>
        <v>y</v>
      </c>
      <c r="AFJ1" s="154" t="str">
        <f t="shared" si="13"/>
        <v>y</v>
      </c>
      <c r="AFK1" s="154" t="str">
        <f t="shared" si="13"/>
        <v>y</v>
      </c>
      <c r="AFL1" s="154" t="str">
        <f t="shared" si="13"/>
        <v>y</v>
      </c>
      <c r="AFM1" s="154" t="str">
        <f t="shared" si="13"/>
        <v>y</v>
      </c>
      <c r="AFN1" s="154" t="str">
        <f t="shared" si="13"/>
        <v>y</v>
      </c>
      <c r="AFO1" s="154" t="str">
        <f t="shared" si="13"/>
        <v>y</v>
      </c>
      <c r="AFP1" s="154" t="str">
        <f t="shared" si="13"/>
        <v>y</v>
      </c>
      <c r="AFQ1" s="154" t="str">
        <f t="shared" si="13"/>
        <v>y</v>
      </c>
      <c r="AFR1" s="154" t="str">
        <f t="shared" si="13"/>
        <v>y</v>
      </c>
      <c r="AFS1" s="154" t="str">
        <f t="shared" si="13"/>
        <v>y</v>
      </c>
      <c r="AFT1" s="154" t="str">
        <f t="shared" si="13"/>
        <v>y</v>
      </c>
      <c r="AFU1" s="154" t="str">
        <f t="shared" si="13"/>
        <v>y</v>
      </c>
      <c r="AFV1" s="154" t="str">
        <f t="shared" si="13"/>
        <v>y</v>
      </c>
      <c r="AFW1" s="154" t="str">
        <f t="shared" si="13"/>
        <v>y</v>
      </c>
      <c r="AFX1" s="154" t="str">
        <f t="shared" si="13"/>
        <v>y</v>
      </c>
      <c r="AFY1" s="154" t="str">
        <f t="shared" si="13"/>
        <v>y</v>
      </c>
      <c r="AFZ1" s="154" t="str">
        <f t="shared" si="13"/>
        <v>y</v>
      </c>
      <c r="AGA1" s="154" t="str">
        <f t="shared" si="13"/>
        <v>y</v>
      </c>
      <c r="AGB1" s="154" t="str">
        <f t="shared" si="13"/>
        <v>y</v>
      </c>
      <c r="AGC1" s="154" t="str">
        <f t="shared" si="13"/>
        <v>y</v>
      </c>
      <c r="AGD1" s="154" t="str">
        <f t="shared" si="13"/>
        <v>y</v>
      </c>
      <c r="AGE1" s="154" t="str">
        <f t="shared" si="13"/>
        <v>y</v>
      </c>
      <c r="AGF1" s="154" t="str">
        <f t="shared" si="13"/>
        <v>y</v>
      </c>
      <c r="AGG1" s="154" t="str">
        <f t="shared" si="13"/>
        <v>y</v>
      </c>
      <c r="AGH1" s="154" t="str">
        <f t="shared" si="13"/>
        <v>y</v>
      </c>
      <c r="AGI1" s="154" t="str">
        <f t="shared" si="13"/>
        <v>y</v>
      </c>
      <c r="AGJ1" s="154" t="str">
        <f t="shared" si="13"/>
        <v>y</v>
      </c>
      <c r="AGK1" s="154" t="str">
        <f t="shared" si="13"/>
        <v>y</v>
      </c>
      <c r="AGL1" s="154" t="str">
        <f t="shared" si="13"/>
        <v>y</v>
      </c>
      <c r="AGM1" s="154" t="str">
        <f t="shared" si="13"/>
        <v>y</v>
      </c>
      <c r="AGN1" s="154" t="str">
        <f t="shared" si="13"/>
        <v>y</v>
      </c>
      <c r="AGO1" s="154" t="str">
        <f t="shared" si="13"/>
        <v>y</v>
      </c>
      <c r="AGP1" s="154" t="str">
        <f t="shared" si="13"/>
        <v>y</v>
      </c>
      <c r="AGQ1" s="154" t="str">
        <f t="shared" si="13"/>
        <v>y</v>
      </c>
      <c r="AGR1" s="154" t="str">
        <f t="shared" si="13"/>
        <v>y</v>
      </c>
      <c r="AGS1" s="154" t="str">
        <f t="shared" si="13"/>
        <v>y</v>
      </c>
      <c r="AGT1" s="154" t="str">
        <f t="shared" si="13"/>
        <v>y</v>
      </c>
      <c r="AGU1" s="154" t="str">
        <f t="shared" si="13"/>
        <v>y</v>
      </c>
      <c r="AGV1" s="154" t="str">
        <f t="shared" si="13"/>
        <v>y</v>
      </c>
      <c r="AGW1" s="154" t="str">
        <f t="shared" si="13"/>
        <v>y</v>
      </c>
      <c r="AGX1" s="154" t="str">
        <f t="shared" si="13"/>
        <v>y</v>
      </c>
      <c r="AGY1" s="154" t="str">
        <f t="shared" si="13"/>
        <v>y</v>
      </c>
      <c r="AGZ1" s="154" t="str">
        <f t="shared" si="13"/>
        <v>y</v>
      </c>
      <c r="AHA1" s="154" t="str">
        <f t="shared" si="13"/>
        <v>y</v>
      </c>
      <c r="AHB1" s="154" t="str">
        <f t="shared" si="13"/>
        <v>y</v>
      </c>
      <c r="AHC1" s="154" t="str">
        <f t="shared" si="13"/>
        <v>y</v>
      </c>
      <c r="AHD1" s="154" t="str">
        <f t="shared" si="13"/>
        <v>y</v>
      </c>
      <c r="AHE1" s="154" t="str">
        <f t="shared" si="13"/>
        <v>y</v>
      </c>
      <c r="AHF1" s="154" t="str">
        <f t="shared" si="13"/>
        <v>y</v>
      </c>
      <c r="AHG1" s="154" t="str">
        <f t="shared" si="13"/>
        <v>y</v>
      </c>
      <c r="AHH1" s="154" t="str">
        <f t="shared" si="13"/>
        <v>y</v>
      </c>
      <c r="AHI1" s="154" t="str">
        <f t="shared" si="13"/>
        <v>y</v>
      </c>
      <c r="AHJ1" s="154" t="str">
        <f t="shared" si="13"/>
        <v>y</v>
      </c>
      <c r="AHK1" s="154" t="str">
        <f t="shared" si="13"/>
        <v>y</v>
      </c>
      <c r="AHL1" s="154" t="str">
        <f t="shared" si="13"/>
        <v>y</v>
      </c>
      <c r="AHM1" s="154" t="str">
        <f t="shared" si="13"/>
        <v>y</v>
      </c>
      <c r="AHN1" s="154" t="str">
        <f t="shared" si="13"/>
        <v>y</v>
      </c>
      <c r="AHO1" s="154" t="str">
        <f t="shared" si="13"/>
        <v>y</v>
      </c>
      <c r="AHP1" s="154" t="str">
        <f t="shared" ref="AHP1:AKA1" si="14">AHP2&amp;"y"</f>
        <v>y</v>
      </c>
      <c r="AHQ1" s="154" t="str">
        <f t="shared" si="14"/>
        <v>y</v>
      </c>
      <c r="AHR1" s="154" t="str">
        <f t="shared" si="14"/>
        <v>y</v>
      </c>
      <c r="AHS1" s="154" t="str">
        <f t="shared" si="14"/>
        <v>y</v>
      </c>
      <c r="AHT1" s="154" t="str">
        <f t="shared" si="14"/>
        <v>y</v>
      </c>
      <c r="AHU1" s="154" t="str">
        <f t="shared" si="14"/>
        <v>y</v>
      </c>
      <c r="AHV1" s="154" t="str">
        <f t="shared" si="14"/>
        <v>y</v>
      </c>
      <c r="AHW1" s="154" t="str">
        <f t="shared" si="14"/>
        <v>y</v>
      </c>
      <c r="AHX1" s="154" t="str">
        <f t="shared" si="14"/>
        <v>y</v>
      </c>
      <c r="AHY1" s="154" t="str">
        <f t="shared" si="14"/>
        <v>y</v>
      </c>
      <c r="AHZ1" s="154" t="str">
        <f t="shared" si="14"/>
        <v>y</v>
      </c>
      <c r="AIA1" s="154" t="str">
        <f t="shared" si="14"/>
        <v>y</v>
      </c>
      <c r="AIB1" s="154" t="str">
        <f t="shared" si="14"/>
        <v>y</v>
      </c>
      <c r="AIC1" s="154" t="str">
        <f t="shared" si="14"/>
        <v>y</v>
      </c>
      <c r="AID1" s="154" t="str">
        <f t="shared" si="14"/>
        <v>y</v>
      </c>
      <c r="AIE1" s="154" t="str">
        <f t="shared" si="14"/>
        <v>y</v>
      </c>
      <c r="AIF1" s="154" t="str">
        <f t="shared" si="14"/>
        <v>y</v>
      </c>
      <c r="AIG1" s="154" t="str">
        <f t="shared" si="14"/>
        <v>y</v>
      </c>
      <c r="AIH1" s="154" t="str">
        <f t="shared" si="14"/>
        <v>y</v>
      </c>
      <c r="AII1" s="154" t="str">
        <f t="shared" si="14"/>
        <v>y</v>
      </c>
      <c r="AIJ1" s="154" t="str">
        <f t="shared" si="14"/>
        <v>y</v>
      </c>
      <c r="AIK1" s="154" t="str">
        <f t="shared" si="14"/>
        <v>y</v>
      </c>
      <c r="AIL1" s="154" t="str">
        <f t="shared" si="14"/>
        <v>y</v>
      </c>
      <c r="AIM1" s="154" t="str">
        <f t="shared" si="14"/>
        <v>y</v>
      </c>
      <c r="AIN1" s="154" t="str">
        <f t="shared" si="14"/>
        <v>y</v>
      </c>
      <c r="AIO1" s="154" t="str">
        <f t="shared" si="14"/>
        <v>y</v>
      </c>
      <c r="AIP1" s="154" t="str">
        <f t="shared" si="14"/>
        <v>y</v>
      </c>
      <c r="AIQ1" s="154" t="str">
        <f t="shared" si="14"/>
        <v>y</v>
      </c>
      <c r="AIR1" s="154" t="str">
        <f t="shared" si="14"/>
        <v>y</v>
      </c>
      <c r="AIS1" s="154" t="str">
        <f t="shared" si="14"/>
        <v>y</v>
      </c>
      <c r="AIT1" s="154" t="str">
        <f t="shared" si="14"/>
        <v>y</v>
      </c>
      <c r="AIU1" s="154" t="str">
        <f t="shared" si="14"/>
        <v>y</v>
      </c>
      <c r="AIV1" s="154" t="str">
        <f t="shared" si="14"/>
        <v>y</v>
      </c>
      <c r="AIW1" s="154" t="str">
        <f t="shared" si="14"/>
        <v>y</v>
      </c>
      <c r="AIX1" s="154" t="str">
        <f t="shared" si="14"/>
        <v>y</v>
      </c>
      <c r="AIY1" s="154" t="str">
        <f t="shared" si="14"/>
        <v>y</v>
      </c>
      <c r="AIZ1" s="154" t="str">
        <f t="shared" si="14"/>
        <v>y</v>
      </c>
      <c r="AJA1" s="154" t="str">
        <f t="shared" si="14"/>
        <v>y</v>
      </c>
      <c r="AJB1" s="154" t="str">
        <f t="shared" si="14"/>
        <v>y</v>
      </c>
      <c r="AJC1" s="154" t="str">
        <f t="shared" si="14"/>
        <v>y</v>
      </c>
      <c r="AJD1" s="154" t="str">
        <f t="shared" si="14"/>
        <v>y</v>
      </c>
      <c r="AJE1" s="154" t="str">
        <f t="shared" si="14"/>
        <v>y</v>
      </c>
      <c r="AJF1" s="154" t="str">
        <f t="shared" si="14"/>
        <v>y</v>
      </c>
      <c r="AJG1" s="154" t="str">
        <f t="shared" si="14"/>
        <v>y</v>
      </c>
      <c r="AJH1" s="154" t="str">
        <f t="shared" si="14"/>
        <v>y</v>
      </c>
      <c r="AJI1" s="154" t="str">
        <f t="shared" si="14"/>
        <v>y</v>
      </c>
      <c r="AJJ1" s="154" t="str">
        <f t="shared" si="14"/>
        <v>y</v>
      </c>
      <c r="AJK1" s="154" t="str">
        <f t="shared" si="14"/>
        <v>y</v>
      </c>
      <c r="AJL1" s="154" t="str">
        <f t="shared" si="14"/>
        <v>y</v>
      </c>
      <c r="AJM1" s="154" t="str">
        <f t="shared" si="14"/>
        <v>y</v>
      </c>
      <c r="AJN1" s="154" t="str">
        <f t="shared" si="14"/>
        <v>y</v>
      </c>
      <c r="AJO1" s="154" t="str">
        <f t="shared" si="14"/>
        <v>y</v>
      </c>
      <c r="AJP1" s="154" t="str">
        <f t="shared" si="14"/>
        <v>y</v>
      </c>
      <c r="AJQ1" s="154" t="str">
        <f t="shared" si="14"/>
        <v>y</v>
      </c>
      <c r="AJR1" s="154" t="str">
        <f t="shared" si="14"/>
        <v>y</v>
      </c>
      <c r="AJS1" s="154" t="str">
        <f t="shared" si="14"/>
        <v>y</v>
      </c>
      <c r="AJT1" s="154" t="str">
        <f t="shared" si="14"/>
        <v>y</v>
      </c>
      <c r="AJU1" s="154" t="str">
        <f t="shared" si="14"/>
        <v>y</v>
      </c>
      <c r="AJV1" s="154" t="str">
        <f t="shared" si="14"/>
        <v>y</v>
      </c>
      <c r="AJW1" s="154" t="str">
        <f t="shared" si="14"/>
        <v>y</v>
      </c>
      <c r="AJX1" s="154" t="str">
        <f t="shared" si="14"/>
        <v>y</v>
      </c>
      <c r="AJY1" s="154" t="str">
        <f t="shared" si="14"/>
        <v>y</v>
      </c>
      <c r="AJZ1" s="154" t="str">
        <f t="shared" si="14"/>
        <v>y</v>
      </c>
      <c r="AKA1" s="154" t="str">
        <f t="shared" si="14"/>
        <v>y</v>
      </c>
      <c r="AKB1" s="154" t="str">
        <f t="shared" ref="AKB1:AMM1" si="15">AKB2&amp;"y"</f>
        <v>y</v>
      </c>
      <c r="AKC1" s="154" t="str">
        <f t="shared" si="15"/>
        <v>y</v>
      </c>
      <c r="AKD1" s="154" t="str">
        <f t="shared" si="15"/>
        <v>y</v>
      </c>
      <c r="AKE1" s="154" t="str">
        <f t="shared" si="15"/>
        <v>y</v>
      </c>
      <c r="AKF1" s="154" t="str">
        <f t="shared" si="15"/>
        <v>y</v>
      </c>
      <c r="AKG1" s="154" t="str">
        <f t="shared" si="15"/>
        <v>y</v>
      </c>
      <c r="AKH1" s="154" t="str">
        <f t="shared" si="15"/>
        <v>y</v>
      </c>
      <c r="AKI1" s="154" t="str">
        <f t="shared" si="15"/>
        <v>y</v>
      </c>
      <c r="AKJ1" s="154" t="str">
        <f t="shared" si="15"/>
        <v>y</v>
      </c>
      <c r="AKK1" s="154" t="str">
        <f t="shared" si="15"/>
        <v>y</v>
      </c>
      <c r="AKL1" s="154" t="str">
        <f t="shared" si="15"/>
        <v>y</v>
      </c>
      <c r="AKM1" s="154" t="str">
        <f t="shared" si="15"/>
        <v>y</v>
      </c>
      <c r="AKN1" s="154" t="str">
        <f t="shared" si="15"/>
        <v>y</v>
      </c>
      <c r="AKO1" s="154" t="str">
        <f t="shared" si="15"/>
        <v>y</v>
      </c>
      <c r="AKP1" s="154" t="str">
        <f t="shared" si="15"/>
        <v>y</v>
      </c>
      <c r="AKQ1" s="154" t="str">
        <f t="shared" si="15"/>
        <v>y</v>
      </c>
      <c r="AKR1" s="154" t="str">
        <f t="shared" si="15"/>
        <v>y</v>
      </c>
      <c r="AKS1" s="154" t="str">
        <f t="shared" si="15"/>
        <v>y</v>
      </c>
      <c r="AKT1" s="154" t="str">
        <f t="shared" si="15"/>
        <v>y</v>
      </c>
      <c r="AKU1" s="154" t="str">
        <f t="shared" si="15"/>
        <v>y</v>
      </c>
      <c r="AKV1" s="154" t="str">
        <f t="shared" si="15"/>
        <v>y</v>
      </c>
      <c r="AKW1" s="154" t="str">
        <f t="shared" si="15"/>
        <v>y</v>
      </c>
      <c r="AKX1" s="154" t="str">
        <f t="shared" si="15"/>
        <v>y</v>
      </c>
      <c r="AKY1" s="154" t="str">
        <f t="shared" si="15"/>
        <v>y</v>
      </c>
      <c r="AKZ1" s="154" t="str">
        <f t="shared" si="15"/>
        <v>y</v>
      </c>
      <c r="ALA1" s="154" t="str">
        <f t="shared" si="15"/>
        <v>y</v>
      </c>
      <c r="ALB1" s="154" t="str">
        <f t="shared" si="15"/>
        <v>y</v>
      </c>
      <c r="ALC1" s="154" t="str">
        <f t="shared" si="15"/>
        <v>y</v>
      </c>
      <c r="ALD1" s="154" t="str">
        <f t="shared" si="15"/>
        <v>y</v>
      </c>
      <c r="ALE1" s="154" t="str">
        <f t="shared" si="15"/>
        <v>y</v>
      </c>
      <c r="ALF1" s="154" t="str">
        <f t="shared" si="15"/>
        <v>y</v>
      </c>
      <c r="ALG1" s="154" t="str">
        <f t="shared" si="15"/>
        <v>y</v>
      </c>
      <c r="ALH1" s="154" t="str">
        <f t="shared" si="15"/>
        <v>y</v>
      </c>
      <c r="ALI1" s="154" t="str">
        <f t="shared" si="15"/>
        <v>y</v>
      </c>
      <c r="ALJ1" s="154" t="str">
        <f t="shared" si="15"/>
        <v>y</v>
      </c>
      <c r="ALK1" s="154" t="str">
        <f t="shared" si="15"/>
        <v>y</v>
      </c>
      <c r="ALL1" s="154" t="str">
        <f t="shared" si="15"/>
        <v>y</v>
      </c>
      <c r="ALM1" s="154" t="str">
        <f t="shared" si="15"/>
        <v>y</v>
      </c>
      <c r="ALN1" s="154" t="str">
        <f t="shared" si="15"/>
        <v>y</v>
      </c>
      <c r="ALO1" s="154" t="str">
        <f t="shared" si="15"/>
        <v>y</v>
      </c>
      <c r="ALP1" s="154" t="str">
        <f t="shared" si="15"/>
        <v>y</v>
      </c>
      <c r="ALQ1" s="154" t="str">
        <f t="shared" si="15"/>
        <v>y</v>
      </c>
      <c r="ALR1" s="154" t="str">
        <f t="shared" si="15"/>
        <v>y</v>
      </c>
      <c r="ALS1" s="154" t="str">
        <f t="shared" si="15"/>
        <v>y</v>
      </c>
      <c r="ALT1" s="154" t="str">
        <f t="shared" si="15"/>
        <v>y</v>
      </c>
      <c r="ALU1" s="154" t="str">
        <f t="shared" si="15"/>
        <v>y</v>
      </c>
      <c r="ALV1" s="154" t="str">
        <f t="shared" si="15"/>
        <v>y</v>
      </c>
      <c r="ALW1" s="154" t="str">
        <f t="shared" si="15"/>
        <v>y</v>
      </c>
      <c r="ALX1" s="154" t="str">
        <f t="shared" si="15"/>
        <v>y</v>
      </c>
      <c r="ALY1" s="154" t="str">
        <f t="shared" si="15"/>
        <v>y</v>
      </c>
      <c r="ALZ1" s="154" t="str">
        <f t="shared" si="15"/>
        <v>y</v>
      </c>
      <c r="AMA1" s="154" t="str">
        <f t="shared" si="15"/>
        <v>y</v>
      </c>
      <c r="AMB1" s="154" t="str">
        <f t="shared" si="15"/>
        <v>y</v>
      </c>
      <c r="AMC1" s="154" t="str">
        <f t="shared" si="15"/>
        <v>y</v>
      </c>
      <c r="AMD1" s="154" t="str">
        <f t="shared" si="15"/>
        <v>y</v>
      </c>
      <c r="AME1" s="154" t="str">
        <f t="shared" si="15"/>
        <v>y</v>
      </c>
      <c r="AMF1" s="154" t="str">
        <f t="shared" si="15"/>
        <v>y</v>
      </c>
      <c r="AMG1" s="154" t="str">
        <f t="shared" si="15"/>
        <v>y</v>
      </c>
      <c r="AMH1" s="154" t="str">
        <f t="shared" si="15"/>
        <v>y</v>
      </c>
      <c r="AMI1" s="154" t="str">
        <f t="shared" si="15"/>
        <v>y</v>
      </c>
      <c r="AMJ1" s="154" t="str">
        <f t="shared" si="15"/>
        <v>y</v>
      </c>
      <c r="AMK1" s="154" t="str">
        <f t="shared" si="15"/>
        <v>y</v>
      </c>
      <c r="AML1" s="154" t="str">
        <f t="shared" si="15"/>
        <v>y</v>
      </c>
      <c r="AMM1" s="154" t="str">
        <f t="shared" si="15"/>
        <v>y</v>
      </c>
      <c r="AMN1" s="154" t="str">
        <f t="shared" ref="AMN1:AOY1" si="16">AMN2&amp;"y"</f>
        <v>y</v>
      </c>
      <c r="AMO1" s="154" t="str">
        <f t="shared" si="16"/>
        <v>y</v>
      </c>
      <c r="AMP1" s="154" t="str">
        <f t="shared" si="16"/>
        <v>y</v>
      </c>
      <c r="AMQ1" s="154" t="str">
        <f t="shared" si="16"/>
        <v>y</v>
      </c>
      <c r="AMR1" s="154" t="str">
        <f t="shared" si="16"/>
        <v>y</v>
      </c>
      <c r="AMS1" s="154" t="str">
        <f t="shared" si="16"/>
        <v>y</v>
      </c>
      <c r="AMT1" s="154" t="str">
        <f t="shared" si="16"/>
        <v>y</v>
      </c>
      <c r="AMU1" s="154" t="str">
        <f t="shared" si="16"/>
        <v>y</v>
      </c>
      <c r="AMV1" s="154" t="str">
        <f t="shared" si="16"/>
        <v>y</v>
      </c>
      <c r="AMW1" s="154" t="str">
        <f t="shared" si="16"/>
        <v>y</v>
      </c>
      <c r="AMX1" s="154" t="str">
        <f t="shared" si="16"/>
        <v>y</v>
      </c>
      <c r="AMY1" s="154" t="str">
        <f t="shared" si="16"/>
        <v>y</v>
      </c>
      <c r="AMZ1" s="154" t="str">
        <f t="shared" si="16"/>
        <v>y</v>
      </c>
      <c r="ANA1" s="154" t="str">
        <f t="shared" si="16"/>
        <v>y</v>
      </c>
      <c r="ANB1" s="154" t="str">
        <f t="shared" si="16"/>
        <v>y</v>
      </c>
      <c r="ANC1" s="154" t="str">
        <f t="shared" si="16"/>
        <v>y</v>
      </c>
      <c r="AND1" s="154" t="str">
        <f t="shared" si="16"/>
        <v>y</v>
      </c>
      <c r="ANE1" s="154" t="str">
        <f t="shared" si="16"/>
        <v>y</v>
      </c>
      <c r="ANF1" s="154" t="str">
        <f t="shared" si="16"/>
        <v>y</v>
      </c>
      <c r="ANG1" s="154" t="str">
        <f t="shared" si="16"/>
        <v>y</v>
      </c>
      <c r="ANH1" s="154" t="str">
        <f t="shared" si="16"/>
        <v>y</v>
      </c>
      <c r="ANI1" s="154" t="str">
        <f t="shared" si="16"/>
        <v>y</v>
      </c>
      <c r="ANJ1" s="154" t="str">
        <f t="shared" si="16"/>
        <v>y</v>
      </c>
      <c r="ANK1" s="154" t="str">
        <f t="shared" si="16"/>
        <v>y</v>
      </c>
      <c r="ANL1" s="154" t="str">
        <f t="shared" si="16"/>
        <v>y</v>
      </c>
      <c r="ANM1" s="154" t="str">
        <f t="shared" si="16"/>
        <v>y</v>
      </c>
      <c r="ANN1" s="154" t="str">
        <f t="shared" si="16"/>
        <v>y</v>
      </c>
      <c r="ANO1" s="154" t="str">
        <f t="shared" si="16"/>
        <v>y</v>
      </c>
      <c r="ANP1" s="154" t="str">
        <f t="shared" si="16"/>
        <v>y</v>
      </c>
      <c r="ANQ1" s="154" t="str">
        <f t="shared" si="16"/>
        <v>y</v>
      </c>
      <c r="ANR1" s="154" t="str">
        <f t="shared" si="16"/>
        <v>y</v>
      </c>
      <c r="ANS1" s="154" t="str">
        <f t="shared" si="16"/>
        <v>y</v>
      </c>
      <c r="ANT1" s="154" t="str">
        <f t="shared" si="16"/>
        <v>y</v>
      </c>
      <c r="ANU1" s="154" t="str">
        <f t="shared" si="16"/>
        <v>y</v>
      </c>
      <c r="ANV1" s="154" t="str">
        <f t="shared" si="16"/>
        <v>y</v>
      </c>
      <c r="ANW1" s="154" t="str">
        <f t="shared" si="16"/>
        <v>y</v>
      </c>
      <c r="ANX1" s="154" t="str">
        <f t="shared" si="16"/>
        <v>y</v>
      </c>
      <c r="ANY1" s="154" t="str">
        <f t="shared" si="16"/>
        <v>y</v>
      </c>
      <c r="ANZ1" s="154" t="str">
        <f t="shared" si="16"/>
        <v>y</v>
      </c>
      <c r="AOA1" s="154" t="str">
        <f t="shared" si="16"/>
        <v>y</v>
      </c>
      <c r="AOB1" s="154" t="str">
        <f t="shared" si="16"/>
        <v>y</v>
      </c>
      <c r="AOC1" s="154" t="str">
        <f t="shared" si="16"/>
        <v>y</v>
      </c>
      <c r="AOD1" s="154" t="str">
        <f t="shared" si="16"/>
        <v>y</v>
      </c>
      <c r="AOE1" s="154" t="str">
        <f t="shared" si="16"/>
        <v>y</v>
      </c>
      <c r="AOF1" s="154" t="str">
        <f t="shared" si="16"/>
        <v>y</v>
      </c>
      <c r="AOG1" s="154" t="str">
        <f t="shared" si="16"/>
        <v>y</v>
      </c>
      <c r="AOH1" s="154" t="str">
        <f t="shared" si="16"/>
        <v>y</v>
      </c>
      <c r="AOI1" s="154" t="str">
        <f t="shared" si="16"/>
        <v>y</v>
      </c>
      <c r="AOJ1" s="154" t="str">
        <f t="shared" si="16"/>
        <v>y</v>
      </c>
      <c r="AOK1" s="154" t="str">
        <f t="shared" si="16"/>
        <v>y</v>
      </c>
      <c r="AOL1" s="154" t="str">
        <f t="shared" si="16"/>
        <v>y</v>
      </c>
      <c r="AOM1" s="154" t="str">
        <f t="shared" si="16"/>
        <v>y</v>
      </c>
      <c r="AON1" s="154" t="str">
        <f t="shared" si="16"/>
        <v>y</v>
      </c>
      <c r="AOO1" s="154" t="str">
        <f t="shared" si="16"/>
        <v>y</v>
      </c>
      <c r="AOP1" s="154" t="str">
        <f t="shared" si="16"/>
        <v>y</v>
      </c>
      <c r="AOQ1" s="154" t="str">
        <f t="shared" si="16"/>
        <v>y</v>
      </c>
      <c r="AOR1" s="154" t="str">
        <f t="shared" si="16"/>
        <v>y</v>
      </c>
      <c r="AOS1" s="154" t="str">
        <f t="shared" si="16"/>
        <v>y</v>
      </c>
      <c r="AOT1" s="154" t="str">
        <f t="shared" si="16"/>
        <v>y</v>
      </c>
      <c r="AOU1" s="154" t="str">
        <f t="shared" si="16"/>
        <v>y</v>
      </c>
      <c r="AOV1" s="154" t="str">
        <f t="shared" si="16"/>
        <v>y</v>
      </c>
      <c r="AOW1" s="154" t="str">
        <f t="shared" si="16"/>
        <v>y</v>
      </c>
      <c r="AOX1" s="154" t="str">
        <f t="shared" si="16"/>
        <v>y</v>
      </c>
      <c r="AOY1" s="154" t="str">
        <f t="shared" si="16"/>
        <v>y</v>
      </c>
      <c r="AOZ1" s="154" t="str">
        <f t="shared" ref="AOZ1:ARK1" si="17">AOZ2&amp;"y"</f>
        <v>y</v>
      </c>
      <c r="APA1" s="154" t="str">
        <f t="shared" si="17"/>
        <v>y</v>
      </c>
      <c r="APB1" s="154" t="str">
        <f t="shared" si="17"/>
        <v>y</v>
      </c>
      <c r="APC1" s="154" t="str">
        <f t="shared" si="17"/>
        <v>y</v>
      </c>
      <c r="APD1" s="154" t="str">
        <f t="shared" si="17"/>
        <v>y</v>
      </c>
      <c r="APE1" s="154" t="str">
        <f t="shared" si="17"/>
        <v>y</v>
      </c>
      <c r="APF1" s="154" t="str">
        <f t="shared" si="17"/>
        <v>y</v>
      </c>
      <c r="APG1" s="154" t="str">
        <f t="shared" si="17"/>
        <v>y</v>
      </c>
      <c r="APH1" s="154" t="str">
        <f t="shared" si="17"/>
        <v>y</v>
      </c>
      <c r="API1" s="154" t="str">
        <f t="shared" si="17"/>
        <v>y</v>
      </c>
      <c r="APJ1" s="154" t="str">
        <f t="shared" si="17"/>
        <v>y</v>
      </c>
      <c r="APK1" s="154" t="str">
        <f t="shared" si="17"/>
        <v>y</v>
      </c>
      <c r="APL1" s="154" t="str">
        <f t="shared" si="17"/>
        <v>y</v>
      </c>
      <c r="APM1" s="154" t="str">
        <f t="shared" si="17"/>
        <v>y</v>
      </c>
      <c r="APN1" s="154" t="str">
        <f t="shared" si="17"/>
        <v>y</v>
      </c>
      <c r="APO1" s="154" t="str">
        <f t="shared" si="17"/>
        <v>y</v>
      </c>
      <c r="APP1" s="154" t="str">
        <f t="shared" si="17"/>
        <v>y</v>
      </c>
      <c r="APQ1" s="154" t="str">
        <f t="shared" si="17"/>
        <v>y</v>
      </c>
      <c r="APR1" s="154" t="str">
        <f t="shared" si="17"/>
        <v>y</v>
      </c>
      <c r="APS1" s="154" t="str">
        <f t="shared" si="17"/>
        <v>y</v>
      </c>
      <c r="APT1" s="154" t="str">
        <f t="shared" si="17"/>
        <v>y</v>
      </c>
      <c r="APU1" s="154" t="str">
        <f t="shared" si="17"/>
        <v>y</v>
      </c>
      <c r="APV1" s="154" t="str">
        <f t="shared" si="17"/>
        <v>y</v>
      </c>
      <c r="APW1" s="154" t="str">
        <f t="shared" si="17"/>
        <v>y</v>
      </c>
      <c r="APX1" s="154" t="str">
        <f t="shared" si="17"/>
        <v>y</v>
      </c>
      <c r="APY1" s="154" t="str">
        <f t="shared" si="17"/>
        <v>y</v>
      </c>
      <c r="APZ1" s="154" t="str">
        <f t="shared" si="17"/>
        <v>y</v>
      </c>
      <c r="AQA1" s="154" t="str">
        <f t="shared" si="17"/>
        <v>y</v>
      </c>
      <c r="AQB1" s="154" t="str">
        <f t="shared" si="17"/>
        <v>y</v>
      </c>
      <c r="AQC1" s="154" t="str">
        <f t="shared" si="17"/>
        <v>y</v>
      </c>
      <c r="AQD1" s="154" t="str">
        <f t="shared" si="17"/>
        <v>y</v>
      </c>
      <c r="AQE1" s="154" t="str">
        <f t="shared" si="17"/>
        <v>y</v>
      </c>
      <c r="AQF1" s="154" t="str">
        <f t="shared" si="17"/>
        <v>y</v>
      </c>
      <c r="AQG1" s="154" t="str">
        <f t="shared" si="17"/>
        <v>y</v>
      </c>
      <c r="AQH1" s="154" t="str">
        <f t="shared" si="17"/>
        <v>y</v>
      </c>
      <c r="AQI1" s="154" t="str">
        <f t="shared" si="17"/>
        <v>y</v>
      </c>
      <c r="AQJ1" s="154" t="str">
        <f t="shared" si="17"/>
        <v>y</v>
      </c>
      <c r="AQK1" s="154" t="str">
        <f t="shared" si="17"/>
        <v>y</v>
      </c>
      <c r="AQL1" s="154" t="str">
        <f t="shared" si="17"/>
        <v>y</v>
      </c>
      <c r="AQM1" s="154" t="str">
        <f t="shared" si="17"/>
        <v>y</v>
      </c>
      <c r="AQN1" s="154" t="str">
        <f t="shared" si="17"/>
        <v>y</v>
      </c>
      <c r="AQO1" s="154" t="str">
        <f t="shared" si="17"/>
        <v>y</v>
      </c>
      <c r="AQP1" s="154" t="str">
        <f t="shared" si="17"/>
        <v>y</v>
      </c>
      <c r="AQQ1" s="154" t="str">
        <f t="shared" si="17"/>
        <v>y</v>
      </c>
      <c r="AQR1" s="154" t="str">
        <f t="shared" si="17"/>
        <v>y</v>
      </c>
      <c r="AQS1" s="154" t="str">
        <f t="shared" si="17"/>
        <v>y</v>
      </c>
      <c r="AQT1" s="154" t="str">
        <f t="shared" si="17"/>
        <v>y</v>
      </c>
      <c r="AQU1" s="154" t="str">
        <f t="shared" si="17"/>
        <v>y</v>
      </c>
      <c r="AQV1" s="154" t="str">
        <f t="shared" si="17"/>
        <v>y</v>
      </c>
      <c r="AQW1" s="154" t="str">
        <f t="shared" si="17"/>
        <v>y</v>
      </c>
      <c r="AQX1" s="154" t="str">
        <f t="shared" si="17"/>
        <v>y</v>
      </c>
      <c r="AQY1" s="154" t="str">
        <f t="shared" si="17"/>
        <v>y</v>
      </c>
      <c r="AQZ1" s="154" t="str">
        <f t="shared" si="17"/>
        <v>y</v>
      </c>
      <c r="ARA1" s="154" t="str">
        <f t="shared" si="17"/>
        <v>y</v>
      </c>
      <c r="ARB1" s="154" t="str">
        <f t="shared" si="17"/>
        <v>y</v>
      </c>
      <c r="ARC1" s="154" t="str">
        <f t="shared" si="17"/>
        <v>y</v>
      </c>
      <c r="ARD1" s="154" t="str">
        <f t="shared" si="17"/>
        <v>y</v>
      </c>
      <c r="ARE1" s="154" t="str">
        <f t="shared" si="17"/>
        <v>y</v>
      </c>
      <c r="ARF1" s="154" t="str">
        <f t="shared" si="17"/>
        <v>y</v>
      </c>
      <c r="ARG1" s="154" t="str">
        <f t="shared" si="17"/>
        <v>y</v>
      </c>
      <c r="ARH1" s="154" t="str">
        <f t="shared" si="17"/>
        <v>y</v>
      </c>
      <c r="ARI1" s="154" t="str">
        <f t="shared" si="17"/>
        <v>y</v>
      </c>
      <c r="ARJ1" s="154" t="str">
        <f t="shared" si="17"/>
        <v>y</v>
      </c>
      <c r="ARK1" s="154" t="str">
        <f t="shared" si="17"/>
        <v>y</v>
      </c>
      <c r="ARL1" s="154" t="str">
        <f t="shared" ref="ARL1:ATW1" si="18">ARL2&amp;"y"</f>
        <v>y</v>
      </c>
      <c r="ARM1" s="154" t="str">
        <f t="shared" si="18"/>
        <v>y</v>
      </c>
      <c r="ARN1" s="154" t="str">
        <f t="shared" si="18"/>
        <v>y</v>
      </c>
      <c r="ARO1" s="154" t="str">
        <f t="shared" si="18"/>
        <v>y</v>
      </c>
      <c r="ARP1" s="154" t="str">
        <f t="shared" si="18"/>
        <v>y</v>
      </c>
      <c r="ARQ1" s="154" t="str">
        <f t="shared" si="18"/>
        <v>y</v>
      </c>
      <c r="ARR1" s="154" t="str">
        <f t="shared" si="18"/>
        <v>y</v>
      </c>
      <c r="ARS1" s="154" t="str">
        <f t="shared" si="18"/>
        <v>y</v>
      </c>
      <c r="ART1" s="154" t="str">
        <f t="shared" si="18"/>
        <v>y</v>
      </c>
      <c r="ARU1" s="154" t="str">
        <f t="shared" si="18"/>
        <v>y</v>
      </c>
      <c r="ARV1" s="154" t="str">
        <f t="shared" si="18"/>
        <v>y</v>
      </c>
      <c r="ARW1" s="154" t="str">
        <f t="shared" si="18"/>
        <v>y</v>
      </c>
      <c r="ARX1" s="154" t="str">
        <f t="shared" si="18"/>
        <v>y</v>
      </c>
      <c r="ARY1" s="154" t="str">
        <f t="shared" si="18"/>
        <v>y</v>
      </c>
      <c r="ARZ1" s="154" t="str">
        <f t="shared" si="18"/>
        <v>y</v>
      </c>
      <c r="ASA1" s="154" t="str">
        <f t="shared" si="18"/>
        <v>y</v>
      </c>
      <c r="ASB1" s="154" t="str">
        <f t="shared" si="18"/>
        <v>y</v>
      </c>
      <c r="ASC1" s="154" t="str">
        <f t="shared" si="18"/>
        <v>y</v>
      </c>
      <c r="ASD1" s="154" t="str">
        <f t="shared" si="18"/>
        <v>y</v>
      </c>
      <c r="ASE1" s="154" t="str">
        <f t="shared" si="18"/>
        <v>y</v>
      </c>
      <c r="ASF1" s="154" t="str">
        <f t="shared" si="18"/>
        <v>y</v>
      </c>
      <c r="ASG1" s="154" t="str">
        <f t="shared" si="18"/>
        <v>y</v>
      </c>
      <c r="ASH1" s="154" t="str">
        <f t="shared" si="18"/>
        <v>y</v>
      </c>
      <c r="ASI1" s="154" t="str">
        <f t="shared" si="18"/>
        <v>y</v>
      </c>
      <c r="ASJ1" s="154" t="str">
        <f t="shared" si="18"/>
        <v>y</v>
      </c>
      <c r="ASK1" s="154" t="str">
        <f t="shared" si="18"/>
        <v>y</v>
      </c>
      <c r="ASL1" s="154" t="str">
        <f t="shared" si="18"/>
        <v>y</v>
      </c>
      <c r="ASM1" s="154" t="str">
        <f t="shared" si="18"/>
        <v>y</v>
      </c>
      <c r="ASN1" s="154" t="str">
        <f t="shared" si="18"/>
        <v>y</v>
      </c>
      <c r="ASO1" s="154" t="str">
        <f t="shared" si="18"/>
        <v>y</v>
      </c>
      <c r="ASP1" s="154" t="str">
        <f t="shared" si="18"/>
        <v>y</v>
      </c>
      <c r="ASQ1" s="154" t="str">
        <f t="shared" si="18"/>
        <v>y</v>
      </c>
      <c r="ASR1" s="154" t="str">
        <f t="shared" si="18"/>
        <v>y</v>
      </c>
      <c r="ASS1" s="154" t="str">
        <f t="shared" si="18"/>
        <v>y</v>
      </c>
      <c r="AST1" s="154" t="str">
        <f t="shared" si="18"/>
        <v>y</v>
      </c>
      <c r="ASU1" s="154" t="str">
        <f t="shared" si="18"/>
        <v>y</v>
      </c>
      <c r="ASV1" s="154" t="str">
        <f t="shared" si="18"/>
        <v>y</v>
      </c>
      <c r="ASW1" s="154" t="str">
        <f t="shared" si="18"/>
        <v>y</v>
      </c>
      <c r="ASX1" s="154" t="str">
        <f t="shared" si="18"/>
        <v>y</v>
      </c>
      <c r="ASY1" s="154" t="str">
        <f t="shared" si="18"/>
        <v>y</v>
      </c>
      <c r="ASZ1" s="154" t="str">
        <f t="shared" si="18"/>
        <v>y</v>
      </c>
      <c r="ATA1" s="154" t="str">
        <f t="shared" si="18"/>
        <v>y</v>
      </c>
      <c r="ATB1" s="154" t="str">
        <f t="shared" si="18"/>
        <v>y</v>
      </c>
      <c r="ATC1" s="154" t="str">
        <f t="shared" si="18"/>
        <v>y</v>
      </c>
      <c r="ATD1" s="154" t="str">
        <f t="shared" si="18"/>
        <v>y</v>
      </c>
      <c r="ATE1" s="154" t="str">
        <f t="shared" si="18"/>
        <v>y</v>
      </c>
      <c r="ATF1" s="154" t="str">
        <f t="shared" si="18"/>
        <v>y</v>
      </c>
      <c r="ATG1" s="154" t="str">
        <f t="shared" si="18"/>
        <v>y</v>
      </c>
      <c r="ATH1" s="154" t="str">
        <f t="shared" si="18"/>
        <v>y</v>
      </c>
      <c r="ATI1" s="154" t="str">
        <f t="shared" si="18"/>
        <v>y</v>
      </c>
      <c r="ATJ1" s="154" t="str">
        <f t="shared" si="18"/>
        <v>y</v>
      </c>
      <c r="ATK1" s="154" t="str">
        <f t="shared" si="18"/>
        <v>y</v>
      </c>
      <c r="ATL1" s="154" t="str">
        <f t="shared" si="18"/>
        <v>y</v>
      </c>
      <c r="ATM1" s="154" t="str">
        <f t="shared" si="18"/>
        <v>y</v>
      </c>
      <c r="ATN1" s="154" t="str">
        <f t="shared" si="18"/>
        <v>y</v>
      </c>
      <c r="ATO1" s="154" t="str">
        <f t="shared" si="18"/>
        <v>y</v>
      </c>
      <c r="ATP1" s="154" t="str">
        <f t="shared" si="18"/>
        <v>y</v>
      </c>
      <c r="ATQ1" s="154" t="str">
        <f t="shared" si="18"/>
        <v>y</v>
      </c>
      <c r="ATR1" s="154" t="str">
        <f t="shared" si="18"/>
        <v>y</v>
      </c>
      <c r="ATS1" s="154" t="str">
        <f t="shared" si="18"/>
        <v>y</v>
      </c>
      <c r="ATT1" s="154" t="str">
        <f t="shared" si="18"/>
        <v>y</v>
      </c>
      <c r="ATU1" s="154" t="str">
        <f t="shared" si="18"/>
        <v>y</v>
      </c>
      <c r="ATV1" s="154" t="str">
        <f t="shared" si="18"/>
        <v>y</v>
      </c>
      <c r="ATW1" s="154" t="str">
        <f t="shared" si="18"/>
        <v>y</v>
      </c>
      <c r="ATX1" s="154" t="str">
        <f t="shared" ref="ATX1:AWI1" si="19">ATX2&amp;"y"</f>
        <v>y</v>
      </c>
      <c r="ATY1" s="154" t="str">
        <f t="shared" si="19"/>
        <v>y</v>
      </c>
      <c r="ATZ1" s="154" t="str">
        <f t="shared" si="19"/>
        <v>y</v>
      </c>
      <c r="AUA1" s="154" t="str">
        <f t="shared" si="19"/>
        <v>y</v>
      </c>
      <c r="AUB1" s="154" t="str">
        <f t="shared" si="19"/>
        <v>y</v>
      </c>
      <c r="AUC1" s="154" t="str">
        <f t="shared" si="19"/>
        <v>y</v>
      </c>
      <c r="AUD1" s="154" t="str">
        <f t="shared" si="19"/>
        <v>y</v>
      </c>
      <c r="AUE1" s="154" t="str">
        <f t="shared" si="19"/>
        <v>y</v>
      </c>
      <c r="AUF1" s="154" t="str">
        <f t="shared" si="19"/>
        <v>y</v>
      </c>
      <c r="AUG1" s="154" t="str">
        <f t="shared" si="19"/>
        <v>y</v>
      </c>
      <c r="AUH1" s="154" t="str">
        <f t="shared" si="19"/>
        <v>y</v>
      </c>
      <c r="AUI1" s="154" t="str">
        <f t="shared" si="19"/>
        <v>y</v>
      </c>
      <c r="AUJ1" s="154" t="str">
        <f t="shared" si="19"/>
        <v>y</v>
      </c>
      <c r="AUK1" s="154" t="str">
        <f t="shared" si="19"/>
        <v>y</v>
      </c>
      <c r="AUL1" s="154" t="str">
        <f t="shared" si="19"/>
        <v>y</v>
      </c>
      <c r="AUM1" s="154" t="str">
        <f t="shared" si="19"/>
        <v>y</v>
      </c>
      <c r="AUN1" s="154" t="str">
        <f t="shared" si="19"/>
        <v>y</v>
      </c>
      <c r="AUO1" s="154" t="str">
        <f t="shared" si="19"/>
        <v>y</v>
      </c>
      <c r="AUP1" s="154" t="str">
        <f t="shared" si="19"/>
        <v>y</v>
      </c>
      <c r="AUQ1" s="154" t="str">
        <f t="shared" si="19"/>
        <v>y</v>
      </c>
      <c r="AUR1" s="154" t="str">
        <f t="shared" si="19"/>
        <v>y</v>
      </c>
      <c r="AUS1" s="154" t="str">
        <f t="shared" si="19"/>
        <v>y</v>
      </c>
      <c r="AUT1" s="154" t="str">
        <f t="shared" si="19"/>
        <v>y</v>
      </c>
      <c r="AUU1" s="154" t="str">
        <f t="shared" si="19"/>
        <v>y</v>
      </c>
      <c r="AUV1" s="154" t="str">
        <f t="shared" si="19"/>
        <v>y</v>
      </c>
      <c r="AUW1" s="154" t="str">
        <f t="shared" si="19"/>
        <v>y</v>
      </c>
      <c r="AUX1" s="154" t="str">
        <f t="shared" si="19"/>
        <v>y</v>
      </c>
      <c r="AUY1" s="154" t="str">
        <f t="shared" si="19"/>
        <v>y</v>
      </c>
      <c r="AUZ1" s="154" t="str">
        <f t="shared" si="19"/>
        <v>y</v>
      </c>
      <c r="AVA1" s="154" t="str">
        <f t="shared" si="19"/>
        <v>y</v>
      </c>
      <c r="AVB1" s="154" t="str">
        <f t="shared" si="19"/>
        <v>y</v>
      </c>
      <c r="AVC1" s="154" t="str">
        <f t="shared" si="19"/>
        <v>y</v>
      </c>
      <c r="AVD1" s="154" t="str">
        <f t="shared" si="19"/>
        <v>y</v>
      </c>
      <c r="AVE1" s="154" t="str">
        <f t="shared" si="19"/>
        <v>y</v>
      </c>
      <c r="AVF1" s="154" t="str">
        <f t="shared" si="19"/>
        <v>y</v>
      </c>
      <c r="AVG1" s="154" t="str">
        <f t="shared" si="19"/>
        <v>y</v>
      </c>
      <c r="AVH1" s="154" t="str">
        <f t="shared" si="19"/>
        <v>y</v>
      </c>
      <c r="AVI1" s="154" t="str">
        <f t="shared" si="19"/>
        <v>y</v>
      </c>
      <c r="AVJ1" s="154" t="str">
        <f t="shared" si="19"/>
        <v>y</v>
      </c>
      <c r="AVK1" s="154" t="str">
        <f t="shared" si="19"/>
        <v>y</v>
      </c>
      <c r="AVL1" s="154" t="str">
        <f t="shared" si="19"/>
        <v>y</v>
      </c>
      <c r="AVM1" s="154" t="str">
        <f t="shared" si="19"/>
        <v>y</v>
      </c>
      <c r="AVN1" s="154" t="str">
        <f t="shared" si="19"/>
        <v>y</v>
      </c>
      <c r="AVO1" s="154" t="str">
        <f t="shared" si="19"/>
        <v>y</v>
      </c>
      <c r="AVP1" s="154" t="str">
        <f t="shared" si="19"/>
        <v>y</v>
      </c>
      <c r="AVQ1" s="154" t="str">
        <f t="shared" si="19"/>
        <v>y</v>
      </c>
      <c r="AVR1" s="154" t="str">
        <f t="shared" si="19"/>
        <v>y</v>
      </c>
      <c r="AVS1" s="154" t="str">
        <f t="shared" si="19"/>
        <v>y</v>
      </c>
      <c r="AVT1" s="154" t="str">
        <f t="shared" si="19"/>
        <v>y</v>
      </c>
      <c r="AVU1" s="154" t="str">
        <f t="shared" si="19"/>
        <v>y</v>
      </c>
      <c r="AVV1" s="154" t="str">
        <f t="shared" si="19"/>
        <v>y</v>
      </c>
      <c r="AVW1" s="154" t="str">
        <f t="shared" si="19"/>
        <v>y</v>
      </c>
      <c r="AVX1" s="154" t="str">
        <f t="shared" si="19"/>
        <v>y</v>
      </c>
      <c r="AVY1" s="154" t="str">
        <f t="shared" si="19"/>
        <v>y</v>
      </c>
      <c r="AVZ1" s="154" t="str">
        <f t="shared" si="19"/>
        <v>y</v>
      </c>
      <c r="AWA1" s="154" t="str">
        <f t="shared" si="19"/>
        <v>y</v>
      </c>
      <c r="AWB1" s="154" t="str">
        <f t="shared" si="19"/>
        <v>y</v>
      </c>
      <c r="AWC1" s="154" t="str">
        <f t="shared" si="19"/>
        <v>y</v>
      </c>
      <c r="AWD1" s="154" t="str">
        <f t="shared" si="19"/>
        <v>y</v>
      </c>
      <c r="AWE1" s="154" t="str">
        <f t="shared" si="19"/>
        <v>y</v>
      </c>
      <c r="AWF1" s="154" t="str">
        <f t="shared" si="19"/>
        <v>y</v>
      </c>
      <c r="AWG1" s="154" t="str">
        <f t="shared" si="19"/>
        <v>y</v>
      </c>
      <c r="AWH1" s="154" t="str">
        <f t="shared" si="19"/>
        <v>y</v>
      </c>
      <c r="AWI1" s="154" t="str">
        <f t="shared" si="19"/>
        <v>y</v>
      </c>
      <c r="AWJ1" s="154" t="str">
        <f t="shared" ref="AWJ1:AYU1" si="20">AWJ2&amp;"y"</f>
        <v>y</v>
      </c>
      <c r="AWK1" s="154" t="str">
        <f t="shared" si="20"/>
        <v>y</v>
      </c>
      <c r="AWL1" s="154" t="str">
        <f t="shared" si="20"/>
        <v>y</v>
      </c>
      <c r="AWM1" s="154" t="str">
        <f t="shared" si="20"/>
        <v>y</v>
      </c>
      <c r="AWN1" s="154" t="str">
        <f t="shared" si="20"/>
        <v>y</v>
      </c>
      <c r="AWO1" s="154" t="str">
        <f t="shared" si="20"/>
        <v>y</v>
      </c>
      <c r="AWP1" s="154" t="str">
        <f t="shared" si="20"/>
        <v>y</v>
      </c>
      <c r="AWQ1" s="154" t="str">
        <f t="shared" si="20"/>
        <v>y</v>
      </c>
      <c r="AWR1" s="154" t="str">
        <f t="shared" si="20"/>
        <v>y</v>
      </c>
      <c r="AWS1" s="154" t="str">
        <f t="shared" si="20"/>
        <v>y</v>
      </c>
      <c r="AWT1" s="154" t="str">
        <f t="shared" si="20"/>
        <v>y</v>
      </c>
      <c r="AWU1" s="154" t="str">
        <f t="shared" si="20"/>
        <v>y</v>
      </c>
      <c r="AWV1" s="154" t="str">
        <f t="shared" si="20"/>
        <v>y</v>
      </c>
      <c r="AWW1" s="154" t="str">
        <f t="shared" si="20"/>
        <v>y</v>
      </c>
      <c r="AWX1" s="154" t="str">
        <f t="shared" si="20"/>
        <v>y</v>
      </c>
      <c r="AWY1" s="154" t="str">
        <f t="shared" si="20"/>
        <v>y</v>
      </c>
      <c r="AWZ1" s="154" t="str">
        <f t="shared" si="20"/>
        <v>y</v>
      </c>
      <c r="AXA1" s="154" t="str">
        <f t="shared" si="20"/>
        <v>y</v>
      </c>
      <c r="AXB1" s="154" t="str">
        <f t="shared" si="20"/>
        <v>y</v>
      </c>
      <c r="AXC1" s="154" t="str">
        <f t="shared" si="20"/>
        <v>y</v>
      </c>
      <c r="AXD1" s="154" t="str">
        <f t="shared" si="20"/>
        <v>y</v>
      </c>
      <c r="AXE1" s="154" t="str">
        <f t="shared" si="20"/>
        <v>y</v>
      </c>
      <c r="AXF1" s="154" t="str">
        <f t="shared" si="20"/>
        <v>y</v>
      </c>
      <c r="AXG1" s="154" t="str">
        <f t="shared" si="20"/>
        <v>y</v>
      </c>
      <c r="AXH1" s="154" t="str">
        <f t="shared" si="20"/>
        <v>y</v>
      </c>
      <c r="AXI1" s="154" t="str">
        <f t="shared" si="20"/>
        <v>y</v>
      </c>
      <c r="AXJ1" s="154" t="str">
        <f t="shared" si="20"/>
        <v>y</v>
      </c>
      <c r="AXK1" s="154" t="str">
        <f t="shared" si="20"/>
        <v>y</v>
      </c>
      <c r="AXL1" s="154" t="str">
        <f t="shared" si="20"/>
        <v>y</v>
      </c>
      <c r="AXM1" s="154" t="str">
        <f t="shared" si="20"/>
        <v>y</v>
      </c>
      <c r="AXN1" s="154" t="str">
        <f t="shared" si="20"/>
        <v>y</v>
      </c>
      <c r="AXO1" s="154" t="str">
        <f t="shared" si="20"/>
        <v>y</v>
      </c>
      <c r="AXP1" s="154" t="str">
        <f t="shared" si="20"/>
        <v>y</v>
      </c>
      <c r="AXQ1" s="154" t="str">
        <f t="shared" si="20"/>
        <v>y</v>
      </c>
      <c r="AXR1" s="154" t="str">
        <f t="shared" si="20"/>
        <v>y</v>
      </c>
      <c r="AXS1" s="154" t="str">
        <f t="shared" si="20"/>
        <v>y</v>
      </c>
      <c r="AXT1" s="154" t="str">
        <f t="shared" si="20"/>
        <v>y</v>
      </c>
      <c r="AXU1" s="154" t="str">
        <f t="shared" si="20"/>
        <v>y</v>
      </c>
      <c r="AXV1" s="154" t="str">
        <f t="shared" si="20"/>
        <v>y</v>
      </c>
      <c r="AXW1" s="154" t="str">
        <f t="shared" si="20"/>
        <v>y</v>
      </c>
      <c r="AXX1" s="154" t="str">
        <f t="shared" si="20"/>
        <v>y</v>
      </c>
      <c r="AXY1" s="154" t="str">
        <f t="shared" si="20"/>
        <v>y</v>
      </c>
      <c r="AXZ1" s="154" t="str">
        <f t="shared" si="20"/>
        <v>y</v>
      </c>
      <c r="AYA1" s="154" t="str">
        <f t="shared" si="20"/>
        <v>y</v>
      </c>
      <c r="AYB1" s="154" t="str">
        <f t="shared" si="20"/>
        <v>y</v>
      </c>
      <c r="AYC1" s="154" t="str">
        <f t="shared" si="20"/>
        <v>y</v>
      </c>
      <c r="AYD1" s="154" t="str">
        <f t="shared" si="20"/>
        <v>y</v>
      </c>
      <c r="AYE1" s="154" t="str">
        <f t="shared" si="20"/>
        <v>y</v>
      </c>
      <c r="AYF1" s="154" t="str">
        <f t="shared" si="20"/>
        <v>y</v>
      </c>
      <c r="AYG1" s="154" t="str">
        <f t="shared" si="20"/>
        <v>y</v>
      </c>
      <c r="AYH1" s="154" t="str">
        <f t="shared" si="20"/>
        <v>y</v>
      </c>
      <c r="AYI1" s="154" t="str">
        <f t="shared" si="20"/>
        <v>y</v>
      </c>
      <c r="AYJ1" s="154" t="str">
        <f t="shared" si="20"/>
        <v>y</v>
      </c>
      <c r="AYK1" s="154" t="str">
        <f t="shared" si="20"/>
        <v>y</v>
      </c>
      <c r="AYL1" s="154" t="str">
        <f t="shared" si="20"/>
        <v>y</v>
      </c>
      <c r="AYM1" s="154" t="str">
        <f t="shared" si="20"/>
        <v>y</v>
      </c>
      <c r="AYN1" s="154" t="str">
        <f t="shared" si="20"/>
        <v>y</v>
      </c>
      <c r="AYO1" s="154" t="str">
        <f t="shared" si="20"/>
        <v>y</v>
      </c>
      <c r="AYP1" s="154" t="str">
        <f t="shared" si="20"/>
        <v>y</v>
      </c>
      <c r="AYQ1" s="154" t="str">
        <f t="shared" si="20"/>
        <v>y</v>
      </c>
      <c r="AYR1" s="154" t="str">
        <f t="shared" si="20"/>
        <v>y</v>
      </c>
      <c r="AYS1" s="154" t="str">
        <f t="shared" si="20"/>
        <v>y</v>
      </c>
      <c r="AYT1" s="154" t="str">
        <f t="shared" si="20"/>
        <v>y</v>
      </c>
      <c r="AYU1" s="154" t="str">
        <f t="shared" si="20"/>
        <v>y</v>
      </c>
      <c r="AYV1" s="154" t="str">
        <f t="shared" ref="AYV1:BBG1" si="21">AYV2&amp;"y"</f>
        <v>y</v>
      </c>
      <c r="AYW1" s="154" t="str">
        <f t="shared" si="21"/>
        <v>y</v>
      </c>
      <c r="AYX1" s="154" t="str">
        <f t="shared" si="21"/>
        <v>y</v>
      </c>
      <c r="AYY1" s="154" t="str">
        <f t="shared" si="21"/>
        <v>y</v>
      </c>
      <c r="AYZ1" s="154" t="str">
        <f t="shared" si="21"/>
        <v>y</v>
      </c>
      <c r="AZA1" s="154" t="str">
        <f t="shared" si="21"/>
        <v>y</v>
      </c>
      <c r="AZB1" s="154" t="str">
        <f t="shared" si="21"/>
        <v>y</v>
      </c>
      <c r="AZC1" s="154" t="str">
        <f t="shared" si="21"/>
        <v>y</v>
      </c>
      <c r="AZD1" s="154" t="str">
        <f t="shared" si="21"/>
        <v>y</v>
      </c>
      <c r="AZE1" s="154" t="str">
        <f t="shared" si="21"/>
        <v>y</v>
      </c>
      <c r="AZF1" s="154" t="str">
        <f t="shared" si="21"/>
        <v>y</v>
      </c>
      <c r="AZG1" s="154" t="str">
        <f t="shared" si="21"/>
        <v>y</v>
      </c>
      <c r="AZH1" s="154" t="str">
        <f t="shared" si="21"/>
        <v>y</v>
      </c>
      <c r="AZI1" s="154" t="str">
        <f t="shared" si="21"/>
        <v>y</v>
      </c>
      <c r="AZJ1" s="154" t="str">
        <f t="shared" si="21"/>
        <v>y</v>
      </c>
      <c r="AZK1" s="154" t="str">
        <f t="shared" si="21"/>
        <v>y</v>
      </c>
      <c r="AZL1" s="154" t="str">
        <f t="shared" si="21"/>
        <v>y</v>
      </c>
      <c r="AZM1" s="154" t="str">
        <f t="shared" si="21"/>
        <v>y</v>
      </c>
      <c r="AZN1" s="154" t="str">
        <f t="shared" si="21"/>
        <v>y</v>
      </c>
      <c r="AZO1" s="154" t="str">
        <f t="shared" si="21"/>
        <v>y</v>
      </c>
      <c r="AZP1" s="154" t="str">
        <f t="shared" si="21"/>
        <v>y</v>
      </c>
      <c r="AZQ1" s="154" t="str">
        <f t="shared" si="21"/>
        <v>y</v>
      </c>
      <c r="AZR1" s="154" t="str">
        <f t="shared" si="21"/>
        <v>y</v>
      </c>
      <c r="AZS1" s="154" t="str">
        <f t="shared" si="21"/>
        <v>y</v>
      </c>
      <c r="AZT1" s="154" t="str">
        <f t="shared" si="21"/>
        <v>y</v>
      </c>
      <c r="AZU1" s="154" t="str">
        <f t="shared" si="21"/>
        <v>y</v>
      </c>
      <c r="AZV1" s="154" t="str">
        <f t="shared" si="21"/>
        <v>y</v>
      </c>
      <c r="AZW1" s="154" t="str">
        <f t="shared" si="21"/>
        <v>y</v>
      </c>
      <c r="AZX1" s="154" t="str">
        <f t="shared" si="21"/>
        <v>y</v>
      </c>
      <c r="AZY1" s="154" t="str">
        <f t="shared" si="21"/>
        <v>y</v>
      </c>
      <c r="AZZ1" s="154" t="str">
        <f t="shared" si="21"/>
        <v>y</v>
      </c>
      <c r="BAA1" s="154" t="str">
        <f t="shared" si="21"/>
        <v>y</v>
      </c>
      <c r="BAB1" s="154" t="str">
        <f t="shared" si="21"/>
        <v>y</v>
      </c>
      <c r="BAC1" s="154" t="str">
        <f t="shared" si="21"/>
        <v>y</v>
      </c>
      <c r="BAD1" s="154" t="str">
        <f t="shared" si="21"/>
        <v>y</v>
      </c>
      <c r="BAE1" s="154" t="str">
        <f t="shared" si="21"/>
        <v>y</v>
      </c>
      <c r="BAF1" s="154" t="str">
        <f t="shared" si="21"/>
        <v>y</v>
      </c>
      <c r="BAG1" s="154" t="str">
        <f t="shared" si="21"/>
        <v>y</v>
      </c>
      <c r="BAH1" s="154" t="str">
        <f t="shared" si="21"/>
        <v>y</v>
      </c>
      <c r="BAI1" s="154" t="str">
        <f t="shared" si="21"/>
        <v>y</v>
      </c>
      <c r="BAJ1" s="154" t="str">
        <f t="shared" si="21"/>
        <v>y</v>
      </c>
      <c r="BAK1" s="154" t="str">
        <f t="shared" si="21"/>
        <v>y</v>
      </c>
      <c r="BAL1" s="154" t="str">
        <f t="shared" si="21"/>
        <v>y</v>
      </c>
      <c r="BAM1" s="154" t="str">
        <f t="shared" si="21"/>
        <v>y</v>
      </c>
      <c r="BAN1" s="154" t="str">
        <f t="shared" si="21"/>
        <v>y</v>
      </c>
      <c r="BAO1" s="154" t="str">
        <f t="shared" si="21"/>
        <v>y</v>
      </c>
      <c r="BAP1" s="154" t="str">
        <f t="shared" si="21"/>
        <v>y</v>
      </c>
      <c r="BAQ1" s="154" t="str">
        <f t="shared" si="21"/>
        <v>y</v>
      </c>
      <c r="BAR1" s="154" t="str">
        <f t="shared" si="21"/>
        <v>y</v>
      </c>
      <c r="BAS1" s="154" t="str">
        <f t="shared" si="21"/>
        <v>y</v>
      </c>
      <c r="BAT1" s="154" t="str">
        <f t="shared" si="21"/>
        <v>y</v>
      </c>
      <c r="BAU1" s="154" t="str">
        <f t="shared" si="21"/>
        <v>y</v>
      </c>
      <c r="BAV1" s="154" t="str">
        <f t="shared" si="21"/>
        <v>y</v>
      </c>
      <c r="BAW1" s="154" t="str">
        <f t="shared" si="21"/>
        <v>y</v>
      </c>
      <c r="BAX1" s="154" t="str">
        <f t="shared" si="21"/>
        <v>y</v>
      </c>
      <c r="BAY1" s="154" t="str">
        <f t="shared" si="21"/>
        <v>y</v>
      </c>
      <c r="BAZ1" s="154" t="str">
        <f t="shared" si="21"/>
        <v>y</v>
      </c>
      <c r="BBA1" s="154" t="str">
        <f t="shared" si="21"/>
        <v>y</v>
      </c>
      <c r="BBB1" s="154" t="str">
        <f t="shared" si="21"/>
        <v>y</v>
      </c>
      <c r="BBC1" s="154" t="str">
        <f t="shared" si="21"/>
        <v>y</v>
      </c>
      <c r="BBD1" s="154" t="str">
        <f t="shared" si="21"/>
        <v>y</v>
      </c>
      <c r="BBE1" s="154" t="str">
        <f t="shared" si="21"/>
        <v>y</v>
      </c>
      <c r="BBF1" s="154" t="str">
        <f t="shared" si="21"/>
        <v>y</v>
      </c>
      <c r="BBG1" s="154" t="str">
        <f t="shared" si="21"/>
        <v>y</v>
      </c>
      <c r="BBH1" s="154" t="str">
        <f t="shared" ref="BBH1:BDS1" si="22">BBH2&amp;"y"</f>
        <v>y</v>
      </c>
      <c r="BBI1" s="154" t="str">
        <f t="shared" si="22"/>
        <v>y</v>
      </c>
      <c r="BBJ1" s="154" t="str">
        <f t="shared" si="22"/>
        <v>y</v>
      </c>
      <c r="BBK1" s="154" t="str">
        <f t="shared" si="22"/>
        <v>y</v>
      </c>
      <c r="BBL1" s="154" t="str">
        <f t="shared" si="22"/>
        <v>y</v>
      </c>
      <c r="BBM1" s="154" t="str">
        <f t="shared" si="22"/>
        <v>y</v>
      </c>
      <c r="BBN1" s="154" t="str">
        <f t="shared" si="22"/>
        <v>y</v>
      </c>
      <c r="BBO1" s="154" t="str">
        <f t="shared" si="22"/>
        <v>y</v>
      </c>
      <c r="BBP1" s="154" t="str">
        <f t="shared" si="22"/>
        <v>y</v>
      </c>
      <c r="BBQ1" s="154" t="str">
        <f t="shared" si="22"/>
        <v>y</v>
      </c>
      <c r="BBR1" s="154" t="str">
        <f t="shared" si="22"/>
        <v>y</v>
      </c>
      <c r="BBS1" s="154" t="str">
        <f t="shared" si="22"/>
        <v>y</v>
      </c>
      <c r="BBT1" s="154" t="str">
        <f t="shared" si="22"/>
        <v>y</v>
      </c>
      <c r="BBU1" s="154" t="str">
        <f t="shared" si="22"/>
        <v>y</v>
      </c>
      <c r="BBV1" s="154" t="str">
        <f t="shared" si="22"/>
        <v>y</v>
      </c>
      <c r="BBW1" s="154" t="str">
        <f t="shared" si="22"/>
        <v>y</v>
      </c>
      <c r="BBX1" s="154" t="str">
        <f t="shared" si="22"/>
        <v>y</v>
      </c>
      <c r="BBY1" s="154" t="str">
        <f t="shared" si="22"/>
        <v>y</v>
      </c>
      <c r="BBZ1" s="154" t="str">
        <f t="shared" si="22"/>
        <v>y</v>
      </c>
      <c r="BCA1" s="154" t="str">
        <f t="shared" si="22"/>
        <v>y</v>
      </c>
      <c r="BCB1" s="154" t="str">
        <f t="shared" si="22"/>
        <v>y</v>
      </c>
      <c r="BCC1" s="154" t="str">
        <f t="shared" si="22"/>
        <v>y</v>
      </c>
      <c r="BCD1" s="154" t="str">
        <f t="shared" si="22"/>
        <v>y</v>
      </c>
      <c r="BCE1" s="154" t="str">
        <f t="shared" si="22"/>
        <v>y</v>
      </c>
      <c r="BCF1" s="154" t="str">
        <f t="shared" si="22"/>
        <v>y</v>
      </c>
      <c r="BCG1" s="154" t="str">
        <f t="shared" si="22"/>
        <v>y</v>
      </c>
      <c r="BCH1" s="154" t="str">
        <f t="shared" si="22"/>
        <v>y</v>
      </c>
      <c r="BCI1" s="154" t="str">
        <f t="shared" si="22"/>
        <v>y</v>
      </c>
      <c r="BCJ1" s="154" t="str">
        <f t="shared" si="22"/>
        <v>y</v>
      </c>
      <c r="BCK1" s="154" t="str">
        <f t="shared" si="22"/>
        <v>y</v>
      </c>
      <c r="BCL1" s="154" t="str">
        <f t="shared" si="22"/>
        <v>y</v>
      </c>
      <c r="BCM1" s="154" t="str">
        <f t="shared" si="22"/>
        <v>y</v>
      </c>
      <c r="BCN1" s="154" t="str">
        <f t="shared" si="22"/>
        <v>y</v>
      </c>
      <c r="BCO1" s="154" t="str">
        <f t="shared" si="22"/>
        <v>y</v>
      </c>
      <c r="BCP1" s="154" t="str">
        <f t="shared" si="22"/>
        <v>y</v>
      </c>
      <c r="BCQ1" s="154" t="str">
        <f t="shared" si="22"/>
        <v>y</v>
      </c>
      <c r="BCR1" s="154" t="str">
        <f t="shared" si="22"/>
        <v>y</v>
      </c>
      <c r="BCS1" s="154" t="str">
        <f t="shared" si="22"/>
        <v>y</v>
      </c>
      <c r="BCT1" s="154" t="str">
        <f t="shared" si="22"/>
        <v>y</v>
      </c>
      <c r="BCU1" s="154" t="str">
        <f t="shared" si="22"/>
        <v>y</v>
      </c>
      <c r="BCV1" s="154" t="str">
        <f t="shared" si="22"/>
        <v>y</v>
      </c>
      <c r="BCW1" s="154" t="str">
        <f t="shared" si="22"/>
        <v>y</v>
      </c>
      <c r="BCX1" s="154" t="str">
        <f t="shared" si="22"/>
        <v>y</v>
      </c>
      <c r="BCY1" s="154" t="str">
        <f t="shared" si="22"/>
        <v>y</v>
      </c>
      <c r="BCZ1" s="154" t="str">
        <f t="shared" si="22"/>
        <v>y</v>
      </c>
      <c r="BDA1" s="154" t="str">
        <f t="shared" si="22"/>
        <v>y</v>
      </c>
      <c r="BDB1" s="154" t="str">
        <f t="shared" si="22"/>
        <v>y</v>
      </c>
      <c r="BDC1" s="154" t="str">
        <f t="shared" si="22"/>
        <v>y</v>
      </c>
      <c r="BDD1" s="154" t="str">
        <f t="shared" si="22"/>
        <v>y</v>
      </c>
      <c r="BDE1" s="154" t="str">
        <f t="shared" si="22"/>
        <v>y</v>
      </c>
      <c r="BDF1" s="154" t="str">
        <f t="shared" si="22"/>
        <v>y</v>
      </c>
      <c r="BDG1" s="154" t="str">
        <f t="shared" si="22"/>
        <v>y</v>
      </c>
      <c r="BDH1" s="154" t="str">
        <f t="shared" si="22"/>
        <v>y</v>
      </c>
      <c r="BDI1" s="154" t="str">
        <f t="shared" si="22"/>
        <v>y</v>
      </c>
      <c r="BDJ1" s="154" t="str">
        <f t="shared" si="22"/>
        <v>y</v>
      </c>
      <c r="BDK1" s="154" t="str">
        <f t="shared" si="22"/>
        <v>y</v>
      </c>
      <c r="BDL1" s="154" t="str">
        <f t="shared" si="22"/>
        <v>y</v>
      </c>
      <c r="BDM1" s="154" t="str">
        <f t="shared" si="22"/>
        <v>y</v>
      </c>
      <c r="BDN1" s="154" t="str">
        <f t="shared" si="22"/>
        <v>y</v>
      </c>
      <c r="BDO1" s="154" t="str">
        <f t="shared" si="22"/>
        <v>y</v>
      </c>
      <c r="BDP1" s="154" t="str">
        <f t="shared" si="22"/>
        <v>y</v>
      </c>
      <c r="BDQ1" s="154" t="str">
        <f t="shared" si="22"/>
        <v>y</v>
      </c>
      <c r="BDR1" s="154" t="str">
        <f t="shared" si="22"/>
        <v>y</v>
      </c>
      <c r="BDS1" s="154" t="str">
        <f t="shared" si="22"/>
        <v>y</v>
      </c>
      <c r="BDT1" s="154" t="str">
        <f t="shared" ref="BDT1:BGE1" si="23">BDT2&amp;"y"</f>
        <v>y</v>
      </c>
      <c r="BDU1" s="154" t="str">
        <f t="shared" si="23"/>
        <v>y</v>
      </c>
      <c r="BDV1" s="154" t="str">
        <f t="shared" si="23"/>
        <v>y</v>
      </c>
      <c r="BDW1" s="154" t="str">
        <f t="shared" si="23"/>
        <v>y</v>
      </c>
      <c r="BDX1" s="154" t="str">
        <f t="shared" si="23"/>
        <v>y</v>
      </c>
      <c r="BDY1" s="154" t="str">
        <f t="shared" si="23"/>
        <v>y</v>
      </c>
      <c r="BDZ1" s="154" t="str">
        <f t="shared" si="23"/>
        <v>y</v>
      </c>
      <c r="BEA1" s="154" t="str">
        <f t="shared" si="23"/>
        <v>y</v>
      </c>
      <c r="BEB1" s="154" t="str">
        <f t="shared" si="23"/>
        <v>y</v>
      </c>
      <c r="BEC1" s="154" t="str">
        <f t="shared" si="23"/>
        <v>y</v>
      </c>
      <c r="BED1" s="154" t="str">
        <f t="shared" si="23"/>
        <v>y</v>
      </c>
      <c r="BEE1" s="154" t="str">
        <f t="shared" si="23"/>
        <v>y</v>
      </c>
      <c r="BEF1" s="154" t="str">
        <f t="shared" si="23"/>
        <v>y</v>
      </c>
      <c r="BEG1" s="154" t="str">
        <f t="shared" si="23"/>
        <v>y</v>
      </c>
      <c r="BEH1" s="154" t="str">
        <f t="shared" si="23"/>
        <v>y</v>
      </c>
      <c r="BEI1" s="154" t="str">
        <f t="shared" si="23"/>
        <v>y</v>
      </c>
      <c r="BEJ1" s="154" t="str">
        <f t="shared" si="23"/>
        <v>y</v>
      </c>
      <c r="BEK1" s="154" t="str">
        <f t="shared" si="23"/>
        <v>y</v>
      </c>
      <c r="BEL1" s="154" t="str">
        <f t="shared" si="23"/>
        <v>y</v>
      </c>
      <c r="BEM1" s="154" t="str">
        <f t="shared" si="23"/>
        <v>y</v>
      </c>
      <c r="BEN1" s="154" t="str">
        <f t="shared" si="23"/>
        <v>y</v>
      </c>
      <c r="BEO1" s="154" t="str">
        <f t="shared" si="23"/>
        <v>y</v>
      </c>
      <c r="BEP1" s="154" t="str">
        <f t="shared" si="23"/>
        <v>y</v>
      </c>
      <c r="BEQ1" s="154" t="str">
        <f t="shared" si="23"/>
        <v>y</v>
      </c>
      <c r="BER1" s="154" t="str">
        <f t="shared" si="23"/>
        <v>y</v>
      </c>
      <c r="BES1" s="154" t="str">
        <f t="shared" si="23"/>
        <v>y</v>
      </c>
      <c r="BET1" s="154" t="str">
        <f t="shared" si="23"/>
        <v>y</v>
      </c>
      <c r="BEU1" s="154" t="str">
        <f t="shared" si="23"/>
        <v>y</v>
      </c>
      <c r="BEV1" s="154" t="str">
        <f t="shared" si="23"/>
        <v>y</v>
      </c>
      <c r="BEW1" s="154" t="str">
        <f t="shared" si="23"/>
        <v>y</v>
      </c>
      <c r="BEX1" s="154" t="str">
        <f t="shared" si="23"/>
        <v>y</v>
      </c>
      <c r="BEY1" s="154" t="str">
        <f t="shared" si="23"/>
        <v>y</v>
      </c>
      <c r="BEZ1" s="154" t="str">
        <f t="shared" si="23"/>
        <v>y</v>
      </c>
      <c r="BFA1" s="154" t="str">
        <f t="shared" si="23"/>
        <v>y</v>
      </c>
      <c r="BFB1" s="154" t="str">
        <f t="shared" si="23"/>
        <v>y</v>
      </c>
      <c r="BFC1" s="154" t="str">
        <f t="shared" si="23"/>
        <v>y</v>
      </c>
      <c r="BFD1" s="154" t="str">
        <f t="shared" si="23"/>
        <v>y</v>
      </c>
      <c r="BFE1" s="154" t="str">
        <f t="shared" si="23"/>
        <v>y</v>
      </c>
      <c r="BFF1" s="154" t="str">
        <f t="shared" si="23"/>
        <v>y</v>
      </c>
      <c r="BFG1" s="154" t="str">
        <f t="shared" si="23"/>
        <v>y</v>
      </c>
      <c r="BFH1" s="154" t="str">
        <f t="shared" si="23"/>
        <v>y</v>
      </c>
      <c r="BFI1" s="154" t="str">
        <f t="shared" si="23"/>
        <v>y</v>
      </c>
      <c r="BFJ1" s="154" t="str">
        <f t="shared" si="23"/>
        <v>y</v>
      </c>
      <c r="BFK1" s="154" t="str">
        <f t="shared" si="23"/>
        <v>y</v>
      </c>
      <c r="BFL1" s="154" t="str">
        <f t="shared" si="23"/>
        <v>y</v>
      </c>
      <c r="BFM1" s="154" t="str">
        <f t="shared" si="23"/>
        <v>y</v>
      </c>
      <c r="BFN1" s="154" t="str">
        <f t="shared" si="23"/>
        <v>y</v>
      </c>
      <c r="BFO1" s="154" t="str">
        <f t="shared" si="23"/>
        <v>y</v>
      </c>
      <c r="BFP1" s="154" t="str">
        <f t="shared" si="23"/>
        <v>y</v>
      </c>
      <c r="BFQ1" s="154" t="str">
        <f t="shared" si="23"/>
        <v>y</v>
      </c>
      <c r="BFR1" s="154" t="str">
        <f t="shared" si="23"/>
        <v>y</v>
      </c>
      <c r="BFS1" s="154" t="str">
        <f t="shared" si="23"/>
        <v>y</v>
      </c>
      <c r="BFT1" s="154" t="str">
        <f t="shared" si="23"/>
        <v>y</v>
      </c>
      <c r="BFU1" s="154" t="str">
        <f t="shared" si="23"/>
        <v>y</v>
      </c>
      <c r="BFV1" s="154" t="str">
        <f t="shared" si="23"/>
        <v>y</v>
      </c>
      <c r="BFW1" s="154" t="str">
        <f t="shared" si="23"/>
        <v>y</v>
      </c>
      <c r="BFX1" s="154" t="str">
        <f t="shared" si="23"/>
        <v>y</v>
      </c>
      <c r="BFY1" s="154" t="str">
        <f t="shared" si="23"/>
        <v>y</v>
      </c>
      <c r="BFZ1" s="154" t="str">
        <f t="shared" si="23"/>
        <v>y</v>
      </c>
      <c r="BGA1" s="154" t="str">
        <f t="shared" si="23"/>
        <v>y</v>
      </c>
      <c r="BGB1" s="154" t="str">
        <f t="shared" si="23"/>
        <v>y</v>
      </c>
      <c r="BGC1" s="154" t="str">
        <f t="shared" si="23"/>
        <v>y</v>
      </c>
      <c r="BGD1" s="154" t="str">
        <f t="shared" si="23"/>
        <v>y</v>
      </c>
      <c r="BGE1" s="154" t="str">
        <f t="shared" si="23"/>
        <v>y</v>
      </c>
      <c r="BGF1" s="154" t="str">
        <f t="shared" ref="BGF1:BIQ1" si="24">BGF2&amp;"y"</f>
        <v>y</v>
      </c>
      <c r="BGG1" s="154" t="str">
        <f t="shared" si="24"/>
        <v>y</v>
      </c>
      <c r="BGH1" s="154" t="str">
        <f t="shared" si="24"/>
        <v>y</v>
      </c>
      <c r="BGI1" s="154" t="str">
        <f t="shared" si="24"/>
        <v>y</v>
      </c>
      <c r="BGJ1" s="154" t="str">
        <f t="shared" si="24"/>
        <v>y</v>
      </c>
      <c r="BGK1" s="154" t="str">
        <f t="shared" si="24"/>
        <v>y</v>
      </c>
      <c r="BGL1" s="154" t="str">
        <f t="shared" si="24"/>
        <v>y</v>
      </c>
      <c r="BGM1" s="154" t="str">
        <f t="shared" si="24"/>
        <v>y</v>
      </c>
      <c r="BGN1" s="154" t="str">
        <f t="shared" si="24"/>
        <v>y</v>
      </c>
      <c r="BGO1" s="154" t="str">
        <f t="shared" si="24"/>
        <v>y</v>
      </c>
      <c r="BGP1" s="154" t="str">
        <f t="shared" si="24"/>
        <v>y</v>
      </c>
      <c r="BGQ1" s="154" t="str">
        <f t="shared" si="24"/>
        <v>y</v>
      </c>
      <c r="BGR1" s="154" t="str">
        <f t="shared" si="24"/>
        <v>y</v>
      </c>
      <c r="BGS1" s="154" t="str">
        <f t="shared" si="24"/>
        <v>y</v>
      </c>
      <c r="BGT1" s="154" t="str">
        <f t="shared" si="24"/>
        <v>y</v>
      </c>
      <c r="BGU1" s="154" t="str">
        <f t="shared" si="24"/>
        <v>y</v>
      </c>
      <c r="BGV1" s="154" t="str">
        <f t="shared" si="24"/>
        <v>y</v>
      </c>
      <c r="BGW1" s="154" t="str">
        <f t="shared" si="24"/>
        <v>y</v>
      </c>
      <c r="BGX1" s="154" t="str">
        <f t="shared" si="24"/>
        <v>y</v>
      </c>
      <c r="BGY1" s="154" t="str">
        <f t="shared" si="24"/>
        <v>y</v>
      </c>
      <c r="BGZ1" s="154" t="str">
        <f t="shared" si="24"/>
        <v>y</v>
      </c>
      <c r="BHA1" s="154" t="str">
        <f t="shared" si="24"/>
        <v>y</v>
      </c>
      <c r="BHB1" s="154" t="str">
        <f t="shared" si="24"/>
        <v>y</v>
      </c>
      <c r="BHC1" s="154" t="str">
        <f t="shared" si="24"/>
        <v>y</v>
      </c>
      <c r="BHD1" s="154" t="str">
        <f t="shared" si="24"/>
        <v>y</v>
      </c>
      <c r="BHE1" s="154" t="str">
        <f t="shared" si="24"/>
        <v>y</v>
      </c>
      <c r="BHF1" s="154" t="str">
        <f t="shared" si="24"/>
        <v>y</v>
      </c>
      <c r="BHG1" s="154" t="str">
        <f t="shared" si="24"/>
        <v>y</v>
      </c>
      <c r="BHH1" s="154" t="str">
        <f t="shared" si="24"/>
        <v>y</v>
      </c>
      <c r="BHI1" s="154" t="str">
        <f t="shared" si="24"/>
        <v>y</v>
      </c>
      <c r="BHJ1" s="154" t="str">
        <f t="shared" si="24"/>
        <v>y</v>
      </c>
      <c r="BHK1" s="154" t="str">
        <f t="shared" si="24"/>
        <v>y</v>
      </c>
      <c r="BHL1" s="154" t="str">
        <f t="shared" si="24"/>
        <v>y</v>
      </c>
      <c r="BHM1" s="154" t="str">
        <f t="shared" si="24"/>
        <v>y</v>
      </c>
      <c r="BHN1" s="154" t="str">
        <f t="shared" si="24"/>
        <v>y</v>
      </c>
      <c r="BHO1" s="154" t="str">
        <f t="shared" si="24"/>
        <v>y</v>
      </c>
      <c r="BHP1" s="154" t="str">
        <f t="shared" si="24"/>
        <v>y</v>
      </c>
      <c r="BHQ1" s="154" t="str">
        <f t="shared" si="24"/>
        <v>y</v>
      </c>
      <c r="BHR1" s="154" t="str">
        <f t="shared" si="24"/>
        <v>y</v>
      </c>
      <c r="BHS1" s="154" t="str">
        <f t="shared" si="24"/>
        <v>y</v>
      </c>
      <c r="BHT1" s="154" t="str">
        <f t="shared" si="24"/>
        <v>y</v>
      </c>
      <c r="BHU1" s="154" t="str">
        <f t="shared" si="24"/>
        <v>y</v>
      </c>
      <c r="BHV1" s="154" t="str">
        <f t="shared" si="24"/>
        <v>y</v>
      </c>
      <c r="BHW1" s="154" t="str">
        <f t="shared" si="24"/>
        <v>y</v>
      </c>
      <c r="BHX1" s="154" t="str">
        <f t="shared" si="24"/>
        <v>y</v>
      </c>
      <c r="BHY1" s="154" t="str">
        <f t="shared" si="24"/>
        <v>y</v>
      </c>
      <c r="BHZ1" s="154" t="str">
        <f t="shared" si="24"/>
        <v>y</v>
      </c>
      <c r="BIA1" s="154" t="str">
        <f t="shared" si="24"/>
        <v>y</v>
      </c>
      <c r="BIB1" s="154" t="str">
        <f t="shared" si="24"/>
        <v>y</v>
      </c>
      <c r="BIC1" s="154" t="str">
        <f t="shared" si="24"/>
        <v>y</v>
      </c>
      <c r="BID1" s="154" t="str">
        <f t="shared" si="24"/>
        <v>y</v>
      </c>
      <c r="BIE1" s="154" t="str">
        <f t="shared" si="24"/>
        <v>y</v>
      </c>
      <c r="BIF1" s="154" t="str">
        <f t="shared" si="24"/>
        <v>y</v>
      </c>
      <c r="BIG1" s="154" t="str">
        <f t="shared" si="24"/>
        <v>y</v>
      </c>
      <c r="BIH1" s="154" t="str">
        <f t="shared" si="24"/>
        <v>y</v>
      </c>
      <c r="BII1" s="154" t="str">
        <f t="shared" si="24"/>
        <v>y</v>
      </c>
      <c r="BIJ1" s="154" t="str">
        <f t="shared" si="24"/>
        <v>y</v>
      </c>
      <c r="BIK1" s="154" t="str">
        <f t="shared" si="24"/>
        <v>y</v>
      </c>
      <c r="BIL1" s="154" t="str">
        <f t="shared" si="24"/>
        <v>y</v>
      </c>
      <c r="BIM1" s="154" t="str">
        <f t="shared" si="24"/>
        <v>y</v>
      </c>
      <c r="BIN1" s="154" t="str">
        <f t="shared" si="24"/>
        <v>y</v>
      </c>
      <c r="BIO1" s="154" t="str">
        <f t="shared" si="24"/>
        <v>y</v>
      </c>
      <c r="BIP1" s="154" t="str">
        <f t="shared" si="24"/>
        <v>y</v>
      </c>
      <c r="BIQ1" s="154" t="str">
        <f t="shared" si="24"/>
        <v>y</v>
      </c>
      <c r="BIR1" s="154" t="str">
        <f t="shared" ref="BIR1:BLC1" si="25">BIR2&amp;"y"</f>
        <v>y</v>
      </c>
      <c r="BIS1" s="154" t="str">
        <f t="shared" si="25"/>
        <v>y</v>
      </c>
      <c r="BIT1" s="154" t="str">
        <f t="shared" si="25"/>
        <v>y</v>
      </c>
      <c r="BIU1" s="154" t="str">
        <f t="shared" si="25"/>
        <v>y</v>
      </c>
      <c r="BIV1" s="154" t="str">
        <f t="shared" si="25"/>
        <v>y</v>
      </c>
      <c r="BIW1" s="154" t="str">
        <f t="shared" si="25"/>
        <v>y</v>
      </c>
      <c r="BIX1" s="154" t="str">
        <f t="shared" si="25"/>
        <v>y</v>
      </c>
      <c r="BIY1" s="154" t="str">
        <f t="shared" si="25"/>
        <v>y</v>
      </c>
      <c r="BIZ1" s="154" t="str">
        <f t="shared" si="25"/>
        <v>y</v>
      </c>
      <c r="BJA1" s="154" t="str">
        <f t="shared" si="25"/>
        <v>y</v>
      </c>
      <c r="BJB1" s="154" t="str">
        <f t="shared" si="25"/>
        <v>y</v>
      </c>
      <c r="BJC1" s="154" t="str">
        <f t="shared" si="25"/>
        <v>y</v>
      </c>
      <c r="BJD1" s="154" t="str">
        <f t="shared" si="25"/>
        <v>y</v>
      </c>
      <c r="BJE1" s="154" t="str">
        <f t="shared" si="25"/>
        <v>y</v>
      </c>
      <c r="BJF1" s="154" t="str">
        <f t="shared" si="25"/>
        <v>y</v>
      </c>
      <c r="BJG1" s="154" t="str">
        <f t="shared" si="25"/>
        <v>y</v>
      </c>
      <c r="BJH1" s="154" t="str">
        <f t="shared" si="25"/>
        <v>y</v>
      </c>
      <c r="BJI1" s="154" t="str">
        <f t="shared" si="25"/>
        <v>y</v>
      </c>
      <c r="BJJ1" s="154" t="str">
        <f t="shared" si="25"/>
        <v>y</v>
      </c>
      <c r="BJK1" s="154" t="str">
        <f t="shared" si="25"/>
        <v>y</v>
      </c>
      <c r="BJL1" s="154" t="str">
        <f t="shared" si="25"/>
        <v>y</v>
      </c>
      <c r="BJM1" s="154" t="str">
        <f t="shared" si="25"/>
        <v>y</v>
      </c>
      <c r="BJN1" s="154" t="str">
        <f t="shared" si="25"/>
        <v>y</v>
      </c>
      <c r="BJO1" s="154" t="str">
        <f t="shared" si="25"/>
        <v>y</v>
      </c>
      <c r="BJP1" s="154" t="str">
        <f t="shared" si="25"/>
        <v>y</v>
      </c>
      <c r="BJQ1" s="154" t="str">
        <f t="shared" si="25"/>
        <v>y</v>
      </c>
      <c r="BJR1" s="154" t="str">
        <f t="shared" si="25"/>
        <v>y</v>
      </c>
      <c r="BJS1" s="154" t="str">
        <f t="shared" si="25"/>
        <v>y</v>
      </c>
      <c r="BJT1" s="154" t="str">
        <f t="shared" si="25"/>
        <v>y</v>
      </c>
      <c r="BJU1" s="154" t="str">
        <f t="shared" si="25"/>
        <v>y</v>
      </c>
      <c r="BJV1" s="154" t="str">
        <f t="shared" si="25"/>
        <v>y</v>
      </c>
      <c r="BJW1" s="154" t="str">
        <f t="shared" si="25"/>
        <v>y</v>
      </c>
      <c r="BJX1" s="154" t="str">
        <f t="shared" si="25"/>
        <v>y</v>
      </c>
      <c r="BJY1" s="154" t="str">
        <f t="shared" si="25"/>
        <v>y</v>
      </c>
      <c r="BJZ1" s="154" t="str">
        <f t="shared" si="25"/>
        <v>y</v>
      </c>
      <c r="BKA1" s="154" t="str">
        <f t="shared" si="25"/>
        <v>y</v>
      </c>
      <c r="BKB1" s="154" t="str">
        <f t="shared" si="25"/>
        <v>y</v>
      </c>
      <c r="BKC1" s="154" t="str">
        <f t="shared" si="25"/>
        <v>y</v>
      </c>
      <c r="BKD1" s="154" t="str">
        <f t="shared" si="25"/>
        <v>y</v>
      </c>
      <c r="BKE1" s="154" t="str">
        <f t="shared" si="25"/>
        <v>y</v>
      </c>
      <c r="BKF1" s="154" t="str">
        <f t="shared" si="25"/>
        <v>y</v>
      </c>
      <c r="BKG1" s="154" t="str">
        <f t="shared" si="25"/>
        <v>y</v>
      </c>
      <c r="BKH1" s="154" t="str">
        <f t="shared" si="25"/>
        <v>y</v>
      </c>
      <c r="BKI1" s="154" t="str">
        <f t="shared" si="25"/>
        <v>y</v>
      </c>
      <c r="BKJ1" s="154" t="str">
        <f t="shared" si="25"/>
        <v>y</v>
      </c>
      <c r="BKK1" s="154" t="str">
        <f t="shared" si="25"/>
        <v>y</v>
      </c>
      <c r="BKL1" s="154" t="str">
        <f t="shared" si="25"/>
        <v>y</v>
      </c>
      <c r="BKM1" s="154" t="str">
        <f t="shared" si="25"/>
        <v>y</v>
      </c>
      <c r="BKN1" s="154" t="str">
        <f t="shared" si="25"/>
        <v>y</v>
      </c>
      <c r="BKO1" s="154" t="str">
        <f t="shared" si="25"/>
        <v>y</v>
      </c>
      <c r="BKP1" s="154" t="str">
        <f t="shared" si="25"/>
        <v>y</v>
      </c>
      <c r="BKQ1" s="154" t="str">
        <f t="shared" si="25"/>
        <v>y</v>
      </c>
      <c r="BKR1" s="154" t="str">
        <f t="shared" si="25"/>
        <v>y</v>
      </c>
      <c r="BKS1" s="154" t="str">
        <f t="shared" si="25"/>
        <v>y</v>
      </c>
      <c r="BKT1" s="154" t="str">
        <f t="shared" si="25"/>
        <v>y</v>
      </c>
      <c r="BKU1" s="154" t="str">
        <f t="shared" si="25"/>
        <v>y</v>
      </c>
      <c r="BKV1" s="154" t="str">
        <f t="shared" si="25"/>
        <v>y</v>
      </c>
      <c r="BKW1" s="154" t="str">
        <f t="shared" si="25"/>
        <v>y</v>
      </c>
      <c r="BKX1" s="154" t="str">
        <f t="shared" si="25"/>
        <v>y</v>
      </c>
      <c r="BKY1" s="154" t="str">
        <f t="shared" si="25"/>
        <v>y</v>
      </c>
      <c r="BKZ1" s="154" t="str">
        <f t="shared" si="25"/>
        <v>y</v>
      </c>
      <c r="BLA1" s="154" t="str">
        <f t="shared" si="25"/>
        <v>y</v>
      </c>
      <c r="BLB1" s="154" t="str">
        <f t="shared" si="25"/>
        <v>y</v>
      </c>
      <c r="BLC1" s="154" t="str">
        <f t="shared" si="25"/>
        <v>y</v>
      </c>
      <c r="BLD1" s="154" t="str">
        <f t="shared" ref="BLD1:BNO1" si="26">BLD2&amp;"y"</f>
        <v>y</v>
      </c>
      <c r="BLE1" s="154" t="str">
        <f t="shared" si="26"/>
        <v>y</v>
      </c>
      <c r="BLF1" s="154" t="str">
        <f t="shared" si="26"/>
        <v>y</v>
      </c>
      <c r="BLG1" s="154" t="str">
        <f t="shared" si="26"/>
        <v>y</v>
      </c>
      <c r="BLH1" s="154" t="str">
        <f t="shared" si="26"/>
        <v>y</v>
      </c>
      <c r="BLI1" s="154" t="str">
        <f t="shared" si="26"/>
        <v>y</v>
      </c>
      <c r="BLJ1" s="154" t="str">
        <f t="shared" si="26"/>
        <v>y</v>
      </c>
      <c r="BLK1" s="154" t="str">
        <f t="shared" si="26"/>
        <v>y</v>
      </c>
      <c r="BLL1" s="154" t="str">
        <f t="shared" si="26"/>
        <v>y</v>
      </c>
      <c r="BLM1" s="154" t="str">
        <f t="shared" si="26"/>
        <v>y</v>
      </c>
      <c r="BLN1" s="154" t="str">
        <f t="shared" si="26"/>
        <v>y</v>
      </c>
      <c r="BLO1" s="154" t="str">
        <f t="shared" si="26"/>
        <v>y</v>
      </c>
      <c r="BLP1" s="154" t="str">
        <f t="shared" si="26"/>
        <v>y</v>
      </c>
      <c r="BLQ1" s="154" t="str">
        <f t="shared" si="26"/>
        <v>y</v>
      </c>
      <c r="BLR1" s="154" t="str">
        <f t="shared" si="26"/>
        <v>y</v>
      </c>
      <c r="BLS1" s="154" t="str">
        <f t="shared" si="26"/>
        <v>y</v>
      </c>
      <c r="BLT1" s="154" t="str">
        <f t="shared" si="26"/>
        <v>y</v>
      </c>
      <c r="BLU1" s="154" t="str">
        <f t="shared" si="26"/>
        <v>y</v>
      </c>
      <c r="BLV1" s="154" t="str">
        <f t="shared" si="26"/>
        <v>y</v>
      </c>
      <c r="BLW1" s="154" t="str">
        <f t="shared" si="26"/>
        <v>y</v>
      </c>
      <c r="BLX1" s="154" t="str">
        <f t="shared" si="26"/>
        <v>y</v>
      </c>
      <c r="BLY1" s="154" t="str">
        <f t="shared" si="26"/>
        <v>y</v>
      </c>
      <c r="BLZ1" s="154" t="str">
        <f t="shared" si="26"/>
        <v>y</v>
      </c>
      <c r="BMA1" s="154" t="str">
        <f t="shared" si="26"/>
        <v>y</v>
      </c>
      <c r="BMB1" s="154" t="str">
        <f t="shared" si="26"/>
        <v>y</v>
      </c>
      <c r="BMC1" s="154" t="str">
        <f t="shared" si="26"/>
        <v>y</v>
      </c>
      <c r="BMD1" s="154" t="str">
        <f t="shared" si="26"/>
        <v>y</v>
      </c>
      <c r="BME1" s="154" t="str">
        <f t="shared" si="26"/>
        <v>y</v>
      </c>
      <c r="BMF1" s="154" t="str">
        <f t="shared" si="26"/>
        <v>y</v>
      </c>
      <c r="BMG1" s="154" t="str">
        <f t="shared" si="26"/>
        <v>y</v>
      </c>
      <c r="BMH1" s="154" t="str">
        <f t="shared" si="26"/>
        <v>y</v>
      </c>
      <c r="BMI1" s="154" t="str">
        <f t="shared" si="26"/>
        <v>y</v>
      </c>
      <c r="BMJ1" s="154" t="str">
        <f t="shared" si="26"/>
        <v>y</v>
      </c>
      <c r="BMK1" s="154" t="str">
        <f t="shared" si="26"/>
        <v>y</v>
      </c>
      <c r="BML1" s="154" t="str">
        <f t="shared" si="26"/>
        <v>y</v>
      </c>
      <c r="BMM1" s="154" t="str">
        <f t="shared" si="26"/>
        <v>y</v>
      </c>
      <c r="BMN1" s="154" t="str">
        <f t="shared" si="26"/>
        <v>y</v>
      </c>
      <c r="BMO1" s="154" t="str">
        <f t="shared" si="26"/>
        <v>y</v>
      </c>
      <c r="BMP1" s="154" t="str">
        <f t="shared" si="26"/>
        <v>y</v>
      </c>
      <c r="BMQ1" s="154" t="str">
        <f t="shared" si="26"/>
        <v>y</v>
      </c>
      <c r="BMR1" s="154" t="str">
        <f t="shared" si="26"/>
        <v>y</v>
      </c>
      <c r="BMS1" s="154" t="str">
        <f t="shared" si="26"/>
        <v>y</v>
      </c>
      <c r="BMT1" s="154" t="str">
        <f t="shared" si="26"/>
        <v>y</v>
      </c>
      <c r="BMU1" s="154" t="str">
        <f t="shared" si="26"/>
        <v>y</v>
      </c>
      <c r="BMV1" s="154" t="str">
        <f t="shared" si="26"/>
        <v>y</v>
      </c>
      <c r="BMW1" s="154" t="str">
        <f t="shared" si="26"/>
        <v>y</v>
      </c>
      <c r="BMX1" s="154" t="str">
        <f t="shared" si="26"/>
        <v>y</v>
      </c>
      <c r="BMY1" s="154" t="str">
        <f t="shared" si="26"/>
        <v>y</v>
      </c>
      <c r="BMZ1" s="154" t="str">
        <f t="shared" si="26"/>
        <v>y</v>
      </c>
      <c r="BNA1" s="154" t="str">
        <f t="shared" si="26"/>
        <v>y</v>
      </c>
      <c r="BNB1" s="154" t="str">
        <f t="shared" si="26"/>
        <v>y</v>
      </c>
      <c r="BNC1" s="154" t="str">
        <f t="shared" si="26"/>
        <v>y</v>
      </c>
      <c r="BND1" s="154" t="str">
        <f t="shared" si="26"/>
        <v>y</v>
      </c>
      <c r="BNE1" s="154" t="str">
        <f t="shared" si="26"/>
        <v>y</v>
      </c>
      <c r="BNF1" s="154" t="str">
        <f t="shared" si="26"/>
        <v>y</v>
      </c>
      <c r="BNG1" s="154" t="str">
        <f t="shared" si="26"/>
        <v>y</v>
      </c>
      <c r="BNH1" s="154" t="str">
        <f t="shared" si="26"/>
        <v>y</v>
      </c>
      <c r="BNI1" s="154" t="str">
        <f t="shared" si="26"/>
        <v>y</v>
      </c>
      <c r="BNJ1" s="154" t="str">
        <f t="shared" si="26"/>
        <v>y</v>
      </c>
      <c r="BNK1" s="154" t="str">
        <f t="shared" si="26"/>
        <v>y</v>
      </c>
      <c r="BNL1" s="154" t="str">
        <f t="shared" si="26"/>
        <v>y</v>
      </c>
      <c r="BNM1" s="154" t="str">
        <f t="shared" si="26"/>
        <v>y</v>
      </c>
      <c r="BNN1" s="154" t="str">
        <f t="shared" si="26"/>
        <v>y</v>
      </c>
      <c r="BNO1" s="154" t="str">
        <f t="shared" si="26"/>
        <v>y</v>
      </c>
      <c r="BNP1" s="154" t="str">
        <f t="shared" ref="BNP1:BQA1" si="27">BNP2&amp;"y"</f>
        <v>y</v>
      </c>
      <c r="BNQ1" s="154" t="str">
        <f t="shared" si="27"/>
        <v>y</v>
      </c>
      <c r="BNR1" s="154" t="str">
        <f t="shared" si="27"/>
        <v>y</v>
      </c>
      <c r="BNS1" s="154" t="str">
        <f t="shared" si="27"/>
        <v>y</v>
      </c>
      <c r="BNT1" s="154" t="str">
        <f t="shared" si="27"/>
        <v>y</v>
      </c>
      <c r="BNU1" s="154" t="str">
        <f t="shared" si="27"/>
        <v>y</v>
      </c>
      <c r="BNV1" s="154" t="str">
        <f t="shared" si="27"/>
        <v>y</v>
      </c>
      <c r="BNW1" s="154" t="str">
        <f t="shared" si="27"/>
        <v>y</v>
      </c>
      <c r="BNX1" s="154" t="str">
        <f t="shared" si="27"/>
        <v>y</v>
      </c>
      <c r="BNY1" s="154" t="str">
        <f t="shared" si="27"/>
        <v>y</v>
      </c>
      <c r="BNZ1" s="154" t="str">
        <f t="shared" si="27"/>
        <v>y</v>
      </c>
      <c r="BOA1" s="154" t="str">
        <f t="shared" si="27"/>
        <v>y</v>
      </c>
      <c r="BOB1" s="154" t="str">
        <f t="shared" si="27"/>
        <v>y</v>
      </c>
      <c r="BOC1" s="154" t="str">
        <f t="shared" si="27"/>
        <v>y</v>
      </c>
      <c r="BOD1" s="154" t="str">
        <f t="shared" si="27"/>
        <v>y</v>
      </c>
      <c r="BOE1" s="154" t="str">
        <f t="shared" si="27"/>
        <v>y</v>
      </c>
      <c r="BOF1" s="154" t="str">
        <f t="shared" si="27"/>
        <v>y</v>
      </c>
      <c r="BOG1" s="154" t="str">
        <f t="shared" si="27"/>
        <v>y</v>
      </c>
      <c r="BOH1" s="154" t="str">
        <f t="shared" si="27"/>
        <v>y</v>
      </c>
      <c r="BOI1" s="154" t="str">
        <f t="shared" si="27"/>
        <v>y</v>
      </c>
      <c r="BOJ1" s="154" t="str">
        <f t="shared" si="27"/>
        <v>y</v>
      </c>
      <c r="BOK1" s="154" t="str">
        <f t="shared" si="27"/>
        <v>y</v>
      </c>
      <c r="BOL1" s="154" t="str">
        <f t="shared" si="27"/>
        <v>y</v>
      </c>
      <c r="BOM1" s="154" t="str">
        <f t="shared" si="27"/>
        <v>y</v>
      </c>
      <c r="BON1" s="154" t="str">
        <f t="shared" si="27"/>
        <v>y</v>
      </c>
      <c r="BOO1" s="154" t="str">
        <f t="shared" si="27"/>
        <v>y</v>
      </c>
      <c r="BOP1" s="154" t="str">
        <f t="shared" si="27"/>
        <v>y</v>
      </c>
      <c r="BOQ1" s="154" t="str">
        <f t="shared" si="27"/>
        <v>y</v>
      </c>
      <c r="BOR1" s="154" t="str">
        <f t="shared" si="27"/>
        <v>y</v>
      </c>
      <c r="BOS1" s="154" t="str">
        <f t="shared" si="27"/>
        <v>y</v>
      </c>
      <c r="BOT1" s="154" t="str">
        <f t="shared" si="27"/>
        <v>y</v>
      </c>
      <c r="BOU1" s="154" t="str">
        <f t="shared" si="27"/>
        <v>y</v>
      </c>
      <c r="BOV1" s="154" t="str">
        <f t="shared" si="27"/>
        <v>y</v>
      </c>
      <c r="BOW1" s="154" t="str">
        <f t="shared" si="27"/>
        <v>y</v>
      </c>
      <c r="BOX1" s="154" t="str">
        <f t="shared" si="27"/>
        <v>y</v>
      </c>
      <c r="BOY1" s="154" t="str">
        <f t="shared" si="27"/>
        <v>y</v>
      </c>
      <c r="BOZ1" s="154" t="str">
        <f t="shared" si="27"/>
        <v>y</v>
      </c>
      <c r="BPA1" s="154" t="str">
        <f t="shared" si="27"/>
        <v>y</v>
      </c>
      <c r="BPB1" s="154" t="str">
        <f t="shared" si="27"/>
        <v>y</v>
      </c>
      <c r="BPC1" s="154" t="str">
        <f t="shared" si="27"/>
        <v>y</v>
      </c>
      <c r="BPD1" s="154" t="str">
        <f t="shared" si="27"/>
        <v>y</v>
      </c>
      <c r="BPE1" s="154" t="str">
        <f t="shared" si="27"/>
        <v>y</v>
      </c>
      <c r="BPF1" s="154" t="str">
        <f t="shared" si="27"/>
        <v>y</v>
      </c>
      <c r="BPG1" s="154" t="str">
        <f t="shared" si="27"/>
        <v>y</v>
      </c>
      <c r="BPH1" s="154" t="str">
        <f t="shared" si="27"/>
        <v>y</v>
      </c>
      <c r="BPI1" s="154" t="str">
        <f t="shared" si="27"/>
        <v>y</v>
      </c>
      <c r="BPJ1" s="154" t="str">
        <f t="shared" si="27"/>
        <v>y</v>
      </c>
      <c r="BPK1" s="154" t="str">
        <f t="shared" si="27"/>
        <v>y</v>
      </c>
      <c r="BPL1" s="154" t="str">
        <f t="shared" si="27"/>
        <v>y</v>
      </c>
      <c r="BPM1" s="154" t="str">
        <f t="shared" si="27"/>
        <v>y</v>
      </c>
      <c r="BPN1" s="154" t="str">
        <f t="shared" si="27"/>
        <v>y</v>
      </c>
      <c r="BPO1" s="154" t="str">
        <f t="shared" si="27"/>
        <v>y</v>
      </c>
      <c r="BPP1" s="154" t="str">
        <f t="shared" si="27"/>
        <v>y</v>
      </c>
      <c r="BPQ1" s="154" t="str">
        <f t="shared" si="27"/>
        <v>y</v>
      </c>
      <c r="BPR1" s="154" t="str">
        <f t="shared" si="27"/>
        <v>y</v>
      </c>
      <c r="BPS1" s="154" t="str">
        <f t="shared" si="27"/>
        <v>y</v>
      </c>
      <c r="BPT1" s="154" t="str">
        <f t="shared" si="27"/>
        <v>y</v>
      </c>
      <c r="BPU1" s="154" t="str">
        <f t="shared" si="27"/>
        <v>y</v>
      </c>
      <c r="BPV1" s="154" t="str">
        <f t="shared" si="27"/>
        <v>y</v>
      </c>
      <c r="BPW1" s="154" t="str">
        <f t="shared" si="27"/>
        <v>y</v>
      </c>
      <c r="BPX1" s="154" t="str">
        <f t="shared" si="27"/>
        <v>y</v>
      </c>
      <c r="BPY1" s="154" t="str">
        <f t="shared" si="27"/>
        <v>y</v>
      </c>
      <c r="BPZ1" s="154" t="str">
        <f t="shared" si="27"/>
        <v>y</v>
      </c>
      <c r="BQA1" s="154" t="str">
        <f t="shared" si="27"/>
        <v>y</v>
      </c>
      <c r="BQB1" s="154" t="str">
        <f t="shared" ref="BQB1:BSM1" si="28">BQB2&amp;"y"</f>
        <v>y</v>
      </c>
      <c r="BQC1" s="154" t="str">
        <f t="shared" si="28"/>
        <v>y</v>
      </c>
      <c r="BQD1" s="154" t="str">
        <f t="shared" si="28"/>
        <v>y</v>
      </c>
      <c r="BQE1" s="154" t="str">
        <f t="shared" si="28"/>
        <v>y</v>
      </c>
      <c r="BQF1" s="154" t="str">
        <f t="shared" si="28"/>
        <v>y</v>
      </c>
      <c r="BQG1" s="154" t="str">
        <f t="shared" si="28"/>
        <v>y</v>
      </c>
      <c r="BQH1" s="154" t="str">
        <f t="shared" si="28"/>
        <v>y</v>
      </c>
      <c r="BQI1" s="154" t="str">
        <f t="shared" si="28"/>
        <v>y</v>
      </c>
      <c r="BQJ1" s="154" t="str">
        <f t="shared" si="28"/>
        <v>y</v>
      </c>
      <c r="BQK1" s="154" t="str">
        <f t="shared" si="28"/>
        <v>y</v>
      </c>
      <c r="BQL1" s="154" t="str">
        <f t="shared" si="28"/>
        <v>y</v>
      </c>
      <c r="BQM1" s="154" t="str">
        <f t="shared" si="28"/>
        <v>y</v>
      </c>
      <c r="BQN1" s="154" t="str">
        <f t="shared" si="28"/>
        <v>y</v>
      </c>
      <c r="BQO1" s="154" t="str">
        <f t="shared" si="28"/>
        <v>y</v>
      </c>
      <c r="BQP1" s="154" t="str">
        <f t="shared" si="28"/>
        <v>y</v>
      </c>
      <c r="BQQ1" s="154" t="str">
        <f t="shared" si="28"/>
        <v>y</v>
      </c>
      <c r="BQR1" s="154" t="str">
        <f t="shared" si="28"/>
        <v>y</v>
      </c>
      <c r="BQS1" s="154" t="str">
        <f t="shared" si="28"/>
        <v>y</v>
      </c>
      <c r="BQT1" s="154" t="str">
        <f t="shared" si="28"/>
        <v>y</v>
      </c>
      <c r="BQU1" s="154" t="str">
        <f t="shared" si="28"/>
        <v>y</v>
      </c>
      <c r="BQV1" s="154" t="str">
        <f t="shared" si="28"/>
        <v>y</v>
      </c>
      <c r="BQW1" s="154" t="str">
        <f t="shared" si="28"/>
        <v>y</v>
      </c>
      <c r="BQX1" s="154" t="str">
        <f t="shared" si="28"/>
        <v>y</v>
      </c>
      <c r="BQY1" s="154" t="str">
        <f t="shared" si="28"/>
        <v>y</v>
      </c>
      <c r="BQZ1" s="154" t="str">
        <f t="shared" si="28"/>
        <v>y</v>
      </c>
      <c r="BRA1" s="154" t="str">
        <f t="shared" si="28"/>
        <v>y</v>
      </c>
      <c r="BRB1" s="154" t="str">
        <f t="shared" si="28"/>
        <v>y</v>
      </c>
      <c r="BRC1" s="154" t="str">
        <f t="shared" si="28"/>
        <v>y</v>
      </c>
      <c r="BRD1" s="154" t="str">
        <f t="shared" si="28"/>
        <v>y</v>
      </c>
      <c r="BRE1" s="154" t="str">
        <f t="shared" si="28"/>
        <v>y</v>
      </c>
      <c r="BRF1" s="154" t="str">
        <f t="shared" si="28"/>
        <v>y</v>
      </c>
      <c r="BRG1" s="154" t="str">
        <f t="shared" si="28"/>
        <v>y</v>
      </c>
      <c r="BRH1" s="154" t="str">
        <f t="shared" si="28"/>
        <v>y</v>
      </c>
      <c r="BRI1" s="154" t="str">
        <f t="shared" si="28"/>
        <v>y</v>
      </c>
      <c r="BRJ1" s="154" t="str">
        <f t="shared" si="28"/>
        <v>y</v>
      </c>
      <c r="BRK1" s="154" t="str">
        <f t="shared" si="28"/>
        <v>y</v>
      </c>
      <c r="BRL1" s="154" t="str">
        <f t="shared" si="28"/>
        <v>y</v>
      </c>
      <c r="BRM1" s="154" t="str">
        <f t="shared" si="28"/>
        <v>y</v>
      </c>
      <c r="BRN1" s="154" t="str">
        <f t="shared" si="28"/>
        <v>y</v>
      </c>
      <c r="BRO1" s="154" t="str">
        <f t="shared" si="28"/>
        <v>y</v>
      </c>
      <c r="BRP1" s="154" t="str">
        <f t="shared" si="28"/>
        <v>y</v>
      </c>
      <c r="BRQ1" s="154" t="str">
        <f t="shared" si="28"/>
        <v>y</v>
      </c>
      <c r="BRR1" s="154" t="str">
        <f t="shared" si="28"/>
        <v>y</v>
      </c>
      <c r="BRS1" s="154" t="str">
        <f t="shared" si="28"/>
        <v>y</v>
      </c>
      <c r="BRT1" s="154" t="str">
        <f t="shared" si="28"/>
        <v>y</v>
      </c>
      <c r="BRU1" s="154" t="str">
        <f t="shared" si="28"/>
        <v>y</v>
      </c>
      <c r="BRV1" s="154" t="str">
        <f t="shared" si="28"/>
        <v>y</v>
      </c>
      <c r="BRW1" s="154" t="str">
        <f t="shared" si="28"/>
        <v>y</v>
      </c>
      <c r="BRX1" s="154" t="str">
        <f t="shared" si="28"/>
        <v>y</v>
      </c>
      <c r="BRY1" s="154" t="str">
        <f t="shared" si="28"/>
        <v>y</v>
      </c>
      <c r="BRZ1" s="154" t="str">
        <f t="shared" si="28"/>
        <v>y</v>
      </c>
      <c r="BSA1" s="154" t="str">
        <f t="shared" si="28"/>
        <v>y</v>
      </c>
      <c r="BSB1" s="154" t="str">
        <f t="shared" si="28"/>
        <v>y</v>
      </c>
      <c r="BSC1" s="154" t="str">
        <f t="shared" si="28"/>
        <v>y</v>
      </c>
      <c r="BSD1" s="154" t="str">
        <f t="shared" si="28"/>
        <v>y</v>
      </c>
      <c r="BSE1" s="154" t="str">
        <f t="shared" si="28"/>
        <v>y</v>
      </c>
      <c r="BSF1" s="154" t="str">
        <f t="shared" si="28"/>
        <v>y</v>
      </c>
      <c r="BSG1" s="154" t="str">
        <f t="shared" si="28"/>
        <v>y</v>
      </c>
      <c r="BSH1" s="154" t="str">
        <f t="shared" si="28"/>
        <v>y</v>
      </c>
      <c r="BSI1" s="154" t="str">
        <f t="shared" si="28"/>
        <v>y</v>
      </c>
      <c r="BSJ1" s="154" t="str">
        <f t="shared" si="28"/>
        <v>y</v>
      </c>
      <c r="BSK1" s="154" t="str">
        <f t="shared" si="28"/>
        <v>y</v>
      </c>
      <c r="BSL1" s="154" t="str">
        <f t="shared" si="28"/>
        <v>y</v>
      </c>
      <c r="BSM1" s="154" t="str">
        <f t="shared" si="28"/>
        <v>y</v>
      </c>
      <c r="BSN1" s="154" t="str">
        <f t="shared" ref="BSN1:BUY1" si="29">BSN2&amp;"y"</f>
        <v>y</v>
      </c>
      <c r="BSO1" s="154" t="str">
        <f t="shared" si="29"/>
        <v>y</v>
      </c>
      <c r="BSP1" s="154" t="str">
        <f t="shared" si="29"/>
        <v>y</v>
      </c>
      <c r="BSQ1" s="154" t="str">
        <f t="shared" si="29"/>
        <v>y</v>
      </c>
      <c r="BSR1" s="154" t="str">
        <f t="shared" si="29"/>
        <v>y</v>
      </c>
      <c r="BSS1" s="154" t="str">
        <f t="shared" si="29"/>
        <v>y</v>
      </c>
      <c r="BST1" s="154" t="str">
        <f t="shared" si="29"/>
        <v>y</v>
      </c>
      <c r="BSU1" s="154" t="str">
        <f t="shared" si="29"/>
        <v>y</v>
      </c>
      <c r="BSV1" s="154" t="str">
        <f t="shared" si="29"/>
        <v>y</v>
      </c>
      <c r="BSW1" s="154" t="str">
        <f t="shared" si="29"/>
        <v>y</v>
      </c>
      <c r="BSX1" s="154" t="str">
        <f t="shared" si="29"/>
        <v>y</v>
      </c>
      <c r="BSY1" s="154" t="str">
        <f t="shared" si="29"/>
        <v>y</v>
      </c>
      <c r="BSZ1" s="154" t="str">
        <f t="shared" si="29"/>
        <v>y</v>
      </c>
      <c r="BTA1" s="154" t="str">
        <f t="shared" si="29"/>
        <v>y</v>
      </c>
      <c r="BTB1" s="154" t="str">
        <f t="shared" si="29"/>
        <v>y</v>
      </c>
      <c r="BTC1" s="154" t="str">
        <f t="shared" si="29"/>
        <v>y</v>
      </c>
      <c r="BTD1" s="154" t="str">
        <f t="shared" si="29"/>
        <v>y</v>
      </c>
      <c r="BTE1" s="154" t="str">
        <f t="shared" si="29"/>
        <v>y</v>
      </c>
      <c r="BTF1" s="154" t="str">
        <f t="shared" si="29"/>
        <v>y</v>
      </c>
      <c r="BTG1" s="154" t="str">
        <f t="shared" si="29"/>
        <v>y</v>
      </c>
      <c r="BTH1" s="154" t="str">
        <f t="shared" si="29"/>
        <v>y</v>
      </c>
      <c r="BTI1" s="154" t="str">
        <f t="shared" si="29"/>
        <v>y</v>
      </c>
      <c r="BTJ1" s="154" t="str">
        <f t="shared" si="29"/>
        <v>y</v>
      </c>
      <c r="BTK1" s="154" t="str">
        <f t="shared" si="29"/>
        <v>y</v>
      </c>
      <c r="BTL1" s="154" t="str">
        <f t="shared" si="29"/>
        <v>y</v>
      </c>
      <c r="BTM1" s="154" t="str">
        <f t="shared" si="29"/>
        <v>y</v>
      </c>
      <c r="BTN1" s="154" t="str">
        <f t="shared" si="29"/>
        <v>y</v>
      </c>
      <c r="BTO1" s="154" t="str">
        <f t="shared" si="29"/>
        <v>y</v>
      </c>
      <c r="BTP1" s="154" t="str">
        <f t="shared" si="29"/>
        <v>y</v>
      </c>
      <c r="BTQ1" s="154" t="str">
        <f t="shared" si="29"/>
        <v>y</v>
      </c>
      <c r="BTR1" s="154" t="str">
        <f t="shared" si="29"/>
        <v>y</v>
      </c>
      <c r="BTS1" s="154" t="str">
        <f t="shared" si="29"/>
        <v>y</v>
      </c>
      <c r="BTT1" s="154" t="str">
        <f t="shared" si="29"/>
        <v>y</v>
      </c>
      <c r="BTU1" s="154" t="str">
        <f t="shared" si="29"/>
        <v>y</v>
      </c>
      <c r="BTV1" s="154" t="str">
        <f t="shared" si="29"/>
        <v>y</v>
      </c>
      <c r="BTW1" s="154" t="str">
        <f t="shared" si="29"/>
        <v>y</v>
      </c>
      <c r="BTX1" s="154" t="str">
        <f t="shared" si="29"/>
        <v>y</v>
      </c>
      <c r="BTY1" s="154" t="str">
        <f t="shared" si="29"/>
        <v>y</v>
      </c>
      <c r="BTZ1" s="154" t="str">
        <f t="shared" si="29"/>
        <v>y</v>
      </c>
      <c r="BUA1" s="154" t="str">
        <f t="shared" si="29"/>
        <v>y</v>
      </c>
      <c r="BUB1" s="154" t="str">
        <f t="shared" si="29"/>
        <v>y</v>
      </c>
      <c r="BUC1" s="154" t="str">
        <f t="shared" si="29"/>
        <v>y</v>
      </c>
      <c r="BUD1" s="154" t="str">
        <f t="shared" si="29"/>
        <v>y</v>
      </c>
      <c r="BUE1" s="154" t="str">
        <f t="shared" si="29"/>
        <v>y</v>
      </c>
      <c r="BUF1" s="154" t="str">
        <f t="shared" si="29"/>
        <v>y</v>
      </c>
      <c r="BUG1" s="154" t="str">
        <f t="shared" si="29"/>
        <v>y</v>
      </c>
      <c r="BUH1" s="154" t="str">
        <f t="shared" si="29"/>
        <v>y</v>
      </c>
      <c r="BUI1" s="154" t="str">
        <f t="shared" si="29"/>
        <v>y</v>
      </c>
      <c r="BUJ1" s="154" t="str">
        <f t="shared" si="29"/>
        <v>y</v>
      </c>
      <c r="BUK1" s="154" t="str">
        <f t="shared" si="29"/>
        <v>y</v>
      </c>
      <c r="BUL1" s="154" t="str">
        <f t="shared" si="29"/>
        <v>y</v>
      </c>
      <c r="BUM1" s="154" t="str">
        <f t="shared" si="29"/>
        <v>y</v>
      </c>
      <c r="BUN1" s="154" t="str">
        <f t="shared" si="29"/>
        <v>y</v>
      </c>
      <c r="BUO1" s="154" t="str">
        <f t="shared" si="29"/>
        <v>y</v>
      </c>
      <c r="BUP1" s="154" t="str">
        <f t="shared" si="29"/>
        <v>y</v>
      </c>
      <c r="BUQ1" s="154" t="str">
        <f t="shared" si="29"/>
        <v>y</v>
      </c>
      <c r="BUR1" s="154" t="str">
        <f t="shared" si="29"/>
        <v>y</v>
      </c>
      <c r="BUS1" s="154" t="str">
        <f t="shared" si="29"/>
        <v>y</v>
      </c>
      <c r="BUT1" s="154" t="str">
        <f t="shared" si="29"/>
        <v>y</v>
      </c>
      <c r="BUU1" s="154" t="str">
        <f t="shared" si="29"/>
        <v>y</v>
      </c>
      <c r="BUV1" s="154" t="str">
        <f t="shared" si="29"/>
        <v>y</v>
      </c>
      <c r="BUW1" s="154" t="str">
        <f t="shared" si="29"/>
        <v>y</v>
      </c>
      <c r="BUX1" s="154" t="str">
        <f t="shared" si="29"/>
        <v>y</v>
      </c>
      <c r="BUY1" s="154" t="str">
        <f t="shared" si="29"/>
        <v>y</v>
      </c>
      <c r="BUZ1" s="154" t="str">
        <f t="shared" ref="BUZ1:BXK1" si="30">BUZ2&amp;"y"</f>
        <v>y</v>
      </c>
      <c r="BVA1" s="154" t="str">
        <f t="shared" si="30"/>
        <v>y</v>
      </c>
      <c r="BVB1" s="154" t="str">
        <f t="shared" si="30"/>
        <v>y</v>
      </c>
      <c r="BVC1" s="154" t="str">
        <f t="shared" si="30"/>
        <v>y</v>
      </c>
      <c r="BVD1" s="154" t="str">
        <f t="shared" si="30"/>
        <v>y</v>
      </c>
      <c r="BVE1" s="154" t="str">
        <f t="shared" si="30"/>
        <v>y</v>
      </c>
      <c r="BVF1" s="154" t="str">
        <f t="shared" si="30"/>
        <v>y</v>
      </c>
      <c r="BVG1" s="154" t="str">
        <f t="shared" si="30"/>
        <v>y</v>
      </c>
      <c r="BVH1" s="154" t="str">
        <f t="shared" si="30"/>
        <v>y</v>
      </c>
      <c r="BVI1" s="154" t="str">
        <f t="shared" si="30"/>
        <v>y</v>
      </c>
      <c r="BVJ1" s="154" t="str">
        <f t="shared" si="30"/>
        <v>y</v>
      </c>
      <c r="BVK1" s="154" t="str">
        <f t="shared" si="30"/>
        <v>y</v>
      </c>
      <c r="BVL1" s="154" t="str">
        <f t="shared" si="30"/>
        <v>y</v>
      </c>
      <c r="BVM1" s="154" t="str">
        <f t="shared" si="30"/>
        <v>y</v>
      </c>
      <c r="BVN1" s="154" t="str">
        <f t="shared" si="30"/>
        <v>y</v>
      </c>
      <c r="BVO1" s="154" t="str">
        <f t="shared" si="30"/>
        <v>y</v>
      </c>
      <c r="BVP1" s="154" t="str">
        <f t="shared" si="30"/>
        <v>y</v>
      </c>
      <c r="BVQ1" s="154" t="str">
        <f t="shared" si="30"/>
        <v>y</v>
      </c>
      <c r="BVR1" s="154" t="str">
        <f t="shared" si="30"/>
        <v>y</v>
      </c>
      <c r="BVS1" s="154" t="str">
        <f t="shared" si="30"/>
        <v>y</v>
      </c>
      <c r="BVT1" s="154" t="str">
        <f t="shared" si="30"/>
        <v>y</v>
      </c>
      <c r="BVU1" s="154" t="str">
        <f t="shared" si="30"/>
        <v>y</v>
      </c>
      <c r="BVV1" s="154" t="str">
        <f t="shared" si="30"/>
        <v>y</v>
      </c>
      <c r="BVW1" s="154" t="str">
        <f t="shared" si="30"/>
        <v>y</v>
      </c>
      <c r="BVX1" s="154" t="str">
        <f t="shared" si="30"/>
        <v>y</v>
      </c>
      <c r="BVY1" s="154" t="str">
        <f t="shared" si="30"/>
        <v>y</v>
      </c>
      <c r="BVZ1" s="154" t="str">
        <f t="shared" si="30"/>
        <v>y</v>
      </c>
      <c r="BWA1" s="154" t="str">
        <f t="shared" si="30"/>
        <v>y</v>
      </c>
      <c r="BWB1" s="154" t="str">
        <f t="shared" si="30"/>
        <v>y</v>
      </c>
      <c r="BWC1" s="154" t="str">
        <f t="shared" si="30"/>
        <v>y</v>
      </c>
      <c r="BWD1" s="154" t="str">
        <f t="shared" si="30"/>
        <v>y</v>
      </c>
      <c r="BWE1" s="154" t="str">
        <f t="shared" si="30"/>
        <v>y</v>
      </c>
      <c r="BWF1" s="154" t="str">
        <f t="shared" si="30"/>
        <v>y</v>
      </c>
      <c r="BWG1" s="154" t="str">
        <f t="shared" si="30"/>
        <v>y</v>
      </c>
      <c r="BWH1" s="154" t="str">
        <f t="shared" si="30"/>
        <v>y</v>
      </c>
      <c r="BWI1" s="154" t="str">
        <f t="shared" si="30"/>
        <v>y</v>
      </c>
      <c r="BWJ1" s="154" t="str">
        <f t="shared" si="30"/>
        <v>y</v>
      </c>
      <c r="BWK1" s="154" t="str">
        <f t="shared" si="30"/>
        <v>y</v>
      </c>
      <c r="BWL1" s="154" t="str">
        <f t="shared" si="30"/>
        <v>y</v>
      </c>
      <c r="BWM1" s="154" t="str">
        <f t="shared" si="30"/>
        <v>y</v>
      </c>
      <c r="BWN1" s="154" t="str">
        <f t="shared" si="30"/>
        <v>y</v>
      </c>
      <c r="BWO1" s="154" t="str">
        <f t="shared" si="30"/>
        <v>y</v>
      </c>
      <c r="BWP1" s="154" t="str">
        <f t="shared" si="30"/>
        <v>y</v>
      </c>
      <c r="BWQ1" s="154" t="str">
        <f t="shared" si="30"/>
        <v>y</v>
      </c>
      <c r="BWR1" s="154" t="str">
        <f t="shared" si="30"/>
        <v>y</v>
      </c>
      <c r="BWS1" s="154" t="str">
        <f t="shared" si="30"/>
        <v>y</v>
      </c>
      <c r="BWT1" s="154" t="str">
        <f t="shared" si="30"/>
        <v>y</v>
      </c>
      <c r="BWU1" s="154" t="str">
        <f t="shared" si="30"/>
        <v>y</v>
      </c>
      <c r="BWV1" s="154" t="str">
        <f t="shared" si="30"/>
        <v>y</v>
      </c>
      <c r="BWW1" s="154" t="str">
        <f t="shared" si="30"/>
        <v>y</v>
      </c>
      <c r="BWX1" s="154" t="str">
        <f t="shared" si="30"/>
        <v>y</v>
      </c>
      <c r="BWY1" s="154" t="str">
        <f t="shared" si="30"/>
        <v>y</v>
      </c>
      <c r="BWZ1" s="154" t="str">
        <f t="shared" si="30"/>
        <v>y</v>
      </c>
      <c r="BXA1" s="154" t="str">
        <f t="shared" si="30"/>
        <v>y</v>
      </c>
      <c r="BXB1" s="154" t="str">
        <f t="shared" si="30"/>
        <v>y</v>
      </c>
      <c r="BXC1" s="154" t="str">
        <f t="shared" si="30"/>
        <v>y</v>
      </c>
      <c r="BXD1" s="154" t="str">
        <f t="shared" si="30"/>
        <v>y</v>
      </c>
      <c r="BXE1" s="154" t="str">
        <f t="shared" si="30"/>
        <v>y</v>
      </c>
      <c r="BXF1" s="154" t="str">
        <f t="shared" si="30"/>
        <v>y</v>
      </c>
      <c r="BXG1" s="154" t="str">
        <f t="shared" si="30"/>
        <v>y</v>
      </c>
      <c r="BXH1" s="154" t="str">
        <f t="shared" si="30"/>
        <v>y</v>
      </c>
      <c r="BXI1" s="154" t="str">
        <f t="shared" si="30"/>
        <v>y</v>
      </c>
      <c r="BXJ1" s="154" t="str">
        <f t="shared" si="30"/>
        <v>y</v>
      </c>
      <c r="BXK1" s="154" t="str">
        <f t="shared" si="30"/>
        <v>y</v>
      </c>
      <c r="BXL1" s="154" t="str">
        <f t="shared" ref="BXL1:BZW1" si="31">BXL2&amp;"y"</f>
        <v>y</v>
      </c>
      <c r="BXM1" s="154" t="str">
        <f t="shared" si="31"/>
        <v>y</v>
      </c>
      <c r="BXN1" s="154" t="str">
        <f t="shared" si="31"/>
        <v>y</v>
      </c>
      <c r="BXO1" s="154" t="str">
        <f t="shared" si="31"/>
        <v>y</v>
      </c>
      <c r="BXP1" s="154" t="str">
        <f t="shared" si="31"/>
        <v>y</v>
      </c>
      <c r="BXQ1" s="154" t="str">
        <f t="shared" si="31"/>
        <v>y</v>
      </c>
      <c r="BXR1" s="154" t="str">
        <f t="shared" si="31"/>
        <v>y</v>
      </c>
      <c r="BXS1" s="154" t="str">
        <f t="shared" si="31"/>
        <v>y</v>
      </c>
      <c r="BXT1" s="154" t="str">
        <f t="shared" si="31"/>
        <v>y</v>
      </c>
      <c r="BXU1" s="154" t="str">
        <f t="shared" si="31"/>
        <v>y</v>
      </c>
      <c r="BXV1" s="154" t="str">
        <f t="shared" si="31"/>
        <v>y</v>
      </c>
      <c r="BXW1" s="154" t="str">
        <f t="shared" si="31"/>
        <v>y</v>
      </c>
      <c r="BXX1" s="154" t="str">
        <f t="shared" si="31"/>
        <v>y</v>
      </c>
      <c r="BXY1" s="154" t="str">
        <f t="shared" si="31"/>
        <v>y</v>
      </c>
      <c r="BXZ1" s="154" t="str">
        <f t="shared" si="31"/>
        <v>y</v>
      </c>
      <c r="BYA1" s="154" t="str">
        <f t="shared" si="31"/>
        <v>y</v>
      </c>
      <c r="BYB1" s="154" t="str">
        <f t="shared" si="31"/>
        <v>y</v>
      </c>
      <c r="BYC1" s="154" t="str">
        <f t="shared" si="31"/>
        <v>y</v>
      </c>
      <c r="BYD1" s="154" t="str">
        <f t="shared" si="31"/>
        <v>y</v>
      </c>
      <c r="BYE1" s="154" t="str">
        <f t="shared" si="31"/>
        <v>y</v>
      </c>
      <c r="BYF1" s="154" t="str">
        <f t="shared" si="31"/>
        <v>y</v>
      </c>
      <c r="BYG1" s="154" t="str">
        <f t="shared" si="31"/>
        <v>y</v>
      </c>
      <c r="BYH1" s="154" t="str">
        <f t="shared" si="31"/>
        <v>y</v>
      </c>
      <c r="BYI1" s="154" t="str">
        <f t="shared" si="31"/>
        <v>y</v>
      </c>
      <c r="BYJ1" s="154" t="str">
        <f t="shared" si="31"/>
        <v>y</v>
      </c>
      <c r="BYK1" s="154" t="str">
        <f t="shared" si="31"/>
        <v>y</v>
      </c>
      <c r="BYL1" s="154" t="str">
        <f t="shared" si="31"/>
        <v>y</v>
      </c>
      <c r="BYM1" s="154" t="str">
        <f t="shared" si="31"/>
        <v>y</v>
      </c>
      <c r="BYN1" s="154" t="str">
        <f t="shared" si="31"/>
        <v>y</v>
      </c>
      <c r="BYO1" s="154" t="str">
        <f t="shared" si="31"/>
        <v>y</v>
      </c>
      <c r="BYP1" s="154" t="str">
        <f t="shared" si="31"/>
        <v>y</v>
      </c>
      <c r="BYQ1" s="154" t="str">
        <f t="shared" si="31"/>
        <v>y</v>
      </c>
      <c r="BYR1" s="154" t="str">
        <f t="shared" si="31"/>
        <v>y</v>
      </c>
      <c r="BYS1" s="154" t="str">
        <f t="shared" si="31"/>
        <v>y</v>
      </c>
      <c r="BYT1" s="154" t="str">
        <f t="shared" si="31"/>
        <v>y</v>
      </c>
      <c r="BYU1" s="154" t="str">
        <f t="shared" si="31"/>
        <v>y</v>
      </c>
      <c r="BYV1" s="154" t="str">
        <f t="shared" si="31"/>
        <v>y</v>
      </c>
      <c r="BYW1" s="154" t="str">
        <f t="shared" si="31"/>
        <v>y</v>
      </c>
      <c r="BYX1" s="154" t="str">
        <f t="shared" si="31"/>
        <v>y</v>
      </c>
      <c r="BYY1" s="154" t="str">
        <f t="shared" si="31"/>
        <v>y</v>
      </c>
      <c r="BYZ1" s="154" t="str">
        <f t="shared" si="31"/>
        <v>y</v>
      </c>
      <c r="BZA1" s="154" t="str">
        <f t="shared" si="31"/>
        <v>y</v>
      </c>
      <c r="BZB1" s="154" t="str">
        <f t="shared" si="31"/>
        <v>y</v>
      </c>
      <c r="BZC1" s="154" t="str">
        <f t="shared" si="31"/>
        <v>y</v>
      </c>
      <c r="BZD1" s="154" t="str">
        <f t="shared" si="31"/>
        <v>y</v>
      </c>
      <c r="BZE1" s="154" t="str">
        <f t="shared" si="31"/>
        <v>y</v>
      </c>
      <c r="BZF1" s="154" t="str">
        <f t="shared" si="31"/>
        <v>y</v>
      </c>
      <c r="BZG1" s="154" t="str">
        <f t="shared" si="31"/>
        <v>y</v>
      </c>
      <c r="BZH1" s="154" t="str">
        <f t="shared" si="31"/>
        <v>y</v>
      </c>
      <c r="BZI1" s="154" t="str">
        <f t="shared" si="31"/>
        <v>y</v>
      </c>
      <c r="BZJ1" s="154" t="str">
        <f t="shared" si="31"/>
        <v>y</v>
      </c>
      <c r="BZK1" s="154" t="str">
        <f t="shared" si="31"/>
        <v>y</v>
      </c>
      <c r="BZL1" s="154" t="str">
        <f t="shared" si="31"/>
        <v>y</v>
      </c>
      <c r="BZM1" s="154" t="str">
        <f t="shared" si="31"/>
        <v>y</v>
      </c>
      <c r="BZN1" s="154" t="str">
        <f t="shared" si="31"/>
        <v>y</v>
      </c>
      <c r="BZO1" s="154" t="str">
        <f t="shared" si="31"/>
        <v>y</v>
      </c>
      <c r="BZP1" s="154" t="str">
        <f t="shared" si="31"/>
        <v>y</v>
      </c>
      <c r="BZQ1" s="154" t="str">
        <f t="shared" si="31"/>
        <v>y</v>
      </c>
      <c r="BZR1" s="154" t="str">
        <f t="shared" si="31"/>
        <v>y</v>
      </c>
      <c r="BZS1" s="154" t="str">
        <f t="shared" si="31"/>
        <v>y</v>
      </c>
      <c r="BZT1" s="154" t="str">
        <f t="shared" si="31"/>
        <v>y</v>
      </c>
      <c r="BZU1" s="154" t="str">
        <f t="shared" si="31"/>
        <v>y</v>
      </c>
      <c r="BZV1" s="154" t="str">
        <f t="shared" si="31"/>
        <v>y</v>
      </c>
      <c r="BZW1" s="154" t="str">
        <f t="shared" si="31"/>
        <v>y</v>
      </c>
      <c r="BZX1" s="154" t="str">
        <f t="shared" ref="BZX1:CCI1" si="32">BZX2&amp;"y"</f>
        <v>y</v>
      </c>
      <c r="BZY1" s="154" t="str">
        <f t="shared" si="32"/>
        <v>y</v>
      </c>
      <c r="BZZ1" s="154" t="str">
        <f t="shared" si="32"/>
        <v>y</v>
      </c>
      <c r="CAA1" s="154" t="str">
        <f t="shared" si="32"/>
        <v>y</v>
      </c>
      <c r="CAB1" s="154" t="str">
        <f t="shared" si="32"/>
        <v>y</v>
      </c>
      <c r="CAC1" s="154" t="str">
        <f t="shared" si="32"/>
        <v>y</v>
      </c>
      <c r="CAD1" s="154" t="str">
        <f t="shared" si="32"/>
        <v>y</v>
      </c>
      <c r="CAE1" s="154" t="str">
        <f t="shared" si="32"/>
        <v>y</v>
      </c>
      <c r="CAF1" s="154" t="str">
        <f t="shared" si="32"/>
        <v>y</v>
      </c>
      <c r="CAG1" s="154" t="str">
        <f t="shared" si="32"/>
        <v>y</v>
      </c>
      <c r="CAH1" s="154" t="str">
        <f t="shared" si="32"/>
        <v>y</v>
      </c>
      <c r="CAI1" s="154" t="str">
        <f t="shared" si="32"/>
        <v>y</v>
      </c>
      <c r="CAJ1" s="154" t="str">
        <f t="shared" si="32"/>
        <v>y</v>
      </c>
      <c r="CAK1" s="154" t="str">
        <f t="shared" si="32"/>
        <v>y</v>
      </c>
      <c r="CAL1" s="154" t="str">
        <f t="shared" si="32"/>
        <v>y</v>
      </c>
      <c r="CAM1" s="154" t="str">
        <f t="shared" si="32"/>
        <v>y</v>
      </c>
      <c r="CAN1" s="154" t="str">
        <f t="shared" si="32"/>
        <v>y</v>
      </c>
      <c r="CAO1" s="154" t="str">
        <f t="shared" si="32"/>
        <v>y</v>
      </c>
      <c r="CAP1" s="154" t="str">
        <f t="shared" si="32"/>
        <v>y</v>
      </c>
      <c r="CAQ1" s="154" t="str">
        <f t="shared" si="32"/>
        <v>y</v>
      </c>
      <c r="CAR1" s="154" t="str">
        <f t="shared" si="32"/>
        <v>y</v>
      </c>
      <c r="CAS1" s="154" t="str">
        <f t="shared" si="32"/>
        <v>y</v>
      </c>
      <c r="CAT1" s="154" t="str">
        <f t="shared" si="32"/>
        <v>y</v>
      </c>
      <c r="CAU1" s="154" t="str">
        <f t="shared" si="32"/>
        <v>y</v>
      </c>
      <c r="CAV1" s="154" t="str">
        <f t="shared" si="32"/>
        <v>y</v>
      </c>
      <c r="CAW1" s="154" t="str">
        <f t="shared" si="32"/>
        <v>y</v>
      </c>
      <c r="CAX1" s="154" t="str">
        <f t="shared" si="32"/>
        <v>y</v>
      </c>
      <c r="CAY1" s="154" t="str">
        <f t="shared" si="32"/>
        <v>y</v>
      </c>
      <c r="CAZ1" s="154" t="str">
        <f t="shared" si="32"/>
        <v>y</v>
      </c>
      <c r="CBA1" s="154" t="str">
        <f t="shared" si="32"/>
        <v>y</v>
      </c>
      <c r="CBB1" s="154" t="str">
        <f t="shared" si="32"/>
        <v>y</v>
      </c>
      <c r="CBC1" s="154" t="str">
        <f t="shared" si="32"/>
        <v>y</v>
      </c>
      <c r="CBD1" s="154" t="str">
        <f t="shared" si="32"/>
        <v>y</v>
      </c>
      <c r="CBE1" s="154" t="str">
        <f t="shared" si="32"/>
        <v>y</v>
      </c>
      <c r="CBF1" s="154" t="str">
        <f t="shared" si="32"/>
        <v>y</v>
      </c>
      <c r="CBG1" s="154" t="str">
        <f t="shared" si="32"/>
        <v>y</v>
      </c>
      <c r="CBH1" s="154" t="str">
        <f t="shared" si="32"/>
        <v>y</v>
      </c>
      <c r="CBI1" s="154" t="str">
        <f t="shared" si="32"/>
        <v>y</v>
      </c>
      <c r="CBJ1" s="154" t="str">
        <f t="shared" si="32"/>
        <v>y</v>
      </c>
      <c r="CBK1" s="154" t="str">
        <f t="shared" si="32"/>
        <v>y</v>
      </c>
      <c r="CBL1" s="154" t="str">
        <f t="shared" si="32"/>
        <v>y</v>
      </c>
      <c r="CBM1" s="154" t="str">
        <f t="shared" si="32"/>
        <v>y</v>
      </c>
      <c r="CBN1" s="154" t="str">
        <f t="shared" si="32"/>
        <v>y</v>
      </c>
      <c r="CBO1" s="154" t="str">
        <f t="shared" si="32"/>
        <v>y</v>
      </c>
      <c r="CBP1" s="154" t="str">
        <f t="shared" si="32"/>
        <v>y</v>
      </c>
      <c r="CBQ1" s="154" t="str">
        <f t="shared" si="32"/>
        <v>y</v>
      </c>
      <c r="CBR1" s="154" t="str">
        <f t="shared" si="32"/>
        <v>y</v>
      </c>
      <c r="CBS1" s="154" t="str">
        <f t="shared" si="32"/>
        <v>y</v>
      </c>
      <c r="CBT1" s="154" t="str">
        <f t="shared" si="32"/>
        <v>y</v>
      </c>
      <c r="CBU1" s="154" t="str">
        <f t="shared" si="32"/>
        <v>y</v>
      </c>
      <c r="CBV1" s="154" t="str">
        <f t="shared" si="32"/>
        <v>y</v>
      </c>
      <c r="CBW1" s="154" t="str">
        <f t="shared" si="32"/>
        <v>y</v>
      </c>
      <c r="CBX1" s="154" t="str">
        <f t="shared" si="32"/>
        <v>y</v>
      </c>
      <c r="CBY1" s="154" t="str">
        <f t="shared" si="32"/>
        <v>y</v>
      </c>
      <c r="CBZ1" s="154" t="str">
        <f t="shared" si="32"/>
        <v>y</v>
      </c>
      <c r="CCA1" s="154" t="str">
        <f t="shared" si="32"/>
        <v>y</v>
      </c>
      <c r="CCB1" s="154" t="str">
        <f t="shared" si="32"/>
        <v>y</v>
      </c>
      <c r="CCC1" s="154" t="str">
        <f t="shared" si="32"/>
        <v>y</v>
      </c>
      <c r="CCD1" s="154" t="str">
        <f t="shared" si="32"/>
        <v>y</v>
      </c>
      <c r="CCE1" s="154" t="str">
        <f t="shared" si="32"/>
        <v>y</v>
      </c>
      <c r="CCF1" s="154" t="str">
        <f t="shared" si="32"/>
        <v>y</v>
      </c>
      <c r="CCG1" s="154" t="str">
        <f t="shared" si="32"/>
        <v>y</v>
      </c>
      <c r="CCH1" s="154" t="str">
        <f t="shared" si="32"/>
        <v>y</v>
      </c>
      <c r="CCI1" s="154" t="str">
        <f t="shared" si="32"/>
        <v>y</v>
      </c>
      <c r="CCJ1" s="154" t="str">
        <f t="shared" ref="CCJ1:CEU1" si="33">CCJ2&amp;"y"</f>
        <v>y</v>
      </c>
      <c r="CCK1" s="154" t="str">
        <f t="shared" si="33"/>
        <v>y</v>
      </c>
      <c r="CCL1" s="154" t="str">
        <f t="shared" si="33"/>
        <v>y</v>
      </c>
      <c r="CCM1" s="154" t="str">
        <f t="shared" si="33"/>
        <v>y</v>
      </c>
      <c r="CCN1" s="154" t="str">
        <f t="shared" si="33"/>
        <v>y</v>
      </c>
      <c r="CCO1" s="154" t="str">
        <f t="shared" si="33"/>
        <v>y</v>
      </c>
      <c r="CCP1" s="154" t="str">
        <f t="shared" si="33"/>
        <v>y</v>
      </c>
      <c r="CCQ1" s="154" t="str">
        <f t="shared" si="33"/>
        <v>y</v>
      </c>
      <c r="CCR1" s="154" t="str">
        <f t="shared" si="33"/>
        <v>y</v>
      </c>
      <c r="CCS1" s="154" t="str">
        <f t="shared" si="33"/>
        <v>y</v>
      </c>
      <c r="CCT1" s="154" t="str">
        <f t="shared" si="33"/>
        <v>y</v>
      </c>
      <c r="CCU1" s="154" t="str">
        <f t="shared" si="33"/>
        <v>y</v>
      </c>
      <c r="CCV1" s="154" t="str">
        <f t="shared" si="33"/>
        <v>y</v>
      </c>
      <c r="CCW1" s="154" t="str">
        <f t="shared" si="33"/>
        <v>y</v>
      </c>
      <c r="CCX1" s="154" t="str">
        <f t="shared" si="33"/>
        <v>y</v>
      </c>
      <c r="CCY1" s="154" t="str">
        <f t="shared" si="33"/>
        <v>y</v>
      </c>
      <c r="CCZ1" s="154" t="str">
        <f t="shared" si="33"/>
        <v>y</v>
      </c>
      <c r="CDA1" s="154" t="str">
        <f t="shared" si="33"/>
        <v>y</v>
      </c>
      <c r="CDB1" s="154" t="str">
        <f t="shared" si="33"/>
        <v>y</v>
      </c>
      <c r="CDC1" s="154" t="str">
        <f t="shared" si="33"/>
        <v>y</v>
      </c>
      <c r="CDD1" s="154" t="str">
        <f t="shared" si="33"/>
        <v>y</v>
      </c>
      <c r="CDE1" s="154" t="str">
        <f t="shared" si="33"/>
        <v>y</v>
      </c>
      <c r="CDF1" s="154" t="str">
        <f t="shared" si="33"/>
        <v>y</v>
      </c>
      <c r="CDG1" s="154" t="str">
        <f t="shared" si="33"/>
        <v>y</v>
      </c>
      <c r="CDH1" s="154" t="str">
        <f t="shared" si="33"/>
        <v>y</v>
      </c>
      <c r="CDI1" s="154" t="str">
        <f t="shared" si="33"/>
        <v>y</v>
      </c>
      <c r="CDJ1" s="154" t="str">
        <f t="shared" si="33"/>
        <v>y</v>
      </c>
      <c r="CDK1" s="154" t="str">
        <f t="shared" si="33"/>
        <v>y</v>
      </c>
      <c r="CDL1" s="154" t="str">
        <f t="shared" si="33"/>
        <v>y</v>
      </c>
      <c r="CDM1" s="154" t="str">
        <f t="shared" si="33"/>
        <v>y</v>
      </c>
      <c r="CDN1" s="154" t="str">
        <f t="shared" si="33"/>
        <v>y</v>
      </c>
      <c r="CDO1" s="154" t="str">
        <f t="shared" si="33"/>
        <v>y</v>
      </c>
      <c r="CDP1" s="154" t="str">
        <f t="shared" si="33"/>
        <v>y</v>
      </c>
      <c r="CDQ1" s="154" t="str">
        <f t="shared" si="33"/>
        <v>y</v>
      </c>
      <c r="CDR1" s="154" t="str">
        <f t="shared" si="33"/>
        <v>y</v>
      </c>
      <c r="CDS1" s="154" t="str">
        <f t="shared" si="33"/>
        <v>y</v>
      </c>
      <c r="CDT1" s="154" t="str">
        <f t="shared" si="33"/>
        <v>y</v>
      </c>
      <c r="CDU1" s="154" t="str">
        <f t="shared" si="33"/>
        <v>y</v>
      </c>
      <c r="CDV1" s="154" t="str">
        <f t="shared" si="33"/>
        <v>y</v>
      </c>
      <c r="CDW1" s="154" t="str">
        <f t="shared" si="33"/>
        <v>y</v>
      </c>
      <c r="CDX1" s="154" t="str">
        <f t="shared" si="33"/>
        <v>y</v>
      </c>
      <c r="CDY1" s="154" t="str">
        <f t="shared" si="33"/>
        <v>y</v>
      </c>
      <c r="CDZ1" s="154" t="str">
        <f t="shared" si="33"/>
        <v>y</v>
      </c>
      <c r="CEA1" s="154" t="str">
        <f t="shared" si="33"/>
        <v>y</v>
      </c>
      <c r="CEB1" s="154" t="str">
        <f t="shared" si="33"/>
        <v>y</v>
      </c>
      <c r="CEC1" s="154" t="str">
        <f t="shared" si="33"/>
        <v>y</v>
      </c>
      <c r="CED1" s="154" t="str">
        <f t="shared" si="33"/>
        <v>y</v>
      </c>
      <c r="CEE1" s="154" t="str">
        <f t="shared" si="33"/>
        <v>y</v>
      </c>
      <c r="CEF1" s="154" t="str">
        <f t="shared" si="33"/>
        <v>y</v>
      </c>
      <c r="CEG1" s="154" t="str">
        <f t="shared" si="33"/>
        <v>y</v>
      </c>
      <c r="CEH1" s="154" t="str">
        <f t="shared" si="33"/>
        <v>y</v>
      </c>
      <c r="CEI1" s="154" t="str">
        <f t="shared" si="33"/>
        <v>y</v>
      </c>
      <c r="CEJ1" s="154" t="str">
        <f t="shared" si="33"/>
        <v>y</v>
      </c>
      <c r="CEK1" s="154" t="str">
        <f t="shared" si="33"/>
        <v>y</v>
      </c>
      <c r="CEL1" s="154" t="str">
        <f t="shared" si="33"/>
        <v>y</v>
      </c>
      <c r="CEM1" s="154" t="str">
        <f t="shared" si="33"/>
        <v>y</v>
      </c>
      <c r="CEN1" s="154" t="str">
        <f t="shared" si="33"/>
        <v>y</v>
      </c>
      <c r="CEO1" s="154" t="str">
        <f t="shared" si="33"/>
        <v>y</v>
      </c>
      <c r="CEP1" s="154" t="str">
        <f t="shared" si="33"/>
        <v>y</v>
      </c>
      <c r="CEQ1" s="154" t="str">
        <f t="shared" si="33"/>
        <v>y</v>
      </c>
      <c r="CER1" s="154" t="str">
        <f t="shared" si="33"/>
        <v>y</v>
      </c>
      <c r="CES1" s="154" t="str">
        <f t="shared" si="33"/>
        <v>y</v>
      </c>
      <c r="CET1" s="154" t="str">
        <f t="shared" si="33"/>
        <v>y</v>
      </c>
      <c r="CEU1" s="154" t="str">
        <f t="shared" si="33"/>
        <v>y</v>
      </c>
      <c r="CEV1" s="154" t="str">
        <f t="shared" ref="CEV1:CHG1" si="34">CEV2&amp;"y"</f>
        <v>y</v>
      </c>
      <c r="CEW1" s="154" t="str">
        <f t="shared" si="34"/>
        <v>y</v>
      </c>
      <c r="CEX1" s="154" t="str">
        <f t="shared" si="34"/>
        <v>y</v>
      </c>
      <c r="CEY1" s="154" t="str">
        <f t="shared" si="34"/>
        <v>y</v>
      </c>
      <c r="CEZ1" s="154" t="str">
        <f t="shared" si="34"/>
        <v>y</v>
      </c>
      <c r="CFA1" s="154" t="str">
        <f t="shared" si="34"/>
        <v>y</v>
      </c>
      <c r="CFB1" s="154" t="str">
        <f t="shared" si="34"/>
        <v>y</v>
      </c>
      <c r="CFC1" s="154" t="str">
        <f t="shared" si="34"/>
        <v>y</v>
      </c>
      <c r="CFD1" s="154" t="str">
        <f t="shared" si="34"/>
        <v>y</v>
      </c>
      <c r="CFE1" s="154" t="str">
        <f t="shared" si="34"/>
        <v>y</v>
      </c>
      <c r="CFF1" s="154" t="str">
        <f t="shared" si="34"/>
        <v>y</v>
      </c>
      <c r="CFG1" s="154" t="str">
        <f t="shared" si="34"/>
        <v>y</v>
      </c>
      <c r="CFH1" s="154" t="str">
        <f t="shared" si="34"/>
        <v>y</v>
      </c>
      <c r="CFI1" s="154" t="str">
        <f t="shared" si="34"/>
        <v>y</v>
      </c>
      <c r="CFJ1" s="154" t="str">
        <f t="shared" si="34"/>
        <v>y</v>
      </c>
      <c r="CFK1" s="154" t="str">
        <f t="shared" si="34"/>
        <v>y</v>
      </c>
      <c r="CFL1" s="154" t="str">
        <f t="shared" si="34"/>
        <v>y</v>
      </c>
      <c r="CFM1" s="154" t="str">
        <f t="shared" si="34"/>
        <v>y</v>
      </c>
      <c r="CFN1" s="154" t="str">
        <f t="shared" si="34"/>
        <v>y</v>
      </c>
      <c r="CFO1" s="154" t="str">
        <f t="shared" si="34"/>
        <v>y</v>
      </c>
      <c r="CFP1" s="154" t="str">
        <f t="shared" si="34"/>
        <v>y</v>
      </c>
      <c r="CFQ1" s="154" t="str">
        <f t="shared" si="34"/>
        <v>y</v>
      </c>
      <c r="CFR1" s="154" t="str">
        <f t="shared" si="34"/>
        <v>y</v>
      </c>
      <c r="CFS1" s="154" t="str">
        <f t="shared" si="34"/>
        <v>y</v>
      </c>
      <c r="CFT1" s="154" t="str">
        <f t="shared" si="34"/>
        <v>y</v>
      </c>
      <c r="CFU1" s="154" t="str">
        <f t="shared" si="34"/>
        <v>y</v>
      </c>
      <c r="CFV1" s="154" t="str">
        <f t="shared" si="34"/>
        <v>y</v>
      </c>
      <c r="CFW1" s="154" t="str">
        <f t="shared" si="34"/>
        <v>y</v>
      </c>
      <c r="CFX1" s="154" t="str">
        <f t="shared" si="34"/>
        <v>y</v>
      </c>
      <c r="CFY1" s="154" t="str">
        <f t="shared" si="34"/>
        <v>y</v>
      </c>
      <c r="CFZ1" s="154" t="str">
        <f t="shared" si="34"/>
        <v>y</v>
      </c>
      <c r="CGA1" s="154" t="str">
        <f t="shared" si="34"/>
        <v>y</v>
      </c>
      <c r="CGB1" s="154" t="str">
        <f t="shared" si="34"/>
        <v>y</v>
      </c>
      <c r="CGC1" s="154" t="str">
        <f t="shared" si="34"/>
        <v>y</v>
      </c>
      <c r="CGD1" s="154" t="str">
        <f t="shared" si="34"/>
        <v>y</v>
      </c>
      <c r="CGE1" s="154" t="str">
        <f t="shared" si="34"/>
        <v>y</v>
      </c>
      <c r="CGF1" s="154" t="str">
        <f t="shared" si="34"/>
        <v>y</v>
      </c>
      <c r="CGG1" s="154" t="str">
        <f t="shared" si="34"/>
        <v>y</v>
      </c>
      <c r="CGH1" s="154" t="str">
        <f t="shared" si="34"/>
        <v>y</v>
      </c>
      <c r="CGI1" s="154" t="str">
        <f t="shared" si="34"/>
        <v>y</v>
      </c>
      <c r="CGJ1" s="154" t="str">
        <f t="shared" si="34"/>
        <v>y</v>
      </c>
      <c r="CGK1" s="154" t="str">
        <f t="shared" si="34"/>
        <v>y</v>
      </c>
      <c r="CGL1" s="154" t="str">
        <f t="shared" si="34"/>
        <v>y</v>
      </c>
      <c r="CGM1" s="154" t="str">
        <f t="shared" si="34"/>
        <v>y</v>
      </c>
      <c r="CGN1" s="154" t="str">
        <f t="shared" si="34"/>
        <v>y</v>
      </c>
      <c r="CGO1" s="154" t="str">
        <f t="shared" si="34"/>
        <v>y</v>
      </c>
      <c r="CGP1" s="154" t="str">
        <f t="shared" si="34"/>
        <v>y</v>
      </c>
      <c r="CGQ1" s="154" t="str">
        <f t="shared" si="34"/>
        <v>y</v>
      </c>
      <c r="CGR1" s="154" t="str">
        <f t="shared" si="34"/>
        <v>y</v>
      </c>
      <c r="CGS1" s="154" t="str">
        <f t="shared" si="34"/>
        <v>y</v>
      </c>
      <c r="CGT1" s="154" t="str">
        <f t="shared" si="34"/>
        <v>y</v>
      </c>
      <c r="CGU1" s="154" t="str">
        <f t="shared" si="34"/>
        <v>y</v>
      </c>
      <c r="CGV1" s="154" t="str">
        <f t="shared" si="34"/>
        <v>y</v>
      </c>
      <c r="CGW1" s="154" t="str">
        <f t="shared" si="34"/>
        <v>y</v>
      </c>
      <c r="CGX1" s="154" t="str">
        <f t="shared" si="34"/>
        <v>y</v>
      </c>
      <c r="CGY1" s="154" t="str">
        <f t="shared" si="34"/>
        <v>y</v>
      </c>
      <c r="CGZ1" s="154" t="str">
        <f t="shared" si="34"/>
        <v>y</v>
      </c>
      <c r="CHA1" s="154" t="str">
        <f t="shared" si="34"/>
        <v>y</v>
      </c>
      <c r="CHB1" s="154" t="str">
        <f t="shared" si="34"/>
        <v>y</v>
      </c>
      <c r="CHC1" s="154" t="str">
        <f t="shared" si="34"/>
        <v>y</v>
      </c>
      <c r="CHD1" s="154" t="str">
        <f t="shared" si="34"/>
        <v>y</v>
      </c>
      <c r="CHE1" s="154" t="str">
        <f t="shared" si="34"/>
        <v>y</v>
      </c>
      <c r="CHF1" s="154" t="str">
        <f t="shared" si="34"/>
        <v>y</v>
      </c>
      <c r="CHG1" s="154" t="str">
        <f t="shared" si="34"/>
        <v>y</v>
      </c>
      <c r="CHH1" s="154" t="str">
        <f t="shared" ref="CHH1:CJS1" si="35">CHH2&amp;"y"</f>
        <v>y</v>
      </c>
      <c r="CHI1" s="154" t="str">
        <f t="shared" si="35"/>
        <v>y</v>
      </c>
      <c r="CHJ1" s="154" t="str">
        <f t="shared" si="35"/>
        <v>y</v>
      </c>
      <c r="CHK1" s="154" t="str">
        <f t="shared" si="35"/>
        <v>y</v>
      </c>
      <c r="CHL1" s="154" t="str">
        <f t="shared" si="35"/>
        <v>y</v>
      </c>
      <c r="CHM1" s="154" t="str">
        <f t="shared" si="35"/>
        <v>y</v>
      </c>
      <c r="CHN1" s="154" t="str">
        <f t="shared" si="35"/>
        <v>y</v>
      </c>
      <c r="CHO1" s="154" t="str">
        <f t="shared" si="35"/>
        <v>y</v>
      </c>
      <c r="CHP1" s="154" t="str">
        <f t="shared" si="35"/>
        <v>y</v>
      </c>
      <c r="CHQ1" s="154" t="str">
        <f t="shared" si="35"/>
        <v>y</v>
      </c>
      <c r="CHR1" s="154" t="str">
        <f t="shared" si="35"/>
        <v>y</v>
      </c>
      <c r="CHS1" s="154" t="str">
        <f t="shared" si="35"/>
        <v>y</v>
      </c>
      <c r="CHT1" s="154" t="str">
        <f t="shared" si="35"/>
        <v>y</v>
      </c>
      <c r="CHU1" s="154" t="str">
        <f t="shared" si="35"/>
        <v>y</v>
      </c>
      <c r="CHV1" s="154" t="str">
        <f t="shared" si="35"/>
        <v>y</v>
      </c>
      <c r="CHW1" s="154" t="str">
        <f t="shared" si="35"/>
        <v>y</v>
      </c>
      <c r="CHX1" s="154" t="str">
        <f t="shared" si="35"/>
        <v>y</v>
      </c>
      <c r="CHY1" s="154" t="str">
        <f t="shared" si="35"/>
        <v>y</v>
      </c>
      <c r="CHZ1" s="154" t="str">
        <f t="shared" si="35"/>
        <v>y</v>
      </c>
      <c r="CIA1" s="154" t="str">
        <f t="shared" si="35"/>
        <v>y</v>
      </c>
      <c r="CIB1" s="154" t="str">
        <f t="shared" si="35"/>
        <v>y</v>
      </c>
      <c r="CIC1" s="154" t="str">
        <f t="shared" si="35"/>
        <v>y</v>
      </c>
      <c r="CID1" s="154" t="str">
        <f t="shared" si="35"/>
        <v>y</v>
      </c>
      <c r="CIE1" s="154" t="str">
        <f t="shared" si="35"/>
        <v>y</v>
      </c>
      <c r="CIF1" s="154" t="str">
        <f t="shared" si="35"/>
        <v>y</v>
      </c>
      <c r="CIG1" s="154" t="str">
        <f t="shared" si="35"/>
        <v>y</v>
      </c>
      <c r="CIH1" s="154" t="str">
        <f t="shared" si="35"/>
        <v>y</v>
      </c>
      <c r="CII1" s="154" t="str">
        <f t="shared" si="35"/>
        <v>y</v>
      </c>
      <c r="CIJ1" s="154" t="str">
        <f t="shared" si="35"/>
        <v>y</v>
      </c>
      <c r="CIK1" s="154" t="str">
        <f t="shared" si="35"/>
        <v>y</v>
      </c>
      <c r="CIL1" s="154" t="str">
        <f t="shared" si="35"/>
        <v>y</v>
      </c>
      <c r="CIM1" s="154" t="str">
        <f t="shared" si="35"/>
        <v>y</v>
      </c>
      <c r="CIN1" s="154" t="str">
        <f t="shared" si="35"/>
        <v>y</v>
      </c>
      <c r="CIO1" s="154" t="str">
        <f t="shared" si="35"/>
        <v>y</v>
      </c>
      <c r="CIP1" s="154" t="str">
        <f t="shared" si="35"/>
        <v>y</v>
      </c>
      <c r="CIQ1" s="154" t="str">
        <f t="shared" si="35"/>
        <v>y</v>
      </c>
      <c r="CIR1" s="154" t="str">
        <f t="shared" si="35"/>
        <v>y</v>
      </c>
      <c r="CIS1" s="154" t="str">
        <f t="shared" si="35"/>
        <v>y</v>
      </c>
      <c r="CIT1" s="154" t="str">
        <f t="shared" si="35"/>
        <v>y</v>
      </c>
      <c r="CIU1" s="154" t="str">
        <f t="shared" si="35"/>
        <v>y</v>
      </c>
      <c r="CIV1" s="154" t="str">
        <f t="shared" si="35"/>
        <v>y</v>
      </c>
      <c r="CIW1" s="154" t="str">
        <f t="shared" si="35"/>
        <v>y</v>
      </c>
      <c r="CIX1" s="154" t="str">
        <f t="shared" si="35"/>
        <v>y</v>
      </c>
      <c r="CIY1" s="154" t="str">
        <f t="shared" si="35"/>
        <v>y</v>
      </c>
      <c r="CIZ1" s="154" t="str">
        <f t="shared" si="35"/>
        <v>y</v>
      </c>
      <c r="CJA1" s="154" t="str">
        <f t="shared" si="35"/>
        <v>y</v>
      </c>
      <c r="CJB1" s="154" t="str">
        <f t="shared" si="35"/>
        <v>y</v>
      </c>
      <c r="CJC1" s="154" t="str">
        <f t="shared" si="35"/>
        <v>y</v>
      </c>
      <c r="CJD1" s="154" t="str">
        <f t="shared" si="35"/>
        <v>y</v>
      </c>
      <c r="CJE1" s="154" t="str">
        <f t="shared" si="35"/>
        <v>y</v>
      </c>
      <c r="CJF1" s="154" t="str">
        <f t="shared" si="35"/>
        <v>y</v>
      </c>
      <c r="CJG1" s="154" t="str">
        <f t="shared" si="35"/>
        <v>y</v>
      </c>
      <c r="CJH1" s="154" t="str">
        <f t="shared" si="35"/>
        <v>y</v>
      </c>
      <c r="CJI1" s="154" t="str">
        <f t="shared" si="35"/>
        <v>y</v>
      </c>
      <c r="CJJ1" s="154" t="str">
        <f t="shared" si="35"/>
        <v>y</v>
      </c>
      <c r="CJK1" s="154" t="str">
        <f t="shared" si="35"/>
        <v>y</v>
      </c>
      <c r="CJL1" s="154" t="str">
        <f t="shared" si="35"/>
        <v>y</v>
      </c>
      <c r="CJM1" s="154" t="str">
        <f t="shared" si="35"/>
        <v>y</v>
      </c>
      <c r="CJN1" s="154" t="str">
        <f t="shared" si="35"/>
        <v>y</v>
      </c>
      <c r="CJO1" s="154" t="str">
        <f t="shared" si="35"/>
        <v>y</v>
      </c>
      <c r="CJP1" s="154" t="str">
        <f t="shared" si="35"/>
        <v>y</v>
      </c>
      <c r="CJQ1" s="154" t="str">
        <f t="shared" si="35"/>
        <v>y</v>
      </c>
      <c r="CJR1" s="154" t="str">
        <f t="shared" si="35"/>
        <v>y</v>
      </c>
      <c r="CJS1" s="154" t="str">
        <f t="shared" si="35"/>
        <v>y</v>
      </c>
      <c r="CJT1" s="154" t="str">
        <f t="shared" ref="CJT1:CME1" si="36">CJT2&amp;"y"</f>
        <v>y</v>
      </c>
      <c r="CJU1" s="154" t="str">
        <f t="shared" si="36"/>
        <v>y</v>
      </c>
      <c r="CJV1" s="154" t="str">
        <f t="shared" si="36"/>
        <v>y</v>
      </c>
      <c r="CJW1" s="154" t="str">
        <f t="shared" si="36"/>
        <v>y</v>
      </c>
      <c r="CJX1" s="154" t="str">
        <f t="shared" si="36"/>
        <v>y</v>
      </c>
      <c r="CJY1" s="154" t="str">
        <f t="shared" si="36"/>
        <v>y</v>
      </c>
      <c r="CJZ1" s="154" t="str">
        <f t="shared" si="36"/>
        <v>y</v>
      </c>
      <c r="CKA1" s="154" t="str">
        <f t="shared" si="36"/>
        <v>y</v>
      </c>
      <c r="CKB1" s="154" t="str">
        <f t="shared" si="36"/>
        <v>y</v>
      </c>
      <c r="CKC1" s="154" t="str">
        <f t="shared" si="36"/>
        <v>y</v>
      </c>
      <c r="CKD1" s="154" t="str">
        <f t="shared" si="36"/>
        <v>y</v>
      </c>
      <c r="CKE1" s="154" t="str">
        <f t="shared" si="36"/>
        <v>y</v>
      </c>
      <c r="CKF1" s="154" t="str">
        <f t="shared" si="36"/>
        <v>y</v>
      </c>
      <c r="CKG1" s="154" t="str">
        <f t="shared" si="36"/>
        <v>y</v>
      </c>
      <c r="CKH1" s="154" t="str">
        <f t="shared" si="36"/>
        <v>y</v>
      </c>
      <c r="CKI1" s="154" t="str">
        <f t="shared" si="36"/>
        <v>y</v>
      </c>
      <c r="CKJ1" s="154" t="str">
        <f t="shared" si="36"/>
        <v>y</v>
      </c>
      <c r="CKK1" s="154" t="str">
        <f t="shared" si="36"/>
        <v>y</v>
      </c>
      <c r="CKL1" s="154" t="str">
        <f t="shared" si="36"/>
        <v>y</v>
      </c>
      <c r="CKM1" s="154" t="str">
        <f t="shared" si="36"/>
        <v>y</v>
      </c>
      <c r="CKN1" s="154" t="str">
        <f t="shared" si="36"/>
        <v>y</v>
      </c>
      <c r="CKO1" s="154" t="str">
        <f t="shared" si="36"/>
        <v>y</v>
      </c>
      <c r="CKP1" s="154" t="str">
        <f t="shared" si="36"/>
        <v>y</v>
      </c>
      <c r="CKQ1" s="154" t="str">
        <f t="shared" si="36"/>
        <v>y</v>
      </c>
      <c r="CKR1" s="154" t="str">
        <f t="shared" si="36"/>
        <v>y</v>
      </c>
      <c r="CKS1" s="154" t="str">
        <f t="shared" si="36"/>
        <v>y</v>
      </c>
      <c r="CKT1" s="154" t="str">
        <f t="shared" si="36"/>
        <v>y</v>
      </c>
      <c r="CKU1" s="154" t="str">
        <f t="shared" si="36"/>
        <v>y</v>
      </c>
      <c r="CKV1" s="154" t="str">
        <f t="shared" si="36"/>
        <v>y</v>
      </c>
      <c r="CKW1" s="154" t="str">
        <f t="shared" si="36"/>
        <v>y</v>
      </c>
      <c r="CKX1" s="154" t="str">
        <f t="shared" si="36"/>
        <v>y</v>
      </c>
      <c r="CKY1" s="154" t="str">
        <f t="shared" si="36"/>
        <v>y</v>
      </c>
      <c r="CKZ1" s="154" t="str">
        <f t="shared" si="36"/>
        <v>y</v>
      </c>
      <c r="CLA1" s="154" t="str">
        <f t="shared" si="36"/>
        <v>y</v>
      </c>
      <c r="CLB1" s="154" t="str">
        <f t="shared" si="36"/>
        <v>y</v>
      </c>
      <c r="CLC1" s="154" t="str">
        <f t="shared" si="36"/>
        <v>y</v>
      </c>
      <c r="CLD1" s="154" t="str">
        <f t="shared" si="36"/>
        <v>y</v>
      </c>
      <c r="CLE1" s="154" t="str">
        <f t="shared" si="36"/>
        <v>y</v>
      </c>
      <c r="CLF1" s="154" t="str">
        <f t="shared" si="36"/>
        <v>y</v>
      </c>
      <c r="CLG1" s="154" t="str">
        <f t="shared" si="36"/>
        <v>y</v>
      </c>
      <c r="CLH1" s="154" t="str">
        <f t="shared" si="36"/>
        <v>y</v>
      </c>
      <c r="CLI1" s="154" t="str">
        <f t="shared" si="36"/>
        <v>y</v>
      </c>
      <c r="CLJ1" s="154" t="str">
        <f t="shared" si="36"/>
        <v>y</v>
      </c>
      <c r="CLK1" s="154" t="str">
        <f t="shared" si="36"/>
        <v>y</v>
      </c>
      <c r="CLL1" s="154" t="str">
        <f t="shared" si="36"/>
        <v>y</v>
      </c>
      <c r="CLM1" s="154" t="str">
        <f t="shared" si="36"/>
        <v>y</v>
      </c>
      <c r="CLN1" s="154" t="str">
        <f t="shared" si="36"/>
        <v>y</v>
      </c>
      <c r="CLO1" s="154" t="str">
        <f t="shared" si="36"/>
        <v>y</v>
      </c>
      <c r="CLP1" s="154" t="str">
        <f t="shared" si="36"/>
        <v>y</v>
      </c>
      <c r="CLQ1" s="154" t="str">
        <f t="shared" si="36"/>
        <v>y</v>
      </c>
      <c r="CLR1" s="154" t="str">
        <f t="shared" si="36"/>
        <v>y</v>
      </c>
      <c r="CLS1" s="154" t="str">
        <f t="shared" si="36"/>
        <v>y</v>
      </c>
      <c r="CLT1" s="154" t="str">
        <f t="shared" si="36"/>
        <v>y</v>
      </c>
      <c r="CLU1" s="154" t="str">
        <f t="shared" si="36"/>
        <v>y</v>
      </c>
      <c r="CLV1" s="154" t="str">
        <f t="shared" si="36"/>
        <v>y</v>
      </c>
      <c r="CLW1" s="154" t="str">
        <f t="shared" si="36"/>
        <v>y</v>
      </c>
      <c r="CLX1" s="154" t="str">
        <f t="shared" si="36"/>
        <v>y</v>
      </c>
      <c r="CLY1" s="154" t="str">
        <f t="shared" si="36"/>
        <v>y</v>
      </c>
      <c r="CLZ1" s="154" t="str">
        <f t="shared" si="36"/>
        <v>y</v>
      </c>
      <c r="CMA1" s="154" t="str">
        <f t="shared" si="36"/>
        <v>y</v>
      </c>
      <c r="CMB1" s="154" t="str">
        <f t="shared" si="36"/>
        <v>y</v>
      </c>
      <c r="CMC1" s="154" t="str">
        <f t="shared" si="36"/>
        <v>y</v>
      </c>
      <c r="CMD1" s="154" t="str">
        <f t="shared" si="36"/>
        <v>y</v>
      </c>
      <c r="CME1" s="154" t="str">
        <f t="shared" si="36"/>
        <v>y</v>
      </c>
      <c r="CMF1" s="154" t="str">
        <f t="shared" ref="CMF1:COQ1" si="37">CMF2&amp;"y"</f>
        <v>y</v>
      </c>
      <c r="CMG1" s="154" t="str">
        <f t="shared" si="37"/>
        <v>y</v>
      </c>
      <c r="CMH1" s="154" t="str">
        <f t="shared" si="37"/>
        <v>y</v>
      </c>
      <c r="CMI1" s="154" t="str">
        <f t="shared" si="37"/>
        <v>y</v>
      </c>
      <c r="CMJ1" s="154" t="str">
        <f t="shared" si="37"/>
        <v>y</v>
      </c>
      <c r="CMK1" s="154" t="str">
        <f t="shared" si="37"/>
        <v>y</v>
      </c>
      <c r="CML1" s="154" t="str">
        <f t="shared" si="37"/>
        <v>y</v>
      </c>
      <c r="CMM1" s="154" t="str">
        <f t="shared" si="37"/>
        <v>y</v>
      </c>
      <c r="CMN1" s="154" t="str">
        <f t="shared" si="37"/>
        <v>y</v>
      </c>
      <c r="CMO1" s="154" t="str">
        <f t="shared" si="37"/>
        <v>y</v>
      </c>
      <c r="CMP1" s="154" t="str">
        <f t="shared" si="37"/>
        <v>y</v>
      </c>
      <c r="CMQ1" s="154" t="str">
        <f t="shared" si="37"/>
        <v>y</v>
      </c>
      <c r="CMR1" s="154" t="str">
        <f t="shared" si="37"/>
        <v>y</v>
      </c>
      <c r="CMS1" s="154" t="str">
        <f t="shared" si="37"/>
        <v>y</v>
      </c>
      <c r="CMT1" s="154" t="str">
        <f t="shared" si="37"/>
        <v>y</v>
      </c>
      <c r="CMU1" s="154" t="str">
        <f t="shared" si="37"/>
        <v>y</v>
      </c>
      <c r="CMV1" s="154" t="str">
        <f t="shared" si="37"/>
        <v>y</v>
      </c>
      <c r="CMW1" s="154" t="str">
        <f t="shared" si="37"/>
        <v>y</v>
      </c>
      <c r="CMX1" s="154" t="str">
        <f t="shared" si="37"/>
        <v>y</v>
      </c>
      <c r="CMY1" s="154" t="str">
        <f t="shared" si="37"/>
        <v>y</v>
      </c>
      <c r="CMZ1" s="154" t="str">
        <f t="shared" si="37"/>
        <v>y</v>
      </c>
      <c r="CNA1" s="154" t="str">
        <f t="shared" si="37"/>
        <v>y</v>
      </c>
      <c r="CNB1" s="154" t="str">
        <f t="shared" si="37"/>
        <v>y</v>
      </c>
      <c r="CNC1" s="154" t="str">
        <f t="shared" si="37"/>
        <v>y</v>
      </c>
      <c r="CND1" s="154" t="str">
        <f t="shared" si="37"/>
        <v>y</v>
      </c>
      <c r="CNE1" s="154" t="str">
        <f t="shared" si="37"/>
        <v>y</v>
      </c>
      <c r="CNF1" s="154" t="str">
        <f t="shared" si="37"/>
        <v>y</v>
      </c>
      <c r="CNG1" s="154" t="str">
        <f t="shared" si="37"/>
        <v>y</v>
      </c>
      <c r="CNH1" s="154" t="str">
        <f t="shared" si="37"/>
        <v>y</v>
      </c>
      <c r="CNI1" s="154" t="str">
        <f t="shared" si="37"/>
        <v>y</v>
      </c>
      <c r="CNJ1" s="154" t="str">
        <f t="shared" si="37"/>
        <v>y</v>
      </c>
      <c r="CNK1" s="154" t="str">
        <f t="shared" si="37"/>
        <v>y</v>
      </c>
      <c r="CNL1" s="154" t="str">
        <f t="shared" si="37"/>
        <v>y</v>
      </c>
      <c r="CNM1" s="154" t="str">
        <f t="shared" si="37"/>
        <v>y</v>
      </c>
      <c r="CNN1" s="154" t="str">
        <f t="shared" si="37"/>
        <v>y</v>
      </c>
      <c r="CNO1" s="154" t="str">
        <f t="shared" si="37"/>
        <v>y</v>
      </c>
      <c r="CNP1" s="154" t="str">
        <f t="shared" si="37"/>
        <v>y</v>
      </c>
      <c r="CNQ1" s="154" t="str">
        <f t="shared" si="37"/>
        <v>y</v>
      </c>
      <c r="CNR1" s="154" t="str">
        <f t="shared" si="37"/>
        <v>y</v>
      </c>
      <c r="CNS1" s="154" t="str">
        <f t="shared" si="37"/>
        <v>y</v>
      </c>
      <c r="CNT1" s="154" t="str">
        <f t="shared" si="37"/>
        <v>y</v>
      </c>
      <c r="CNU1" s="154" t="str">
        <f t="shared" si="37"/>
        <v>y</v>
      </c>
      <c r="CNV1" s="154" t="str">
        <f t="shared" si="37"/>
        <v>y</v>
      </c>
      <c r="CNW1" s="154" t="str">
        <f t="shared" si="37"/>
        <v>y</v>
      </c>
      <c r="CNX1" s="154" t="str">
        <f t="shared" si="37"/>
        <v>y</v>
      </c>
      <c r="CNY1" s="154" t="str">
        <f t="shared" si="37"/>
        <v>y</v>
      </c>
      <c r="CNZ1" s="154" t="str">
        <f t="shared" si="37"/>
        <v>y</v>
      </c>
      <c r="COA1" s="154" t="str">
        <f t="shared" si="37"/>
        <v>y</v>
      </c>
      <c r="COB1" s="154" t="str">
        <f t="shared" si="37"/>
        <v>y</v>
      </c>
      <c r="COC1" s="154" t="str">
        <f t="shared" si="37"/>
        <v>y</v>
      </c>
      <c r="COD1" s="154" t="str">
        <f t="shared" si="37"/>
        <v>y</v>
      </c>
      <c r="COE1" s="154" t="str">
        <f t="shared" si="37"/>
        <v>y</v>
      </c>
      <c r="COF1" s="154" t="str">
        <f t="shared" si="37"/>
        <v>y</v>
      </c>
      <c r="COG1" s="154" t="str">
        <f t="shared" si="37"/>
        <v>y</v>
      </c>
      <c r="COH1" s="154" t="str">
        <f t="shared" si="37"/>
        <v>y</v>
      </c>
      <c r="COI1" s="154" t="str">
        <f t="shared" si="37"/>
        <v>y</v>
      </c>
      <c r="COJ1" s="154" t="str">
        <f t="shared" si="37"/>
        <v>y</v>
      </c>
      <c r="COK1" s="154" t="str">
        <f t="shared" si="37"/>
        <v>y</v>
      </c>
      <c r="COL1" s="154" t="str">
        <f t="shared" si="37"/>
        <v>y</v>
      </c>
      <c r="COM1" s="154" t="str">
        <f t="shared" si="37"/>
        <v>y</v>
      </c>
      <c r="CON1" s="154" t="str">
        <f t="shared" si="37"/>
        <v>y</v>
      </c>
      <c r="COO1" s="154" t="str">
        <f t="shared" si="37"/>
        <v>y</v>
      </c>
      <c r="COP1" s="154" t="str">
        <f t="shared" si="37"/>
        <v>y</v>
      </c>
      <c r="COQ1" s="154" t="str">
        <f t="shared" si="37"/>
        <v>y</v>
      </c>
      <c r="COR1" s="154" t="str">
        <f t="shared" ref="COR1:CRC1" si="38">COR2&amp;"y"</f>
        <v>y</v>
      </c>
      <c r="COS1" s="154" t="str">
        <f t="shared" si="38"/>
        <v>y</v>
      </c>
      <c r="COT1" s="154" t="str">
        <f t="shared" si="38"/>
        <v>y</v>
      </c>
      <c r="COU1" s="154" t="str">
        <f t="shared" si="38"/>
        <v>y</v>
      </c>
      <c r="COV1" s="154" t="str">
        <f t="shared" si="38"/>
        <v>y</v>
      </c>
      <c r="COW1" s="154" t="str">
        <f t="shared" si="38"/>
        <v>y</v>
      </c>
      <c r="COX1" s="154" t="str">
        <f t="shared" si="38"/>
        <v>y</v>
      </c>
      <c r="COY1" s="154" t="str">
        <f t="shared" si="38"/>
        <v>y</v>
      </c>
      <c r="COZ1" s="154" t="str">
        <f t="shared" si="38"/>
        <v>y</v>
      </c>
      <c r="CPA1" s="154" t="str">
        <f t="shared" si="38"/>
        <v>y</v>
      </c>
      <c r="CPB1" s="154" t="str">
        <f t="shared" si="38"/>
        <v>y</v>
      </c>
      <c r="CPC1" s="154" t="str">
        <f t="shared" si="38"/>
        <v>y</v>
      </c>
      <c r="CPD1" s="154" t="str">
        <f t="shared" si="38"/>
        <v>y</v>
      </c>
      <c r="CPE1" s="154" t="str">
        <f t="shared" si="38"/>
        <v>y</v>
      </c>
      <c r="CPF1" s="154" t="str">
        <f t="shared" si="38"/>
        <v>y</v>
      </c>
      <c r="CPG1" s="154" t="str">
        <f t="shared" si="38"/>
        <v>y</v>
      </c>
      <c r="CPH1" s="154" t="str">
        <f t="shared" si="38"/>
        <v>y</v>
      </c>
      <c r="CPI1" s="154" t="str">
        <f t="shared" si="38"/>
        <v>y</v>
      </c>
      <c r="CPJ1" s="154" t="str">
        <f t="shared" si="38"/>
        <v>y</v>
      </c>
      <c r="CPK1" s="154" t="str">
        <f t="shared" si="38"/>
        <v>y</v>
      </c>
      <c r="CPL1" s="154" t="str">
        <f t="shared" si="38"/>
        <v>y</v>
      </c>
      <c r="CPM1" s="154" t="str">
        <f t="shared" si="38"/>
        <v>y</v>
      </c>
      <c r="CPN1" s="154" t="str">
        <f t="shared" si="38"/>
        <v>y</v>
      </c>
      <c r="CPO1" s="154" t="str">
        <f t="shared" si="38"/>
        <v>y</v>
      </c>
      <c r="CPP1" s="154" t="str">
        <f t="shared" si="38"/>
        <v>y</v>
      </c>
      <c r="CPQ1" s="154" t="str">
        <f t="shared" si="38"/>
        <v>y</v>
      </c>
      <c r="CPR1" s="154" t="str">
        <f t="shared" si="38"/>
        <v>y</v>
      </c>
      <c r="CPS1" s="154" t="str">
        <f t="shared" si="38"/>
        <v>y</v>
      </c>
      <c r="CPT1" s="154" t="str">
        <f t="shared" si="38"/>
        <v>y</v>
      </c>
      <c r="CPU1" s="154" t="str">
        <f t="shared" si="38"/>
        <v>y</v>
      </c>
      <c r="CPV1" s="154" t="str">
        <f t="shared" si="38"/>
        <v>y</v>
      </c>
      <c r="CPW1" s="154" t="str">
        <f t="shared" si="38"/>
        <v>y</v>
      </c>
      <c r="CPX1" s="154" t="str">
        <f t="shared" si="38"/>
        <v>y</v>
      </c>
      <c r="CPY1" s="154" t="str">
        <f t="shared" si="38"/>
        <v>y</v>
      </c>
      <c r="CPZ1" s="154" t="str">
        <f t="shared" si="38"/>
        <v>y</v>
      </c>
      <c r="CQA1" s="154" t="str">
        <f t="shared" si="38"/>
        <v>y</v>
      </c>
      <c r="CQB1" s="154" t="str">
        <f t="shared" si="38"/>
        <v>y</v>
      </c>
      <c r="CQC1" s="154" t="str">
        <f t="shared" si="38"/>
        <v>y</v>
      </c>
      <c r="CQD1" s="154" t="str">
        <f t="shared" si="38"/>
        <v>y</v>
      </c>
      <c r="CQE1" s="154" t="str">
        <f t="shared" si="38"/>
        <v>y</v>
      </c>
      <c r="CQF1" s="154" t="str">
        <f t="shared" si="38"/>
        <v>y</v>
      </c>
      <c r="CQG1" s="154" t="str">
        <f t="shared" si="38"/>
        <v>y</v>
      </c>
      <c r="CQH1" s="154" t="str">
        <f t="shared" si="38"/>
        <v>y</v>
      </c>
      <c r="CQI1" s="154" t="str">
        <f t="shared" si="38"/>
        <v>y</v>
      </c>
      <c r="CQJ1" s="154" t="str">
        <f t="shared" si="38"/>
        <v>y</v>
      </c>
      <c r="CQK1" s="154" t="str">
        <f t="shared" si="38"/>
        <v>y</v>
      </c>
      <c r="CQL1" s="154" t="str">
        <f t="shared" si="38"/>
        <v>y</v>
      </c>
      <c r="CQM1" s="154" t="str">
        <f t="shared" si="38"/>
        <v>y</v>
      </c>
      <c r="CQN1" s="154" t="str">
        <f t="shared" si="38"/>
        <v>y</v>
      </c>
      <c r="CQO1" s="154" t="str">
        <f t="shared" si="38"/>
        <v>y</v>
      </c>
      <c r="CQP1" s="154" t="str">
        <f t="shared" si="38"/>
        <v>y</v>
      </c>
      <c r="CQQ1" s="154" t="str">
        <f t="shared" si="38"/>
        <v>y</v>
      </c>
      <c r="CQR1" s="154" t="str">
        <f t="shared" si="38"/>
        <v>y</v>
      </c>
      <c r="CQS1" s="154" t="str">
        <f t="shared" si="38"/>
        <v>y</v>
      </c>
      <c r="CQT1" s="154" t="str">
        <f t="shared" si="38"/>
        <v>y</v>
      </c>
      <c r="CQU1" s="154" t="str">
        <f t="shared" si="38"/>
        <v>y</v>
      </c>
      <c r="CQV1" s="154" t="str">
        <f t="shared" si="38"/>
        <v>y</v>
      </c>
      <c r="CQW1" s="154" t="str">
        <f t="shared" si="38"/>
        <v>y</v>
      </c>
      <c r="CQX1" s="154" t="str">
        <f t="shared" si="38"/>
        <v>y</v>
      </c>
      <c r="CQY1" s="154" t="str">
        <f t="shared" si="38"/>
        <v>y</v>
      </c>
      <c r="CQZ1" s="154" t="str">
        <f t="shared" si="38"/>
        <v>y</v>
      </c>
      <c r="CRA1" s="154" t="str">
        <f t="shared" si="38"/>
        <v>y</v>
      </c>
      <c r="CRB1" s="154" t="str">
        <f t="shared" si="38"/>
        <v>y</v>
      </c>
      <c r="CRC1" s="154" t="str">
        <f t="shared" si="38"/>
        <v>y</v>
      </c>
      <c r="CRD1" s="154" t="str">
        <f t="shared" ref="CRD1:CTO1" si="39">CRD2&amp;"y"</f>
        <v>y</v>
      </c>
      <c r="CRE1" s="154" t="str">
        <f t="shared" si="39"/>
        <v>y</v>
      </c>
      <c r="CRF1" s="154" t="str">
        <f t="shared" si="39"/>
        <v>y</v>
      </c>
      <c r="CRG1" s="154" t="str">
        <f t="shared" si="39"/>
        <v>y</v>
      </c>
      <c r="CRH1" s="154" t="str">
        <f t="shared" si="39"/>
        <v>y</v>
      </c>
      <c r="CRI1" s="154" t="str">
        <f t="shared" si="39"/>
        <v>y</v>
      </c>
      <c r="CRJ1" s="154" t="str">
        <f t="shared" si="39"/>
        <v>y</v>
      </c>
      <c r="CRK1" s="154" t="str">
        <f t="shared" si="39"/>
        <v>y</v>
      </c>
      <c r="CRL1" s="154" t="str">
        <f t="shared" si="39"/>
        <v>y</v>
      </c>
      <c r="CRM1" s="154" t="str">
        <f t="shared" si="39"/>
        <v>y</v>
      </c>
      <c r="CRN1" s="154" t="str">
        <f t="shared" si="39"/>
        <v>y</v>
      </c>
      <c r="CRO1" s="154" t="str">
        <f t="shared" si="39"/>
        <v>y</v>
      </c>
      <c r="CRP1" s="154" t="str">
        <f t="shared" si="39"/>
        <v>y</v>
      </c>
      <c r="CRQ1" s="154" t="str">
        <f t="shared" si="39"/>
        <v>y</v>
      </c>
      <c r="CRR1" s="154" t="str">
        <f t="shared" si="39"/>
        <v>y</v>
      </c>
      <c r="CRS1" s="154" t="str">
        <f t="shared" si="39"/>
        <v>y</v>
      </c>
      <c r="CRT1" s="154" t="str">
        <f t="shared" si="39"/>
        <v>y</v>
      </c>
      <c r="CRU1" s="154" t="str">
        <f t="shared" si="39"/>
        <v>y</v>
      </c>
      <c r="CRV1" s="154" t="str">
        <f t="shared" si="39"/>
        <v>y</v>
      </c>
      <c r="CRW1" s="154" t="str">
        <f t="shared" si="39"/>
        <v>y</v>
      </c>
      <c r="CRX1" s="154" t="str">
        <f t="shared" si="39"/>
        <v>y</v>
      </c>
      <c r="CRY1" s="154" t="str">
        <f t="shared" si="39"/>
        <v>y</v>
      </c>
      <c r="CRZ1" s="154" t="str">
        <f t="shared" si="39"/>
        <v>y</v>
      </c>
      <c r="CSA1" s="154" t="str">
        <f t="shared" si="39"/>
        <v>y</v>
      </c>
      <c r="CSB1" s="154" t="str">
        <f t="shared" si="39"/>
        <v>y</v>
      </c>
      <c r="CSC1" s="154" t="str">
        <f t="shared" si="39"/>
        <v>y</v>
      </c>
      <c r="CSD1" s="154" t="str">
        <f t="shared" si="39"/>
        <v>y</v>
      </c>
      <c r="CSE1" s="154" t="str">
        <f t="shared" si="39"/>
        <v>y</v>
      </c>
      <c r="CSF1" s="154" t="str">
        <f t="shared" si="39"/>
        <v>y</v>
      </c>
      <c r="CSG1" s="154" t="str">
        <f t="shared" si="39"/>
        <v>y</v>
      </c>
      <c r="CSH1" s="154" t="str">
        <f t="shared" si="39"/>
        <v>y</v>
      </c>
      <c r="CSI1" s="154" t="str">
        <f t="shared" si="39"/>
        <v>y</v>
      </c>
      <c r="CSJ1" s="154" t="str">
        <f t="shared" si="39"/>
        <v>y</v>
      </c>
      <c r="CSK1" s="154" t="str">
        <f t="shared" si="39"/>
        <v>y</v>
      </c>
      <c r="CSL1" s="154" t="str">
        <f t="shared" si="39"/>
        <v>y</v>
      </c>
      <c r="CSM1" s="154" t="str">
        <f t="shared" si="39"/>
        <v>y</v>
      </c>
      <c r="CSN1" s="154" t="str">
        <f t="shared" si="39"/>
        <v>y</v>
      </c>
      <c r="CSO1" s="154" t="str">
        <f t="shared" si="39"/>
        <v>y</v>
      </c>
      <c r="CSP1" s="154" t="str">
        <f t="shared" si="39"/>
        <v>y</v>
      </c>
      <c r="CSQ1" s="154" t="str">
        <f t="shared" si="39"/>
        <v>y</v>
      </c>
      <c r="CSR1" s="154" t="str">
        <f t="shared" si="39"/>
        <v>y</v>
      </c>
      <c r="CSS1" s="154" t="str">
        <f t="shared" si="39"/>
        <v>y</v>
      </c>
      <c r="CST1" s="154" t="str">
        <f t="shared" si="39"/>
        <v>y</v>
      </c>
      <c r="CSU1" s="154" t="str">
        <f t="shared" si="39"/>
        <v>y</v>
      </c>
      <c r="CSV1" s="154" t="str">
        <f t="shared" si="39"/>
        <v>y</v>
      </c>
      <c r="CSW1" s="154" t="str">
        <f t="shared" si="39"/>
        <v>y</v>
      </c>
      <c r="CSX1" s="154" t="str">
        <f t="shared" si="39"/>
        <v>y</v>
      </c>
      <c r="CSY1" s="154" t="str">
        <f t="shared" si="39"/>
        <v>y</v>
      </c>
      <c r="CSZ1" s="154" t="str">
        <f t="shared" si="39"/>
        <v>y</v>
      </c>
      <c r="CTA1" s="154" t="str">
        <f t="shared" si="39"/>
        <v>y</v>
      </c>
      <c r="CTB1" s="154" t="str">
        <f t="shared" si="39"/>
        <v>y</v>
      </c>
      <c r="CTC1" s="154" t="str">
        <f t="shared" si="39"/>
        <v>y</v>
      </c>
      <c r="CTD1" s="154" t="str">
        <f t="shared" si="39"/>
        <v>y</v>
      </c>
      <c r="CTE1" s="154" t="str">
        <f t="shared" si="39"/>
        <v>y</v>
      </c>
      <c r="CTF1" s="154" t="str">
        <f t="shared" si="39"/>
        <v>y</v>
      </c>
      <c r="CTG1" s="154" t="str">
        <f t="shared" si="39"/>
        <v>y</v>
      </c>
      <c r="CTH1" s="154" t="str">
        <f t="shared" si="39"/>
        <v>y</v>
      </c>
      <c r="CTI1" s="154" t="str">
        <f t="shared" si="39"/>
        <v>y</v>
      </c>
      <c r="CTJ1" s="154" t="str">
        <f t="shared" si="39"/>
        <v>y</v>
      </c>
      <c r="CTK1" s="154" t="str">
        <f t="shared" si="39"/>
        <v>y</v>
      </c>
      <c r="CTL1" s="154" t="str">
        <f t="shared" si="39"/>
        <v>y</v>
      </c>
      <c r="CTM1" s="154" t="str">
        <f t="shared" si="39"/>
        <v>y</v>
      </c>
      <c r="CTN1" s="154" t="str">
        <f t="shared" si="39"/>
        <v>y</v>
      </c>
      <c r="CTO1" s="154" t="str">
        <f t="shared" si="39"/>
        <v>y</v>
      </c>
      <c r="CTP1" s="154" t="str">
        <f t="shared" ref="CTP1:CWA1" si="40">CTP2&amp;"y"</f>
        <v>y</v>
      </c>
      <c r="CTQ1" s="154" t="str">
        <f t="shared" si="40"/>
        <v>y</v>
      </c>
      <c r="CTR1" s="154" t="str">
        <f t="shared" si="40"/>
        <v>y</v>
      </c>
      <c r="CTS1" s="154" t="str">
        <f t="shared" si="40"/>
        <v>y</v>
      </c>
      <c r="CTT1" s="154" t="str">
        <f t="shared" si="40"/>
        <v>y</v>
      </c>
      <c r="CTU1" s="154" t="str">
        <f t="shared" si="40"/>
        <v>y</v>
      </c>
      <c r="CTV1" s="154" t="str">
        <f t="shared" si="40"/>
        <v>y</v>
      </c>
      <c r="CTW1" s="154" t="str">
        <f t="shared" si="40"/>
        <v>y</v>
      </c>
      <c r="CTX1" s="154" t="str">
        <f t="shared" si="40"/>
        <v>y</v>
      </c>
      <c r="CTY1" s="154" t="str">
        <f t="shared" si="40"/>
        <v>y</v>
      </c>
      <c r="CTZ1" s="154" t="str">
        <f t="shared" si="40"/>
        <v>y</v>
      </c>
      <c r="CUA1" s="154" t="str">
        <f t="shared" si="40"/>
        <v>y</v>
      </c>
      <c r="CUB1" s="154" t="str">
        <f t="shared" si="40"/>
        <v>y</v>
      </c>
      <c r="CUC1" s="154" t="str">
        <f t="shared" si="40"/>
        <v>y</v>
      </c>
      <c r="CUD1" s="154" t="str">
        <f t="shared" si="40"/>
        <v>y</v>
      </c>
      <c r="CUE1" s="154" t="str">
        <f t="shared" si="40"/>
        <v>y</v>
      </c>
      <c r="CUF1" s="154" t="str">
        <f t="shared" si="40"/>
        <v>y</v>
      </c>
      <c r="CUG1" s="154" t="str">
        <f t="shared" si="40"/>
        <v>y</v>
      </c>
      <c r="CUH1" s="154" t="str">
        <f t="shared" si="40"/>
        <v>y</v>
      </c>
      <c r="CUI1" s="154" t="str">
        <f t="shared" si="40"/>
        <v>y</v>
      </c>
      <c r="CUJ1" s="154" t="str">
        <f t="shared" si="40"/>
        <v>y</v>
      </c>
      <c r="CUK1" s="154" t="str">
        <f t="shared" si="40"/>
        <v>y</v>
      </c>
      <c r="CUL1" s="154" t="str">
        <f t="shared" si="40"/>
        <v>y</v>
      </c>
      <c r="CUM1" s="154" t="str">
        <f t="shared" si="40"/>
        <v>y</v>
      </c>
      <c r="CUN1" s="154" t="str">
        <f t="shared" si="40"/>
        <v>y</v>
      </c>
      <c r="CUO1" s="154" t="str">
        <f t="shared" si="40"/>
        <v>y</v>
      </c>
      <c r="CUP1" s="154" t="str">
        <f t="shared" si="40"/>
        <v>y</v>
      </c>
      <c r="CUQ1" s="154" t="str">
        <f t="shared" si="40"/>
        <v>y</v>
      </c>
      <c r="CUR1" s="154" t="str">
        <f t="shared" si="40"/>
        <v>y</v>
      </c>
      <c r="CUS1" s="154" t="str">
        <f t="shared" si="40"/>
        <v>y</v>
      </c>
      <c r="CUT1" s="154" t="str">
        <f t="shared" si="40"/>
        <v>y</v>
      </c>
      <c r="CUU1" s="154" t="str">
        <f t="shared" si="40"/>
        <v>y</v>
      </c>
      <c r="CUV1" s="154" t="str">
        <f t="shared" si="40"/>
        <v>y</v>
      </c>
      <c r="CUW1" s="154" t="str">
        <f t="shared" si="40"/>
        <v>y</v>
      </c>
      <c r="CUX1" s="154" t="str">
        <f t="shared" si="40"/>
        <v>y</v>
      </c>
      <c r="CUY1" s="154" t="str">
        <f t="shared" si="40"/>
        <v>y</v>
      </c>
      <c r="CUZ1" s="154" t="str">
        <f t="shared" si="40"/>
        <v>y</v>
      </c>
      <c r="CVA1" s="154" t="str">
        <f t="shared" si="40"/>
        <v>y</v>
      </c>
      <c r="CVB1" s="154" t="str">
        <f t="shared" si="40"/>
        <v>y</v>
      </c>
      <c r="CVC1" s="154" t="str">
        <f t="shared" si="40"/>
        <v>y</v>
      </c>
      <c r="CVD1" s="154" t="str">
        <f t="shared" si="40"/>
        <v>y</v>
      </c>
      <c r="CVE1" s="154" t="str">
        <f t="shared" si="40"/>
        <v>y</v>
      </c>
      <c r="CVF1" s="154" t="str">
        <f t="shared" si="40"/>
        <v>y</v>
      </c>
      <c r="CVG1" s="154" t="str">
        <f t="shared" si="40"/>
        <v>y</v>
      </c>
      <c r="CVH1" s="154" t="str">
        <f t="shared" si="40"/>
        <v>y</v>
      </c>
      <c r="CVI1" s="154" t="str">
        <f t="shared" si="40"/>
        <v>y</v>
      </c>
      <c r="CVJ1" s="154" t="str">
        <f t="shared" si="40"/>
        <v>y</v>
      </c>
      <c r="CVK1" s="154" t="str">
        <f t="shared" si="40"/>
        <v>y</v>
      </c>
      <c r="CVL1" s="154" t="str">
        <f t="shared" si="40"/>
        <v>y</v>
      </c>
      <c r="CVM1" s="154" t="str">
        <f t="shared" si="40"/>
        <v>y</v>
      </c>
      <c r="CVN1" s="154" t="str">
        <f t="shared" si="40"/>
        <v>y</v>
      </c>
      <c r="CVO1" s="154" t="str">
        <f t="shared" si="40"/>
        <v>y</v>
      </c>
      <c r="CVP1" s="154" t="str">
        <f t="shared" si="40"/>
        <v>y</v>
      </c>
      <c r="CVQ1" s="154" t="str">
        <f t="shared" si="40"/>
        <v>y</v>
      </c>
      <c r="CVR1" s="154" t="str">
        <f t="shared" si="40"/>
        <v>y</v>
      </c>
      <c r="CVS1" s="154" t="str">
        <f t="shared" si="40"/>
        <v>y</v>
      </c>
      <c r="CVT1" s="154" t="str">
        <f t="shared" si="40"/>
        <v>y</v>
      </c>
      <c r="CVU1" s="154" t="str">
        <f t="shared" si="40"/>
        <v>y</v>
      </c>
      <c r="CVV1" s="154" t="str">
        <f t="shared" si="40"/>
        <v>y</v>
      </c>
      <c r="CVW1" s="154" t="str">
        <f t="shared" si="40"/>
        <v>y</v>
      </c>
      <c r="CVX1" s="154" t="str">
        <f t="shared" si="40"/>
        <v>y</v>
      </c>
      <c r="CVY1" s="154" t="str">
        <f t="shared" si="40"/>
        <v>y</v>
      </c>
      <c r="CVZ1" s="154" t="str">
        <f t="shared" si="40"/>
        <v>y</v>
      </c>
      <c r="CWA1" s="154" t="str">
        <f t="shared" si="40"/>
        <v>y</v>
      </c>
      <c r="CWB1" s="154" t="str">
        <f t="shared" ref="CWB1:CYM1" si="41">CWB2&amp;"y"</f>
        <v>y</v>
      </c>
      <c r="CWC1" s="154" t="str">
        <f t="shared" si="41"/>
        <v>y</v>
      </c>
      <c r="CWD1" s="154" t="str">
        <f t="shared" si="41"/>
        <v>y</v>
      </c>
      <c r="CWE1" s="154" t="str">
        <f t="shared" si="41"/>
        <v>y</v>
      </c>
      <c r="CWF1" s="154" t="str">
        <f t="shared" si="41"/>
        <v>y</v>
      </c>
      <c r="CWG1" s="154" t="str">
        <f t="shared" si="41"/>
        <v>y</v>
      </c>
      <c r="CWH1" s="154" t="str">
        <f t="shared" si="41"/>
        <v>y</v>
      </c>
      <c r="CWI1" s="154" t="str">
        <f t="shared" si="41"/>
        <v>y</v>
      </c>
      <c r="CWJ1" s="154" t="str">
        <f t="shared" si="41"/>
        <v>y</v>
      </c>
      <c r="CWK1" s="154" t="str">
        <f t="shared" si="41"/>
        <v>y</v>
      </c>
      <c r="CWL1" s="154" t="str">
        <f t="shared" si="41"/>
        <v>y</v>
      </c>
      <c r="CWM1" s="154" t="str">
        <f t="shared" si="41"/>
        <v>y</v>
      </c>
      <c r="CWN1" s="154" t="str">
        <f t="shared" si="41"/>
        <v>y</v>
      </c>
      <c r="CWO1" s="154" t="str">
        <f t="shared" si="41"/>
        <v>y</v>
      </c>
      <c r="CWP1" s="154" t="str">
        <f t="shared" si="41"/>
        <v>y</v>
      </c>
      <c r="CWQ1" s="154" t="str">
        <f t="shared" si="41"/>
        <v>y</v>
      </c>
      <c r="CWR1" s="154" t="str">
        <f t="shared" si="41"/>
        <v>y</v>
      </c>
      <c r="CWS1" s="154" t="str">
        <f t="shared" si="41"/>
        <v>y</v>
      </c>
      <c r="CWT1" s="154" t="str">
        <f t="shared" si="41"/>
        <v>y</v>
      </c>
      <c r="CWU1" s="154" t="str">
        <f t="shared" si="41"/>
        <v>y</v>
      </c>
      <c r="CWV1" s="154" t="str">
        <f t="shared" si="41"/>
        <v>y</v>
      </c>
      <c r="CWW1" s="154" t="str">
        <f t="shared" si="41"/>
        <v>y</v>
      </c>
      <c r="CWX1" s="154" t="str">
        <f t="shared" si="41"/>
        <v>y</v>
      </c>
      <c r="CWY1" s="154" t="str">
        <f t="shared" si="41"/>
        <v>y</v>
      </c>
      <c r="CWZ1" s="154" t="str">
        <f t="shared" si="41"/>
        <v>y</v>
      </c>
      <c r="CXA1" s="154" t="str">
        <f t="shared" si="41"/>
        <v>y</v>
      </c>
      <c r="CXB1" s="154" t="str">
        <f t="shared" si="41"/>
        <v>y</v>
      </c>
      <c r="CXC1" s="154" t="str">
        <f t="shared" si="41"/>
        <v>y</v>
      </c>
      <c r="CXD1" s="154" t="str">
        <f t="shared" si="41"/>
        <v>y</v>
      </c>
      <c r="CXE1" s="154" t="str">
        <f t="shared" si="41"/>
        <v>y</v>
      </c>
      <c r="CXF1" s="154" t="str">
        <f t="shared" si="41"/>
        <v>y</v>
      </c>
      <c r="CXG1" s="154" t="str">
        <f t="shared" si="41"/>
        <v>y</v>
      </c>
      <c r="CXH1" s="154" t="str">
        <f t="shared" si="41"/>
        <v>y</v>
      </c>
      <c r="CXI1" s="154" t="str">
        <f t="shared" si="41"/>
        <v>y</v>
      </c>
      <c r="CXJ1" s="154" t="str">
        <f t="shared" si="41"/>
        <v>y</v>
      </c>
      <c r="CXK1" s="154" t="str">
        <f t="shared" si="41"/>
        <v>y</v>
      </c>
      <c r="CXL1" s="154" t="str">
        <f t="shared" si="41"/>
        <v>y</v>
      </c>
      <c r="CXM1" s="154" t="str">
        <f t="shared" si="41"/>
        <v>y</v>
      </c>
      <c r="CXN1" s="154" t="str">
        <f t="shared" si="41"/>
        <v>y</v>
      </c>
      <c r="CXO1" s="154" t="str">
        <f t="shared" si="41"/>
        <v>y</v>
      </c>
      <c r="CXP1" s="154" t="str">
        <f t="shared" si="41"/>
        <v>y</v>
      </c>
      <c r="CXQ1" s="154" t="str">
        <f t="shared" si="41"/>
        <v>y</v>
      </c>
      <c r="CXR1" s="154" t="str">
        <f t="shared" si="41"/>
        <v>y</v>
      </c>
      <c r="CXS1" s="154" t="str">
        <f t="shared" si="41"/>
        <v>y</v>
      </c>
      <c r="CXT1" s="154" t="str">
        <f t="shared" si="41"/>
        <v>y</v>
      </c>
      <c r="CXU1" s="154" t="str">
        <f t="shared" si="41"/>
        <v>y</v>
      </c>
      <c r="CXV1" s="154" t="str">
        <f t="shared" si="41"/>
        <v>y</v>
      </c>
      <c r="CXW1" s="154" t="str">
        <f t="shared" si="41"/>
        <v>y</v>
      </c>
      <c r="CXX1" s="154" t="str">
        <f t="shared" si="41"/>
        <v>y</v>
      </c>
      <c r="CXY1" s="154" t="str">
        <f t="shared" si="41"/>
        <v>y</v>
      </c>
      <c r="CXZ1" s="154" t="str">
        <f t="shared" si="41"/>
        <v>y</v>
      </c>
      <c r="CYA1" s="154" t="str">
        <f t="shared" si="41"/>
        <v>y</v>
      </c>
      <c r="CYB1" s="154" t="str">
        <f t="shared" si="41"/>
        <v>y</v>
      </c>
      <c r="CYC1" s="154" t="str">
        <f t="shared" si="41"/>
        <v>y</v>
      </c>
      <c r="CYD1" s="154" t="str">
        <f t="shared" si="41"/>
        <v>y</v>
      </c>
      <c r="CYE1" s="154" t="str">
        <f t="shared" si="41"/>
        <v>y</v>
      </c>
      <c r="CYF1" s="154" t="str">
        <f t="shared" si="41"/>
        <v>y</v>
      </c>
      <c r="CYG1" s="154" t="str">
        <f t="shared" si="41"/>
        <v>y</v>
      </c>
      <c r="CYH1" s="154" t="str">
        <f t="shared" si="41"/>
        <v>y</v>
      </c>
      <c r="CYI1" s="154" t="str">
        <f t="shared" si="41"/>
        <v>y</v>
      </c>
      <c r="CYJ1" s="154" t="str">
        <f t="shared" si="41"/>
        <v>y</v>
      </c>
      <c r="CYK1" s="154" t="str">
        <f t="shared" si="41"/>
        <v>y</v>
      </c>
      <c r="CYL1" s="154" t="str">
        <f t="shared" si="41"/>
        <v>y</v>
      </c>
      <c r="CYM1" s="154" t="str">
        <f t="shared" si="41"/>
        <v>y</v>
      </c>
      <c r="CYN1" s="154" t="str">
        <f t="shared" ref="CYN1:DAY1" si="42">CYN2&amp;"y"</f>
        <v>y</v>
      </c>
      <c r="CYO1" s="154" t="str">
        <f t="shared" si="42"/>
        <v>y</v>
      </c>
      <c r="CYP1" s="154" t="str">
        <f t="shared" si="42"/>
        <v>y</v>
      </c>
      <c r="CYQ1" s="154" t="str">
        <f t="shared" si="42"/>
        <v>y</v>
      </c>
      <c r="CYR1" s="154" t="str">
        <f t="shared" si="42"/>
        <v>y</v>
      </c>
      <c r="CYS1" s="154" t="str">
        <f t="shared" si="42"/>
        <v>y</v>
      </c>
      <c r="CYT1" s="154" t="str">
        <f t="shared" si="42"/>
        <v>y</v>
      </c>
      <c r="CYU1" s="154" t="str">
        <f t="shared" si="42"/>
        <v>y</v>
      </c>
      <c r="CYV1" s="154" t="str">
        <f t="shared" si="42"/>
        <v>y</v>
      </c>
      <c r="CYW1" s="154" t="str">
        <f t="shared" si="42"/>
        <v>y</v>
      </c>
      <c r="CYX1" s="154" t="str">
        <f t="shared" si="42"/>
        <v>y</v>
      </c>
      <c r="CYY1" s="154" t="str">
        <f t="shared" si="42"/>
        <v>y</v>
      </c>
      <c r="CYZ1" s="154" t="str">
        <f t="shared" si="42"/>
        <v>y</v>
      </c>
      <c r="CZA1" s="154" t="str">
        <f t="shared" si="42"/>
        <v>y</v>
      </c>
      <c r="CZB1" s="154" t="str">
        <f t="shared" si="42"/>
        <v>y</v>
      </c>
      <c r="CZC1" s="154" t="str">
        <f t="shared" si="42"/>
        <v>y</v>
      </c>
      <c r="CZD1" s="154" t="str">
        <f t="shared" si="42"/>
        <v>y</v>
      </c>
      <c r="CZE1" s="154" t="str">
        <f t="shared" si="42"/>
        <v>y</v>
      </c>
      <c r="CZF1" s="154" t="str">
        <f t="shared" si="42"/>
        <v>y</v>
      </c>
      <c r="CZG1" s="154" t="str">
        <f t="shared" si="42"/>
        <v>y</v>
      </c>
      <c r="CZH1" s="154" t="str">
        <f t="shared" si="42"/>
        <v>y</v>
      </c>
      <c r="CZI1" s="154" t="str">
        <f t="shared" si="42"/>
        <v>y</v>
      </c>
      <c r="CZJ1" s="154" t="str">
        <f t="shared" si="42"/>
        <v>y</v>
      </c>
      <c r="CZK1" s="154" t="str">
        <f t="shared" si="42"/>
        <v>y</v>
      </c>
      <c r="CZL1" s="154" t="str">
        <f t="shared" si="42"/>
        <v>y</v>
      </c>
      <c r="CZM1" s="154" t="str">
        <f t="shared" si="42"/>
        <v>y</v>
      </c>
      <c r="CZN1" s="154" t="str">
        <f t="shared" si="42"/>
        <v>y</v>
      </c>
      <c r="CZO1" s="154" t="str">
        <f t="shared" si="42"/>
        <v>y</v>
      </c>
      <c r="CZP1" s="154" t="str">
        <f t="shared" si="42"/>
        <v>y</v>
      </c>
      <c r="CZQ1" s="154" t="str">
        <f t="shared" si="42"/>
        <v>y</v>
      </c>
      <c r="CZR1" s="154" t="str">
        <f t="shared" si="42"/>
        <v>y</v>
      </c>
      <c r="CZS1" s="154" t="str">
        <f t="shared" si="42"/>
        <v>y</v>
      </c>
      <c r="CZT1" s="154" t="str">
        <f t="shared" si="42"/>
        <v>y</v>
      </c>
      <c r="CZU1" s="154" t="str">
        <f t="shared" si="42"/>
        <v>y</v>
      </c>
      <c r="CZV1" s="154" t="str">
        <f t="shared" si="42"/>
        <v>y</v>
      </c>
      <c r="CZW1" s="154" t="str">
        <f t="shared" si="42"/>
        <v>y</v>
      </c>
      <c r="CZX1" s="154" t="str">
        <f t="shared" si="42"/>
        <v>y</v>
      </c>
      <c r="CZY1" s="154" t="str">
        <f t="shared" si="42"/>
        <v>y</v>
      </c>
      <c r="CZZ1" s="154" t="str">
        <f t="shared" si="42"/>
        <v>y</v>
      </c>
      <c r="DAA1" s="154" t="str">
        <f t="shared" si="42"/>
        <v>y</v>
      </c>
      <c r="DAB1" s="154" t="str">
        <f t="shared" si="42"/>
        <v>y</v>
      </c>
      <c r="DAC1" s="154" t="str">
        <f t="shared" si="42"/>
        <v>y</v>
      </c>
      <c r="DAD1" s="154" t="str">
        <f t="shared" si="42"/>
        <v>y</v>
      </c>
      <c r="DAE1" s="154" t="str">
        <f t="shared" si="42"/>
        <v>y</v>
      </c>
      <c r="DAF1" s="154" t="str">
        <f t="shared" si="42"/>
        <v>y</v>
      </c>
      <c r="DAG1" s="154" t="str">
        <f t="shared" si="42"/>
        <v>y</v>
      </c>
      <c r="DAH1" s="154" t="str">
        <f t="shared" si="42"/>
        <v>y</v>
      </c>
      <c r="DAI1" s="154" t="str">
        <f t="shared" si="42"/>
        <v>y</v>
      </c>
      <c r="DAJ1" s="154" t="str">
        <f t="shared" si="42"/>
        <v>y</v>
      </c>
      <c r="DAK1" s="154" t="str">
        <f t="shared" si="42"/>
        <v>y</v>
      </c>
      <c r="DAL1" s="154" t="str">
        <f t="shared" si="42"/>
        <v>y</v>
      </c>
      <c r="DAM1" s="154" t="str">
        <f t="shared" si="42"/>
        <v>y</v>
      </c>
      <c r="DAN1" s="154" t="str">
        <f t="shared" si="42"/>
        <v>y</v>
      </c>
      <c r="DAO1" s="154" t="str">
        <f t="shared" si="42"/>
        <v>y</v>
      </c>
      <c r="DAP1" s="154" t="str">
        <f t="shared" si="42"/>
        <v>y</v>
      </c>
      <c r="DAQ1" s="154" t="str">
        <f t="shared" si="42"/>
        <v>y</v>
      </c>
      <c r="DAR1" s="154" t="str">
        <f t="shared" si="42"/>
        <v>y</v>
      </c>
      <c r="DAS1" s="154" t="str">
        <f t="shared" si="42"/>
        <v>y</v>
      </c>
      <c r="DAT1" s="154" t="str">
        <f t="shared" si="42"/>
        <v>y</v>
      </c>
      <c r="DAU1" s="154" t="str">
        <f t="shared" si="42"/>
        <v>y</v>
      </c>
      <c r="DAV1" s="154" t="str">
        <f t="shared" si="42"/>
        <v>y</v>
      </c>
      <c r="DAW1" s="154" t="str">
        <f t="shared" si="42"/>
        <v>y</v>
      </c>
      <c r="DAX1" s="154" t="str">
        <f t="shared" si="42"/>
        <v>y</v>
      </c>
      <c r="DAY1" s="154" t="str">
        <f t="shared" si="42"/>
        <v>y</v>
      </c>
      <c r="DAZ1" s="154" t="str">
        <f t="shared" ref="DAZ1:DDK1" si="43">DAZ2&amp;"y"</f>
        <v>y</v>
      </c>
      <c r="DBA1" s="154" t="str">
        <f t="shared" si="43"/>
        <v>y</v>
      </c>
      <c r="DBB1" s="154" t="str">
        <f t="shared" si="43"/>
        <v>y</v>
      </c>
      <c r="DBC1" s="154" t="str">
        <f t="shared" si="43"/>
        <v>y</v>
      </c>
      <c r="DBD1" s="154" t="str">
        <f t="shared" si="43"/>
        <v>y</v>
      </c>
      <c r="DBE1" s="154" t="str">
        <f t="shared" si="43"/>
        <v>y</v>
      </c>
      <c r="DBF1" s="154" t="str">
        <f t="shared" si="43"/>
        <v>y</v>
      </c>
      <c r="DBG1" s="154" t="str">
        <f t="shared" si="43"/>
        <v>y</v>
      </c>
      <c r="DBH1" s="154" t="str">
        <f t="shared" si="43"/>
        <v>y</v>
      </c>
      <c r="DBI1" s="154" t="str">
        <f t="shared" si="43"/>
        <v>y</v>
      </c>
      <c r="DBJ1" s="154" t="str">
        <f t="shared" si="43"/>
        <v>y</v>
      </c>
      <c r="DBK1" s="154" t="str">
        <f t="shared" si="43"/>
        <v>y</v>
      </c>
      <c r="DBL1" s="154" t="str">
        <f t="shared" si="43"/>
        <v>y</v>
      </c>
      <c r="DBM1" s="154" t="str">
        <f t="shared" si="43"/>
        <v>y</v>
      </c>
      <c r="DBN1" s="154" t="str">
        <f t="shared" si="43"/>
        <v>y</v>
      </c>
      <c r="DBO1" s="154" t="str">
        <f t="shared" si="43"/>
        <v>y</v>
      </c>
      <c r="DBP1" s="154" t="str">
        <f t="shared" si="43"/>
        <v>y</v>
      </c>
      <c r="DBQ1" s="154" t="str">
        <f t="shared" si="43"/>
        <v>y</v>
      </c>
      <c r="DBR1" s="154" t="str">
        <f t="shared" si="43"/>
        <v>y</v>
      </c>
      <c r="DBS1" s="154" t="str">
        <f t="shared" si="43"/>
        <v>y</v>
      </c>
      <c r="DBT1" s="154" t="str">
        <f t="shared" si="43"/>
        <v>y</v>
      </c>
      <c r="DBU1" s="154" t="str">
        <f t="shared" si="43"/>
        <v>y</v>
      </c>
      <c r="DBV1" s="154" t="str">
        <f t="shared" si="43"/>
        <v>y</v>
      </c>
      <c r="DBW1" s="154" t="str">
        <f t="shared" si="43"/>
        <v>y</v>
      </c>
      <c r="DBX1" s="154" t="str">
        <f t="shared" si="43"/>
        <v>y</v>
      </c>
      <c r="DBY1" s="154" t="str">
        <f t="shared" si="43"/>
        <v>y</v>
      </c>
      <c r="DBZ1" s="154" t="str">
        <f t="shared" si="43"/>
        <v>y</v>
      </c>
      <c r="DCA1" s="154" t="str">
        <f t="shared" si="43"/>
        <v>y</v>
      </c>
      <c r="DCB1" s="154" t="str">
        <f t="shared" si="43"/>
        <v>y</v>
      </c>
      <c r="DCC1" s="154" t="str">
        <f t="shared" si="43"/>
        <v>y</v>
      </c>
      <c r="DCD1" s="154" t="str">
        <f t="shared" si="43"/>
        <v>y</v>
      </c>
      <c r="DCE1" s="154" t="str">
        <f t="shared" si="43"/>
        <v>y</v>
      </c>
      <c r="DCF1" s="154" t="str">
        <f t="shared" si="43"/>
        <v>y</v>
      </c>
      <c r="DCG1" s="154" t="str">
        <f t="shared" si="43"/>
        <v>y</v>
      </c>
      <c r="DCH1" s="154" t="str">
        <f t="shared" si="43"/>
        <v>y</v>
      </c>
      <c r="DCI1" s="154" t="str">
        <f t="shared" si="43"/>
        <v>y</v>
      </c>
      <c r="DCJ1" s="154" t="str">
        <f t="shared" si="43"/>
        <v>y</v>
      </c>
      <c r="DCK1" s="154" t="str">
        <f t="shared" si="43"/>
        <v>y</v>
      </c>
      <c r="DCL1" s="154" t="str">
        <f t="shared" si="43"/>
        <v>y</v>
      </c>
      <c r="DCM1" s="154" t="str">
        <f t="shared" si="43"/>
        <v>y</v>
      </c>
      <c r="DCN1" s="154" t="str">
        <f t="shared" si="43"/>
        <v>y</v>
      </c>
      <c r="DCO1" s="154" t="str">
        <f t="shared" si="43"/>
        <v>y</v>
      </c>
      <c r="DCP1" s="154" t="str">
        <f t="shared" si="43"/>
        <v>y</v>
      </c>
      <c r="DCQ1" s="154" t="str">
        <f t="shared" si="43"/>
        <v>y</v>
      </c>
      <c r="DCR1" s="154" t="str">
        <f t="shared" si="43"/>
        <v>y</v>
      </c>
      <c r="DCS1" s="154" t="str">
        <f t="shared" si="43"/>
        <v>y</v>
      </c>
      <c r="DCT1" s="154" t="str">
        <f t="shared" si="43"/>
        <v>y</v>
      </c>
      <c r="DCU1" s="154" t="str">
        <f t="shared" si="43"/>
        <v>y</v>
      </c>
      <c r="DCV1" s="154" t="str">
        <f t="shared" si="43"/>
        <v>y</v>
      </c>
      <c r="DCW1" s="154" t="str">
        <f t="shared" si="43"/>
        <v>y</v>
      </c>
      <c r="DCX1" s="154" t="str">
        <f t="shared" si="43"/>
        <v>y</v>
      </c>
      <c r="DCY1" s="154" t="str">
        <f t="shared" si="43"/>
        <v>y</v>
      </c>
      <c r="DCZ1" s="154" t="str">
        <f t="shared" si="43"/>
        <v>y</v>
      </c>
      <c r="DDA1" s="154" t="str">
        <f t="shared" si="43"/>
        <v>y</v>
      </c>
      <c r="DDB1" s="154" t="str">
        <f t="shared" si="43"/>
        <v>y</v>
      </c>
      <c r="DDC1" s="154" t="str">
        <f t="shared" si="43"/>
        <v>y</v>
      </c>
      <c r="DDD1" s="154" t="str">
        <f t="shared" si="43"/>
        <v>y</v>
      </c>
      <c r="DDE1" s="154" t="str">
        <f t="shared" si="43"/>
        <v>y</v>
      </c>
      <c r="DDF1" s="154" t="str">
        <f t="shared" si="43"/>
        <v>y</v>
      </c>
      <c r="DDG1" s="154" t="str">
        <f t="shared" si="43"/>
        <v>y</v>
      </c>
      <c r="DDH1" s="154" t="str">
        <f t="shared" si="43"/>
        <v>y</v>
      </c>
      <c r="DDI1" s="154" t="str">
        <f t="shared" si="43"/>
        <v>y</v>
      </c>
      <c r="DDJ1" s="154" t="str">
        <f t="shared" si="43"/>
        <v>y</v>
      </c>
      <c r="DDK1" s="154" t="str">
        <f t="shared" si="43"/>
        <v>y</v>
      </c>
      <c r="DDL1" s="154" t="str">
        <f t="shared" ref="DDL1:DFW1" si="44">DDL2&amp;"y"</f>
        <v>y</v>
      </c>
      <c r="DDM1" s="154" t="str">
        <f t="shared" si="44"/>
        <v>y</v>
      </c>
      <c r="DDN1" s="154" t="str">
        <f t="shared" si="44"/>
        <v>y</v>
      </c>
      <c r="DDO1" s="154" t="str">
        <f t="shared" si="44"/>
        <v>y</v>
      </c>
      <c r="DDP1" s="154" t="str">
        <f t="shared" si="44"/>
        <v>y</v>
      </c>
      <c r="DDQ1" s="154" t="str">
        <f t="shared" si="44"/>
        <v>y</v>
      </c>
      <c r="DDR1" s="154" t="str">
        <f t="shared" si="44"/>
        <v>y</v>
      </c>
      <c r="DDS1" s="154" t="str">
        <f t="shared" si="44"/>
        <v>y</v>
      </c>
      <c r="DDT1" s="154" t="str">
        <f t="shared" si="44"/>
        <v>y</v>
      </c>
      <c r="DDU1" s="154" t="str">
        <f t="shared" si="44"/>
        <v>y</v>
      </c>
      <c r="DDV1" s="154" t="str">
        <f t="shared" si="44"/>
        <v>y</v>
      </c>
      <c r="DDW1" s="154" t="str">
        <f t="shared" si="44"/>
        <v>y</v>
      </c>
      <c r="DDX1" s="154" t="str">
        <f t="shared" si="44"/>
        <v>y</v>
      </c>
      <c r="DDY1" s="154" t="str">
        <f t="shared" si="44"/>
        <v>y</v>
      </c>
      <c r="DDZ1" s="154" t="str">
        <f t="shared" si="44"/>
        <v>y</v>
      </c>
      <c r="DEA1" s="154" t="str">
        <f t="shared" si="44"/>
        <v>y</v>
      </c>
      <c r="DEB1" s="154" t="str">
        <f t="shared" si="44"/>
        <v>y</v>
      </c>
      <c r="DEC1" s="154" t="str">
        <f t="shared" si="44"/>
        <v>y</v>
      </c>
      <c r="DED1" s="154" t="str">
        <f t="shared" si="44"/>
        <v>y</v>
      </c>
      <c r="DEE1" s="154" t="str">
        <f t="shared" si="44"/>
        <v>y</v>
      </c>
      <c r="DEF1" s="154" t="str">
        <f t="shared" si="44"/>
        <v>y</v>
      </c>
      <c r="DEG1" s="154" t="str">
        <f t="shared" si="44"/>
        <v>y</v>
      </c>
      <c r="DEH1" s="154" t="str">
        <f t="shared" si="44"/>
        <v>y</v>
      </c>
      <c r="DEI1" s="154" t="str">
        <f t="shared" si="44"/>
        <v>y</v>
      </c>
      <c r="DEJ1" s="154" t="str">
        <f t="shared" si="44"/>
        <v>y</v>
      </c>
      <c r="DEK1" s="154" t="str">
        <f t="shared" si="44"/>
        <v>y</v>
      </c>
      <c r="DEL1" s="154" t="str">
        <f t="shared" si="44"/>
        <v>y</v>
      </c>
      <c r="DEM1" s="154" t="str">
        <f t="shared" si="44"/>
        <v>y</v>
      </c>
      <c r="DEN1" s="154" t="str">
        <f t="shared" si="44"/>
        <v>y</v>
      </c>
      <c r="DEO1" s="154" t="str">
        <f t="shared" si="44"/>
        <v>y</v>
      </c>
      <c r="DEP1" s="154" t="str">
        <f t="shared" si="44"/>
        <v>y</v>
      </c>
      <c r="DEQ1" s="154" t="str">
        <f t="shared" si="44"/>
        <v>y</v>
      </c>
      <c r="DER1" s="154" t="str">
        <f t="shared" si="44"/>
        <v>y</v>
      </c>
      <c r="DES1" s="154" t="str">
        <f t="shared" si="44"/>
        <v>y</v>
      </c>
      <c r="DET1" s="154" t="str">
        <f t="shared" si="44"/>
        <v>y</v>
      </c>
      <c r="DEU1" s="154" t="str">
        <f t="shared" si="44"/>
        <v>y</v>
      </c>
      <c r="DEV1" s="154" t="str">
        <f t="shared" si="44"/>
        <v>y</v>
      </c>
      <c r="DEW1" s="154" t="str">
        <f t="shared" si="44"/>
        <v>y</v>
      </c>
      <c r="DEX1" s="154" t="str">
        <f t="shared" si="44"/>
        <v>y</v>
      </c>
      <c r="DEY1" s="154" t="str">
        <f t="shared" si="44"/>
        <v>y</v>
      </c>
      <c r="DEZ1" s="154" t="str">
        <f t="shared" si="44"/>
        <v>y</v>
      </c>
      <c r="DFA1" s="154" t="str">
        <f t="shared" si="44"/>
        <v>y</v>
      </c>
      <c r="DFB1" s="154" t="str">
        <f t="shared" si="44"/>
        <v>y</v>
      </c>
      <c r="DFC1" s="154" t="str">
        <f t="shared" si="44"/>
        <v>y</v>
      </c>
      <c r="DFD1" s="154" t="str">
        <f t="shared" si="44"/>
        <v>y</v>
      </c>
      <c r="DFE1" s="154" t="str">
        <f t="shared" si="44"/>
        <v>y</v>
      </c>
      <c r="DFF1" s="154" t="str">
        <f t="shared" si="44"/>
        <v>y</v>
      </c>
      <c r="DFG1" s="154" t="str">
        <f t="shared" si="44"/>
        <v>y</v>
      </c>
      <c r="DFH1" s="154" t="str">
        <f t="shared" si="44"/>
        <v>y</v>
      </c>
      <c r="DFI1" s="154" t="str">
        <f t="shared" si="44"/>
        <v>y</v>
      </c>
      <c r="DFJ1" s="154" t="str">
        <f t="shared" si="44"/>
        <v>y</v>
      </c>
      <c r="DFK1" s="154" t="str">
        <f t="shared" si="44"/>
        <v>y</v>
      </c>
      <c r="DFL1" s="154" t="str">
        <f t="shared" si="44"/>
        <v>y</v>
      </c>
      <c r="DFM1" s="154" t="str">
        <f t="shared" si="44"/>
        <v>y</v>
      </c>
      <c r="DFN1" s="154" t="str">
        <f t="shared" si="44"/>
        <v>y</v>
      </c>
      <c r="DFO1" s="154" t="str">
        <f t="shared" si="44"/>
        <v>y</v>
      </c>
      <c r="DFP1" s="154" t="str">
        <f t="shared" si="44"/>
        <v>y</v>
      </c>
      <c r="DFQ1" s="154" t="str">
        <f t="shared" si="44"/>
        <v>y</v>
      </c>
      <c r="DFR1" s="154" t="str">
        <f t="shared" si="44"/>
        <v>y</v>
      </c>
      <c r="DFS1" s="154" t="str">
        <f t="shared" si="44"/>
        <v>y</v>
      </c>
      <c r="DFT1" s="154" t="str">
        <f t="shared" si="44"/>
        <v>y</v>
      </c>
      <c r="DFU1" s="154" t="str">
        <f t="shared" si="44"/>
        <v>y</v>
      </c>
      <c r="DFV1" s="154" t="str">
        <f t="shared" si="44"/>
        <v>y</v>
      </c>
      <c r="DFW1" s="154" t="str">
        <f t="shared" si="44"/>
        <v>y</v>
      </c>
      <c r="DFX1" s="154" t="str">
        <f t="shared" ref="DFX1:DII1" si="45">DFX2&amp;"y"</f>
        <v>y</v>
      </c>
      <c r="DFY1" s="154" t="str">
        <f t="shared" si="45"/>
        <v>y</v>
      </c>
      <c r="DFZ1" s="154" t="str">
        <f t="shared" si="45"/>
        <v>y</v>
      </c>
      <c r="DGA1" s="154" t="str">
        <f t="shared" si="45"/>
        <v>y</v>
      </c>
      <c r="DGB1" s="154" t="str">
        <f t="shared" si="45"/>
        <v>y</v>
      </c>
      <c r="DGC1" s="154" t="str">
        <f t="shared" si="45"/>
        <v>y</v>
      </c>
      <c r="DGD1" s="154" t="str">
        <f t="shared" si="45"/>
        <v>y</v>
      </c>
      <c r="DGE1" s="154" t="str">
        <f t="shared" si="45"/>
        <v>y</v>
      </c>
      <c r="DGF1" s="154" t="str">
        <f t="shared" si="45"/>
        <v>y</v>
      </c>
      <c r="DGG1" s="154" t="str">
        <f t="shared" si="45"/>
        <v>y</v>
      </c>
      <c r="DGH1" s="154" t="str">
        <f t="shared" si="45"/>
        <v>y</v>
      </c>
      <c r="DGI1" s="154" t="str">
        <f t="shared" si="45"/>
        <v>y</v>
      </c>
      <c r="DGJ1" s="154" t="str">
        <f t="shared" si="45"/>
        <v>y</v>
      </c>
      <c r="DGK1" s="154" t="str">
        <f t="shared" si="45"/>
        <v>y</v>
      </c>
      <c r="DGL1" s="154" t="str">
        <f t="shared" si="45"/>
        <v>y</v>
      </c>
      <c r="DGM1" s="154" t="str">
        <f t="shared" si="45"/>
        <v>y</v>
      </c>
      <c r="DGN1" s="154" t="str">
        <f t="shared" si="45"/>
        <v>y</v>
      </c>
      <c r="DGO1" s="154" t="str">
        <f t="shared" si="45"/>
        <v>y</v>
      </c>
      <c r="DGP1" s="154" t="str">
        <f t="shared" si="45"/>
        <v>y</v>
      </c>
      <c r="DGQ1" s="154" t="str">
        <f t="shared" si="45"/>
        <v>y</v>
      </c>
      <c r="DGR1" s="154" t="str">
        <f t="shared" si="45"/>
        <v>y</v>
      </c>
      <c r="DGS1" s="154" t="str">
        <f t="shared" si="45"/>
        <v>y</v>
      </c>
      <c r="DGT1" s="154" t="str">
        <f t="shared" si="45"/>
        <v>y</v>
      </c>
      <c r="DGU1" s="154" t="str">
        <f t="shared" si="45"/>
        <v>y</v>
      </c>
      <c r="DGV1" s="154" t="str">
        <f t="shared" si="45"/>
        <v>y</v>
      </c>
      <c r="DGW1" s="154" t="str">
        <f t="shared" si="45"/>
        <v>y</v>
      </c>
      <c r="DGX1" s="154" t="str">
        <f t="shared" si="45"/>
        <v>y</v>
      </c>
      <c r="DGY1" s="154" t="str">
        <f t="shared" si="45"/>
        <v>y</v>
      </c>
      <c r="DGZ1" s="154" t="str">
        <f t="shared" si="45"/>
        <v>y</v>
      </c>
      <c r="DHA1" s="154" t="str">
        <f t="shared" si="45"/>
        <v>y</v>
      </c>
      <c r="DHB1" s="154" t="str">
        <f t="shared" si="45"/>
        <v>y</v>
      </c>
      <c r="DHC1" s="154" t="str">
        <f t="shared" si="45"/>
        <v>y</v>
      </c>
      <c r="DHD1" s="154" t="str">
        <f t="shared" si="45"/>
        <v>y</v>
      </c>
      <c r="DHE1" s="154" t="str">
        <f t="shared" si="45"/>
        <v>y</v>
      </c>
      <c r="DHF1" s="154" t="str">
        <f t="shared" si="45"/>
        <v>y</v>
      </c>
      <c r="DHG1" s="154" t="str">
        <f t="shared" si="45"/>
        <v>y</v>
      </c>
      <c r="DHH1" s="154" t="str">
        <f t="shared" si="45"/>
        <v>y</v>
      </c>
      <c r="DHI1" s="154" t="str">
        <f t="shared" si="45"/>
        <v>y</v>
      </c>
      <c r="DHJ1" s="154" t="str">
        <f t="shared" si="45"/>
        <v>y</v>
      </c>
      <c r="DHK1" s="154" t="str">
        <f t="shared" si="45"/>
        <v>y</v>
      </c>
      <c r="DHL1" s="154" t="str">
        <f t="shared" si="45"/>
        <v>y</v>
      </c>
      <c r="DHM1" s="154" t="str">
        <f t="shared" si="45"/>
        <v>y</v>
      </c>
      <c r="DHN1" s="154" t="str">
        <f t="shared" si="45"/>
        <v>y</v>
      </c>
      <c r="DHO1" s="154" t="str">
        <f t="shared" si="45"/>
        <v>y</v>
      </c>
      <c r="DHP1" s="154" t="str">
        <f t="shared" si="45"/>
        <v>y</v>
      </c>
      <c r="DHQ1" s="154" t="str">
        <f t="shared" si="45"/>
        <v>y</v>
      </c>
      <c r="DHR1" s="154" t="str">
        <f t="shared" si="45"/>
        <v>y</v>
      </c>
      <c r="DHS1" s="154" t="str">
        <f t="shared" si="45"/>
        <v>y</v>
      </c>
      <c r="DHT1" s="154" t="str">
        <f t="shared" si="45"/>
        <v>y</v>
      </c>
      <c r="DHU1" s="154" t="str">
        <f t="shared" si="45"/>
        <v>y</v>
      </c>
      <c r="DHV1" s="154" t="str">
        <f t="shared" si="45"/>
        <v>y</v>
      </c>
      <c r="DHW1" s="154" t="str">
        <f t="shared" si="45"/>
        <v>y</v>
      </c>
      <c r="DHX1" s="154" t="str">
        <f t="shared" si="45"/>
        <v>y</v>
      </c>
      <c r="DHY1" s="154" t="str">
        <f t="shared" si="45"/>
        <v>y</v>
      </c>
      <c r="DHZ1" s="154" t="str">
        <f t="shared" si="45"/>
        <v>y</v>
      </c>
      <c r="DIA1" s="154" t="str">
        <f t="shared" si="45"/>
        <v>y</v>
      </c>
      <c r="DIB1" s="154" t="str">
        <f t="shared" si="45"/>
        <v>y</v>
      </c>
      <c r="DIC1" s="154" t="str">
        <f t="shared" si="45"/>
        <v>y</v>
      </c>
      <c r="DID1" s="154" t="str">
        <f t="shared" si="45"/>
        <v>y</v>
      </c>
      <c r="DIE1" s="154" t="str">
        <f t="shared" si="45"/>
        <v>y</v>
      </c>
      <c r="DIF1" s="154" t="str">
        <f t="shared" si="45"/>
        <v>y</v>
      </c>
      <c r="DIG1" s="154" t="str">
        <f t="shared" si="45"/>
        <v>y</v>
      </c>
      <c r="DIH1" s="154" t="str">
        <f t="shared" si="45"/>
        <v>y</v>
      </c>
      <c r="DII1" s="154" t="str">
        <f t="shared" si="45"/>
        <v>y</v>
      </c>
      <c r="DIJ1" s="154" t="str">
        <f t="shared" ref="DIJ1:DKU1" si="46">DIJ2&amp;"y"</f>
        <v>y</v>
      </c>
      <c r="DIK1" s="154" t="str">
        <f t="shared" si="46"/>
        <v>y</v>
      </c>
      <c r="DIL1" s="154" t="str">
        <f t="shared" si="46"/>
        <v>y</v>
      </c>
      <c r="DIM1" s="154" t="str">
        <f t="shared" si="46"/>
        <v>y</v>
      </c>
      <c r="DIN1" s="154" t="str">
        <f t="shared" si="46"/>
        <v>y</v>
      </c>
      <c r="DIO1" s="154" t="str">
        <f t="shared" si="46"/>
        <v>y</v>
      </c>
      <c r="DIP1" s="154" t="str">
        <f t="shared" si="46"/>
        <v>y</v>
      </c>
      <c r="DIQ1" s="154" t="str">
        <f t="shared" si="46"/>
        <v>y</v>
      </c>
      <c r="DIR1" s="154" t="str">
        <f t="shared" si="46"/>
        <v>y</v>
      </c>
      <c r="DIS1" s="154" t="str">
        <f t="shared" si="46"/>
        <v>y</v>
      </c>
      <c r="DIT1" s="154" t="str">
        <f t="shared" si="46"/>
        <v>y</v>
      </c>
      <c r="DIU1" s="154" t="str">
        <f t="shared" si="46"/>
        <v>y</v>
      </c>
      <c r="DIV1" s="154" t="str">
        <f t="shared" si="46"/>
        <v>y</v>
      </c>
      <c r="DIW1" s="154" t="str">
        <f t="shared" si="46"/>
        <v>y</v>
      </c>
      <c r="DIX1" s="154" t="str">
        <f t="shared" si="46"/>
        <v>y</v>
      </c>
      <c r="DIY1" s="154" t="str">
        <f t="shared" si="46"/>
        <v>y</v>
      </c>
      <c r="DIZ1" s="154" t="str">
        <f t="shared" si="46"/>
        <v>y</v>
      </c>
      <c r="DJA1" s="154" t="str">
        <f t="shared" si="46"/>
        <v>y</v>
      </c>
      <c r="DJB1" s="154" t="str">
        <f t="shared" si="46"/>
        <v>y</v>
      </c>
      <c r="DJC1" s="154" t="str">
        <f t="shared" si="46"/>
        <v>y</v>
      </c>
      <c r="DJD1" s="154" t="str">
        <f t="shared" si="46"/>
        <v>y</v>
      </c>
      <c r="DJE1" s="154" t="str">
        <f t="shared" si="46"/>
        <v>y</v>
      </c>
      <c r="DJF1" s="154" t="str">
        <f t="shared" si="46"/>
        <v>y</v>
      </c>
      <c r="DJG1" s="154" t="str">
        <f t="shared" si="46"/>
        <v>y</v>
      </c>
      <c r="DJH1" s="154" t="str">
        <f t="shared" si="46"/>
        <v>y</v>
      </c>
      <c r="DJI1" s="154" t="str">
        <f t="shared" si="46"/>
        <v>y</v>
      </c>
      <c r="DJJ1" s="154" t="str">
        <f t="shared" si="46"/>
        <v>y</v>
      </c>
      <c r="DJK1" s="154" t="str">
        <f t="shared" si="46"/>
        <v>y</v>
      </c>
      <c r="DJL1" s="154" t="str">
        <f t="shared" si="46"/>
        <v>y</v>
      </c>
      <c r="DJM1" s="154" t="str">
        <f t="shared" si="46"/>
        <v>y</v>
      </c>
      <c r="DJN1" s="154" t="str">
        <f t="shared" si="46"/>
        <v>y</v>
      </c>
      <c r="DJO1" s="154" t="str">
        <f t="shared" si="46"/>
        <v>y</v>
      </c>
      <c r="DJP1" s="154" t="str">
        <f t="shared" si="46"/>
        <v>y</v>
      </c>
      <c r="DJQ1" s="154" t="str">
        <f t="shared" si="46"/>
        <v>y</v>
      </c>
      <c r="DJR1" s="154" t="str">
        <f t="shared" si="46"/>
        <v>y</v>
      </c>
      <c r="DJS1" s="154" t="str">
        <f t="shared" si="46"/>
        <v>y</v>
      </c>
      <c r="DJT1" s="154" t="str">
        <f t="shared" si="46"/>
        <v>y</v>
      </c>
      <c r="DJU1" s="154" t="str">
        <f t="shared" si="46"/>
        <v>y</v>
      </c>
      <c r="DJV1" s="154" t="str">
        <f t="shared" si="46"/>
        <v>y</v>
      </c>
      <c r="DJW1" s="154" t="str">
        <f t="shared" si="46"/>
        <v>y</v>
      </c>
      <c r="DJX1" s="154" t="str">
        <f t="shared" si="46"/>
        <v>y</v>
      </c>
      <c r="DJY1" s="154" t="str">
        <f t="shared" si="46"/>
        <v>y</v>
      </c>
      <c r="DJZ1" s="154" t="str">
        <f t="shared" si="46"/>
        <v>y</v>
      </c>
      <c r="DKA1" s="154" t="str">
        <f t="shared" si="46"/>
        <v>y</v>
      </c>
      <c r="DKB1" s="154" t="str">
        <f t="shared" si="46"/>
        <v>y</v>
      </c>
      <c r="DKC1" s="154" t="str">
        <f t="shared" si="46"/>
        <v>y</v>
      </c>
      <c r="DKD1" s="154" t="str">
        <f t="shared" si="46"/>
        <v>y</v>
      </c>
      <c r="DKE1" s="154" t="str">
        <f t="shared" si="46"/>
        <v>y</v>
      </c>
      <c r="DKF1" s="154" t="str">
        <f t="shared" si="46"/>
        <v>y</v>
      </c>
      <c r="DKG1" s="154" t="str">
        <f t="shared" si="46"/>
        <v>y</v>
      </c>
      <c r="DKH1" s="154" t="str">
        <f t="shared" si="46"/>
        <v>y</v>
      </c>
      <c r="DKI1" s="154" t="str">
        <f t="shared" si="46"/>
        <v>y</v>
      </c>
      <c r="DKJ1" s="154" t="str">
        <f t="shared" si="46"/>
        <v>y</v>
      </c>
      <c r="DKK1" s="154" t="str">
        <f t="shared" si="46"/>
        <v>y</v>
      </c>
      <c r="DKL1" s="154" t="str">
        <f t="shared" si="46"/>
        <v>y</v>
      </c>
      <c r="DKM1" s="154" t="str">
        <f t="shared" si="46"/>
        <v>y</v>
      </c>
      <c r="DKN1" s="154" t="str">
        <f t="shared" si="46"/>
        <v>y</v>
      </c>
      <c r="DKO1" s="154" t="str">
        <f t="shared" si="46"/>
        <v>y</v>
      </c>
      <c r="DKP1" s="154" t="str">
        <f t="shared" si="46"/>
        <v>y</v>
      </c>
      <c r="DKQ1" s="154" t="str">
        <f t="shared" si="46"/>
        <v>y</v>
      </c>
      <c r="DKR1" s="154" t="str">
        <f t="shared" si="46"/>
        <v>y</v>
      </c>
      <c r="DKS1" s="154" t="str">
        <f t="shared" si="46"/>
        <v>y</v>
      </c>
      <c r="DKT1" s="154" t="str">
        <f t="shared" si="46"/>
        <v>y</v>
      </c>
      <c r="DKU1" s="154" t="str">
        <f t="shared" si="46"/>
        <v>y</v>
      </c>
      <c r="DKV1" s="154" t="str">
        <f t="shared" ref="DKV1:DNG1" si="47">DKV2&amp;"y"</f>
        <v>y</v>
      </c>
      <c r="DKW1" s="154" t="str">
        <f t="shared" si="47"/>
        <v>y</v>
      </c>
      <c r="DKX1" s="154" t="str">
        <f t="shared" si="47"/>
        <v>y</v>
      </c>
      <c r="DKY1" s="154" t="str">
        <f t="shared" si="47"/>
        <v>y</v>
      </c>
      <c r="DKZ1" s="154" t="str">
        <f t="shared" si="47"/>
        <v>y</v>
      </c>
      <c r="DLA1" s="154" t="str">
        <f t="shared" si="47"/>
        <v>y</v>
      </c>
      <c r="DLB1" s="154" t="str">
        <f t="shared" si="47"/>
        <v>y</v>
      </c>
      <c r="DLC1" s="154" t="str">
        <f t="shared" si="47"/>
        <v>y</v>
      </c>
      <c r="DLD1" s="154" t="str">
        <f t="shared" si="47"/>
        <v>y</v>
      </c>
      <c r="DLE1" s="154" t="str">
        <f t="shared" si="47"/>
        <v>y</v>
      </c>
      <c r="DLF1" s="154" t="str">
        <f t="shared" si="47"/>
        <v>y</v>
      </c>
      <c r="DLG1" s="154" t="str">
        <f t="shared" si="47"/>
        <v>y</v>
      </c>
      <c r="DLH1" s="154" t="str">
        <f t="shared" si="47"/>
        <v>y</v>
      </c>
      <c r="DLI1" s="154" t="str">
        <f t="shared" si="47"/>
        <v>y</v>
      </c>
      <c r="DLJ1" s="154" t="str">
        <f t="shared" si="47"/>
        <v>y</v>
      </c>
      <c r="DLK1" s="154" t="str">
        <f t="shared" si="47"/>
        <v>y</v>
      </c>
      <c r="DLL1" s="154" t="str">
        <f t="shared" si="47"/>
        <v>y</v>
      </c>
      <c r="DLM1" s="154" t="str">
        <f t="shared" si="47"/>
        <v>y</v>
      </c>
      <c r="DLN1" s="154" t="str">
        <f t="shared" si="47"/>
        <v>y</v>
      </c>
      <c r="DLO1" s="154" t="str">
        <f t="shared" si="47"/>
        <v>y</v>
      </c>
      <c r="DLP1" s="154" t="str">
        <f t="shared" si="47"/>
        <v>y</v>
      </c>
      <c r="DLQ1" s="154" t="str">
        <f t="shared" si="47"/>
        <v>y</v>
      </c>
      <c r="DLR1" s="154" t="str">
        <f t="shared" si="47"/>
        <v>y</v>
      </c>
      <c r="DLS1" s="154" t="str">
        <f t="shared" si="47"/>
        <v>y</v>
      </c>
      <c r="DLT1" s="154" t="str">
        <f t="shared" si="47"/>
        <v>y</v>
      </c>
      <c r="DLU1" s="154" t="str">
        <f t="shared" si="47"/>
        <v>y</v>
      </c>
      <c r="DLV1" s="154" t="str">
        <f t="shared" si="47"/>
        <v>y</v>
      </c>
      <c r="DLW1" s="154" t="str">
        <f t="shared" si="47"/>
        <v>y</v>
      </c>
      <c r="DLX1" s="154" t="str">
        <f t="shared" si="47"/>
        <v>y</v>
      </c>
      <c r="DLY1" s="154" t="str">
        <f t="shared" si="47"/>
        <v>y</v>
      </c>
      <c r="DLZ1" s="154" t="str">
        <f t="shared" si="47"/>
        <v>y</v>
      </c>
      <c r="DMA1" s="154" t="str">
        <f t="shared" si="47"/>
        <v>y</v>
      </c>
      <c r="DMB1" s="154" t="str">
        <f t="shared" si="47"/>
        <v>y</v>
      </c>
      <c r="DMC1" s="154" t="str">
        <f t="shared" si="47"/>
        <v>y</v>
      </c>
      <c r="DMD1" s="154" t="str">
        <f t="shared" si="47"/>
        <v>y</v>
      </c>
      <c r="DME1" s="154" t="str">
        <f t="shared" si="47"/>
        <v>y</v>
      </c>
      <c r="DMF1" s="154" t="str">
        <f t="shared" si="47"/>
        <v>y</v>
      </c>
      <c r="DMG1" s="154" t="str">
        <f t="shared" si="47"/>
        <v>y</v>
      </c>
      <c r="DMH1" s="154" t="str">
        <f t="shared" si="47"/>
        <v>y</v>
      </c>
      <c r="DMI1" s="154" t="str">
        <f t="shared" si="47"/>
        <v>y</v>
      </c>
      <c r="DMJ1" s="154" t="str">
        <f t="shared" si="47"/>
        <v>y</v>
      </c>
      <c r="DMK1" s="154" t="str">
        <f t="shared" si="47"/>
        <v>y</v>
      </c>
      <c r="DML1" s="154" t="str">
        <f t="shared" si="47"/>
        <v>y</v>
      </c>
      <c r="DMM1" s="154" t="str">
        <f t="shared" si="47"/>
        <v>y</v>
      </c>
      <c r="DMN1" s="154" t="str">
        <f t="shared" si="47"/>
        <v>y</v>
      </c>
      <c r="DMO1" s="154" t="str">
        <f t="shared" si="47"/>
        <v>y</v>
      </c>
      <c r="DMP1" s="154" t="str">
        <f t="shared" si="47"/>
        <v>y</v>
      </c>
      <c r="DMQ1" s="154" t="str">
        <f t="shared" si="47"/>
        <v>y</v>
      </c>
      <c r="DMR1" s="154" t="str">
        <f t="shared" si="47"/>
        <v>y</v>
      </c>
      <c r="DMS1" s="154" t="str">
        <f t="shared" si="47"/>
        <v>y</v>
      </c>
      <c r="DMT1" s="154" t="str">
        <f t="shared" si="47"/>
        <v>y</v>
      </c>
      <c r="DMU1" s="154" t="str">
        <f t="shared" si="47"/>
        <v>y</v>
      </c>
      <c r="DMV1" s="154" t="str">
        <f t="shared" si="47"/>
        <v>y</v>
      </c>
      <c r="DMW1" s="154" t="str">
        <f t="shared" si="47"/>
        <v>y</v>
      </c>
      <c r="DMX1" s="154" t="str">
        <f t="shared" si="47"/>
        <v>y</v>
      </c>
      <c r="DMY1" s="154" t="str">
        <f t="shared" si="47"/>
        <v>y</v>
      </c>
      <c r="DMZ1" s="154" t="str">
        <f t="shared" si="47"/>
        <v>y</v>
      </c>
      <c r="DNA1" s="154" t="str">
        <f t="shared" si="47"/>
        <v>y</v>
      </c>
      <c r="DNB1" s="154" t="str">
        <f t="shared" si="47"/>
        <v>y</v>
      </c>
      <c r="DNC1" s="154" t="str">
        <f t="shared" si="47"/>
        <v>y</v>
      </c>
      <c r="DND1" s="154" t="str">
        <f t="shared" si="47"/>
        <v>y</v>
      </c>
      <c r="DNE1" s="154" t="str">
        <f t="shared" si="47"/>
        <v>y</v>
      </c>
      <c r="DNF1" s="154" t="str">
        <f t="shared" si="47"/>
        <v>y</v>
      </c>
      <c r="DNG1" s="154" t="str">
        <f t="shared" si="47"/>
        <v>y</v>
      </c>
      <c r="DNH1" s="154" t="str">
        <f t="shared" ref="DNH1:DPS1" si="48">DNH2&amp;"y"</f>
        <v>y</v>
      </c>
      <c r="DNI1" s="154" t="str">
        <f t="shared" si="48"/>
        <v>y</v>
      </c>
      <c r="DNJ1" s="154" t="str">
        <f t="shared" si="48"/>
        <v>y</v>
      </c>
      <c r="DNK1" s="154" t="str">
        <f t="shared" si="48"/>
        <v>y</v>
      </c>
      <c r="DNL1" s="154" t="str">
        <f t="shared" si="48"/>
        <v>y</v>
      </c>
      <c r="DNM1" s="154" t="str">
        <f t="shared" si="48"/>
        <v>y</v>
      </c>
      <c r="DNN1" s="154" t="str">
        <f t="shared" si="48"/>
        <v>y</v>
      </c>
      <c r="DNO1" s="154" t="str">
        <f t="shared" si="48"/>
        <v>y</v>
      </c>
      <c r="DNP1" s="154" t="str">
        <f t="shared" si="48"/>
        <v>y</v>
      </c>
      <c r="DNQ1" s="154" t="str">
        <f t="shared" si="48"/>
        <v>y</v>
      </c>
      <c r="DNR1" s="154" t="str">
        <f t="shared" si="48"/>
        <v>y</v>
      </c>
      <c r="DNS1" s="154" t="str">
        <f t="shared" si="48"/>
        <v>y</v>
      </c>
      <c r="DNT1" s="154" t="str">
        <f t="shared" si="48"/>
        <v>y</v>
      </c>
      <c r="DNU1" s="154" t="str">
        <f t="shared" si="48"/>
        <v>y</v>
      </c>
      <c r="DNV1" s="154" t="str">
        <f t="shared" si="48"/>
        <v>y</v>
      </c>
      <c r="DNW1" s="154" t="str">
        <f t="shared" si="48"/>
        <v>y</v>
      </c>
      <c r="DNX1" s="154" t="str">
        <f t="shared" si="48"/>
        <v>y</v>
      </c>
      <c r="DNY1" s="154" t="str">
        <f t="shared" si="48"/>
        <v>y</v>
      </c>
      <c r="DNZ1" s="154" t="str">
        <f t="shared" si="48"/>
        <v>y</v>
      </c>
      <c r="DOA1" s="154" t="str">
        <f t="shared" si="48"/>
        <v>y</v>
      </c>
      <c r="DOB1" s="154" t="str">
        <f t="shared" si="48"/>
        <v>y</v>
      </c>
      <c r="DOC1" s="154" t="str">
        <f t="shared" si="48"/>
        <v>y</v>
      </c>
      <c r="DOD1" s="154" t="str">
        <f t="shared" si="48"/>
        <v>y</v>
      </c>
      <c r="DOE1" s="154" t="str">
        <f t="shared" si="48"/>
        <v>y</v>
      </c>
      <c r="DOF1" s="154" t="str">
        <f t="shared" si="48"/>
        <v>y</v>
      </c>
      <c r="DOG1" s="154" t="str">
        <f t="shared" si="48"/>
        <v>y</v>
      </c>
      <c r="DOH1" s="154" t="str">
        <f t="shared" si="48"/>
        <v>y</v>
      </c>
      <c r="DOI1" s="154" t="str">
        <f t="shared" si="48"/>
        <v>y</v>
      </c>
      <c r="DOJ1" s="154" t="str">
        <f t="shared" si="48"/>
        <v>y</v>
      </c>
      <c r="DOK1" s="154" t="str">
        <f t="shared" si="48"/>
        <v>y</v>
      </c>
      <c r="DOL1" s="154" t="str">
        <f t="shared" si="48"/>
        <v>y</v>
      </c>
      <c r="DOM1" s="154" t="str">
        <f t="shared" si="48"/>
        <v>y</v>
      </c>
      <c r="DON1" s="154" t="str">
        <f t="shared" si="48"/>
        <v>y</v>
      </c>
      <c r="DOO1" s="154" t="str">
        <f t="shared" si="48"/>
        <v>y</v>
      </c>
      <c r="DOP1" s="154" t="str">
        <f t="shared" si="48"/>
        <v>y</v>
      </c>
      <c r="DOQ1" s="154" t="str">
        <f t="shared" si="48"/>
        <v>y</v>
      </c>
      <c r="DOR1" s="154" t="str">
        <f t="shared" si="48"/>
        <v>y</v>
      </c>
      <c r="DOS1" s="154" t="str">
        <f t="shared" si="48"/>
        <v>y</v>
      </c>
      <c r="DOT1" s="154" t="str">
        <f t="shared" si="48"/>
        <v>y</v>
      </c>
      <c r="DOU1" s="154" t="str">
        <f t="shared" si="48"/>
        <v>y</v>
      </c>
      <c r="DOV1" s="154" t="str">
        <f t="shared" si="48"/>
        <v>y</v>
      </c>
      <c r="DOW1" s="154" t="str">
        <f t="shared" si="48"/>
        <v>y</v>
      </c>
      <c r="DOX1" s="154" t="str">
        <f t="shared" si="48"/>
        <v>y</v>
      </c>
      <c r="DOY1" s="154" t="str">
        <f t="shared" si="48"/>
        <v>y</v>
      </c>
      <c r="DOZ1" s="154" t="str">
        <f t="shared" si="48"/>
        <v>y</v>
      </c>
      <c r="DPA1" s="154" t="str">
        <f t="shared" si="48"/>
        <v>y</v>
      </c>
      <c r="DPB1" s="154" t="str">
        <f t="shared" si="48"/>
        <v>y</v>
      </c>
      <c r="DPC1" s="154" t="str">
        <f t="shared" si="48"/>
        <v>y</v>
      </c>
      <c r="DPD1" s="154" t="str">
        <f t="shared" si="48"/>
        <v>y</v>
      </c>
      <c r="DPE1" s="154" t="str">
        <f t="shared" si="48"/>
        <v>y</v>
      </c>
      <c r="DPF1" s="154" t="str">
        <f t="shared" si="48"/>
        <v>y</v>
      </c>
      <c r="DPG1" s="154" t="str">
        <f t="shared" si="48"/>
        <v>y</v>
      </c>
      <c r="DPH1" s="154" t="str">
        <f t="shared" si="48"/>
        <v>y</v>
      </c>
      <c r="DPI1" s="154" t="str">
        <f t="shared" si="48"/>
        <v>y</v>
      </c>
      <c r="DPJ1" s="154" t="str">
        <f t="shared" si="48"/>
        <v>y</v>
      </c>
      <c r="DPK1" s="154" t="str">
        <f t="shared" si="48"/>
        <v>y</v>
      </c>
      <c r="DPL1" s="154" t="str">
        <f t="shared" si="48"/>
        <v>y</v>
      </c>
      <c r="DPM1" s="154" t="str">
        <f t="shared" si="48"/>
        <v>y</v>
      </c>
      <c r="DPN1" s="154" t="str">
        <f t="shared" si="48"/>
        <v>y</v>
      </c>
      <c r="DPO1" s="154" t="str">
        <f t="shared" si="48"/>
        <v>y</v>
      </c>
      <c r="DPP1" s="154" t="str">
        <f t="shared" si="48"/>
        <v>y</v>
      </c>
      <c r="DPQ1" s="154" t="str">
        <f t="shared" si="48"/>
        <v>y</v>
      </c>
      <c r="DPR1" s="154" t="str">
        <f t="shared" si="48"/>
        <v>y</v>
      </c>
      <c r="DPS1" s="154" t="str">
        <f t="shared" si="48"/>
        <v>y</v>
      </c>
      <c r="DPT1" s="154" t="str">
        <f t="shared" ref="DPT1:DSE1" si="49">DPT2&amp;"y"</f>
        <v>y</v>
      </c>
      <c r="DPU1" s="154" t="str">
        <f t="shared" si="49"/>
        <v>y</v>
      </c>
      <c r="DPV1" s="154" t="str">
        <f t="shared" si="49"/>
        <v>y</v>
      </c>
      <c r="DPW1" s="154" t="str">
        <f t="shared" si="49"/>
        <v>y</v>
      </c>
      <c r="DPX1" s="154" t="str">
        <f t="shared" si="49"/>
        <v>y</v>
      </c>
      <c r="DPY1" s="154" t="str">
        <f t="shared" si="49"/>
        <v>y</v>
      </c>
      <c r="DPZ1" s="154" t="str">
        <f t="shared" si="49"/>
        <v>y</v>
      </c>
      <c r="DQA1" s="154" t="str">
        <f t="shared" si="49"/>
        <v>y</v>
      </c>
      <c r="DQB1" s="154" t="str">
        <f t="shared" si="49"/>
        <v>y</v>
      </c>
      <c r="DQC1" s="154" t="str">
        <f t="shared" si="49"/>
        <v>y</v>
      </c>
      <c r="DQD1" s="154" t="str">
        <f t="shared" si="49"/>
        <v>y</v>
      </c>
      <c r="DQE1" s="154" t="str">
        <f t="shared" si="49"/>
        <v>y</v>
      </c>
      <c r="DQF1" s="154" t="str">
        <f t="shared" si="49"/>
        <v>y</v>
      </c>
      <c r="DQG1" s="154" t="str">
        <f t="shared" si="49"/>
        <v>y</v>
      </c>
      <c r="DQH1" s="154" t="str">
        <f t="shared" si="49"/>
        <v>y</v>
      </c>
      <c r="DQI1" s="154" t="str">
        <f t="shared" si="49"/>
        <v>y</v>
      </c>
      <c r="DQJ1" s="154" t="str">
        <f t="shared" si="49"/>
        <v>y</v>
      </c>
      <c r="DQK1" s="154" t="str">
        <f t="shared" si="49"/>
        <v>y</v>
      </c>
      <c r="DQL1" s="154" t="str">
        <f t="shared" si="49"/>
        <v>y</v>
      </c>
      <c r="DQM1" s="154" t="str">
        <f t="shared" si="49"/>
        <v>y</v>
      </c>
      <c r="DQN1" s="154" t="str">
        <f t="shared" si="49"/>
        <v>y</v>
      </c>
      <c r="DQO1" s="154" t="str">
        <f t="shared" si="49"/>
        <v>y</v>
      </c>
      <c r="DQP1" s="154" t="str">
        <f t="shared" si="49"/>
        <v>y</v>
      </c>
      <c r="DQQ1" s="154" t="str">
        <f t="shared" si="49"/>
        <v>y</v>
      </c>
      <c r="DQR1" s="154" t="str">
        <f t="shared" si="49"/>
        <v>y</v>
      </c>
      <c r="DQS1" s="154" t="str">
        <f t="shared" si="49"/>
        <v>y</v>
      </c>
      <c r="DQT1" s="154" t="str">
        <f t="shared" si="49"/>
        <v>y</v>
      </c>
      <c r="DQU1" s="154" t="str">
        <f t="shared" si="49"/>
        <v>y</v>
      </c>
      <c r="DQV1" s="154" t="str">
        <f t="shared" si="49"/>
        <v>y</v>
      </c>
      <c r="DQW1" s="154" t="str">
        <f t="shared" si="49"/>
        <v>y</v>
      </c>
      <c r="DQX1" s="154" t="str">
        <f t="shared" si="49"/>
        <v>y</v>
      </c>
      <c r="DQY1" s="154" t="str">
        <f t="shared" si="49"/>
        <v>y</v>
      </c>
      <c r="DQZ1" s="154" t="str">
        <f t="shared" si="49"/>
        <v>y</v>
      </c>
      <c r="DRA1" s="154" t="str">
        <f t="shared" si="49"/>
        <v>y</v>
      </c>
      <c r="DRB1" s="154" t="str">
        <f t="shared" si="49"/>
        <v>y</v>
      </c>
      <c r="DRC1" s="154" t="str">
        <f t="shared" si="49"/>
        <v>y</v>
      </c>
      <c r="DRD1" s="154" t="str">
        <f t="shared" si="49"/>
        <v>y</v>
      </c>
      <c r="DRE1" s="154" t="str">
        <f t="shared" si="49"/>
        <v>y</v>
      </c>
      <c r="DRF1" s="154" t="str">
        <f t="shared" si="49"/>
        <v>y</v>
      </c>
      <c r="DRG1" s="154" t="str">
        <f t="shared" si="49"/>
        <v>y</v>
      </c>
      <c r="DRH1" s="154" t="str">
        <f t="shared" si="49"/>
        <v>y</v>
      </c>
      <c r="DRI1" s="154" t="str">
        <f t="shared" si="49"/>
        <v>y</v>
      </c>
      <c r="DRJ1" s="154" t="str">
        <f t="shared" si="49"/>
        <v>y</v>
      </c>
      <c r="DRK1" s="154" t="str">
        <f t="shared" si="49"/>
        <v>y</v>
      </c>
      <c r="DRL1" s="154" t="str">
        <f t="shared" si="49"/>
        <v>y</v>
      </c>
      <c r="DRM1" s="154" t="str">
        <f t="shared" si="49"/>
        <v>y</v>
      </c>
      <c r="DRN1" s="154" t="str">
        <f t="shared" si="49"/>
        <v>y</v>
      </c>
      <c r="DRO1" s="154" t="str">
        <f t="shared" si="49"/>
        <v>y</v>
      </c>
      <c r="DRP1" s="154" t="str">
        <f t="shared" si="49"/>
        <v>y</v>
      </c>
      <c r="DRQ1" s="154" t="str">
        <f t="shared" si="49"/>
        <v>y</v>
      </c>
      <c r="DRR1" s="154" t="str">
        <f t="shared" si="49"/>
        <v>y</v>
      </c>
      <c r="DRS1" s="154" t="str">
        <f t="shared" si="49"/>
        <v>y</v>
      </c>
      <c r="DRT1" s="154" t="str">
        <f t="shared" si="49"/>
        <v>y</v>
      </c>
      <c r="DRU1" s="154" t="str">
        <f t="shared" si="49"/>
        <v>y</v>
      </c>
      <c r="DRV1" s="154" t="str">
        <f t="shared" si="49"/>
        <v>y</v>
      </c>
      <c r="DRW1" s="154" t="str">
        <f t="shared" si="49"/>
        <v>y</v>
      </c>
      <c r="DRX1" s="154" t="str">
        <f t="shared" si="49"/>
        <v>y</v>
      </c>
      <c r="DRY1" s="154" t="str">
        <f t="shared" si="49"/>
        <v>y</v>
      </c>
      <c r="DRZ1" s="154" t="str">
        <f t="shared" si="49"/>
        <v>y</v>
      </c>
      <c r="DSA1" s="154" t="str">
        <f t="shared" si="49"/>
        <v>y</v>
      </c>
      <c r="DSB1" s="154" t="str">
        <f t="shared" si="49"/>
        <v>y</v>
      </c>
      <c r="DSC1" s="154" t="str">
        <f t="shared" si="49"/>
        <v>y</v>
      </c>
      <c r="DSD1" s="154" t="str">
        <f t="shared" si="49"/>
        <v>y</v>
      </c>
      <c r="DSE1" s="154" t="str">
        <f t="shared" si="49"/>
        <v>y</v>
      </c>
      <c r="DSF1" s="154" t="str">
        <f t="shared" ref="DSF1:DUQ1" si="50">DSF2&amp;"y"</f>
        <v>y</v>
      </c>
      <c r="DSG1" s="154" t="str">
        <f t="shared" si="50"/>
        <v>y</v>
      </c>
      <c r="DSH1" s="154" t="str">
        <f t="shared" si="50"/>
        <v>y</v>
      </c>
      <c r="DSI1" s="154" t="str">
        <f t="shared" si="50"/>
        <v>y</v>
      </c>
      <c r="DSJ1" s="154" t="str">
        <f t="shared" si="50"/>
        <v>y</v>
      </c>
      <c r="DSK1" s="154" t="str">
        <f t="shared" si="50"/>
        <v>y</v>
      </c>
      <c r="DSL1" s="154" t="str">
        <f t="shared" si="50"/>
        <v>y</v>
      </c>
      <c r="DSM1" s="154" t="str">
        <f t="shared" si="50"/>
        <v>y</v>
      </c>
      <c r="DSN1" s="154" t="str">
        <f t="shared" si="50"/>
        <v>y</v>
      </c>
      <c r="DSO1" s="154" t="str">
        <f t="shared" si="50"/>
        <v>y</v>
      </c>
      <c r="DSP1" s="154" t="str">
        <f t="shared" si="50"/>
        <v>y</v>
      </c>
      <c r="DSQ1" s="154" t="str">
        <f t="shared" si="50"/>
        <v>y</v>
      </c>
      <c r="DSR1" s="154" t="str">
        <f t="shared" si="50"/>
        <v>y</v>
      </c>
      <c r="DSS1" s="154" t="str">
        <f t="shared" si="50"/>
        <v>y</v>
      </c>
      <c r="DST1" s="154" t="str">
        <f t="shared" si="50"/>
        <v>y</v>
      </c>
      <c r="DSU1" s="154" t="str">
        <f t="shared" si="50"/>
        <v>y</v>
      </c>
      <c r="DSV1" s="154" t="str">
        <f t="shared" si="50"/>
        <v>y</v>
      </c>
      <c r="DSW1" s="154" t="str">
        <f t="shared" si="50"/>
        <v>y</v>
      </c>
      <c r="DSX1" s="154" t="str">
        <f t="shared" si="50"/>
        <v>y</v>
      </c>
      <c r="DSY1" s="154" t="str">
        <f t="shared" si="50"/>
        <v>y</v>
      </c>
      <c r="DSZ1" s="154" t="str">
        <f t="shared" si="50"/>
        <v>y</v>
      </c>
      <c r="DTA1" s="154" t="str">
        <f t="shared" si="50"/>
        <v>y</v>
      </c>
      <c r="DTB1" s="154" t="str">
        <f t="shared" si="50"/>
        <v>y</v>
      </c>
      <c r="DTC1" s="154" t="str">
        <f t="shared" si="50"/>
        <v>y</v>
      </c>
      <c r="DTD1" s="154" t="str">
        <f t="shared" si="50"/>
        <v>y</v>
      </c>
      <c r="DTE1" s="154" t="str">
        <f t="shared" si="50"/>
        <v>y</v>
      </c>
      <c r="DTF1" s="154" t="str">
        <f t="shared" si="50"/>
        <v>y</v>
      </c>
      <c r="DTG1" s="154" t="str">
        <f t="shared" si="50"/>
        <v>y</v>
      </c>
      <c r="DTH1" s="154" t="str">
        <f t="shared" si="50"/>
        <v>y</v>
      </c>
      <c r="DTI1" s="154" t="str">
        <f t="shared" si="50"/>
        <v>y</v>
      </c>
      <c r="DTJ1" s="154" t="str">
        <f t="shared" si="50"/>
        <v>y</v>
      </c>
      <c r="DTK1" s="154" t="str">
        <f t="shared" si="50"/>
        <v>y</v>
      </c>
      <c r="DTL1" s="154" t="str">
        <f t="shared" si="50"/>
        <v>y</v>
      </c>
      <c r="DTM1" s="154" t="str">
        <f t="shared" si="50"/>
        <v>y</v>
      </c>
      <c r="DTN1" s="154" t="str">
        <f t="shared" si="50"/>
        <v>y</v>
      </c>
      <c r="DTO1" s="154" t="str">
        <f t="shared" si="50"/>
        <v>y</v>
      </c>
      <c r="DTP1" s="154" t="str">
        <f t="shared" si="50"/>
        <v>y</v>
      </c>
      <c r="DTQ1" s="154" t="str">
        <f t="shared" si="50"/>
        <v>y</v>
      </c>
      <c r="DTR1" s="154" t="str">
        <f t="shared" si="50"/>
        <v>y</v>
      </c>
      <c r="DTS1" s="154" t="str">
        <f t="shared" si="50"/>
        <v>y</v>
      </c>
      <c r="DTT1" s="154" t="str">
        <f t="shared" si="50"/>
        <v>y</v>
      </c>
      <c r="DTU1" s="154" t="str">
        <f t="shared" si="50"/>
        <v>y</v>
      </c>
      <c r="DTV1" s="154" t="str">
        <f t="shared" si="50"/>
        <v>y</v>
      </c>
      <c r="DTW1" s="154" t="str">
        <f t="shared" si="50"/>
        <v>y</v>
      </c>
      <c r="DTX1" s="154" t="str">
        <f t="shared" si="50"/>
        <v>y</v>
      </c>
      <c r="DTY1" s="154" t="str">
        <f t="shared" si="50"/>
        <v>y</v>
      </c>
      <c r="DTZ1" s="154" t="str">
        <f t="shared" si="50"/>
        <v>y</v>
      </c>
      <c r="DUA1" s="154" t="str">
        <f t="shared" si="50"/>
        <v>y</v>
      </c>
      <c r="DUB1" s="154" t="str">
        <f t="shared" si="50"/>
        <v>y</v>
      </c>
      <c r="DUC1" s="154" t="str">
        <f t="shared" si="50"/>
        <v>y</v>
      </c>
      <c r="DUD1" s="154" t="str">
        <f t="shared" si="50"/>
        <v>y</v>
      </c>
      <c r="DUE1" s="154" t="str">
        <f t="shared" si="50"/>
        <v>y</v>
      </c>
      <c r="DUF1" s="154" t="str">
        <f t="shared" si="50"/>
        <v>y</v>
      </c>
      <c r="DUG1" s="154" t="str">
        <f t="shared" si="50"/>
        <v>y</v>
      </c>
      <c r="DUH1" s="154" t="str">
        <f t="shared" si="50"/>
        <v>y</v>
      </c>
      <c r="DUI1" s="154" t="str">
        <f t="shared" si="50"/>
        <v>y</v>
      </c>
      <c r="DUJ1" s="154" t="str">
        <f t="shared" si="50"/>
        <v>y</v>
      </c>
      <c r="DUK1" s="154" t="str">
        <f t="shared" si="50"/>
        <v>y</v>
      </c>
      <c r="DUL1" s="154" t="str">
        <f t="shared" si="50"/>
        <v>y</v>
      </c>
      <c r="DUM1" s="154" t="str">
        <f t="shared" si="50"/>
        <v>y</v>
      </c>
      <c r="DUN1" s="154" t="str">
        <f t="shared" si="50"/>
        <v>y</v>
      </c>
      <c r="DUO1" s="154" t="str">
        <f t="shared" si="50"/>
        <v>y</v>
      </c>
      <c r="DUP1" s="154" t="str">
        <f t="shared" si="50"/>
        <v>y</v>
      </c>
      <c r="DUQ1" s="154" t="str">
        <f t="shared" si="50"/>
        <v>y</v>
      </c>
      <c r="DUR1" s="154" t="str">
        <f t="shared" ref="DUR1:DXC1" si="51">DUR2&amp;"y"</f>
        <v>y</v>
      </c>
      <c r="DUS1" s="154" t="str">
        <f t="shared" si="51"/>
        <v>y</v>
      </c>
      <c r="DUT1" s="154" t="str">
        <f t="shared" si="51"/>
        <v>y</v>
      </c>
      <c r="DUU1" s="154" t="str">
        <f t="shared" si="51"/>
        <v>y</v>
      </c>
      <c r="DUV1" s="154" t="str">
        <f t="shared" si="51"/>
        <v>y</v>
      </c>
      <c r="DUW1" s="154" t="str">
        <f t="shared" si="51"/>
        <v>y</v>
      </c>
      <c r="DUX1" s="154" t="str">
        <f t="shared" si="51"/>
        <v>y</v>
      </c>
      <c r="DUY1" s="154" t="str">
        <f t="shared" si="51"/>
        <v>y</v>
      </c>
      <c r="DUZ1" s="154" t="str">
        <f t="shared" si="51"/>
        <v>y</v>
      </c>
      <c r="DVA1" s="154" t="str">
        <f t="shared" si="51"/>
        <v>y</v>
      </c>
      <c r="DVB1" s="154" t="str">
        <f t="shared" si="51"/>
        <v>y</v>
      </c>
      <c r="DVC1" s="154" t="str">
        <f t="shared" si="51"/>
        <v>y</v>
      </c>
      <c r="DVD1" s="154" t="str">
        <f t="shared" si="51"/>
        <v>y</v>
      </c>
      <c r="DVE1" s="154" t="str">
        <f t="shared" si="51"/>
        <v>y</v>
      </c>
      <c r="DVF1" s="154" t="str">
        <f t="shared" si="51"/>
        <v>y</v>
      </c>
      <c r="DVG1" s="154" t="str">
        <f t="shared" si="51"/>
        <v>y</v>
      </c>
      <c r="DVH1" s="154" t="str">
        <f t="shared" si="51"/>
        <v>y</v>
      </c>
      <c r="DVI1" s="154" t="str">
        <f t="shared" si="51"/>
        <v>y</v>
      </c>
      <c r="DVJ1" s="154" t="str">
        <f t="shared" si="51"/>
        <v>y</v>
      </c>
      <c r="DVK1" s="154" t="str">
        <f t="shared" si="51"/>
        <v>y</v>
      </c>
      <c r="DVL1" s="154" t="str">
        <f t="shared" si="51"/>
        <v>y</v>
      </c>
      <c r="DVM1" s="154" t="str">
        <f t="shared" si="51"/>
        <v>y</v>
      </c>
      <c r="DVN1" s="154" t="str">
        <f t="shared" si="51"/>
        <v>y</v>
      </c>
      <c r="DVO1" s="154" t="str">
        <f t="shared" si="51"/>
        <v>y</v>
      </c>
      <c r="DVP1" s="154" t="str">
        <f t="shared" si="51"/>
        <v>y</v>
      </c>
      <c r="DVQ1" s="154" t="str">
        <f t="shared" si="51"/>
        <v>y</v>
      </c>
      <c r="DVR1" s="154" t="str">
        <f t="shared" si="51"/>
        <v>y</v>
      </c>
      <c r="DVS1" s="154" t="str">
        <f t="shared" si="51"/>
        <v>y</v>
      </c>
      <c r="DVT1" s="154" t="str">
        <f t="shared" si="51"/>
        <v>y</v>
      </c>
      <c r="DVU1" s="154" t="str">
        <f t="shared" si="51"/>
        <v>y</v>
      </c>
      <c r="DVV1" s="154" t="str">
        <f t="shared" si="51"/>
        <v>y</v>
      </c>
      <c r="DVW1" s="154" t="str">
        <f t="shared" si="51"/>
        <v>y</v>
      </c>
      <c r="DVX1" s="154" t="str">
        <f t="shared" si="51"/>
        <v>y</v>
      </c>
      <c r="DVY1" s="154" t="str">
        <f t="shared" si="51"/>
        <v>y</v>
      </c>
      <c r="DVZ1" s="154" t="str">
        <f t="shared" si="51"/>
        <v>y</v>
      </c>
      <c r="DWA1" s="154" t="str">
        <f t="shared" si="51"/>
        <v>y</v>
      </c>
      <c r="DWB1" s="154" t="str">
        <f t="shared" si="51"/>
        <v>y</v>
      </c>
      <c r="DWC1" s="154" t="str">
        <f t="shared" si="51"/>
        <v>y</v>
      </c>
      <c r="DWD1" s="154" t="str">
        <f t="shared" si="51"/>
        <v>y</v>
      </c>
      <c r="DWE1" s="154" t="str">
        <f t="shared" si="51"/>
        <v>y</v>
      </c>
      <c r="DWF1" s="154" t="str">
        <f t="shared" si="51"/>
        <v>y</v>
      </c>
      <c r="DWG1" s="154" t="str">
        <f t="shared" si="51"/>
        <v>y</v>
      </c>
      <c r="DWH1" s="154" t="str">
        <f t="shared" si="51"/>
        <v>y</v>
      </c>
      <c r="DWI1" s="154" t="str">
        <f t="shared" si="51"/>
        <v>y</v>
      </c>
      <c r="DWJ1" s="154" t="str">
        <f t="shared" si="51"/>
        <v>y</v>
      </c>
      <c r="DWK1" s="154" t="str">
        <f t="shared" si="51"/>
        <v>y</v>
      </c>
      <c r="DWL1" s="154" t="str">
        <f t="shared" si="51"/>
        <v>y</v>
      </c>
      <c r="DWM1" s="154" t="str">
        <f t="shared" si="51"/>
        <v>y</v>
      </c>
      <c r="DWN1" s="154" t="str">
        <f t="shared" si="51"/>
        <v>y</v>
      </c>
      <c r="DWO1" s="154" t="str">
        <f t="shared" si="51"/>
        <v>y</v>
      </c>
      <c r="DWP1" s="154" t="str">
        <f t="shared" si="51"/>
        <v>y</v>
      </c>
      <c r="DWQ1" s="154" t="str">
        <f t="shared" si="51"/>
        <v>y</v>
      </c>
      <c r="DWR1" s="154" t="str">
        <f t="shared" si="51"/>
        <v>y</v>
      </c>
      <c r="DWS1" s="154" t="str">
        <f t="shared" si="51"/>
        <v>y</v>
      </c>
      <c r="DWT1" s="154" t="str">
        <f t="shared" si="51"/>
        <v>y</v>
      </c>
      <c r="DWU1" s="154" t="str">
        <f t="shared" si="51"/>
        <v>y</v>
      </c>
      <c r="DWV1" s="154" t="str">
        <f t="shared" si="51"/>
        <v>y</v>
      </c>
      <c r="DWW1" s="154" t="str">
        <f t="shared" si="51"/>
        <v>y</v>
      </c>
      <c r="DWX1" s="154" t="str">
        <f t="shared" si="51"/>
        <v>y</v>
      </c>
      <c r="DWY1" s="154" t="str">
        <f t="shared" si="51"/>
        <v>y</v>
      </c>
      <c r="DWZ1" s="154" t="str">
        <f t="shared" si="51"/>
        <v>y</v>
      </c>
      <c r="DXA1" s="154" t="str">
        <f t="shared" si="51"/>
        <v>y</v>
      </c>
      <c r="DXB1" s="154" t="str">
        <f t="shared" si="51"/>
        <v>y</v>
      </c>
      <c r="DXC1" s="154" t="str">
        <f t="shared" si="51"/>
        <v>y</v>
      </c>
      <c r="DXD1" s="154" t="str">
        <f t="shared" ref="DXD1:DZO1" si="52">DXD2&amp;"y"</f>
        <v>y</v>
      </c>
      <c r="DXE1" s="154" t="str">
        <f t="shared" si="52"/>
        <v>y</v>
      </c>
      <c r="DXF1" s="154" t="str">
        <f t="shared" si="52"/>
        <v>y</v>
      </c>
      <c r="DXG1" s="154" t="str">
        <f t="shared" si="52"/>
        <v>y</v>
      </c>
      <c r="DXH1" s="154" t="str">
        <f t="shared" si="52"/>
        <v>y</v>
      </c>
      <c r="DXI1" s="154" t="str">
        <f t="shared" si="52"/>
        <v>y</v>
      </c>
      <c r="DXJ1" s="154" t="str">
        <f t="shared" si="52"/>
        <v>y</v>
      </c>
      <c r="DXK1" s="154" t="str">
        <f t="shared" si="52"/>
        <v>y</v>
      </c>
      <c r="DXL1" s="154" t="str">
        <f t="shared" si="52"/>
        <v>y</v>
      </c>
      <c r="DXM1" s="154" t="str">
        <f t="shared" si="52"/>
        <v>y</v>
      </c>
      <c r="DXN1" s="154" t="str">
        <f t="shared" si="52"/>
        <v>y</v>
      </c>
      <c r="DXO1" s="154" t="str">
        <f t="shared" si="52"/>
        <v>y</v>
      </c>
      <c r="DXP1" s="154" t="str">
        <f t="shared" si="52"/>
        <v>y</v>
      </c>
      <c r="DXQ1" s="154" t="str">
        <f t="shared" si="52"/>
        <v>y</v>
      </c>
      <c r="DXR1" s="154" t="str">
        <f t="shared" si="52"/>
        <v>y</v>
      </c>
      <c r="DXS1" s="154" t="str">
        <f t="shared" si="52"/>
        <v>y</v>
      </c>
      <c r="DXT1" s="154" t="str">
        <f t="shared" si="52"/>
        <v>y</v>
      </c>
      <c r="DXU1" s="154" t="str">
        <f t="shared" si="52"/>
        <v>y</v>
      </c>
      <c r="DXV1" s="154" t="str">
        <f t="shared" si="52"/>
        <v>y</v>
      </c>
      <c r="DXW1" s="154" t="str">
        <f t="shared" si="52"/>
        <v>y</v>
      </c>
      <c r="DXX1" s="154" t="str">
        <f t="shared" si="52"/>
        <v>y</v>
      </c>
      <c r="DXY1" s="154" t="str">
        <f t="shared" si="52"/>
        <v>y</v>
      </c>
      <c r="DXZ1" s="154" t="str">
        <f t="shared" si="52"/>
        <v>y</v>
      </c>
      <c r="DYA1" s="154" t="str">
        <f t="shared" si="52"/>
        <v>y</v>
      </c>
      <c r="DYB1" s="154" t="str">
        <f t="shared" si="52"/>
        <v>y</v>
      </c>
      <c r="DYC1" s="154" t="str">
        <f t="shared" si="52"/>
        <v>y</v>
      </c>
      <c r="DYD1" s="154" t="str">
        <f t="shared" si="52"/>
        <v>y</v>
      </c>
      <c r="DYE1" s="154" t="str">
        <f t="shared" si="52"/>
        <v>y</v>
      </c>
      <c r="DYF1" s="154" t="str">
        <f t="shared" si="52"/>
        <v>y</v>
      </c>
      <c r="DYG1" s="154" t="str">
        <f t="shared" si="52"/>
        <v>y</v>
      </c>
      <c r="DYH1" s="154" t="str">
        <f t="shared" si="52"/>
        <v>y</v>
      </c>
      <c r="DYI1" s="154" t="str">
        <f t="shared" si="52"/>
        <v>y</v>
      </c>
      <c r="DYJ1" s="154" t="str">
        <f t="shared" si="52"/>
        <v>y</v>
      </c>
      <c r="DYK1" s="154" t="str">
        <f t="shared" si="52"/>
        <v>y</v>
      </c>
      <c r="DYL1" s="154" t="str">
        <f t="shared" si="52"/>
        <v>y</v>
      </c>
      <c r="DYM1" s="154" t="str">
        <f t="shared" si="52"/>
        <v>y</v>
      </c>
      <c r="DYN1" s="154" t="str">
        <f t="shared" si="52"/>
        <v>y</v>
      </c>
      <c r="DYO1" s="154" t="str">
        <f t="shared" si="52"/>
        <v>y</v>
      </c>
      <c r="DYP1" s="154" t="str">
        <f t="shared" si="52"/>
        <v>y</v>
      </c>
      <c r="DYQ1" s="154" t="str">
        <f t="shared" si="52"/>
        <v>y</v>
      </c>
      <c r="DYR1" s="154" t="str">
        <f t="shared" si="52"/>
        <v>y</v>
      </c>
      <c r="DYS1" s="154" t="str">
        <f t="shared" si="52"/>
        <v>y</v>
      </c>
      <c r="DYT1" s="154" t="str">
        <f t="shared" si="52"/>
        <v>y</v>
      </c>
      <c r="DYU1" s="154" t="str">
        <f t="shared" si="52"/>
        <v>y</v>
      </c>
      <c r="DYV1" s="154" t="str">
        <f t="shared" si="52"/>
        <v>y</v>
      </c>
      <c r="DYW1" s="154" t="str">
        <f t="shared" si="52"/>
        <v>y</v>
      </c>
      <c r="DYX1" s="154" t="str">
        <f t="shared" si="52"/>
        <v>y</v>
      </c>
      <c r="DYY1" s="154" t="str">
        <f t="shared" si="52"/>
        <v>y</v>
      </c>
      <c r="DYZ1" s="154" t="str">
        <f t="shared" si="52"/>
        <v>y</v>
      </c>
      <c r="DZA1" s="154" t="str">
        <f t="shared" si="52"/>
        <v>y</v>
      </c>
      <c r="DZB1" s="154" t="str">
        <f t="shared" si="52"/>
        <v>y</v>
      </c>
      <c r="DZC1" s="154" t="str">
        <f t="shared" si="52"/>
        <v>y</v>
      </c>
      <c r="DZD1" s="154" t="str">
        <f t="shared" si="52"/>
        <v>y</v>
      </c>
      <c r="DZE1" s="154" t="str">
        <f t="shared" si="52"/>
        <v>y</v>
      </c>
      <c r="DZF1" s="154" t="str">
        <f t="shared" si="52"/>
        <v>y</v>
      </c>
      <c r="DZG1" s="154" t="str">
        <f t="shared" si="52"/>
        <v>y</v>
      </c>
      <c r="DZH1" s="154" t="str">
        <f t="shared" si="52"/>
        <v>y</v>
      </c>
      <c r="DZI1" s="154" t="str">
        <f t="shared" si="52"/>
        <v>y</v>
      </c>
      <c r="DZJ1" s="154" t="str">
        <f t="shared" si="52"/>
        <v>y</v>
      </c>
      <c r="DZK1" s="154" t="str">
        <f t="shared" si="52"/>
        <v>y</v>
      </c>
      <c r="DZL1" s="154" t="str">
        <f t="shared" si="52"/>
        <v>y</v>
      </c>
      <c r="DZM1" s="154" t="str">
        <f t="shared" si="52"/>
        <v>y</v>
      </c>
      <c r="DZN1" s="154" t="str">
        <f t="shared" si="52"/>
        <v>y</v>
      </c>
      <c r="DZO1" s="154" t="str">
        <f t="shared" si="52"/>
        <v>y</v>
      </c>
      <c r="DZP1" s="154" t="str">
        <f t="shared" ref="DZP1:ECA1" si="53">DZP2&amp;"y"</f>
        <v>y</v>
      </c>
      <c r="DZQ1" s="154" t="str">
        <f t="shared" si="53"/>
        <v>y</v>
      </c>
      <c r="DZR1" s="154" t="str">
        <f t="shared" si="53"/>
        <v>y</v>
      </c>
      <c r="DZS1" s="154" t="str">
        <f t="shared" si="53"/>
        <v>y</v>
      </c>
      <c r="DZT1" s="154" t="str">
        <f t="shared" si="53"/>
        <v>y</v>
      </c>
      <c r="DZU1" s="154" t="str">
        <f t="shared" si="53"/>
        <v>y</v>
      </c>
      <c r="DZV1" s="154" t="str">
        <f t="shared" si="53"/>
        <v>y</v>
      </c>
      <c r="DZW1" s="154" t="str">
        <f t="shared" si="53"/>
        <v>y</v>
      </c>
      <c r="DZX1" s="154" t="str">
        <f t="shared" si="53"/>
        <v>y</v>
      </c>
      <c r="DZY1" s="154" t="str">
        <f t="shared" si="53"/>
        <v>y</v>
      </c>
      <c r="DZZ1" s="154" t="str">
        <f t="shared" si="53"/>
        <v>y</v>
      </c>
      <c r="EAA1" s="154" t="str">
        <f t="shared" si="53"/>
        <v>y</v>
      </c>
      <c r="EAB1" s="154" t="str">
        <f t="shared" si="53"/>
        <v>y</v>
      </c>
      <c r="EAC1" s="154" t="str">
        <f t="shared" si="53"/>
        <v>y</v>
      </c>
      <c r="EAD1" s="154" t="str">
        <f t="shared" si="53"/>
        <v>y</v>
      </c>
      <c r="EAE1" s="154" t="str">
        <f t="shared" si="53"/>
        <v>y</v>
      </c>
      <c r="EAF1" s="154" t="str">
        <f t="shared" si="53"/>
        <v>y</v>
      </c>
      <c r="EAG1" s="154" t="str">
        <f t="shared" si="53"/>
        <v>y</v>
      </c>
      <c r="EAH1" s="154" t="str">
        <f t="shared" si="53"/>
        <v>y</v>
      </c>
      <c r="EAI1" s="154" t="str">
        <f t="shared" si="53"/>
        <v>y</v>
      </c>
      <c r="EAJ1" s="154" t="str">
        <f t="shared" si="53"/>
        <v>y</v>
      </c>
      <c r="EAK1" s="154" t="str">
        <f t="shared" si="53"/>
        <v>y</v>
      </c>
      <c r="EAL1" s="154" t="str">
        <f t="shared" si="53"/>
        <v>y</v>
      </c>
      <c r="EAM1" s="154" t="str">
        <f t="shared" si="53"/>
        <v>y</v>
      </c>
      <c r="EAN1" s="154" t="str">
        <f t="shared" si="53"/>
        <v>y</v>
      </c>
      <c r="EAO1" s="154" t="str">
        <f t="shared" si="53"/>
        <v>y</v>
      </c>
      <c r="EAP1" s="154" t="str">
        <f t="shared" si="53"/>
        <v>y</v>
      </c>
      <c r="EAQ1" s="154" t="str">
        <f t="shared" si="53"/>
        <v>y</v>
      </c>
      <c r="EAR1" s="154" t="str">
        <f t="shared" si="53"/>
        <v>y</v>
      </c>
      <c r="EAS1" s="154" t="str">
        <f t="shared" si="53"/>
        <v>y</v>
      </c>
      <c r="EAT1" s="154" t="str">
        <f t="shared" si="53"/>
        <v>y</v>
      </c>
      <c r="EAU1" s="154" t="str">
        <f t="shared" si="53"/>
        <v>y</v>
      </c>
      <c r="EAV1" s="154" t="str">
        <f t="shared" si="53"/>
        <v>y</v>
      </c>
      <c r="EAW1" s="154" t="str">
        <f t="shared" si="53"/>
        <v>y</v>
      </c>
      <c r="EAX1" s="154" t="str">
        <f t="shared" si="53"/>
        <v>y</v>
      </c>
      <c r="EAY1" s="154" t="str">
        <f t="shared" si="53"/>
        <v>y</v>
      </c>
      <c r="EAZ1" s="154" t="str">
        <f t="shared" si="53"/>
        <v>y</v>
      </c>
      <c r="EBA1" s="154" t="str">
        <f t="shared" si="53"/>
        <v>y</v>
      </c>
      <c r="EBB1" s="154" t="str">
        <f t="shared" si="53"/>
        <v>y</v>
      </c>
      <c r="EBC1" s="154" t="str">
        <f t="shared" si="53"/>
        <v>y</v>
      </c>
      <c r="EBD1" s="154" t="str">
        <f t="shared" si="53"/>
        <v>y</v>
      </c>
      <c r="EBE1" s="154" t="str">
        <f t="shared" si="53"/>
        <v>y</v>
      </c>
      <c r="EBF1" s="154" t="str">
        <f t="shared" si="53"/>
        <v>y</v>
      </c>
      <c r="EBG1" s="154" t="str">
        <f t="shared" si="53"/>
        <v>y</v>
      </c>
      <c r="EBH1" s="154" t="str">
        <f t="shared" si="53"/>
        <v>y</v>
      </c>
      <c r="EBI1" s="154" t="str">
        <f t="shared" si="53"/>
        <v>y</v>
      </c>
      <c r="EBJ1" s="154" t="str">
        <f t="shared" si="53"/>
        <v>y</v>
      </c>
      <c r="EBK1" s="154" t="str">
        <f t="shared" si="53"/>
        <v>y</v>
      </c>
      <c r="EBL1" s="154" t="str">
        <f t="shared" si="53"/>
        <v>y</v>
      </c>
      <c r="EBM1" s="154" t="str">
        <f t="shared" si="53"/>
        <v>y</v>
      </c>
      <c r="EBN1" s="154" t="str">
        <f t="shared" si="53"/>
        <v>y</v>
      </c>
      <c r="EBO1" s="154" t="str">
        <f t="shared" si="53"/>
        <v>y</v>
      </c>
      <c r="EBP1" s="154" t="str">
        <f t="shared" si="53"/>
        <v>y</v>
      </c>
      <c r="EBQ1" s="154" t="str">
        <f t="shared" si="53"/>
        <v>y</v>
      </c>
      <c r="EBR1" s="154" t="str">
        <f t="shared" si="53"/>
        <v>y</v>
      </c>
      <c r="EBS1" s="154" t="str">
        <f t="shared" si="53"/>
        <v>y</v>
      </c>
      <c r="EBT1" s="154" t="str">
        <f t="shared" si="53"/>
        <v>y</v>
      </c>
      <c r="EBU1" s="154" t="str">
        <f t="shared" si="53"/>
        <v>y</v>
      </c>
      <c r="EBV1" s="154" t="str">
        <f t="shared" si="53"/>
        <v>y</v>
      </c>
      <c r="EBW1" s="154" t="str">
        <f t="shared" si="53"/>
        <v>y</v>
      </c>
      <c r="EBX1" s="154" t="str">
        <f t="shared" si="53"/>
        <v>y</v>
      </c>
      <c r="EBY1" s="154" t="str">
        <f t="shared" si="53"/>
        <v>y</v>
      </c>
      <c r="EBZ1" s="154" t="str">
        <f t="shared" si="53"/>
        <v>y</v>
      </c>
      <c r="ECA1" s="154" t="str">
        <f t="shared" si="53"/>
        <v>y</v>
      </c>
      <c r="ECB1" s="154" t="str">
        <f t="shared" ref="ECB1:EEM1" si="54">ECB2&amp;"y"</f>
        <v>y</v>
      </c>
      <c r="ECC1" s="154" t="str">
        <f t="shared" si="54"/>
        <v>y</v>
      </c>
      <c r="ECD1" s="154" t="str">
        <f t="shared" si="54"/>
        <v>y</v>
      </c>
      <c r="ECE1" s="154" t="str">
        <f t="shared" si="54"/>
        <v>y</v>
      </c>
      <c r="ECF1" s="154" t="str">
        <f t="shared" si="54"/>
        <v>y</v>
      </c>
      <c r="ECG1" s="154" t="str">
        <f t="shared" si="54"/>
        <v>y</v>
      </c>
      <c r="ECH1" s="154" t="str">
        <f t="shared" si="54"/>
        <v>y</v>
      </c>
      <c r="ECI1" s="154" t="str">
        <f t="shared" si="54"/>
        <v>y</v>
      </c>
      <c r="ECJ1" s="154" t="str">
        <f t="shared" si="54"/>
        <v>y</v>
      </c>
      <c r="ECK1" s="154" t="str">
        <f t="shared" si="54"/>
        <v>y</v>
      </c>
      <c r="ECL1" s="154" t="str">
        <f t="shared" si="54"/>
        <v>y</v>
      </c>
      <c r="ECM1" s="154" t="str">
        <f t="shared" si="54"/>
        <v>y</v>
      </c>
      <c r="ECN1" s="154" t="str">
        <f t="shared" si="54"/>
        <v>y</v>
      </c>
      <c r="ECO1" s="154" t="str">
        <f t="shared" si="54"/>
        <v>y</v>
      </c>
      <c r="ECP1" s="154" t="str">
        <f t="shared" si="54"/>
        <v>y</v>
      </c>
      <c r="ECQ1" s="154" t="str">
        <f t="shared" si="54"/>
        <v>y</v>
      </c>
      <c r="ECR1" s="154" t="str">
        <f t="shared" si="54"/>
        <v>y</v>
      </c>
      <c r="ECS1" s="154" t="str">
        <f t="shared" si="54"/>
        <v>y</v>
      </c>
      <c r="ECT1" s="154" t="str">
        <f t="shared" si="54"/>
        <v>y</v>
      </c>
      <c r="ECU1" s="154" t="str">
        <f t="shared" si="54"/>
        <v>y</v>
      </c>
      <c r="ECV1" s="154" t="str">
        <f t="shared" si="54"/>
        <v>y</v>
      </c>
      <c r="ECW1" s="154" t="str">
        <f t="shared" si="54"/>
        <v>y</v>
      </c>
      <c r="ECX1" s="154" t="str">
        <f t="shared" si="54"/>
        <v>y</v>
      </c>
      <c r="ECY1" s="154" t="str">
        <f t="shared" si="54"/>
        <v>y</v>
      </c>
      <c r="ECZ1" s="154" t="str">
        <f t="shared" si="54"/>
        <v>y</v>
      </c>
      <c r="EDA1" s="154" t="str">
        <f t="shared" si="54"/>
        <v>y</v>
      </c>
      <c r="EDB1" s="154" t="str">
        <f t="shared" si="54"/>
        <v>y</v>
      </c>
      <c r="EDC1" s="154" t="str">
        <f t="shared" si="54"/>
        <v>y</v>
      </c>
      <c r="EDD1" s="154" t="str">
        <f t="shared" si="54"/>
        <v>y</v>
      </c>
      <c r="EDE1" s="154" t="str">
        <f t="shared" si="54"/>
        <v>y</v>
      </c>
      <c r="EDF1" s="154" t="str">
        <f t="shared" si="54"/>
        <v>y</v>
      </c>
      <c r="EDG1" s="154" t="str">
        <f t="shared" si="54"/>
        <v>y</v>
      </c>
      <c r="EDH1" s="154" t="str">
        <f t="shared" si="54"/>
        <v>y</v>
      </c>
      <c r="EDI1" s="154" t="str">
        <f t="shared" si="54"/>
        <v>y</v>
      </c>
      <c r="EDJ1" s="154" t="str">
        <f t="shared" si="54"/>
        <v>y</v>
      </c>
      <c r="EDK1" s="154" t="str">
        <f t="shared" si="54"/>
        <v>y</v>
      </c>
      <c r="EDL1" s="154" t="str">
        <f t="shared" si="54"/>
        <v>y</v>
      </c>
      <c r="EDM1" s="154" t="str">
        <f t="shared" si="54"/>
        <v>y</v>
      </c>
      <c r="EDN1" s="154" t="str">
        <f t="shared" si="54"/>
        <v>y</v>
      </c>
      <c r="EDO1" s="154" t="str">
        <f t="shared" si="54"/>
        <v>y</v>
      </c>
      <c r="EDP1" s="154" t="str">
        <f t="shared" si="54"/>
        <v>y</v>
      </c>
      <c r="EDQ1" s="154" t="str">
        <f t="shared" si="54"/>
        <v>y</v>
      </c>
      <c r="EDR1" s="154" t="str">
        <f t="shared" si="54"/>
        <v>y</v>
      </c>
      <c r="EDS1" s="154" t="str">
        <f t="shared" si="54"/>
        <v>y</v>
      </c>
      <c r="EDT1" s="154" t="str">
        <f t="shared" si="54"/>
        <v>y</v>
      </c>
      <c r="EDU1" s="154" t="str">
        <f t="shared" si="54"/>
        <v>y</v>
      </c>
      <c r="EDV1" s="154" t="str">
        <f t="shared" si="54"/>
        <v>y</v>
      </c>
      <c r="EDW1" s="154" t="str">
        <f t="shared" si="54"/>
        <v>y</v>
      </c>
      <c r="EDX1" s="154" t="str">
        <f t="shared" si="54"/>
        <v>y</v>
      </c>
      <c r="EDY1" s="154" t="str">
        <f t="shared" si="54"/>
        <v>y</v>
      </c>
      <c r="EDZ1" s="154" t="str">
        <f t="shared" si="54"/>
        <v>y</v>
      </c>
      <c r="EEA1" s="154" t="str">
        <f t="shared" si="54"/>
        <v>y</v>
      </c>
      <c r="EEB1" s="154" t="str">
        <f t="shared" si="54"/>
        <v>y</v>
      </c>
      <c r="EEC1" s="154" t="str">
        <f t="shared" si="54"/>
        <v>y</v>
      </c>
      <c r="EED1" s="154" t="str">
        <f t="shared" si="54"/>
        <v>y</v>
      </c>
      <c r="EEE1" s="154" t="str">
        <f t="shared" si="54"/>
        <v>y</v>
      </c>
      <c r="EEF1" s="154" t="str">
        <f t="shared" si="54"/>
        <v>y</v>
      </c>
      <c r="EEG1" s="154" t="str">
        <f t="shared" si="54"/>
        <v>y</v>
      </c>
      <c r="EEH1" s="154" t="str">
        <f t="shared" si="54"/>
        <v>y</v>
      </c>
      <c r="EEI1" s="154" t="str">
        <f t="shared" si="54"/>
        <v>y</v>
      </c>
      <c r="EEJ1" s="154" t="str">
        <f t="shared" si="54"/>
        <v>y</v>
      </c>
      <c r="EEK1" s="154" t="str">
        <f t="shared" si="54"/>
        <v>y</v>
      </c>
      <c r="EEL1" s="154" t="str">
        <f t="shared" si="54"/>
        <v>y</v>
      </c>
      <c r="EEM1" s="154" t="str">
        <f t="shared" si="54"/>
        <v>y</v>
      </c>
      <c r="EEN1" s="154" t="str">
        <f t="shared" ref="EEN1:EGY1" si="55">EEN2&amp;"y"</f>
        <v>y</v>
      </c>
      <c r="EEO1" s="154" t="str">
        <f t="shared" si="55"/>
        <v>y</v>
      </c>
      <c r="EEP1" s="154" t="str">
        <f t="shared" si="55"/>
        <v>y</v>
      </c>
      <c r="EEQ1" s="154" t="str">
        <f t="shared" si="55"/>
        <v>y</v>
      </c>
      <c r="EER1" s="154" t="str">
        <f t="shared" si="55"/>
        <v>y</v>
      </c>
      <c r="EES1" s="154" t="str">
        <f t="shared" si="55"/>
        <v>y</v>
      </c>
      <c r="EET1" s="154" t="str">
        <f t="shared" si="55"/>
        <v>y</v>
      </c>
      <c r="EEU1" s="154" t="str">
        <f t="shared" si="55"/>
        <v>y</v>
      </c>
      <c r="EEV1" s="154" t="str">
        <f t="shared" si="55"/>
        <v>y</v>
      </c>
      <c r="EEW1" s="154" t="str">
        <f t="shared" si="55"/>
        <v>y</v>
      </c>
      <c r="EEX1" s="154" t="str">
        <f t="shared" si="55"/>
        <v>y</v>
      </c>
      <c r="EEY1" s="154" t="str">
        <f t="shared" si="55"/>
        <v>y</v>
      </c>
      <c r="EEZ1" s="154" t="str">
        <f t="shared" si="55"/>
        <v>y</v>
      </c>
      <c r="EFA1" s="154" t="str">
        <f t="shared" si="55"/>
        <v>y</v>
      </c>
      <c r="EFB1" s="154" t="str">
        <f t="shared" si="55"/>
        <v>y</v>
      </c>
      <c r="EFC1" s="154" t="str">
        <f t="shared" si="55"/>
        <v>y</v>
      </c>
      <c r="EFD1" s="154" t="str">
        <f t="shared" si="55"/>
        <v>y</v>
      </c>
      <c r="EFE1" s="154" t="str">
        <f t="shared" si="55"/>
        <v>y</v>
      </c>
      <c r="EFF1" s="154" t="str">
        <f t="shared" si="55"/>
        <v>y</v>
      </c>
      <c r="EFG1" s="154" t="str">
        <f t="shared" si="55"/>
        <v>y</v>
      </c>
      <c r="EFH1" s="154" t="str">
        <f t="shared" si="55"/>
        <v>y</v>
      </c>
      <c r="EFI1" s="154" t="str">
        <f t="shared" si="55"/>
        <v>y</v>
      </c>
      <c r="EFJ1" s="154" t="str">
        <f t="shared" si="55"/>
        <v>y</v>
      </c>
      <c r="EFK1" s="154" t="str">
        <f t="shared" si="55"/>
        <v>y</v>
      </c>
      <c r="EFL1" s="154" t="str">
        <f t="shared" si="55"/>
        <v>y</v>
      </c>
      <c r="EFM1" s="154" t="str">
        <f t="shared" si="55"/>
        <v>y</v>
      </c>
      <c r="EFN1" s="154" t="str">
        <f t="shared" si="55"/>
        <v>y</v>
      </c>
      <c r="EFO1" s="154" t="str">
        <f t="shared" si="55"/>
        <v>y</v>
      </c>
      <c r="EFP1" s="154" t="str">
        <f t="shared" si="55"/>
        <v>y</v>
      </c>
      <c r="EFQ1" s="154" t="str">
        <f t="shared" si="55"/>
        <v>y</v>
      </c>
      <c r="EFR1" s="154" t="str">
        <f t="shared" si="55"/>
        <v>y</v>
      </c>
      <c r="EFS1" s="154" t="str">
        <f t="shared" si="55"/>
        <v>y</v>
      </c>
      <c r="EFT1" s="154" t="str">
        <f t="shared" si="55"/>
        <v>y</v>
      </c>
      <c r="EFU1" s="154" t="str">
        <f t="shared" si="55"/>
        <v>y</v>
      </c>
      <c r="EFV1" s="154" t="str">
        <f t="shared" si="55"/>
        <v>y</v>
      </c>
      <c r="EFW1" s="154" t="str">
        <f t="shared" si="55"/>
        <v>y</v>
      </c>
      <c r="EFX1" s="154" t="str">
        <f t="shared" si="55"/>
        <v>y</v>
      </c>
      <c r="EFY1" s="154" t="str">
        <f t="shared" si="55"/>
        <v>y</v>
      </c>
      <c r="EFZ1" s="154" t="str">
        <f t="shared" si="55"/>
        <v>y</v>
      </c>
      <c r="EGA1" s="154" t="str">
        <f t="shared" si="55"/>
        <v>y</v>
      </c>
      <c r="EGB1" s="154" t="str">
        <f t="shared" si="55"/>
        <v>y</v>
      </c>
      <c r="EGC1" s="154" t="str">
        <f t="shared" si="55"/>
        <v>y</v>
      </c>
      <c r="EGD1" s="154" t="str">
        <f t="shared" si="55"/>
        <v>y</v>
      </c>
      <c r="EGE1" s="154" t="str">
        <f t="shared" si="55"/>
        <v>y</v>
      </c>
      <c r="EGF1" s="154" t="str">
        <f t="shared" si="55"/>
        <v>y</v>
      </c>
      <c r="EGG1" s="154" t="str">
        <f t="shared" si="55"/>
        <v>y</v>
      </c>
      <c r="EGH1" s="154" t="str">
        <f t="shared" si="55"/>
        <v>y</v>
      </c>
      <c r="EGI1" s="154" t="str">
        <f t="shared" si="55"/>
        <v>y</v>
      </c>
      <c r="EGJ1" s="154" t="str">
        <f t="shared" si="55"/>
        <v>y</v>
      </c>
      <c r="EGK1" s="154" t="str">
        <f t="shared" si="55"/>
        <v>y</v>
      </c>
      <c r="EGL1" s="154" t="str">
        <f t="shared" si="55"/>
        <v>y</v>
      </c>
      <c r="EGM1" s="154" t="str">
        <f t="shared" si="55"/>
        <v>y</v>
      </c>
      <c r="EGN1" s="154" t="str">
        <f t="shared" si="55"/>
        <v>y</v>
      </c>
      <c r="EGO1" s="154" t="str">
        <f t="shared" si="55"/>
        <v>y</v>
      </c>
      <c r="EGP1" s="154" t="str">
        <f t="shared" si="55"/>
        <v>y</v>
      </c>
      <c r="EGQ1" s="154" t="str">
        <f t="shared" si="55"/>
        <v>y</v>
      </c>
      <c r="EGR1" s="154" t="str">
        <f t="shared" si="55"/>
        <v>y</v>
      </c>
      <c r="EGS1" s="154" t="str">
        <f t="shared" si="55"/>
        <v>y</v>
      </c>
      <c r="EGT1" s="154" t="str">
        <f t="shared" si="55"/>
        <v>y</v>
      </c>
      <c r="EGU1" s="154" t="str">
        <f t="shared" si="55"/>
        <v>y</v>
      </c>
      <c r="EGV1" s="154" t="str">
        <f t="shared" si="55"/>
        <v>y</v>
      </c>
      <c r="EGW1" s="154" t="str">
        <f t="shared" si="55"/>
        <v>y</v>
      </c>
      <c r="EGX1" s="154" t="str">
        <f t="shared" si="55"/>
        <v>y</v>
      </c>
      <c r="EGY1" s="154" t="str">
        <f t="shared" si="55"/>
        <v>y</v>
      </c>
      <c r="EGZ1" s="154" t="str">
        <f t="shared" ref="EGZ1:EJK1" si="56">EGZ2&amp;"y"</f>
        <v>y</v>
      </c>
      <c r="EHA1" s="154" t="str">
        <f t="shared" si="56"/>
        <v>y</v>
      </c>
      <c r="EHB1" s="154" t="str">
        <f t="shared" si="56"/>
        <v>y</v>
      </c>
      <c r="EHC1" s="154" t="str">
        <f t="shared" si="56"/>
        <v>y</v>
      </c>
      <c r="EHD1" s="154" t="str">
        <f t="shared" si="56"/>
        <v>y</v>
      </c>
      <c r="EHE1" s="154" t="str">
        <f t="shared" si="56"/>
        <v>y</v>
      </c>
      <c r="EHF1" s="154" t="str">
        <f t="shared" si="56"/>
        <v>y</v>
      </c>
      <c r="EHG1" s="154" t="str">
        <f t="shared" si="56"/>
        <v>y</v>
      </c>
      <c r="EHH1" s="154" t="str">
        <f t="shared" si="56"/>
        <v>y</v>
      </c>
      <c r="EHI1" s="154" t="str">
        <f t="shared" si="56"/>
        <v>y</v>
      </c>
      <c r="EHJ1" s="154" t="str">
        <f t="shared" si="56"/>
        <v>y</v>
      </c>
      <c r="EHK1" s="154" t="str">
        <f t="shared" si="56"/>
        <v>y</v>
      </c>
      <c r="EHL1" s="154" t="str">
        <f t="shared" si="56"/>
        <v>y</v>
      </c>
      <c r="EHM1" s="154" t="str">
        <f t="shared" si="56"/>
        <v>y</v>
      </c>
      <c r="EHN1" s="154" t="str">
        <f t="shared" si="56"/>
        <v>y</v>
      </c>
      <c r="EHO1" s="154" t="str">
        <f t="shared" si="56"/>
        <v>y</v>
      </c>
      <c r="EHP1" s="154" t="str">
        <f t="shared" si="56"/>
        <v>y</v>
      </c>
      <c r="EHQ1" s="154" t="str">
        <f t="shared" si="56"/>
        <v>y</v>
      </c>
      <c r="EHR1" s="154" t="str">
        <f t="shared" si="56"/>
        <v>y</v>
      </c>
      <c r="EHS1" s="154" t="str">
        <f t="shared" si="56"/>
        <v>y</v>
      </c>
      <c r="EHT1" s="154" t="str">
        <f t="shared" si="56"/>
        <v>y</v>
      </c>
      <c r="EHU1" s="154" t="str">
        <f t="shared" si="56"/>
        <v>y</v>
      </c>
      <c r="EHV1" s="154" t="str">
        <f t="shared" si="56"/>
        <v>y</v>
      </c>
      <c r="EHW1" s="154" t="str">
        <f t="shared" si="56"/>
        <v>y</v>
      </c>
      <c r="EHX1" s="154" t="str">
        <f t="shared" si="56"/>
        <v>y</v>
      </c>
      <c r="EHY1" s="154" t="str">
        <f t="shared" si="56"/>
        <v>y</v>
      </c>
      <c r="EHZ1" s="154" t="str">
        <f t="shared" si="56"/>
        <v>y</v>
      </c>
      <c r="EIA1" s="154" t="str">
        <f t="shared" si="56"/>
        <v>y</v>
      </c>
      <c r="EIB1" s="154" t="str">
        <f t="shared" si="56"/>
        <v>y</v>
      </c>
      <c r="EIC1" s="154" t="str">
        <f t="shared" si="56"/>
        <v>y</v>
      </c>
      <c r="EID1" s="154" t="str">
        <f t="shared" si="56"/>
        <v>y</v>
      </c>
      <c r="EIE1" s="154" t="str">
        <f t="shared" si="56"/>
        <v>y</v>
      </c>
      <c r="EIF1" s="154" t="str">
        <f t="shared" si="56"/>
        <v>y</v>
      </c>
      <c r="EIG1" s="154" t="str">
        <f t="shared" si="56"/>
        <v>y</v>
      </c>
      <c r="EIH1" s="154" t="str">
        <f t="shared" si="56"/>
        <v>y</v>
      </c>
      <c r="EII1" s="154" t="str">
        <f t="shared" si="56"/>
        <v>y</v>
      </c>
      <c r="EIJ1" s="154" t="str">
        <f t="shared" si="56"/>
        <v>y</v>
      </c>
      <c r="EIK1" s="154" t="str">
        <f t="shared" si="56"/>
        <v>y</v>
      </c>
      <c r="EIL1" s="154" t="str">
        <f t="shared" si="56"/>
        <v>y</v>
      </c>
      <c r="EIM1" s="154" t="str">
        <f t="shared" si="56"/>
        <v>y</v>
      </c>
      <c r="EIN1" s="154" t="str">
        <f t="shared" si="56"/>
        <v>y</v>
      </c>
      <c r="EIO1" s="154" t="str">
        <f t="shared" si="56"/>
        <v>y</v>
      </c>
      <c r="EIP1" s="154" t="str">
        <f t="shared" si="56"/>
        <v>y</v>
      </c>
      <c r="EIQ1" s="154" t="str">
        <f t="shared" si="56"/>
        <v>y</v>
      </c>
      <c r="EIR1" s="154" t="str">
        <f t="shared" si="56"/>
        <v>y</v>
      </c>
      <c r="EIS1" s="154" t="str">
        <f t="shared" si="56"/>
        <v>y</v>
      </c>
      <c r="EIT1" s="154" t="str">
        <f t="shared" si="56"/>
        <v>y</v>
      </c>
      <c r="EIU1" s="154" t="str">
        <f t="shared" si="56"/>
        <v>y</v>
      </c>
      <c r="EIV1" s="154" t="str">
        <f t="shared" si="56"/>
        <v>y</v>
      </c>
      <c r="EIW1" s="154" t="str">
        <f t="shared" si="56"/>
        <v>y</v>
      </c>
      <c r="EIX1" s="154" t="str">
        <f t="shared" si="56"/>
        <v>y</v>
      </c>
      <c r="EIY1" s="154" t="str">
        <f t="shared" si="56"/>
        <v>y</v>
      </c>
      <c r="EIZ1" s="154" t="str">
        <f t="shared" si="56"/>
        <v>y</v>
      </c>
      <c r="EJA1" s="154" t="str">
        <f t="shared" si="56"/>
        <v>y</v>
      </c>
      <c r="EJB1" s="154" t="str">
        <f t="shared" si="56"/>
        <v>y</v>
      </c>
      <c r="EJC1" s="154" t="str">
        <f t="shared" si="56"/>
        <v>y</v>
      </c>
      <c r="EJD1" s="154" t="str">
        <f t="shared" si="56"/>
        <v>y</v>
      </c>
      <c r="EJE1" s="154" t="str">
        <f t="shared" si="56"/>
        <v>y</v>
      </c>
      <c r="EJF1" s="154" t="str">
        <f t="shared" si="56"/>
        <v>y</v>
      </c>
      <c r="EJG1" s="154" t="str">
        <f t="shared" si="56"/>
        <v>y</v>
      </c>
      <c r="EJH1" s="154" t="str">
        <f t="shared" si="56"/>
        <v>y</v>
      </c>
      <c r="EJI1" s="154" t="str">
        <f t="shared" si="56"/>
        <v>y</v>
      </c>
      <c r="EJJ1" s="154" t="str">
        <f t="shared" si="56"/>
        <v>y</v>
      </c>
      <c r="EJK1" s="154" t="str">
        <f t="shared" si="56"/>
        <v>y</v>
      </c>
      <c r="EJL1" s="154" t="str">
        <f t="shared" ref="EJL1:ELW1" si="57">EJL2&amp;"y"</f>
        <v>y</v>
      </c>
      <c r="EJM1" s="154" t="str">
        <f t="shared" si="57"/>
        <v>y</v>
      </c>
      <c r="EJN1" s="154" t="str">
        <f t="shared" si="57"/>
        <v>y</v>
      </c>
      <c r="EJO1" s="154" t="str">
        <f t="shared" si="57"/>
        <v>y</v>
      </c>
      <c r="EJP1" s="154" t="str">
        <f t="shared" si="57"/>
        <v>y</v>
      </c>
      <c r="EJQ1" s="154" t="str">
        <f t="shared" si="57"/>
        <v>y</v>
      </c>
      <c r="EJR1" s="154" t="str">
        <f t="shared" si="57"/>
        <v>y</v>
      </c>
      <c r="EJS1" s="154" t="str">
        <f t="shared" si="57"/>
        <v>y</v>
      </c>
      <c r="EJT1" s="154" t="str">
        <f t="shared" si="57"/>
        <v>y</v>
      </c>
      <c r="EJU1" s="154" t="str">
        <f t="shared" si="57"/>
        <v>y</v>
      </c>
      <c r="EJV1" s="154" t="str">
        <f t="shared" si="57"/>
        <v>y</v>
      </c>
      <c r="EJW1" s="154" t="str">
        <f t="shared" si="57"/>
        <v>y</v>
      </c>
      <c r="EJX1" s="154" t="str">
        <f t="shared" si="57"/>
        <v>y</v>
      </c>
      <c r="EJY1" s="154" t="str">
        <f t="shared" si="57"/>
        <v>y</v>
      </c>
      <c r="EJZ1" s="154" t="str">
        <f t="shared" si="57"/>
        <v>y</v>
      </c>
      <c r="EKA1" s="154" t="str">
        <f t="shared" si="57"/>
        <v>y</v>
      </c>
      <c r="EKB1" s="154" t="str">
        <f t="shared" si="57"/>
        <v>y</v>
      </c>
      <c r="EKC1" s="154" t="str">
        <f t="shared" si="57"/>
        <v>y</v>
      </c>
      <c r="EKD1" s="154" t="str">
        <f t="shared" si="57"/>
        <v>y</v>
      </c>
      <c r="EKE1" s="154" t="str">
        <f t="shared" si="57"/>
        <v>y</v>
      </c>
      <c r="EKF1" s="154" t="str">
        <f t="shared" si="57"/>
        <v>y</v>
      </c>
      <c r="EKG1" s="154" t="str">
        <f t="shared" si="57"/>
        <v>y</v>
      </c>
      <c r="EKH1" s="154" t="str">
        <f t="shared" si="57"/>
        <v>y</v>
      </c>
      <c r="EKI1" s="154" t="str">
        <f t="shared" si="57"/>
        <v>y</v>
      </c>
      <c r="EKJ1" s="154" t="str">
        <f t="shared" si="57"/>
        <v>y</v>
      </c>
      <c r="EKK1" s="154" t="str">
        <f t="shared" si="57"/>
        <v>y</v>
      </c>
      <c r="EKL1" s="154" t="str">
        <f t="shared" si="57"/>
        <v>y</v>
      </c>
      <c r="EKM1" s="154" t="str">
        <f t="shared" si="57"/>
        <v>y</v>
      </c>
      <c r="EKN1" s="154" t="str">
        <f t="shared" si="57"/>
        <v>y</v>
      </c>
      <c r="EKO1" s="154" t="str">
        <f t="shared" si="57"/>
        <v>y</v>
      </c>
      <c r="EKP1" s="154" t="str">
        <f t="shared" si="57"/>
        <v>y</v>
      </c>
      <c r="EKQ1" s="154" t="str">
        <f t="shared" si="57"/>
        <v>y</v>
      </c>
      <c r="EKR1" s="154" t="str">
        <f t="shared" si="57"/>
        <v>y</v>
      </c>
      <c r="EKS1" s="154" t="str">
        <f t="shared" si="57"/>
        <v>y</v>
      </c>
      <c r="EKT1" s="154" t="str">
        <f t="shared" si="57"/>
        <v>y</v>
      </c>
      <c r="EKU1" s="154" t="str">
        <f t="shared" si="57"/>
        <v>y</v>
      </c>
      <c r="EKV1" s="154" t="str">
        <f t="shared" si="57"/>
        <v>y</v>
      </c>
      <c r="EKW1" s="154" t="str">
        <f t="shared" si="57"/>
        <v>y</v>
      </c>
      <c r="EKX1" s="154" t="str">
        <f t="shared" si="57"/>
        <v>y</v>
      </c>
      <c r="EKY1" s="154" t="str">
        <f t="shared" si="57"/>
        <v>y</v>
      </c>
      <c r="EKZ1" s="154" t="str">
        <f t="shared" si="57"/>
        <v>y</v>
      </c>
      <c r="ELA1" s="154" t="str">
        <f t="shared" si="57"/>
        <v>y</v>
      </c>
      <c r="ELB1" s="154" t="str">
        <f t="shared" si="57"/>
        <v>y</v>
      </c>
      <c r="ELC1" s="154" t="str">
        <f t="shared" si="57"/>
        <v>y</v>
      </c>
      <c r="ELD1" s="154" t="str">
        <f t="shared" si="57"/>
        <v>y</v>
      </c>
      <c r="ELE1" s="154" t="str">
        <f t="shared" si="57"/>
        <v>y</v>
      </c>
      <c r="ELF1" s="154" t="str">
        <f t="shared" si="57"/>
        <v>y</v>
      </c>
      <c r="ELG1" s="154" t="str">
        <f t="shared" si="57"/>
        <v>y</v>
      </c>
      <c r="ELH1" s="154" t="str">
        <f t="shared" si="57"/>
        <v>y</v>
      </c>
      <c r="ELI1" s="154" t="str">
        <f t="shared" si="57"/>
        <v>y</v>
      </c>
      <c r="ELJ1" s="154" t="str">
        <f t="shared" si="57"/>
        <v>y</v>
      </c>
      <c r="ELK1" s="154" t="str">
        <f t="shared" si="57"/>
        <v>y</v>
      </c>
      <c r="ELL1" s="154" t="str">
        <f t="shared" si="57"/>
        <v>y</v>
      </c>
      <c r="ELM1" s="154" t="str">
        <f t="shared" si="57"/>
        <v>y</v>
      </c>
      <c r="ELN1" s="154" t="str">
        <f t="shared" si="57"/>
        <v>y</v>
      </c>
      <c r="ELO1" s="154" t="str">
        <f t="shared" si="57"/>
        <v>y</v>
      </c>
      <c r="ELP1" s="154" t="str">
        <f t="shared" si="57"/>
        <v>y</v>
      </c>
      <c r="ELQ1" s="154" t="str">
        <f t="shared" si="57"/>
        <v>y</v>
      </c>
      <c r="ELR1" s="154" t="str">
        <f t="shared" si="57"/>
        <v>y</v>
      </c>
      <c r="ELS1" s="154" t="str">
        <f t="shared" si="57"/>
        <v>y</v>
      </c>
      <c r="ELT1" s="154" t="str">
        <f t="shared" si="57"/>
        <v>y</v>
      </c>
      <c r="ELU1" s="154" t="str">
        <f t="shared" si="57"/>
        <v>y</v>
      </c>
      <c r="ELV1" s="154" t="str">
        <f t="shared" si="57"/>
        <v>y</v>
      </c>
      <c r="ELW1" s="154" t="str">
        <f t="shared" si="57"/>
        <v>y</v>
      </c>
      <c r="ELX1" s="154" t="str">
        <f t="shared" ref="ELX1:EOI1" si="58">ELX2&amp;"y"</f>
        <v>y</v>
      </c>
      <c r="ELY1" s="154" t="str">
        <f t="shared" si="58"/>
        <v>y</v>
      </c>
      <c r="ELZ1" s="154" t="str">
        <f t="shared" si="58"/>
        <v>y</v>
      </c>
      <c r="EMA1" s="154" t="str">
        <f t="shared" si="58"/>
        <v>y</v>
      </c>
      <c r="EMB1" s="154" t="str">
        <f t="shared" si="58"/>
        <v>y</v>
      </c>
      <c r="EMC1" s="154" t="str">
        <f t="shared" si="58"/>
        <v>y</v>
      </c>
      <c r="EMD1" s="154" t="str">
        <f t="shared" si="58"/>
        <v>y</v>
      </c>
      <c r="EME1" s="154" t="str">
        <f t="shared" si="58"/>
        <v>y</v>
      </c>
      <c r="EMF1" s="154" t="str">
        <f t="shared" si="58"/>
        <v>y</v>
      </c>
      <c r="EMG1" s="154" t="str">
        <f t="shared" si="58"/>
        <v>y</v>
      </c>
      <c r="EMH1" s="154" t="str">
        <f t="shared" si="58"/>
        <v>y</v>
      </c>
      <c r="EMI1" s="154" t="str">
        <f t="shared" si="58"/>
        <v>y</v>
      </c>
      <c r="EMJ1" s="154" t="str">
        <f t="shared" si="58"/>
        <v>y</v>
      </c>
      <c r="EMK1" s="154" t="str">
        <f t="shared" si="58"/>
        <v>y</v>
      </c>
      <c r="EML1" s="154" t="str">
        <f t="shared" si="58"/>
        <v>y</v>
      </c>
      <c r="EMM1" s="154" t="str">
        <f t="shared" si="58"/>
        <v>y</v>
      </c>
      <c r="EMN1" s="154" t="str">
        <f t="shared" si="58"/>
        <v>y</v>
      </c>
      <c r="EMO1" s="154" t="str">
        <f t="shared" si="58"/>
        <v>y</v>
      </c>
      <c r="EMP1" s="154" t="str">
        <f t="shared" si="58"/>
        <v>y</v>
      </c>
      <c r="EMQ1" s="154" t="str">
        <f t="shared" si="58"/>
        <v>y</v>
      </c>
      <c r="EMR1" s="154" t="str">
        <f t="shared" si="58"/>
        <v>y</v>
      </c>
      <c r="EMS1" s="154" t="str">
        <f t="shared" si="58"/>
        <v>y</v>
      </c>
      <c r="EMT1" s="154" t="str">
        <f t="shared" si="58"/>
        <v>y</v>
      </c>
      <c r="EMU1" s="154" t="str">
        <f t="shared" si="58"/>
        <v>y</v>
      </c>
      <c r="EMV1" s="154" t="str">
        <f t="shared" si="58"/>
        <v>y</v>
      </c>
      <c r="EMW1" s="154" t="str">
        <f t="shared" si="58"/>
        <v>y</v>
      </c>
      <c r="EMX1" s="154" t="str">
        <f t="shared" si="58"/>
        <v>y</v>
      </c>
      <c r="EMY1" s="154" t="str">
        <f t="shared" si="58"/>
        <v>y</v>
      </c>
      <c r="EMZ1" s="154" t="str">
        <f t="shared" si="58"/>
        <v>y</v>
      </c>
      <c r="ENA1" s="154" t="str">
        <f t="shared" si="58"/>
        <v>y</v>
      </c>
      <c r="ENB1" s="154" t="str">
        <f t="shared" si="58"/>
        <v>y</v>
      </c>
      <c r="ENC1" s="154" t="str">
        <f t="shared" si="58"/>
        <v>y</v>
      </c>
      <c r="END1" s="154" t="str">
        <f t="shared" si="58"/>
        <v>y</v>
      </c>
      <c r="ENE1" s="154" t="str">
        <f t="shared" si="58"/>
        <v>y</v>
      </c>
      <c r="ENF1" s="154" t="str">
        <f t="shared" si="58"/>
        <v>y</v>
      </c>
      <c r="ENG1" s="154" t="str">
        <f t="shared" si="58"/>
        <v>y</v>
      </c>
      <c r="ENH1" s="154" t="str">
        <f t="shared" si="58"/>
        <v>y</v>
      </c>
      <c r="ENI1" s="154" t="str">
        <f t="shared" si="58"/>
        <v>y</v>
      </c>
      <c r="ENJ1" s="154" t="str">
        <f t="shared" si="58"/>
        <v>y</v>
      </c>
      <c r="ENK1" s="154" t="str">
        <f t="shared" si="58"/>
        <v>y</v>
      </c>
      <c r="ENL1" s="154" t="str">
        <f t="shared" si="58"/>
        <v>y</v>
      </c>
      <c r="ENM1" s="154" t="str">
        <f t="shared" si="58"/>
        <v>y</v>
      </c>
      <c r="ENN1" s="154" t="str">
        <f t="shared" si="58"/>
        <v>y</v>
      </c>
      <c r="ENO1" s="154" t="str">
        <f t="shared" si="58"/>
        <v>y</v>
      </c>
      <c r="ENP1" s="154" t="str">
        <f t="shared" si="58"/>
        <v>y</v>
      </c>
      <c r="ENQ1" s="154" t="str">
        <f t="shared" si="58"/>
        <v>y</v>
      </c>
      <c r="ENR1" s="154" t="str">
        <f t="shared" si="58"/>
        <v>y</v>
      </c>
      <c r="ENS1" s="154" t="str">
        <f t="shared" si="58"/>
        <v>y</v>
      </c>
      <c r="ENT1" s="154" t="str">
        <f t="shared" si="58"/>
        <v>y</v>
      </c>
      <c r="ENU1" s="154" t="str">
        <f t="shared" si="58"/>
        <v>y</v>
      </c>
      <c r="ENV1" s="154" t="str">
        <f t="shared" si="58"/>
        <v>y</v>
      </c>
      <c r="ENW1" s="154" t="str">
        <f t="shared" si="58"/>
        <v>y</v>
      </c>
      <c r="ENX1" s="154" t="str">
        <f t="shared" si="58"/>
        <v>y</v>
      </c>
      <c r="ENY1" s="154" t="str">
        <f t="shared" si="58"/>
        <v>y</v>
      </c>
      <c r="ENZ1" s="154" t="str">
        <f t="shared" si="58"/>
        <v>y</v>
      </c>
      <c r="EOA1" s="154" t="str">
        <f t="shared" si="58"/>
        <v>y</v>
      </c>
      <c r="EOB1" s="154" t="str">
        <f t="shared" si="58"/>
        <v>y</v>
      </c>
      <c r="EOC1" s="154" t="str">
        <f t="shared" si="58"/>
        <v>y</v>
      </c>
      <c r="EOD1" s="154" t="str">
        <f t="shared" si="58"/>
        <v>y</v>
      </c>
      <c r="EOE1" s="154" t="str">
        <f t="shared" si="58"/>
        <v>y</v>
      </c>
      <c r="EOF1" s="154" t="str">
        <f t="shared" si="58"/>
        <v>y</v>
      </c>
      <c r="EOG1" s="154" t="str">
        <f t="shared" si="58"/>
        <v>y</v>
      </c>
      <c r="EOH1" s="154" t="str">
        <f t="shared" si="58"/>
        <v>y</v>
      </c>
      <c r="EOI1" s="154" t="str">
        <f t="shared" si="58"/>
        <v>y</v>
      </c>
      <c r="EOJ1" s="154" t="str">
        <f t="shared" ref="EOJ1:EQU1" si="59">EOJ2&amp;"y"</f>
        <v>y</v>
      </c>
      <c r="EOK1" s="154" t="str">
        <f t="shared" si="59"/>
        <v>y</v>
      </c>
      <c r="EOL1" s="154" t="str">
        <f t="shared" si="59"/>
        <v>y</v>
      </c>
      <c r="EOM1" s="154" t="str">
        <f t="shared" si="59"/>
        <v>y</v>
      </c>
      <c r="EON1" s="154" t="str">
        <f t="shared" si="59"/>
        <v>y</v>
      </c>
      <c r="EOO1" s="154" t="str">
        <f t="shared" si="59"/>
        <v>y</v>
      </c>
      <c r="EOP1" s="154" t="str">
        <f t="shared" si="59"/>
        <v>y</v>
      </c>
      <c r="EOQ1" s="154" t="str">
        <f t="shared" si="59"/>
        <v>y</v>
      </c>
      <c r="EOR1" s="154" t="str">
        <f t="shared" si="59"/>
        <v>y</v>
      </c>
      <c r="EOS1" s="154" t="str">
        <f t="shared" si="59"/>
        <v>y</v>
      </c>
      <c r="EOT1" s="154" t="str">
        <f t="shared" si="59"/>
        <v>y</v>
      </c>
      <c r="EOU1" s="154" t="str">
        <f t="shared" si="59"/>
        <v>y</v>
      </c>
      <c r="EOV1" s="154" t="str">
        <f t="shared" si="59"/>
        <v>y</v>
      </c>
      <c r="EOW1" s="154" t="str">
        <f t="shared" si="59"/>
        <v>y</v>
      </c>
      <c r="EOX1" s="154" t="str">
        <f t="shared" si="59"/>
        <v>y</v>
      </c>
      <c r="EOY1" s="154" t="str">
        <f t="shared" si="59"/>
        <v>y</v>
      </c>
      <c r="EOZ1" s="154" t="str">
        <f t="shared" si="59"/>
        <v>y</v>
      </c>
      <c r="EPA1" s="154" t="str">
        <f t="shared" si="59"/>
        <v>y</v>
      </c>
      <c r="EPB1" s="154" t="str">
        <f t="shared" si="59"/>
        <v>y</v>
      </c>
      <c r="EPC1" s="154" t="str">
        <f t="shared" si="59"/>
        <v>y</v>
      </c>
      <c r="EPD1" s="154" t="str">
        <f t="shared" si="59"/>
        <v>y</v>
      </c>
      <c r="EPE1" s="154" t="str">
        <f t="shared" si="59"/>
        <v>y</v>
      </c>
      <c r="EPF1" s="154" t="str">
        <f t="shared" si="59"/>
        <v>y</v>
      </c>
      <c r="EPG1" s="154" t="str">
        <f t="shared" si="59"/>
        <v>y</v>
      </c>
      <c r="EPH1" s="154" t="str">
        <f t="shared" si="59"/>
        <v>y</v>
      </c>
      <c r="EPI1" s="154" t="str">
        <f t="shared" si="59"/>
        <v>y</v>
      </c>
      <c r="EPJ1" s="154" t="str">
        <f t="shared" si="59"/>
        <v>y</v>
      </c>
      <c r="EPK1" s="154" t="str">
        <f t="shared" si="59"/>
        <v>y</v>
      </c>
      <c r="EPL1" s="154" t="str">
        <f t="shared" si="59"/>
        <v>y</v>
      </c>
      <c r="EPM1" s="154" t="str">
        <f t="shared" si="59"/>
        <v>y</v>
      </c>
      <c r="EPN1" s="154" t="str">
        <f t="shared" si="59"/>
        <v>y</v>
      </c>
      <c r="EPO1" s="154" t="str">
        <f t="shared" si="59"/>
        <v>y</v>
      </c>
      <c r="EPP1" s="154" t="str">
        <f t="shared" si="59"/>
        <v>y</v>
      </c>
      <c r="EPQ1" s="154" t="str">
        <f t="shared" si="59"/>
        <v>y</v>
      </c>
      <c r="EPR1" s="154" t="str">
        <f t="shared" si="59"/>
        <v>y</v>
      </c>
      <c r="EPS1" s="154" t="str">
        <f t="shared" si="59"/>
        <v>y</v>
      </c>
      <c r="EPT1" s="154" t="str">
        <f t="shared" si="59"/>
        <v>y</v>
      </c>
      <c r="EPU1" s="154" t="str">
        <f t="shared" si="59"/>
        <v>y</v>
      </c>
      <c r="EPV1" s="154" t="str">
        <f t="shared" si="59"/>
        <v>y</v>
      </c>
      <c r="EPW1" s="154" t="str">
        <f t="shared" si="59"/>
        <v>y</v>
      </c>
      <c r="EPX1" s="154" t="str">
        <f t="shared" si="59"/>
        <v>y</v>
      </c>
      <c r="EPY1" s="154" t="str">
        <f t="shared" si="59"/>
        <v>y</v>
      </c>
      <c r="EPZ1" s="154" t="str">
        <f t="shared" si="59"/>
        <v>y</v>
      </c>
      <c r="EQA1" s="154" t="str">
        <f t="shared" si="59"/>
        <v>y</v>
      </c>
      <c r="EQB1" s="154" t="str">
        <f t="shared" si="59"/>
        <v>y</v>
      </c>
      <c r="EQC1" s="154" t="str">
        <f t="shared" si="59"/>
        <v>y</v>
      </c>
      <c r="EQD1" s="154" t="str">
        <f t="shared" si="59"/>
        <v>y</v>
      </c>
      <c r="EQE1" s="154" t="str">
        <f t="shared" si="59"/>
        <v>y</v>
      </c>
      <c r="EQF1" s="154" t="str">
        <f t="shared" si="59"/>
        <v>y</v>
      </c>
      <c r="EQG1" s="154" t="str">
        <f t="shared" si="59"/>
        <v>y</v>
      </c>
      <c r="EQH1" s="154" t="str">
        <f t="shared" si="59"/>
        <v>y</v>
      </c>
      <c r="EQI1" s="154" t="str">
        <f t="shared" si="59"/>
        <v>y</v>
      </c>
      <c r="EQJ1" s="154" t="str">
        <f t="shared" si="59"/>
        <v>y</v>
      </c>
      <c r="EQK1" s="154" t="str">
        <f t="shared" si="59"/>
        <v>y</v>
      </c>
      <c r="EQL1" s="154" t="str">
        <f t="shared" si="59"/>
        <v>y</v>
      </c>
      <c r="EQM1" s="154" t="str">
        <f t="shared" si="59"/>
        <v>y</v>
      </c>
      <c r="EQN1" s="154" t="str">
        <f t="shared" si="59"/>
        <v>y</v>
      </c>
      <c r="EQO1" s="154" t="str">
        <f t="shared" si="59"/>
        <v>y</v>
      </c>
      <c r="EQP1" s="154" t="str">
        <f t="shared" si="59"/>
        <v>y</v>
      </c>
      <c r="EQQ1" s="154" t="str">
        <f t="shared" si="59"/>
        <v>y</v>
      </c>
      <c r="EQR1" s="154" t="str">
        <f t="shared" si="59"/>
        <v>y</v>
      </c>
      <c r="EQS1" s="154" t="str">
        <f t="shared" si="59"/>
        <v>y</v>
      </c>
      <c r="EQT1" s="154" t="str">
        <f t="shared" si="59"/>
        <v>y</v>
      </c>
      <c r="EQU1" s="154" t="str">
        <f t="shared" si="59"/>
        <v>y</v>
      </c>
      <c r="EQV1" s="154" t="str">
        <f t="shared" ref="EQV1:ETG1" si="60">EQV2&amp;"y"</f>
        <v>y</v>
      </c>
      <c r="EQW1" s="154" t="str">
        <f t="shared" si="60"/>
        <v>y</v>
      </c>
      <c r="EQX1" s="154" t="str">
        <f t="shared" si="60"/>
        <v>y</v>
      </c>
      <c r="EQY1" s="154" t="str">
        <f t="shared" si="60"/>
        <v>y</v>
      </c>
      <c r="EQZ1" s="154" t="str">
        <f t="shared" si="60"/>
        <v>y</v>
      </c>
      <c r="ERA1" s="154" t="str">
        <f t="shared" si="60"/>
        <v>y</v>
      </c>
      <c r="ERB1" s="154" t="str">
        <f t="shared" si="60"/>
        <v>y</v>
      </c>
      <c r="ERC1" s="154" t="str">
        <f t="shared" si="60"/>
        <v>y</v>
      </c>
      <c r="ERD1" s="154" t="str">
        <f t="shared" si="60"/>
        <v>y</v>
      </c>
      <c r="ERE1" s="154" t="str">
        <f t="shared" si="60"/>
        <v>y</v>
      </c>
      <c r="ERF1" s="154" t="str">
        <f t="shared" si="60"/>
        <v>y</v>
      </c>
      <c r="ERG1" s="154" t="str">
        <f t="shared" si="60"/>
        <v>y</v>
      </c>
      <c r="ERH1" s="154" t="str">
        <f t="shared" si="60"/>
        <v>y</v>
      </c>
      <c r="ERI1" s="154" t="str">
        <f t="shared" si="60"/>
        <v>y</v>
      </c>
      <c r="ERJ1" s="154" t="str">
        <f t="shared" si="60"/>
        <v>y</v>
      </c>
      <c r="ERK1" s="154" t="str">
        <f t="shared" si="60"/>
        <v>y</v>
      </c>
      <c r="ERL1" s="154" t="str">
        <f t="shared" si="60"/>
        <v>y</v>
      </c>
      <c r="ERM1" s="154" t="str">
        <f t="shared" si="60"/>
        <v>y</v>
      </c>
      <c r="ERN1" s="154" t="str">
        <f t="shared" si="60"/>
        <v>y</v>
      </c>
      <c r="ERO1" s="154" t="str">
        <f t="shared" si="60"/>
        <v>y</v>
      </c>
      <c r="ERP1" s="154" t="str">
        <f t="shared" si="60"/>
        <v>y</v>
      </c>
      <c r="ERQ1" s="154" t="str">
        <f t="shared" si="60"/>
        <v>y</v>
      </c>
      <c r="ERR1" s="154" t="str">
        <f t="shared" si="60"/>
        <v>y</v>
      </c>
      <c r="ERS1" s="154" t="str">
        <f t="shared" si="60"/>
        <v>y</v>
      </c>
      <c r="ERT1" s="154" t="str">
        <f t="shared" si="60"/>
        <v>y</v>
      </c>
      <c r="ERU1" s="154" t="str">
        <f t="shared" si="60"/>
        <v>y</v>
      </c>
      <c r="ERV1" s="154" t="str">
        <f t="shared" si="60"/>
        <v>y</v>
      </c>
      <c r="ERW1" s="154" t="str">
        <f t="shared" si="60"/>
        <v>y</v>
      </c>
      <c r="ERX1" s="154" t="str">
        <f t="shared" si="60"/>
        <v>y</v>
      </c>
      <c r="ERY1" s="154" t="str">
        <f t="shared" si="60"/>
        <v>y</v>
      </c>
      <c r="ERZ1" s="154" t="str">
        <f t="shared" si="60"/>
        <v>y</v>
      </c>
      <c r="ESA1" s="154" t="str">
        <f t="shared" si="60"/>
        <v>y</v>
      </c>
      <c r="ESB1" s="154" t="str">
        <f t="shared" si="60"/>
        <v>y</v>
      </c>
      <c r="ESC1" s="154" t="str">
        <f t="shared" si="60"/>
        <v>y</v>
      </c>
      <c r="ESD1" s="154" t="str">
        <f t="shared" si="60"/>
        <v>y</v>
      </c>
      <c r="ESE1" s="154" t="str">
        <f t="shared" si="60"/>
        <v>y</v>
      </c>
      <c r="ESF1" s="154" t="str">
        <f t="shared" si="60"/>
        <v>y</v>
      </c>
      <c r="ESG1" s="154" t="str">
        <f t="shared" si="60"/>
        <v>y</v>
      </c>
      <c r="ESH1" s="154" t="str">
        <f t="shared" si="60"/>
        <v>y</v>
      </c>
      <c r="ESI1" s="154" t="str">
        <f t="shared" si="60"/>
        <v>y</v>
      </c>
      <c r="ESJ1" s="154" t="str">
        <f t="shared" si="60"/>
        <v>y</v>
      </c>
      <c r="ESK1" s="154" t="str">
        <f t="shared" si="60"/>
        <v>y</v>
      </c>
      <c r="ESL1" s="154" t="str">
        <f t="shared" si="60"/>
        <v>y</v>
      </c>
      <c r="ESM1" s="154" t="str">
        <f t="shared" si="60"/>
        <v>y</v>
      </c>
      <c r="ESN1" s="154" t="str">
        <f t="shared" si="60"/>
        <v>y</v>
      </c>
      <c r="ESO1" s="154" t="str">
        <f t="shared" si="60"/>
        <v>y</v>
      </c>
      <c r="ESP1" s="154" t="str">
        <f t="shared" si="60"/>
        <v>y</v>
      </c>
      <c r="ESQ1" s="154" t="str">
        <f t="shared" si="60"/>
        <v>y</v>
      </c>
      <c r="ESR1" s="154" t="str">
        <f t="shared" si="60"/>
        <v>y</v>
      </c>
      <c r="ESS1" s="154" t="str">
        <f t="shared" si="60"/>
        <v>y</v>
      </c>
      <c r="EST1" s="154" t="str">
        <f t="shared" si="60"/>
        <v>y</v>
      </c>
      <c r="ESU1" s="154" t="str">
        <f t="shared" si="60"/>
        <v>y</v>
      </c>
      <c r="ESV1" s="154" t="str">
        <f t="shared" si="60"/>
        <v>y</v>
      </c>
      <c r="ESW1" s="154" t="str">
        <f t="shared" si="60"/>
        <v>y</v>
      </c>
      <c r="ESX1" s="154" t="str">
        <f t="shared" si="60"/>
        <v>y</v>
      </c>
      <c r="ESY1" s="154" t="str">
        <f t="shared" si="60"/>
        <v>y</v>
      </c>
      <c r="ESZ1" s="154" t="str">
        <f t="shared" si="60"/>
        <v>y</v>
      </c>
      <c r="ETA1" s="154" t="str">
        <f t="shared" si="60"/>
        <v>y</v>
      </c>
      <c r="ETB1" s="154" t="str">
        <f t="shared" si="60"/>
        <v>y</v>
      </c>
      <c r="ETC1" s="154" t="str">
        <f t="shared" si="60"/>
        <v>y</v>
      </c>
      <c r="ETD1" s="154" t="str">
        <f t="shared" si="60"/>
        <v>y</v>
      </c>
      <c r="ETE1" s="154" t="str">
        <f t="shared" si="60"/>
        <v>y</v>
      </c>
      <c r="ETF1" s="154" t="str">
        <f t="shared" si="60"/>
        <v>y</v>
      </c>
      <c r="ETG1" s="154" t="str">
        <f t="shared" si="60"/>
        <v>y</v>
      </c>
      <c r="ETH1" s="154" t="str">
        <f t="shared" ref="ETH1:EVS1" si="61">ETH2&amp;"y"</f>
        <v>y</v>
      </c>
      <c r="ETI1" s="154" t="str">
        <f t="shared" si="61"/>
        <v>y</v>
      </c>
      <c r="ETJ1" s="154" t="str">
        <f t="shared" si="61"/>
        <v>y</v>
      </c>
      <c r="ETK1" s="154" t="str">
        <f t="shared" si="61"/>
        <v>y</v>
      </c>
      <c r="ETL1" s="154" t="str">
        <f t="shared" si="61"/>
        <v>y</v>
      </c>
      <c r="ETM1" s="154" t="str">
        <f t="shared" si="61"/>
        <v>y</v>
      </c>
      <c r="ETN1" s="154" t="str">
        <f t="shared" si="61"/>
        <v>y</v>
      </c>
      <c r="ETO1" s="154" t="str">
        <f t="shared" si="61"/>
        <v>y</v>
      </c>
      <c r="ETP1" s="154" t="str">
        <f t="shared" si="61"/>
        <v>y</v>
      </c>
      <c r="ETQ1" s="154" t="str">
        <f t="shared" si="61"/>
        <v>y</v>
      </c>
      <c r="ETR1" s="154" t="str">
        <f t="shared" si="61"/>
        <v>y</v>
      </c>
      <c r="ETS1" s="154" t="str">
        <f t="shared" si="61"/>
        <v>y</v>
      </c>
      <c r="ETT1" s="154" t="str">
        <f t="shared" si="61"/>
        <v>y</v>
      </c>
      <c r="ETU1" s="154" t="str">
        <f t="shared" si="61"/>
        <v>y</v>
      </c>
      <c r="ETV1" s="154" t="str">
        <f t="shared" si="61"/>
        <v>y</v>
      </c>
      <c r="ETW1" s="154" t="str">
        <f t="shared" si="61"/>
        <v>y</v>
      </c>
      <c r="ETX1" s="154" t="str">
        <f t="shared" si="61"/>
        <v>y</v>
      </c>
      <c r="ETY1" s="154" t="str">
        <f t="shared" si="61"/>
        <v>y</v>
      </c>
      <c r="ETZ1" s="154" t="str">
        <f t="shared" si="61"/>
        <v>y</v>
      </c>
      <c r="EUA1" s="154" t="str">
        <f t="shared" si="61"/>
        <v>y</v>
      </c>
      <c r="EUB1" s="154" t="str">
        <f t="shared" si="61"/>
        <v>y</v>
      </c>
      <c r="EUC1" s="154" t="str">
        <f t="shared" si="61"/>
        <v>y</v>
      </c>
      <c r="EUD1" s="154" t="str">
        <f t="shared" si="61"/>
        <v>y</v>
      </c>
      <c r="EUE1" s="154" t="str">
        <f t="shared" si="61"/>
        <v>y</v>
      </c>
      <c r="EUF1" s="154" t="str">
        <f t="shared" si="61"/>
        <v>y</v>
      </c>
      <c r="EUG1" s="154" t="str">
        <f t="shared" si="61"/>
        <v>y</v>
      </c>
      <c r="EUH1" s="154" t="str">
        <f t="shared" si="61"/>
        <v>y</v>
      </c>
      <c r="EUI1" s="154" t="str">
        <f t="shared" si="61"/>
        <v>y</v>
      </c>
      <c r="EUJ1" s="154" t="str">
        <f t="shared" si="61"/>
        <v>y</v>
      </c>
      <c r="EUK1" s="154" t="str">
        <f t="shared" si="61"/>
        <v>y</v>
      </c>
      <c r="EUL1" s="154" t="str">
        <f t="shared" si="61"/>
        <v>y</v>
      </c>
      <c r="EUM1" s="154" t="str">
        <f t="shared" si="61"/>
        <v>y</v>
      </c>
      <c r="EUN1" s="154" t="str">
        <f t="shared" si="61"/>
        <v>y</v>
      </c>
      <c r="EUO1" s="154" t="str">
        <f t="shared" si="61"/>
        <v>y</v>
      </c>
      <c r="EUP1" s="154" t="str">
        <f t="shared" si="61"/>
        <v>y</v>
      </c>
      <c r="EUQ1" s="154" t="str">
        <f t="shared" si="61"/>
        <v>y</v>
      </c>
      <c r="EUR1" s="154" t="str">
        <f t="shared" si="61"/>
        <v>y</v>
      </c>
      <c r="EUS1" s="154" t="str">
        <f t="shared" si="61"/>
        <v>y</v>
      </c>
      <c r="EUT1" s="154" t="str">
        <f t="shared" si="61"/>
        <v>y</v>
      </c>
      <c r="EUU1" s="154" t="str">
        <f t="shared" si="61"/>
        <v>y</v>
      </c>
      <c r="EUV1" s="154" t="str">
        <f t="shared" si="61"/>
        <v>y</v>
      </c>
      <c r="EUW1" s="154" t="str">
        <f t="shared" si="61"/>
        <v>y</v>
      </c>
      <c r="EUX1" s="154" t="str">
        <f t="shared" si="61"/>
        <v>y</v>
      </c>
      <c r="EUY1" s="154" t="str">
        <f t="shared" si="61"/>
        <v>y</v>
      </c>
      <c r="EUZ1" s="154" t="str">
        <f t="shared" si="61"/>
        <v>y</v>
      </c>
      <c r="EVA1" s="154" t="str">
        <f t="shared" si="61"/>
        <v>y</v>
      </c>
      <c r="EVB1" s="154" t="str">
        <f t="shared" si="61"/>
        <v>y</v>
      </c>
      <c r="EVC1" s="154" t="str">
        <f t="shared" si="61"/>
        <v>y</v>
      </c>
      <c r="EVD1" s="154" t="str">
        <f t="shared" si="61"/>
        <v>y</v>
      </c>
      <c r="EVE1" s="154" t="str">
        <f t="shared" si="61"/>
        <v>y</v>
      </c>
      <c r="EVF1" s="154" t="str">
        <f t="shared" si="61"/>
        <v>y</v>
      </c>
      <c r="EVG1" s="154" t="str">
        <f t="shared" si="61"/>
        <v>y</v>
      </c>
      <c r="EVH1" s="154" t="str">
        <f t="shared" si="61"/>
        <v>y</v>
      </c>
      <c r="EVI1" s="154" t="str">
        <f t="shared" si="61"/>
        <v>y</v>
      </c>
      <c r="EVJ1" s="154" t="str">
        <f t="shared" si="61"/>
        <v>y</v>
      </c>
      <c r="EVK1" s="154" t="str">
        <f t="shared" si="61"/>
        <v>y</v>
      </c>
      <c r="EVL1" s="154" t="str">
        <f t="shared" si="61"/>
        <v>y</v>
      </c>
      <c r="EVM1" s="154" t="str">
        <f t="shared" si="61"/>
        <v>y</v>
      </c>
      <c r="EVN1" s="154" t="str">
        <f t="shared" si="61"/>
        <v>y</v>
      </c>
      <c r="EVO1" s="154" t="str">
        <f t="shared" si="61"/>
        <v>y</v>
      </c>
      <c r="EVP1" s="154" t="str">
        <f t="shared" si="61"/>
        <v>y</v>
      </c>
      <c r="EVQ1" s="154" t="str">
        <f t="shared" si="61"/>
        <v>y</v>
      </c>
      <c r="EVR1" s="154" t="str">
        <f t="shared" si="61"/>
        <v>y</v>
      </c>
      <c r="EVS1" s="154" t="str">
        <f t="shared" si="61"/>
        <v>y</v>
      </c>
      <c r="EVT1" s="154" t="str">
        <f t="shared" ref="EVT1:EYE1" si="62">EVT2&amp;"y"</f>
        <v>y</v>
      </c>
      <c r="EVU1" s="154" t="str">
        <f t="shared" si="62"/>
        <v>y</v>
      </c>
      <c r="EVV1" s="154" t="str">
        <f t="shared" si="62"/>
        <v>y</v>
      </c>
      <c r="EVW1" s="154" t="str">
        <f t="shared" si="62"/>
        <v>y</v>
      </c>
      <c r="EVX1" s="154" t="str">
        <f t="shared" si="62"/>
        <v>y</v>
      </c>
      <c r="EVY1" s="154" t="str">
        <f t="shared" si="62"/>
        <v>y</v>
      </c>
      <c r="EVZ1" s="154" t="str">
        <f t="shared" si="62"/>
        <v>y</v>
      </c>
      <c r="EWA1" s="154" t="str">
        <f t="shared" si="62"/>
        <v>y</v>
      </c>
      <c r="EWB1" s="154" t="str">
        <f t="shared" si="62"/>
        <v>y</v>
      </c>
      <c r="EWC1" s="154" t="str">
        <f t="shared" si="62"/>
        <v>y</v>
      </c>
      <c r="EWD1" s="154" t="str">
        <f t="shared" si="62"/>
        <v>y</v>
      </c>
      <c r="EWE1" s="154" t="str">
        <f t="shared" si="62"/>
        <v>y</v>
      </c>
      <c r="EWF1" s="154" t="str">
        <f t="shared" si="62"/>
        <v>y</v>
      </c>
      <c r="EWG1" s="154" t="str">
        <f t="shared" si="62"/>
        <v>y</v>
      </c>
      <c r="EWH1" s="154" t="str">
        <f t="shared" si="62"/>
        <v>y</v>
      </c>
      <c r="EWI1" s="154" t="str">
        <f t="shared" si="62"/>
        <v>y</v>
      </c>
      <c r="EWJ1" s="154" t="str">
        <f t="shared" si="62"/>
        <v>y</v>
      </c>
      <c r="EWK1" s="154" t="str">
        <f t="shared" si="62"/>
        <v>y</v>
      </c>
      <c r="EWL1" s="154" t="str">
        <f t="shared" si="62"/>
        <v>y</v>
      </c>
      <c r="EWM1" s="154" t="str">
        <f t="shared" si="62"/>
        <v>y</v>
      </c>
      <c r="EWN1" s="154" t="str">
        <f t="shared" si="62"/>
        <v>y</v>
      </c>
      <c r="EWO1" s="154" t="str">
        <f t="shared" si="62"/>
        <v>y</v>
      </c>
      <c r="EWP1" s="154" t="str">
        <f t="shared" si="62"/>
        <v>y</v>
      </c>
      <c r="EWQ1" s="154" t="str">
        <f t="shared" si="62"/>
        <v>y</v>
      </c>
      <c r="EWR1" s="154" t="str">
        <f t="shared" si="62"/>
        <v>y</v>
      </c>
      <c r="EWS1" s="154" t="str">
        <f t="shared" si="62"/>
        <v>y</v>
      </c>
      <c r="EWT1" s="154" t="str">
        <f t="shared" si="62"/>
        <v>y</v>
      </c>
      <c r="EWU1" s="154" t="str">
        <f t="shared" si="62"/>
        <v>y</v>
      </c>
      <c r="EWV1" s="154" t="str">
        <f t="shared" si="62"/>
        <v>y</v>
      </c>
      <c r="EWW1" s="154" t="str">
        <f t="shared" si="62"/>
        <v>y</v>
      </c>
      <c r="EWX1" s="154" t="str">
        <f t="shared" si="62"/>
        <v>y</v>
      </c>
      <c r="EWY1" s="154" t="str">
        <f t="shared" si="62"/>
        <v>y</v>
      </c>
      <c r="EWZ1" s="154" t="str">
        <f t="shared" si="62"/>
        <v>y</v>
      </c>
      <c r="EXA1" s="154" t="str">
        <f t="shared" si="62"/>
        <v>y</v>
      </c>
      <c r="EXB1" s="154" t="str">
        <f t="shared" si="62"/>
        <v>y</v>
      </c>
      <c r="EXC1" s="154" t="str">
        <f t="shared" si="62"/>
        <v>y</v>
      </c>
      <c r="EXD1" s="154" t="str">
        <f t="shared" si="62"/>
        <v>y</v>
      </c>
      <c r="EXE1" s="154" t="str">
        <f t="shared" si="62"/>
        <v>y</v>
      </c>
      <c r="EXF1" s="154" t="str">
        <f t="shared" si="62"/>
        <v>y</v>
      </c>
      <c r="EXG1" s="154" t="str">
        <f t="shared" si="62"/>
        <v>y</v>
      </c>
      <c r="EXH1" s="154" t="str">
        <f t="shared" si="62"/>
        <v>y</v>
      </c>
      <c r="EXI1" s="154" t="str">
        <f t="shared" si="62"/>
        <v>y</v>
      </c>
      <c r="EXJ1" s="154" t="str">
        <f t="shared" si="62"/>
        <v>y</v>
      </c>
      <c r="EXK1" s="154" t="str">
        <f t="shared" si="62"/>
        <v>y</v>
      </c>
      <c r="EXL1" s="154" t="str">
        <f t="shared" si="62"/>
        <v>y</v>
      </c>
      <c r="EXM1" s="154" t="str">
        <f t="shared" si="62"/>
        <v>y</v>
      </c>
      <c r="EXN1" s="154" t="str">
        <f t="shared" si="62"/>
        <v>y</v>
      </c>
      <c r="EXO1" s="154" t="str">
        <f t="shared" si="62"/>
        <v>y</v>
      </c>
      <c r="EXP1" s="154" t="str">
        <f t="shared" si="62"/>
        <v>y</v>
      </c>
      <c r="EXQ1" s="154" t="str">
        <f t="shared" si="62"/>
        <v>y</v>
      </c>
      <c r="EXR1" s="154" t="str">
        <f t="shared" si="62"/>
        <v>y</v>
      </c>
      <c r="EXS1" s="154" t="str">
        <f t="shared" si="62"/>
        <v>y</v>
      </c>
      <c r="EXT1" s="154" t="str">
        <f t="shared" si="62"/>
        <v>y</v>
      </c>
      <c r="EXU1" s="154" t="str">
        <f t="shared" si="62"/>
        <v>y</v>
      </c>
      <c r="EXV1" s="154" t="str">
        <f t="shared" si="62"/>
        <v>y</v>
      </c>
      <c r="EXW1" s="154" t="str">
        <f t="shared" si="62"/>
        <v>y</v>
      </c>
      <c r="EXX1" s="154" t="str">
        <f t="shared" si="62"/>
        <v>y</v>
      </c>
      <c r="EXY1" s="154" t="str">
        <f t="shared" si="62"/>
        <v>y</v>
      </c>
      <c r="EXZ1" s="154" t="str">
        <f t="shared" si="62"/>
        <v>y</v>
      </c>
      <c r="EYA1" s="154" t="str">
        <f t="shared" si="62"/>
        <v>y</v>
      </c>
      <c r="EYB1" s="154" t="str">
        <f t="shared" si="62"/>
        <v>y</v>
      </c>
      <c r="EYC1" s="154" t="str">
        <f t="shared" si="62"/>
        <v>y</v>
      </c>
      <c r="EYD1" s="154" t="str">
        <f t="shared" si="62"/>
        <v>y</v>
      </c>
      <c r="EYE1" s="154" t="str">
        <f t="shared" si="62"/>
        <v>y</v>
      </c>
      <c r="EYF1" s="154" t="str">
        <f t="shared" ref="EYF1:FAQ1" si="63">EYF2&amp;"y"</f>
        <v>y</v>
      </c>
      <c r="EYG1" s="154" t="str">
        <f t="shared" si="63"/>
        <v>y</v>
      </c>
      <c r="EYH1" s="154" t="str">
        <f t="shared" si="63"/>
        <v>y</v>
      </c>
      <c r="EYI1" s="154" t="str">
        <f t="shared" si="63"/>
        <v>y</v>
      </c>
      <c r="EYJ1" s="154" t="str">
        <f t="shared" si="63"/>
        <v>y</v>
      </c>
      <c r="EYK1" s="154" t="str">
        <f t="shared" si="63"/>
        <v>y</v>
      </c>
      <c r="EYL1" s="154" t="str">
        <f t="shared" si="63"/>
        <v>y</v>
      </c>
      <c r="EYM1" s="154" t="str">
        <f t="shared" si="63"/>
        <v>y</v>
      </c>
      <c r="EYN1" s="154" t="str">
        <f t="shared" si="63"/>
        <v>y</v>
      </c>
      <c r="EYO1" s="154" t="str">
        <f t="shared" si="63"/>
        <v>y</v>
      </c>
      <c r="EYP1" s="154" t="str">
        <f t="shared" si="63"/>
        <v>y</v>
      </c>
      <c r="EYQ1" s="154" t="str">
        <f t="shared" si="63"/>
        <v>y</v>
      </c>
      <c r="EYR1" s="154" t="str">
        <f t="shared" si="63"/>
        <v>y</v>
      </c>
      <c r="EYS1" s="154" t="str">
        <f t="shared" si="63"/>
        <v>y</v>
      </c>
      <c r="EYT1" s="154" t="str">
        <f t="shared" si="63"/>
        <v>y</v>
      </c>
      <c r="EYU1" s="154" t="str">
        <f t="shared" si="63"/>
        <v>y</v>
      </c>
      <c r="EYV1" s="154" t="str">
        <f t="shared" si="63"/>
        <v>y</v>
      </c>
      <c r="EYW1" s="154" t="str">
        <f t="shared" si="63"/>
        <v>y</v>
      </c>
      <c r="EYX1" s="154" t="str">
        <f t="shared" si="63"/>
        <v>y</v>
      </c>
      <c r="EYY1" s="154" t="str">
        <f t="shared" si="63"/>
        <v>y</v>
      </c>
      <c r="EYZ1" s="154" t="str">
        <f t="shared" si="63"/>
        <v>y</v>
      </c>
      <c r="EZA1" s="154" t="str">
        <f t="shared" si="63"/>
        <v>y</v>
      </c>
      <c r="EZB1" s="154" t="str">
        <f t="shared" si="63"/>
        <v>y</v>
      </c>
      <c r="EZC1" s="154" t="str">
        <f t="shared" si="63"/>
        <v>y</v>
      </c>
      <c r="EZD1" s="154" t="str">
        <f t="shared" si="63"/>
        <v>y</v>
      </c>
      <c r="EZE1" s="154" t="str">
        <f t="shared" si="63"/>
        <v>y</v>
      </c>
      <c r="EZF1" s="154" t="str">
        <f t="shared" si="63"/>
        <v>y</v>
      </c>
      <c r="EZG1" s="154" t="str">
        <f t="shared" si="63"/>
        <v>y</v>
      </c>
      <c r="EZH1" s="154" t="str">
        <f t="shared" si="63"/>
        <v>y</v>
      </c>
      <c r="EZI1" s="154" t="str">
        <f t="shared" si="63"/>
        <v>y</v>
      </c>
      <c r="EZJ1" s="154" t="str">
        <f t="shared" si="63"/>
        <v>y</v>
      </c>
      <c r="EZK1" s="154" t="str">
        <f t="shared" si="63"/>
        <v>y</v>
      </c>
      <c r="EZL1" s="154" t="str">
        <f t="shared" si="63"/>
        <v>y</v>
      </c>
      <c r="EZM1" s="154" t="str">
        <f t="shared" si="63"/>
        <v>y</v>
      </c>
      <c r="EZN1" s="154" t="str">
        <f t="shared" si="63"/>
        <v>y</v>
      </c>
      <c r="EZO1" s="154" t="str">
        <f t="shared" si="63"/>
        <v>y</v>
      </c>
      <c r="EZP1" s="154" t="str">
        <f t="shared" si="63"/>
        <v>y</v>
      </c>
      <c r="EZQ1" s="154" t="str">
        <f t="shared" si="63"/>
        <v>y</v>
      </c>
      <c r="EZR1" s="154" t="str">
        <f t="shared" si="63"/>
        <v>y</v>
      </c>
      <c r="EZS1" s="154" t="str">
        <f t="shared" si="63"/>
        <v>y</v>
      </c>
      <c r="EZT1" s="154" t="str">
        <f t="shared" si="63"/>
        <v>y</v>
      </c>
      <c r="EZU1" s="154" t="str">
        <f t="shared" si="63"/>
        <v>y</v>
      </c>
      <c r="EZV1" s="154" t="str">
        <f t="shared" si="63"/>
        <v>y</v>
      </c>
      <c r="EZW1" s="154" t="str">
        <f t="shared" si="63"/>
        <v>y</v>
      </c>
      <c r="EZX1" s="154" t="str">
        <f t="shared" si="63"/>
        <v>y</v>
      </c>
      <c r="EZY1" s="154" t="str">
        <f t="shared" si="63"/>
        <v>y</v>
      </c>
      <c r="EZZ1" s="154" t="str">
        <f t="shared" si="63"/>
        <v>y</v>
      </c>
      <c r="FAA1" s="154" t="str">
        <f t="shared" si="63"/>
        <v>y</v>
      </c>
      <c r="FAB1" s="154" t="str">
        <f t="shared" si="63"/>
        <v>y</v>
      </c>
      <c r="FAC1" s="154" t="str">
        <f t="shared" si="63"/>
        <v>y</v>
      </c>
      <c r="FAD1" s="154" t="str">
        <f t="shared" si="63"/>
        <v>y</v>
      </c>
      <c r="FAE1" s="154" t="str">
        <f t="shared" si="63"/>
        <v>y</v>
      </c>
      <c r="FAF1" s="154" t="str">
        <f t="shared" si="63"/>
        <v>y</v>
      </c>
      <c r="FAG1" s="154" t="str">
        <f t="shared" si="63"/>
        <v>y</v>
      </c>
      <c r="FAH1" s="154" t="str">
        <f t="shared" si="63"/>
        <v>y</v>
      </c>
      <c r="FAI1" s="154" t="str">
        <f t="shared" si="63"/>
        <v>y</v>
      </c>
      <c r="FAJ1" s="154" t="str">
        <f t="shared" si="63"/>
        <v>y</v>
      </c>
      <c r="FAK1" s="154" t="str">
        <f t="shared" si="63"/>
        <v>y</v>
      </c>
      <c r="FAL1" s="154" t="str">
        <f t="shared" si="63"/>
        <v>y</v>
      </c>
      <c r="FAM1" s="154" t="str">
        <f t="shared" si="63"/>
        <v>y</v>
      </c>
      <c r="FAN1" s="154" t="str">
        <f t="shared" si="63"/>
        <v>y</v>
      </c>
      <c r="FAO1" s="154" t="str">
        <f t="shared" si="63"/>
        <v>y</v>
      </c>
      <c r="FAP1" s="154" t="str">
        <f t="shared" si="63"/>
        <v>y</v>
      </c>
      <c r="FAQ1" s="154" t="str">
        <f t="shared" si="63"/>
        <v>y</v>
      </c>
      <c r="FAR1" s="154" t="str">
        <f t="shared" ref="FAR1:FDC1" si="64">FAR2&amp;"y"</f>
        <v>y</v>
      </c>
      <c r="FAS1" s="154" t="str">
        <f t="shared" si="64"/>
        <v>y</v>
      </c>
      <c r="FAT1" s="154" t="str">
        <f t="shared" si="64"/>
        <v>y</v>
      </c>
      <c r="FAU1" s="154" t="str">
        <f t="shared" si="64"/>
        <v>y</v>
      </c>
      <c r="FAV1" s="154" t="str">
        <f t="shared" si="64"/>
        <v>y</v>
      </c>
      <c r="FAW1" s="154" t="str">
        <f t="shared" si="64"/>
        <v>y</v>
      </c>
      <c r="FAX1" s="154" t="str">
        <f t="shared" si="64"/>
        <v>y</v>
      </c>
      <c r="FAY1" s="154" t="str">
        <f t="shared" si="64"/>
        <v>y</v>
      </c>
      <c r="FAZ1" s="154" t="str">
        <f t="shared" si="64"/>
        <v>y</v>
      </c>
      <c r="FBA1" s="154" t="str">
        <f t="shared" si="64"/>
        <v>y</v>
      </c>
      <c r="FBB1" s="154" t="str">
        <f t="shared" si="64"/>
        <v>y</v>
      </c>
      <c r="FBC1" s="154" t="str">
        <f t="shared" si="64"/>
        <v>y</v>
      </c>
      <c r="FBD1" s="154" t="str">
        <f t="shared" si="64"/>
        <v>y</v>
      </c>
      <c r="FBE1" s="154" t="str">
        <f t="shared" si="64"/>
        <v>y</v>
      </c>
      <c r="FBF1" s="154" t="str">
        <f t="shared" si="64"/>
        <v>y</v>
      </c>
      <c r="FBG1" s="154" t="str">
        <f t="shared" si="64"/>
        <v>y</v>
      </c>
      <c r="FBH1" s="154" t="str">
        <f t="shared" si="64"/>
        <v>y</v>
      </c>
      <c r="FBI1" s="154" t="str">
        <f t="shared" si="64"/>
        <v>y</v>
      </c>
      <c r="FBJ1" s="154" t="str">
        <f t="shared" si="64"/>
        <v>y</v>
      </c>
      <c r="FBK1" s="154" t="str">
        <f t="shared" si="64"/>
        <v>y</v>
      </c>
      <c r="FBL1" s="154" t="str">
        <f t="shared" si="64"/>
        <v>y</v>
      </c>
      <c r="FBM1" s="154" t="str">
        <f t="shared" si="64"/>
        <v>y</v>
      </c>
      <c r="FBN1" s="154" t="str">
        <f t="shared" si="64"/>
        <v>y</v>
      </c>
      <c r="FBO1" s="154" t="str">
        <f t="shared" si="64"/>
        <v>y</v>
      </c>
      <c r="FBP1" s="154" t="str">
        <f t="shared" si="64"/>
        <v>y</v>
      </c>
      <c r="FBQ1" s="154" t="str">
        <f t="shared" si="64"/>
        <v>y</v>
      </c>
      <c r="FBR1" s="154" t="str">
        <f t="shared" si="64"/>
        <v>y</v>
      </c>
      <c r="FBS1" s="154" t="str">
        <f t="shared" si="64"/>
        <v>y</v>
      </c>
      <c r="FBT1" s="154" t="str">
        <f t="shared" si="64"/>
        <v>y</v>
      </c>
      <c r="FBU1" s="154" t="str">
        <f t="shared" si="64"/>
        <v>y</v>
      </c>
      <c r="FBV1" s="154" t="str">
        <f t="shared" si="64"/>
        <v>y</v>
      </c>
      <c r="FBW1" s="154" t="str">
        <f t="shared" si="64"/>
        <v>y</v>
      </c>
      <c r="FBX1" s="154" t="str">
        <f t="shared" si="64"/>
        <v>y</v>
      </c>
      <c r="FBY1" s="154" t="str">
        <f t="shared" si="64"/>
        <v>y</v>
      </c>
      <c r="FBZ1" s="154" t="str">
        <f t="shared" si="64"/>
        <v>y</v>
      </c>
      <c r="FCA1" s="154" t="str">
        <f t="shared" si="64"/>
        <v>y</v>
      </c>
      <c r="FCB1" s="154" t="str">
        <f t="shared" si="64"/>
        <v>y</v>
      </c>
      <c r="FCC1" s="154" t="str">
        <f t="shared" si="64"/>
        <v>y</v>
      </c>
      <c r="FCD1" s="154" t="str">
        <f t="shared" si="64"/>
        <v>y</v>
      </c>
      <c r="FCE1" s="154" t="str">
        <f t="shared" si="64"/>
        <v>y</v>
      </c>
      <c r="FCF1" s="154" t="str">
        <f t="shared" si="64"/>
        <v>y</v>
      </c>
      <c r="FCG1" s="154" t="str">
        <f t="shared" si="64"/>
        <v>y</v>
      </c>
      <c r="FCH1" s="154" t="str">
        <f t="shared" si="64"/>
        <v>y</v>
      </c>
      <c r="FCI1" s="154" t="str">
        <f t="shared" si="64"/>
        <v>y</v>
      </c>
      <c r="FCJ1" s="154" t="str">
        <f t="shared" si="64"/>
        <v>y</v>
      </c>
      <c r="FCK1" s="154" t="str">
        <f t="shared" si="64"/>
        <v>y</v>
      </c>
      <c r="FCL1" s="154" t="str">
        <f t="shared" si="64"/>
        <v>y</v>
      </c>
      <c r="FCM1" s="154" t="str">
        <f t="shared" si="64"/>
        <v>y</v>
      </c>
      <c r="FCN1" s="154" t="str">
        <f t="shared" si="64"/>
        <v>y</v>
      </c>
      <c r="FCO1" s="154" t="str">
        <f t="shared" si="64"/>
        <v>y</v>
      </c>
      <c r="FCP1" s="154" t="str">
        <f t="shared" si="64"/>
        <v>y</v>
      </c>
      <c r="FCQ1" s="154" t="str">
        <f t="shared" si="64"/>
        <v>y</v>
      </c>
      <c r="FCR1" s="154" t="str">
        <f t="shared" si="64"/>
        <v>y</v>
      </c>
      <c r="FCS1" s="154" t="str">
        <f t="shared" si="64"/>
        <v>y</v>
      </c>
      <c r="FCT1" s="154" t="str">
        <f t="shared" si="64"/>
        <v>y</v>
      </c>
      <c r="FCU1" s="154" t="str">
        <f t="shared" si="64"/>
        <v>y</v>
      </c>
      <c r="FCV1" s="154" t="str">
        <f t="shared" si="64"/>
        <v>y</v>
      </c>
      <c r="FCW1" s="154" t="str">
        <f t="shared" si="64"/>
        <v>y</v>
      </c>
      <c r="FCX1" s="154" t="str">
        <f t="shared" si="64"/>
        <v>y</v>
      </c>
      <c r="FCY1" s="154" t="str">
        <f t="shared" si="64"/>
        <v>y</v>
      </c>
      <c r="FCZ1" s="154" t="str">
        <f t="shared" si="64"/>
        <v>y</v>
      </c>
      <c r="FDA1" s="154" t="str">
        <f t="shared" si="64"/>
        <v>y</v>
      </c>
      <c r="FDB1" s="154" t="str">
        <f t="shared" si="64"/>
        <v>y</v>
      </c>
      <c r="FDC1" s="154" t="str">
        <f t="shared" si="64"/>
        <v>y</v>
      </c>
      <c r="FDD1" s="154" t="str">
        <f t="shared" ref="FDD1:FFO1" si="65">FDD2&amp;"y"</f>
        <v>y</v>
      </c>
      <c r="FDE1" s="154" t="str">
        <f t="shared" si="65"/>
        <v>y</v>
      </c>
      <c r="FDF1" s="154" t="str">
        <f t="shared" si="65"/>
        <v>y</v>
      </c>
      <c r="FDG1" s="154" t="str">
        <f t="shared" si="65"/>
        <v>y</v>
      </c>
      <c r="FDH1" s="154" t="str">
        <f t="shared" si="65"/>
        <v>y</v>
      </c>
      <c r="FDI1" s="154" t="str">
        <f t="shared" si="65"/>
        <v>y</v>
      </c>
      <c r="FDJ1" s="154" t="str">
        <f t="shared" si="65"/>
        <v>y</v>
      </c>
      <c r="FDK1" s="154" t="str">
        <f t="shared" si="65"/>
        <v>y</v>
      </c>
      <c r="FDL1" s="154" t="str">
        <f t="shared" si="65"/>
        <v>y</v>
      </c>
      <c r="FDM1" s="154" t="str">
        <f t="shared" si="65"/>
        <v>y</v>
      </c>
      <c r="FDN1" s="154" t="str">
        <f t="shared" si="65"/>
        <v>y</v>
      </c>
      <c r="FDO1" s="154" t="str">
        <f t="shared" si="65"/>
        <v>y</v>
      </c>
      <c r="FDP1" s="154" t="str">
        <f t="shared" si="65"/>
        <v>y</v>
      </c>
      <c r="FDQ1" s="154" t="str">
        <f t="shared" si="65"/>
        <v>y</v>
      </c>
      <c r="FDR1" s="154" t="str">
        <f t="shared" si="65"/>
        <v>y</v>
      </c>
      <c r="FDS1" s="154" t="str">
        <f t="shared" si="65"/>
        <v>y</v>
      </c>
      <c r="FDT1" s="154" t="str">
        <f t="shared" si="65"/>
        <v>y</v>
      </c>
      <c r="FDU1" s="154" t="str">
        <f t="shared" si="65"/>
        <v>y</v>
      </c>
      <c r="FDV1" s="154" t="str">
        <f t="shared" si="65"/>
        <v>y</v>
      </c>
      <c r="FDW1" s="154" t="str">
        <f t="shared" si="65"/>
        <v>y</v>
      </c>
      <c r="FDX1" s="154" t="str">
        <f t="shared" si="65"/>
        <v>y</v>
      </c>
      <c r="FDY1" s="154" t="str">
        <f t="shared" si="65"/>
        <v>y</v>
      </c>
      <c r="FDZ1" s="154" t="str">
        <f t="shared" si="65"/>
        <v>y</v>
      </c>
      <c r="FEA1" s="154" t="str">
        <f t="shared" si="65"/>
        <v>y</v>
      </c>
      <c r="FEB1" s="154" t="str">
        <f t="shared" si="65"/>
        <v>y</v>
      </c>
      <c r="FEC1" s="154" t="str">
        <f t="shared" si="65"/>
        <v>y</v>
      </c>
      <c r="FED1" s="154" t="str">
        <f t="shared" si="65"/>
        <v>y</v>
      </c>
      <c r="FEE1" s="154" t="str">
        <f t="shared" si="65"/>
        <v>y</v>
      </c>
      <c r="FEF1" s="154" t="str">
        <f t="shared" si="65"/>
        <v>y</v>
      </c>
      <c r="FEG1" s="154" t="str">
        <f t="shared" si="65"/>
        <v>y</v>
      </c>
      <c r="FEH1" s="154" t="str">
        <f t="shared" si="65"/>
        <v>y</v>
      </c>
      <c r="FEI1" s="154" t="str">
        <f t="shared" si="65"/>
        <v>y</v>
      </c>
      <c r="FEJ1" s="154" t="str">
        <f t="shared" si="65"/>
        <v>y</v>
      </c>
      <c r="FEK1" s="154" t="str">
        <f t="shared" si="65"/>
        <v>y</v>
      </c>
      <c r="FEL1" s="154" t="str">
        <f t="shared" si="65"/>
        <v>y</v>
      </c>
      <c r="FEM1" s="154" t="str">
        <f t="shared" si="65"/>
        <v>y</v>
      </c>
      <c r="FEN1" s="154" t="str">
        <f t="shared" si="65"/>
        <v>y</v>
      </c>
      <c r="FEO1" s="154" t="str">
        <f t="shared" si="65"/>
        <v>y</v>
      </c>
      <c r="FEP1" s="154" t="str">
        <f t="shared" si="65"/>
        <v>y</v>
      </c>
      <c r="FEQ1" s="154" t="str">
        <f t="shared" si="65"/>
        <v>y</v>
      </c>
      <c r="FER1" s="154" t="str">
        <f t="shared" si="65"/>
        <v>y</v>
      </c>
      <c r="FES1" s="154" t="str">
        <f t="shared" si="65"/>
        <v>y</v>
      </c>
      <c r="FET1" s="154" t="str">
        <f t="shared" si="65"/>
        <v>y</v>
      </c>
      <c r="FEU1" s="154" t="str">
        <f t="shared" si="65"/>
        <v>y</v>
      </c>
      <c r="FEV1" s="154" t="str">
        <f t="shared" si="65"/>
        <v>y</v>
      </c>
      <c r="FEW1" s="154" t="str">
        <f t="shared" si="65"/>
        <v>y</v>
      </c>
      <c r="FEX1" s="154" t="str">
        <f t="shared" si="65"/>
        <v>y</v>
      </c>
      <c r="FEY1" s="154" t="str">
        <f t="shared" si="65"/>
        <v>y</v>
      </c>
      <c r="FEZ1" s="154" t="str">
        <f t="shared" si="65"/>
        <v>y</v>
      </c>
      <c r="FFA1" s="154" t="str">
        <f t="shared" si="65"/>
        <v>y</v>
      </c>
      <c r="FFB1" s="154" t="str">
        <f t="shared" si="65"/>
        <v>y</v>
      </c>
      <c r="FFC1" s="154" t="str">
        <f t="shared" si="65"/>
        <v>y</v>
      </c>
      <c r="FFD1" s="154" t="str">
        <f t="shared" si="65"/>
        <v>y</v>
      </c>
      <c r="FFE1" s="154" t="str">
        <f t="shared" si="65"/>
        <v>y</v>
      </c>
      <c r="FFF1" s="154" t="str">
        <f t="shared" si="65"/>
        <v>y</v>
      </c>
      <c r="FFG1" s="154" t="str">
        <f t="shared" si="65"/>
        <v>y</v>
      </c>
      <c r="FFH1" s="154" t="str">
        <f t="shared" si="65"/>
        <v>y</v>
      </c>
      <c r="FFI1" s="154" t="str">
        <f t="shared" si="65"/>
        <v>y</v>
      </c>
      <c r="FFJ1" s="154" t="str">
        <f t="shared" si="65"/>
        <v>y</v>
      </c>
      <c r="FFK1" s="154" t="str">
        <f t="shared" si="65"/>
        <v>y</v>
      </c>
      <c r="FFL1" s="154" t="str">
        <f t="shared" si="65"/>
        <v>y</v>
      </c>
      <c r="FFM1" s="154" t="str">
        <f t="shared" si="65"/>
        <v>y</v>
      </c>
      <c r="FFN1" s="154" t="str">
        <f t="shared" si="65"/>
        <v>y</v>
      </c>
      <c r="FFO1" s="154" t="str">
        <f t="shared" si="65"/>
        <v>y</v>
      </c>
      <c r="FFP1" s="154" t="str">
        <f t="shared" ref="FFP1:FIA1" si="66">FFP2&amp;"y"</f>
        <v>y</v>
      </c>
      <c r="FFQ1" s="154" t="str">
        <f t="shared" si="66"/>
        <v>y</v>
      </c>
      <c r="FFR1" s="154" t="str">
        <f t="shared" si="66"/>
        <v>y</v>
      </c>
      <c r="FFS1" s="154" t="str">
        <f t="shared" si="66"/>
        <v>y</v>
      </c>
      <c r="FFT1" s="154" t="str">
        <f t="shared" si="66"/>
        <v>y</v>
      </c>
      <c r="FFU1" s="154" t="str">
        <f t="shared" si="66"/>
        <v>y</v>
      </c>
      <c r="FFV1" s="154" t="str">
        <f t="shared" si="66"/>
        <v>y</v>
      </c>
      <c r="FFW1" s="154" t="str">
        <f t="shared" si="66"/>
        <v>y</v>
      </c>
      <c r="FFX1" s="154" t="str">
        <f t="shared" si="66"/>
        <v>y</v>
      </c>
      <c r="FFY1" s="154" t="str">
        <f t="shared" si="66"/>
        <v>y</v>
      </c>
      <c r="FFZ1" s="154" t="str">
        <f t="shared" si="66"/>
        <v>y</v>
      </c>
      <c r="FGA1" s="154" t="str">
        <f t="shared" si="66"/>
        <v>y</v>
      </c>
      <c r="FGB1" s="154" t="str">
        <f t="shared" si="66"/>
        <v>y</v>
      </c>
      <c r="FGC1" s="154" t="str">
        <f t="shared" si="66"/>
        <v>y</v>
      </c>
      <c r="FGD1" s="154" t="str">
        <f t="shared" si="66"/>
        <v>y</v>
      </c>
      <c r="FGE1" s="154" t="str">
        <f t="shared" si="66"/>
        <v>y</v>
      </c>
      <c r="FGF1" s="154" t="str">
        <f t="shared" si="66"/>
        <v>y</v>
      </c>
      <c r="FGG1" s="154" t="str">
        <f t="shared" si="66"/>
        <v>y</v>
      </c>
      <c r="FGH1" s="154" t="str">
        <f t="shared" si="66"/>
        <v>y</v>
      </c>
      <c r="FGI1" s="154" t="str">
        <f t="shared" si="66"/>
        <v>y</v>
      </c>
      <c r="FGJ1" s="154" t="str">
        <f t="shared" si="66"/>
        <v>y</v>
      </c>
      <c r="FGK1" s="154" t="str">
        <f t="shared" si="66"/>
        <v>y</v>
      </c>
      <c r="FGL1" s="154" t="str">
        <f t="shared" si="66"/>
        <v>y</v>
      </c>
      <c r="FGM1" s="154" t="str">
        <f t="shared" si="66"/>
        <v>y</v>
      </c>
      <c r="FGN1" s="154" t="str">
        <f t="shared" si="66"/>
        <v>y</v>
      </c>
      <c r="FGO1" s="154" t="str">
        <f t="shared" si="66"/>
        <v>y</v>
      </c>
      <c r="FGP1" s="154" t="str">
        <f t="shared" si="66"/>
        <v>y</v>
      </c>
      <c r="FGQ1" s="154" t="str">
        <f t="shared" si="66"/>
        <v>y</v>
      </c>
      <c r="FGR1" s="154" t="str">
        <f t="shared" si="66"/>
        <v>y</v>
      </c>
      <c r="FGS1" s="154" t="str">
        <f t="shared" si="66"/>
        <v>y</v>
      </c>
      <c r="FGT1" s="154" t="str">
        <f t="shared" si="66"/>
        <v>y</v>
      </c>
      <c r="FGU1" s="154" t="str">
        <f t="shared" si="66"/>
        <v>y</v>
      </c>
      <c r="FGV1" s="154" t="str">
        <f t="shared" si="66"/>
        <v>y</v>
      </c>
      <c r="FGW1" s="154" t="str">
        <f t="shared" si="66"/>
        <v>y</v>
      </c>
      <c r="FGX1" s="154" t="str">
        <f t="shared" si="66"/>
        <v>y</v>
      </c>
      <c r="FGY1" s="154" t="str">
        <f t="shared" si="66"/>
        <v>y</v>
      </c>
      <c r="FGZ1" s="154" t="str">
        <f t="shared" si="66"/>
        <v>y</v>
      </c>
      <c r="FHA1" s="154" t="str">
        <f t="shared" si="66"/>
        <v>y</v>
      </c>
      <c r="FHB1" s="154" t="str">
        <f t="shared" si="66"/>
        <v>y</v>
      </c>
      <c r="FHC1" s="154" t="str">
        <f t="shared" si="66"/>
        <v>y</v>
      </c>
      <c r="FHD1" s="154" t="str">
        <f t="shared" si="66"/>
        <v>y</v>
      </c>
      <c r="FHE1" s="154" t="str">
        <f t="shared" si="66"/>
        <v>y</v>
      </c>
      <c r="FHF1" s="154" t="str">
        <f t="shared" si="66"/>
        <v>y</v>
      </c>
      <c r="FHG1" s="154" t="str">
        <f t="shared" si="66"/>
        <v>y</v>
      </c>
      <c r="FHH1" s="154" t="str">
        <f t="shared" si="66"/>
        <v>y</v>
      </c>
      <c r="FHI1" s="154" t="str">
        <f t="shared" si="66"/>
        <v>y</v>
      </c>
      <c r="FHJ1" s="154" t="str">
        <f t="shared" si="66"/>
        <v>y</v>
      </c>
      <c r="FHK1" s="154" t="str">
        <f t="shared" si="66"/>
        <v>y</v>
      </c>
      <c r="FHL1" s="154" t="str">
        <f t="shared" si="66"/>
        <v>y</v>
      </c>
      <c r="FHM1" s="154" t="str">
        <f t="shared" si="66"/>
        <v>y</v>
      </c>
      <c r="FHN1" s="154" t="str">
        <f t="shared" si="66"/>
        <v>y</v>
      </c>
      <c r="FHO1" s="154" t="str">
        <f t="shared" si="66"/>
        <v>y</v>
      </c>
      <c r="FHP1" s="154" t="str">
        <f t="shared" si="66"/>
        <v>y</v>
      </c>
      <c r="FHQ1" s="154" t="str">
        <f t="shared" si="66"/>
        <v>y</v>
      </c>
      <c r="FHR1" s="154" t="str">
        <f t="shared" si="66"/>
        <v>y</v>
      </c>
      <c r="FHS1" s="154" t="str">
        <f t="shared" si="66"/>
        <v>y</v>
      </c>
      <c r="FHT1" s="154" t="str">
        <f t="shared" si="66"/>
        <v>y</v>
      </c>
      <c r="FHU1" s="154" t="str">
        <f t="shared" si="66"/>
        <v>y</v>
      </c>
      <c r="FHV1" s="154" t="str">
        <f t="shared" si="66"/>
        <v>y</v>
      </c>
      <c r="FHW1" s="154" t="str">
        <f t="shared" si="66"/>
        <v>y</v>
      </c>
      <c r="FHX1" s="154" t="str">
        <f t="shared" si="66"/>
        <v>y</v>
      </c>
      <c r="FHY1" s="154" t="str">
        <f t="shared" si="66"/>
        <v>y</v>
      </c>
      <c r="FHZ1" s="154" t="str">
        <f t="shared" si="66"/>
        <v>y</v>
      </c>
      <c r="FIA1" s="154" t="str">
        <f t="shared" si="66"/>
        <v>y</v>
      </c>
      <c r="FIB1" s="154" t="str">
        <f t="shared" ref="FIB1:FKM1" si="67">FIB2&amp;"y"</f>
        <v>y</v>
      </c>
      <c r="FIC1" s="154" t="str">
        <f t="shared" si="67"/>
        <v>y</v>
      </c>
      <c r="FID1" s="154" t="str">
        <f t="shared" si="67"/>
        <v>y</v>
      </c>
      <c r="FIE1" s="154" t="str">
        <f t="shared" si="67"/>
        <v>y</v>
      </c>
      <c r="FIF1" s="154" t="str">
        <f t="shared" si="67"/>
        <v>y</v>
      </c>
      <c r="FIG1" s="154" t="str">
        <f t="shared" si="67"/>
        <v>y</v>
      </c>
      <c r="FIH1" s="154" t="str">
        <f t="shared" si="67"/>
        <v>y</v>
      </c>
      <c r="FII1" s="154" t="str">
        <f t="shared" si="67"/>
        <v>y</v>
      </c>
      <c r="FIJ1" s="154" t="str">
        <f t="shared" si="67"/>
        <v>y</v>
      </c>
      <c r="FIK1" s="154" t="str">
        <f t="shared" si="67"/>
        <v>y</v>
      </c>
      <c r="FIL1" s="154" t="str">
        <f t="shared" si="67"/>
        <v>y</v>
      </c>
      <c r="FIM1" s="154" t="str">
        <f t="shared" si="67"/>
        <v>y</v>
      </c>
      <c r="FIN1" s="154" t="str">
        <f t="shared" si="67"/>
        <v>y</v>
      </c>
      <c r="FIO1" s="154" t="str">
        <f t="shared" si="67"/>
        <v>y</v>
      </c>
      <c r="FIP1" s="154" t="str">
        <f t="shared" si="67"/>
        <v>y</v>
      </c>
      <c r="FIQ1" s="154" t="str">
        <f t="shared" si="67"/>
        <v>y</v>
      </c>
      <c r="FIR1" s="154" t="str">
        <f t="shared" si="67"/>
        <v>y</v>
      </c>
      <c r="FIS1" s="154" t="str">
        <f t="shared" si="67"/>
        <v>y</v>
      </c>
      <c r="FIT1" s="154" t="str">
        <f t="shared" si="67"/>
        <v>y</v>
      </c>
      <c r="FIU1" s="154" t="str">
        <f t="shared" si="67"/>
        <v>y</v>
      </c>
      <c r="FIV1" s="154" t="str">
        <f t="shared" si="67"/>
        <v>y</v>
      </c>
      <c r="FIW1" s="154" t="str">
        <f t="shared" si="67"/>
        <v>y</v>
      </c>
      <c r="FIX1" s="154" t="str">
        <f t="shared" si="67"/>
        <v>y</v>
      </c>
      <c r="FIY1" s="154" t="str">
        <f t="shared" si="67"/>
        <v>y</v>
      </c>
      <c r="FIZ1" s="154" t="str">
        <f t="shared" si="67"/>
        <v>y</v>
      </c>
      <c r="FJA1" s="154" t="str">
        <f t="shared" si="67"/>
        <v>y</v>
      </c>
      <c r="FJB1" s="154" t="str">
        <f t="shared" si="67"/>
        <v>y</v>
      </c>
      <c r="FJC1" s="154" t="str">
        <f t="shared" si="67"/>
        <v>y</v>
      </c>
      <c r="FJD1" s="154" t="str">
        <f t="shared" si="67"/>
        <v>y</v>
      </c>
      <c r="FJE1" s="154" t="str">
        <f t="shared" si="67"/>
        <v>y</v>
      </c>
      <c r="FJF1" s="154" t="str">
        <f t="shared" si="67"/>
        <v>y</v>
      </c>
      <c r="FJG1" s="154" t="str">
        <f t="shared" si="67"/>
        <v>y</v>
      </c>
      <c r="FJH1" s="154" t="str">
        <f t="shared" si="67"/>
        <v>y</v>
      </c>
      <c r="FJI1" s="154" t="str">
        <f t="shared" si="67"/>
        <v>y</v>
      </c>
      <c r="FJJ1" s="154" t="str">
        <f t="shared" si="67"/>
        <v>y</v>
      </c>
      <c r="FJK1" s="154" t="str">
        <f t="shared" si="67"/>
        <v>y</v>
      </c>
      <c r="FJL1" s="154" t="str">
        <f t="shared" si="67"/>
        <v>y</v>
      </c>
      <c r="FJM1" s="154" t="str">
        <f t="shared" si="67"/>
        <v>y</v>
      </c>
      <c r="FJN1" s="154" t="str">
        <f t="shared" si="67"/>
        <v>y</v>
      </c>
      <c r="FJO1" s="154" t="str">
        <f t="shared" si="67"/>
        <v>y</v>
      </c>
      <c r="FJP1" s="154" t="str">
        <f t="shared" si="67"/>
        <v>y</v>
      </c>
      <c r="FJQ1" s="154" t="str">
        <f t="shared" si="67"/>
        <v>y</v>
      </c>
      <c r="FJR1" s="154" t="str">
        <f t="shared" si="67"/>
        <v>y</v>
      </c>
      <c r="FJS1" s="154" t="str">
        <f t="shared" si="67"/>
        <v>y</v>
      </c>
      <c r="FJT1" s="154" t="str">
        <f t="shared" si="67"/>
        <v>y</v>
      </c>
      <c r="FJU1" s="154" t="str">
        <f t="shared" si="67"/>
        <v>y</v>
      </c>
      <c r="FJV1" s="154" t="str">
        <f t="shared" si="67"/>
        <v>y</v>
      </c>
      <c r="FJW1" s="154" t="str">
        <f t="shared" si="67"/>
        <v>y</v>
      </c>
      <c r="FJX1" s="154" t="str">
        <f t="shared" si="67"/>
        <v>y</v>
      </c>
      <c r="FJY1" s="154" t="str">
        <f t="shared" si="67"/>
        <v>y</v>
      </c>
      <c r="FJZ1" s="154" t="str">
        <f t="shared" si="67"/>
        <v>y</v>
      </c>
      <c r="FKA1" s="154" t="str">
        <f t="shared" si="67"/>
        <v>y</v>
      </c>
      <c r="FKB1" s="154" t="str">
        <f t="shared" si="67"/>
        <v>y</v>
      </c>
      <c r="FKC1" s="154" t="str">
        <f t="shared" si="67"/>
        <v>y</v>
      </c>
      <c r="FKD1" s="154" t="str">
        <f t="shared" si="67"/>
        <v>y</v>
      </c>
      <c r="FKE1" s="154" t="str">
        <f t="shared" si="67"/>
        <v>y</v>
      </c>
      <c r="FKF1" s="154" t="str">
        <f t="shared" si="67"/>
        <v>y</v>
      </c>
      <c r="FKG1" s="154" t="str">
        <f t="shared" si="67"/>
        <v>y</v>
      </c>
      <c r="FKH1" s="154" t="str">
        <f t="shared" si="67"/>
        <v>y</v>
      </c>
      <c r="FKI1" s="154" t="str">
        <f t="shared" si="67"/>
        <v>y</v>
      </c>
      <c r="FKJ1" s="154" t="str">
        <f t="shared" si="67"/>
        <v>y</v>
      </c>
      <c r="FKK1" s="154" t="str">
        <f t="shared" si="67"/>
        <v>y</v>
      </c>
      <c r="FKL1" s="154" t="str">
        <f t="shared" si="67"/>
        <v>y</v>
      </c>
      <c r="FKM1" s="154" t="str">
        <f t="shared" si="67"/>
        <v>y</v>
      </c>
      <c r="FKN1" s="154" t="str">
        <f t="shared" ref="FKN1:FMY1" si="68">FKN2&amp;"y"</f>
        <v>y</v>
      </c>
      <c r="FKO1" s="154" t="str">
        <f t="shared" si="68"/>
        <v>y</v>
      </c>
      <c r="FKP1" s="154" t="str">
        <f t="shared" si="68"/>
        <v>y</v>
      </c>
      <c r="FKQ1" s="154" t="str">
        <f t="shared" si="68"/>
        <v>y</v>
      </c>
      <c r="FKR1" s="154" t="str">
        <f t="shared" si="68"/>
        <v>y</v>
      </c>
      <c r="FKS1" s="154" t="str">
        <f t="shared" si="68"/>
        <v>y</v>
      </c>
      <c r="FKT1" s="154" t="str">
        <f t="shared" si="68"/>
        <v>y</v>
      </c>
      <c r="FKU1" s="154" t="str">
        <f t="shared" si="68"/>
        <v>y</v>
      </c>
      <c r="FKV1" s="154" t="str">
        <f t="shared" si="68"/>
        <v>y</v>
      </c>
      <c r="FKW1" s="154" t="str">
        <f t="shared" si="68"/>
        <v>y</v>
      </c>
      <c r="FKX1" s="154" t="str">
        <f t="shared" si="68"/>
        <v>y</v>
      </c>
      <c r="FKY1" s="154" t="str">
        <f t="shared" si="68"/>
        <v>y</v>
      </c>
      <c r="FKZ1" s="154" t="str">
        <f t="shared" si="68"/>
        <v>y</v>
      </c>
      <c r="FLA1" s="154" t="str">
        <f t="shared" si="68"/>
        <v>y</v>
      </c>
      <c r="FLB1" s="154" t="str">
        <f t="shared" si="68"/>
        <v>y</v>
      </c>
      <c r="FLC1" s="154" t="str">
        <f t="shared" si="68"/>
        <v>y</v>
      </c>
      <c r="FLD1" s="154" t="str">
        <f t="shared" si="68"/>
        <v>y</v>
      </c>
      <c r="FLE1" s="154" t="str">
        <f t="shared" si="68"/>
        <v>y</v>
      </c>
      <c r="FLF1" s="154" t="str">
        <f t="shared" si="68"/>
        <v>y</v>
      </c>
      <c r="FLG1" s="154" t="str">
        <f t="shared" si="68"/>
        <v>y</v>
      </c>
      <c r="FLH1" s="154" t="str">
        <f t="shared" si="68"/>
        <v>y</v>
      </c>
      <c r="FLI1" s="154" t="str">
        <f t="shared" si="68"/>
        <v>y</v>
      </c>
      <c r="FLJ1" s="154" t="str">
        <f t="shared" si="68"/>
        <v>y</v>
      </c>
      <c r="FLK1" s="154" t="str">
        <f t="shared" si="68"/>
        <v>y</v>
      </c>
      <c r="FLL1" s="154" t="str">
        <f t="shared" si="68"/>
        <v>y</v>
      </c>
      <c r="FLM1" s="154" t="str">
        <f t="shared" si="68"/>
        <v>y</v>
      </c>
      <c r="FLN1" s="154" t="str">
        <f t="shared" si="68"/>
        <v>y</v>
      </c>
      <c r="FLO1" s="154" t="str">
        <f t="shared" si="68"/>
        <v>y</v>
      </c>
      <c r="FLP1" s="154" t="str">
        <f t="shared" si="68"/>
        <v>y</v>
      </c>
      <c r="FLQ1" s="154" t="str">
        <f t="shared" si="68"/>
        <v>y</v>
      </c>
      <c r="FLR1" s="154" t="str">
        <f t="shared" si="68"/>
        <v>y</v>
      </c>
      <c r="FLS1" s="154" t="str">
        <f t="shared" si="68"/>
        <v>y</v>
      </c>
      <c r="FLT1" s="154" t="str">
        <f t="shared" si="68"/>
        <v>y</v>
      </c>
      <c r="FLU1" s="154" t="str">
        <f t="shared" si="68"/>
        <v>y</v>
      </c>
      <c r="FLV1" s="154" t="str">
        <f t="shared" si="68"/>
        <v>y</v>
      </c>
      <c r="FLW1" s="154" t="str">
        <f t="shared" si="68"/>
        <v>y</v>
      </c>
      <c r="FLX1" s="154" t="str">
        <f t="shared" si="68"/>
        <v>y</v>
      </c>
      <c r="FLY1" s="154" t="str">
        <f t="shared" si="68"/>
        <v>y</v>
      </c>
      <c r="FLZ1" s="154" t="str">
        <f t="shared" si="68"/>
        <v>y</v>
      </c>
      <c r="FMA1" s="154" t="str">
        <f t="shared" si="68"/>
        <v>y</v>
      </c>
      <c r="FMB1" s="154" t="str">
        <f t="shared" si="68"/>
        <v>y</v>
      </c>
      <c r="FMC1" s="154" t="str">
        <f t="shared" si="68"/>
        <v>y</v>
      </c>
      <c r="FMD1" s="154" t="str">
        <f t="shared" si="68"/>
        <v>y</v>
      </c>
      <c r="FME1" s="154" t="str">
        <f t="shared" si="68"/>
        <v>y</v>
      </c>
      <c r="FMF1" s="154" t="str">
        <f t="shared" si="68"/>
        <v>y</v>
      </c>
      <c r="FMG1" s="154" t="str">
        <f t="shared" si="68"/>
        <v>y</v>
      </c>
      <c r="FMH1" s="154" t="str">
        <f t="shared" si="68"/>
        <v>y</v>
      </c>
      <c r="FMI1" s="154" t="str">
        <f t="shared" si="68"/>
        <v>y</v>
      </c>
      <c r="FMJ1" s="154" t="str">
        <f t="shared" si="68"/>
        <v>y</v>
      </c>
      <c r="FMK1" s="154" t="str">
        <f t="shared" si="68"/>
        <v>y</v>
      </c>
      <c r="FML1" s="154" t="str">
        <f t="shared" si="68"/>
        <v>y</v>
      </c>
      <c r="FMM1" s="154" t="str">
        <f t="shared" si="68"/>
        <v>y</v>
      </c>
      <c r="FMN1" s="154" t="str">
        <f t="shared" si="68"/>
        <v>y</v>
      </c>
      <c r="FMO1" s="154" t="str">
        <f t="shared" si="68"/>
        <v>y</v>
      </c>
      <c r="FMP1" s="154" t="str">
        <f t="shared" si="68"/>
        <v>y</v>
      </c>
      <c r="FMQ1" s="154" t="str">
        <f t="shared" si="68"/>
        <v>y</v>
      </c>
      <c r="FMR1" s="154" t="str">
        <f t="shared" si="68"/>
        <v>y</v>
      </c>
      <c r="FMS1" s="154" t="str">
        <f t="shared" si="68"/>
        <v>y</v>
      </c>
      <c r="FMT1" s="154" t="str">
        <f t="shared" si="68"/>
        <v>y</v>
      </c>
      <c r="FMU1" s="154" t="str">
        <f t="shared" si="68"/>
        <v>y</v>
      </c>
      <c r="FMV1" s="154" t="str">
        <f t="shared" si="68"/>
        <v>y</v>
      </c>
      <c r="FMW1" s="154" t="str">
        <f t="shared" si="68"/>
        <v>y</v>
      </c>
      <c r="FMX1" s="154" t="str">
        <f t="shared" si="68"/>
        <v>y</v>
      </c>
      <c r="FMY1" s="154" t="str">
        <f t="shared" si="68"/>
        <v>y</v>
      </c>
      <c r="FMZ1" s="154" t="str">
        <f t="shared" ref="FMZ1:FPK1" si="69">FMZ2&amp;"y"</f>
        <v>y</v>
      </c>
      <c r="FNA1" s="154" t="str">
        <f t="shared" si="69"/>
        <v>y</v>
      </c>
      <c r="FNB1" s="154" t="str">
        <f t="shared" si="69"/>
        <v>y</v>
      </c>
      <c r="FNC1" s="154" t="str">
        <f t="shared" si="69"/>
        <v>y</v>
      </c>
      <c r="FND1" s="154" t="str">
        <f t="shared" si="69"/>
        <v>y</v>
      </c>
      <c r="FNE1" s="154" t="str">
        <f t="shared" si="69"/>
        <v>y</v>
      </c>
      <c r="FNF1" s="154" t="str">
        <f t="shared" si="69"/>
        <v>y</v>
      </c>
      <c r="FNG1" s="154" t="str">
        <f t="shared" si="69"/>
        <v>y</v>
      </c>
      <c r="FNH1" s="154" t="str">
        <f t="shared" si="69"/>
        <v>y</v>
      </c>
      <c r="FNI1" s="154" t="str">
        <f t="shared" si="69"/>
        <v>y</v>
      </c>
      <c r="FNJ1" s="154" t="str">
        <f t="shared" si="69"/>
        <v>y</v>
      </c>
      <c r="FNK1" s="154" t="str">
        <f t="shared" si="69"/>
        <v>y</v>
      </c>
      <c r="FNL1" s="154" t="str">
        <f t="shared" si="69"/>
        <v>y</v>
      </c>
      <c r="FNM1" s="154" t="str">
        <f t="shared" si="69"/>
        <v>y</v>
      </c>
      <c r="FNN1" s="154" t="str">
        <f t="shared" si="69"/>
        <v>y</v>
      </c>
      <c r="FNO1" s="154" t="str">
        <f t="shared" si="69"/>
        <v>y</v>
      </c>
      <c r="FNP1" s="154" t="str">
        <f t="shared" si="69"/>
        <v>y</v>
      </c>
      <c r="FNQ1" s="154" t="str">
        <f t="shared" si="69"/>
        <v>y</v>
      </c>
      <c r="FNR1" s="154" t="str">
        <f t="shared" si="69"/>
        <v>y</v>
      </c>
      <c r="FNS1" s="154" t="str">
        <f t="shared" si="69"/>
        <v>y</v>
      </c>
      <c r="FNT1" s="154" t="str">
        <f t="shared" si="69"/>
        <v>y</v>
      </c>
      <c r="FNU1" s="154" t="str">
        <f t="shared" si="69"/>
        <v>y</v>
      </c>
      <c r="FNV1" s="154" t="str">
        <f t="shared" si="69"/>
        <v>y</v>
      </c>
      <c r="FNW1" s="154" t="str">
        <f t="shared" si="69"/>
        <v>y</v>
      </c>
      <c r="FNX1" s="154" t="str">
        <f t="shared" si="69"/>
        <v>y</v>
      </c>
      <c r="FNY1" s="154" t="str">
        <f t="shared" si="69"/>
        <v>y</v>
      </c>
      <c r="FNZ1" s="154" t="str">
        <f t="shared" si="69"/>
        <v>y</v>
      </c>
      <c r="FOA1" s="154" t="str">
        <f t="shared" si="69"/>
        <v>y</v>
      </c>
      <c r="FOB1" s="154" t="str">
        <f t="shared" si="69"/>
        <v>y</v>
      </c>
      <c r="FOC1" s="154" t="str">
        <f t="shared" si="69"/>
        <v>y</v>
      </c>
      <c r="FOD1" s="154" t="str">
        <f t="shared" si="69"/>
        <v>y</v>
      </c>
      <c r="FOE1" s="154" t="str">
        <f t="shared" si="69"/>
        <v>y</v>
      </c>
      <c r="FOF1" s="154" t="str">
        <f t="shared" si="69"/>
        <v>y</v>
      </c>
      <c r="FOG1" s="154" t="str">
        <f t="shared" si="69"/>
        <v>y</v>
      </c>
      <c r="FOH1" s="154" t="str">
        <f t="shared" si="69"/>
        <v>y</v>
      </c>
      <c r="FOI1" s="154" t="str">
        <f t="shared" si="69"/>
        <v>y</v>
      </c>
      <c r="FOJ1" s="154" t="str">
        <f t="shared" si="69"/>
        <v>y</v>
      </c>
      <c r="FOK1" s="154" t="str">
        <f t="shared" si="69"/>
        <v>y</v>
      </c>
      <c r="FOL1" s="154" t="str">
        <f t="shared" si="69"/>
        <v>y</v>
      </c>
      <c r="FOM1" s="154" t="str">
        <f t="shared" si="69"/>
        <v>y</v>
      </c>
      <c r="FON1" s="154" t="str">
        <f t="shared" si="69"/>
        <v>y</v>
      </c>
      <c r="FOO1" s="154" t="str">
        <f t="shared" si="69"/>
        <v>y</v>
      </c>
      <c r="FOP1" s="154" t="str">
        <f t="shared" si="69"/>
        <v>y</v>
      </c>
      <c r="FOQ1" s="154" t="str">
        <f t="shared" si="69"/>
        <v>y</v>
      </c>
      <c r="FOR1" s="154" t="str">
        <f t="shared" si="69"/>
        <v>y</v>
      </c>
      <c r="FOS1" s="154" t="str">
        <f t="shared" si="69"/>
        <v>y</v>
      </c>
      <c r="FOT1" s="154" t="str">
        <f t="shared" si="69"/>
        <v>y</v>
      </c>
      <c r="FOU1" s="154" t="str">
        <f t="shared" si="69"/>
        <v>y</v>
      </c>
      <c r="FOV1" s="154" t="str">
        <f t="shared" si="69"/>
        <v>y</v>
      </c>
      <c r="FOW1" s="154" t="str">
        <f t="shared" si="69"/>
        <v>y</v>
      </c>
      <c r="FOX1" s="154" t="str">
        <f t="shared" si="69"/>
        <v>y</v>
      </c>
      <c r="FOY1" s="154" t="str">
        <f t="shared" si="69"/>
        <v>y</v>
      </c>
      <c r="FOZ1" s="154" t="str">
        <f t="shared" si="69"/>
        <v>y</v>
      </c>
      <c r="FPA1" s="154" t="str">
        <f t="shared" si="69"/>
        <v>y</v>
      </c>
      <c r="FPB1" s="154" t="str">
        <f t="shared" si="69"/>
        <v>y</v>
      </c>
      <c r="FPC1" s="154" t="str">
        <f t="shared" si="69"/>
        <v>y</v>
      </c>
      <c r="FPD1" s="154" t="str">
        <f t="shared" si="69"/>
        <v>y</v>
      </c>
      <c r="FPE1" s="154" t="str">
        <f t="shared" si="69"/>
        <v>y</v>
      </c>
      <c r="FPF1" s="154" t="str">
        <f t="shared" si="69"/>
        <v>y</v>
      </c>
      <c r="FPG1" s="154" t="str">
        <f t="shared" si="69"/>
        <v>y</v>
      </c>
      <c r="FPH1" s="154" t="str">
        <f t="shared" si="69"/>
        <v>y</v>
      </c>
      <c r="FPI1" s="154" t="str">
        <f t="shared" si="69"/>
        <v>y</v>
      </c>
      <c r="FPJ1" s="154" t="str">
        <f t="shared" si="69"/>
        <v>y</v>
      </c>
      <c r="FPK1" s="154" t="str">
        <f t="shared" si="69"/>
        <v>y</v>
      </c>
      <c r="FPL1" s="154" t="str">
        <f t="shared" ref="FPL1:FRW1" si="70">FPL2&amp;"y"</f>
        <v>y</v>
      </c>
      <c r="FPM1" s="154" t="str">
        <f t="shared" si="70"/>
        <v>y</v>
      </c>
      <c r="FPN1" s="154" t="str">
        <f t="shared" si="70"/>
        <v>y</v>
      </c>
      <c r="FPO1" s="154" t="str">
        <f t="shared" si="70"/>
        <v>y</v>
      </c>
      <c r="FPP1" s="154" t="str">
        <f t="shared" si="70"/>
        <v>y</v>
      </c>
      <c r="FPQ1" s="154" t="str">
        <f t="shared" si="70"/>
        <v>y</v>
      </c>
      <c r="FPR1" s="154" t="str">
        <f t="shared" si="70"/>
        <v>y</v>
      </c>
      <c r="FPS1" s="154" t="str">
        <f t="shared" si="70"/>
        <v>y</v>
      </c>
      <c r="FPT1" s="154" t="str">
        <f t="shared" si="70"/>
        <v>y</v>
      </c>
      <c r="FPU1" s="154" t="str">
        <f t="shared" si="70"/>
        <v>y</v>
      </c>
      <c r="FPV1" s="154" t="str">
        <f t="shared" si="70"/>
        <v>y</v>
      </c>
      <c r="FPW1" s="154" t="str">
        <f t="shared" si="70"/>
        <v>y</v>
      </c>
      <c r="FPX1" s="154" t="str">
        <f t="shared" si="70"/>
        <v>y</v>
      </c>
      <c r="FPY1" s="154" t="str">
        <f t="shared" si="70"/>
        <v>y</v>
      </c>
      <c r="FPZ1" s="154" t="str">
        <f t="shared" si="70"/>
        <v>y</v>
      </c>
      <c r="FQA1" s="154" t="str">
        <f t="shared" si="70"/>
        <v>y</v>
      </c>
      <c r="FQB1" s="154" t="str">
        <f t="shared" si="70"/>
        <v>y</v>
      </c>
      <c r="FQC1" s="154" t="str">
        <f t="shared" si="70"/>
        <v>y</v>
      </c>
      <c r="FQD1" s="154" t="str">
        <f t="shared" si="70"/>
        <v>y</v>
      </c>
      <c r="FQE1" s="154" t="str">
        <f t="shared" si="70"/>
        <v>y</v>
      </c>
      <c r="FQF1" s="154" t="str">
        <f t="shared" si="70"/>
        <v>y</v>
      </c>
      <c r="FQG1" s="154" t="str">
        <f t="shared" si="70"/>
        <v>y</v>
      </c>
      <c r="FQH1" s="154" t="str">
        <f t="shared" si="70"/>
        <v>y</v>
      </c>
      <c r="FQI1" s="154" t="str">
        <f t="shared" si="70"/>
        <v>y</v>
      </c>
      <c r="FQJ1" s="154" t="str">
        <f t="shared" si="70"/>
        <v>y</v>
      </c>
      <c r="FQK1" s="154" t="str">
        <f t="shared" si="70"/>
        <v>y</v>
      </c>
      <c r="FQL1" s="154" t="str">
        <f t="shared" si="70"/>
        <v>y</v>
      </c>
      <c r="FQM1" s="154" t="str">
        <f t="shared" si="70"/>
        <v>y</v>
      </c>
      <c r="FQN1" s="154" t="str">
        <f t="shared" si="70"/>
        <v>y</v>
      </c>
      <c r="FQO1" s="154" t="str">
        <f t="shared" si="70"/>
        <v>y</v>
      </c>
      <c r="FQP1" s="154" t="str">
        <f t="shared" si="70"/>
        <v>y</v>
      </c>
      <c r="FQQ1" s="154" t="str">
        <f t="shared" si="70"/>
        <v>y</v>
      </c>
      <c r="FQR1" s="154" t="str">
        <f t="shared" si="70"/>
        <v>y</v>
      </c>
      <c r="FQS1" s="154" t="str">
        <f t="shared" si="70"/>
        <v>y</v>
      </c>
      <c r="FQT1" s="154" t="str">
        <f t="shared" si="70"/>
        <v>y</v>
      </c>
      <c r="FQU1" s="154" t="str">
        <f t="shared" si="70"/>
        <v>y</v>
      </c>
      <c r="FQV1" s="154" t="str">
        <f t="shared" si="70"/>
        <v>y</v>
      </c>
      <c r="FQW1" s="154" t="str">
        <f t="shared" si="70"/>
        <v>y</v>
      </c>
      <c r="FQX1" s="154" t="str">
        <f t="shared" si="70"/>
        <v>y</v>
      </c>
      <c r="FQY1" s="154" t="str">
        <f t="shared" si="70"/>
        <v>y</v>
      </c>
      <c r="FQZ1" s="154" t="str">
        <f t="shared" si="70"/>
        <v>y</v>
      </c>
      <c r="FRA1" s="154" t="str">
        <f t="shared" si="70"/>
        <v>y</v>
      </c>
      <c r="FRB1" s="154" t="str">
        <f t="shared" si="70"/>
        <v>y</v>
      </c>
      <c r="FRC1" s="154" t="str">
        <f t="shared" si="70"/>
        <v>y</v>
      </c>
      <c r="FRD1" s="154" t="str">
        <f t="shared" si="70"/>
        <v>y</v>
      </c>
      <c r="FRE1" s="154" t="str">
        <f t="shared" si="70"/>
        <v>y</v>
      </c>
      <c r="FRF1" s="154" t="str">
        <f t="shared" si="70"/>
        <v>y</v>
      </c>
      <c r="FRG1" s="154" t="str">
        <f t="shared" si="70"/>
        <v>y</v>
      </c>
      <c r="FRH1" s="154" t="str">
        <f t="shared" si="70"/>
        <v>y</v>
      </c>
      <c r="FRI1" s="154" t="str">
        <f t="shared" si="70"/>
        <v>y</v>
      </c>
      <c r="FRJ1" s="154" t="str">
        <f t="shared" si="70"/>
        <v>y</v>
      </c>
      <c r="FRK1" s="154" t="str">
        <f t="shared" si="70"/>
        <v>y</v>
      </c>
      <c r="FRL1" s="154" t="str">
        <f t="shared" si="70"/>
        <v>y</v>
      </c>
      <c r="FRM1" s="154" t="str">
        <f t="shared" si="70"/>
        <v>y</v>
      </c>
      <c r="FRN1" s="154" t="str">
        <f t="shared" si="70"/>
        <v>y</v>
      </c>
      <c r="FRO1" s="154" t="str">
        <f t="shared" si="70"/>
        <v>y</v>
      </c>
      <c r="FRP1" s="154" t="str">
        <f t="shared" si="70"/>
        <v>y</v>
      </c>
      <c r="FRQ1" s="154" t="str">
        <f t="shared" si="70"/>
        <v>y</v>
      </c>
      <c r="FRR1" s="154" t="str">
        <f t="shared" si="70"/>
        <v>y</v>
      </c>
      <c r="FRS1" s="154" t="str">
        <f t="shared" si="70"/>
        <v>y</v>
      </c>
      <c r="FRT1" s="154" t="str">
        <f t="shared" si="70"/>
        <v>y</v>
      </c>
      <c r="FRU1" s="154" t="str">
        <f t="shared" si="70"/>
        <v>y</v>
      </c>
      <c r="FRV1" s="154" t="str">
        <f t="shared" si="70"/>
        <v>y</v>
      </c>
      <c r="FRW1" s="154" t="str">
        <f t="shared" si="70"/>
        <v>y</v>
      </c>
      <c r="FRX1" s="154" t="str">
        <f t="shared" ref="FRX1:FUI1" si="71">FRX2&amp;"y"</f>
        <v>y</v>
      </c>
      <c r="FRY1" s="154" t="str">
        <f t="shared" si="71"/>
        <v>y</v>
      </c>
      <c r="FRZ1" s="154" t="str">
        <f t="shared" si="71"/>
        <v>y</v>
      </c>
      <c r="FSA1" s="154" t="str">
        <f t="shared" si="71"/>
        <v>y</v>
      </c>
      <c r="FSB1" s="154" t="str">
        <f t="shared" si="71"/>
        <v>y</v>
      </c>
      <c r="FSC1" s="154" t="str">
        <f t="shared" si="71"/>
        <v>y</v>
      </c>
      <c r="FSD1" s="154" t="str">
        <f t="shared" si="71"/>
        <v>y</v>
      </c>
      <c r="FSE1" s="154" t="str">
        <f t="shared" si="71"/>
        <v>y</v>
      </c>
      <c r="FSF1" s="154" t="str">
        <f t="shared" si="71"/>
        <v>y</v>
      </c>
      <c r="FSG1" s="154" t="str">
        <f t="shared" si="71"/>
        <v>y</v>
      </c>
      <c r="FSH1" s="154" t="str">
        <f t="shared" si="71"/>
        <v>y</v>
      </c>
      <c r="FSI1" s="154" t="str">
        <f t="shared" si="71"/>
        <v>y</v>
      </c>
      <c r="FSJ1" s="154" t="str">
        <f t="shared" si="71"/>
        <v>y</v>
      </c>
      <c r="FSK1" s="154" t="str">
        <f t="shared" si="71"/>
        <v>y</v>
      </c>
      <c r="FSL1" s="154" t="str">
        <f t="shared" si="71"/>
        <v>y</v>
      </c>
      <c r="FSM1" s="154" t="str">
        <f t="shared" si="71"/>
        <v>y</v>
      </c>
      <c r="FSN1" s="154" t="str">
        <f t="shared" si="71"/>
        <v>y</v>
      </c>
      <c r="FSO1" s="154" t="str">
        <f t="shared" si="71"/>
        <v>y</v>
      </c>
      <c r="FSP1" s="154" t="str">
        <f t="shared" si="71"/>
        <v>y</v>
      </c>
      <c r="FSQ1" s="154" t="str">
        <f t="shared" si="71"/>
        <v>y</v>
      </c>
      <c r="FSR1" s="154" t="str">
        <f t="shared" si="71"/>
        <v>y</v>
      </c>
      <c r="FSS1" s="154" t="str">
        <f t="shared" si="71"/>
        <v>y</v>
      </c>
      <c r="FST1" s="154" t="str">
        <f t="shared" si="71"/>
        <v>y</v>
      </c>
      <c r="FSU1" s="154" t="str">
        <f t="shared" si="71"/>
        <v>y</v>
      </c>
      <c r="FSV1" s="154" t="str">
        <f t="shared" si="71"/>
        <v>y</v>
      </c>
      <c r="FSW1" s="154" t="str">
        <f t="shared" si="71"/>
        <v>y</v>
      </c>
      <c r="FSX1" s="154" t="str">
        <f t="shared" si="71"/>
        <v>y</v>
      </c>
      <c r="FSY1" s="154" t="str">
        <f t="shared" si="71"/>
        <v>y</v>
      </c>
      <c r="FSZ1" s="154" t="str">
        <f t="shared" si="71"/>
        <v>y</v>
      </c>
      <c r="FTA1" s="154" t="str">
        <f t="shared" si="71"/>
        <v>y</v>
      </c>
      <c r="FTB1" s="154" t="str">
        <f t="shared" si="71"/>
        <v>y</v>
      </c>
      <c r="FTC1" s="154" t="str">
        <f t="shared" si="71"/>
        <v>y</v>
      </c>
      <c r="FTD1" s="154" t="str">
        <f t="shared" si="71"/>
        <v>y</v>
      </c>
      <c r="FTE1" s="154" t="str">
        <f t="shared" si="71"/>
        <v>y</v>
      </c>
      <c r="FTF1" s="154" t="str">
        <f t="shared" si="71"/>
        <v>y</v>
      </c>
      <c r="FTG1" s="154" t="str">
        <f t="shared" si="71"/>
        <v>y</v>
      </c>
      <c r="FTH1" s="154" t="str">
        <f t="shared" si="71"/>
        <v>y</v>
      </c>
      <c r="FTI1" s="154" t="str">
        <f t="shared" si="71"/>
        <v>y</v>
      </c>
      <c r="FTJ1" s="154" t="str">
        <f t="shared" si="71"/>
        <v>y</v>
      </c>
      <c r="FTK1" s="154" t="str">
        <f t="shared" si="71"/>
        <v>y</v>
      </c>
      <c r="FTL1" s="154" t="str">
        <f t="shared" si="71"/>
        <v>y</v>
      </c>
      <c r="FTM1" s="154" t="str">
        <f t="shared" si="71"/>
        <v>y</v>
      </c>
      <c r="FTN1" s="154" t="str">
        <f t="shared" si="71"/>
        <v>y</v>
      </c>
      <c r="FTO1" s="154" t="str">
        <f t="shared" si="71"/>
        <v>y</v>
      </c>
      <c r="FTP1" s="154" t="str">
        <f t="shared" si="71"/>
        <v>y</v>
      </c>
      <c r="FTQ1" s="154" t="str">
        <f t="shared" si="71"/>
        <v>y</v>
      </c>
      <c r="FTR1" s="154" t="str">
        <f t="shared" si="71"/>
        <v>y</v>
      </c>
      <c r="FTS1" s="154" t="str">
        <f t="shared" si="71"/>
        <v>y</v>
      </c>
      <c r="FTT1" s="154" t="str">
        <f t="shared" si="71"/>
        <v>y</v>
      </c>
      <c r="FTU1" s="154" t="str">
        <f t="shared" si="71"/>
        <v>y</v>
      </c>
      <c r="FTV1" s="154" t="str">
        <f t="shared" si="71"/>
        <v>y</v>
      </c>
      <c r="FTW1" s="154" t="str">
        <f t="shared" si="71"/>
        <v>y</v>
      </c>
      <c r="FTX1" s="154" t="str">
        <f t="shared" si="71"/>
        <v>y</v>
      </c>
      <c r="FTY1" s="154" t="str">
        <f t="shared" si="71"/>
        <v>y</v>
      </c>
      <c r="FTZ1" s="154" t="str">
        <f t="shared" si="71"/>
        <v>y</v>
      </c>
      <c r="FUA1" s="154" t="str">
        <f t="shared" si="71"/>
        <v>y</v>
      </c>
      <c r="FUB1" s="154" t="str">
        <f t="shared" si="71"/>
        <v>y</v>
      </c>
      <c r="FUC1" s="154" t="str">
        <f t="shared" si="71"/>
        <v>y</v>
      </c>
      <c r="FUD1" s="154" t="str">
        <f t="shared" si="71"/>
        <v>y</v>
      </c>
      <c r="FUE1" s="154" t="str">
        <f t="shared" si="71"/>
        <v>y</v>
      </c>
      <c r="FUF1" s="154" t="str">
        <f t="shared" si="71"/>
        <v>y</v>
      </c>
      <c r="FUG1" s="154" t="str">
        <f t="shared" si="71"/>
        <v>y</v>
      </c>
      <c r="FUH1" s="154" t="str">
        <f t="shared" si="71"/>
        <v>y</v>
      </c>
      <c r="FUI1" s="154" t="str">
        <f t="shared" si="71"/>
        <v>y</v>
      </c>
      <c r="FUJ1" s="154" t="str">
        <f t="shared" ref="FUJ1:FWU1" si="72">FUJ2&amp;"y"</f>
        <v>y</v>
      </c>
      <c r="FUK1" s="154" t="str">
        <f t="shared" si="72"/>
        <v>y</v>
      </c>
      <c r="FUL1" s="154" t="str">
        <f t="shared" si="72"/>
        <v>y</v>
      </c>
      <c r="FUM1" s="154" t="str">
        <f t="shared" si="72"/>
        <v>y</v>
      </c>
      <c r="FUN1" s="154" t="str">
        <f t="shared" si="72"/>
        <v>y</v>
      </c>
      <c r="FUO1" s="154" t="str">
        <f t="shared" si="72"/>
        <v>y</v>
      </c>
      <c r="FUP1" s="154" t="str">
        <f t="shared" si="72"/>
        <v>y</v>
      </c>
      <c r="FUQ1" s="154" t="str">
        <f t="shared" si="72"/>
        <v>y</v>
      </c>
      <c r="FUR1" s="154" t="str">
        <f t="shared" si="72"/>
        <v>y</v>
      </c>
      <c r="FUS1" s="154" t="str">
        <f t="shared" si="72"/>
        <v>y</v>
      </c>
      <c r="FUT1" s="154" t="str">
        <f t="shared" si="72"/>
        <v>y</v>
      </c>
      <c r="FUU1" s="154" t="str">
        <f t="shared" si="72"/>
        <v>y</v>
      </c>
      <c r="FUV1" s="154" t="str">
        <f t="shared" si="72"/>
        <v>y</v>
      </c>
      <c r="FUW1" s="154" t="str">
        <f t="shared" si="72"/>
        <v>y</v>
      </c>
      <c r="FUX1" s="154" t="str">
        <f t="shared" si="72"/>
        <v>y</v>
      </c>
      <c r="FUY1" s="154" t="str">
        <f t="shared" si="72"/>
        <v>y</v>
      </c>
      <c r="FUZ1" s="154" t="str">
        <f t="shared" si="72"/>
        <v>y</v>
      </c>
      <c r="FVA1" s="154" t="str">
        <f t="shared" si="72"/>
        <v>y</v>
      </c>
      <c r="FVB1" s="154" t="str">
        <f t="shared" si="72"/>
        <v>y</v>
      </c>
      <c r="FVC1" s="154" t="str">
        <f t="shared" si="72"/>
        <v>y</v>
      </c>
      <c r="FVD1" s="154" t="str">
        <f t="shared" si="72"/>
        <v>y</v>
      </c>
      <c r="FVE1" s="154" t="str">
        <f t="shared" si="72"/>
        <v>y</v>
      </c>
      <c r="FVF1" s="154" t="str">
        <f t="shared" si="72"/>
        <v>y</v>
      </c>
      <c r="FVG1" s="154" t="str">
        <f t="shared" si="72"/>
        <v>y</v>
      </c>
      <c r="FVH1" s="154" t="str">
        <f t="shared" si="72"/>
        <v>y</v>
      </c>
      <c r="FVI1" s="154" t="str">
        <f t="shared" si="72"/>
        <v>y</v>
      </c>
      <c r="FVJ1" s="154" t="str">
        <f t="shared" si="72"/>
        <v>y</v>
      </c>
      <c r="FVK1" s="154" t="str">
        <f t="shared" si="72"/>
        <v>y</v>
      </c>
      <c r="FVL1" s="154" t="str">
        <f t="shared" si="72"/>
        <v>y</v>
      </c>
      <c r="FVM1" s="154" t="str">
        <f t="shared" si="72"/>
        <v>y</v>
      </c>
      <c r="FVN1" s="154" t="str">
        <f t="shared" si="72"/>
        <v>y</v>
      </c>
      <c r="FVO1" s="154" t="str">
        <f t="shared" si="72"/>
        <v>y</v>
      </c>
      <c r="FVP1" s="154" t="str">
        <f t="shared" si="72"/>
        <v>y</v>
      </c>
      <c r="FVQ1" s="154" t="str">
        <f t="shared" si="72"/>
        <v>y</v>
      </c>
      <c r="FVR1" s="154" t="str">
        <f t="shared" si="72"/>
        <v>y</v>
      </c>
      <c r="FVS1" s="154" t="str">
        <f t="shared" si="72"/>
        <v>y</v>
      </c>
      <c r="FVT1" s="154" t="str">
        <f t="shared" si="72"/>
        <v>y</v>
      </c>
      <c r="FVU1" s="154" t="str">
        <f t="shared" si="72"/>
        <v>y</v>
      </c>
      <c r="FVV1" s="154" t="str">
        <f t="shared" si="72"/>
        <v>y</v>
      </c>
      <c r="FVW1" s="154" t="str">
        <f t="shared" si="72"/>
        <v>y</v>
      </c>
      <c r="FVX1" s="154" t="str">
        <f t="shared" si="72"/>
        <v>y</v>
      </c>
      <c r="FVY1" s="154" t="str">
        <f t="shared" si="72"/>
        <v>y</v>
      </c>
      <c r="FVZ1" s="154" t="str">
        <f t="shared" si="72"/>
        <v>y</v>
      </c>
      <c r="FWA1" s="154" t="str">
        <f t="shared" si="72"/>
        <v>y</v>
      </c>
      <c r="FWB1" s="154" t="str">
        <f t="shared" si="72"/>
        <v>y</v>
      </c>
      <c r="FWC1" s="154" t="str">
        <f t="shared" si="72"/>
        <v>y</v>
      </c>
      <c r="FWD1" s="154" t="str">
        <f t="shared" si="72"/>
        <v>y</v>
      </c>
      <c r="FWE1" s="154" t="str">
        <f t="shared" si="72"/>
        <v>y</v>
      </c>
      <c r="FWF1" s="154" t="str">
        <f t="shared" si="72"/>
        <v>y</v>
      </c>
      <c r="FWG1" s="154" t="str">
        <f t="shared" si="72"/>
        <v>y</v>
      </c>
      <c r="FWH1" s="154" t="str">
        <f t="shared" si="72"/>
        <v>y</v>
      </c>
      <c r="FWI1" s="154" t="str">
        <f t="shared" si="72"/>
        <v>y</v>
      </c>
      <c r="FWJ1" s="154" t="str">
        <f t="shared" si="72"/>
        <v>y</v>
      </c>
      <c r="FWK1" s="154" t="str">
        <f t="shared" si="72"/>
        <v>y</v>
      </c>
      <c r="FWL1" s="154" t="str">
        <f t="shared" si="72"/>
        <v>y</v>
      </c>
      <c r="FWM1" s="154" t="str">
        <f t="shared" si="72"/>
        <v>y</v>
      </c>
      <c r="FWN1" s="154" t="str">
        <f t="shared" si="72"/>
        <v>y</v>
      </c>
      <c r="FWO1" s="154" t="str">
        <f t="shared" si="72"/>
        <v>y</v>
      </c>
      <c r="FWP1" s="154" t="str">
        <f t="shared" si="72"/>
        <v>y</v>
      </c>
      <c r="FWQ1" s="154" t="str">
        <f t="shared" si="72"/>
        <v>y</v>
      </c>
      <c r="FWR1" s="154" t="str">
        <f t="shared" si="72"/>
        <v>y</v>
      </c>
      <c r="FWS1" s="154" t="str">
        <f t="shared" si="72"/>
        <v>y</v>
      </c>
      <c r="FWT1" s="154" t="str">
        <f t="shared" si="72"/>
        <v>y</v>
      </c>
      <c r="FWU1" s="154" t="str">
        <f t="shared" si="72"/>
        <v>y</v>
      </c>
      <c r="FWV1" s="154" t="str">
        <f t="shared" ref="FWV1:FZG1" si="73">FWV2&amp;"y"</f>
        <v>y</v>
      </c>
      <c r="FWW1" s="154" t="str">
        <f t="shared" si="73"/>
        <v>y</v>
      </c>
      <c r="FWX1" s="154" t="str">
        <f t="shared" si="73"/>
        <v>y</v>
      </c>
      <c r="FWY1" s="154" t="str">
        <f t="shared" si="73"/>
        <v>y</v>
      </c>
      <c r="FWZ1" s="154" t="str">
        <f t="shared" si="73"/>
        <v>y</v>
      </c>
      <c r="FXA1" s="154" t="str">
        <f t="shared" si="73"/>
        <v>y</v>
      </c>
      <c r="FXB1" s="154" t="str">
        <f t="shared" si="73"/>
        <v>y</v>
      </c>
      <c r="FXC1" s="154" t="str">
        <f t="shared" si="73"/>
        <v>y</v>
      </c>
      <c r="FXD1" s="154" t="str">
        <f t="shared" si="73"/>
        <v>y</v>
      </c>
      <c r="FXE1" s="154" t="str">
        <f t="shared" si="73"/>
        <v>y</v>
      </c>
      <c r="FXF1" s="154" t="str">
        <f t="shared" si="73"/>
        <v>y</v>
      </c>
      <c r="FXG1" s="154" t="str">
        <f t="shared" si="73"/>
        <v>y</v>
      </c>
      <c r="FXH1" s="154" t="str">
        <f t="shared" si="73"/>
        <v>y</v>
      </c>
      <c r="FXI1" s="154" t="str">
        <f t="shared" si="73"/>
        <v>y</v>
      </c>
      <c r="FXJ1" s="154" t="str">
        <f t="shared" si="73"/>
        <v>y</v>
      </c>
      <c r="FXK1" s="154" t="str">
        <f t="shared" si="73"/>
        <v>y</v>
      </c>
      <c r="FXL1" s="154" t="str">
        <f t="shared" si="73"/>
        <v>y</v>
      </c>
      <c r="FXM1" s="154" t="str">
        <f t="shared" si="73"/>
        <v>y</v>
      </c>
      <c r="FXN1" s="154" t="str">
        <f t="shared" si="73"/>
        <v>y</v>
      </c>
      <c r="FXO1" s="154" t="str">
        <f t="shared" si="73"/>
        <v>y</v>
      </c>
      <c r="FXP1" s="154" t="str">
        <f t="shared" si="73"/>
        <v>y</v>
      </c>
      <c r="FXQ1" s="154" t="str">
        <f t="shared" si="73"/>
        <v>y</v>
      </c>
      <c r="FXR1" s="154" t="str">
        <f t="shared" si="73"/>
        <v>y</v>
      </c>
      <c r="FXS1" s="154" t="str">
        <f t="shared" si="73"/>
        <v>y</v>
      </c>
      <c r="FXT1" s="154" t="str">
        <f t="shared" si="73"/>
        <v>y</v>
      </c>
      <c r="FXU1" s="154" t="str">
        <f t="shared" si="73"/>
        <v>y</v>
      </c>
      <c r="FXV1" s="154" t="str">
        <f t="shared" si="73"/>
        <v>y</v>
      </c>
      <c r="FXW1" s="154" t="str">
        <f t="shared" si="73"/>
        <v>y</v>
      </c>
      <c r="FXX1" s="154" t="str">
        <f t="shared" si="73"/>
        <v>y</v>
      </c>
      <c r="FXY1" s="154" t="str">
        <f t="shared" si="73"/>
        <v>y</v>
      </c>
      <c r="FXZ1" s="154" t="str">
        <f t="shared" si="73"/>
        <v>y</v>
      </c>
      <c r="FYA1" s="154" t="str">
        <f t="shared" si="73"/>
        <v>y</v>
      </c>
      <c r="FYB1" s="154" t="str">
        <f t="shared" si="73"/>
        <v>y</v>
      </c>
      <c r="FYC1" s="154" t="str">
        <f t="shared" si="73"/>
        <v>y</v>
      </c>
      <c r="FYD1" s="154" t="str">
        <f t="shared" si="73"/>
        <v>y</v>
      </c>
      <c r="FYE1" s="154" t="str">
        <f t="shared" si="73"/>
        <v>y</v>
      </c>
      <c r="FYF1" s="154" t="str">
        <f t="shared" si="73"/>
        <v>y</v>
      </c>
      <c r="FYG1" s="154" t="str">
        <f t="shared" si="73"/>
        <v>y</v>
      </c>
      <c r="FYH1" s="154" t="str">
        <f t="shared" si="73"/>
        <v>y</v>
      </c>
      <c r="FYI1" s="154" t="str">
        <f t="shared" si="73"/>
        <v>y</v>
      </c>
      <c r="FYJ1" s="154" t="str">
        <f t="shared" si="73"/>
        <v>y</v>
      </c>
      <c r="FYK1" s="154" t="str">
        <f t="shared" si="73"/>
        <v>y</v>
      </c>
      <c r="FYL1" s="154" t="str">
        <f t="shared" si="73"/>
        <v>y</v>
      </c>
      <c r="FYM1" s="154" t="str">
        <f t="shared" si="73"/>
        <v>y</v>
      </c>
      <c r="FYN1" s="154" t="str">
        <f t="shared" si="73"/>
        <v>y</v>
      </c>
      <c r="FYO1" s="154" t="str">
        <f t="shared" si="73"/>
        <v>y</v>
      </c>
      <c r="FYP1" s="154" t="str">
        <f t="shared" si="73"/>
        <v>y</v>
      </c>
      <c r="FYQ1" s="154" t="str">
        <f t="shared" si="73"/>
        <v>y</v>
      </c>
      <c r="FYR1" s="154" t="str">
        <f t="shared" si="73"/>
        <v>y</v>
      </c>
      <c r="FYS1" s="154" t="str">
        <f t="shared" si="73"/>
        <v>y</v>
      </c>
      <c r="FYT1" s="154" t="str">
        <f t="shared" si="73"/>
        <v>y</v>
      </c>
      <c r="FYU1" s="154" t="str">
        <f t="shared" si="73"/>
        <v>y</v>
      </c>
      <c r="FYV1" s="154" t="str">
        <f t="shared" si="73"/>
        <v>y</v>
      </c>
      <c r="FYW1" s="154" t="str">
        <f t="shared" si="73"/>
        <v>y</v>
      </c>
      <c r="FYX1" s="154" t="str">
        <f t="shared" si="73"/>
        <v>y</v>
      </c>
      <c r="FYY1" s="154" t="str">
        <f t="shared" si="73"/>
        <v>y</v>
      </c>
      <c r="FYZ1" s="154" t="str">
        <f t="shared" si="73"/>
        <v>y</v>
      </c>
      <c r="FZA1" s="154" t="str">
        <f t="shared" si="73"/>
        <v>y</v>
      </c>
      <c r="FZB1" s="154" t="str">
        <f t="shared" si="73"/>
        <v>y</v>
      </c>
      <c r="FZC1" s="154" t="str">
        <f t="shared" si="73"/>
        <v>y</v>
      </c>
      <c r="FZD1" s="154" t="str">
        <f t="shared" si="73"/>
        <v>y</v>
      </c>
      <c r="FZE1" s="154" t="str">
        <f t="shared" si="73"/>
        <v>y</v>
      </c>
      <c r="FZF1" s="154" t="str">
        <f t="shared" si="73"/>
        <v>y</v>
      </c>
      <c r="FZG1" s="154" t="str">
        <f t="shared" si="73"/>
        <v>y</v>
      </c>
      <c r="FZH1" s="154" t="str">
        <f t="shared" ref="FZH1:GBS1" si="74">FZH2&amp;"y"</f>
        <v>y</v>
      </c>
      <c r="FZI1" s="154" t="str">
        <f t="shared" si="74"/>
        <v>y</v>
      </c>
      <c r="FZJ1" s="154" t="str">
        <f t="shared" si="74"/>
        <v>y</v>
      </c>
      <c r="FZK1" s="154" t="str">
        <f t="shared" si="74"/>
        <v>y</v>
      </c>
      <c r="FZL1" s="154" t="str">
        <f t="shared" si="74"/>
        <v>y</v>
      </c>
      <c r="FZM1" s="154" t="str">
        <f t="shared" si="74"/>
        <v>y</v>
      </c>
      <c r="FZN1" s="154" t="str">
        <f t="shared" si="74"/>
        <v>y</v>
      </c>
      <c r="FZO1" s="154" t="str">
        <f t="shared" si="74"/>
        <v>y</v>
      </c>
      <c r="FZP1" s="154" t="str">
        <f t="shared" si="74"/>
        <v>y</v>
      </c>
      <c r="FZQ1" s="154" t="str">
        <f t="shared" si="74"/>
        <v>y</v>
      </c>
      <c r="FZR1" s="154" t="str">
        <f t="shared" si="74"/>
        <v>y</v>
      </c>
      <c r="FZS1" s="154" t="str">
        <f t="shared" si="74"/>
        <v>y</v>
      </c>
      <c r="FZT1" s="154" t="str">
        <f t="shared" si="74"/>
        <v>y</v>
      </c>
      <c r="FZU1" s="154" t="str">
        <f t="shared" si="74"/>
        <v>y</v>
      </c>
      <c r="FZV1" s="154" t="str">
        <f t="shared" si="74"/>
        <v>y</v>
      </c>
      <c r="FZW1" s="154" t="str">
        <f t="shared" si="74"/>
        <v>y</v>
      </c>
      <c r="FZX1" s="154" t="str">
        <f t="shared" si="74"/>
        <v>y</v>
      </c>
      <c r="FZY1" s="154" t="str">
        <f t="shared" si="74"/>
        <v>y</v>
      </c>
      <c r="FZZ1" s="154" t="str">
        <f t="shared" si="74"/>
        <v>y</v>
      </c>
      <c r="GAA1" s="154" t="str">
        <f t="shared" si="74"/>
        <v>y</v>
      </c>
      <c r="GAB1" s="154" t="str">
        <f t="shared" si="74"/>
        <v>y</v>
      </c>
      <c r="GAC1" s="154" t="str">
        <f t="shared" si="74"/>
        <v>y</v>
      </c>
      <c r="GAD1" s="154" t="str">
        <f t="shared" si="74"/>
        <v>y</v>
      </c>
      <c r="GAE1" s="154" t="str">
        <f t="shared" si="74"/>
        <v>y</v>
      </c>
      <c r="GAF1" s="154" t="str">
        <f t="shared" si="74"/>
        <v>y</v>
      </c>
      <c r="GAG1" s="154" t="str">
        <f t="shared" si="74"/>
        <v>y</v>
      </c>
      <c r="GAH1" s="154" t="str">
        <f t="shared" si="74"/>
        <v>y</v>
      </c>
      <c r="GAI1" s="154" t="str">
        <f t="shared" si="74"/>
        <v>y</v>
      </c>
      <c r="GAJ1" s="154" t="str">
        <f t="shared" si="74"/>
        <v>y</v>
      </c>
      <c r="GAK1" s="154" t="str">
        <f t="shared" si="74"/>
        <v>y</v>
      </c>
      <c r="GAL1" s="154" t="str">
        <f t="shared" si="74"/>
        <v>y</v>
      </c>
      <c r="GAM1" s="154" t="str">
        <f t="shared" si="74"/>
        <v>y</v>
      </c>
      <c r="GAN1" s="154" t="str">
        <f t="shared" si="74"/>
        <v>y</v>
      </c>
      <c r="GAO1" s="154" t="str">
        <f t="shared" si="74"/>
        <v>y</v>
      </c>
      <c r="GAP1" s="154" t="str">
        <f t="shared" si="74"/>
        <v>y</v>
      </c>
      <c r="GAQ1" s="154" t="str">
        <f t="shared" si="74"/>
        <v>y</v>
      </c>
      <c r="GAR1" s="154" t="str">
        <f t="shared" si="74"/>
        <v>y</v>
      </c>
      <c r="GAS1" s="154" t="str">
        <f t="shared" si="74"/>
        <v>y</v>
      </c>
      <c r="GAT1" s="154" t="str">
        <f t="shared" si="74"/>
        <v>y</v>
      </c>
      <c r="GAU1" s="154" t="str">
        <f t="shared" si="74"/>
        <v>y</v>
      </c>
      <c r="GAV1" s="154" t="str">
        <f t="shared" si="74"/>
        <v>y</v>
      </c>
      <c r="GAW1" s="154" t="str">
        <f t="shared" si="74"/>
        <v>y</v>
      </c>
      <c r="GAX1" s="154" t="str">
        <f t="shared" si="74"/>
        <v>y</v>
      </c>
      <c r="GAY1" s="154" t="str">
        <f t="shared" si="74"/>
        <v>y</v>
      </c>
      <c r="GAZ1" s="154" t="str">
        <f t="shared" si="74"/>
        <v>y</v>
      </c>
      <c r="GBA1" s="154" t="str">
        <f t="shared" si="74"/>
        <v>y</v>
      </c>
      <c r="GBB1" s="154" t="str">
        <f t="shared" si="74"/>
        <v>y</v>
      </c>
      <c r="GBC1" s="154" t="str">
        <f t="shared" si="74"/>
        <v>y</v>
      </c>
      <c r="GBD1" s="154" t="str">
        <f t="shared" si="74"/>
        <v>y</v>
      </c>
      <c r="GBE1" s="154" t="str">
        <f t="shared" si="74"/>
        <v>y</v>
      </c>
      <c r="GBF1" s="154" t="str">
        <f t="shared" si="74"/>
        <v>y</v>
      </c>
      <c r="GBG1" s="154" t="str">
        <f t="shared" si="74"/>
        <v>y</v>
      </c>
      <c r="GBH1" s="154" t="str">
        <f t="shared" si="74"/>
        <v>y</v>
      </c>
      <c r="GBI1" s="154" t="str">
        <f t="shared" si="74"/>
        <v>y</v>
      </c>
      <c r="GBJ1" s="154" t="str">
        <f t="shared" si="74"/>
        <v>y</v>
      </c>
      <c r="GBK1" s="154" t="str">
        <f t="shared" si="74"/>
        <v>y</v>
      </c>
      <c r="GBL1" s="154" t="str">
        <f t="shared" si="74"/>
        <v>y</v>
      </c>
      <c r="GBM1" s="154" t="str">
        <f t="shared" si="74"/>
        <v>y</v>
      </c>
      <c r="GBN1" s="154" t="str">
        <f t="shared" si="74"/>
        <v>y</v>
      </c>
      <c r="GBO1" s="154" t="str">
        <f t="shared" si="74"/>
        <v>y</v>
      </c>
      <c r="GBP1" s="154" t="str">
        <f t="shared" si="74"/>
        <v>y</v>
      </c>
      <c r="GBQ1" s="154" t="str">
        <f t="shared" si="74"/>
        <v>y</v>
      </c>
      <c r="GBR1" s="154" t="str">
        <f t="shared" si="74"/>
        <v>y</v>
      </c>
      <c r="GBS1" s="154" t="str">
        <f t="shared" si="74"/>
        <v>y</v>
      </c>
      <c r="GBT1" s="154" t="str">
        <f t="shared" ref="GBT1:GEE1" si="75">GBT2&amp;"y"</f>
        <v>y</v>
      </c>
      <c r="GBU1" s="154" t="str">
        <f t="shared" si="75"/>
        <v>y</v>
      </c>
      <c r="GBV1" s="154" t="str">
        <f t="shared" si="75"/>
        <v>y</v>
      </c>
      <c r="GBW1" s="154" t="str">
        <f t="shared" si="75"/>
        <v>y</v>
      </c>
      <c r="GBX1" s="154" t="str">
        <f t="shared" si="75"/>
        <v>y</v>
      </c>
      <c r="GBY1" s="154" t="str">
        <f t="shared" si="75"/>
        <v>y</v>
      </c>
      <c r="GBZ1" s="154" t="str">
        <f t="shared" si="75"/>
        <v>y</v>
      </c>
      <c r="GCA1" s="154" t="str">
        <f t="shared" si="75"/>
        <v>y</v>
      </c>
      <c r="GCB1" s="154" t="str">
        <f t="shared" si="75"/>
        <v>y</v>
      </c>
      <c r="GCC1" s="154" t="str">
        <f t="shared" si="75"/>
        <v>y</v>
      </c>
      <c r="GCD1" s="154" t="str">
        <f t="shared" si="75"/>
        <v>y</v>
      </c>
      <c r="GCE1" s="154" t="str">
        <f t="shared" si="75"/>
        <v>y</v>
      </c>
      <c r="GCF1" s="154" t="str">
        <f t="shared" si="75"/>
        <v>y</v>
      </c>
      <c r="GCG1" s="154" t="str">
        <f t="shared" si="75"/>
        <v>y</v>
      </c>
      <c r="GCH1" s="154" t="str">
        <f t="shared" si="75"/>
        <v>y</v>
      </c>
      <c r="GCI1" s="154" t="str">
        <f t="shared" si="75"/>
        <v>y</v>
      </c>
      <c r="GCJ1" s="154" t="str">
        <f t="shared" si="75"/>
        <v>y</v>
      </c>
      <c r="GCK1" s="154" t="str">
        <f t="shared" si="75"/>
        <v>y</v>
      </c>
      <c r="GCL1" s="154" t="str">
        <f t="shared" si="75"/>
        <v>y</v>
      </c>
      <c r="GCM1" s="154" t="str">
        <f t="shared" si="75"/>
        <v>y</v>
      </c>
      <c r="GCN1" s="154" t="str">
        <f t="shared" si="75"/>
        <v>y</v>
      </c>
      <c r="GCO1" s="154" t="str">
        <f t="shared" si="75"/>
        <v>y</v>
      </c>
      <c r="GCP1" s="154" t="str">
        <f t="shared" si="75"/>
        <v>y</v>
      </c>
      <c r="GCQ1" s="154" t="str">
        <f t="shared" si="75"/>
        <v>y</v>
      </c>
      <c r="GCR1" s="154" t="str">
        <f t="shared" si="75"/>
        <v>y</v>
      </c>
      <c r="GCS1" s="154" t="str">
        <f t="shared" si="75"/>
        <v>y</v>
      </c>
      <c r="GCT1" s="154" t="str">
        <f t="shared" si="75"/>
        <v>y</v>
      </c>
      <c r="GCU1" s="154" t="str">
        <f t="shared" si="75"/>
        <v>y</v>
      </c>
      <c r="GCV1" s="154" t="str">
        <f t="shared" si="75"/>
        <v>y</v>
      </c>
      <c r="GCW1" s="154" t="str">
        <f t="shared" si="75"/>
        <v>y</v>
      </c>
      <c r="GCX1" s="154" t="str">
        <f t="shared" si="75"/>
        <v>y</v>
      </c>
      <c r="GCY1" s="154" t="str">
        <f t="shared" si="75"/>
        <v>y</v>
      </c>
      <c r="GCZ1" s="154" t="str">
        <f t="shared" si="75"/>
        <v>y</v>
      </c>
      <c r="GDA1" s="154" t="str">
        <f t="shared" si="75"/>
        <v>y</v>
      </c>
      <c r="GDB1" s="154" t="str">
        <f t="shared" si="75"/>
        <v>y</v>
      </c>
      <c r="GDC1" s="154" t="str">
        <f t="shared" si="75"/>
        <v>y</v>
      </c>
      <c r="GDD1" s="154" t="str">
        <f t="shared" si="75"/>
        <v>y</v>
      </c>
      <c r="GDE1" s="154" t="str">
        <f t="shared" si="75"/>
        <v>y</v>
      </c>
      <c r="GDF1" s="154" t="str">
        <f t="shared" si="75"/>
        <v>y</v>
      </c>
      <c r="GDG1" s="154" t="str">
        <f t="shared" si="75"/>
        <v>y</v>
      </c>
      <c r="GDH1" s="154" t="str">
        <f t="shared" si="75"/>
        <v>y</v>
      </c>
      <c r="GDI1" s="154" t="str">
        <f t="shared" si="75"/>
        <v>y</v>
      </c>
      <c r="GDJ1" s="154" t="str">
        <f t="shared" si="75"/>
        <v>y</v>
      </c>
      <c r="GDK1" s="154" t="str">
        <f t="shared" si="75"/>
        <v>y</v>
      </c>
      <c r="GDL1" s="154" t="str">
        <f t="shared" si="75"/>
        <v>y</v>
      </c>
      <c r="GDM1" s="154" t="str">
        <f t="shared" si="75"/>
        <v>y</v>
      </c>
      <c r="GDN1" s="154" t="str">
        <f t="shared" si="75"/>
        <v>y</v>
      </c>
      <c r="GDO1" s="154" t="str">
        <f t="shared" si="75"/>
        <v>y</v>
      </c>
      <c r="GDP1" s="154" t="str">
        <f t="shared" si="75"/>
        <v>y</v>
      </c>
      <c r="GDQ1" s="154" t="str">
        <f t="shared" si="75"/>
        <v>y</v>
      </c>
      <c r="GDR1" s="154" t="str">
        <f t="shared" si="75"/>
        <v>y</v>
      </c>
      <c r="GDS1" s="154" t="str">
        <f t="shared" si="75"/>
        <v>y</v>
      </c>
      <c r="GDT1" s="154" t="str">
        <f t="shared" si="75"/>
        <v>y</v>
      </c>
      <c r="GDU1" s="154" t="str">
        <f t="shared" si="75"/>
        <v>y</v>
      </c>
      <c r="GDV1" s="154" t="str">
        <f t="shared" si="75"/>
        <v>y</v>
      </c>
      <c r="GDW1" s="154" t="str">
        <f t="shared" si="75"/>
        <v>y</v>
      </c>
      <c r="GDX1" s="154" t="str">
        <f t="shared" si="75"/>
        <v>y</v>
      </c>
      <c r="GDY1" s="154" t="str">
        <f t="shared" si="75"/>
        <v>y</v>
      </c>
      <c r="GDZ1" s="154" t="str">
        <f t="shared" si="75"/>
        <v>y</v>
      </c>
      <c r="GEA1" s="154" t="str">
        <f t="shared" si="75"/>
        <v>y</v>
      </c>
      <c r="GEB1" s="154" t="str">
        <f t="shared" si="75"/>
        <v>y</v>
      </c>
      <c r="GEC1" s="154" t="str">
        <f t="shared" si="75"/>
        <v>y</v>
      </c>
      <c r="GED1" s="154" t="str">
        <f t="shared" si="75"/>
        <v>y</v>
      </c>
      <c r="GEE1" s="154" t="str">
        <f t="shared" si="75"/>
        <v>y</v>
      </c>
      <c r="GEF1" s="154" t="str">
        <f t="shared" ref="GEF1:GGQ1" si="76">GEF2&amp;"y"</f>
        <v>y</v>
      </c>
      <c r="GEG1" s="154" t="str">
        <f t="shared" si="76"/>
        <v>y</v>
      </c>
      <c r="GEH1" s="154" t="str">
        <f t="shared" si="76"/>
        <v>y</v>
      </c>
      <c r="GEI1" s="154" t="str">
        <f t="shared" si="76"/>
        <v>y</v>
      </c>
      <c r="GEJ1" s="154" t="str">
        <f t="shared" si="76"/>
        <v>y</v>
      </c>
      <c r="GEK1" s="154" t="str">
        <f t="shared" si="76"/>
        <v>y</v>
      </c>
      <c r="GEL1" s="154" t="str">
        <f t="shared" si="76"/>
        <v>y</v>
      </c>
      <c r="GEM1" s="154" t="str">
        <f t="shared" si="76"/>
        <v>y</v>
      </c>
      <c r="GEN1" s="154" t="str">
        <f t="shared" si="76"/>
        <v>y</v>
      </c>
      <c r="GEO1" s="154" t="str">
        <f t="shared" si="76"/>
        <v>y</v>
      </c>
      <c r="GEP1" s="154" t="str">
        <f t="shared" si="76"/>
        <v>y</v>
      </c>
      <c r="GEQ1" s="154" t="str">
        <f t="shared" si="76"/>
        <v>y</v>
      </c>
      <c r="GER1" s="154" t="str">
        <f t="shared" si="76"/>
        <v>y</v>
      </c>
      <c r="GES1" s="154" t="str">
        <f t="shared" si="76"/>
        <v>y</v>
      </c>
      <c r="GET1" s="154" t="str">
        <f t="shared" si="76"/>
        <v>y</v>
      </c>
      <c r="GEU1" s="154" t="str">
        <f t="shared" si="76"/>
        <v>y</v>
      </c>
      <c r="GEV1" s="154" t="str">
        <f t="shared" si="76"/>
        <v>y</v>
      </c>
      <c r="GEW1" s="154" t="str">
        <f t="shared" si="76"/>
        <v>y</v>
      </c>
      <c r="GEX1" s="154" t="str">
        <f t="shared" si="76"/>
        <v>y</v>
      </c>
      <c r="GEY1" s="154" t="str">
        <f t="shared" si="76"/>
        <v>y</v>
      </c>
      <c r="GEZ1" s="154" t="str">
        <f t="shared" si="76"/>
        <v>y</v>
      </c>
      <c r="GFA1" s="154" t="str">
        <f t="shared" si="76"/>
        <v>y</v>
      </c>
      <c r="GFB1" s="154" t="str">
        <f t="shared" si="76"/>
        <v>y</v>
      </c>
      <c r="GFC1" s="154" t="str">
        <f t="shared" si="76"/>
        <v>y</v>
      </c>
      <c r="GFD1" s="154" t="str">
        <f t="shared" si="76"/>
        <v>y</v>
      </c>
      <c r="GFE1" s="154" t="str">
        <f t="shared" si="76"/>
        <v>y</v>
      </c>
      <c r="GFF1" s="154" t="str">
        <f t="shared" si="76"/>
        <v>y</v>
      </c>
      <c r="GFG1" s="154" t="str">
        <f t="shared" si="76"/>
        <v>y</v>
      </c>
      <c r="GFH1" s="154" t="str">
        <f t="shared" si="76"/>
        <v>y</v>
      </c>
      <c r="GFI1" s="154" t="str">
        <f t="shared" si="76"/>
        <v>y</v>
      </c>
      <c r="GFJ1" s="154" t="str">
        <f t="shared" si="76"/>
        <v>y</v>
      </c>
      <c r="GFK1" s="154" t="str">
        <f t="shared" si="76"/>
        <v>y</v>
      </c>
      <c r="GFL1" s="154" t="str">
        <f t="shared" si="76"/>
        <v>y</v>
      </c>
      <c r="GFM1" s="154" t="str">
        <f t="shared" si="76"/>
        <v>y</v>
      </c>
      <c r="GFN1" s="154" t="str">
        <f t="shared" si="76"/>
        <v>y</v>
      </c>
      <c r="GFO1" s="154" t="str">
        <f t="shared" si="76"/>
        <v>y</v>
      </c>
      <c r="GFP1" s="154" t="str">
        <f t="shared" si="76"/>
        <v>y</v>
      </c>
      <c r="GFQ1" s="154" t="str">
        <f t="shared" si="76"/>
        <v>y</v>
      </c>
      <c r="GFR1" s="154" t="str">
        <f t="shared" si="76"/>
        <v>y</v>
      </c>
      <c r="GFS1" s="154" t="str">
        <f t="shared" si="76"/>
        <v>y</v>
      </c>
      <c r="GFT1" s="154" t="str">
        <f t="shared" si="76"/>
        <v>y</v>
      </c>
      <c r="GFU1" s="154" t="str">
        <f t="shared" si="76"/>
        <v>y</v>
      </c>
      <c r="GFV1" s="154" t="str">
        <f t="shared" si="76"/>
        <v>y</v>
      </c>
      <c r="GFW1" s="154" t="str">
        <f t="shared" si="76"/>
        <v>y</v>
      </c>
      <c r="GFX1" s="154" t="str">
        <f t="shared" si="76"/>
        <v>y</v>
      </c>
      <c r="GFY1" s="154" t="str">
        <f t="shared" si="76"/>
        <v>y</v>
      </c>
      <c r="GFZ1" s="154" t="str">
        <f t="shared" si="76"/>
        <v>y</v>
      </c>
      <c r="GGA1" s="154" t="str">
        <f t="shared" si="76"/>
        <v>y</v>
      </c>
      <c r="GGB1" s="154" t="str">
        <f t="shared" si="76"/>
        <v>y</v>
      </c>
      <c r="GGC1" s="154" t="str">
        <f t="shared" si="76"/>
        <v>y</v>
      </c>
      <c r="GGD1" s="154" t="str">
        <f t="shared" si="76"/>
        <v>y</v>
      </c>
      <c r="GGE1" s="154" t="str">
        <f t="shared" si="76"/>
        <v>y</v>
      </c>
      <c r="GGF1" s="154" t="str">
        <f t="shared" si="76"/>
        <v>y</v>
      </c>
      <c r="GGG1" s="154" t="str">
        <f t="shared" si="76"/>
        <v>y</v>
      </c>
      <c r="GGH1" s="154" t="str">
        <f t="shared" si="76"/>
        <v>y</v>
      </c>
      <c r="GGI1" s="154" t="str">
        <f t="shared" si="76"/>
        <v>y</v>
      </c>
      <c r="GGJ1" s="154" t="str">
        <f t="shared" si="76"/>
        <v>y</v>
      </c>
      <c r="GGK1" s="154" t="str">
        <f t="shared" si="76"/>
        <v>y</v>
      </c>
      <c r="GGL1" s="154" t="str">
        <f t="shared" si="76"/>
        <v>y</v>
      </c>
      <c r="GGM1" s="154" t="str">
        <f t="shared" si="76"/>
        <v>y</v>
      </c>
      <c r="GGN1" s="154" t="str">
        <f t="shared" si="76"/>
        <v>y</v>
      </c>
      <c r="GGO1" s="154" t="str">
        <f t="shared" si="76"/>
        <v>y</v>
      </c>
      <c r="GGP1" s="154" t="str">
        <f t="shared" si="76"/>
        <v>y</v>
      </c>
      <c r="GGQ1" s="154" t="str">
        <f t="shared" si="76"/>
        <v>y</v>
      </c>
      <c r="GGR1" s="154" t="str">
        <f t="shared" ref="GGR1:GJC1" si="77">GGR2&amp;"y"</f>
        <v>y</v>
      </c>
      <c r="GGS1" s="154" t="str">
        <f t="shared" si="77"/>
        <v>y</v>
      </c>
      <c r="GGT1" s="154" t="str">
        <f t="shared" si="77"/>
        <v>y</v>
      </c>
      <c r="GGU1" s="154" t="str">
        <f t="shared" si="77"/>
        <v>y</v>
      </c>
      <c r="GGV1" s="154" t="str">
        <f t="shared" si="77"/>
        <v>y</v>
      </c>
      <c r="GGW1" s="154" t="str">
        <f t="shared" si="77"/>
        <v>y</v>
      </c>
      <c r="GGX1" s="154" t="str">
        <f t="shared" si="77"/>
        <v>y</v>
      </c>
      <c r="GGY1" s="154" t="str">
        <f t="shared" si="77"/>
        <v>y</v>
      </c>
      <c r="GGZ1" s="154" t="str">
        <f t="shared" si="77"/>
        <v>y</v>
      </c>
      <c r="GHA1" s="154" t="str">
        <f t="shared" si="77"/>
        <v>y</v>
      </c>
      <c r="GHB1" s="154" t="str">
        <f t="shared" si="77"/>
        <v>y</v>
      </c>
      <c r="GHC1" s="154" t="str">
        <f t="shared" si="77"/>
        <v>y</v>
      </c>
      <c r="GHD1" s="154" t="str">
        <f t="shared" si="77"/>
        <v>y</v>
      </c>
      <c r="GHE1" s="154" t="str">
        <f t="shared" si="77"/>
        <v>y</v>
      </c>
      <c r="GHF1" s="154" t="str">
        <f t="shared" si="77"/>
        <v>y</v>
      </c>
      <c r="GHG1" s="154" t="str">
        <f t="shared" si="77"/>
        <v>y</v>
      </c>
      <c r="GHH1" s="154" t="str">
        <f t="shared" si="77"/>
        <v>y</v>
      </c>
      <c r="GHI1" s="154" t="str">
        <f t="shared" si="77"/>
        <v>y</v>
      </c>
      <c r="GHJ1" s="154" t="str">
        <f t="shared" si="77"/>
        <v>y</v>
      </c>
      <c r="GHK1" s="154" t="str">
        <f t="shared" si="77"/>
        <v>y</v>
      </c>
      <c r="GHL1" s="154" t="str">
        <f t="shared" si="77"/>
        <v>y</v>
      </c>
      <c r="GHM1" s="154" t="str">
        <f t="shared" si="77"/>
        <v>y</v>
      </c>
      <c r="GHN1" s="154" t="str">
        <f t="shared" si="77"/>
        <v>y</v>
      </c>
      <c r="GHO1" s="154" t="str">
        <f t="shared" si="77"/>
        <v>y</v>
      </c>
      <c r="GHP1" s="154" t="str">
        <f t="shared" si="77"/>
        <v>y</v>
      </c>
      <c r="GHQ1" s="154" t="str">
        <f t="shared" si="77"/>
        <v>y</v>
      </c>
      <c r="GHR1" s="154" t="str">
        <f t="shared" si="77"/>
        <v>y</v>
      </c>
      <c r="GHS1" s="154" t="str">
        <f t="shared" si="77"/>
        <v>y</v>
      </c>
      <c r="GHT1" s="154" t="str">
        <f t="shared" si="77"/>
        <v>y</v>
      </c>
      <c r="GHU1" s="154" t="str">
        <f t="shared" si="77"/>
        <v>y</v>
      </c>
      <c r="GHV1" s="154" t="str">
        <f t="shared" si="77"/>
        <v>y</v>
      </c>
      <c r="GHW1" s="154" t="str">
        <f t="shared" si="77"/>
        <v>y</v>
      </c>
      <c r="GHX1" s="154" t="str">
        <f t="shared" si="77"/>
        <v>y</v>
      </c>
      <c r="GHY1" s="154" t="str">
        <f t="shared" si="77"/>
        <v>y</v>
      </c>
      <c r="GHZ1" s="154" t="str">
        <f t="shared" si="77"/>
        <v>y</v>
      </c>
      <c r="GIA1" s="154" t="str">
        <f t="shared" si="77"/>
        <v>y</v>
      </c>
      <c r="GIB1" s="154" t="str">
        <f t="shared" si="77"/>
        <v>y</v>
      </c>
      <c r="GIC1" s="154" t="str">
        <f t="shared" si="77"/>
        <v>y</v>
      </c>
      <c r="GID1" s="154" t="str">
        <f t="shared" si="77"/>
        <v>y</v>
      </c>
      <c r="GIE1" s="154" t="str">
        <f t="shared" si="77"/>
        <v>y</v>
      </c>
      <c r="GIF1" s="154" t="str">
        <f t="shared" si="77"/>
        <v>y</v>
      </c>
      <c r="GIG1" s="154" t="str">
        <f t="shared" si="77"/>
        <v>y</v>
      </c>
      <c r="GIH1" s="154" t="str">
        <f t="shared" si="77"/>
        <v>y</v>
      </c>
      <c r="GII1" s="154" t="str">
        <f t="shared" si="77"/>
        <v>y</v>
      </c>
      <c r="GIJ1" s="154" t="str">
        <f t="shared" si="77"/>
        <v>y</v>
      </c>
      <c r="GIK1" s="154" t="str">
        <f t="shared" si="77"/>
        <v>y</v>
      </c>
      <c r="GIL1" s="154" t="str">
        <f t="shared" si="77"/>
        <v>y</v>
      </c>
      <c r="GIM1" s="154" t="str">
        <f t="shared" si="77"/>
        <v>y</v>
      </c>
      <c r="GIN1" s="154" t="str">
        <f t="shared" si="77"/>
        <v>y</v>
      </c>
      <c r="GIO1" s="154" t="str">
        <f t="shared" si="77"/>
        <v>y</v>
      </c>
      <c r="GIP1" s="154" t="str">
        <f t="shared" si="77"/>
        <v>y</v>
      </c>
      <c r="GIQ1" s="154" t="str">
        <f t="shared" si="77"/>
        <v>y</v>
      </c>
      <c r="GIR1" s="154" t="str">
        <f t="shared" si="77"/>
        <v>y</v>
      </c>
      <c r="GIS1" s="154" t="str">
        <f t="shared" si="77"/>
        <v>y</v>
      </c>
      <c r="GIT1" s="154" t="str">
        <f t="shared" si="77"/>
        <v>y</v>
      </c>
      <c r="GIU1" s="154" t="str">
        <f t="shared" si="77"/>
        <v>y</v>
      </c>
      <c r="GIV1" s="154" t="str">
        <f t="shared" si="77"/>
        <v>y</v>
      </c>
      <c r="GIW1" s="154" t="str">
        <f t="shared" si="77"/>
        <v>y</v>
      </c>
      <c r="GIX1" s="154" t="str">
        <f t="shared" si="77"/>
        <v>y</v>
      </c>
      <c r="GIY1" s="154" t="str">
        <f t="shared" si="77"/>
        <v>y</v>
      </c>
      <c r="GIZ1" s="154" t="str">
        <f t="shared" si="77"/>
        <v>y</v>
      </c>
      <c r="GJA1" s="154" t="str">
        <f t="shared" si="77"/>
        <v>y</v>
      </c>
      <c r="GJB1" s="154" t="str">
        <f t="shared" si="77"/>
        <v>y</v>
      </c>
      <c r="GJC1" s="154" t="str">
        <f t="shared" si="77"/>
        <v>y</v>
      </c>
      <c r="GJD1" s="154" t="str">
        <f t="shared" ref="GJD1:GLO1" si="78">GJD2&amp;"y"</f>
        <v>y</v>
      </c>
      <c r="GJE1" s="154" t="str">
        <f t="shared" si="78"/>
        <v>y</v>
      </c>
      <c r="GJF1" s="154" t="str">
        <f t="shared" si="78"/>
        <v>y</v>
      </c>
      <c r="GJG1" s="154" t="str">
        <f t="shared" si="78"/>
        <v>y</v>
      </c>
      <c r="GJH1" s="154" t="str">
        <f t="shared" si="78"/>
        <v>y</v>
      </c>
      <c r="GJI1" s="154" t="str">
        <f t="shared" si="78"/>
        <v>y</v>
      </c>
      <c r="GJJ1" s="154" t="str">
        <f t="shared" si="78"/>
        <v>y</v>
      </c>
      <c r="GJK1" s="154" t="str">
        <f t="shared" si="78"/>
        <v>y</v>
      </c>
      <c r="GJL1" s="154" t="str">
        <f t="shared" si="78"/>
        <v>y</v>
      </c>
      <c r="GJM1" s="154" t="str">
        <f t="shared" si="78"/>
        <v>y</v>
      </c>
      <c r="GJN1" s="154" t="str">
        <f t="shared" si="78"/>
        <v>y</v>
      </c>
      <c r="GJO1" s="154" t="str">
        <f t="shared" si="78"/>
        <v>y</v>
      </c>
      <c r="GJP1" s="154" t="str">
        <f t="shared" si="78"/>
        <v>y</v>
      </c>
      <c r="GJQ1" s="154" t="str">
        <f t="shared" si="78"/>
        <v>y</v>
      </c>
      <c r="GJR1" s="154" t="str">
        <f t="shared" si="78"/>
        <v>y</v>
      </c>
      <c r="GJS1" s="154" t="str">
        <f t="shared" si="78"/>
        <v>y</v>
      </c>
      <c r="GJT1" s="154" t="str">
        <f t="shared" si="78"/>
        <v>y</v>
      </c>
      <c r="GJU1" s="154" t="str">
        <f t="shared" si="78"/>
        <v>y</v>
      </c>
      <c r="GJV1" s="154" t="str">
        <f t="shared" si="78"/>
        <v>y</v>
      </c>
      <c r="GJW1" s="154" t="str">
        <f t="shared" si="78"/>
        <v>y</v>
      </c>
      <c r="GJX1" s="154" t="str">
        <f t="shared" si="78"/>
        <v>y</v>
      </c>
      <c r="GJY1" s="154" t="str">
        <f t="shared" si="78"/>
        <v>y</v>
      </c>
      <c r="GJZ1" s="154" t="str">
        <f t="shared" si="78"/>
        <v>y</v>
      </c>
      <c r="GKA1" s="154" t="str">
        <f t="shared" si="78"/>
        <v>y</v>
      </c>
      <c r="GKB1" s="154" t="str">
        <f t="shared" si="78"/>
        <v>y</v>
      </c>
      <c r="GKC1" s="154" t="str">
        <f t="shared" si="78"/>
        <v>y</v>
      </c>
      <c r="GKD1" s="154" t="str">
        <f t="shared" si="78"/>
        <v>y</v>
      </c>
      <c r="GKE1" s="154" t="str">
        <f t="shared" si="78"/>
        <v>y</v>
      </c>
      <c r="GKF1" s="154" t="str">
        <f t="shared" si="78"/>
        <v>y</v>
      </c>
      <c r="GKG1" s="154" t="str">
        <f t="shared" si="78"/>
        <v>y</v>
      </c>
      <c r="GKH1" s="154" t="str">
        <f t="shared" si="78"/>
        <v>y</v>
      </c>
      <c r="GKI1" s="154" t="str">
        <f t="shared" si="78"/>
        <v>y</v>
      </c>
      <c r="GKJ1" s="154" t="str">
        <f t="shared" si="78"/>
        <v>y</v>
      </c>
      <c r="GKK1" s="154" t="str">
        <f t="shared" si="78"/>
        <v>y</v>
      </c>
      <c r="GKL1" s="154" t="str">
        <f t="shared" si="78"/>
        <v>y</v>
      </c>
      <c r="GKM1" s="154" t="str">
        <f t="shared" si="78"/>
        <v>y</v>
      </c>
      <c r="GKN1" s="154" t="str">
        <f t="shared" si="78"/>
        <v>y</v>
      </c>
      <c r="GKO1" s="154" t="str">
        <f t="shared" si="78"/>
        <v>y</v>
      </c>
      <c r="GKP1" s="154" t="str">
        <f t="shared" si="78"/>
        <v>y</v>
      </c>
      <c r="GKQ1" s="154" t="str">
        <f t="shared" si="78"/>
        <v>y</v>
      </c>
      <c r="GKR1" s="154" t="str">
        <f t="shared" si="78"/>
        <v>y</v>
      </c>
      <c r="GKS1" s="154" t="str">
        <f t="shared" si="78"/>
        <v>y</v>
      </c>
      <c r="GKT1" s="154" t="str">
        <f t="shared" si="78"/>
        <v>y</v>
      </c>
      <c r="GKU1" s="154" t="str">
        <f t="shared" si="78"/>
        <v>y</v>
      </c>
      <c r="GKV1" s="154" t="str">
        <f t="shared" si="78"/>
        <v>y</v>
      </c>
      <c r="GKW1" s="154" t="str">
        <f t="shared" si="78"/>
        <v>y</v>
      </c>
      <c r="GKX1" s="154" t="str">
        <f t="shared" si="78"/>
        <v>y</v>
      </c>
      <c r="GKY1" s="154" t="str">
        <f t="shared" si="78"/>
        <v>y</v>
      </c>
      <c r="GKZ1" s="154" t="str">
        <f t="shared" si="78"/>
        <v>y</v>
      </c>
      <c r="GLA1" s="154" t="str">
        <f t="shared" si="78"/>
        <v>y</v>
      </c>
      <c r="GLB1" s="154" t="str">
        <f t="shared" si="78"/>
        <v>y</v>
      </c>
      <c r="GLC1" s="154" t="str">
        <f t="shared" si="78"/>
        <v>y</v>
      </c>
      <c r="GLD1" s="154" t="str">
        <f t="shared" si="78"/>
        <v>y</v>
      </c>
      <c r="GLE1" s="154" t="str">
        <f t="shared" si="78"/>
        <v>y</v>
      </c>
      <c r="GLF1" s="154" t="str">
        <f t="shared" si="78"/>
        <v>y</v>
      </c>
      <c r="GLG1" s="154" t="str">
        <f t="shared" si="78"/>
        <v>y</v>
      </c>
      <c r="GLH1" s="154" t="str">
        <f t="shared" si="78"/>
        <v>y</v>
      </c>
      <c r="GLI1" s="154" t="str">
        <f t="shared" si="78"/>
        <v>y</v>
      </c>
      <c r="GLJ1" s="154" t="str">
        <f t="shared" si="78"/>
        <v>y</v>
      </c>
      <c r="GLK1" s="154" t="str">
        <f t="shared" si="78"/>
        <v>y</v>
      </c>
      <c r="GLL1" s="154" t="str">
        <f t="shared" si="78"/>
        <v>y</v>
      </c>
      <c r="GLM1" s="154" t="str">
        <f t="shared" si="78"/>
        <v>y</v>
      </c>
      <c r="GLN1" s="154" t="str">
        <f t="shared" si="78"/>
        <v>y</v>
      </c>
      <c r="GLO1" s="154" t="str">
        <f t="shared" si="78"/>
        <v>y</v>
      </c>
      <c r="GLP1" s="154" t="str">
        <f t="shared" ref="GLP1:GOA1" si="79">GLP2&amp;"y"</f>
        <v>y</v>
      </c>
      <c r="GLQ1" s="154" t="str">
        <f t="shared" si="79"/>
        <v>y</v>
      </c>
      <c r="GLR1" s="154" t="str">
        <f t="shared" si="79"/>
        <v>y</v>
      </c>
      <c r="GLS1" s="154" t="str">
        <f t="shared" si="79"/>
        <v>y</v>
      </c>
      <c r="GLT1" s="154" t="str">
        <f t="shared" si="79"/>
        <v>y</v>
      </c>
      <c r="GLU1" s="154" t="str">
        <f t="shared" si="79"/>
        <v>y</v>
      </c>
      <c r="GLV1" s="154" t="str">
        <f t="shared" si="79"/>
        <v>y</v>
      </c>
      <c r="GLW1" s="154" t="str">
        <f t="shared" si="79"/>
        <v>y</v>
      </c>
      <c r="GLX1" s="154" t="str">
        <f t="shared" si="79"/>
        <v>y</v>
      </c>
      <c r="GLY1" s="154" t="str">
        <f t="shared" si="79"/>
        <v>y</v>
      </c>
      <c r="GLZ1" s="154" t="str">
        <f t="shared" si="79"/>
        <v>y</v>
      </c>
      <c r="GMA1" s="154" t="str">
        <f t="shared" si="79"/>
        <v>y</v>
      </c>
      <c r="GMB1" s="154" t="str">
        <f t="shared" si="79"/>
        <v>y</v>
      </c>
      <c r="GMC1" s="154" t="str">
        <f t="shared" si="79"/>
        <v>y</v>
      </c>
      <c r="GMD1" s="154" t="str">
        <f t="shared" si="79"/>
        <v>y</v>
      </c>
      <c r="GME1" s="154" t="str">
        <f t="shared" si="79"/>
        <v>y</v>
      </c>
      <c r="GMF1" s="154" t="str">
        <f t="shared" si="79"/>
        <v>y</v>
      </c>
      <c r="GMG1" s="154" t="str">
        <f t="shared" si="79"/>
        <v>y</v>
      </c>
      <c r="GMH1" s="154" t="str">
        <f t="shared" si="79"/>
        <v>y</v>
      </c>
      <c r="GMI1" s="154" t="str">
        <f t="shared" si="79"/>
        <v>y</v>
      </c>
      <c r="GMJ1" s="154" t="str">
        <f t="shared" si="79"/>
        <v>y</v>
      </c>
      <c r="GMK1" s="154" t="str">
        <f t="shared" si="79"/>
        <v>y</v>
      </c>
      <c r="GML1" s="154" t="str">
        <f t="shared" si="79"/>
        <v>y</v>
      </c>
      <c r="GMM1" s="154" t="str">
        <f t="shared" si="79"/>
        <v>y</v>
      </c>
      <c r="GMN1" s="154" t="str">
        <f t="shared" si="79"/>
        <v>y</v>
      </c>
      <c r="GMO1" s="154" t="str">
        <f t="shared" si="79"/>
        <v>y</v>
      </c>
      <c r="GMP1" s="154" t="str">
        <f t="shared" si="79"/>
        <v>y</v>
      </c>
      <c r="GMQ1" s="154" t="str">
        <f t="shared" si="79"/>
        <v>y</v>
      </c>
      <c r="GMR1" s="154" t="str">
        <f t="shared" si="79"/>
        <v>y</v>
      </c>
      <c r="GMS1" s="154" t="str">
        <f t="shared" si="79"/>
        <v>y</v>
      </c>
      <c r="GMT1" s="154" t="str">
        <f t="shared" si="79"/>
        <v>y</v>
      </c>
      <c r="GMU1" s="154" t="str">
        <f t="shared" si="79"/>
        <v>y</v>
      </c>
      <c r="GMV1" s="154" t="str">
        <f t="shared" si="79"/>
        <v>y</v>
      </c>
      <c r="GMW1" s="154" t="str">
        <f t="shared" si="79"/>
        <v>y</v>
      </c>
      <c r="GMX1" s="154" t="str">
        <f t="shared" si="79"/>
        <v>y</v>
      </c>
      <c r="GMY1" s="154" t="str">
        <f t="shared" si="79"/>
        <v>y</v>
      </c>
      <c r="GMZ1" s="154" t="str">
        <f t="shared" si="79"/>
        <v>y</v>
      </c>
      <c r="GNA1" s="154" t="str">
        <f t="shared" si="79"/>
        <v>y</v>
      </c>
      <c r="GNB1" s="154" t="str">
        <f t="shared" si="79"/>
        <v>y</v>
      </c>
      <c r="GNC1" s="154" t="str">
        <f t="shared" si="79"/>
        <v>y</v>
      </c>
      <c r="GND1" s="154" t="str">
        <f t="shared" si="79"/>
        <v>y</v>
      </c>
      <c r="GNE1" s="154" t="str">
        <f t="shared" si="79"/>
        <v>y</v>
      </c>
      <c r="GNF1" s="154" t="str">
        <f t="shared" si="79"/>
        <v>y</v>
      </c>
      <c r="GNG1" s="154" t="str">
        <f t="shared" si="79"/>
        <v>y</v>
      </c>
      <c r="GNH1" s="154" t="str">
        <f t="shared" si="79"/>
        <v>y</v>
      </c>
      <c r="GNI1" s="154" t="str">
        <f t="shared" si="79"/>
        <v>y</v>
      </c>
      <c r="GNJ1" s="154" t="str">
        <f t="shared" si="79"/>
        <v>y</v>
      </c>
      <c r="GNK1" s="154" t="str">
        <f t="shared" si="79"/>
        <v>y</v>
      </c>
      <c r="GNL1" s="154" t="str">
        <f t="shared" si="79"/>
        <v>y</v>
      </c>
      <c r="GNM1" s="154" t="str">
        <f t="shared" si="79"/>
        <v>y</v>
      </c>
      <c r="GNN1" s="154" t="str">
        <f t="shared" si="79"/>
        <v>y</v>
      </c>
      <c r="GNO1" s="154" t="str">
        <f t="shared" si="79"/>
        <v>y</v>
      </c>
      <c r="GNP1" s="154" t="str">
        <f t="shared" si="79"/>
        <v>y</v>
      </c>
      <c r="GNQ1" s="154" t="str">
        <f t="shared" si="79"/>
        <v>y</v>
      </c>
      <c r="GNR1" s="154" t="str">
        <f t="shared" si="79"/>
        <v>y</v>
      </c>
      <c r="GNS1" s="154" t="str">
        <f t="shared" si="79"/>
        <v>y</v>
      </c>
      <c r="GNT1" s="154" t="str">
        <f t="shared" si="79"/>
        <v>y</v>
      </c>
      <c r="GNU1" s="154" t="str">
        <f t="shared" si="79"/>
        <v>y</v>
      </c>
      <c r="GNV1" s="154" t="str">
        <f t="shared" si="79"/>
        <v>y</v>
      </c>
      <c r="GNW1" s="154" t="str">
        <f t="shared" si="79"/>
        <v>y</v>
      </c>
      <c r="GNX1" s="154" t="str">
        <f t="shared" si="79"/>
        <v>y</v>
      </c>
      <c r="GNY1" s="154" t="str">
        <f t="shared" si="79"/>
        <v>y</v>
      </c>
      <c r="GNZ1" s="154" t="str">
        <f t="shared" si="79"/>
        <v>y</v>
      </c>
      <c r="GOA1" s="154" t="str">
        <f t="shared" si="79"/>
        <v>y</v>
      </c>
      <c r="GOB1" s="154" t="str">
        <f t="shared" ref="GOB1:GQM1" si="80">GOB2&amp;"y"</f>
        <v>y</v>
      </c>
      <c r="GOC1" s="154" t="str">
        <f t="shared" si="80"/>
        <v>y</v>
      </c>
      <c r="GOD1" s="154" t="str">
        <f t="shared" si="80"/>
        <v>y</v>
      </c>
      <c r="GOE1" s="154" t="str">
        <f t="shared" si="80"/>
        <v>y</v>
      </c>
      <c r="GOF1" s="154" t="str">
        <f t="shared" si="80"/>
        <v>y</v>
      </c>
      <c r="GOG1" s="154" t="str">
        <f t="shared" si="80"/>
        <v>y</v>
      </c>
      <c r="GOH1" s="154" t="str">
        <f t="shared" si="80"/>
        <v>y</v>
      </c>
      <c r="GOI1" s="154" t="str">
        <f t="shared" si="80"/>
        <v>y</v>
      </c>
      <c r="GOJ1" s="154" t="str">
        <f t="shared" si="80"/>
        <v>y</v>
      </c>
      <c r="GOK1" s="154" t="str">
        <f t="shared" si="80"/>
        <v>y</v>
      </c>
      <c r="GOL1" s="154" t="str">
        <f t="shared" si="80"/>
        <v>y</v>
      </c>
      <c r="GOM1" s="154" t="str">
        <f t="shared" si="80"/>
        <v>y</v>
      </c>
      <c r="GON1" s="154" t="str">
        <f t="shared" si="80"/>
        <v>y</v>
      </c>
      <c r="GOO1" s="154" t="str">
        <f t="shared" si="80"/>
        <v>y</v>
      </c>
      <c r="GOP1" s="154" t="str">
        <f t="shared" si="80"/>
        <v>y</v>
      </c>
      <c r="GOQ1" s="154" t="str">
        <f t="shared" si="80"/>
        <v>y</v>
      </c>
      <c r="GOR1" s="154" t="str">
        <f t="shared" si="80"/>
        <v>y</v>
      </c>
      <c r="GOS1" s="154" t="str">
        <f t="shared" si="80"/>
        <v>y</v>
      </c>
      <c r="GOT1" s="154" t="str">
        <f t="shared" si="80"/>
        <v>y</v>
      </c>
      <c r="GOU1" s="154" t="str">
        <f t="shared" si="80"/>
        <v>y</v>
      </c>
      <c r="GOV1" s="154" t="str">
        <f t="shared" si="80"/>
        <v>y</v>
      </c>
      <c r="GOW1" s="154" t="str">
        <f t="shared" si="80"/>
        <v>y</v>
      </c>
      <c r="GOX1" s="154" t="str">
        <f t="shared" si="80"/>
        <v>y</v>
      </c>
      <c r="GOY1" s="154" t="str">
        <f t="shared" si="80"/>
        <v>y</v>
      </c>
      <c r="GOZ1" s="154" t="str">
        <f t="shared" si="80"/>
        <v>y</v>
      </c>
      <c r="GPA1" s="154" t="str">
        <f t="shared" si="80"/>
        <v>y</v>
      </c>
      <c r="GPB1" s="154" t="str">
        <f t="shared" si="80"/>
        <v>y</v>
      </c>
      <c r="GPC1" s="154" t="str">
        <f t="shared" si="80"/>
        <v>y</v>
      </c>
      <c r="GPD1" s="154" t="str">
        <f t="shared" si="80"/>
        <v>y</v>
      </c>
      <c r="GPE1" s="154" t="str">
        <f t="shared" si="80"/>
        <v>y</v>
      </c>
      <c r="GPF1" s="154" t="str">
        <f t="shared" si="80"/>
        <v>y</v>
      </c>
      <c r="GPG1" s="154" t="str">
        <f t="shared" si="80"/>
        <v>y</v>
      </c>
      <c r="GPH1" s="154" t="str">
        <f t="shared" si="80"/>
        <v>y</v>
      </c>
      <c r="GPI1" s="154" t="str">
        <f t="shared" si="80"/>
        <v>y</v>
      </c>
      <c r="GPJ1" s="154" t="str">
        <f t="shared" si="80"/>
        <v>y</v>
      </c>
      <c r="GPK1" s="154" t="str">
        <f t="shared" si="80"/>
        <v>y</v>
      </c>
      <c r="GPL1" s="154" t="str">
        <f t="shared" si="80"/>
        <v>y</v>
      </c>
      <c r="GPM1" s="154" t="str">
        <f t="shared" si="80"/>
        <v>y</v>
      </c>
      <c r="GPN1" s="154" t="str">
        <f t="shared" si="80"/>
        <v>y</v>
      </c>
      <c r="GPO1" s="154" t="str">
        <f t="shared" si="80"/>
        <v>y</v>
      </c>
      <c r="GPP1" s="154" t="str">
        <f t="shared" si="80"/>
        <v>y</v>
      </c>
      <c r="GPQ1" s="154" t="str">
        <f t="shared" si="80"/>
        <v>y</v>
      </c>
      <c r="GPR1" s="154" t="str">
        <f t="shared" si="80"/>
        <v>y</v>
      </c>
      <c r="GPS1" s="154" t="str">
        <f t="shared" si="80"/>
        <v>y</v>
      </c>
      <c r="GPT1" s="154" t="str">
        <f t="shared" si="80"/>
        <v>y</v>
      </c>
      <c r="GPU1" s="154" t="str">
        <f t="shared" si="80"/>
        <v>y</v>
      </c>
      <c r="GPV1" s="154" t="str">
        <f t="shared" si="80"/>
        <v>y</v>
      </c>
      <c r="GPW1" s="154" t="str">
        <f t="shared" si="80"/>
        <v>y</v>
      </c>
      <c r="GPX1" s="154" t="str">
        <f t="shared" si="80"/>
        <v>y</v>
      </c>
      <c r="GPY1" s="154" t="str">
        <f t="shared" si="80"/>
        <v>y</v>
      </c>
      <c r="GPZ1" s="154" t="str">
        <f t="shared" si="80"/>
        <v>y</v>
      </c>
      <c r="GQA1" s="154" t="str">
        <f t="shared" si="80"/>
        <v>y</v>
      </c>
      <c r="GQB1" s="154" t="str">
        <f t="shared" si="80"/>
        <v>y</v>
      </c>
      <c r="GQC1" s="154" t="str">
        <f t="shared" si="80"/>
        <v>y</v>
      </c>
      <c r="GQD1" s="154" t="str">
        <f t="shared" si="80"/>
        <v>y</v>
      </c>
      <c r="GQE1" s="154" t="str">
        <f t="shared" si="80"/>
        <v>y</v>
      </c>
      <c r="GQF1" s="154" t="str">
        <f t="shared" si="80"/>
        <v>y</v>
      </c>
      <c r="GQG1" s="154" t="str">
        <f t="shared" si="80"/>
        <v>y</v>
      </c>
      <c r="GQH1" s="154" t="str">
        <f t="shared" si="80"/>
        <v>y</v>
      </c>
      <c r="GQI1" s="154" t="str">
        <f t="shared" si="80"/>
        <v>y</v>
      </c>
      <c r="GQJ1" s="154" t="str">
        <f t="shared" si="80"/>
        <v>y</v>
      </c>
      <c r="GQK1" s="154" t="str">
        <f t="shared" si="80"/>
        <v>y</v>
      </c>
      <c r="GQL1" s="154" t="str">
        <f t="shared" si="80"/>
        <v>y</v>
      </c>
      <c r="GQM1" s="154" t="str">
        <f t="shared" si="80"/>
        <v>y</v>
      </c>
      <c r="GQN1" s="154" t="str">
        <f t="shared" ref="GQN1:GSY1" si="81">GQN2&amp;"y"</f>
        <v>y</v>
      </c>
      <c r="GQO1" s="154" t="str">
        <f t="shared" si="81"/>
        <v>y</v>
      </c>
      <c r="GQP1" s="154" t="str">
        <f t="shared" si="81"/>
        <v>y</v>
      </c>
      <c r="GQQ1" s="154" t="str">
        <f t="shared" si="81"/>
        <v>y</v>
      </c>
      <c r="GQR1" s="154" t="str">
        <f t="shared" si="81"/>
        <v>y</v>
      </c>
      <c r="GQS1" s="154" t="str">
        <f t="shared" si="81"/>
        <v>y</v>
      </c>
      <c r="GQT1" s="154" t="str">
        <f t="shared" si="81"/>
        <v>y</v>
      </c>
      <c r="GQU1" s="154" t="str">
        <f t="shared" si="81"/>
        <v>y</v>
      </c>
      <c r="GQV1" s="154" t="str">
        <f t="shared" si="81"/>
        <v>y</v>
      </c>
      <c r="GQW1" s="154" t="str">
        <f t="shared" si="81"/>
        <v>y</v>
      </c>
      <c r="GQX1" s="154" t="str">
        <f t="shared" si="81"/>
        <v>y</v>
      </c>
      <c r="GQY1" s="154" t="str">
        <f t="shared" si="81"/>
        <v>y</v>
      </c>
      <c r="GQZ1" s="154" t="str">
        <f t="shared" si="81"/>
        <v>y</v>
      </c>
      <c r="GRA1" s="154" t="str">
        <f t="shared" si="81"/>
        <v>y</v>
      </c>
      <c r="GRB1" s="154" t="str">
        <f t="shared" si="81"/>
        <v>y</v>
      </c>
      <c r="GRC1" s="154" t="str">
        <f t="shared" si="81"/>
        <v>y</v>
      </c>
      <c r="GRD1" s="154" t="str">
        <f t="shared" si="81"/>
        <v>y</v>
      </c>
      <c r="GRE1" s="154" t="str">
        <f t="shared" si="81"/>
        <v>y</v>
      </c>
      <c r="GRF1" s="154" t="str">
        <f t="shared" si="81"/>
        <v>y</v>
      </c>
      <c r="GRG1" s="154" t="str">
        <f t="shared" si="81"/>
        <v>y</v>
      </c>
      <c r="GRH1" s="154" t="str">
        <f t="shared" si="81"/>
        <v>y</v>
      </c>
      <c r="GRI1" s="154" t="str">
        <f t="shared" si="81"/>
        <v>y</v>
      </c>
      <c r="GRJ1" s="154" t="str">
        <f t="shared" si="81"/>
        <v>y</v>
      </c>
      <c r="GRK1" s="154" t="str">
        <f t="shared" si="81"/>
        <v>y</v>
      </c>
      <c r="GRL1" s="154" t="str">
        <f t="shared" si="81"/>
        <v>y</v>
      </c>
      <c r="GRM1" s="154" t="str">
        <f t="shared" si="81"/>
        <v>y</v>
      </c>
      <c r="GRN1" s="154" t="str">
        <f t="shared" si="81"/>
        <v>y</v>
      </c>
      <c r="GRO1" s="154" t="str">
        <f t="shared" si="81"/>
        <v>y</v>
      </c>
      <c r="GRP1" s="154" t="str">
        <f t="shared" si="81"/>
        <v>y</v>
      </c>
      <c r="GRQ1" s="154" t="str">
        <f t="shared" si="81"/>
        <v>y</v>
      </c>
      <c r="GRR1" s="154" t="str">
        <f t="shared" si="81"/>
        <v>y</v>
      </c>
      <c r="GRS1" s="154" t="str">
        <f t="shared" si="81"/>
        <v>y</v>
      </c>
      <c r="GRT1" s="154" t="str">
        <f t="shared" si="81"/>
        <v>y</v>
      </c>
      <c r="GRU1" s="154" t="str">
        <f t="shared" si="81"/>
        <v>y</v>
      </c>
      <c r="GRV1" s="154" t="str">
        <f t="shared" si="81"/>
        <v>y</v>
      </c>
      <c r="GRW1" s="154" t="str">
        <f t="shared" si="81"/>
        <v>y</v>
      </c>
      <c r="GRX1" s="154" t="str">
        <f t="shared" si="81"/>
        <v>y</v>
      </c>
      <c r="GRY1" s="154" t="str">
        <f t="shared" si="81"/>
        <v>y</v>
      </c>
      <c r="GRZ1" s="154" t="str">
        <f t="shared" si="81"/>
        <v>y</v>
      </c>
      <c r="GSA1" s="154" t="str">
        <f t="shared" si="81"/>
        <v>y</v>
      </c>
      <c r="GSB1" s="154" t="str">
        <f t="shared" si="81"/>
        <v>y</v>
      </c>
      <c r="GSC1" s="154" t="str">
        <f t="shared" si="81"/>
        <v>y</v>
      </c>
      <c r="GSD1" s="154" t="str">
        <f t="shared" si="81"/>
        <v>y</v>
      </c>
      <c r="GSE1" s="154" t="str">
        <f t="shared" si="81"/>
        <v>y</v>
      </c>
      <c r="GSF1" s="154" t="str">
        <f t="shared" si="81"/>
        <v>y</v>
      </c>
      <c r="GSG1" s="154" t="str">
        <f t="shared" si="81"/>
        <v>y</v>
      </c>
      <c r="GSH1" s="154" t="str">
        <f t="shared" si="81"/>
        <v>y</v>
      </c>
      <c r="GSI1" s="154" t="str">
        <f t="shared" si="81"/>
        <v>y</v>
      </c>
      <c r="GSJ1" s="154" t="str">
        <f t="shared" si="81"/>
        <v>y</v>
      </c>
      <c r="GSK1" s="154" t="str">
        <f t="shared" si="81"/>
        <v>y</v>
      </c>
      <c r="GSL1" s="154" t="str">
        <f t="shared" si="81"/>
        <v>y</v>
      </c>
      <c r="GSM1" s="154" t="str">
        <f t="shared" si="81"/>
        <v>y</v>
      </c>
      <c r="GSN1" s="154" t="str">
        <f t="shared" si="81"/>
        <v>y</v>
      </c>
      <c r="GSO1" s="154" t="str">
        <f t="shared" si="81"/>
        <v>y</v>
      </c>
      <c r="GSP1" s="154" t="str">
        <f t="shared" si="81"/>
        <v>y</v>
      </c>
      <c r="GSQ1" s="154" t="str">
        <f t="shared" si="81"/>
        <v>y</v>
      </c>
      <c r="GSR1" s="154" t="str">
        <f t="shared" si="81"/>
        <v>y</v>
      </c>
      <c r="GSS1" s="154" t="str">
        <f t="shared" si="81"/>
        <v>y</v>
      </c>
      <c r="GST1" s="154" t="str">
        <f t="shared" si="81"/>
        <v>y</v>
      </c>
      <c r="GSU1" s="154" t="str">
        <f t="shared" si="81"/>
        <v>y</v>
      </c>
      <c r="GSV1" s="154" t="str">
        <f t="shared" si="81"/>
        <v>y</v>
      </c>
      <c r="GSW1" s="154" t="str">
        <f t="shared" si="81"/>
        <v>y</v>
      </c>
      <c r="GSX1" s="154" t="str">
        <f t="shared" si="81"/>
        <v>y</v>
      </c>
      <c r="GSY1" s="154" t="str">
        <f t="shared" si="81"/>
        <v>y</v>
      </c>
      <c r="GSZ1" s="154" t="str">
        <f t="shared" ref="GSZ1:GVK1" si="82">GSZ2&amp;"y"</f>
        <v>y</v>
      </c>
      <c r="GTA1" s="154" t="str">
        <f t="shared" si="82"/>
        <v>y</v>
      </c>
      <c r="GTB1" s="154" t="str">
        <f t="shared" si="82"/>
        <v>y</v>
      </c>
      <c r="GTC1" s="154" t="str">
        <f t="shared" si="82"/>
        <v>y</v>
      </c>
      <c r="GTD1" s="154" t="str">
        <f t="shared" si="82"/>
        <v>y</v>
      </c>
      <c r="GTE1" s="154" t="str">
        <f t="shared" si="82"/>
        <v>y</v>
      </c>
      <c r="GTF1" s="154" t="str">
        <f t="shared" si="82"/>
        <v>y</v>
      </c>
      <c r="GTG1" s="154" t="str">
        <f t="shared" si="82"/>
        <v>y</v>
      </c>
      <c r="GTH1" s="154" t="str">
        <f t="shared" si="82"/>
        <v>y</v>
      </c>
      <c r="GTI1" s="154" t="str">
        <f t="shared" si="82"/>
        <v>y</v>
      </c>
      <c r="GTJ1" s="154" t="str">
        <f t="shared" si="82"/>
        <v>y</v>
      </c>
      <c r="GTK1" s="154" t="str">
        <f t="shared" si="82"/>
        <v>y</v>
      </c>
      <c r="GTL1" s="154" t="str">
        <f t="shared" si="82"/>
        <v>y</v>
      </c>
      <c r="GTM1" s="154" t="str">
        <f t="shared" si="82"/>
        <v>y</v>
      </c>
      <c r="GTN1" s="154" t="str">
        <f t="shared" si="82"/>
        <v>y</v>
      </c>
      <c r="GTO1" s="154" t="str">
        <f t="shared" si="82"/>
        <v>y</v>
      </c>
      <c r="GTP1" s="154" t="str">
        <f t="shared" si="82"/>
        <v>y</v>
      </c>
      <c r="GTQ1" s="154" t="str">
        <f t="shared" si="82"/>
        <v>y</v>
      </c>
      <c r="GTR1" s="154" t="str">
        <f t="shared" si="82"/>
        <v>y</v>
      </c>
      <c r="GTS1" s="154" t="str">
        <f t="shared" si="82"/>
        <v>y</v>
      </c>
      <c r="GTT1" s="154" t="str">
        <f t="shared" si="82"/>
        <v>y</v>
      </c>
      <c r="GTU1" s="154" t="str">
        <f t="shared" si="82"/>
        <v>y</v>
      </c>
      <c r="GTV1" s="154" t="str">
        <f t="shared" si="82"/>
        <v>y</v>
      </c>
      <c r="GTW1" s="154" t="str">
        <f t="shared" si="82"/>
        <v>y</v>
      </c>
      <c r="GTX1" s="154" t="str">
        <f t="shared" si="82"/>
        <v>y</v>
      </c>
      <c r="GTY1" s="154" t="str">
        <f t="shared" si="82"/>
        <v>y</v>
      </c>
      <c r="GTZ1" s="154" t="str">
        <f t="shared" si="82"/>
        <v>y</v>
      </c>
      <c r="GUA1" s="154" t="str">
        <f t="shared" si="82"/>
        <v>y</v>
      </c>
      <c r="GUB1" s="154" t="str">
        <f t="shared" si="82"/>
        <v>y</v>
      </c>
      <c r="GUC1" s="154" t="str">
        <f t="shared" si="82"/>
        <v>y</v>
      </c>
      <c r="GUD1" s="154" t="str">
        <f t="shared" si="82"/>
        <v>y</v>
      </c>
      <c r="GUE1" s="154" t="str">
        <f t="shared" si="82"/>
        <v>y</v>
      </c>
      <c r="GUF1" s="154" t="str">
        <f t="shared" si="82"/>
        <v>y</v>
      </c>
      <c r="GUG1" s="154" t="str">
        <f t="shared" si="82"/>
        <v>y</v>
      </c>
      <c r="GUH1" s="154" t="str">
        <f t="shared" si="82"/>
        <v>y</v>
      </c>
      <c r="GUI1" s="154" t="str">
        <f t="shared" si="82"/>
        <v>y</v>
      </c>
      <c r="GUJ1" s="154" t="str">
        <f t="shared" si="82"/>
        <v>y</v>
      </c>
      <c r="GUK1" s="154" t="str">
        <f t="shared" si="82"/>
        <v>y</v>
      </c>
      <c r="GUL1" s="154" t="str">
        <f t="shared" si="82"/>
        <v>y</v>
      </c>
      <c r="GUM1" s="154" t="str">
        <f t="shared" si="82"/>
        <v>y</v>
      </c>
      <c r="GUN1" s="154" t="str">
        <f t="shared" si="82"/>
        <v>y</v>
      </c>
      <c r="GUO1" s="154" t="str">
        <f t="shared" si="82"/>
        <v>y</v>
      </c>
      <c r="GUP1" s="154" t="str">
        <f t="shared" si="82"/>
        <v>y</v>
      </c>
      <c r="GUQ1" s="154" t="str">
        <f t="shared" si="82"/>
        <v>y</v>
      </c>
      <c r="GUR1" s="154" t="str">
        <f t="shared" si="82"/>
        <v>y</v>
      </c>
      <c r="GUS1" s="154" t="str">
        <f t="shared" si="82"/>
        <v>y</v>
      </c>
      <c r="GUT1" s="154" t="str">
        <f t="shared" si="82"/>
        <v>y</v>
      </c>
      <c r="GUU1" s="154" t="str">
        <f t="shared" si="82"/>
        <v>y</v>
      </c>
      <c r="GUV1" s="154" t="str">
        <f t="shared" si="82"/>
        <v>y</v>
      </c>
      <c r="GUW1" s="154" t="str">
        <f t="shared" si="82"/>
        <v>y</v>
      </c>
      <c r="GUX1" s="154" t="str">
        <f t="shared" si="82"/>
        <v>y</v>
      </c>
      <c r="GUY1" s="154" t="str">
        <f t="shared" si="82"/>
        <v>y</v>
      </c>
      <c r="GUZ1" s="154" t="str">
        <f t="shared" si="82"/>
        <v>y</v>
      </c>
      <c r="GVA1" s="154" t="str">
        <f t="shared" si="82"/>
        <v>y</v>
      </c>
      <c r="GVB1" s="154" t="str">
        <f t="shared" si="82"/>
        <v>y</v>
      </c>
      <c r="GVC1" s="154" t="str">
        <f t="shared" si="82"/>
        <v>y</v>
      </c>
      <c r="GVD1" s="154" t="str">
        <f t="shared" si="82"/>
        <v>y</v>
      </c>
      <c r="GVE1" s="154" t="str">
        <f t="shared" si="82"/>
        <v>y</v>
      </c>
      <c r="GVF1" s="154" t="str">
        <f t="shared" si="82"/>
        <v>y</v>
      </c>
      <c r="GVG1" s="154" t="str">
        <f t="shared" si="82"/>
        <v>y</v>
      </c>
      <c r="GVH1" s="154" t="str">
        <f t="shared" si="82"/>
        <v>y</v>
      </c>
      <c r="GVI1" s="154" t="str">
        <f t="shared" si="82"/>
        <v>y</v>
      </c>
      <c r="GVJ1" s="154" t="str">
        <f t="shared" si="82"/>
        <v>y</v>
      </c>
      <c r="GVK1" s="154" t="str">
        <f t="shared" si="82"/>
        <v>y</v>
      </c>
      <c r="GVL1" s="154" t="str">
        <f t="shared" ref="GVL1:GXW1" si="83">GVL2&amp;"y"</f>
        <v>y</v>
      </c>
      <c r="GVM1" s="154" t="str">
        <f t="shared" si="83"/>
        <v>y</v>
      </c>
      <c r="GVN1" s="154" t="str">
        <f t="shared" si="83"/>
        <v>y</v>
      </c>
      <c r="GVO1" s="154" t="str">
        <f t="shared" si="83"/>
        <v>y</v>
      </c>
      <c r="GVP1" s="154" t="str">
        <f t="shared" si="83"/>
        <v>y</v>
      </c>
      <c r="GVQ1" s="154" t="str">
        <f t="shared" si="83"/>
        <v>y</v>
      </c>
      <c r="GVR1" s="154" t="str">
        <f t="shared" si="83"/>
        <v>y</v>
      </c>
      <c r="GVS1" s="154" t="str">
        <f t="shared" si="83"/>
        <v>y</v>
      </c>
      <c r="GVT1" s="154" t="str">
        <f t="shared" si="83"/>
        <v>y</v>
      </c>
      <c r="GVU1" s="154" t="str">
        <f t="shared" si="83"/>
        <v>y</v>
      </c>
      <c r="GVV1" s="154" t="str">
        <f t="shared" si="83"/>
        <v>y</v>
      </c>
      <c r="GVW1" s="154" t="str">
        <f t="shared" si="83"/>
        <v>y</v>
      </c>
      <c r="GVX1" s="154" t="str">
        <f t="shared" si="83"/>
        <v>y</v>
      </c>
      <c r="GVY1" s="154" t="str">
        <f t="shared" si="83"/>
        <v>y</v>
      </c>
      <c r="GVZ1" s="154" t="str">
        <f t="shared" si="83"/>
        <v>y</v>
      </c>
      <c r="GWA1" s="154" t="str">
        <f t="shared" si="83"/>
        <v>y</v>
      </c>
      <c r="GWB1" s="154" t="str">
        <f t="shared" si="83"/>
        <v>y</v>
      </c>
      <c r="GWC1" s="154" t="str">
        <f t="shared" si="83"/>
        <v>y</v>
      </c>
      <c r="GWD1" s="154" t="str">
        <f t="shared" si="83"/>
        <v>y</v>
      </c>
      <c r="GWE1" s="154" t="str">
        <f t="shared" si="83"/>
        <v>y</v>
      </c>
      <c r="GWF1" s="154" t="str">
        <f t="shared" si="83"/>
        <v>y</v>
      </c>
      <c r="GWG1" s="154" t="str">
        <f t="shared" si="83"/>
        <v>y</v>
      </c>
      <c r="GWH1" s="154" t="str">
        <f t="shared" si="83"/>
        <v>y</v>
      </c>
      <c r="GWI1" s="154" t="str">
        <f t="shared" si="83"/>
        <v>y</v>
      </c>
      <c r="GWJ1" s="154" t="str">
        <f t="shared" si="83"/>
        <v>y</v>
      </c>
      <c r="GWK1" s="154" t="str">
        <f t="shared" si="83"/>
        <v>y</v>
      </c>
      <c r="GWL1" s="154" t="str">
        <f t="shared" si="83"/>
        <v>y</v>
      </c>
      <c r="GWM1" s="154" t="str">
        <f t="shared" si="83"/>
        <v>y</v>
      </c>
      <c r="GWN1" s="154" t="str">
        <f t="shared" si="83"/>
        <v>y</v>
      </c>
      <c r="GWO1" s="154" t="str">
        <f t="shared" si="83"/>
        <v>y</v>
      </c>
      <c r="GWP1" s="154" t="str">
        <f t="shared" si="83"/>
        <v>y</v>
      </c>
      <c r="GWQ1" s="154" t="str">
        <f t="shared" si="83"/>
        <v>y</v>
      </c>
      <c r="GWR1" s="154" t="str">
        <f t="shared" si="83"/>
        <v>y</v>
      </c>
      <c r="GWS1" s="154" t="str">
        <f t="shared" si="83"/>
        <v>y</v>
      </c>
      <c r="GWT1" s="154" t="str">
        <f t="shared" si="83"/>
        <v>y</v>
      </c>
      <c r="GWU1" s="154" t="str">
        <f t="shared" si="83"/>
        <v>y</v>
      </c>
      <c r="GWV1" s="154" t="str">
        <f t="shared" si="83"/>
        <v>y</v>
      </c>
      <c r="GWW1" s="154" t="str">
        <f t="shared" si="83"/>
        <v>y</v>
      </c>
      <c r="GWX1" s="154" t="str">
        <f t="shared" si="83"/>
        <v>y</v>
      </c>
      <c r="GWY1" s="154" t="str">
        <f t="shared" si="83"/>
        <v>y</v>
      </c>
      <c r="GWZ1" s="154" t="str">
        <f t="shared" si="83"/>
        <v>y</v>
      </c>
      <c r="GXA1" s="154" t="str">
        <f t="shared" si="83"/>
        <v>y</v>
      </c>
      <c r="GXB1" s="154" t="str">
        <f t="shared" si="83"/>
        <v>y</v>
      </c>
      <c r="GXC1" s="154" t="str">
        <f t="shared" si="83"/>
        <v>y</v>
      </c>
      <c r="GXD1" s="154" t="str">
        <f t="shared" si="83"/>
        <v>y</v>
      </c>
      <c r="GXE1" s="154" t="str">
        <f t="shared" si="83"/>
        <v>y</v>
      </c>
      <c r="GXF1" s="154" t="str">
        <f t="shared" si="83"/>
        <v>y</v>
      </c>
      <c r="GXG1" s="154" t="str">
        <f t="shared" si="83"/>
        <v>y</v>
      </c>
      <c r="GXH1" s="154" t="str">
        <f t="shared" si="83"/>
        <v>y</v>
      </c>
      <c r="GXI1" s="154" t="str">
        <f t="shared" si="83"/>
        <v>y</v>
      </c>
      <c r="GXJ1" s="154" t="str">
        <f t="shared" si="83"/>
        <v>y</v>
      </c>
      <c r="GXK1" s="154" t="str">
        <f t="shared" si="83"/>
        <v>y</v>
      </c>
      <c r="GXL1" s="154" t="str">
        <f t="shared" si="83"/>
        <v>y</v>
      </c>
      <c r="GXM1" s="154" t="str">
        <f t="shared" si="83"/>
        <v>y</v>
      </c>
      <c r="GXN1" s="154" t="str">
        <f t="shared" si="83"/>
        <v>y</v>
      </c>
      <c r="GXO1" s="154" t="str">
        <f t="shared" si="83"/>
        <v>y</v>
      </c>
      <c r="GXP1" s="154" t="str">
        <f t="shared" si="83"/>
        <v>y</v>
      </c>
      <c r="GXQ1" s="154" t="str">
        <f t="shared" si="83"/>
        <v>y</v>
      </c>
      <c r="GXR1" s="154" t="str">
        <f t="shared" si="83"/>
        <v>y</v>
      </c>
      <c r="GXS1" s="154" t="str">
        <f t="shared" si="83"/>
        <v>y</v>
      </c>
      <c r="GXT1" s="154" t="str">
        <f t="shared" si="83"/>
        <v>y</v>
      </c>
      <c r="GXU1" s="154" t="str">
        <f t="shared" si="83"/>
        <v>y</v>
      </c>
      <c r="GXV1" s="154" t="str">
        <f t="shared" si="83"/>
        <v>y</v>
      </c>
      <c r="GXW1" s="154" t="str">
        <f t="shared" si="83"/>
        <v>y</v>
      </c>
      <c r="GXX1" s="154" t="str">
        <f t="shared" ref="GXX1:HAI1" si="84">GXX2&amp;"y"</f>
        <v>y</v>
      </c>
      <c r="GXY1" s="154" t="str">
        <f t="shared" si="84"/>
        <v>y</v>
      </c>
      <c r="GXZ1" s="154" t="str">
        <f t="shared" si="84"/>
        <v>y</v>
      </c>
      <c r="GYA1" s="154" t="str">
        <f t="shared" si="84"/>
        <v>y</v>
      </c>
      <c r="GYB1" s="154" t="str">
        <f t="shared" si="84"/>
        <v>y</v>
      </c>
      <c r="GYC1" s="154" t="str">
        <f t="shared" si="84"/>
        <v>y</v>
      </c>
      <c r="GYD1" s="154" t="str">
        <f t="shared" si="84"/>
        <v>y</v>
      </c>
      <c r="GYE1" s="154" t="str">
        <f t="shared" si="84"/>
        <v>y</v>
      </c>
      <c r="GYF1" s="154" t="str">
        <f t="shared" si="84"/>
        <v>y</v>
      </c>
      <c r="GYG1" s="154" t="str">
        <f t="shared" si="84"/>
        <v>y</v>
      </c>
      <c r="GYH1" s="154" t="str">
        <f t="shared" si="84"/>
        <v>y</v>
      </c>
      <c r="GYI1" s="154" t="str">
        <f t="shared" si="84"/>
        <v>y</v>
      </c>
      <c r="GYJ1" s="154" t="str">
        <f t="shared" si="84"/>
        <v>y</v>
      </c>
      <c r="GYK1" s="154" t="str">
        <f t="shared" si="84"/>
        <v>y</v>
      </c>
      <c r="GYL1" s="154" t="str">
        <f t="shared" si="84"/>
        <v>y</v>
      </c>
      <c r="GYM1" s="154" t="str">
        <f t="shared" si="84"/>
        <v>y</v>
      </c>
      <c r="GYN1" s="154" t="str">
        <f t="shared" si="84"/>
        <v>y</v>
      </c>
      <c r="GYO1" s="154" t="str">
        <f t="shared" si="84"/>
        <v>y</v>
      </c>
      <c r="GYP1" s="154" t="str">
        <f t="shared" si="84"/>
        <v>y</v>
      </c>
      <c r="GYQ1" s="154" t="str">
        <f t="shared" si="84"/>
        <v>y</v>
      </c>
      <c r="GYR1" s="154" t="str">
        <f t="shared" si="84"/>
        <v>y</v>
      </c>
      <c r="GYS1" s="154" t="str">
        <f t="shared" si="84"/>
        <v>y</v>
      </c>
      <c r="GYT1" s="154" t="str">
        <f t="shared" si="84"/>
        <v>y</v>
      </c>
      <c r="GYU1" s="154" t="str">
        <f t="shared" si="84"/>
        <v>y</v>
      </c>
      <c r="GYV1" s="154" t="str">
        <f t="shared" si="84"/>
        <v>y</v>
      </c>
      <c r="GYW1" s="154" t="str">
        <f t="shared" si="84"/>
        <v>y</v>
      </c>
      <c r="GYX1" s="154" t="str">
        <f t="shared" si="84"/>
        <v>y</v>
      </c>
      <c r="GYY1" s="154" t="str">
        <f t="shared" si="84"/>
        <v>y</v>
      </c>
      <c r="GYZ1" s="154" t="str">
        <f t="shared" si="84"/>
        <v>y</v>
      </c>
      <c r="GZA1" s="154" t="str">
        <f t="shared" si="84"/>
        <v>y</v>
      </c>
      <c r="GZB1" s="154" t="str">
        <f t="shared" si="84"/>
        <v>y</v>
      </c>
      <c r="GZC1" s="154" t="str">
        <f t="shared" si="84"/>
        <v>y</v>
      </c>
      <c r="GZD1" s="154" t="str">
        <f t="shared" si="84"/>
        <v>y</v>
      </c>
      <c r="GZE1" s="154" t="str">
        <f t="shared" si="84"/>
        <v>y</v>
      </c>
      <c r="GZF1" s="154" t="str">
        <f t="shared" si="84"/>
        <v>y</v>
      </c>
      <c r="GZG1" s="154" t="str">
        <f t="shared" si="84"/>
        <v>y</v>
      </c>
      <c r="GZH1" s="154" t="str">
        <f t="shared" si="84"/>
        <v>y</v>
      </c>
      <c r="GZI1" s="154" t="str">
        <f t="shared" si="84"/>
        <v>y</v>
      </c>
      <c r="GZJ1" s="154" t="str">
        <f t="shared" si="84"/>
        <v>y</v>
      </c>
      <c r="GZK1" s="154" t="str">
        <f t="shared" si="84"/>
        <v>y</v>
      </c>
      <c r="GZL1" s="154" t="str">
        <f t="shared" si="84"/>
        <v>y</v>
      </c>
      <c r="GZM1" s="154" t="str">
        <f t="shared" si="84"/>
        <v>y</v>
      </c>
      <c r="GZN1" s="154" t="str">
        <f t="shared" si="84"/>
        <v>y</v>
      </c>
      <c r="GZO1" s="154" t="str">
        <f t="shared" si="84"/>
        <v>y</v>
      </c>
      <c r="GZP1" s="154" t="str">
        <f t="shared" si="84"/>
        <v>y</v>
      </c>
      <c r="GZQ1" s="154" t="str">
        <f t="shared" si="84"/>
        <v>y</v>
      </c>
      <c r="GZR1" s="154" t="str">
        <f t="shared" si="84"/>
        <v>y</v>
      </c>
      <c r="GZS1" s="154" t="str">
        <f t="shared" si="84"/>
        <v>y</v>
      </c>
      <c r="GZT1" s="154" t="str">
        <f t="shared" si="84"/>
        <v>y</v>
      </c>
      <c r="GZU1" s="154" t="str">
        <f t="shared" si="84"/>
        <v>y</v>
      </c>
      <c r="GZV1" s="154" t="str">
        <f t="shared" si="84"/>
        <v>y</v>
      </c>
      <c r="GZW1" s="154" t="str">
        <f t="shared" si="84"/>
        <v>y</v>
      </c>
      <c r="GZX1" s="154" t="str">
        <f t="shared" si="84"/>
        <v>y</v>
      </c>
      <c r="GZY1" s="154" t="str">
        <f t="shared" si="84"/>
        <v>y</v>
      </c>
      <c r="GZZ1" s="154" t="str">
        <f t="shared" si="84"/>
        <v>y</v>
      </c>
      <c r="HAA1" s="154" t="str">
        <f t="shared" si="84"/>
        <v>y</v>
      </c>
      <c r="HAB1" s="154" t="str">
        <f t="shared" si="84"/>
        <v>y</v>
      </c>
      <c r="HAC1" s="154" t="str">
        <f t="shared" si="84"/>
        <v>y</v>
      </c>
      <c r="HAD1" s="154" t="str">
        <f t="shared" si="84"/>
        <v>y</v>
      </c>
      <c r="HAE1" s="154" t="str">
        <f t="shared" si="84"/>
        <v>y</v>
      </c>
      <c r="HAF1" s="154" t="str">
        <f t="shared" si="84"/>
        <v>y</v>
      </c>
      <c r="HAG1" s="154" t="str">
        <f t="shared" si="84"/>
        <v>y</v>
      </c>
      <c r="HAH1" s="154" t="str">
        <f t="shared" si="84"/>
        <v>y</v>
      </c>
      <c r="HAI1" s="154" t="str">
        <f t="shared" si="84"/>
        <v>y</v>
      </c>
      <c r="HAJ1" s="154" t="str">
        <f t="shared" ref="HAJ1:HCU1" si="85">HAJ2&amp;"y"</f>
        <v>y</v>
      </c>
      <c r="HAK1" s="154" t="str">
        <f t="shared" si="85"/>
        <v>y</v>
      </c>
      <c r="HAL1" s="154" t="str">
        <f t="shared" si="85"/>
        <v>y</v>
      </c>
      <c r="HAM1" s="154" t="str">
        <f t="shared" si="85"/>
        <v>y</v>
      </c>
      <c r="HAN1" s="154" t="str">
        <f t="shared" si="85"/>
        <v>y</v>
      </c>
      <c r="HAO1" s="154" t="str">
        <f t="shared" si="85"/>
        <v>y</v>
      </c>
      <c r="HAP1" s="154" t="str">
        <f t="shared" si="85"/>
        <v>y</v>
      </c>
      <c r="HAQ1" s="154" t="str">
        <f t="shared" si="85"/>
        <v>y</v>
      </c>
      <c r="HAR1" s="154" t="str">
        <f t="shared" si="85"/>
        <v>y</v>
      </c>
      <c r="HAS1" s="154" t="str">
        <f t="shared" si="85"/>
        <v>y</v>
      </c>
      <c r="HAT1" s="154" t="str">
        <f t="shared" si="85"/>
        <v>y</v>
      </c>
      <c r="HAU1" s="154" t="str">
        <f t="shared" si="85"/>
        <v>y</v>
      </c>
      <c r="HAV1" s="154" t="str">
        <f t="shared" si="85"/>
        <v>y</v>
      </c>
      <c r="HAW1" s="154" t="str">
        <f t="shared" si="85"/>
        <v>y</v>
      </c>
      <c r="HAX1" s="154" t="str">
        <f t="shared" si="85"/>
        <v>y</v>
      </c>
      <c r="HAY1" s="154" t="str">
        <f t="shared" si="85"/>
        <v>y</v>
      </c>
      <c r="HAZ1" s="154" t="str">
        <f t="shared" si="85"/>
        <v>y</v>
      </c>
      <c r="HBA1" s="154" t="str">
        <f t="shared" si="85"/>
        <v>y</v>
      </c>
      <c r="HBB1" s="154" t="str">
        <f t="shared" si="85"/>
        <v>y</v>
      </c>
      <c r="HBC1" s="154" t="str">
        <f t="shared" si="85"/>
        <v>y</v>
      </c>
      <c r="HBD1" s="154" t="str">
        <f t="shared" si="85"/>
        <v>y</v>
      </c>
      <c r="HBE1" s="154" t="str">
        <f t="shared" si="85"/>
        <v>y</v>
      </c>
      <c r="HBF1" s="154" t="str">
        <f t="shared" si="85"/>
        <v>y</v>
      </c>
      <c r="HBG1" s="154" t="str">
        <f t="shared" si="85"/>
        <v>y</v>
      </c>
      <c r="HBH1" s="154" t="str">
        <f t="shared" si="85"/>
        <v>y</v>
      </c>
      <c r="HBI1" s="154" t="str">
        <f t="shared" si="85"/>
        <v>y</v>
      </c>
      <c r="HBJ1" s="154" t="str">
        <f t="shared" si="85"/>
        <v>y</v>
      </c>
      <c r="HBK1" s="154" t="str">
        <f t="shared" si="85"/>
        <v>y</v>
      </c>
      <c r="HBL1" s="154" t="str">
        <f t="shared" si="85"/>
        <v>y</v>
      </c>
      <c r="HBM1" s="154" t="str">
        <f t="shared" si="85"/>
        <v>y</v>
      </c>
      <c r="HBN1" s="154" t="str">
        <f t="shared" si="85"/>
        <v>y</v>
      </c>
      <c r="HBO1" s="154" t="str">
        <f t="shared" si="85"/>
        <v>y</v>
      </c>
      <c r="HBP1" s="154" t="str">
        <f t="shared" si="85"/>
        <v>y</v>
      </c>
      <c r="HBQ1" s="154" t="str">
        <f t="shared" si="85"/>
        <v>y</v>
      </c>
      <c r="HBR1" s="154" t="str">
        <f t="shared" si="85"/>
        <v>y</v>
      </c>
      <c r="HBS1" s="154" t="str">
        <f t="shared" si="85"/>
        <v>y</v>
      </c>
      <c r="HBT1" s="154" t="str">
        <f t="shared" si="85"/>
        <v>y</v>
      </c>
      <c r="HBU1" s="154" t="str">
        <f t="shared" si="85"/>
        <v>y</v>
      </c>
      <c r="HBV1" s="154" t="str">
        <f t="shared" si="85"/>
        <v>y</v>
      </c>
      <c r="HBW1" s="154" t="str">
        <f t="shared" si="85"/>
        <v>y</v>
      </c>
      <c r="HBX1" s="154" t="str">
        <f t="shared" si="85"/>
        <v>y</v>
      </c>
      <c r="HBY1" s="154" t="str">
        <f t="shared" si="85"/>
        <v>y</v>
      </c>
      <c r="HBZ1" s="154" t="str">
        <f t="shared" si="85"/>
        <v>y</v>
      </c>
      <c r="HCA1" s="154" t="str">
        <f t="shared" si="85"/>
        <v>y</v>
      </c>
      <c r="HCB1" s="154" t="str">
        <f t="shared" si="85"/>
        <v>y</v>
      </c>
      <c r="HCC1" s="154" t="str">
        <f t="shared" si="85"/>
        <v>y</v>
      </c>
      <c r="HCD1" s="154" t="str">
        <f t="shared" si="85"/>
        <v>y</v>
      </c>
      <c r="HCE1" s="154" t="str">
        <f t="shared" si="85"/>
        <v>y</v>
      </c>
      <c r="HCF1" s="154" t="str">
        <f t="shared" si="85"/>
        <v>y</v>
      </c>
      <c r="HCG1" s="154" t="str">
        <f t="shared" si="85"/>
        <v>y</v>
      </c>
      <c r="HCH1" s="154" t="str">
        <f t="shared" si="85"/>
        <v>y</v>
      </c>
      <c r="HCI1" s="154" t="str">
        <f t="shared" si="85"/>
        <v>y</v>
      </c>
      <c r="HCJ1" s="154" t="str">
        <f t="shared" si="85"/>
        <v>y</v>
      </c>
      <c r="HCK1" s="154" t="str">
        <f t="shared" si="85"/>
        <v>y</v>
      </c>
      <c r="HCL1" s="154" t="str">
        <f t="shared" si="85"/>
        <v>y</v>
      </c>
      <c r="HCM1" s="154" t="str">
        <f t="shared" si="85"/>
        <v>y</v>
      </c>
      <c r="HCN1" s="154" t="str">
        <f t="shared" si="85"/>
        <v>y</v>
      </c>
      <c r="HCO1" s="154" t="str">
        <f t="shared" si="85"/>
        <v>y</v>
      </c>
      <c r="HCP1" s="154" t="str">
        <f t="shared" si="85"/>
        <v>y</v>
      </c>
      <c r="HCQ1" s="154" t="str">
        <f t="shared" si="85"/>
        <v>y</v>
      </c>
      <c r="HCR1" s="154" t="str">
        <f t="shared" si="85"/>
        <v>y</v>
      </c>
      <c r="HCS1" s="154" t="str">
        <f t="shared" si="85"/>
        <v>y</v>
      </c>
      <c r="HCT1" s="154" t="str">
        <f t="shared" si="85"/>
        <v>y</v>
      </c>
      <c r="HCU1" s="154" t="str">
        <f t="shared" si="85"/>
        <v>y</v>
      </c>
      <c r="HCV1" s="154" t="str">
        <f t="shared" ref="HCV1:HFG1" si="86">HCV2&amp;"y"</f>
        <v>y</v>
      </c>
      <c r="HCW1" s="154" t="str">
        <f t="shared" si="86"/>
        <v>y</v>
      </c>
      <c r="HCX1" s="154" t="str">
        <f t="shared" si="86"/>
        <v>y</v>
      </c>
      <c r="HCY1" s="154" t="str">
        <f t="shared" si="86"/>
        <v>y</v>
      </c>
      <c r="HCZ1" s="154" t="str">
        <f t="shared" si="86"/>
        <v>y</v>
      </c>
      <c r="HDA1" s="154" t="str">
        <f t="shared" si="86"/>
        <v>y</v>
      </c>
      <c r="HDB1" s="154" t="str">
        <f t="shared" si="86"/>
        <v>y</v>
      </c>
      <c r="HDC1" s="154" t="str">
        <f t="shared" si="86"/>
        <v>y</v>
      </c>
      <c r="HDD1" s="154" t="str">
        <f t="shared" si="86"/>
        <v>y</v>
      </c>
      <c r="HDE1" s="154" t="str">
        <f t="shared" si="86"/>
        <v>y</v>
      </c>
      <c r="HDF1" s="154" t="str">
        <f t="shared" si="86"/>
        <v>y</v>
      </c>
      <c r="HDG1" s="154" t="str">
        <f t="shared" si="86"/>
        <v>y</v>
      </c>
      <c r="HDH1" s="154" t="str">
        <f t="shared" si="86"/>
        <v>y</v>
      </c>
      <c r="HDI1" s="154" t="str">
        <f t="shared" si="86"/>
        <v>y</v>
      </c>
      <c r="HDJ1" s="154" t="str">
        <f t="shared" si="86"/>
        <v>y</v>
      </c>
      <c r="HDK1" s="154" t="str">
        <f t="shared" si="86"/>
        <v>y</v>
      </c>
      <c r="HDL1" s="154" t="str">
        <f t="shared" si="86"/>
        <v>y</v>
      </c>
      <c r="HDM1" s="154" t="str">
        <f t="shared" si="86"/>
        <v>y</v>
      </c>
      <c r="HDN1" s="154" t="str">
        <f t="shared" si="86"/>
        <v>y</v>
      </c>
      <c r="HDO1" s="154" t="str">
        <f t="shared" si="86"/>
        <v>y</v>
      </c>
      <c r="HDP1" s="154" t="str">
        <f t="shared" si="86"/>
        <v>y</v>
      </c>
      <c r="HDQ1" s="154" t="str">
        <f t="shared" si="86"/>
        <v>y</v>
      </c>
      <c r="HDR1" s="154" t="str">
        <f t="shared" si="86"/>
        <v>y</v>
      </c>
      <c r="HDS1" s="154" t="str">
        <f t="shared" si="86"/>
        <v>y</v>
      </c>
      <c r="HDT1" s="154" t="str">
        <f t="shared" si="86"/>
        <v>y</v>
      </c>
      <c r="HDU1" s="154" t="str">
        <f t="shared" si="86"/>
        <v>y</v>
      </c>
      <c r="HDV1" s="154" t="str">
        <f t="shared" si="86"/>
        <v>y</v>
      </c>
      <c r="HDW1" s="154" t="str">
        <f t="shared" si="86"/>
        <v>y</v>
      </c>
      <c r="HDX1" s="154" t="str">
        <f t="shared" si="86"/>
        <v>y</v>
      </c>
      <c r="HDY1" s="154" t="str">
        <f t="shared" si="86"/>
        <v>y</v>
      </c>
      <c r="HDZ1" s="154" t="str">
        <f t="shared" si="86"/>
        <v>y</v>
      </c>
      <c r="HEA1" s="154" t="str">
        <f t="shared" si="86"/>
        <v>y</v>
      </c>
      <c r="HEB1" s="154" t="str">
        <f t="shared" si="86"/>
        <v>y</v>
      </c>
      <c r="HEC1" s="154" t="str">
        <f t="shared" si="86"/>
        <v>y</v>
      </c>
      <c r="HED1" s="154" t="str">
        <f t="shared" si="86"/>
        <v>y</v>
      </c>
      <c r="HEE1" s="154" t="str">
        <f t="shared" si="86"/>
        <v>y</v>
      </c>
      <c r="HEF1" s="154" t="str">
        <f t="shared" si="86"/>
        <v>y</v>
      </c>
      <c r="HEG1" s="154" t="str">
        <f t="shared" si="86"/>
        <v>y</v>
      </c>
      <c r="HEH1" s="154" t="str">
        <f t="shared" si="86"/>
        <v>y</v>
      </c>
      <c r="HEI1" s="154" t="str">
        <f t="shared" si="86"/>
        <v>y</v>
      </c>
      <c r="HEJ1" s="154" t="str">
        <f t="shared" si="86"/>
        <v>y</v>
      </c>
      <c r="HEK1" s="154" t="str">
        <f t="shared" si="86"/>
        <v>y</v>
      </c>
      <c r="HEL1" s="154" t="str">
        <f t="shared" si="86"/>
        <v>y</v>
      </c>
      <c r="HEM1" s="154" t="str">
        <f t="shared" si="86"/>
        <v>y</v>
      </c>
      <c r="HEN1" s="154" t="str">
        <f t="shared" si="86"/>
        <v>y</v>
      </c>
      <c r="HEO1" s="154" t="str">
        <f t="shared" si="86"/>
        <v>y</v>
      </c>
      <c r="HEP1" s="154" t="str">
        <f t="shared" si="86"/>
        <v>y</v>
      </c>
      <c r="HEQ1" s="154" t="str">
        <f t="shared" si="86"/>
        <v>y</v>
      </c>
      <c r="HER1" s="154" t="str">
        <f t="shared" si="86"/>
        <v>y</v>
      </c>
      <c r="HES1" s="154" t="str">
        <f t="shared" si="86"/>
        <v>y</v>
      </c>
      <c r="HET1" s="154" t="str">
        <f t="shared" si="86"/>
        <v>y</v>
      </c>
      <c r="HEU1" s="154" t="str">
        <f t="shared" si="86"/>
        <v>y</v>
      </c>
      <c r="HEV1" s="154" t="str">
        <f t="shared" si="86"/>
        <v>y</v>
      </c>
      <c r="HEW1" s="154" t="str">
        <f t="shared" si="86"/>
        <v>y</v>
      </c>
      <c r="HEX1" s="154" t="str">
        <f t="shared" si="86"/>
        <v>y</v>
      </c>
      <c r="HEY1" s="154" t="str">
        <f t="shared" si="86"/>
        <v>y</v>
      </c>
      <c r="HEZ1" s="154" t="str">
        <f t="shared" si="86"/>
        <v>y</v>
      </c>
      <c r="HFA1" s="154" t="str">
        <f t="shared" si="86"/>
        <v>y</v>
      </c>
      <c r="HFB1" s="154" t="str">
        <f t="shared" si="86"/>
        <v>y</v>
      </c>
      <c r="HFC1" s="154" t="str">
        <f t="shared" si="86"/>
        <v>y</v>
      </c>
      <c r="HFD1" s="154" t="str">
        <f t="shared" si="86"/>
        <v>y</v>
      </c>
      <c r="HFE1" s="154" t="str">
        <f t="shared" si="86"/>
        <v>y</v>
      </c>
      <c r="HFF1" s="154" t="str">
        <f t="shared" si="86"/>
        <v>y</v>
      </c>
      <c r="HFG1" s="154" t="str">
        <f t="shared" si="86"/>
        <v>y</v>
      </c>
      <c r="HFH1" s="154" t="str">
        <f t="shared" ref="HFH1:HHS1" si="87">HFH2&amp;"y"</f>
        <v>y</v>
      </c>
      <c r="HFI1" s="154" t="str">
        <f t="shared" si="87"/>
        <v>y</v>
      </c>
      <c r="HFJ1" s="154" t="str">
        <f t="shared" si="87"/>
        <v>y</v>
      </c>
      <c r="HFK1" s="154" t="str">
        <f t="shared" si="87"/>
        <v>y</v>
      </c>
      <c r="HFL1" s="154" t="str">
        <f t="shared" si="87"/>
        <v>y</v>
      </c>
      <c r="HFM1" s="154" t="str">
        <f t="shared" si="87"/>
        <v>y</v>
      </c>
      <c r="HFN1" s="154" t="str">
        <f t="shared" si="87"/>
        <v>y</v>
      </c>
      <c r="HFO1" s="154" t="str">
        <f t="shared" si="87"/>
        <v>y</v>
      </c>
      <c r="HFP1" s="154" t="str">
        <f t="shared" si="87"/>
        <v>y</v>
      </c>
      <c r="HFQ1" s="154" t="str">
        <f t="shared" si="87"/>
        <v>y</v>
      </c>
      <c r="HFR1" s="154" t="str">
        <f t="shared" si="87"/>
        <v>y</v>
      </c>
      <c r="HFS1" s="154" t="str">
        <f t="shared" si="87"/>
        <v>y</v>
      </c>
      <c r="HFT1" s="154" t="str">
        <f t="shared" si="87"/>
        <v>y</v>
      </c>
      <c r="HFU1" s="154" t="str">
        <f t="shared" si="87"/>
        <v>y</v>
      </c>
      <c r="HFV1" s="154" t="str">
        <f t="shared" si="87"/>
        <v>y</v>
      </c>
      <c r="HFW1" s="154" t="str">
        <f t="shared" si="87"/>
        <v>y</v>
      </c>
      <c r="HFX1" s="154" t="str">
        <f t="shared" si="87"/>
        <v>y</v>
      </c>
      <c r="HFY1" s="154" t="str">
        <f t="shared" si="87"/>
        <v>y</v>
      </c>
      <c r="HFZ1" s="154" t="str">
        <f t="shared" si="87"/>
        <v>y</v>
      </c>
      <c r="HGA1" s="154" t="str">
        <f t="shared" si="87"/>
        <v>y</v>
      </c>
      <c r="HGB1" s="154" t="str">
        <f t="shared" si="87"/>
        <v>y</v>
      </c>
      <c r="HGC1" s="154" t="str">
        <f t="shared" si="87"/>
        <v>y</v>
      </c>
      <c r="HGD1" s="154" t="str">
        <f t="shared" si="87"/>
        <v>y</v>
      </c>
      <c r="HGE1" s="154" t="str">
        <f t="shared" si="87"/>
        <v>y</v>
      </c>
      <c r="HGF1" s="154" t="str">
        <f t="shared" si="87"/>
        <v>y</v>
      </c>
      <c r="HGG1" s="154" t="str">
        <f t="shared" si="87"/>
        <v>y</v>
      </c>
      <c r="HGH1" s="154" t="str">
        <f t="shared" si="87"/>
        <v>y</v>
      </c>
      <c r="HGI1" s="154" t="str">
        <f t="shared" si="87"/>
        <v>y</v>
      </c>
      <c r="HGJ1" s="154" t="str">
        <f t="shared" si="87"/>
        <v>y</v>
      </c>
      <c r="HGK1" s="154" t="str">
        <f t="shared" si="87"/>
        <v>y</v>
      </c>
      <c r="HGL1" s="154" t="str">
        <f t="shared" si="87"/>
        <v>y</v>
      </c>
      <c r="HGM1" s="154" t="str">
        <f t="shared" si="87"/>
        <v>y</v>
      </c>
      <c r="HGN1" s="154" t="str">
        <f t="shared" si="87"/>
        <v>y</v>
      </c>
      <c r="HGO1" s="154" t="str">
        <f t="shared" si="87"/>
        <v>y</v>
      </c>
      <c r="HGP1" s="154" t="str">
        <f t="shared" si="87"/>
        <v>y</v>
      </c>
      <c r="HGQ1" s="154" t="str">
        <f t="shared" si="87"/>
        <v>y</v>
      </c>
      <c r="HGR1" s="154" t="str">
        <f t="shared" si="87"/>
        <v>y</v>
      </c>
      <c r="HGS1" s="154" t="str">
        <f t="shared" si="87"/>
        <v>y</v>
      </c>
      <c r="HGT1" s="154" t="str">
        <f t="shared" si="87"/>
        <v>y</v>
      </c>
      <c r="HGU1" s="154" t="str">
        <f t="shared" si="87"/>
        <v>y</v>
      </c>
      <c r="HGV1" s="154" t="str">
        <f t="shared" si="87"/>
        <v>y</v>
      </c>
      <c r="HGW1" s="154" t="str">
        <f t="shared" si="87"/>
        <v>y</v>
      </c>
      <c r="HGX1" s="154" t="str">
        <f t="shared" si="87"/>
        <v>y</v>
      </c>
      <c r="HGY1" s="154" t="str">
        <f t="shared" si="87"/>
        <v>y</v>
      </c>
      <c r="HGZ1" s="154" t="str">
        <f t="shared" si="87"/>
        <v>y</v>
      </c>
      <c r="HHA1" s="154" t="str">
        <f t="shared" si="87"/>
        <v>y</v>
      </c>
      <c r="HHB1" s="154" t="str">
        <f t="shared" si="87"/>
        <v>y</v>
      </c>
      <c r="HHC1" s="154" t="str">
        <f t="shared" si="87"/>
        <v>y</v>
      </c>
      <c r="HHD1" s="154" t="str">
        <f t="shared" si="87"/>
        <v>y</v>
      </c>
      <c r="HHE1" s="154" t="str">
        <f t="shared" si="87"/>
        <v>y</v>
      </c>
      <c r="HHF1" s="154" t="str">
        <f t="shared" si="87"/>
        <v>y</v>
      </c>
      <c r="HHG1" s="154" t="str">
        <f t="shared" si="87"/>
        <v>y</v>
      </c>
      <c r="HHH1" s="154" t="str">
        <f t="shared" si="87"/>
        <v>y</v>
      </c>
      <c r="HHI1" s="154" t="str">
        <f t="shared" si="87"/>
        <v>y</v>
      </c>
      <c r="HHJ1" s="154" t="str">
        <f t="shared" si="87"/>
        <v>y</v>
      </c>
      <c r="HHK1" s="154" t="str">
        <f t="shared" si="87"/>
        <v>y</v>
      </c>
      <c r="HHL1" s="154" t="str">
        <f t="shared" si="87"/>
        <v>y</v>
      </c>
      <c r="HHM1" s="154" t="str">
        <f t="shared" si="87"/>
        <v>y</v>
      </c>
      <c r="HHN1" s="154" t="str">
        <f t="shared" si="87"/>
        <v>y</v>
      </c>
      <c r="HHO1" s="154" t="str">
        <f t="shared" si="87"/>
        <v>y</v>
      </c>
      <c r="HHP1" s="154" t="str">
        <f t="shared" si="87"/>
        <v>y</v>
      </c>
      <c r="HHQ1" s="154" t="str">
        <f t="shared" si="87"/>
        <v>y</v>
      </c>
      <c r="HHR1" s="154" t="str">
        <f t="shared" si="87"/>
        <v>y</v>
      </c>
      <c r="HHS1" s="154" t="str">
        <f t="shared" si="87"/>
        <v>y</v>
      </c>
      <c r="HHT1" s="154" t="str">
        <f t="shared" ref="HHT1:HKE1" si="88">HHT2&amp;"y"</f>
        <v>y</v>
      </c>
      <c r="HHU1" s="154" t="str">
        <f t="shared" si="88"/>
        <v>y</v>
      </c>
      <c r="HHV1" s="154" t="str">
        <f t="shared" si="88"/>
        <v>y</v>
      </c>
      <c r="HHW1" s="154" t="str">
        <f t="shared" si="88"/>
        <v>y</v>
      </c>
      <c r="HHX1" s="154" t="str">
        <f t="shared" si="88"/>
        <v>y</v>
      </c>
      <c r="HHY1" s="154" t="str">
        <f t="shared" si="88"/>
        <v>y</v>
      </c>
      <c r="HHZ1" s="154" t="str">
        <f t="shared" si="88"/>
        <v>y</v>
      </c>
      <c r="HIA1" s="154" t="str">
        <f t="shared" si="88"/>
        <v>y</v>
      </c>
      <c r="HIB1" s="154" t="str">
        <f t="shared" si="88"/>
        <v>y</v>
      </c>
      <c r="HIC1" s="154" t="str">
        <f t="shared" si="88"/>
        <v>y</v>
      </c>
      <c r="HID1" s="154" t="str">
        <f t="shared" si="88"/>
        <v>y</v>
      </c>
      <c r="HIE1" s="154" t="str">
        <f t="shared" si="88"/>
        <v>y</v>
      </c>
      <c r="HIF1" s="154" t="str">
        <f t="shared" si="88"/>
        <v>y</v>
      </c>
      <c r="HIG1" s="154" t="str">
        <f t="shared" si="88"/>
        <v>y</v>
      </c>
      <c r="HIH1" s="154" t="str">
        <f t="shared" si="88"/>
        <v>y</v>
      </c>
      <c r="HII1" s="154" t="str">
        <f t="shared" si="88"/>
        <v>y</v>
      </c>
      <c r="HIJ1" s="154" t="str">
        <f t="shared" si="88"/>
        <v>y</v>
      </c>
      <c r="HIK1" s="154" t="str">
        <f t="shared" si="88"/>
        <v>y</v>
      </c>
      <c r="HIL1" s="154" t="str">
        <f t="shared" si="88"/>
        <v>y</v>
      </c>
      <c r="HIM1" s="154" t="str">
        <f t="shared" si="88"/>
        <v>y</v>
      </c>
      <c r="HIN1" s="154" t="str">
        <f t="shared" si="88"/>
        <v>y</v>
      </c>
      <c r="HIO1" s="154" t="str">
        <f t="shared" si="88"/>
        <v>y</v>
      </c>
      <c r="HIP1" s="154" t="str">
        <f t="shared" si="88"/>
        <v>y</v>
      </c>
      <c r="HIQ1" s="154" t="str">
        <f t="shared" si="88"/>
        <v>y</v>
      </c>
      <c r="HIR1" s="154" t="str">
        <f t="shared" si="88"/>
        <v>y</v>
      </c>
      <c r="HIS1" s="154" t="str">
        <f t="shared" si="88"/>
        <v>y</v>
      </c>
      <c r="HIT1" s="154" t="str">
        <f t="shared" si="88"/>
        <v>y</v>
      </c>
      <c r="HIU1" s="154" t="str">
        <f t="shared" si="88"/>
        <v>y</v>
      </c>
      <c r="HIV1" s="154" t="str">
        <f t="shared" si="88"/>
        <v>y</v>
      </c>
      <c r="HIW1" s="154" t="str">
        <f t="shared" si="88"/>
        <v>y</v>
      </c>
      <c r="HIX1" s="154" t="str">
        <f t="shared" si="88"/>
        <v>y</v>
      </c>
      <c r="HIY1" s="154" t="str">
        <f t="shared" si="88"/>
        <v>y</v>
      </c>
      <c r="HIZ1" s="154" t="str">
        <f t="shared" si="88"/>
        <v>y</v>
      </c>
      <c r="HJA1" s="154" t="str">
        <f t="shared" si="88"/>
        <v>y</v>
      </c>
      <c r="HJB1" s="154" t="str">
        <f t="shared" si="88"/>
        <v>y</v>
      </c>
      <c r="HJC1" s="154" t="str">
        <f t="shared" si="88"/>
        <v>y</v>
      </c>
      <c r="HJD1" s="154" t="str">
        <f t="shared" si="88"/>
        <v>y</v>
      </c>
      <c r="HJE1" s="154" t="str">
        <f t="shared" si="88"/>
        <v>y</v>
      </c>
      <c r="HJF1" s="154" t="str">
        <f t="shared" si="88"/>
        <v>y</v>
      </c>
      <c r="HJG1" s="154" t="str">
        <f t="shared" si="88"/>
        <v>y</v>
      </c>
      <c r="HJH1" s="154" t="str">
        <f t="shared" si="88"/>
        <v>y</v>
      </c>
      <c r="HJI1" s="154" t="str">
        <f t="shared" si="88"/>
        <v>y</v>
      </c>
      <c r="HJJ1" s="154" t="str">
        <f t="shared" si="88"/>
        <v>y</v>
      </c>
      <c r="HJK1" s="154" t="str">
        <f t="shared" si="88"/>
        <v>y</v>
      </c>
      <c r="HJL1" s="154" t="str">
        <f t="shared" si="88"/>
        <v>y</v>
      </c>
      <c r="HJM1" s="154" t="str">
        <f t="shared" si="88"/>
        <v>y</v>
      </c>
      <c r="HJN1" s="154" t="str">
        <f t="shared" si="88"/>
        <v>y</v>
      </c>
      <c r="HJO1" s="154" t="str">
        <f t="shared" si="88"/>
        <v>y</v>
      </c>
      <c r="HJP1" s="154" t="str">
        <f t="shared" si="88"/>
        <v>y</v>
      </c>
      <c r="HJQ1" s="154" t="str">
        <f t="shared" si="88"/>
        <v>y</v>
      </c>
      <c r="HJR1" s="154" t="str">
        <f t="shared" si="88"/>
        <v>y</v>
      </c>
      <c r="HJS1" s="154" t="str">
        <f t="shared" si="88"/>
        <v>y</v>
      </c>
      <c r="HJT1" s="154" t="str">
        <f t="shared" si="88"/>
        <v>y</v>
      </c>
      <c r="HJU1" s="154" t="str">
        <f t="shared" si="88"/>
        <v>y</v>
      </c>
      <c r="HJV1" s="154" t="str">
        <f t="shared" si="88"/>
        <v>y</v>
      </c>
      <c r="HJW1" s="154" t="str">
        <f t="shared" si="88"/>
        <v>y</v>
      </c>
      <c r="HJX1" s="154" t="str">
        <f t="shared" si="88"/>
        <v>y</v>
      </c>
      <c r="HJY1" s="154" t="str">
        <f t="shared" si="88"/>
        <v>y</v>
      </c>
      <c r="HJZ1" s="154" t="str">
        <f t="shared" si="88"/>
        <v>y</v>
      </c>
      <c r="HKA1" s="154" t="str">
        <f t="shared" si="88"/>
        <v>y</v>
      </c>
      <c r="HKB1" s="154" t="str">
        <f t="shared" si="88"/>
        <v>y</v>
      </c>
      <c r="HKC1" s="154" t="str">
        <f t="shared" si="88"/>
        <v>y</v>
      </c>
      <c r="HKD1" s="154" t="str">
        <f t="shared" si="88"/>
        <v>y</v>
      </c>
      <c r="HKE1" s="154" t="str">
        <f t="shared" si="88"/>
        <v>y</v>
      </c>
      <c r="HKF1" s="154" t="str">
        <f t="shared" ref="HKF1:HMQ1" si="89">HKF2&amp;"y"</f>
        <v>y</v>
      </c>
      <c r="HKG1" s="154" t="str">
        <f t="shared" si="89"/>
        <v>y</v>
      </c>
      <c r="HKH1" s="154" t="str">
        <f t="shared" si="89"/>
        <v>y</v>
      </c>
      <c r="HKI1" s="154" t="str">
        <f t="shared" si="89"/>
        <v>y</v>
      </c>
      <c r="HKJ1" s="154" t="str">
        <f t="shared" si="89"/>
        <v>y</v>
      </c>
      <c r="HKK1" s="154" t="str">
        <f t="shared" si="89"/>
        <v>y</v>
      </c>
      <c r="HKL1" s="154" t="str">
        <f t="shared" si="89"/>
        <v>y</v>
      </c>
      <c r="HKM1" s="154" t="str">
        <f t="shared" si="89"/>
        <v>y</v>
      </c>
      <c r="HKN1" s="154" t="str">
        <f t="shared" si="89"/>
        <v>y</v>
      </c>
      <c r="HKO1" s="154" t="str">
        <f t="shared" si="89"/>
        <v>y</v>
      </c>
      <c r="HKP1" s="154" t="str">
        <f t="shared" si="89"/>
        <v>y</v>
      </c>
      <c r="HKQ1" s="154" t="str">
        <f t="shared" si="89"/>
        <v>y</v>
      </c>
      <c r="HKR1" s="154" t="str">
        <f t="shared" si="89"/>
        <v>y</v>
      </c>
      <c r="HKS1" s="154" t="str">
        <f t="shared" si="89"/>
        <v>y</v>
      </c>
      <c r="HKT1" s="154" t="str">
        <f t="shared" si="89"/>
        <v>y</v>
      </c>
      <c r="HKU1" s="154" t="str">
        <f t="shared" si="89"/>
        <v>y</v>
      </c>
      <c r="HKV1" s="154" t="str">
        <f t="shared" si="89"/>
        <v>y</v>
      </c>
      <c r="HKW1" s="154" t="str">
        <f t="shared" si="89"/>
        <v>y</v>
      </c>
      <c r="HKX1" s="154" t="str">
        <f t="shared" si="89"/>
        <v>y</v>
      </c>
      <c r="HKY1" s="154" t="str">
        <f t="shared" si="89"/>
        <v>y</v>
      </c>
      <c r="HKZ1" s="154" t="str">
        <f t="shared" si="89"/>
        <v>y</v>
      </c>
      <c r="HLA1" s="154" t="str">
        <f t="shared" si="89"/>
        <v>y</v>
      </c>
      <c r="HLB1" s="154" t="str">
        <f t="shared" si="89"/>
        <v>y</v>
      </c>
      <c r="HLC1" s="154" t="str">
        <f t="shared" si="89"/>
        <v>y</v>
      </c>
      <c r="HLD1" s="154" t="str">
        <f t="shared" si="89"/>
        <v>y</v>
      </c>
      <c r="HLE1" s="154" t="str">
        <f t="shared" si="89"/>
        <v>y</v>
      </c>
      <c r="HLF1" s="154" t="str">
        <f t="shared" si="89"/>
        <v>y</v>
      </c>
      <c r="HLG1" s="154" t="str">
        <f t="shared" si="89"/>
        <v>y</v>
      </c>
      <c r="HLH1" s="154" t="str">
        <f t="shared" si="89"/>
        <v>y</v>
      </c>
      <c r="HLI1" s="154" t="str">
        <f t="shared" si="89"/>
        <v>y</v>
      </c>
      <c r="HLJ1" s="154" t="str">
        <f t="shared" si="89"/>
        <v>y</v>
      </c>
      <c r="HLK1" s="154" t="str">
        <f t="shared" si="89"/>
        <v>y</v>
      </c>
      <c r="HLL1" s="154" t="str">
        <f t="shared" si="89"/>
        <v>y</v>
      </c>
      <c r="HLM1" s="154" t="str">
        <f t="shared" si="89"/>
        <v>y</v>
      </c>
      <c r="HLN1" s="154" t="str">
        <f t="shared" si="89"/>
        <v>y</v>
      </c>
      <c r="HLO1" s="154" t="str">
        <f t="shared" si="89"/>
        <v>y</v>
      </c>
      <c r="HLP1" s="154" t="str">
        <f t="shared" si="89"/>
        <v>y</v>
      </c>
      <c r="HLQ1" s="154" t="str">
        <f t="shared" si="89"/>
        <v>y</v>
      </c>
      <c r="HLR1" s="154" t="str">
        <f t="shared" si="89"/>
        <v>y</v>
      </c>
      <c r="HLS1" s="154" t="str">
        <f t="shared" si="89"/>
        <v>y</v>
      </c>
      <c r="HLT1" s="154" t="str">
        <f t="shared" si="89"/>
        <v>y</v>
      </c>
      <c r="HLU1" s="154" t="str">
        <f t="shared" si="89"/>
        <v>y</v>
      </c>
      <c r="HLV1" s="154" t="str">
        <f t="shared" si="89"/>
        <v>y</v>
      </c>
      <c r="HLW1" s="154" t="str">
        <f t="shared" si="89"/>
        <v>y</v>
      </c>
      <c r="HLX1" s="154" t="str">
        <f t="shared" si="89"/>
        <v>y</v>
      </c>
      <c r="HLY1" s="154" t="str">
        <f t="shared" si="89"/>
        <v>y</v>
      </c>
      <c r="HLZ1" s="154" t="str">
        <f t="shared" si="89"/>
        <v>y</v>
      </c>
      <c r="HMA1" s="154" t="str">
        <f t="shared" si="89"/>
        <v>y</v>
      </c>
      <c r="HMB1" s="154" t="str">
        <f t="shared" si="89"/>
        <v>y</v>
      </c>
      <c r="HMC1" s="154" t="str">
        <f t="shared" si="89"/>
        <v>y</v>
      </c>
      <c r="HMD1" s="154" t="str">
        <f t="shared" si="89"/>
        <v>y</v>
      </c>
      <c r="HME1" s="154" t="str">
        <f t="shared" si="89"/>
        <v>y</v>
      </c>
      <c r="HMF1" s="154" t="str">
        <f t="shared" si="89"/>
        <v>y</v>
      </c>
      <c r="HMG1" s="154" t="str">
        <f t="shared" si="89"/>
        <v>y</v>
      </c>
      <c r="HMH1" s="154" t="str">
        <f t="shared" si="89"/>
        <v>y</v>
      </c>
      <c r="HMI1" s="154" t="str">
        <f t="shared" si="89"/>
        <v>y</v>
      </c>
      <c r="HMJ1" s="154" t="str">
        <f t="shared" si="89"/>
        <v>y</v>
      </c>
      <c r="HMK1" s="154" t="str">
        <f t="shared" si="89"/>
        <v>y</v>
      </c>
      <c r="HML1" s="154" t="str">
        <f t="shared" si="89"/>
        <v>y</v>
      </c>
      <c r="HMM1" s="154" t="str">
        <f t="shared" si="89"/>
        <v>y</v>
      </c>
      <c r="HMN1" s="154" t="str">
        <f t="shared" si="89"/>
        <v>y</v>
      </c>
      <c r="HMO1" s="154" t="str">
        <f t="shared" si="89"/>
        <v>y</v>
      </c>
      <c r="HMP1" s="154" t="str">
        <f t="shared" si="89"/>
        <v>y</v>
      </c>
      <c r="HMQ1" s="154" t="str">
        <f t="shared" si="89"/>
        <v>y</v>
      </c>
      <c r="HMR1" s="154" t="str">
        <f t="shared" ref="HMR1:HPC1" si="90">HMR2&amp;"y"</f>
        <v>y</v>
      </c>
      <c r="HMS1" s="154" t="str">
        <f t="shared" si="90"/>
        <v>y</v>
      </c>
      <c r="HMT1" s="154" t="str">
        <f t="shared" si="90"/>
        <v>y</v>
      </c>
      <c r="HMU1" s="154" t="str">
        <f t="shared" si="90"/>
        <v>y</v>
      </c>
      <c r="HMV1" s="154" t="str">
        <f t="shared" si="90"/>
        <v>y</v>
      </c>
      <c r="HMW1" s="154" t="str">
        <f t="shared" si="90"/>
        <v>y</v>
      </c>
      <c r="HMX1" s="154" t="str">
        <f t="shared" si="90"/>
        <v>y</v>
      </c>
      <c r="HMY1" s="154" t="str">
        <f t="shared" si="90"/>
        <v>y</v>
      </c>
      <c r="HMZ1" s="154" t="str">
        <f t="shared" si="90"/>
        <v>y</v>
      </c>
      <c r="HNA1" s="154" t="str">
        <f t="shared" si="90"/>
        <v>y</v>
      </c>
      <c r="HNB1" s="154" t="str">
        <f t="shared" si="90"/>
        <v>y</v>
      </c>
      <c r="HNC1" s="154" t="str">
        <f t="shared" si="90"/>
        <v>y</v>
      </c>
      <c r="HND1" s="154" t="str">
        <f t="shared" si="90"/>
        <v>y</v>
      </c>
      <c r="HNE1" s="154" t="str">
        <f t="shared" si="90"/>
        <v>y</v>
      </c>
      <c r="HNF1" s="154" t="str">
        <f t="shared" si="90"/>
        <v>y</v>
      </c>
      <c r="HNG1" s="154" t="str">
        <f t="shared" si="90"/>
        <v>y</v>
      </c>
      <c r="HNH1" s="154" t="str">
        <f t="shared" si="90"/>
        <v>y</v>
      </c>
      <c r="HNI1" s="154" t="str">
        <f t="shared" si="90"/>
        <v>y</v>
      </c>
      <c r="HNJ1" s="154" t="str">
        <f t="shared" si="90"/>
        <v>y</v>
      </c>
      <c r="HNK1" s="154" t="str">
        <f t="shared" si="90"/>
        <v>y</v>
      </c>
      <c r="HNL1" s="154" t="str">
        <f t="shared" si="90"/>
        <v>y</v>
      </c>
      <c r="HNM1" s="154" t="str">
        <f t="shared" si="90"/>
        <v>y</v>
      </c>
      <c r="HNN1" s="154" t="str">
        <f t="shared" si="90"/>
        <v>y</v>
      </c>
      <c r="HNO1" s="154" t="str">
        <f t="shared" si="90"/>
        <v>y</v>
      </c>
      <c r="HNP1" s="154" t="str">
        <f t="shared" si="90"/>
        <v>y</v>
      </c>
      <c r="HNQ1" s="154" t="str">
        <f t="shared" si="90"/>
        <v>y</v>
      </c>
      <c r="HNR1" s="154" t="str">
        <f t="shared" si="90"/>
        <v>y</v>
      </c>
      <c r="HNS1" s="154" t="str">
        <f t="shared" si="90"/>
        <v>y</v>
      </c>
      <c r="HNT1" s="154" t="str">
        <f t="shared" si="90"/>
        <v>y</v>
      </c>
      <c r="HNU1" s="154" t="str">
        <f t="shared" si="90"/>
        <v>y</v>
      </c>
      <c r="HNV1" s="154" t="str">
        <f t="shared" si="90"/>
        <v>y</v>
      </c>
      <c r="HNW1" s="154" t="str">
        <f t="shared" si="90"/>
        <v>y</v>
      </c>
      <c r="HNX1" s="154" t="str">
        <f t="shared" si="90"/>
        <v>y</v>
      </c>
      <c r="HNY1" s="154" t="str">
        <f t="shared" si="90"/>
        <v>y</v>
      </c>
      <c r="HNZ1" s="154" t="str">
        <f t="shared" si="90"/>
        <v>y</v>
      </c>
      <c r="HOA1" s="154" t="str">
        <f t="shared" si="90"/>
        <v>y</v>
      </c>
      <c r="HOB1" s="154" t="str">
        <f t="shared" si="90"/>
        <v>y</v>
      </c>
      <c r="HOC1" s="154" t="str">
        <f t="shared" si="90"/>
        <v>y</v>
      </c>
      <c r="HOD1" s="154" t="str">
        <f t="shared" si="90"/>
        <v>y</v>
      </c>
      <c r="HOE1" s="154" t="str">
        <f t="shared" si="90"/>
        <v>y</v>
      </c>
      <c r="HOF1" s="154" t="str">
        <f t="shared" si="90"/>
        <v>y</v>
      </c>
      <c r="HOG1" s="154" t="str">
        <f t="shared" si="90"/>
        <v>y</v>
      </c>
      <c r="HOH1" s="154" t="str">
        <f t="shared" si="90"/>
        <v>y</v>
      </c>
      <c r="HOI1" s="154" t="str">
        <f t="shared" si="90"/>
        <v>y</v>
      </c>
      <c r="HOJ1" s="154" t="str">
        <f t="shared" si="90"/>
        <v>y</v>
      </c>
      <c r="HOK1" s="154" t="str">
        <f t="shared" si="90"/>
        <v>y</v>
      </c>
      <c r="HOL1" s="154" t="str">
        <f t="shared" si="90"/>
        <v>y</v>
      </c>
      <c r="HOM1" s="154" t="str">
        <f t="shared" si="90"/>
        <v>y</v>
      </c>
      <c r="HON1" s="154" t="str">
        <f t="shared" si="90"/>
        <v>y</v>
      </c>
      <c r="HOO1" s="154" t="str">
        <f t="shared" si="90"/>
        <v>y</v>
      </c>
      <c r="HOP1" s="154" t="str">
        <f t="shared" si="90"/>
        <v>y</v>
      </c>
      <c r="HOQ1" s="154" t="str">
        <f t="shared" si="90"/>
        <v>y</v>
      </c>
      <c r="HOR1" s="154" t="str">
        <f t="shared" si="90"/>
        <v>y</v>
      </c>
      <c r="HOS1" s="154" t="str">
        <f t="shared" si="90"/>
        <v>y</v>
      </c>
      <c r="HOT1" s="154" t="str">
        <f t="shared" si="90"/>
        <v>y</v>
      </c>
      <c r="HOU1" s="154" t="str">
        <f t="shared" si="90"/>
        <v>y</v>
      </c>
      <c r="HOV1" s="154" t="str">
        <f t="shared" si="90"/>
        <v>y</v>
      </c>
      <c r="HOW1" s="154" t="str">
        <f t="shared" si="90"/>
        <v>y</v>
      </c>
      <c r="HOX1" s="154" t="str">
        <f t="shared" si="90"/>
        <v>y</v>
      </c>
      <c r="HOY1" s="154" t="str">
        <f t="shared" si="90"/>
        <v>y</v>
      </c>
      <c r="HOZ1" s="154" t="str">
        <f t="shared" si="90"/>
        <v>y</v>
      </c>
      <c r="HPA1" s="154" t="str">
        <f t="shared" si="90"/>
        <v>y</v>
      </c>
      <c r="HPB1" s="154" t="str">
        <f t="shared" si="90"/>
        <v>y</v>
      </c>
      <c r="HPC1" s="154" t="str">
        <f t="shared" si="90"/>
        <v>y</v>
      </c>
      <c r="HPD1" s="154" t="str">
        <f t="shared" ref="HPD1:HRO1" si="91">HPD2&amp;"y"</f>
        <v>y</v>
      </c>
      <c r="HPE1" s="154" t="str">
        <f t="shared" si="91"/>
        <v>y</v>
      </c>
      <c r="HPF1" s="154" t="str">
        <f t="shared" si="91"/>
        <v>y</v>
      </c>
      <c r="HPG1" s="154" t="str">
        <f t="shared" si="91"/>
        <v>y</v>
      </c>
      <c r="HPH1" s="154" t="str">
        <f t="shared" si="91"/>
        <v>y</v>
      </c>
      <c r="HPI1" s="154" t="str">
        <f t="shared" si="91"/>
        <v>y</v>
      </c>
      <c r="HPJ1" s="154" t="str">
        <f t="shared" si="91"/>
        <v>y</v>
      </c>
      <c r="HPK1" s="154" t="str">
        <f t="shared" si="91"/>
        <v>y</v>
      </c>
      <c r="HPL1" s="154" t="str">
        <f t="shared" si="91"/>
        <v>y</v>
      </c>
      <c r="HPM1" s="154" t="str">
        <f t="shared" si="91"/>
        <v>y</v>
      </c>
      <c r="HPN1" s="154" t="str">
        <f t="shared" si="91"/>
        <v>y</v>
      </c>
      <c r="HPO1" s="154" t="str">
        <f t="shared" si="91"/>
        <v>y</v>
      </c>
      <c r="HPP1" s="154" t="str">
        <f t="shared" si="91"/>
        <v>y</v>
      </c>
      <c r="HPQ1" s="154" t="str">
        <f t="shared" si="91"/>
        <v>y</v>
      </c>
      <c r="HPR1" s="154" t="str">
        <f t="shared" si="91"/>
        <v>y</v>
      </c>
      <c r="HPS1" s="154" t="str">
        <f t="shared" si="91"/>
        <v>y</v>
      </c>
      <c r="HPT1" s="154" t="str">
        <f t="shared" si="91"/>
        <v>y</v>
      </c>
      <c r="HPU1" s="154" t="str">
        <f t="shared" si="91"/>
        <v>y</v>
      </c>
      <c r="HPV1" s="154" t="str">
        <f t="shared" si="91"/>
        <v>y</v>
      </c>
      <c r="HPW1" s="154" t="str">
        <f t="shared" si="91"/>
        <v>y</v>
      </c>
      <c r="HPX1" s="154" t="str">
        <f t="shared" si="91"/>
        <v>y</v>
      </c>
      <c r="HPY1" s="154" t="str">
        <f t="shared" si="91"/>
        <v>y</v>
      </c>
      <c r="HPZ1" s="154" t="str">
        <f t="shared" si="91"/>
        <v>y</v>
      </c>
      <c r="HQA1" s="154" t="str">
        <f t="shared" si="91"/>
        <v>y</v>
      </c>
      <c r="HQB1" s="154" t="str">
        <f t="shared" si="91"/>
        <v>y</v>
      </c>
      <c r="HQC1" s="154" t="str">
        <f t="shared" si="91"/>
        <v>y</v>
      </c>
      <c r="HQD1" s="154" t="str">
        <f t="shared" si="91"/>
        <v>y</v>
      </c>
      <c r="HQE1" s="154" t="str">
        <f t="shared" si="91"/>
        <v>y</v>
      </c>
      <c r="HQF1" s="154" t="str">
        <f t="shared" si="91"/>
        <v>y</v>
      </c>
      <c r="HQG1" s="154" t="str">
        <f t="shared" si="91"/>
        <v>y</v>
      </c>
      <c r="HQH1" s="154" t="str">
        <f t="shared" si="91"/>
        <v>y</v>
      </c>
      <c r="HQI1" s="154" t="str">
        <f t="shared" si="91"/>
        <v>y</v>
      </c>
      <c r="HQJ1" s="154" t="str">
        <f t="shared" si="91"/>
        <v>y</v>
      </c>
      <c r="HQK1" s="154" t="str">
        <f t="shared" si="91"/>
        <v>y</v>
      </c>
      <c r="HQL1" s="154" t="str">
        <f t="shared" si="91"/>
        <v>y</v>
      </c>
      <c r="HQM1" s="154" t="str">
        <f t="shared" si="91"/>
        <v>y</v>
      </c>
      <c r="HQN1" s="154" t="str">
        <f t="shared" si="91"/>
        <v>y</v>
      </c>
      <c r="HQO1" s="154" t="str">
        <f t="shared" si="91"/>
        <v>y</v>
      </c>
      <c r="HQP1" s="154" t="str">
        <f t="shared" si="91"/>
        <v>y</v>
      </c>
      <c r="HQQ1" s="154" t="str">
        <f t="shared" si="91"/>
        <v>y</v>
      </c>
      <c r="HQR1" s="154" t="str">
        <f t="shared" si="91"/>
        <v>y</v>
      </c>
      <c r="HQS1" s="154" t="str">
        <f t="shared" si="91"/>
        <v>y</v>
      </c>
      <c r="HQT1" s="154" t="str">
        <f t="shared" si="91"/>
        <v>y</v>
      </c>
      <c r="HQU1" s="154" t="str">
        <f t="shared" si="91"/>
        <v>y</v>
      </c>
      <c r="HQV1" s="154" t="str">
        <f t="shared" si="91"/>
        <v>y</v>
      </c>
      <c r="HQW1" s="154" t="str">
        <f t="shared" si="91"/>
        <v>y</v>
      </c>
      <c r="HQX1" s="154" t="str">
        <f t="shared" si="91"/>
        <v>y</v>
      </c>
      <c r="HQY1" s="154" t="str">
        <f t="shared" si="91"/>
        <v>y</v>
      </c>
      <c r="HQZ1" s="154" t="str">
        <f t="shared" si="91"/>
        <v>y</v>
      </c>
      <c r="HRA1" s="154" t="str">
        <f t="shared" si="91"/>
        <v>y</v>
      </c>
      <c r="HRB1" s="154" t="str">
        <f t="shared" si="91"/>
        <v>y</v>
      </c>
      <c r="HRC1" s="154" t="str">
        <f t="shared" si="91"/>
        <v>y</v>
      </c>
      <c r="HRD1" s="154" t="str">
        <f t="shared" si="91"/>
        <v>y</v>
      </c>
      <c r="HRE1" s="154" t="str">
        <f t="shared" si="91"/>
        <v>y</v>
      </c>
      <c r="HRF1" s="154" t="str">
        <f t="shared" si="91"/>
        <v>y</v>
      </c>
      <c r="HRG1" s="154" t="str">
        <f t="shared" si="91"/>
        <v>y</v>
      </c>
      <c r="HRH1" s="154" t="str">
        <f t="shared" si="91"/>
        <v>y</v>
      </c>
      <c r="HRI1" s="154" t="str">
        <f t="shared" si="91"/>
        <v>y</v>
      </c>
      <c r="HRJ1" s="154" t="str">
        <f t="shared" si="91"/>
        <v>y</v>
      </c>
      <c r="HRK1" s="154" t="str">
        <f t="shared" si="91"/>
        <v>y</v>
      </c>
      <c r="HRL1" s="154" t="str">
        <f t="shared" si="91"/>
        <v>y</v>
      </c>
      <c r="HRM1" s="154" t="str">
        <f t="shared" si="91"/>
        <v>y</v>
      </c>
      <c r="HRN1" s="154" t="str">
        <f t="shared" si="91"/>
        <v>y</v>
      </c>
      <c r="HRO1" s="154" t="str">
        <f t="shared" si="91"/>
        <v>y</v>
      </c>
      <c r="HRP1" s="154" t="str">
        <f t="shared" ref="HRP1:HUA1" si="92">HRP2&amp;"y"</f>
        <v>y</v>
      </c>
      <c r="HRQ1" s="154" t="str">
        <f t="shared" si="92"/>
        <v>y</v>
      </c>
      <c r="HRR1" s="154" t="str">
        <f t="shared" si="92"/>
        <v>y</v>
      </c>
      <c r="HRS1" s="154" t="str">
        <f t="shared" si="92"/>
        <v>y</v>
      </c>
      <c r="HRT1" s="154" t="str">
        <f t="shared" si="92"/>
        <v>y</v>
      </c>
      <c r="HRU1" s="154" t="str">
        <f t="shared" si="92"/>
        <v>y</v>
      </c>
      <c r="HRV1" s="154" t="str">
        <f t="shared" si="92"/>
        <v>y</v>
      </c>
      <c r="HRW1" s="154" t="str">
        <f t="shared" si="92"/>
        <v>y</v>
      </c>
      <c r="HRX1" s="154" t="str">
        <f t="shared" si="92"/>
        <v>y</v>
      </c>
      <c r="HRY1" s="154" t="str">
        <f t="shared" si="92"/>
        <v>y</v>
      </c>
      <c r="HRZ1" s="154" t="str">
        <f t="shared" si="92"/>
        <v>y</v>
      </c>
      <c r="HSA1" s="154" t="str">
        <f t="shared" si="92"/>
        <v>y</v>
      </c>
      <c r="HSB1" s="154" t="str">
        <f t="shared" si="92"/>
        <v>y</v>
      </c>
      <c r="HSC1" s="154" t="str">
        <f t="shared" si="92"/>
        <v>y</v>
      </c>
      <c r="HSD1" s="154" t="str">
        <f t="shared" si="92"/>
        <v>y</v>
      </c>
      <c r="HSE1" s="154" t="str">
        <f t="shared" si="92"/>
        <v>y</v>
      </c>
      <c r="HSF1" s="154" t="str">
        <f t="shared" si="92"/>
        <v>y</v>
      </c>
      <c r="HSG1" s="154" t="str">
        <f t="shared" si="92"/>
        <v>y</v>
      </c>
      <c r="HSH1" s="154" t="str">
        <f t="shared" si="92"/>
        <v>y</v>
      </c>
      <c r="HSI1" s="154" t="str">
        <f t="shared" si="92"/>
        <v>y</v>
      </c>
      <c r="HSJ1" s="154" t="str">
        <f t="shared" si="92"/>
        <v>y</v>
      </c>
      <c r="HSK1" s="154" t="str">
        <f t="shared" si="92"/>
        <v>y</v>
      </c>
      <c r="HSL1" s="154" t="str">
        <f t="shared" si="92"/>
        <v>y</v>
      </c>
      <c r="HSM1" s="154" t="str">
        <f t="shared" si="92"/>
        <v>y</v>
      </c>
      <c r="HSN1" s="154" t="str">
        <f t="shared" si="92"/>
        <v>y</v>
      </c>
      <c r="HSO1" s="154" t="str">
        <f t="shared" si="92"/>
        <v>y</v>
      </c>
      <c r="HSP1" s="154" t="str">
        <f t="shared" si="92"/>
        <v>y</v>
      </c>
      <c r="HSQ1" s="154" t="str">
        <f t="shared" si="92"/>
        <v>y</v>
      </c>
      <c r="HSR1" s="154" t="str">
        <f t="shared" si="92"/>
        <v>y</v>
      </c>
      <c r="HSS1" s="154" t="str">
        <f t="shared" si="92"/>
        <v>y</v>
      </c>
      <c r="HST1" s="154" t="str">
        <f t="shared" si="92"/>
        <v>y</v>
      </c>
      <c r="HSU1" s="154" t="str">
        <f t="shared" si="92"/>
        <v>y</v>
      </c>
      <c r="HSV1" s="154" t="str">
        <f t="shared" si="92"/>
        <v>y</v>
      </c>
      <c r="HSW1" s="154" t="str">
        <f t="shared" si="92"/>
        <v>y</v>
      </c>
      <c r="HSX1" s="154" t="str">
        <f t="shared" si="92"/>
        <v>y</v>
      </c>
      <c r="HSY1" s="154" t="str">
        <f t="shared" si="92"/>
        <v>y</v>
      </c>
      <c r="HSZ1" s="154" t="str">
        <f t="shared" si="92"/>
        <v>y</v>
      </c>
      <c r="HTA1" s="154" t="str">
        <f t="shared" si="92"/>
        <v>y</v>
      </c>
      <c r="HTB1" s="154" t="str">
        <f t="shared" si="92"/>
        <v>y</v>
      </c>
      <c r="HTC1" s="154" t="str">
        <f t="shared" si="92"/>
        <v>y</v>
      </c>
      <c r="HTD1" s="154" t="str">
        <f t="shared" si="92"/>
        <v>y</v>
      </c>
      <c r="HTE1" s="154" t="str">
        <f t="shared" si="92"/>
        <v>y</v>
      </c>
      <c r="HTF1" s="154" t="str">
        <f t="shared" si="92"/>
        <v>y</v>
      </c>
      <c r="HTG1" s="154" t="str">
        <f t="shared" si="92"/>
        <v>y</v>
      </c>
      <c r="HTH1" s="154" t="str">
        <f t="shared" si="92"/>
        <v>y</v>
      </c>
      <c r="HTI1" s="154" t="str">
        <f t="shared" si="92"/>
        <v>y</v>
      </c>
      <c r="HTJ1" s="154" t="str">
        <f t="shared" si="92"/>
        <v>y</v>
      </c>
      <c r="HTK1" s="154" t="str">
        <f t="shared" si="92"/>
        <v>y</v>
      </c>
      <c r="HTL1" s="154" t="str">
        <f t="shared" si="92"/>
        <v>y</v>
      </c>
      <c r="HTM1" s="154" t="str">
        <f t="shared" si="92"/>
        <v>y</v>
      </c>
      <c r="HTN1" s="154" t="str">
        <f t="shared" si="92"/>
        <v>y</v>
      </c>
      <c r="HTO1" s="154" t="str">
        <f t="shared" si="92"/>
        <v>y</v>
      </c>
      <c r="HTP1" s="154" t="str">
        <f t="shared" si="92"/>
        <v>y</v>
      </c>
      <c r="HTQ1" s="154" t="str">
        <f t="shared" si="92"/>
        <v>y</v>
      </c>
      <c r="HTR1" s="154" t="str">
        <f t="shared" si="92"/>
        <v>y</v>
      </c>
      <c r="HTS1" s="154" t="str">
        <f t="shared" si="92"/>
        <v>y</v>
      </c>
      <c r="HTT1" s="154" t="str">
        <f t="shared" si="92"/>
        <v>y</v>
      </c>
      <c r="HTU1" s="154" t="str">
        <f t="shared" si="92"/>
        <v>y</v>
      </c>
      <c r="HTV1" s="154" t="str">
        <f t="shared" si="92"/>
        <v>y</v>
      </c>
      <c r="HTW1" s="154" t="str">
        <f t="shared" si="92"/>
        <v>y</v>
      </c>
      <c r="HTX1" s="154" t="str">
        <f t="shared" si="92"/>
        <v>y</v>
      </c>
      <c r="HTY1" s="154" t="str">
        <f t="shared" si="92"/>
        <v>y</v>
      </c>
      <c r="HTZ1" s="154" t="str">
        <f t="shared" si="92"/>
        <v>y</v>
      </c>
      <c r="HUA1" s="154" t="str">
        <f t="shared" si="92"/>
        <v>y</v>
      </c>
      <c r="HUB1" s="154" t="str">
        <f t="shared" ref="HUB1:HWM1" si="93">HUB2&amp;"y"</f>
        <v>y</v>
      </c>
      <c r="HUC1" s="154" t="str">
        <f t="shared" si="93"/>
        <v>y</v>
      </c>
      <c r="HUD1" s="154" t="str">
        <f t="shared" si="93"/>
        <v>y</v>
      </c>
      <c r="HUE1" s="154" t="str">
        <f t="shared" si="93"/>
        <v>y</v>
      </c>
      <c r="HUF1" s="154" t="str">
        <f t="shared" si="93"/>
        <v>y</v>
      </c>
      <c r="HUG1" s="154" t="str">
        <f t="shared" si="93"/>
        <v>y</v>
      </c>
      <c r="HUH1" s="154" t="str">
        <f t="shared" si="93"/>
        <v>y</v>
      </c>
      <c r="HUI1" s="154" t="str">
        <f t="shared" si="93"/>
        <v>y</v>
      </c>
      <c r="HUJ1" s="154" t="str">
        <f t="shared" si="93"/>
        <v>y</v>
      </c>
      <c r="HUK1" s="154" t="str">
        <f t="shared" si="93"/>
        <v>y</v>
      </c>
      <c r="HUL1" s="154" t="str">
        <f t="shared" si="93"/>
        <v>y</v>
      </c>
      <c r="HUM1" s="154" t="str">
        <f t="shared" si="93"/>
        <v>y</v>
      </c>
      <c r="HUN1" s="154" t="str">
        <f t="shared" si="93"/>
        <v>y</v>
      </c>
      <c r="HUO1" s="154" t="str">
        <f t="shared" si="93"/>
        <v>y</v>
      </c>
      <c r="HUP1" s="154" t="str">
        <f t="shared" si="93"/>
        <v>y</v>
      </c>
      <c r="HUQ1" s="154" t="str">
        <f t="shared" si="93"/>
        <v>y</v>
      </c>
      <c r="HUR1" s="154" t="str">
        <f t="shared" si="93"/>
        <v>y</v>
      </c>
      <c r="HUS1" s="154" t="str">
        <f t="shared" si="93"/>
        <v>y</v>
      </c>
      <c r="HUT1" s="154" t="str">
        <f t="shared" si="93"/>
        <v>y</v>
      </c>
      <c r="HUU1" s="154" t="str">
        <f t="shared" si="93"/>
        <v>y</v>
      </c>
      <c r="HUV1" s="154" t="str">
        <f t="shared" si="93"/>
        <v>y</v>
      </c>
      <c r="HUW1" s="154" t="str">
        <f t="shared" si="93"/>
        <v>y</v>
      </c>
      <c r="HUX1" s="154" t="str">
        <f t="shared" si="93"/>
        <v>y</v>
      </c>
      <c r="HUY1" s="154" t="str">
        <f t="shared" si="93"/>
        <v>y</v>
      </c>
      <c r="HUZ1" s="154" t="str">
        <f t="shared" si="93"/>
        <v>y</v>
      </c>
      <c r="HVA1" s="154" t="str">
        <f t="shared" si="93"/>
        <v>y</v>
      </c>
      <c r="HVB1" s="154" t="str">
        <f t="shared" si="93"/>
        <v>y</v>
      </c>
      <c r="HVC1" s="154" t="str">
        <f t="shared" si="93"/>
        <v>y</v>
      </c>
      <c r="HVD1" s="154" t="str">
        <f t="shared" si="93"/>
        <v>y</v>
      </c>
      <c r="HVE1" s="154" t="str">
        <f t="shared" si="93"/>
        <v>y</v>
      </c>
      <c r="HVF1" s="154" t="str">
        <f t="shared" si="93"/>
        <v>y</v>
      </c>
      <c r="HVG1" s="154" t="str">
        <f t="shared" si="93"/>
        <v>y</v>
      </c>
      <c r="HVH1" s="154" t="str">
        <f t="shared" si="93"/>
        <v>y</v>
      </c>
      <c r="HVI1" s="154" t="str">
        <f t="shared" si="93"/>
        <v>y</v>
      </c>
      <c r="HVJ1" s="154" t="str">
        <f t="shared" si="93"/>
        <v>y</v>
      </c>
      <c r="HVK1" s="154" t="str">
        <f t="shared" si="93"/>
        <v>y</v>
      </c>
      <c r="HVL1" s="154" t="str">
        <f t="shared" si="93"/>
        <v>y</v>
      </c>
      <c r="HVM1" s="154" t="str">
        <f t="shared" si="93"/>
        <v>y</v>
      </c>
      <c r="HVN1" s="154" t="str">
        <f t="shared" si="93"/>
        <v>y</v>
      </c>
      <c r="HVO1" s="154" t="str">
        <f t="shared" si="93"/>
        <v>y</v>
      </c>
      <c r="HVP1" s="154" t="str">
        <f t="shared" si="93"/>
        <v>y</v>
      </c>
      <c r="HVQ1" s="154" t="str">
        <f t="shared" si="93"/>
        <v>y</v>
      </c>
      <c r="HVR1" s="154" t="str">
        <f t="shared" si="93"/>
        <v>y</v>
      </c>
      <c r="HVS1" s="154" t="str">
        <f t="shared" si="93"/>
        <v>y</v>
      </c>
      <c r="HVT1" s="154" t="str">
        <f t="shared" si="93"/>
        <v>y</v>
      </c>
      <c r="HVU1" s="154" t="str">
        <f t="shared" si="93"/>
        <v>y</v>
      </c>
      <c r="HVV1" s="154" t="str">
        <f t="shared" si="93"/>
        <v>y</v>
      </c>
      <c r="HVW1" s="154" t="str">
        <f t="shared" si="93"/>
        <v>y</v>
      </c>
      <c r="HVX1" s="154" t="str">
        <f t="shared" si="93"/>
        <v>y</v>
      </c>
      <c r="HVY1" s="154" t="str">
        <f t="shared" si="93"/>
        <v>y</v>
      </c>
      <c r="HVZ1" s="154" t="str">
        <f t="shared" si="93"/>
        <v>y</v>
      </c>
      <c r="HWA1" s="154" t="str">
        <f t="shared" si="93"/>
        <v>y</v>
      </c>
      <c r="HWB1" s="154" t="str">
        <f t="shared" si="93"/>
        <v>y</v>
      </c>
      <c r="HWC1" s="154" t="str">
        <f t="shared" si="93"/>
        <v>y</v>
      </c>
      <c r="HWD1" s="154" t="str">
        <f t="shared" si="93"/>
        <v>y</v>
      </c>
      <c r="HWE1" s="154" t="str">
        <f t="shared" si="93"/>
        <v>y</v>
      </c>
      <c r="HWF1" s="154" t="str">
        <f t="shared" si="93"/>
        <v>y</v>
      </c>
      <c r="HWG1" s="154" t="str">
        <f t="shared" si="93"/>
        <v>y</v>
      </c>
      <c r="HWH1" s="154" t="str">
        <f t="shared" si="93"/>
        <v>y</v>
      </c>
      <c r="HWI1" s="154" t="str">
        <f t="shared" si="93"/>
        <v>y</v>
      </c>
      <c r="HWJ1" s="154" t="str">
        <f t="shared" si="93"/>
        <v>y</v>
      </c>
      <c r="HWK1" s="154" t="str">
        <f t="shared" si="93"/>
        <v>y</v>
      </c>
      <c r="HWL1" s="154" t="str">
        <f t="shared" si="93"/>
        <v>y</v>
      </c>
      <c r="HWM1" s="154" t="str">
        <f t="shared" si="93"/>
        <v>y</v>
      </c>
      <c r="HWN1" s="154" t="str">
        <f t="shared" ref="HWN1:HYY1" si="94">HWN2&amp;"y"</f>
        <v>y</v>
      </c>
      <c r="HWO1" s="154" t="str">
        <f t="shared" si="94"/>
        <v>y</v>
      </c>
      <c r="HWP1" s="154" t="str">
        <f t="shared" si="94"/>
        <v>y</v>
      </c>
      <c r="HWQ1" s="154" t="str">
        <f t="shared" si="94"/>
        <v>y</v>
      </c>
      <c r="HWR1" s="154" t="str">
        <f t="shared" si="94"/>
        <v>y</v>
      </c>
      <c r="HWS1" s="154" t="str">
        <f t="shared" si="94"/>
        <v>y</v>
      </c>
      <c r="HWT1" s="154" t="str">
        <f t="shared" si="94"/>
        <v>y</v>
      </c>
      <c r="HWU1" s="154" t="str">
        <f t="shared" si="94"/>
        <v>y</v>
      </c>
      <c r="HWV1" s="154" t="str">
        <f t="shared" si="94"/>
        <v>y</v>
      </c>
      <c r="HWW1" s="154" t="str">
        <f t="shared" si="94"/>
        <v>y</v>
      </c>
      <c r="HWX1" s="154" t="str">
        <f t="shared" si="94"/>
        <v>y</v>
      </c>
      <c r="HWY1" s="154" t="str">
        <f t="shared" si="94"/>
        <v>y</v>
      </c>
      <c r="HWZ1" s="154" t="str">
        <f t="shared" si="94"/>
        <v>y</v>
      </c>
      <c r="HXA1" s="154" t="str">
        <f t="shared" si="94"/>
        <v>y</v>
      </c>
      <c r="HXB1" s="154" t="str">
        <f t="shared" si="94"/>
        <v>y</v>
      </c>
      <c r="HXC1" s="154" t="str">
        <f t="shared" si="94"/>
        <v>y</v>
      </c>
      <c r="HXD1" s="154" t="str">
        <f t="shared" si="94"/>
        <v>y</v>
      </c>
      <c r="HXE1" s="154" t="str">
        <f t="shared" si="94"/>
        <v>y</v>
      </c>
      <c r="HXF1" s="154" t="str">
        <f t="shared" si="94"/>
        <v>y</v>
      </c>
      <c r="HXG1" s="154" t="str">
        <f t="shared" si="94"/>
        <v>y</v>
      </c>
      <c r="HXH1" s="154" t="str">
        <f t="shared" si="94"/>
        <v>y</v>
      </c>
      <c r="HXI1" s="154" t="str">
        <f t="shared" si="94"/>
        <v>y</v>
      </c>
      <c r="HXJ1" s="154" t="str">
        <f t="shared" si="94"/>
        <v>y</v>
      </c>
      <c r="HXK1" s="154" t="str">
        <f t="shared" si="94"/>
        <v>y</v>
      </c>
      <c r="HXL1" s="154" t="str">
        <f t="shared" si="94"/>
        <v>y</v>
      </c>
      <c r="HXM1" s="154" t="str">
        <f t="shared" si="94"/>
        <v>y</v>
      </c>
      <c r="HXN1" s="154" t="str">
        <f t="shared" si="94"/>
        <v>y</v>
      </c>
      <c r="HXO1" s="154" t="str">
        <f t="shared" si="94"/>
        <v>y</v>
      </c>
      <c r="HXP1" s="154" t="str">
        <f t="shared" si="94"/>
        <v>y</v>
      </c>
      <c r="HXQ1" s="154" t="str">
        <f t="shared" si="94"/>
        <v>y</v>
      </c>
      <c r="HXR1" s="154" t="str">
        <f t="shared" si="94"/>
        <v>y</v>
      </c>
      <c r="HXS1" s="154" t="str">
        <f t="shared" si="94"/>
        <v>y</v>
      </c>
      <c r="HXT1" s="154" t="str">
        <f t="shared" si="94"/>
        <v>y</v>
      </c>
      <c r="HXU1" s="154" t="str">
        <f t="shared" si="94"/>
        <v>y</v>
      </c>
      <c r="HXV1" s="154" t="str">
        <f t="shared" si="94"/>
        <v>y</v>
      </c>
      <c r="HXW1" s="154" t="str">
        <f t="shared" si="94"/>
        <v>y</v>
      </c>
      <c r="HXX1" s="154" t="str">
        <f t="shared" si="94"/>
        <v>y</v>
      </c>
      <c r="HXY1" s="154" t="str">
        <f t="shared" si="94"/>
        <v>y</v>
      </c>
      <c r="HXZ1" s="154" t="str">
        <f t="shared" si="94"/>
        <v>y</v>
      </c>
      <c r="HYA1" s="154" t="str">
        <f t="shared" si="94"/>
        <v>y</v>
      </c>
      <c r="HYB1" s="154" t="str">
        <f t="shared" si="94"/>
        <v>y</v>
      </c>
      <c r="HYC1" s="154" t="str">
        <f t="shared" si="94"/>
        <v>y</v>
      </c>
      <c r="HYD1" s="154" t="str">
        <f t="shared" si="94"/>
        <v>y</v>
      </c>
      <c r="HYE1" s="154" t="str">
        <f t="shared" si="94"/>
        <v>y</v>
      </c>
      <c r="HYF1" s="154" t="str">
        <f t="shared" si="94"/>
        <v>y</v>
      </c>
      <c r="HYG1" s="154" t="str">
        <f t="shared" si="94"/>
        <v>y</v>
      </c>
      <c r="HYH1" s="154" t="str">
        <f t="shared" si="94"/>
        <v>y</v>
      </c>
      <c r="HYI1" s="154" t="str">
        <f t="shared" si="94"/>
        <v>y</v>
      </c>
      <c r="HYJ1" s="154" t="str">
        <f t="shared" si="94"/>
        <v>y</v>
      </c>
      <c r="HYK1" s="154" t="str">
        <f t="shared" si="94"/>
        <v>y</v>
      </c>
      <c r="HYL1" s="154" t="str">
        <f t="shared" si="94"/>
        <v>y</v>
      </c>
      <c r="HYM1" s="154" t="str">
        <f t="shared" si="94"/>
        <v>y</v>
      </c>
      <c r="HYN1" s="154" t="str">
        <f t="shared" si="94"/>
        <v>y</v>
      </c>
      <c r="HYO1" s="154" t="str">
        <f t="shared" si="94"/>
        <v>y</v>
      </c>
      <c r="HYP1" s="154" t="str">
        <f t="shared" si="94"/>
        <v>y</v>
      </c>
      <c r="HYQ1" s="154" t="str">
        <f t="shared" si="94"/>
        <v>y</v>
      </c>
      <c r="HYR1" s="154" t="str">
        <f t="shared" si="94"/>
        <v>y</v>
      </c>
      <c r="HYS1" s="154" t="str">
        <f t="shared" si="94"/>
        <v>y</v>
      </c>
      <c r="HYT1" s="154" t="str">
        <f t="shared" si="94"/>
        <v>y</v>
      </c>
      <c r="HYU1" s="154" t="str">
        <f t="shared" si="94"/>
        <v>y</v>
      </c>
      <c r="HYV1" s="154" t="str">
        <f t="shared" si="94"/>
        <v>y</v>
      </c>
      <c r="HYW1" s="154" t="str">
        <f t="shared" si="94"/>
        <v>y</v>
      </c>
      <c r="HYX1" s="154" t="str">
        <f t="shared" si="94"/>
        <v>y</v>
      </c>
      <c r="HYY1" s="154" t="str">
        <f t="shared" si="94"/>
        <v>y</v>
      </c>
      <c r="HYZ1" s="154" t="str">
        <f t="shared" ref="HYZ1:IBK1" si="95">HYZ2&amp;"y"</f>
        <v>y</v>
      </c>
      <c r="HZA1" s="154" t="str">
        <f t="shared" si="95"/>
        <v>y</v>
      </c>
      <c r="HZB1" s="154" t="str">
        <f t="shared" si="95"/>
        <v>y</v>
      </c>
      <c r="HZC1" s="154" t="str">
        <f t="shared" si="95"/>
        <v>y</v>
      </c>
      <c r="HZD1" s="154" t="str">
        <f t="shared" si="95"/>
        <v>y</v>
      </c>
      <c r="HZE1" s="154" t="str">
        <f t="shared" si="95"/>
        <v>y</v>
      </c>
      <c r="HZF1" s="154" t="str">
        <f t="shared" si="95"/>
        <v>y</v>
      </c>
      <c r="HZG1" s="154" t="str">
        <f t="shared" si="95"/>
        <v>y</v>
      </c>
      <c r="HZH1" s="154" t="str">
        <f t="shared" si="95"/>
        <v>y</v>
      </c>
      <c r="HZI1" s="154" t="str">
        <f t="shared" si="95"/>
        <v>y</v>
      </c>
      <c r="HZJ1" s="154" t="str">
        <f t="shared" si="95"/>
        <v>y</v>
      </c>
      <c r="HZK1" s="154" t="str">
        <f t="shared" si="95"/>
        <v>y</v>
      </c>
      <c r="HZL1" s="154" t="str">
        <f t="shared" si="95"/>
        <v>y</v>
      </c>
      <c r="HZM1" s="154" t="str">
        <f t="shared" si="95"/>
        <v>y</v>
      </c>
      <c r="HZN1" s="154" t="str">
        <f t="shared" si="95"/>
        <v>y</v>
      </c>
      <c r="HZO1" s="154" t="str">
        <f t="shared" si="95"/>
        <v>y</v>
      </c>
      <c r="HZP1" s="154" t="str">
        <f t="shared" si="95"/>
        <v>y</v>
      </c>
      <c r="HZQ1" s="154" t="str">
        <f t="shared" si="95"/>
        <v>y</v>
      </c>
      <c r="HZR1" s="154" t="str">
        <f t="shared" si="95"/>
        <v>y</v>
      </c>
      <c r="HZS1" s="154" t="str">
        <f t="shared" si="95"/>
        <v>y</v>
      </c>
      <c r="HZT1" s="154" t="str">
        <f t="shared" si="95"/>
        <v>y</v>
      </c>
      <c r="HZU1" s="154" t="str">
        <f t="shared" si="95"/>
        <v>y</v>
      </c>
      <c r="HZV1" s="154" t="str">
        <f t="shared" si="95"/>
        <v>y</v>
      </c>
      <c r="HZW1" s="154" t="str">
        <f t="shared" si="95"/>
        <v>y</v>
      </c>
      <c r="HZX1" s="154" t="str">
        <f t="shared" si="95"/>
        <v>y</v>
      </c>
      <c r="HZY1" s="154" t="str">
        <f t="shared" si="95"/>
        <v>y</v>
      </c>
      <c r="HZZ1" s="154" t="str">
        <f t="shared" si="95"/>
        <v>y</v>
      </c>
      <c r="IAA1" s="154" t="str">
        <f t="shared" si="95"/>
        <v>y</v>
      </c>
      <c r="IAB1" s="154" t="str">
        <f t="shared" si="95"/>
        <v>y</v>
      </c>
      <c r="IAC1" s="154" t="str">
        <f t="shared" si="95"/>
        <v>y</v>
      </c>
      <c r="IAD1" s="154" t="str">
        <f t="shared" si="95"/>
        <v>y</v>
      </c>
      <c r="IAE1" s="154" t="str">
        <f t="shared" si="95"/>
        <v>y</v>
      </c>
      <c r="IAF1" s="154" t="str">
        <f t="shared" si="95"/>
        <v>y</v>
      </c>
      <c r="IAG1" s="154" t="str">
        <f t="shared" si="95"/>
        <v>y</v>
      </c>
      <c r="IAH1" s="154" t="str">
        <f t="shared" si="95"/>
        <v>y</v>
      </c>
      <c r="IAI1" s="154" t="str">
        <f t="shared" si="95"/>
        <v>y</v>
      </c>
      <c r="IAJ1" s="154" t="str">
        <f t="shared" si="95"/>
        <v>y</v>
      </c>
      <c r="IAK1" s="154" t="str">
        <f t="shared" si="95"/>
        <v>y</v>
      </c>
      <c r="IAL1" s="154" t="str">
        <f t="shared" si="95"/>
        <v>y</v>
      </c>
      <c r="IAM1" s="154" t="str">
        <f t="shared" si="95"/>
        <v>y</v>
      </c>
      <c r="IAN1" s="154" t="str">
        <f t="shared" si="95"/>
        <v>y</v>
      </c>
      <c r="IAO1" s="154" t="str">
        <f t="shared" si="95"/>
        <v>y</v>
      </c>
      <c r="IAP1" s="154" t="str">
        <f t="shared" si="95"/>
        <v>y</v>
      </c>
      <c r="IAQ1" s="154" t="str">
        <f t="shared" si="95"/>
        <v>y</v>
      </c>
      <c r="IAR1" s="154" t="str">
        <f t="shared" si="95"/>
        <v>y</v>
      </c>
      <c r="IAS1" s="154" t="str">
        <f t="shared" si="95"/>
        <v>y</v>
      </c>
      <c r="IAT1" s="154" t="str">
        <f t="shared" si="95"/>
        <v>y</v>
      </c>
      <c r="IAU1" s="154" t="str">
        <f t="shared" si="95"/>
        <v>y</v>
      </c>
      <c r="IAV1" s="154" t="str">
        <f t="shared" si="95"/>
        <v>y</v>
      </c>
      <c r="IAW1" s="154" t="str">
        <f t="shared" si="95"/>
        <v>y</v>
      </c>
      <c r="IAX1" s="154" t="str">
        <f t="shared" si="95"/>
        <v>y</v>
      </c>
      <c r="IAY1" s="154" t="str">
        <f t="shared" si="95"/>
        <v>y</v>
      </c>
      <c r="IAZ1" s="154" t="str">
        <f t="shared" si="95"/>
        <v>y</v>
      </c>
      <c r="IBA1" s="154" t="str">
        <f t="shared" si="95"/>
        <v>y</v>
      </c>
      <c r="IBB1" s="154" t="str">
        <f t="shared" si="95"/>
        <v>y</v>
      </c>
      <c r="IBC1" s="154" t="str">
        <f t="shared" si="95"/>
        <v>y</v>
      </c>
      <c r="IBD1" s="154" t="str">
        <f t="shared" si="95"/>
        <v>y</v>
      </c>
      <c r="IBE1" s="154" t="str">
        <f t="shared" si="95"/>
        <v>y</v>
      </c>
      <c r="IBF1" s="154" t="str">
        <f t="shared" si="95"/>
        <v>y</v>
      </c>
      <c r="IBG1" s="154" t="str">
        <f t="shared" si="95"/>
        <v>y</v>
      </c>
      <c r="IBH1" s="154" t="str">
        <f t="shared" si="95"/>
        <v>y</v>
      </c>
      <c r="IBI1" s="154" t="str">
        <f t="shared" si="95"/>
        <v>y</v>
      </c>
      <c r="IBJ1" s="154" t="str">
        <f t="shared" si="95"/>
        <v>y</v>
      </c>
      <c r="IBK1" s="154" t="str">
        <f t="shared" si="95"/>
        <v>y</v>
      </c>
      <c r="IBL1" s="154" t="str">
        <f t="shared" ref="IBL1:IDW1" si="96">IBL2&amp;"y"</f>
        <v>y</v>
      </c>
      <c r="IBM1" s="154" t="str">
        <f t="shared" si="96"/>
        <v>y</v>
      </c>
      <c r="IBN1" s="154" t="str">
        <f t="shared" si="96"/>
        <v>y</v>
      </c>
      <c r="IBO1" s="154" t="str">
        <f t="shared" si="96"/>
        <v>y</v>
      </c>
      <c r="IBP1" s="154" t="str">
        <f t="shared" si="96"/>
        <v>y</v>
      </c>
      <c r="IBQ1" s="154" t="str">
        <f t="shared" si="96"/>
        <v>y</v>
      </c>
      <c r="IBR1" s="154" t="str">
        <f t="shared" si="96"/>
        <v>y</v>
      </c>
      <c r="IBS1" s="154" t="str">
        <f t="shared" si="96"/>
        <v>y</v>
      </c>
      <c r="IBT1" s="154" t="str">
        <f t="shared" si="96"/>
        <v>y</v>
      </c>
      <c r="IBU1" s="154" t="str">
        <f t="shared" si="96"/>
        <v>y</v>
      </c>
      <c r="IBV1" s="154" t="str">
        <f t="shared" si="96"/>
        <v>y</v>
      </c>
      <c r="IBW1" s="154" t="str">
        <f t="shared" si="96"/>
        <v>y</v>
      </c>
      <c r="IBX1" s="154" t="str">
        <f t="shared" si="96"/>
        <v>y</v>
      </c>
      <c r="IBY1" s="154" t="str">
        <f t="shared" si="96"/>
        <v>y</v>
      </c>
      <c r="IBZ1" s="154" t="str">
        <f t="shared" si="96"/>
        <v>y</v>
      </c>
      <c r="ICA1" s="154" t="str">
        <f t="shared" si="96"/>
        <v>y</v>
      </c>
      <c r="ICB1" s="154" t="str">
        <f t="shared" si="96"/>
        <v>y</v>
      </c>
      <c r="ICC1" s="154" t="str">
        <f t="shared" si="96"/>
        <v>y</v>
      </c>
      <c r="ICD1" s="154" t="str">
        <f t="shared" si="96"/>
        <v>y</v>
      </c>
      <c r="ICE1" s="154" t="str">
        <f t="shared" si="96"/>
        <v>y</v>
      </c>
      <c r="ICF1" s="154" t="str">
        <f t="shared" si="96"/>
        <v>y</v>
      </c>
      <c r="ICG1" s="154" t="str">
        <f t="shared" si="96"/>
        <v>y</v>
      </c>
      <c r="ICH1" s="154" t="str">
        <f t="shared" si="96"/>
        <v>y</v>
      </c>
      <c r="ICI1" s="154" t="str">
        <f t="shared" si="96"/>
        <v>y</v>
      </c>
      <c r="ICJ1" s="154" t="str">
        <f t="shared" si="96"/>
        <v>y</v>
      </c>
      <c r="ICK1" s="154" t="str">
        <f t="shared" si="96"/>
        <v>y</v>
      </c>
      <c r="ICL1" s="154" t="str">
        <f t="shared" si="96"/>
        <v>y</v>
      </c>
      <c r="ICM1" s="154" t="str">
        <f t="shared" si="96"/>
        <v>y</v>
      </c>
      <c r="ICN1" s="154" t="str">
        <f t="shared" si="96"/>
        <v>y</v>
      </c>
      <c r="ICO1" s="154" t="str">
        <f t="shared" si="96"/>
        <v>y</v>
      </c>
      <c r="ICP1" s="154" t="str">
        <f t="shared" si="96"/>
        <v>y</v>
      </c>
      <c r="ICQ1" s="154" t="str">
        <f t="shared" si="96"/>
        <v>y</v>
      </c>
      <c r="ICR1" s="154" t="str">
        <f t="shared" si="96"/>
        <v>y</v>
      </c>
      <c r="ICS1" s="154" t="str">
        <f t="shared" si="96"/>
        <v>y</v>
      </c>
      <c r="ICT1" s="154" t="str">
        <f t="shared" si="96"/>
        <v>y</v>
      </c>
      <c r="ICU1" s="154" t="str">
        <f t="shared" si="96"/>
        <v>y</v>
      </c>
      <c r="ICV1" s="154" t="str">
        <f t="shared" si="96"/>
        <v>y</v>
      </c>
      <c r="ICW1" s="154" t="str">
        <f t="shared" si="96"/>
        <v>y</v>
      </c>
      <c r="ICX1" s="154" t="str">
        <f t="shared" si="96"/>
        <v>y</v>
      </c>
      <c r="ICY1" s="154" t="str">
        <f t="shared" si="96"/>
        <v>y</v>
      </c>
      <c r="ICZ1" s="154" t="str">
        <f t="shared" si="96"/>
        <v>y</v>
      </c>
      <c r="IDA1" s="154" t="str">
        <f t="shared" si="96"/>
        <v>y</v>
      </c>
      <c r="IDB1" s="154" t="str">
        <f t="shared" si="96"/>
        <v>y</v>
      </c>
      <c r="IDC1" s="154" t="str">
        <f t="shared" si="96"/>
        <v>y</v>
      </c>
      <c r="IDD1" s="154" t="str">
        <f t="shared" si="96"/>
        <v>y</v>
      </c>
      <c r="IDE1" s="154" t="str">
        <f t="shared" si="96"/>
        <v>y</v>
      </c>
      <c r="IDF1" s="154" t="str">
        <f t="shared" si="96"/>
        <v>y</v>
      </c>
      <c r="IDG1" s="154" t="str">
        <f t="shared" si="96"/>
        <v>y</v>
      </c>
      <c r="IDH1" s="154" t="str">
        <f t="shared" si="96"/>
        <v>y</v>
      </c>
      <c r="IDI1" s="154" t="str">
        <f t="shared" si="96"/>
        <v>y</v>
      </c>
      <c r="IDJ1" s="154" t="str">
        <f t="shared" si="96"/>
        <v>y</v>
      </c>
      <c r="IDK1" s="154" t="str">
        <f t="shared" si="96"/>
        <v>y</v>
      </c>
      <c r="IDL1" s="154" t="str">
        <f t="shared" si="96"/>
        <v>y</v>
      </c>
      <c r="IDM1" s="154" t="str">
        <f t="shared" si="96"/>
        <v>y</v>
      </c>
      <c r="IDN1" s="154" t="str">
        <f t="shared" si="96"/>
        <v>y</v>
      </c>
      <c r="IDO1" s="154" t="str">
        <f t="shared" si="96"/>
        <v>y</v>
      </c>
      <c r="IDP1" s="154" t="str">
        <f t="shared" si="96"/>
        <v>y</v>
      </c>
      <c r="IDQ1" s="154" t="str">
        <f t="shared" si="96"/>
        <v>y</v>
      </c>
      <c r="IDR1" s="154" t="str">
        <f t="shared" si="96"/>
        <v>y</v>
      </c>
      <c r="IDS1" s="154" t="str">
        <f t="shared" si="96"/>
        <v>y</v>
      </c>
      <c r="IDT1" s="154" t="str">
        <f t="shared" si="96"/>
        <v>y</v>
      </c>
      <c r="IDU1" s="154" t="str">
        <f t="shared" si="96"/>
        <v>y</v>
      </c>
      <c r="IDV1" s="154" t="str">
        <f t="shared" si="96"/>
        <v>y</v>
      </c>
      <c r="IDW1" s="154" t="str">
        <f t="shared" si="96"/>
        <v>y</v>
      </c>
      <c r="IDX1" s="154" t="str">
        <f t="shared" ref="IDX1:IGI1" si="97">IDX2&amp;"y"</f>
        <v>y</v>
      </c>
      <c r="IDY1" s="154" t="str">
        <f t="shared" si="97"/>
        <v>y</v>
      </c>
      <c r="IDZ1" s="154" t="str">
        <f t="shared" si="97"/>
        <v>y</v>
      </c>
      <c r="IEA1" s="154" t="str">
        <f t="shared" si="97"/>
        <v>y</v>
      </c>
      <c r="IEB1" s="154" t="str">
        <f t="shared" si="97"/>
        <v>y</v>
      </c>
      <c r="IEC1" s="154" t="str">
        <f t="shared" si="97"/>
        <v>y</v>
      </c>
      <c r="IED1" s="154" t="str">
        <f t="shared" si="97"/>
        <v>y</v>
      </c>
      <c r="IEE1" s="154" t="str">
        <f t="shared" si="97"/>
        <v>y</v>
      </c>
      <c r="IEF1" s="154" t="str">
        <f t="shared" si="97"/>
        <v>y</v>
      </c>
      <c r="IEG1" s="154" t="str">
        <f t="shared" si="97"/>
        <v>y</v>
      </c>
      <c r="IEH1" s="154" t="str">
        <f t="shared" si="97"/>
        <v>y</v>
      </c>
      <c r="IEI1" s="154" t="str">
        <f t="shared" si="97"/>
        <v>y</v>
      </c>
      <c r="IEJ1" s="154" t="str">
        <f t="shared" si="97"/>
        <v>y</v>
      </c>
      <c r="IEK1" s="154" t="str">
        <f t="shared" si="97"/>
        <v>y</v>
      </c>
      <c r="IEL1" s="154" t="str">
        <f t="shared" si="97"/>
        <v>y</v>
      </c>
      <c r="IEM1" s="154" t="str">
        <f t="shared" si="97"/>
        <v>y</v>
      </c>
      <c r="IEN1" s="154" t="str">
        <f t="shared" si="97"/>
        <v>y</v>
      </c>
      <c r="IEO1" s="154" t="str">
        <f t="shared" si="97"/>
        <v>y</v>
      </c>
      <c r="IEP1" s="154" t="str">
        <f t="shared" si="97"/>
        <v>y</v>
      </c>
      <c r="IEQ1" s="154" t="str">
        <f t="shared" si="97"/>
        <v>y</v>
      </c>
      <c r="IER1" s="154" t="str">
        <f t="shared" si="97"/>
        <v>y</v>
      </c>
      <c r="IES1" s="154" t="str">
        <f t="shared" si="97"/>
        <v>y</v>
      </c>
      <c r="IET1" s="154" t="str">
        <f t="shared" si="97"/>
        <v>y</v>
      </c>
      <c r="IEU1" s="154" t="str">
        <f t="shared" si="97"/>
        <v>y</v>
      </c>
      <c r="IEV1" s="154" t="str">
        <f t="shared" si="97"/>
        <v>y</v>
      </c>
      <c r="IEW1" s="154" t="str">
        <f t="shared" si="97"/>
        <v>y</v>
      </c>
      <c r="IEX1" s="154" t="str">
        <f t="shared" si="97"/>
        <v>y</v>
      </c>
      <c r="IEY1" s="154" t="str">
        <f t="shared" si="97"/>
        <v>y</v>
      </c>
      <c r="IEZ1" s="154" t="str">
        <f t="shared" si="97"/>
        <v>y</v>
      </c>
      <c r="IFA1" s="154" t="str">
        <f t="shared" si="97"/>
        <v>y</v>
      </c>
      <c r="IFB1" s="154" t="str">
        <f t="shared" si="97"/>
        <v>y</v>
      </c>
      <c r="IFC1" s="154" t="str">
        <f t="shared" si="97"/>
        <v>y</v>
      </c>
      <c r="IFD1" s="154" t="str">
        <f t="shared" si="97"/>
        <v>y</v>
      </c>
      <c r="IFE1" s="154" t="str">
        <f t="shared" si="97"/>
        <v>y</v>
      </c>
      <c r="IFF1" s="154" t="str">
        <f t="shared" si="97"/>
        <v>y</v>
      </c>
      <c r="IFG1" s="154" t="str">
        <f t="shared" si="97"/>
        <v>y</v>
      </c>
      <c r="IFH1" s="154" t="str">
        <f t="shared" si="97"/>
        <v>y</v>
      </c>
      <c r="IFI1" s="154" t="str">
        <f t="shared" si="97"/>
        <v>y</v>
      </c>
      <c r="IFJ1" s="154" t="str">
        <f t="shared" si="97"/>
        <v>y</v>
      </c>
      <c r="IFK1" s="154" t="str">
        <f t="shared" si="97"/>
        <v>y</v>
      </c>
      <c r="IFL1" s="154" t="str">
        <f t="shared" si="97"/>
        <v>y</v>
      </c>
      <c r="IFM1" s="154" t="str">
        <f t="shared" si="97"/>
        <v>y</v>
      </c>
      <c r="IFN1" s="154" t="str">
        <f t="shared" si="97"/>
        <v>y</v>
      </c>
      <c r="IFO1" s="154" t="str">
        <f t="shared" si="97"/>
        <v>y</v>
      </c>
      <c r="IFP1" s="154" t="str">
        <f t="shared" si="97"/>
        <v>y</v>
      </c>
      <c r="IFQ1" s="154" t="str">
        <f t="shared" si="97"/>
        <v>y</v>
      </c>
      <c r="IFR1" s="154" t="str">
        <f t="shared" si="97"/>
        <v>y</v>
      </c>
      <c r="IFS1" s="154" t="str">
        <f t="shared" si="97"/>
        <v>y</v>
      </c>
      <c r="IFT1" s="154" t="str">
        <f t="shared" si="97"/>
        <v>y</v>
      </c>
      <c r="IFU1" s="154" t="str">
        <f t="shared" si="97"/>
        <v>y</v>
      </c>
      <c r="IFV1" s="154" t="str">
        <f t="shared" si="97"/>
        <v>y</v>
      </c>
      <c r="IFW1" s="154" t="str">
        <f t="shared" si="97"/>
        <v>y</v>
      </c>
      <c r="IFX1" s="154" t="str">
        <f t="shared" si="97"/>
        <v>y</v>
      </c>
      <c r="IFY1" s="154" t="str">
        <f t="shared" si="97"/>
        <v>y</v>
      </c>
      <c r="IFZ1" s="154" t="str">
        <f t="shared" si="97"/>
        <v>y</v>
      </c>
      <c r="IGA1" s="154" t="str">
        <f t="shared" si="97"/>
        <v>y</v>
      </c>
      <c r="IGB1" s="154" t="str">
        <f t="shared" si="97"/>
        <v>y</v>
      </c>
      <c r="IGC1" s="154" t="str">
        <f t="shared" si="97"/>
        <v>y</v>
      </c>
      <c r="IGD1" s="154" t="str">
        <f t="shared" si="97"/>
        <v>y</v>
      </c>
      <c r="IGE1" s="154" t="str">
        <f t="shared" si="97"/>
        <v>y</v>
      </c>
      <c r="IGF1" s="154" t="str">
        <f t="shared" si="97"/>
        <v>y</v>
      </c>
      <c r="IGG1" s="154" t="str">
        <f t="shared" si="97"/>
        <v>y</v>
      </c>
      <c r="IGH1" s="154" t="str">
        <f t="shared" si="97"/>
        <v>y</v>
      </c>
      <c r="IGI1" s="154" t="str">
        <f t="shared" si="97"/>
        <v>y</v>
      </c>
      <c r="IGJ1" s="154" t="str">
        <f t="shared" ref="IGJ1:IIU1" si="98">IGJ2&amp;"y"</f>
        <v>y</v>
      </c>
      <c r="IGK1" s="154" t="str">
        <f t="shared" si="98"/>
        <v>y</v>
      </c>
      <c r="IGL1" s="154" t="str">
        <f t="shared" si="98"/>
        <v>y</v>
      </c>
      <c r="IGM1" s="154" t="str">
        <f t="shared" si="98"/>
        <v>y</v>
      </c>
      <c r="IGN1" s="154" t="str">
        <f t="shared" si="98"/>
        <v>y</v>
      </c>
      <c r="IGO1" s="154" t="str">
        <f t="shared" si="98"/>
        <v>y</v>
      </c>
      <c r="IGP1" s="154" t="str">
        <f t="shared" si="98"/>
        <v>y</v>
      </c>
      <c r="IGQ1" s="154" t="str">
        <f t="shared" si="98"/>
        <v>y</v>
      </c>
      <c r="IGR1" s="154" t="str">
        <f t="shared" si="98"/>
        <v>y</v>
      </c>
      <c r="IGS1" s="154" t="str">
        <f t="shared" si="98"/>
        <v>y</v>
      </c>
      <c r="IGT1" s="154" t="str">
        <f t="shared" si="98"/>
        <v>y</v>
      </c>
      <c r="IGU1" s="154" t="str">
        <f t="shared" si="98"/>
        <v>y</v>
      </c>
      <c r="IGV1" s="154" t="str">
        <f t="shared" si="98"/>
        <v>y</v>
      </c>
      <c r="IGW1" s="154" t="str">
        <f t="shared" si="98"/>
        <v>y</v>
      </c>
      <c r="IGX1" s="154" t="str">
        <f t="shared" si="98"/>
        <v>y</v>
      </c>
      <c r="IGY1" s="154" t="str">
        <f t="shared" si="98"/>
        <v>y</v>
      </c>
      <c r="IGZ1" s="154" t="str">
        <f t="shared" si="98"/>
        <v>y</v>
      </c>
      <c r="IHA1" s="154" t="str">
        <f t="shared" si="98"/>
        <v>y</v>
      </c>
      <c r="IHB1" s="154" t="str">
        <f t="shared" si="98"/>
        <v>y</v>
      </c>
      <c r="IHC1" s="154" t="str">
        <f t="shared" si="98"/>
        <v>y</v>
      </c>
      <c r="IHD1" s="154" t="str">
        <f t="shared" si="98"/>
        <v>y</v>
      </c>
      <c r="IHE1" s="154" t="str">
        <f t="shared" si="98"/>
        <v>y</v>
      </c>
      <c r="IHF1" s="154" t="str">
        <f t="shared" si="98"/>
        <v>y</v>
      </c>
      <c r="IHG1" s="154" t="str">
        <f t="shared" si="98"/>
        <v>y</v>
      </c>
      <c r="IHH1" s="154" t="str">
        <f t="shared" si="98"/>
        <v>y</v>
      </c>
      <c r="IHI1" s="154" t="str">
        <f t="shared" si="98"/>
        <v>y</v>
      </c>
      <c r="IHJ1" s="154" t="str">
        <f t="shared" si="98"/>
        <v>y</v>
      </c>
      <c r="IHK1" s="154" t="str">
        <f t="shared" si="98"/>
        <v>y</v>
      </c>
      <c r="IHL1" s="154" t="str">
        <f t="shared" si="98"/>
        <v>y</v>
      </c>
      <c r="IHM1" s="154" t="str">
        <f t="shared" si="98"/>
        <v>y</v>
      </c>
      <c r="IHN1" s="154" t="str">
        <f t="shared" si="98"/>
        <v>y</v>
      </c>
      <c r="IHO1" s="154" t="str">
        <f t="shared" si="98"/>
        <v>y</v>
      </c>
      <c r="IHP1" s="154" t="str">
        <f t="shared" si="98"/>
        <v>y</v>
      </c>
      <c r="IHQ1" s="154" t="str">
        <f t="shared" si="98"/>
        <v>y</v>
      </c>
      <c r="IHR1" s="154" t="str">
        <f t="shared" si="98"/>
        <v>y</v>
      </c>
      <c r="IHS1" s="154" t="str">
        <f t="shared" si="98"/>
        <v>y</v>
      </c>
      <c r="IHT1" s="154" t="str">
        <f t="shared" si="98"/>
        <v>y</v>
      </c>
      <c r="IHU1" s="154" t="str">
        <f t="shared" si="98"/>
        <v>y</v>
      </c>
      <c r="IHV1" s="154" t="str">
        <f t="shared" si="98"/>
        <v>y</v>
      </c>
      <c r="IHW1" s="154" t="str">
        <f t="shared" si="98"/>
        <v>y</v>
      </c>
      <c r="IHX1" s="154" t="str">
        <f t="shared" si="98"/>
        <v>y</v>
      </c>
      <c r="IHY1" s="154" t="str">
        <f t="shared" si="98"/>
        <v>y</v>
      </c>
      <c r="IHZ1" s="154" t="str">
        <f t="shared" si="98"/>
        <v>y</v>
      </c>
      <c r="IIA1" s="154" t="str">
        <f t="shared" si="98"/>
        <v>y</v>
      </c>
      <c r="IIB1" s="154" t="str">
        <f t="shared" si="98"/>
        <v>y</v>
      </c>
      <c r="IIC1" s="154" t="str">
        <f t="shared" si="98"/>
        <v>y</v>
      </c>
      <c r="IID1" s="154" t="str">
        <f t="shared" si="98"/>
        <v>y</v>
      </c>
      <c r="IIE1" s="154" t="str">
        <f t="shared" si="98"/>
        <v>y</v>
      </c>
      <c r="IIF1" s="154" t="str">
        <f t="shared" si="98"/>
        <v>y</v>
      </c>
      <c r="IIG1" s="154" t="str">
        <f t="shared" si="98"/>
        <v>y</v>
      </c>
      <c r="IIH1" s="154" t="str">
        <f t="shared" si="98"/>
        <v>y</v>
      </c>
      <c r="III1" s="154" t="str">
        <f t="shared" si="98"/>
        <v>y</v>
      </c>
      <c r="IIJ1" s="154" t="str">
        <f t="shared" si="98"/>
        <v>y</v>
      </c>
      <c r="IIK1" s="154" t="str">
        <f t="shared" si="98"/>
        <v>y</v>
      </c>
      <c r="IIL1" s="154" t="str">
        <f t="shared" si="98"/>
        <v>y</v>
      </c>
      <c r="IIM1" s="154" t="str">
        <f t="shared" si="98"/>
        <v>y</v>
      </c>
      <c r="IIN1" s="154" t="str">
        <f t="shared" si="98"/>
        <v>y</v>
      </c>
      <c r="IIO1" s="154" t="str">
        <f t="shared" si="98"/>
        <v>y</v>
      </c>
      <c r="IIP1" s="154" t="str">
        <f t="shared" si="98"/>
        <v>y</v>
      </c>
      <c r="IIQ1" s="154" t="str">
        <f t="shared" si="98"/>
        <v>y</v>
      </c>
      <c r="IIR1" s="154" t="str">
        <f t="shared" si="98"/>
        <v>y</v>
      </c>
      <c r="IIS1" s="154" t="str">
        <f t="shared" si="98"/>
        <v>y</v>
      </c>
      <c r="IIT1" s="154" t="str">
        <f t="shared" si="98"/>
        <v>y</v>
      </c>
      <c r="IIU1" s="154" t="str">
        <f t="shared" si="98"/>
        <v>y</v>
      </c>
      <c r="IIV1" s="154" t="str">
        <f t="shared" ref="IIV1:ILG1" si="99">IIV2&amp;"y"</f>
        <v>y</v>
      </c>
      <c r="IIW1" s="154" t="str">
        <f t="shared" si="99"/>
        <v>y</v>
      </c>
      <c r="IIX1" s="154" t="str">
        <f t="shared" si="99"/>
        <v>y</v>
      </c>
      <c r="IIY1" s="154" t="str">
        <f t="shared" si="99"/>
        <v>y</v>
      </c>
      <c r="IIZ1" s="154" t="str">
        <f t="shared" si="99"/>
        <v>y</v>
      </c>
      <c r="IJA1" s="154" t="str">
        <f t="shared" si="99"/>
        <v>y</v>
      </c>
      <c r="IJB1" s="154" t="str">
        <f t="shared" si="99"/>
        <v>y</v>
      </c>
      <c r="IJC1" s="154" t="str">
        <f t="shared" si="99"/>
        <v>y</v>
      </c>
      <c r="IJD1" s="154" t="str">
        <f t="shared" si="99"/>
        <v>y</v>
      </c>
      <c r="IJE1" s="154" t="str">
        <f t="shared" si="99"/>
        <v>y</v>
      </c>
      <c r="IJF1" s="154" t="str">
        <f t="shared" si="99"/>
        <v>y</v>
      </c>
      <c r="IJG1" s="154" t="str">
        <f t="shared" si="99"/>
        <v>y</v>
      </c>
      <c r="IJH1" s="154" t="str">
        <f t="shared" si="99"/>
        <v>y</v>
      </c>
      <c r="IJI1" s="154" t="str">
        <f t="shared" si="99"/>
        <v>y</v>
      </c>
      <c r="IJJ1" s="154" t="str">
        <f t="shared" si="99"/>
        <v>y</v>
      </c>
      <c r="IJK1" s="154" t="str">
        <f t="shared" si="99"/>
        <v>y</v>
      </c>
      <c r="IJL1" s="154" t="str">
        <f t="shared" si="99"/>
        <v>y</v>
      </c>
      <c r="IJM1" s="154" t="str">
        <f t="shared" si="99"/>
        <v>y</v>
      </c>
      <c r="IJN1" s="154" t="str">
        <f t="shared" si="99"/>
        <v>y</v>
      </c>
      <c r="IJO1" s="154" t="str">
        <f t="shared" si="99"/>
        <v>y</v>
      </c>
      <c r="IJP1" s="154" t="str">
        <f t="shared" si="99"/>
        <v>y</v>
      </c>
      <c r="IJQ1" s="154" t="str">
        <f t="shared" si="99"/>
        <v>y</v>
      </c>
      <c r="IJR1" s="154" t="str">
        <f t="shared" si="99"/>
        <v>y</v>
      </c>
      <c r="IJS1" s="154" t="str">
        <f t="shared" si="99"/>
        <v>y</v>
      </c>
      <c r="IJT1" s="154" t="str">
        <f t="shared" si="99"/>
        <v>y</v>
      </c>
      <c r="IJU1" s="154" t="str">
        <f t="shared" si="99"/>
        <v>y</v>
      </c>
      <c r="IJV1" s="154" t="str">
        <f t="shared" si="99"/>
        <v>y</v>
      </c>
      <c r="IJW1" s="154" t="str">
        <f t="shared" si="99"/>
        <v>y</v>
      </c>
      <c r="IJX1" s="154" t="str">
        <f t="shared" si="99"/>
        <v>y</v>
      </c>
      <c r="IJY1" s="154" t="str">
        <f t="shared" si="99"/>
        <v>y</v>
      </c>
      <c r="IJZ1" s="154" t="str">
        <f t="shared" si="99"/>
        <v>y</v>
      </c>
      <c r="IKA1" s="154" t="str">
        <f t="shared" si="99"/>
        <v>y</v>
      </c>
      <c r="IKB1" s="154" t="str">
        <f t="shared" si="99"/>
        <v>y</v>
      </c>
      <c r="IKC1" s="154" t="str">
        <f t="shared" si="99"/>
        <v>y</v>
      </c>
      <c r="IKD1" s="154" t="str">
        <f t="shared" si="99"/>
        <v>y</v>
      </c>
      <c r="IKE1" s="154" t="str">
        <f t="shared" si="99"/>
        <v>y</v>
      </c>
      <c r="IKF1" s="154" t="str">
        <f t="shared" si="99"/>
        <v>y</v>
      </c>
      <c r="IKG1" s="154" t="str">
        <f t="shared" si="99"/>
        <v>y</v>
      </c>
      <c r="IKH1" s="154" t="str">
        <f t="shared" si="99"/>
        <v>y</v>
      </c>
      <c r="IKI1" s="154" t="str">
        <f t="shared" si="99"/>
        <v>y</v>
      </c>
      <c r="IKJ1" s="154" t="str">
        <f t="shared" si="99"/>
        <v>y</v>
      </c>
      <c r="IKK1" s="154" t="str">
        <f t="shared" si="99"/>
        <v>y</v>
      </c>
      <c r="IKL1" s="154" t="str">
        <f t="shared" si="99"/>
        <v>y</v>
      </c>
      <c r="IKM1" s="154" t="str">
        <f t="shared" si="99"/>
        <v>y</v>
      </c>
      <c r="IKN1" s="154" t="str">
        <f t="shared" si="99"/>
        <v>y</v>
      </c>
      <c r="IKO1" s="154" t="str">
        <f t="shared" si="99"/>
        <v>y</v>
      </c>
      <c r="IKP1" s="154" t="str">
        <f t="shared" si="99"/>
        <v>y</v>
      </c>
      <c r="IKQ1" s="154" t="str">
        <f t="shared" si="99"/>
        <v>y</v>
      </c>
      <c r="IKR1" s="154" t="str">
        <f t="shared" si="99"/>
        <v>y</v>
      </c>
      <c r="IKS1" s="154" t="str">
        <f t="shared" si="99"/>
        <v>y</v>
      </c>
      <c r="IKT1" s="154" t="str">
        <f t="shared" si="99"/>
        <v>y</v>
      </c>
      <c r="IKU1" s="154" t="str">
        <f t="shared" si="99"/>
        <v>y</v>
      </c>
      <c r="IKV1" s="154" t="str">
        <f t="shared" si="99"/>
        <v>y</v>
      </c>
      <c r="IKW1" s="154" t="str">
        <f t="shared" si="99"/>
        <v>y</v>
      </c>
      <c r="IKX1" s="154" t="str">
        <f t="shared" si="99"/>
        <v>y</v>
      </c>
      <c r="IKY1" s="154" t="str">
        <f t="shared" si="99"/>
        <v>y</v>
      </c>
      <c r="IKZ1" s="154" t="str">
        <f t="shared" si="99"/>
        <v>y</v>
      </c>
      <c r="ILA1" s="154" t="str">
        <f t="shared" si="99"/>
        <v>y</v>
      </c>
      <c r="ILB1" s="154" t="str">
        <f t="shared" si="99"/>
        <v>y</v>
      </c>
      <c r="ILC1" s="154" t="str">
        <f t="shared" si="99"/>
        <v>y</v>
      </c>
      <c r="ILD1" s="154" t="str">
        <f t="shared" si="99"/>
        <v>y</v>
      </c>
      <c r="ILE1" s="154" t="str">
        <f t="shared" si="99"/>
        <v>y</v>
      </c>
      <c r="ILF1" s="154" t="str">
        <f t="shared" si="99"/>
        <v>y</v>
      </c>
      <c r="ILG1" s="154" t="str">
        <f t="shared" si="99"/>
        <v>y</v>
      </c>
      <c r="ILH1" s="154" t="str">
        <f t="shared" ref="ILH1:INS1" si="100">ILH2&amp;"y"</f>
        <v>y</v>
      </c>
      <c r="ILI1" s="154" t="str">
        <f t="shared" si="100"/>
        <v>y</v>
      </c>
      <c r="ILJ1" s="154" t="str">
        <f t="shared" si="100"/>
        <v>y</v>
      </c>
      <c r="ILK1" s="154" t="str">
        <f t="shared" si="100"/>
        <v>y</v>
      </c>
      <c r="ILL1" s="154" t="str">
        <f t="shared" si="100"/>
        <v>y</v>
      </c>
      <c r="ILM1" s="154" t="str">
        <f t="shared" si="100"/>
        <v>y</v>
      </c>
      <c r="ILN1" s="154" t="str">
        <f t="shared" si="100"/>
        <v>y</v>
      </c>
      <c r="ILO1" s="154" t="str">
        <f t="shared" si="100"/>
        <v>y</v>
      </c>
      <c r="ILP1" s="154" t="str">
        <f t="shared" si="100"/>
        <v>y</v>
      </c>
      <c r="ILQ1" s="154" t="str">
        <f t="shared" si="100"/>
        <v>y</v>
      </c>
      <c r="ILR1" s="154" t="str">
        <f t="shared" si="100"/>
        <v>y</v>
      </c>
      <c r="ILS1" s="154" t="str">
        <f t="shared" si="100"/>
        <v>y</v>
      </c>
      <c r="ILT1" s="154" t="str">
        <f t="shared" si="100"/>
        <v>y</v>
      </c>
      <c r="ILU1" s="154" t="str">
        <f t="shared" si="100"/>
        <v>y</v>
      </c>
      <c r="ILV1" s="154" t="str">
        <f t="shared" si="100"/>
        <v>y</v>
      </c>
      <c r="ILW1" s="154" t="str">
        <f t="shared" si="100"/>
        <v>y</v>
      </c>
      <c r="ILX1" s="154" t="str">
        <f t="shared" si="100"/>
        <v>y</v>
      </c>
      <c r="ILY1" s="154" t="str">
        <f t="shared" si="100"/>
        <v>y</v>
      </c>
      <c r="ILZ1" s="154" t="str">
        <f t="shared" si="100"/>
        <v>y</v>
      </c>
      <c r="IMA1" s="154" t="str">
        <f t="shared" si="100"/>
        <v>y</v>
      </c>
      <c r="IMB1" s="154" t="str">
        <f t="shared" si="100"/>
        <v>y</v>
      </c>
      <c r="IMC1" s="154" t="str">
        <f t="shared" si="100"/>
        <v>y</v>
      </c>
      <c r="IMD1" s="154" t="str">
        <f t="shared" si="100"/>
        <v>y</v>
      </c>
      <c r="IME1" s="154" t="str">
        <f t="shared" si="100"/>
        <v>y</v>
      </c>
      <c r="IMF1" s="154" t="str">
        <f t="shared" si="100"/>
        <v>y</v>
      </c>
      <c r="IMG1" s="154" t="str">
        <f t="shared" si="100"/>
        <v>y</v>
      </c>
      <c r="IMH1" s="154" t="str">
        <f t="shared" si="100"/>
        <v>y</v>
      </c>
      <c r="IMI1" s="154" t="str">
        <f t="shared" si="100"/>
        <v>y</v>
      </c>
      <c r="IMJ1" s="154" t="str">
        <f t="shared" si="100"/>
        <v>y</v>
      </c>
      <c r="IMK1" s="154" t="str">
        <f t="shared" si="100"/>
        <v>y</v>
      </c>
      <c r="IML1" s="154" t="str">
        <f t="shared" si="100"/>
        <v>y</v>
      </c>
      <c r="IMM1" s="154" t="str">
        <f t="shared" si="100"/>
        <v>y</v>
      </c>
      <c r="IMN1" s="154" t="str">
        <f t="shared" si="100"/>
        <v>y</v>
      </c>
      <c r="IMO1" s="154" t="str">
        <f t="shared" si="100"/>
        <v>y</v>
      </c>
      <c r="IMP1" s="154" t="str">
        <f t="shared" si="100"/>
        <v>y</v>
      </c>
      <c r="IMQ1" s="154" t="str">
        <f t="shared" si="100"/>
        <v>y</v>
      </c>
      <c r="IMR1" s="154" t="str">
        <f t="shared" si="100"/>
        <v>y</v>
      </c>
      <c r="IMS1" s="154" t="str">
        <f t="shared" si="100"/>
        <v>y</v>
      </c>
      <c r="IMT1" s="154" t="str">
        <f t="shared" si="100"/>
        <v>y</v>
      </c>
      <c r="IMU1" s="154" t="str">
        <f t="shared" si="100"/>
        <v>y</v>
      </c>
      <c r="IMV1" s="154" t="str">
        <f t="shared" si="100"/>
        <v>y</v>
      </c>
      <c r="IMW1" s="154" t="str">
        <f t="shared" si="100"/>
        <v>y</v>
      </c>
      <c r="IMX1" s="154" t="str">
        <f t="shared" si="100"/>
        <v>y</v>
      </c>
      <c r="IMY1" s="154" t="str">
        <f t="shared" si="100"/>
        <v>y</v>
      </c>
      <c r="IMZ1" s="154" t="str">
        <f t="shared" si="100"/>
        <v>y</v>
      </c>
      <c r="INA1" s="154" t="str">
        <f t="shared" si="100"/>
        <v>y</v>
      </c>
      <c r="INB1" s="154" t="str">
        <f t="shared" si="100"/>
        <v>y</v>
      </c>
      <c r="INC1" s="154" t="str">
        <f t="shared" si="100"/>
        <v>y</v>
      </c>
      <c r="IND1" s="154" t="str">
        <f t="shared" si="100"/>
        <v>y</v>
      </c>
      <c r="INE1" s="154" t="str">
        <f t="shared" si="100"/>
        <v>y</v>
      </c>
      <c r="INF1" s="154" t="str">
        <f t="shared" si="100"/>
        <v>y</v>
      </c>
      <c r="ING1" s="154" t="str">
        <f t="shared" si="100"/>
        <v>y</v>
      </c>
      <c r="INH1" s="154" t="str">
        <f t="shared" si="100"/>
        <v>y</v>
      </c>
      <c r="INI1" s="154" t="str">
        <f t="shared" si="100"/>
        <v>y</v>
      </c>
      <c r="INJ1" s="154" t="str">
        <f t="shared" si="100"/>
        <v>y</v>
      </c>
      <c r="INK1" s="154" t="str">
        <f t="shared" si="100"/>
        <v>y</v>
      </c>
      <c r="INL1" s="154" t="str">
        <f t="shared" si="100"/>
        <v>y</v>
      </c>
      <c r="INM1" s="154" t="str">
        <f t="shared" si="100"/>
        <v>y</v>
      </c>
      <c r="INN1" s="154" t="str">
        <f t="shared" si="100"/>
        <v>y</v>
      </c>
      <c r="INO1" s="154" t="str">
        <f t="shared" si="100"/>
        <v>y</v>
      </c>
      <c r="INP1" s="154" t="str">
        <f t="shared" si="100"/>
        <v>y</v>
      </c>
      <c r="INQ1" s="154" t="str">
        <f t="shared" si="100"/>
        <v>y</v>
      </c>
      <c r="INR1" s="154" t="str">
        <f t="shared" si="100"/>
        <v>y</v>
      </c>
      <c r="INS1" s="154" t="str">
        <f t="shared" si="100"/>
        <v>y</v>
      </c>
      <c r="INT1" s="154" t="str">
        <f t="shared" ref="INT1:IQE1" si="101">INT2&amp;"y"</f>
        <v>y</v>
      </c>
      <c r="INU1" s="154" t="str">
        <f t="shared" si="101"/>
        <v>y</v>
      </c>
      <c r="INV1" s="154" t="str">
        <f t="shared" si="101"/>
        <v>y</v>
      </c>
      <c r="INW1" s="154" t="str">
        <f t="shared" si="101"/>
        <v>y</v>
      </c>
      <c r="INX1" s="154" t="str">
        <f t="shared" si="101"/>
        <v>y</v>
      </c>
      <c r="INY1" s="154" t="str">
        <f t="shared" si="101"/>
        <v>y</v>
      </c>
      <c r="INZ1" s="154" t="str">
        <f t="shared" si="101"/>
        <v>y</v>
      </c>
      <c r="IOA1" s="154" t="str">
        <f t="shared" si="101"/>
        <v>y</v>
      </c>
      <c r="IOB1" s="154" t="str">
        <f t="shared" si="101"/>
        <v>y</v>
      </c>
      <c r="IOC1" s="154" t="str">
        <f t="shared" si="101"/>
        <v>y</v>
      </c>
      <c r="IOD1" s="154" t="str">
        <f t="shared" si="101"/>
        <v>y</v>
      </c>
      <c r="IOE1" s="154" t="str">
        <f t="shared" si="101"/>
        <v>y</v>
      </c>
      <c r="IOF1" s="154" t="str">
        <f t="shared" si="101"/>
        <v>y</v>
      </c>
      <c r="IOG1" s="154" t="str">
        <f t="shared" si="101"/>
        <v>y</v>
      </c>
      <c r="IOH1" s="154" t="str">
        <f t="shared" si="101"/>
        <v>y</v>
      </c>
      <c r="IOI1" s="154" t="str">
        <f t="shared" si="101"/>
        <v>y</v>
      </c>
      <c r="IOJ1" s="154" t="str">
        <f t="shared" si="101"/>
        <v>y</v>
      </c>
      <c r="IOK1" s="154" t="str">
        <f t="shared" si="101"/>
        <v>y</v>
      </c>
      <c r="IOL1" s="154" t="str">
        <f t="shared" si="101"/>
        <v>y</v>
      </c>
      <c r="IOM1" s="154" t="str">
        <f t="shared" si="101"/>
        <v>y</v>
      </c>
      <c r="ION1" s="154" t="str">
        <f t="shared" si="101"/>
        <v>y</v>
      </c>
      <c r="IOO1" s="154" t="str">
        <f t="shared" si="101"/>
        <v>y</v>
      </c>
      <c r="IOP1" s="154" t="str">
        <f t="shared" si="101"/>
        <v>y</v>
      </c>
      <c r="IOQ1" s="154" t="str">
        <f t="shared" si="101"/>
        <v>y</v>
      </c>
      <c r="IOR1" s="154" t="str">
        <f t="shared" si="101"/>
        <v>y</v>
      </c>
      <c r="IOS1" s="154" t="str">
        <f t="shared" si="101"/>
        <v>y</v>
      </c>
      <c r="IOT1" s="154" t="str">
        <f t="shared" si="101"/>
        <v>y</v>
      </c>
      <c r="IOU1" s="154" t="str">
        <f t="shared" si="101"/>
        <v>y</v>
      </c>
      <c r="IOV1" s="154" t="str">
        <f t="shared" si="101"/>
        <v>y</v>
      </c>
      <c r="IOW1" s="154" t="str">
        <f t="shared" si="101"/>
        <v>y</v>
      </c>
      <c r="IOX1" s="154" t="str">
        <f t="shared" si="101"/>
        <v>y</v>
      </c>
      <c r="IOY1" s="154" t="str">
        <f t="shared" si="101"/>
        <v>y</v>
      </c>
      <c r="IOZ1" s="154" t="str">
        <f t="shared" si="101"/>
        <v>y</v>
      </c>
      <c r="IPA1" s="154" t="str">
        <f t="shared" si="101"/>
        <v>y</v>
      </c>
      <c r="IPB1" s="154" t="str">
        <f t="shared" si="101"/>
        <v>y</v>
      </c>
      <c r="IPC1" s="154" t="str">
        <f t="shared" si="101"/>
        <v>y</v>
      </c>
      <c r="IPD1" s="154" t="str">
        <f t="shared" si="101"/>
        <v>y</v>
      </c>
      <c r="IPE1" s="154" t="str">
        <f t="shared" si="101"/>
        <v>y</v>
      </c>
      <c r="IPF1" s="154" t="str">
        <f t="shared" si="101"/>
        <v>y</v>
      </c>
      <c r="IPG1" s="154" t="str">
        <f t="shared" si="101"/>
        <v>y</v>
      </c>
      <c r="IPH1" s="154" t="str">
        <f t="shared" si="101"/>
        <v>y</v>
      </c>
      <c r="IPI1" s="154" t="str">
        <f t="shared" si="101"/>
        <v>y</v>
      </c>
      <c r="IPJ1" s="154" t="str">
        <f t="shared" si="101"/>
        <v>y</v>
      </c>
      <c r="IPK1" s="154" t="str">
        <f t="shared" si="101"/>
        <v>y</v>
      </c>
      <c r="IPL1" s="154" t="str">
        <f t="shared" si="101"/>
        <v>y</v>
      </c>
      <c r="IPM1" s="154" t="str">
        <f t="shared" si="101"/>
        <v>y</v>
      </c>
      <c r="IPN1" s="154" t="str">
        <f t="shared" si="101"/>
        <v>y</v>
      </c>
      <c r="IPO1" s="154" t="str">
        <f t="shared" si="101"/>
        <v>y</v>
      </c>
      <c r="IPP1" s="154" t="str">
        <f t="shared" si="101"/>
        <v>y</v>
      </c>
      <c r="IPQ1" s="154" t="str">
        <f t="shared" si="101"/>
        <v>y</v>
      </c>
      <c r="IPR1" s="154" t="str">
        <f t="shared" si="101"/>
        <v>y</v>
      </c>
      <c r="IPS1" s="154" t="str">
        <f t="shared" si="101"/>
        <v>y</v>
      </c>
      <c r="IPT1" s="154" t="str">
        <f t="shared" si="101"/>
        <v>y</v>
      </c>
      <c r="IPU1" s="154" t="str">
        <f t="shared" si="101"/>
        <v>y</v>
      </c>
      <c r="IPV1" s="154" t="str">
        <f t="shared" si="101"/>
        <v>y</v>
      </c>
      <c r="IPW1" s="154" t="str">
        <f t="shared" si="101"/>
        <v>y</v>
      </c>
      <c r="IPX1" s="154" t="str">
        <f t="shared" si="101"/>
        <v>y</v>
      </c>
      <c r="IPY1" s="154" t="str">
        <f t="shared" si="101"/>
        <v>y</v>
      </c>
      <c r="IPZ1" s="154" t="str">
        <f t="shared" si="101"/>
        <v>y</v>
      </c>
      <c r="IQA1" s="154" t="str">
        <f t="shared" si="101"/>
        <v>y</v>
      </c>
      <c r="IQB1" s="154" t="str">
        <f t="shared" si="101"/>
        <v>y</v>
      </c>
      <c r="IQC1" s="154" t="str">
        <f t="shared" si="101"/>
        <v>y</v>
      </c>
      <c r="IQD1" s="154" t="str">
        <f t="shared" si="101"/>
        <v>y</v>
      </c>
      <c r="IQE1" s="154" t="str">
        <f t="shared" si="101"/>
        <v>y</v>
      </c>
      <c r="IQF1" s="154" t="str">
        <f t="shared" ref="IQF1:ISQ1" si="102">IQF2&amp;"y"</f>
        <v>y</v>
      </c>
      <c r="IQG1" s="154" t="str">
        <f t="shared" si="102"/>
        <v>y</v>
      </c>
      <c r="IQH1" s="154" t="str">
        <f t="shared" si="102"/>
        <v>y</v>
      </c>
      <c r="IQI1" s="154" t="str">
        <f t="shared" si="102"/>
        <v>y</v>
      </c>
      <c r="IQJ1" s="154" t="str">
        <f t="shared" si="102"/>
        <v>y</v>
      </c>
      <c r="IQK1" s="154" t="str">
        <f t="shared" si="102"/>
        <v>y</v>
      </c>
      <c r="IQL1" s="154" t="str">
        <f t="shared" si="102"/>
        <v>y</v>
      </c>
      <c r="IQM1" s="154" t="str">
        <f t="shared" si="102"/>
        <v>y</v>
      </c>
      <c r="IQN1" s="154" t="str">
        <f t="shared" si="102"/>
        <v>y</v>
      </c>
      <c r="IQO1" s="154" t="str">
        <f t="shared" si="102"/>
        <v>y</v>
      </c>
      <c r="IQP1" s="154" t="str">
        <f t="shared" si="102"/>
        <v>y</v>
      </c>
      <c r="IQQ1" s="154" t="str">
        <f t="shared" si="102"/>
        <v>y</v>
      </c>
      <c r="IQR1" s="154" t="str">
        <f t="shared" si="102"/>
        <v>y</v>
      </c>
      <c r="IQS1" s="154" t="str">
        <f t="shared" si="102"/>
        <v>y</v>
      </c>
      <c r="IQT1" s="154" t="str">
        <f t="shared" si="102"/>
        <v>y</v>
      </c>
      <c r="IQU1" s="154" t="str">
        <f t="shared" si="102"/>
        <v>y</v>
      </c>
      <c r="IQV1" s="154" t="str">
        <f t="shared" si="102"/>
        <v>y</v>
      </c>
      <c r="IQW1" s="154" t="str">
        <f t="shared" si="102"/>
        <v>y</v>
      </c>
      <c r="IQX1" s="154" t="str">
        <f t="shared" si="102"/>
        <v>y</v>
      </c>
      <c r="IQY1" s="154" t="str">
        <f t="shared" si="102"/>
        <v>y</v>
      </c>
      <c r="IQZ1" s="154" t="str">
        <f t="shared" si="102"/>
        <v>y</v>
      </c>
      <c r="IRA1" s="154" t="str">
        <f t="shared" si="102"/>
        <v>y</v>
      </c>
      <c r="IRB1" s="154" t="str">
        <f t="shared" si="102"/>
        <v>y</v>
      </c>
      <c r="IRC1" s="154" t="str">
        <f t="shared" si="102"/>
        <v>y</v>
      </c>
      <c r="IRD1" s="154" t="str">
        <f t="shared" si="102"/>
        <v>y</v>
      </c>
      <c r="IRE1" s="154" t="str">
        <f t="shared" si="102"/>
        <v>y</v>
      </c>
      <c r="IRF1" s="154" t="str">
        <f t="shared" si="102"/>
        <v>y</v>
      </c>
      <c r="IRG1" s="154" t="str">
        <f t="shared" si="102"/>
        <v>y</v>
      </c>
      <c r="IRH1" s="154" t="str">
        <f t="shared" si="102"/>
        <v>y</v>
      </c>
      <c r="IRI1" s="154" t="str">
        <f t="shared" si="102"/>
        <v>y</v>
      </c>
      <c r="IRJ1" s="154" t="str">
        <f t="shared" si="102"/>
        <v>y</v>
      </c>
      <c r="IRK1" s="154" t="str">
        <f t="shared" si="102"/>
        <v>y</v>
      </c>
      <c r="IRL1" s="154" t="str">
        <f t="shared" si="102"/>
        <v>y</v>
      </c>
      <c r="IRM1" s="154" t="str">
        <f t="shared" si="102"/>
        <v>y</v>
      </c>
      <c r="IRN1" s="154" t="str">
        <f t="shared" si="102"/>
        <v>y</v>
      </c>
      <c r="IRO1" s="154" t="str">
        <f t="shared" si="102"/>
        <v>y</v>
      </c>
      <c r="IRP1" s="154" t="str">
        <f t="shared" si="102"/>
        <v>y</v>
      </c>
      <c r="IRQ1" s="154" t="str">
        <f t="shared" si="102"/>
        <v>y</v>
      </c>
      <c r="IRR1" s="154" t="str">
        <f t="shared" si="102"/>
        <v>y</v>
      </c>
      <c r="IRS1" s="154" t="str">
        <f t="shared" si="102"/>
        <v>y</v>
      </c>
      <c r="IRT1" s="154" t="str">
        <f t="shared" si="102"/>
        <v>y</v>
      </c>
      <c r="IRU1" s="154" t="str">
        <f t="shared" si="102"/>
        <v>y</v>
      </c>
      <c r="IRV1" s="154" t="str">
        <f t="shared" si="102"/>
        <v>y</v>
      </c>
      <c r="IRW1" s="154" t="str">
        <f t="shared" si="102"/>
        <v>y</v>
      </c>
      <c r="IRX1" s="154" t="str">
        <f t="shared" si="102"/>
        <v>y</v>
      </c>
      <c r="IRY1" s="154" t="str">
        <f t="shared" si="102"/>
        <v>y</v>
      </c>
      <c r="IRZ1" s="154" t="str">
        <f t="shared" si="102"/>
        <v>y</v>
      </c>
      <c r="ISA1" s="154" t="str">
        <f t="shared" si="102"/>
        <v>y</v>
      </c>
      <c r="ISB1" s="154" t="str">
        <f t="shared" si="102"/>
        <v>y</v>
      </c>
      <c r="ISC1" s="154" t="str">
        <f t="shared" si="102"/>
        <v>y</v>
      </c>
      <c r="ISD1" s="154" t="str">
        <f t="shared" si="102"/>
        <v>y</v>
      </c>
      <c r="ISE1" s="154" t="str">
        <f t="shared" si="102"/>
        <v>y</v>
      </c>
      <c r="ISF1" s="154" t="str">
        <f t="shared" si="102"/>
        <v>y</v>
      </c>
      <c r="ISG1" s="154" t="str">
        <f t="shared" si="102"/>
        <v>y</v>
      </c>
      <c r="ISH1" s="154" t="str">
        <f t="shared" si="102"/>
        <v>y</v>
      </c>
      <c r="ISI1" s="154" t="str">
        <f t="shared" si="102"/>
        <v>y</v>
      </c>
      <c r="ISJ1" s="154" t="str">
        <f t="shared" si="102"/>
        <v>y</v>
      </c>
      <c r="ISK1" s="154" t="str">
        <f t="shared" si="102"/>
        <v>y</v>
      </c>
      <c r="ISL1" s="154" t="str">
        <f t="shared" si="102"/>
        <v>y</v>
      </c>
      <c r="ISM1" s="154" t="str">
        <f t="shared" si="102"/>
        <v>y</v>
      </c>
      <c r="ISN1" s="154" t="str">
        <f t="shared" si="102"/>
        <v>y</v>
      </c>
      <c r="ISO1" s="154" t="str">
        <f t="shared" si="102"/>
        <v>y</v>
      </c>
      <c r="ISP1" s="154" t="str">
        <f t="shared" si="102"/>
        <v>y</v>
      </c>
      <c r="ISQ1" s="154" t="str">
        <f t="shared" si="102"/>
        <v>y</v>
      </c>
      <c r="ISR1" s="154" t="str">
        <f t="shared" ref="ISR1:IVC1" si="103">ISR2&amp;"y"</f>
        <v>y</v>
      </c>
      <c r="ISS1" s="154" t="str">
        <f t="shared" si="103"/>
        <v>y</v>
      </c>
      <c r="IST1" s="154" t="str">
        <f t="shared" si="103"/>
        <v>y</v>
      </c>
      <c r="ISU1" s="154" t="str">
        <f t="shared" si="103"/>
        <v>y</v>
      </c>
      <c r="ISV1" s="154" t="str">
        <f t="shared" si="103"/>
        <v>y</v>
      </c>
      <c r="ISW1" s="154" t="str">
        <f t="shared" si="103"/>
        <v>y</v>
      </c>
      <c r="ISX1" s="154" t="str">
        <f t="shared" si="103"/>
        <v>y</v>
      </c>
      <c r="ISY1" s="154" t="str">
        <f t="shared" si="103"/>
        <v>y</v>
      </c>
      <c r="ISZ1" s="154" t="str">
        <f t="shared" si="103"/>
        <v>y</v>
      </c>
      <c r="ITA1" s="154" t="str">
        <f t="shared" si="103"/>
        <v>y</v>
      </c>
      <c r="ITB1" s="154" t="str">
        <f t="shared" si="103"/>
        <v>y</v>
      </c>
      <c r="ITC1" s="154" t="str">
        <f t="shared" si="103"/>
        <v>y</v>
      </c>
      <c r="ITD1" s="154" t="str">
        <f t="shared" si="103"/>
        <v>y</v>
      </c>
      <c r="ITE1" s="154" t="str">
        <f t="shared" si="103"/>
        <v>y</v>
      </c>
      <c r="ITF1" s="154" t="str">
        <f t="shared" si="103"/>
        <v>y</v>
      </c>
      <c r="ITG1" s="154" t="str">
        <f t="shared" si="103"/>
        <v>y</v>
      </c>
      <c r="ITH1" s="154" t="str">
        <f t="shared" si="103"/>
        <v>y</v>
      </c>
      <c r="ITI1" s="154" t="str">
        <f t="shared" si="103"/>
        <v>y</v>
      </c>
      <c r="ITJ1" s="154" t="str">
        <f t="shared" si="103"/>
        <v>y</v>
      </c>
      <c r="ITK1" s="154" t="str">
        <f t="shared" si="103"/>
        <v>y</v>
      </c>
      <c r="ITL1" s="154" t="str">
        <f t="shared" si="103"/>
        <v>y</v>
      </c>
      <c r="ITM1" s="154" t="str">
        <f t="shared" si="103"/>
        <v>y</v>
      </c>
      <c r="ITN1" s="154" t="str">
        <f t="shared" si="103"/>
        <v>y</v>
      </c>
      <c r="ITO1" s="154" t="str">
        <f t="shared" si="103"/>
        <v>y</v>
      </c>
      <c r="ITP1" s="154" t="str">
        <f t="shared" si="103"/>
        <v>y</v>
      </c>
      <c r="ITQ1" s="154" t="str">
        <f t="shared" si="103"/>
        <v>y</v>
      </c>
      <c r="ITR1" s="154" t="str">
        <f t="shared" si="103"/>
        <v>y</v>
      </c>
      <c r="ITS1" s="154" t="str">
        <f t="shared" si="103"/>
        <v>y</v>
      </c>
      <c r="ITT1" s="154" t="str">
        <f t="shared" si="103"/>
        <v>y</v>
      </c>
      <c r="ITU1" s="154" t="str">
        <f t="shared" si="103"/>
        <v>y</v>
      </c>
      <c r="ITV1" s="154" t="str">
        <f t="shared" si="103"/>
        <v>y</v>
      </c>
      <c r="ITW1" s="154" t="str">
        <f t="shared" si="103"/>
        <v>y</v>
      </c>
      <c r="ITX1" s="154" t="str">
        <f t="shared" si="103"/>
        <v>y</v>
      </c>
      <c r="ITY1" s="154" t="str">
        <f t="shared" si="103"/>
        <v>y</v>
      </c>
      <c r="ITZ1" s="154" t="str">
        <f t="shared" si="103"/>
        <v>y</v>
      </c>
      <c r="IUA1" s="154" t="str">
        <f t="shared" si="103"/>
        <v>y</v>
      </c>
      <c r="IUB1" s="154" t="str">
        <f t="shared" si="103"/>
        <v>y</v>
      </c>
      <c r="IUC1" s="154" t="str">
        <f t="shared" si="103"/>
        <v>y</v>
      </c>
      <c r="IUD1" s="154" t="str">
        <f t="shared" si="103"/>
        <v>y</v>
      </c>
      <c r="IUE1" s="154" t="str">
        <f t="shared" si="103"/>
        <v>y</v>
      </c>
      <c r="IUF1" s="154" t="str">
        <f t="shared" si="103"/>
        <v>y</v>
      </c>
      <c r="IUG1" s="154" t="str">
        <f t="shared" si="103"/>
        <v>y</v>
      </c>
      <c r="IUH1" s="154" t="str">
        <f t="shared" si="103"/>
        <v>y</v>
      </c>
      <c r="IUI1" s="154" t="str">
        <f t="shared" si="103"/>
        <v>y</v>
      </c>
      <c r="IUJ1" s="154" t="str">
        <f t="shared" si="103"/>
        <v>y</v>
      </c>
      <c r="IUK1" s="154" t="str">
        <f t="shared" si="103"/>
        <v>y</v>
      </c>
      <c r="IUL1" s="154" t="str">
        <f t="shared" si="103"/>
        <v>y</v>
      </c>
      <c r="IUM1" s="154" t="str">
        <f t="shared" si="103"/>
        <v>y</v>
      </c>
      <c r="IUN1" s="154" t="str">
        <f t="shared" si="103"/>
        <v>y</v>
      </c>
      <c r="IUO1" s="154" t="str">
        <f t="shared" si="103"/>
        <v>y</v>
      </c>
      <c r="IUP1" s="154" t="str">
        <f t="shared" si="103"/>
        <v>y</v>
      </c>
      <c r="IUQ1" s="154" t="str">
        <f t="shared" si="103"/>
        <v>y</v>
      </c>
      <c r="IUR1" s="154" t="str">
        <f t="shared" si="103"/>
        <v>y</v>
      </c>
      <c r="IUS1" s="154" t="str">
        <f t="shared" si="103"/>
        <v>y</v>
      </c>
      <c r="IUT1" s="154" t="str">
        <f t="shared" si="103"/>
        <v>y</v>
      </c>
      <c r="IUU1" s="154" t="str">
        <f t="shared" si="103"/>
        <v>y</v>
      </c>
      <c r="IUV1" s="154" t="str">
        <f t="shared" si="103"/>
        <v>y</v>
      </c>
      <c r="IUW1" s="154" t="str">
        <f t="shared" si="103"/>
        <v>y</v>
      </c>
      <c r="IUX1" s="154" t="str">
        <f t="shared" si="103"/>
        <v>y</v>
      </c>
      <c r="IUY1" s="154" t="str">
        <f t="shared" si="103"/>
        <v>y</v>
      </c>
      <c r="IUZ1" s="154" t="str">
        <f t="shared" si="103"/>
        <v>y</v>
      </c>
      <c r="IVA1" s="154" t="str">
        <f t="shared" si="103"/>
        <v>y</v>
      </c>
      <c r="IVB1" s="154" t="str">
        <f t="shared" si="103"/>
        <v>y</v>
      </c>
      <c r="IVC1" s="154" t="str">
        <f t="shared" si="103"/>
        <v>y</v>
      </c>
      <c r="IVD1" s="154" t="str">
        <f t="shared" ref="IVD1:IXO1" si="104">IVD2&amp;"y"</f>
        <v>y</v>
      </c>
      <c r="IVE1" s="154" t="str">
        <f t="shared" si="104"/>
        <v>y</v>
      </c>
      <c r="IVF1" s="154" t="str">
        <f t="shared" si="104"/>
        <v>y</v>
      </c>
      <c r="IVG1" s="154" t="str">
        <f t="shared" si="104"/>
        <v>y</v>
      </c>
      <c r="IVH1" s="154" t="str">
        <f t="shared" si="104"/>
        <v>y</v>
      </c>
      <c r="IVI1" s="154" t="str">
        <f t="shared" si="104"/>
        <v>y</v>
      </c>
      <c r="IVJ1" s="154" t="str">
        <f t="shared" si="104"/>
        <v>y</v>
      </c>
      <c r="IVK1" s="154" t="str">
        <f t="shared" si="104"/>
        <v>y</v>
      </c>
      <c r="IVL1" s="154" t="str">
        <f t="shared" si="104"/>
        <v>y</v>
      </c>
      <c r="IVM1" s="154" t="str">
        <f t="shared" si="104"/>
        <v>y</v>
      </c>
      <c r="IVN1" s="154" t="str">
        <f t="shared" si="104"/>
        <v>y</v>
      </c>
      <c r="IVO1" s="154" t="str">
        <f t="shared" si="104"/>
        <v>y</v>
      </c>
      <c r="IVP1" s="154" t="str">
        <f t="shared" si="104"/>
        <v>y</v>
      </c>
      <c r="IVQ1" s="154" t="str">
        <f t="shared" si="104"/>
        <v>y</v>
      </c>
      <c r="IVR1" s="154" t="str">
        <f t="shared" si="104"/>
        <v>y</v>
      </c>
      <c r="IVS1" s="154" t="str">
        <f t="shared" si="104"/>
        <v>y</v>
      </c>
      <c r="IVT1" s="154" t="str">
        <f t="shared" si="104"/>
        <v>y</v>
      </c>
      <c r="IVU1" s="154" t="str">
        <f t="shared" si="104"/>
        <v>y</v>
      </c>
      <c r="IVV1" s="154" t="str">
        <f t="shared" si="104"/>
        <v>y</v>
      </c>
      <c r="IVW1" s="154" t="str">
        <f t="shared" si="104"/>
        <v>y</v>
      </c>
      <c r="IVX1" s="154" t="str">
        <f t="shared" si="104"/>
        <v>y</v>
      </c>
      <c r="IVY1" s="154" t="str">
        <f t="shared" si="104"/>
        <v>y</v>
      </c>
      <c r="IVZ1" s="154" t="str">
        <f t="shared" si="104"/>
        <v>y</v>
      </c>
      <c r="IWA1" s="154" t="str">
        <f t="shared" si="104"/>
        <v>y</v>
      </c>
      <c r="IWB1" s="154" t="str">
        <f t="shared" si="104"/>
        <v>y</v>
      </c>
      <c r="IWC1" s="154" t="str">
        <f t="shared" si="104"/>
        <v>y</v>
      </c>
      <c r="IWD1" s="154" t="str">
        <f t="shared" si="104"/>
        <v>y</v>
      </c>
      <c r="IWE1" s="154" t="str">
        <f t="shared" si="104"/>
        <v>y</v>
      </c>
      <c r="IWF1" s="154" t="str">
        <f t="shared" si="104"/>
        <v>y</v>
      </c>
      <c r="IWG1" s="154" t="str">
        <f t="shared" si="104"/>
        <v>y</v>
      </c>
      <c r="IWH1" s="154" t="str">
        <f t="shared" si="104"/>
        <v>y</v>
      </c>
      <c r="IWI1" s="154" t="str">
        <f t="shared" si="104"/>
        <v>y</v>
      </c>
      <c r="IWJ1" s="154" t="str">
        <f t="shared" si="104"/>
        <v>y</v>
      </c>
      <c r="IWK1" s="154" t="str">
        <f t="shared" si="104"/>
        <v>y</v>
      </c>
      <c r="IWL1" s="154" t="str">
        <f t="shared" si="104"/>
        <v>y</v>
      </c>
      <c r="IWM1" s="154" t="str">
        <f t="shared" si="104"/>
        <v>y</v>
      </c>
      <c r="IWN1" s="154" t="str">
        <f t="shared" si="104"/>
        <v>y</v>
      </c>
      <c r="IWO1" s="154" t="str">
        <f t="shared" si="104"/>
        <v>y</v>
      </c>
      <c r="IWP1" s="154" t="str">
        <f t="shared" si="104"/>
        <v>y</v>
      </c>
      <c r="IWQ1" s="154" t="str">
        <f t="shared" si="104"/>
        <v>y</v>
      </c>
      <c r="IWR1" s="154" t="str">
        <f t="shared" si="104"/>
        <v>y</v>
      </c>
      <c r="IWS1" s="154" t="str">
        <f t="shared" si="104"/>
        <v>y</v>
      </c>
      <c r="IWT1" s="154" t="str">
        <f t="shared" si="104"/>
        <v>y</v>
      </c>
      <c r="IWU1" s="154" t="str">
        <f t="shared" si="104"/>
        <v>y</v>
      </c>
      <c r="IWV1" s="154" t="str">
        <f t="shared" si="104"/>
        <v>y</v>
      </c>
      <c r="IWW1" s="154" t="str">
        <f t="shared" si="104"/>
        <v>y</v>
      </c>
      <c r="IWX1" s="154" t="str">
        <f t="shared" si="104"/>
        <v>y</v>
      </c>
      <c r="IWY1" s="154" t="str">
        <f t="shared" si="104"/>
        <v>y</v>
      </c>
      <c r="IWZ1" s="154" t="str">
        <f t="shared" si="104"/>
        <v>y</v>
      </c>
      <c r="IXA1" s="154" t="str">
        <f t="shared" si="104"/>
        <v>y</v>
      </c>
      <c r="IXB1" s="154" t="str">
        <f t="shared" si="104"/>
        <v>y</v>
      </c>
      <c r="IXC1" s="154" t="str">
        <f t="shared" si="104"/>
        <v>y</v>
      </c>
      <c r="IXD1" s="154" t="str">
        <f t="shared" si="104"/>
        <v>y</v>
      </c>
      <c r="IXE1" s="154" t="str">
        <f t="shared" si="104"/>
        <v>y</v>
      </c>
      <c r="IXF1" s="154" t="str">
        <f t="shared" si="104"/>
        <v>y</v>
      </c>
      <c r="IXG1" s="154" t="str">
        <f t="shared" si="104"/>
        <v>y</v>
      </c>
      <c r="IXH1" s="154" t="str">
        <f t="shared" si="104"/>
        <v>y</v>
      </c>
      <c r="IXI1" s="154" t="str">
        <f t="shared" si="104"/>
        <v>y</v>
      </c>
      <c r="IXJ1" s="154" t="str">
        <f t="shared" si="104"/>
        <v>y</v>
      </c>
      <c r="IXK1" s="154" t="str">
        <f t="shared" si="104"/>
        <v>y</v>
      </c>
      <c r="IXL1" s="154" t="str">
        <f t="shared" si="104"/>
        <v>y</v>
      </c>
      <c r="IXM1" s="154" t="str">
        <f t="shared" si="104"/>
        <v>y</v>
      </c>
      <c r="IXN1" s="154" t="str">
        <f t="shared" si="104"/>
        <v>y</v>
      </c>
      <c r="IXO1" s="154" t="str">
        <f t="shared" si="104"/>
        <v>y</v>
      </c>
      <c r="IXP1" s="154" t="str">
        <f t="shared" ref="IXP1:JAA1" si="105">IXP2&amp;"y"</f>
        <v>y</v>
      </c>
      <c r="IXQ1" s="154" t="str">
        <f t="shared" si="105"/>
        <v>y</v>
      </c>
      <c r="IXR1" s="154" t="str">
        <f t="shared" si="105"/>
        <v>y</v>
      </c>
      <c r="IXS1" s="154" t="str">
        <f t="shared" si="105"/>
        <v>y</v>
      </c>
      <c r="IXT1" s="154" t="str">
        <f t="shared" si="105"/>
        <v>y</v>
      </c>
      <c r="IXU1" s="154" t="str">
        <f t="shared" si="105"/>
        <v>y</v>
      </c>
      <c r="IXV1" s="154" t="str">
        <f t="shared" si="105"/>
        <v>y</v>
      </c>
      <c r="IXW1" s="154" t="str">
        <f t="shared" si="105"/>
        <v>y</v>
      </c>
      <c r="IXX1" s="154" t="str">
        <f t="shared" si="105"/>
        <v>y</v>
      </c>
      <c r="IXY1" s="154" t="str">
        <f t="shared" si="105"/>
        <v>y</v>
      </c>
      <c r="IXZ1" s="154" t="str">
        <f t="shared" si="105"/>
        <v>y</v>
      </c>
      <c r="IYA1" s="154" t="str">
        <f t="shared" si="105"/>
        <v>y</v>
      </c>
      <c r="IYB1" s="154" t="str">
        <f t="shared" si="105"/>
        <v>y</v>
      </c>
      <c r="IYC1" s="154" t="str">
        <f t="shared" si="105"/>
        <v>y</v>
      </c>
      <c r="IYD1" s="154" t="str">
        <f t="shared" si="105"/>
        <v>y</v>
      </c>
      <c r="IYE1" s="154" t="str">
        <f t="shared" si="105"/>
        <v>y</v>
      </c>
      <c r="IYF1" s="154" t="str">
        <f t="shared" si="105"/>
        <v>y</v>
      </c>
      <c r="IYG1" s="154" t="str">
        <f t="shared" si="105"/>
        <v>y</v>
      </c>
      <c r="IYH1" s="154" t="str">
        <f t="shared" si="105"/>
        <v>y</v>
      </c>
      <c r="IYI1" s="154" t="str">
        <f t="shared" si="105"/>
        <v>y</v>
      </c>
      <c r="IYJ1" s="154" t="str">
        <f t="shared" si="105"/>
        <v>y</v>
      </c>
      <c r="IYK1" s="154" t="str">
        <f t="shared" si="105"/>
        <v>y</v>
      </c>
      <c r="IYL1" s="154" t="str">
        <f t="shared" si="105"/>
        <v>y</v>
      </c>
      <c r="IYM1" s="154" t="str">
        <f t="shared" si="105"/>
        <v>y</v>
      </c>
      <c r="IYN1" s="154" t="str">
        <f t="shared" si="105"/>
        <v>y</v>
      </c>
      <c r="IYO1" s="154" t="str">
        <f t="shared" si="105"/>
        <v>y</v>
      </c>
      <c r="IYP1" s="154" t="str">
        <f t="shared" si="105"/>
        <v>y</v>
      </c>
      <c r="IYQ1" s="154" t="str">
        <f t="shared" si="105"/>
        <v>y</v>
      </c>
      <c r="IYR1" s="154" t="str">
        <f t="shared" si="105"/>
        <v>y</v>
      </c>
      <c r="IYS1" s="154" t="str">
        <f t="shared" si="105"/>
        <v>y</v>
      </c>
      <c r="IYT1" s="154" t="str">
        <f t="shared" si="105"/>
        <v>y</v>
      </c>
      <c r="IYU1" s="154" t="str">
        <f t="shared" si="105"/>
        <v>y</v>
      </c>
      <c r="IYV1" s="154" t="str">
        <f t="shared" si="105"/>
        <v>y</v>
      </c>
      <c r="IYW1" s="154" t="str">
        <f t="shared" si="105"/>
        <v>y</v>
      </c>
      <c r="IYX1" s="154" t="str">
        <f t="shared" si="105"/>
        <v>y</v>
      </c>
      <c r="IYY1" s="154" t="str">
        <f t="shared" si="105"/>
        <v>y</v>
      </c>
      <c r="IYZ1" s="154" t="str">
        <f t="shared" si="105"/>
        <v>y</v>
      </c>
      <c r="IZA1" s="154" t="str">
        <f t="shared" si="105"/>
        <v>y</v>
      </c>
      <c r="IZB1" s="154" t="str">
        <f t="shared" si="105"/>
        <v>y</v>
      </c>
      <c r="IZC1" s="154" t="str">
        <f t="shared" si="105"/>
        <v>y</v>
      </c>
      <c r="IZD1" s="154" t="str">
        <f t="shared" si="105"/>
        <v>y</v>
      </c>
      <c r="IZE1" s="154" t="str">
        <f t="shared" si="105"/>
        <v>y</v>
      </c>
      <c r="IZF1" s="154" t="str">
        <f t="shared" si="105"/>
        <v>y</v>
      </c>
      <c r="IZG1" s="154" t="str">
        <f t="shared" si="105"/>
        <v>y</v>
      </c>
      <c r="IZH1" s="154" t="str">
        <f t="shared" si="105"/>
        <v>y</v>
      </c>
      <c r="IZI1" s="154" t="str">
        <f t="shared" si="105"/>
        <v>y</v>
      </c>
      <c r="IZJ1" s="154" t="str">
        <f t="shared" si="105"/>
        <v>y</v>
      </c>
      <c r="IZK1" s="154" t="str">
        <f t="shared" si="105"/>
        <v>y</v>
      </c>
      <c r="IZL1" s="154" t="str">
        <f t="shared" si="105"/>
        <v>y</v>
      </c>
      <c r="IZM1" s="154" t="str">
        <f t="shared" si="105"/>
        <v>y</v>
      </c>
      <c r="IZN1" s="154" t="str">
        <f t="shared" si="105"/>
        <v>y</v>
      </c>
      <c r="IZO1" s="154" t="str">
        <f t="shared" si="105"/>
        <v>y</v>
      </c>
      <c r="IZP1" s="154" t="str">
        <f t="shared" si="105"/>
        <v>y</v>
      </c>
      <c r="IZQ1" s="154" t="str">
        <f t="shared" si="105"/>
        <v>y</v>
      </c>
      <c r="IZR1" s="154" t="str">
        <f t="shared" si="105"/>
        <v>y</v>
      </c>
      <c r="IZS1" s="154" t="str">
        <f t="shared" si="105"/>
        <v>y</v>
      </c>
      <c r="IZT1" s="154" t="str">
        <f t="shared" si="105"/>
        <v>y</v>
      </c>
      <c r="IZU1" s="154" t="str">
        <f t="shared" si="105"/>
        <v>y</v>
      </c>
      <c r="IZV1" s="154" t="str">
        <f t="shared" si="105"/>
        <v>y</v>
      </c>
      <c r="IZW1" s="154" t="str">
        <f t="shared" si="105"/>
        <v>y</v>
      </c>
      <c r="IZX1" s="154" t="str">
        <f t="shared" si="105"/>
        <v>y</v>
      </c>
      <c r="IZY1" s="154" t="str">
        <f t="shared" si="105"/>
        <v>y</v>
      </c>
      <c r="IZZ1" s="154" t="str">
        <f t="shared" si="105"/>
        <v>y</v>
      </c>
      <c r="JAA1" s="154" t="str">
        <f t="shared" si="105"/>
        <v>y</v>
      </c>
      <c r="JAB1" s="154" t="str">
        <f t="shared" ref="JAB1:JCM1" si="106">JAB2&amp;"y"</f>
        <v>y</v>
      </c>
      <c r="JAC1" s="154" t="str">
        <f t="shared" si="106"/>
        <v>y</v>
      </c>
      <c r="JAD1" s="154" t="str">
        <f t="shared" si="106"/>
        <v>y</v>
      </c>
      <c r="JAE1" s="154" t="str">
        <f t="shared" si="106"/>
        <v>y</v>
      </c>
      <c r="JAF1" s="154" t="str">
        <f t="shared" si="106"/>
        <v>y</v>
      </c>
      <c r="JAG1" s="154" t="str">
        <f t="shared" si="106"/>
        <v>y</v>
      </c>
      <c r="JAH1" s="154" t="str">
        <f t="shared" si="106"/>
        <v>y</v>
      </c>
      <c r="JAI1" s="154" t="str">
        <f t="shared" si="106"/>
        <v>y</v>
      </c>
      <c r="JAJ1" s="154" t="str">
        <f t="shared" si="106"/>
        <v>y</v>
      </c>
      <c r="JAK1" s="154" t="str">
        <f t="shared" si="106"/>
        <v>y</v>
      </c>
      <c r="JAL1" s="154" t="str">
        <f t="shared" si="106"/>
        <v>y</v>
      </c>
      <c r="JAM1" s="154" t="str">
        <f t="shared" si="106"/>
        <v>y</v>
      </c>
      <c r="JAN1" s="154" t="str">
        <f t="shared" si="106"/>
        <v>y</v>
      </c>
      <c r="JAO1" s="154" t="str">
        <f t="shared" si="106"/>
        <v>y</v>
      </c>
      <c r="JAP1" s="154" t="str">
        <f t="shared" si="106"/>
        <v>y</v>
      </c>
      <c r="JAQ1" s="154" t="str">
        <f t="shared" si="106"/>
        <v>y</v>
      </c>
      <c r="JAR1" s="154" t="str">
        <f t="shared" si="106"/>
        <v>y</v>
      </c>
      <c r="JAS1" s="154" t="str">
        <f t="shared" si="106"/>
        <v>y</v>
      </c>
      <c r="JAT1" s="154" t="str">
        <f t="shared" si="106"/>
        <v>y</v>
      </c>
      <c r="JAU1" s="154" t="str">
        <f t="shared" si="106"/>
        <v>y</v>
      </c>
      <c r="JAV1" s="154" t="str">
        <f t="shared" si="106"/>
        <v>y</v>
      </c>
      <c r="JAW1" s="154" t="str">
        <f t="shared" si="106"/>
        <v>y</v>
      </c>
      <c r="JAX1" s="154" t="str">
        <f t="shared" si="106"/>
        <v>y</v>
      </c>
      <c r="JAY1" s="154" t="str">
        <f t="shared" si="106"/>
        <v>y</v>
      </c>
      <c r="JAZ1" s="154" t="str">
        <f t="shared" si="106"/>
        <v>y</v>
      </c>
      <c r="JBA1" s="154" t="str">
        <f t="shared" si="106"/>
        <v>y</v>
      </c>
      <c r="JBB1" s="154" t="str">
        <f t="shared" si="106"/>
        <v>y</v>
      </c>
      <c r="JBC1" s="154" t="str">
        <f t="shared" si="106"/>
        <v>y</v>
      </c>
      <c r="JBD1" s="154" t="str">
        <f t="shared" si="106"/>
        <v>y</v>
      </c>
      <c r="JBE1" s="154" t="str">
        <f t="shared" si="106"/>
        <v>y</v>
      </c>
      <c r="JBF1" s="154" t="str">
        <f t="shared" si="106"/>
        <v>y</v>
      </c>
      <c r="JBG1" s="154" t="str">
        <f t="shared" si="106"/>
        <v>y</v>
      </c>
      <c r="JBH1" s="154" t="str">
        <f t="shared" si="106"/>
        <v>y</v>
      </c>
      <c r="JBI1" s="154" t="str">
        <f t="shared" si="106"/>
        <v>y</v>
      </c>
      <c r="JBJ1" s="154" t="str">
        <f t="shared" si="106"/>
        <v>y</v>
      </c>
      <c r="JBK1" s="154" t="str">
        <f t="shared" si="106"/>
        <v>y</v>
      </c>
      <c r="JBL1" s="154" t="str">
        <f t="shared" si="106"/>
        <v>y</v>
      </c>
      <c r="JBM1" s="154" t="str">
        <f t="shared" si="106"/>
        <v>y</v>
      </c>
      <c r="JBN1" s="154" t="str">
        <f t="shared" si="106"/>
        <v>y</v>
      </c>
      <c r="JBO1" s="154" t="str">
        <f t="shared" si="106"/>
        <v>y</v>
      </c>
      <c r="JBP1" s="154" t="str">
        <f t="shared" si="106"/>
        <v>y</v>
      </c>
      <c r="JBQ1" s="154" t="str">
        <f t="shared" si="106"/>
        <v>y</v>
      </c>
      <c r="JBR1" s="154" t="str">
        <f t="shared" si="106"/>
        <v>y</v>
      </c>
      <c r="JBS1" s="154" t="str">
        <f t="shared" si="106"/>
        <v>y</v>
      </c>
      <c r="JBT1" s="154" t="str">
        <f t="shared" si="106"/>
        <v>y</v>
      </c>
      <c r="JBU1" s="154" t="str">
        <f t="shared" si="106"/>
        <v>y</v>
      </c>
      <c r="JBV1" s="154" t="str">
        <f t="shared" si="106"/>
        <v>y</v>
      </c>
      <c r="JBW1" s="154" t="str">
        <f t="shared" si="106"/>
        <v>y</v>
      </c>
      <c r="JBX1" s="154" t="str">
        <f t="shared" si="106"/>
        <v>y</v>
      </c>
      <c r="JBY1" s="154" t="str">
        <f t="shared" si="106"/>
        <v>y</v>
      </c>
      <c r="JBZ1" s="154" t="str">
        <f t="shared" si="106"/>
        <v>y</v>
      </c>
      <c r="JCA1" s="154" t="str">
        <f t="shared" si="106"/>
        <v>y</v>
      </c>
      <c r="JCB1" s="154" t="str">
        <f t="shared" si="106"/>
        <v>y</v>
      </c>
      <c r="JCC1" s="154" t="str">
        <f t="shared" si="106"/>
        <v>y</v>
      </c>
      <c r="JCD1" s="154" t="str">
        <f t="shared" si="106"/>
        <v>y</v>
      </c>
      <c r="JCE1" s="154" t="str">
        <f t="shared" si="106"/>
        <v>y</v>
      </c>
      <c r="JCF1" s="154" t="str">
        <f t="shared" si="106"/>
        <v>y</v>
      </c>
      <c r="JCG1" s="154" t="str">
        <f t="shared" si="106"/>
        <v>y</v>
      </c>
      <c r="JCH1" s="154" t="str">
        <f t="shared" si="106"/>
        <v>y</v>
      </c>
      <c r="JCI1" s="154" t="str">
        <f t="shared" si="106"/>
        <v>y</v>
      </c>
      <c r="JCJ1" s="154" t="str">
        <f t="shared" si="106"/>
        <v>y</v>
      </c>
      <c r="JCK1" s="154" t="str">
        <f t="shared" si="106"/>
        <v>y</v>
      </c>
      <c r="JCL1" s="154" t="str">
        <f t="shared" si="106"/>
        <v>y</v>
      </c>
      <c r="JCM1" s="154" t="str">
        <f t="shared" si="106"/>
        <v>y</v>
      </c>
      <c r="JCN1" s="154" t="str">
        <f t="shared" ref="JCN1:JEY1" si="107">JCN2&amp;"y"</f>
        <v>y</v>
      </c>
      <c r="JCO1" s="154" t="str">
        <f t="shared" si="107"/>
        <v>y</v>
      </c>
      <c r="JCP1" s="154" t="str">
        <f t="shared" si="107"/>
        <v>y</v>
      </c>
      <c r="JCQ1" s="154" t="str">
        <f t="shared" si="107"/>
        <v>y</v>
      </c>
      <c r="JCR1" s="154" t="str">
        <f t="shared" si="107"/>
        <v>y</v>
      </c>
      <c r="JCS1" s="154" t="str">
        <f t="shared" si="107"/>
        <v>y</v>
      </c>
      <c r="JCT1" s="154" t="str">
        <f t="shared" si="107"/>
        <v>y</v>
      </c>
      <c r="JCU1" s="154" t="str">
        <f t="shared" si="107"/>
        <v>y</v>
      </c>
      <c r="JCV1" s="154" t="str">
        <f t="shared" si="107"/>
        <v>y</v>
      </c>
      <c r="JCW1" s="154" t="str">
        <f t="shared" si="107"/>
        <v>y</v>
      </c>
      <c r="JCX1" s="154" t="str">
        <f t="shared" si="107"/>
        <v>y</v>
      </c>
      <c r="JCY1" s="154" t="str">
        <f t="shared" si="107"/>
        <v>y</v>
      </c>
      <c r="JCZ1" s="154" t="str">
        <f t="shared" si="107"/>
        <v>y</v>
      </c>
      <c r="JDA1" s="154" t="str">
        <f t="shared" si="107"/>
        <v>y</v>
      </c>
      <c r="JDB1" s="154" t="str">
        <f t="shared" si="107"/>
        <v>y</v>
      </c>
      <c r="JDC1" s="154" t="str">
        <f t="shared" si="107"/>
        <v>y</v>
      </c>
      <c r="JDD1" s="154" t="str">
        <f t="shared" si="107"/>
        <v>y</v>
      </c>
      <c r="JDE1" s="154" t="str">
        <f t="shared" si="107"/>
        <v>y</v>
      </c>
      <c r="JDF1" s="154" t="str">
        <f t="shared" si="107"/>
        <v>y</v>
      </c>
      <c r="JDG1" s="154" t="str">
        <f t="shared" si="107"/>
        <v>y</v>
      </c>
      <c r="JDH1" s="154" t="str">
        <f t="shared" si="107"/>
        <v>y</v>
      </c>
      <c r="JDI1" s="154" t="str">
        <f t="shared" si="107"/>
        <v>y</v>
      </c>
      <c r="JDJ1" s="154" t="str">
        <f t="shared" si="107"/>
        <v>y</v>
      </c>
      <c r="JDK1" s="154" t="str">
        <f t="shared" si="107"/>
        <v>y</v>
      </c>
      <c r="JDL1" s="154" t="str">
        <f t="shared" si="107"/>
        <v>y</v>
      </c>
      <c r="JDM1" s="154" t="str">
        <f t="shared" si="107"/>
        <v>y</v>
      </c>
      <c r="JDN1" s="154" t="str">
        <f t="shared" si="107"/>
        <v>y</v>
      </c>
      <c r="JDO1" s="154" t="str">
        <f t="shared" si="107"/>
        <v>y</v>
      </c>
      <c r="JDP1" s="154" t="str">
        <f t="shared" si="107"/>
        <v>y</v>
      </c>
      <c r="JDQ1" s="154" t="str">
        <f t="shared" si="107"/>
        <v>y</v>
      </c>
      <c r="JDR1" s="154" t="str">
        <f t="shared" si="107"/>
        <v>y</v>
      </c>
      <c r="JDS1" s="154" t="str">
        <f t="shared" si="107"/>
        <v>y</v>
      </c>
      <c r="JDT1" s="154" t="str">
        <f t="shared" si="107"/>
        <v>y</v>
      </c>
      <c r="JDU1" s="154" t="str">
        <f t="shared" si="107"/>
        <v>y</v>
      </c>
      <c r="JDV1" s="154" t="str">
        <f t="shared" si="107"/>
        <v>y</v>
      </c>
      <c r="JDW1" s="154" t="str">
        <f t="shared" si="107"/>
        <v>y</v>
      </c>
      <c r="JDX1" s="154" t="str">
        <f t="shared" si="107"/>
        <v>y</v>
      </c>
      <c r="JDY1" s="154" t="str">
        <f t="shared" si="107"/>
        <v>y</v>
      </c>
      <c r="JDZ1" s="154" t="str">
        <f t="shared" si="107"/>
        <v>y</v>
      </c>
      <c r="JEA1" s="154" t="str">
        <f t="shared" si="107"/>
        <v>y</v>
      </c>
      <c r="JEB1" s="154" t="str">
        <f t="shared" si="107"/>
        <v>y</v>
      </c>
      <c r="JEC1" s="154" t="str">
        <f t="shared" si="107"/>
        <v>y</v>
      </c>
      <c r="JED1" s="154" t="str">
        <f t="shared" si="107"/>
        <v>y</v>
      </c>
      <c r="JEE1" s="154" t="str">
        <f t="shared" si="107"/>
        <v>y</v>
      </c>
      <c r="JEF1" s="154" t="str">
        <f t="shared" si="107"/>
        <v>y</v>
      </c>
      <c r="JEG1" s="154" t="str">
        <f t="shared" si="107"/>
        <v>y</v>
      </c>
      <c r="JEH1" s="154" t="str">
        <f t="shared" si="107"/>
        <v>y</v>
      </c>
      <c r="JEI1" s="154" t="str">
        <f t="shared" si="107"/>
        <v>y</v>
      </c>
      <c r="JEJ1" s="154" t="str">
        <f t="shared" si="107"/>
        <v>y</v>
      </c>
      <c r="JEK1" s="154" t="str">
        <f t="shared" si="107"/>
        <v>y</v>
      </c>
      <c r="JEL1" s="154" t="str">
        <f t="shared" si="107"/>
        <v>y</v>
      </c>
      <c r="JEM1" s="154" t="str">
        <f t="shared" si="107"/>
        <v>y</v>
      </c>
      <c r="JEN1" s="154" t="str">
        <f t="shared" si="107"/>
        <v>y</v>
      </c>
      <c r="JEO1" s="154" t="str">
        <f t="shared" si="107"/>
        <v>y</v>
      </c>
      <c r="JEP1" s="154" t="str">
        <f t="shared" si="107"/>
        <v>y</v>
      </c>
      <c r="JEQ1" s="154" t="str">
        <f t="shared" si="107"/>
        <v>y</v>
      </c>
      <c r="JER1" s="154" t="str">
        <f t="shared" si="107"/>
        <v>y</v>
      </c>
      <c r="JES1" s="154" t="str">
        <f t="shared" si="107"/>
        <v>y</v>
      </c>
      <c r="JET1" s="154" t="str">
        <f t="shared" si="107"/>
        <v>y</v>
      </c>
      <c r="JEU1" s="154" t="str">
        <f t="shared" si="107"/>
        <v>y</v>
      </c>
      <c r="JEV1" s="154" t="str">
        <f t="shared" si="107"/>
        <v>y</v>
      </c>
      <c r="JEW1" s="154" t="str">
        <f t="shared" si="107"/>
        <v>y</v>
      </c>
      <c r="JEX1" s="154" t="str">
        <f t="shared" si="107"/>
        <v>y</v>
      </c>
      <c r="JEY1" s="154" t="str">
        <f t="shared" si="107"/>
        <v>y</v>
      </c>
      <c r="JEZ1" s="154" t="str">
        <f t="shared" ref="JEZ1:JHK1" si="108">JEZ2&amp;"y"</f>
        <v>y</v>
      </c>
      <c r="JFA1" s="154" t="str">
        <f t="shared" si="108"/>
        <v>y</v>
      </c>
      <c r="JFB1" s="154" t="str">
        <f t="shared" si="108"/>
        <v>y</v>
      </c>
      <c r="JFC1" s="154" t="str">
        <f t="shared" si="108"/>
        <v>y</v>
      </c>
      <c r="JFD1" s="154" t="str">
        <f t="shared" si="108"/>
        <v>y</v>
      </c>
      <c r="JFE1" s="154" t="str">
        <f t="shared" si="108"/>
        <v>y</v>
      </c>
      <c r="JFF1" s="154" t="str">
        <f t="shared" si="108"/>
        <v>y</v>
      </c>
      <c r="JFG1" s="154" t="str">
        <f t="shared" si="108"/>
        <v>y</v>
      </c>
      <c r="JFH1" s="154" t="str">
        <f t="shared" si="108"/>
        <v>y</v>
      </c>
      <c r="JFI1" s="154" t="str">
        <f t="shared" si="108"/>
        <v>y</v>
      </c>
      <c r="JFJ1" s="154" t="str">
        <f t="shared" si="108"/>
        <v>y</v>
      </c>
      <c r="JFK1" s="154" t="str">
        <f t="shared" si="108"/>
        <v>y</v>
      </c>
      <c r="JFL1" s="154" t="str">
        <f t="shared" si="108"/>
        <v>y</v>
      </c>
      <c r="JFM1" s="154" t="str">
        <f t="shared" si="108"/>
        <v>y</v>
      </c>
      <c r="JFN1" s="154" t="str">
        <f t="shared" si="108"/>
        <v>y</v>
      </c>
      <c r="JFO1" s="154" t="str">
        <f t="shared" si="108"/>
        <v>y</v>
      </c>
      <c r="JFP1" s="154" t="str">
        <f t="shared" si="108"/>
        <v>y</v>
      </c>
      <c r="JFQ1" s="154" t="str">
        <f t="shared" si="108"/>
        <v>y</v>
      </c>
      <c r="JFR1" s="154" t="str">
        <f t="shared" si="108"/>
        <v>y</v>
      </c>
      <c r="JFS1" s="154" t="str">
        <f t="shared" si="108"/>
        <v>y</v>
      </c>
      <c r="JFT1" s="154" t="str">
        <f t="shared" si="108"/>
        <v>y</v>
      </c>
      <c r="JFU1" s="154" t="str">
        <f t="shared" si="108"/>
        <v>y</v>
      </c>
      <c r="JFV1" s="154" t="str">
        <f t="shared" si="108"/>
        <v>y</v>
      </c>
      <c r="JFW1" s="154" t="str">
        <f t="shared" si="108"/>
        <v>y</v>
      </c>
      <c r="JFX1" s="154" t="str">
        <f t="shared" si="108"/>
        <v>y</v>
      </c>
      <c r="JFY1" s="154" t="str">
        <f t="shared" si="108"/>
        <v>y</v>
      </c>
      <c r="JFZ1" s="154" t="str">
        <f t="shared" si="108"/>
        <v>y</v>
      </c>
      <c r="JGA1" s="154" t="str">
        <f t="shared" si="108"/>
        <v>y</v>
      </c>
      <c r="JGB1" s="154" t="str">
        <f t="shared" si="108"/>
        <v>y</v>
      </c>
      <c r="JGC1" s="154" t="str">
        <f t="shared" si="108"/>
        <v>y</v>
      </c>
      <c r="JGD1" s="154" t="str">
        <f t="shared" si="108"/>
        <v>y</v>
      </c>
      <c r="JGE1" s="154" t="str">
        <f t="shared" si="108"/>
        <v>y</v>
      </c>
      <c r="JGF1" s="154" t="str">
        <f t="shared" si="108"/>
        <v>y</v>
      </c>
      <c r="JGG1" s="154" t="str">
        <f t="shared" si="108"/>
        <v>y</v>
      </c>
      <c r="JGH1" s="154" t="str">
        <f t="shared" si="108"/>
        <v>y</v>
      </c>
      <c r="JGI1" s="154" t="str">
        <f t="shared" si="108"/>
        <v>y</v>
      </c>
      <c r="JGJ1" s="154" t="str">
        <f t="shared" si="108"/>
        <v>y</v>
      </c>
      <c r="JGK1" s="154" t="str">
        <f t="shared" si="108"/>
        <v>y</v>
      </c>
      <c r="JGL1" s="154" t="str">
        <f t="shared" si="108"/>
        <v>y</v>
      </c>
      <c r="JGM1" s="154" t="str">
        <f t="shared" si="108"/>
        <v>y</v>
      </c>
      <c r="JGN1" s="154" t="str">
        <f t="shared" si="108"/>
        <v>y</v>
      </c>
      <c r="JGO1" s="154" t="str">
        <f t="shared" si="108"/>
        <v>y</v>
      </c>
      <c r="JGP1" s="154" t="str">
        <f t="shared" si="108"/>
        <v>y</v>
      </c>
      <c r="JGQ1" s="154" t="str">
        <f t="shared" si="108"/>
        <v>y</v>
      </c>
      <c r="JGR1" s="154" t="str">
        <f t="shared" si="108"/>
        <v>y</v>
      </c>
      <c r="JGS1" s="154" t="str">
        <f t="shared" si="108"/>
        <v>y</v>
      </c>
      <c r="JGT1" s="154" t="str">
        <f t="shared" si="108"/>
        <v>y</v>
      </c>
      <c r="JGU1" s="154" t="str">
        <f t="shared" si="108"/>
        <v>y</v>
      </c>
      <c r="JGV1" s="154" t="str">
        <f t="shared" si="108"/>
        <v>y</v>
      </c>
      <c r="JGW1" s="154" t="str">
        <f t="shared" si="108"/>
        <v>y</v>
      </c>
      <c r="JGX1" s="154" t="str">
        <f t="shared" si="108"/>
        <v>y</v>
      </c>
      <c r="JGY1" s="154" t="str">
        <f t="shared" si="108"/>
        <v>y</v>
      </c>
      <c r="JGZ1" s="154" t="str">
        <f t="shared" si="108"/>
        <v>y</v>
      </c>
      <c r="JHA1" s="154" t="str">
        <f t="shared" si="108"/>
        <v>y</v>
      </c>
      <c r="JHB1" s="154" t="str">
        <f t="shared" si="108"/>
        <v>y</v>
      </c>
      <c r="JHC1" s="154" t="str">
        <f t="shared" si="108"/>
        <v>y</v>
      </c>
      <c r="JHD1" s="154" t="str">
        <f t="shared" si="108"/>
        <v>y</v>
      </c>
      <c r="JHE1" s="154" t="str">
        <f t="shared" si="108"/>
        <v>y</v>
      </c>
      <c r="JHF1" s="154" t="str">
        <f t="shared" si="108"/>
        <v>y</v>
      </c>
      <c r="JHG1" s="154" t="str">
        <f t="shared" si="108"/>
        <v>y</v>
      </c>
      <c r="JHH1" s="154" t="str">
        <f t="shared" si="108"/>
        <v>y</v>
      </c>
      <c r="JHI1" s="154" t="str">
        <f t="shared" si="108"/>
        <v>y</v>
      </c>
      <c r="JHJ1" s="154" t="str">
        <f t="shared" si="108"/>
        <v>y</v>
      </c>
      <c r="JHK1" s="154" t="str">
        <f t="shared" si="108"/>
        <v>y</v>
      </c>
      <c r="JHL1" s="154" t="str">
        <f t="shared" ref="JHL1:JJW1" si="109">JHL2&amp;"y"</f>
        <v>y</v>
      </c>
      <c r="JHM1" s="154" t="str">
        <f t="shared" si="109"/>
        <v>y</v>
      </c>
      <c r="JHN1" s="154" t="str">
        <f t="shared" si="109"/>
        <v>y</v>
      </c>
      <c r="JHO1" s="154" t="str">
        <f t="shared" si="109"/>
        <v>y</v>
      </c>
      <c r="JHP1" s="154" t="str">
        <f t="shared" si="109"/>
        <v>y</v>
      </c>
      <c r="JHQ1" s="154" t="str">
        <f t="shared" si="109"/>
        <v>y</v>
      </c>
      <c r="JHR1" s="154" t="str">
        <f t="shared" si="109"/>
        <v>y</v>
      </c>
      <c r="JHS1" s="154" t="str">
        <f t="shared" si="109"/>
        <v>y</v>
      </c>
      <c r="JHT1" s="154" t="str">
        <f t="shared" si="109"/>
        <v>y</v>
      </c>
      <c r="JHU1" s="154" t="str">
        <f t="shared" si="109"/>
        <v>y</v>
      </c>
      <c r="JHV1" s="154" t="str">
        <f t="shared" si="109"/>
        <v>y</v>
      </c>
      <c r="JHW1" s="154" t="str">
        <f t="shared" si="109"/>
        <v>y</v>
      </c>
      <c r="JHX1" s="154" t="str">
        <f t="shared" si="109"/>
        <v>y</v>
      </c>
      <c r="JHY1" s="154" t="str">
        <f t="shared" si="109"/>
        <v>y</v>
      </c>
      <c r="JHZ1" s="154" t="str">
        <f t="shared" si="109"/>
        <v>y</v>
      </c>
      <c r="JIA1" s="154" t="str">
        <f t="shared" si="109"/>
        <v>y</v>
      </c>
      <c r="JIB1" s="154" t="str">
        <f t="shared" si="109"/>
        <v>y</v>
      </c>
      <c r="JIC1" s="154" t="str">
        <f t="shared" si="109"/>
        <v>y</v>
      </c>
      <c r="JID1" s="154" t="str">
        <f t="shared" si="109"/>
        <v>y</v>
      </c>
      <c r="JIE1" s="154" t="str">
        <f t="shared" si="109"/>
        <v>y</v>
      </c>
      <c r="JIF1" s="154" t="str">
        <f t="shared" si="109"/>
        <v>y</v>
      </c>
      <c r="JIG1" s="154" t="str">
        <f t="shared" si="109"/>
        <v>y</v>
      </c>
      <c r="JIH1" s="154" t="str">
        <f t="shared" si="109"/>
        <v>y</v>
      </c>
      <c r="JII1" s="154" t="str">
        <f t="shared" si="109"/>
        <v>y</v>
      </c>
      <c r="JIJ1" s="154" t="str">
        <f t="shared" si="109"/>
        <v>y</v>
      </c>
      <c r="JIK1" s="154" t="str">
        <f t="shared" si="109"/>
        <v>y</v>
      </c>
      <c r="JIL1" s="154" t="str">
        <f t="shared" si="109"/>
        <v>y</v>
      </c>
      <c r="JIM1" s="154" t="str">
        <f t="shared" si="109"/>
        <v>y</v>
      </c>
      <c r="JIN1" s="154" t="str">
        <f t="shared" si="109"/>
        <v>y</v>
      </c>
      <c r="JIO1" s="154" t="str">
        <f t="shared" si="109"/>
        <v>y</v>
      </c>
      <c r="JIP1" s="154" t="str">
        <f t="shared" si="109"/>
        <v>y</v>
      </c>
      <c r="JIQ1" s="154" t="str">
        <f t="shared" si="109"/>
        <v>y</v>
      </c>
      <c r="JIR1" s="154" t="str">
        <f t="shared" si="109"/>
        <v>y</v>
      </c>
      <c r="JIS1" s="154" t="str">
        <f t="shared" si="109"/>
        <v>y</v>
      </c>
      <c r="JIT1" s="154" t="str">
        <f t="shared" si="109"/>
        <v>y</v>
      </c>
      <c r="JIU1" s="154" t="str">
        <f t="shared" si="109"/>
        <v>y</v>
      </c>
      <c r="JIV1" s="154" t="str">
        <f t="shared" si="109"/>
        <v>y</v>
      </c>
      <c r="JIW1" s="154" t="str">
        <f t="shared" si="109"/>
        <v>y</v>
      </c>
      <c r="JIX1" s="154" t="str">
        <f t="shared" si="109"/>
        <v>y</v>
      </c>
      <c r="JIY1" s="154" t="str">
        <f t="shared" si="109"/>
        <v>y</v>
      </c>
      <c r="JIZ1" s="154" t="str">
        <f t="shared" si="109"/>
        <v>y</v>
      </c>
      <c r="JJA1" s="154" t="str">
        <f t="shared" si="109"/>
        <v>y</v>
      </c>
      <c r="JJB1" s="154" t="str">
        <f t="shared" si="109"/>
        <v>y</v>
      </c>
      <c r="JJC1" s="154" t="str">
        <f t="shared" si="109"/>
        <v>y</v>
      </c>
      <c r="JJD1" s="154" t="str">
        <f t="shared" si="109"/>
        <v>y</v>
      </c>
      <c r="JJE1" s="154" t="str">
        <f t="shared" si="109"/>
        <v>y</v>
      </c>
      <c r="JJF1" s="154" t="str">
        <f t="shared" si="109"/>
        <v>y</v>
      </c>
      <c r="JJG1" s="154" t="str">
        <f t="shared" si="109"/>
        <v>y</v>
      </c>
      <c r="JJH1" s="154" t="str">
        <f t="shared" si="109"/>
        <v>y</v>
      </c>
      <c r="JJI1" s="154" t="str">
        <f t="shared" si="109"/>
        <v>y</v>
      </c>
      <c r="JJJ1" s="154" t="str">
        <f t="shared" si="109"/>
        <v>y</v>
      </c>
      <c r="JJK1" s="154" t="str">
        <f t="shared" si="109"/>
        <v>y</v>
      </c>
      <c r="JJL1" s="154" t="str">
        <f t="shared" si="109"/>
        <v>y</v>
      </c>
      <c r="JJM1" s="154" t="str">
        <f t="shared" si="109"/>
        <v>y</v>
      </c>
      <c r="JJN1" s="154" t="str">
        <f t="shared" si="109"/>
        <v>y</v>
      </c>
      <c r="JJO1" s="154" t="str">
        <f t="shared" si="109"/>
        <v>y</v>
      </c>
      <c r="JJP1" s="154" t="str">
        <f t="shared" si="109"/>
        <v>y</v>
      </c>
      <c r="JJQ1" s="154" t="str">
        <f t="shared" si="109"/>
        <v>y</v>
      </c>
      <c r="JJR1" s="154" t="str">
        <f t="shared" si="109"/>
        <v>y</v>
      </c>
      <c r="JJS1" s="154" t="str">
        <f t="shared" si="109"/>
        <v>y</v>
      </c>
      <c r="JJT1" s="154" t="str">
        <f t="shared" si="109"/>
        <v>y</v>
      </c>
      <c r="JJU1" s="154" t="str">
        <f t="shared" si="109"/>
        <v>y</v>
      </c>
      <c r="JJV1" s="154" t="str">
        <f t="shared" si="109"/>
        <v>y</v>
      </c>
      <c r="JJW1" s="154" t="str">
        <f t="shared" si="109"/>
        <v>y</v>
      </c>
      <c r="JJX1" s="154" t="str">
        <f t="shared" ref="JJX1:JMI1" si="110">JJX2&amp;"y"</f>
        <v>y</v>
      </c>
      <c r="JJY1" s="154" t="str">
        <f t="shared" si="110"/>
        <v>y</v>
      </c>
      <c r="JJZ1" s="154" t="str">
        <f t="shared" si="110"/>
        <v>y</v>
      </c>
      <c r="JKA1" s="154" t="str">
        <f t="shared" si="110"/>
        <v>y</v>
      </c>
      <c r="JKB1" s="154" t="str">
        <f t="shared" si="110"/>
        <v>y</v>
      </c>
      <c r="JKC1" s="154" t="str">
        <f t="shared" si="110"/>
        <v>y</v>
      </c>
      <c r="JKD1" s="154" t="str">
        <f t="shared" si="110"/>
        <v>y</v>
      </c>
      <c r="JKE1" s="154" t="str">
        <f t="shared" si="110"/>
        <v>y</v>
      </c>
      <c r="JKF1" s="154" t="str">
        <f t="shared" si="110"/>
        <v>y</v>
      </c>
      <c r="JKG1" s="154" t="str">
        <f t="shared" si="110"/>
        <v>y</v>
      </c>
      <c r="JKH1" s="154" t="str">
        <f t="shared" si="110"/>
        <v>y</v>
      </c>
      <c r="JKI1" s="154" t="str">
        <f t="shared" si="110"/>
        <v>y</v>
      </c>
      <c r="JKJ1" s="154" t="str">
        <f t="shared" si="110"/>
        <v>y</v>
      </c>
      <c r="JKK1" s="154" t="str">
        <f t="shared" si="110"/>
        <v>y</v>
      </c>
      <c r="JKL1" s="154" t="str">
        <f t="shared" si="110"/>
        <v>y</v>
      </c>
      <c r="JKM1" s="154" t="str">
        <f t="shared" si="110"/>
        <v>y</v>
      </c>
      <c r="JKN1" s="154" t="str">
        <f t="shared" si="110"/>
        <v>y</v>
      </c>
      <c r="JKO1" s="154" t="str">
        <f t="shared" si="110"/>
        <v>y</v>
      </c>
      <c r="JKP1" s="154" t="str">
        <f t="shared" si="110"/>
        <v>y</v>
      </c>
      <c r="JKQ1" s="154" t="str">
        <f t="shared" si="110"/>
        <v>y</v>
      </c>
      <c r="JKR1" s="154" t="str">
        <f t="shared" si="110"/>
        <v>y</v>
      </c>
      <c r="JKS1" s="154" t="str">
        <f t="shared" si="110"/>
        <v>y</v>
      </c>
      <c r="JKT1" s="154" t="str">
        <f t="shared" si="110"/>
        <v>y</v>
      </c>
      <c r="JKU1" s="154" t="str">
        <f t="shared" si="110"/>
        <v>y</v>
      </c>
      <c r="JKV1" s="154" t="str">
        <f t="shared" si="110"/>
        <v>y</v>
      </c>
      <c r="JKW1" s="154" t="str">
        <f t="shared" si="110"/>
        <v>y</v>
      </c>
      <c r="JKX1" s="154" t="str">
        <f t="shared" si="110"/>
        <v>y</v>
      </c>
      <c r="JKY1" s="154" t="str">
        <f t="shared" si="110"/>
        <v>y</v>
      </c>
      <c r="JKZ1" s="154" t="str">
        <f t="shared" si="110"/>
        <v>y</v>
      </c>
      <c r="JLA1" s="154" t="str">
        <f t="shared" si="110"/>
        <v>y</v>
      </c>
      <c r="JLB1" s="154" t="str">
        <f t="shared" si="110"/>
        <v>y</v>
      </c>
      <c r="JLC1" s="154" t="str">
        <f t="shared" si="110"/>
        <v>y</v>
      </c>
      <c r="JLD1" s="154" t="str">
        <f t="shared" si="110"/>
        <v>y</v>
      </c>
      <c r="JLE1" s="154" t="str">
        <f t="shared" si="110"/>
        <v>y</v>
      </c>
      <c r="JLF1" s="154" t="str">
        <f t="shared" si="110"/>
        <v>y</v>
      </c>
      <c r="JLG1" s="154" t="str">
        <f t="shared" si="110"/>
        <v>y</v>
      </c>
      <c r="JLH1" s="154" t="str">
        <f t="shared" si="110"/>
        <v>y</v>
      </c>
      <c r="JLI1" s="154" t="str">
        <f t="shared" si="110"/>
        <v>y</v>
      </c>
      <c r="JLJ1" s="154" t="str">
        <f t="shared" si="110"/>
        <v>y</v>
      </c>
      <c r="JLK1" s="154" t="str">
        <f t="shared" si="110"/>
        <v>y</v>
      </c>
      <c r="JLL1" s="154" t="str">
        <f t="shared" si="110"/>
        <v>y</v>
      </c>
      <c r="JLM1" s="154" t="str">
        <f t="shared" si="110"/>
        <v>y</v>
      </c>
      <c r="JLN1" s="154" t="str">
        <f t="shared" si="110"/>
        <v>y</v>
      </c>
      <c r="JLO1" s="154" t="str">
        <f t="shared" si="110"/>
        <v>y</v>
      </c>
      <c r="JLP1" s="154" t="str">
        <f t="shared" si="110"/>
        <v>y</v>
      </c>
      <c r="JLQ1" s="154" t="str">
        <f t="shared" si="110"/>
        <v>y</v>
      </c>
      <c r="JLR1" s="154" t="str">
        <f t="shared" si="110"/>
        <v>y</v>
      </c>
      <c r="JLS1" s="154" t="str">
        <f t="shared" si="110"/>
        <v>y</v>
      </c>
      <c r="JLT1" s="154" t="str">
        <f t="shared" si="110"/>
        <v>y</v>
      </c>
      <c r="JLU1" s="154" t="str">
        <f t="shared" si="110"/>
        <v>y</v>
      </c>
      <c r="JLV1" s="154" t="str">
        <f t="shared" si="110"/>
        <v>y</v>
      </c>
      <c r="JLW1" s="154" t="str">
        <f t="shared" si="110"/>
        <v>y</v>
      </c>
      <c r="JLX1" s="154" t="str">
        <f t="shared" si="110"/>
        <v>y</v>
      </c>
      <c r="JLY1" s="154" t="str">
        <f t="shared" si="110"/>
        <v>y</v>
      </c>
      <c r="JLZ1" s="154" t="str">
        <f t="shared" si="110"/>
        <v>y</v>
      </c>
      <c r="JMA1" s="154" t="str">
        <f t="shared" si="110"/>
        <v>y</v>
      </c>
      <c r="JMB1" s="154" t="str">
        <f t="shared" si="110"/>
        <v>y</v>
      </c>
      <c r="JMC1" s="154" t="str">
        <f t="shared" si="110"/>
        <v>y</v>
      </c>
      <c r="JMD1" s="154" t="str">
        <f t="shared" si="110"/>
        <v>y</v>
      </c>
      <c r="JME1" s="154" t="str">
        <f t="shared" si="110"/>
        <v>y</v>
      </c>
      <c r="JMF1" s="154" t="str">
        <f t="shared" si="110"/>
        <v>y</v>
      </c>
      <c r="JMG1" s="154" t="str">
        <f t="shared" si="110"/>
        <v>y</v>
      </c>
      <c r="JMH1" s="154" t="str">
        <f t="shared" si="110"/>
        <v>y</v>
      </c>
      <c r="JMI1" s="154" t="str">
        <f t="shared" si="110"/>
        <v>y</v>
      </c>
      <c r="JMJ1" s="154" t="str">
        <f t="shared" ref="JMJ1:JOU1" si="111">JMJ2&amp;"y"</f>
        <v>y</v>
      </c>
      <c r="JMK1" s="154" t="str">
        <f t="shared" si="111"/>
        <v>y</v>
      </c>
      <c r="JML1" s="154" t="str">
        <f t="shared" si="111"/>
        <v>y</v>
      </c>
      <c r="JMM1" s="154" t="str">
        <f t="shared" si="111"/>
        <v>y</v>
      </c>
      <c r="JMN1" s="154" t="str">
        <f t="shared" si="111"/>
        <v>y</v>
      </c>
      <c r="JMO1" s="154" t="str">
        <f t="shared" si="111"/>
        <v>y</v>
      </c>
      <c r="JMP1" s="154" t="str">
        <f t="shared" si="111"/>
        <v>y</v>
      </c>
      <c r="JMQ1" s="154" t="str">
        <f t="shared" si="111"/>
        <v>y</v>
      </c>
      <c r="JMR1" s="154" t="str">
        <f t="shared" si="111"/>
        <v>y</v>
      </c>
      <c r="JMS1" s="154" t="str">
        <f t="shared" si="111"/>
        <v>y</v>
      </c>
      <c r="JMT1" s="154" t="str">
        <f t="shared" si="111"/>
        <v>y</v>
      </c>
      <c r="JMU1" s="154" t="str">
        <f t="shared" si="111"/>
        <v>y</v>
      </c>
      <c r="JMV1" s="154" t="str">
        <f t="shared" si="111"/>
        <v>y</v>
      </c>
      <c r="JMW1" s="154" t="str">
        <f t="shared" si="111"/>
        <v>y</v>
      </c>
      <c r="JMX1" s="154" t="str">
        <f t="shared" si="111"/>
        <v>y</v>
      </c>
      <c r="JMY1" s="154" t="str">
        <f t="shared" si="111"/>
        <v>y</v>
      </c>
      <c r="JMZ1" s="154" t="str">
        <f t="shared" si="111"/>
        <v>y</v>
      </c>
      <c r="JNA1" s="154" t="str">
        <f t="shared" si="111"/>
        <v>y</v>
      </c>
      <c r="JNB1" s="154" t="str">
        <f t="shared" si="111"/>
        <v>y</v>
      </c>
      <c r="JNC1" s="154" t="str">
        <f t="shared" si="111"/>
        <v>y</v>
      </c>
      <c r="JND1" s="154" t="str">
        <f t="shared" si="111"/>
        <v>y</v>
      </c>
      <c r="JNE1" s="154" t="str">
        <f t="shared" si="111"/>
        <v>y</v>
      </c>
      <c r="JNF1" s="154" t="str">
        <f t="shared" si="111"/>
        <v>y</v>
      </c>
      <c r="JNG1" s="154" t="str">
        <f t="shared" si="111"/>
        <v>y</v>
      </c>
      <c r="JNH1" s="154" t="str">
        <f t="shared" si="111"/>
        <v>y</v>
      </c>
      <c r="JNI1" s="154" t="str">
        <f t="shared" si="111"/>
        <v>y</v>
      </c>
      <c r="JNJ1" s="154" t="str">
        <f t="shared" si="111"/>
        <v>y</v>
      </c>
      <c r="JNK1" s="154" t="str">
        <f t="shared" si="111"/>
        <v>y</v>
      </c>
      <c r="JNL1" s="154" t="str">
        <f t="shared" si="111"/>
        <v>y</v>
      </c>
      <c r="JNM1" s="154" t="str">
        <f t="shared" si="111"/>
        <v>y</v>
      </c>
      <c r="JNN1" s="154" t="str">
        <f t="shared" si="111"/>
        <v>y</v>
      </c>
      <c r="JNO1" s="154" t="str">
        <f t="shared" si="111"/>
        <v>y</v>
      </c>
      <c r="JNP1" s="154" t="str">
        <f t="shared" si="111"/>
        <v>y</v>
      </c>
      <c r="JNQ1" s="154" t="str">
        <f t="shared" si="111"/>
        <v>y</v>
      </c>
      <c r="JNR1" s="154" t="str">
        <f t="shared" si="111"/>
        <v>y</v>
      </c>
      <c r="JNS1" s="154" t="str">
        <f t="shared" si="111"/>
        <v>y</v>
      </c>
      <c r="JNT1" s="154" t="str">
        <f t="shared" si="111"/>
        <v>y</v>
      </c>
      <c r="JNU1" s="154" t="str">
        <f t="shared" si="111"/>
        <v>y</v>
      </c>
      <c r="JNV1" s="154" t="str">
        <f t="shared" si="111"/>
        <v>y</v>
      </c>
      <c r="JNW1" s="154" t="str">
        <f t="shared" si="111"/>
        <v>y</v>
      </c>
      <c r="JNX1" s="154" t="str">
        <f t="shared" si="111"/>
        <v>y</v>
      </c>
      <c r="JNY1" s="154" t="str">
        <f t="shared" si="111"/>
        <v>y</v>
      </c>
      <c r="JNZ1" s="154" t="str">
        <f t="shared" si="111"/>
        <v>y</v>
      </c>
      <c r="JOA1" s="154" t="str">
        <f t="shared" si="111"/>
        <v>y</v>
      </c>
      <c r="JOB1" s="154" t="str">
        <f t="shared" si="111"/>
        <v>y</v>
      </c>
      <c r="JOC1" s="154" t="str">
        <f t="shared" si="111"/>
        <v>y</v>
      </c>
      <c r="JOD1" s="154" t="str">
        <f t="shared" si="111"/>
        <v>y</v>
      </c>
      <c r="JOE1" s="154" t="str">
        <f t="shared" si="111"/>
        <v>y</v>
      </c>
      <c r="JOF1" s="154" t="str">
        <f t="shared" si="111"/>
        <v>y</v>
      </c>
      <c r="JOG1" s="154" t="str">
        <f t="shared" si="111"/>
        <v>y</v>
      </c>
      <c r="JOH1" s="154" t="str">
        <f t="shared" si="111"/>
        <v>y</v>
      </c>
      <c r="JOI1" s="154" t="str">
        <f t="shared" si="111"/>
        <v>y</v>
      </c>
      <c r="JOJ1" s="154" t="str">
        <f t="shared" si="111"/>
        <v>y</v>
      </c>
      <c r="JOK1" s="154" t="str">
        <f t="shared" si="111"/>
        <v>y</v>
      </c>
      <c r="JOL1" s="154" t="str">
        <f t="shared" si="111"/>
        <v>y</v>
      </c>
      <c r="JOM1" s="154" t="str">
        <f t="shared" si="111"/>
        <v>y</v>
      </c>
      <c r="JON1" s="154" t="str">
        <f t="shared" si="111"/>
        <v>y</v>
      </c>
      <c r="JOO1" s="154" t="str">
        <f t="shared" si="111"/>
        <v>y</v>
      </c>
      <c r="JOP1" s="154" t="str">
        <f t="shared" si="111"/>
        <v>y</v>
      </c>
      <c r="JOQ1" s="154" t="str">
        <f t="shared" si="111"/>
        <v>y</v>
      </c>
      <c r="JOR1" s="154" t="str">
        <f t="shared" si="111"/>
        <v>y</v>
      </c>
      <c r="JOS1" s="154" t="str">
        <f t="shared" si="111"/>
        <v>y</v>
      </c>
      <c r="JOT1" s="154" t="str">
        <f t="shared" si="111"/>
        <v>y</v>
      </c>
      <c r="JOU1" s="154" t="str">
        <f t="shared" si="111"/>
        <v>y</v>
      </c>
      <c r="JOV1" s="154" t="str">
        <f t="shared" ref="JOV1:JRG1" si="112">JOV2&amp;"y"</f>
        <v>y</v>
      </c>
      <c r="JOW1" s="154" t="str">
        <f t="shared" si="112"/>
        <v>y</v>
      </c>
      <c r="JOX1" s="154" t="str">
        <f t="shared" si="112"/>
        <v>y</v>
      </c>
      <c r="JOY1" s="154" t="str">
        <f t="shared" si="112"/>
        <v>y</v>
      </c>
      <c r="JOZ1" s="154" t="str">
        <f t="shared" si="112"/>
        <v>y</v>
      </c>
      <c r="JPA1" s="154" t="str">
        <f t="shared" si="112"/>
        <v>y</v>
      </c>
      <c r="JPB1" s="154" t="str">
        <f t="shared" si="112"/>
        <v>y</v>
      </c>
      <c r="JPC1" s="154" t="str">
        <f t="shared" si="112"/>
        <v>y</v>
      </c>
      <c r="JPD1" s="154" t="str">
        <f t="shared" si="112"/>
        <v>y</v>
      </c>
      <c r="JPE1" s="154" t="str">
        <f t="shared" si="112"/>
        <v>y</v>
      </c>
      <c r="JPF1" s="154" t="str">
        <f t="shared" si="112"/>
        <v>y</v>
      </c>
      <c r="JPG1" s="154" t="str">
        <f t="shared" si="112"/>
        <v>y</v>
      </c>
      <c r="JPH1" s="154" t="str">
        <f t="shared" si="112"/>
        <v>y</v>
      </c>
      <c r="JPI1" s="154" t="str">
        <f t="shared" si="112"/>
        <v>y</v>
      </c>
      <c r="JPJ1" s="154" t="str">
        <f t="shared" si="112"/>
        <v>y</v>
      </c>
      <c r="JPK1" s="154" t="str">
        <f t="shared" si="112"/>
        <v>y</v>
      </c>
      <c r="JPL1" s="154" t="str">
        <f t="shared" si="112"/>
        <v>y</v>
      </c>
      <c r="JPM1" s="154" t="str">
        <f t="shared" si="112"/>
        <v>y</v>
      </c>
      <c r="JPN1" s="154" t="str">
        <f t="shared" si="112"/>
        <v>y</v>
      </c>
      <c r="JPO1" s="154" t="str">
        <f t="shared" si="112"/>
        <v>y</v>
      </c>
      <c r="JPP1" s="154" t="str">
        <f t="shared" si="112"/>
        <v>y</v>
      </c>
      <c r="JPQ1" s="154" t="str">
        <f t="shared" si="112"/>
        <v>y</v>
      </c>
      <c r="JPR1" s="154" t="str">
        <f t="shared" si="112"/>
        <v>y</v>
      </c>
      <c r="JPS1" s="154" t="str">
        <f t="shared" si="112"/>
        <v>y</v>
      </c>
      <c r="JPT1" s="154" t="str">
        <f t="shared" si="112"/>
        <v>y</v>
      </c>
      <c r="JPU1" s="154" t="str">
        <f t="shared" si="112"/>
        <v>y</v>
      </c>
      <c r="JPV1" s="154" t="str">
        <f t="shared" si="112"/>
        <v>y</v>
      </c>
      <c r="JPW1" s="154" t="str">
        <f t="shared" si="112"/>
        <v>y</v>
      </c>
      <c r="JPX1" s="154" t="str">
        <f t="shared" si="112"/>
        <v>y</v>
      </c>
      <c r="JPY1" s="154" t="str">
        <f t="shared" si="112"/>
        <v>y</v>
      </c>
      <c r="JPZ1" s="154" t="str">
        <f t="shared" si="112"/>
        <v>y</v>
      </c>
      <c r="JQA1" s="154" t="str">
        <f t="shared" si="112"/>
        <v>y</v>
      </c>
      <c r="JQB1" s="154" t="str">
        <f t="shared" si="112"/>
        <v>y</v>
      </c>
      <c r="JQC1" s="154" t="str">
        <f t="shared" si="112"/>
        <v>y</v>
      </c>
      <c r="JQD1" s="154" t="str">
        <f t="shared" si="112"/>
        <v>y</v>
      </c>
      <c r="JQE1" s="154" t="str">
        <f t="shared" si="112"/>
        <v>y</v>
      </c>
      <c r="JQF1" s="154" t="str">
        <f t="shared" si="112"/>
        <v>y</v>
      </c>
      <c r="JQG1" s="154" t="str">
        <f t="shared" si="112"/>
        <v>y</v>
      </c>
      <c r="JQH1" s="154" t="str">
        <f t="shared" si="112"/>
        <v>y</v>
      </c>
      <c r="JQI1" s="154" t="str">
        <f t="shared" si="112"/>
        <v>y</v>
      </c>
      <c r="JQJ1" s="154" t="str">
        <f t="shared" si="112"/>
        <v>y</v>
      </c>
      <c r="JQK1" s="154" t="str">
        <f t="shared" si="112"/>
        <v>y</v>
      </c>
      <c r="JQL1" s="154" t="str">
        <f t="shared" si="112"/>
        <v>y</v>
      </c>
      <c r="JQM1" s="154" t="str">
        <f t="shared" si="112"/>
        <v>y</v>
      </c>
      <c r="JQN1" s="154" t="str">
        <f t="shared" si="112"/>
        <v>y</v>
      </c>
      <c r="JQO1" s="154" t="str">
        <f t="shared" si="112"/>
        <v>y</v>
      </c>
      <c r="JQP1" s="154" t="str">
        <f t="shared" si="112"/>
        <v>y</v>
      </c>
      <c r="JQQ1" s="154" t="str">
        <f t="shared" si="112"/>
        <v>y</v>
      </c>
      <c r="JQR1" s="154" t="str">
        <f t="shared" si="112"/>
        <v>y</v>
      </c>
      <c r="JQS1" s="154" t="str">
        <f t="shared" si="112"/>
        <v>y</v>
      </c>
      <c r="JQT1" s="154" t="str">
        <f t="shared" si="112"/>
        <v>y</v>
      </c>
      <c r="JQU1" s="154" t="str">
        <f t="shared" si="112"/>
        <v>y</v>
      </c>
      <c r="JQV1" s="154" t="str">
        <f t="shared" si="112"/>
        <v>y</v>
      </c>
      <c r="JQW1" s="154" t="str">
        <f t="shared" si="112"/>
        <v>y</v>
      </c>
      <c r="JQX1" s="154" t="str">
        <f t="shared" si="112"/>
        <v>y</v>
      </c>
      <c r="JQY1" s="154" t="str">
        <f t="shared" si="112"/>
        <v>y</v>
      </c>
      <c r="JQZ1" s="154" t="str">
        <f t="shared" si="112"/>
        <v>y</v>
      </c>
      <c r="JRA1" s="154" t="str">
        <f t="shared" si="112"/>
        <v>y</v>
      </c>
      <c r="JRB1" s="154" t="str">
        <f t="shared" si="112"/>
        <v>y</v>
      </c>
      <c r="JRC1" s="154" t="str">
        <f t="shared" si="112"/>
        <v>y</v>
      </c>
      <c r="JRD1" s="154" t="str">
        <f t="shared" si="112"/>
        <v>y</v>
      </c>
      <c r="JRE1" s="154" t="str">
        <f t="shared" si="112"/>
        <v>y</v>
      </c>
      <c r="JRF1" s="154" t="str">
        <f t="shared" si="112"/>
        <v>y</v>
      </c>
      <c r="JRG1" s="154" t="str">
        <f t="shared" si="112"/>
        <v>y</v>
      </c>
      <c r="JRH1" s="154" t="str">
        <f t="shared" ref="JRH1:JTS1" si="113">JRH2&amp;"y"</f>
        <v>y</v>
      </c>
      <c r="JRI1" s="154" t="str">
        <f t="shared" si="113"/>
        <v>y</v>
      </c>
      <c r="JRJ1" s="154" t="str">
        <f t="shared" si="113"/>
        <v>y</v>
      </c>
      <c r="JRK1" s="154" t="str">
        <f t="shared" si="113"/>
        <v>y</v>
      </c>
      <c r="JRL1" s="154" t="str">
        <f t="shared" si="113"/>
        <v>y</v>
      </c>
      <c r="JRM1" s="154" t="str">
        <f t="shared" si="113"/>
        <v>y</v>
      </c>
      <c r="JRN1" s="154" t="str">
        <f t="shared" si="113"/>
        <v>y</v>
      </c>
      <c r="JRO1" s="154" t="str">
        <f t="shared" si="113"/>
        <v>y</v>
      </c>
      <c r="JRP1" s="154" t="str">
        <f t="shared" si="113"/>
        <v>y</v>
      </c>
      <c r="JRQ1" s="154" t="str">
        <f t="shared" si="113"/>
        <v>y</v>
      </c>
      <c r="JRR1" s="154" t="str">
        <f t="shared" si="113"/>
        <v>y</v>
      </c>
      <c r="JRS1" s="154" t="str">
        <f t="shared" si="113"/>
        <v>y</v>
      </c>
      <c r="JRT1" s="154" t="str">
        <f t="shared" si="113"/>
        <v>y</v>
      </c>
      <c r="JRU1" s="154" t="str">
        <f t="shared" si="113"/>
        <v>y</v>
      </c>
      <c r="JRV1" s="154" t="str">
        <f t="shared" si="113"/>
        <v>y</v>
      </c>
      <c r="JRW1" s="154" t="str">
        <f t="shared" si="113"/>
        <v>y</v>
      </c>
      <c r="JRX1" s="154" t="str">
        <f t="shared" si="113"/>
        <v>y</v>
      </c>
      <c r="JRY1" s="154" t="str">
        <f t="shared" si="113"/>
        <v>y</v>
      </c>
      <c r="JRZ1" s="154" t="str">
        <f t="shared" si="113"/>
        <v>y</v>
      </c>
      <c r="JSA1" s="154" t="str">
        <f t="shared" si="113"/>
        <v>y</v>
      </c>
      <c r="JSB1" s="154" t="str">
        <f t="shared" si="113"/>
        <v>y</v>
      </c>
      <c r="JSC1" s="154" t="str">
        <f t="shared" si="113"/>
        <v>y</v>
      </c>
      <c r="JSD1" s="154" t="str">
        <f t="shared" si="113"/>
        <v>y</v>
      </c>
      <c r="JSE1" s="154" t="str">
        <f t="shared" si="113"/>
        <v>y</v>
      </c>
      <c r="JSF1" s="154" t="str">
        <f t="shared" si="113"/>
        <v>y</v>
      </c>
      <c r="JSG1" s="154" t="str">
        <f t="shared" si="113"/>
        <v>y</v>
      </c>
      <c r="JSH1" s="154" t="str">
        <f t="shared" si="113"/>
        <v>y</v>
      </c>
      <c r="JSI1" s="154" t="str">
        <f t="shared" si="113"/>
        <v>y</v>
      </c>
      <c r="JSJ1" s="154" t="str">
        <f t="shared" si="113"/>
        <v>y</v>
      </c>
      <c r="JSK1" s="154" t="str">
        <f t="shared" si="113"/>
        <v>y</v>
      </c>
      <c r="JSL1" s="154" t="str">
        <f t="shared" si="113"/>
        <v>y</v>
      </c>
      <c r="JSM1" s="154" t="str">
        <f t="shared" si="113"/>
        <v>y</v>
      </c>
      <c r="JSN1" s="154" t="str">
        <f t="shared" si="113"/>
        <v>y</v>
      </c>
      <c r="JSO1" s="154" t="str">
        <f t="shared" si="113"/>
        <v>y</v>
      </c>
      <c r="JSP1" s="154" t="str">
        <f t="shared" si="113"/>
        <v>y</v>
      </c>
      <c r="JSQ1" s="154" t="str">
        <f t="shared" si="113"/>
        <v>y</v>
      </c>
      <c r="JSR1" s="154" t="str">
        <f t="shared" si="113"/>
        <v>y</v>
      </c>
      <c r="JSS1" s="154" t="str">
        <f t="shared" si="113"/>
        <v>y</v>
      </c>
      <c r="JST1" s="154" t="str">
        <f t="shared" si="113"/>
        <v>y</v>
      </c>
      <c r="JSU1" s="154" t="str">
        <f t="shared" si="113"/>
        <v>y</v>
      </c>
      <c r="JSV1" s="154" t="str">
        <f t="shared" si="113"/>
        <v>y</v>
      </c>
      <c r="JSW1" s="154" t="str">
        <f t="shared" si="113"/>
        <v>y</v>
      </c>
      <c r="JSX1" s="154" t="str">
        <f t="shared" si="113"/>
        <v>y</v>
      </c>
      <c r="JSY1" s="154" t="str">
        <f t="shared" si="113"/>
        <v>y</v>
      </c>
      <c r="JSZ1" s="154" t="str">
        <f t="shared" si="113"/>
        <v>y</v>
      </c>
      <c r="JTA1" s="154" t="str">
        <f t="shared" si="113"/>
        <v>y</v>
      </c>
      <c r="JTB1" s="154" t="str">
        <f t="shared" si="113"/>
        <v>y</v>
      </c>
      <c r="JTC1" s="154" t="str">
        <f t="shared" si="113"/>
        <v>y</v>
      </c>
      <c r="JTD1" s="154" t="str">
        <f t="shared" si="113"/>
        <v>y</v>
      </c>
      <c r="JTE1" s="154" t="str">
        <f t="shared" si="113"/>
        <v>y</v>
      </c>
      <c r="JTF1" s="154" t="str">
        <f t="shared" si="113"/>
        <v>y</v>
      </c>
      <c r="JTG1" s="154" t="str">
        <f t="shared" si="113"/>
        <v>y</v>
      </c>
      <c r="JTH1" s="154" t="str">
        <f t="shared" si="113"/>
        <v>y</v>
      </c>
      <c r="JTI1" s="154" t="str">
        <f t="shared" si="113"/>
        <v>y</v>
      </c>
      <c r="JTJ1" s="154" t="str">
        <f t="shared" si="113"/>
        <v>y</v>
      </c>
      <c r="JTK1" s="154" t="str">
        <f t="shared" si="113"/>
        <v>y</v>
      </c>
      <c r="JTL1" s="154" t="str">
        <f t="shared" si="113"/>
        <v>y</v>
      </c>
      <c r="JTM1" s="154" t="str">
        <f t="shared" si="113"/>
        <v>y</v>
      </c>
      <c r="JTN1" s="154" t="str">
        <f t="shared" si="113"/>
        <v>y</v>
      </c>
      <c r="JTO1" s="154" t="str">
        <f t="shared" si="113"/>
        <v>y</v>
      </c>
      <c r="JTP1" s="154" t="str">
        <f t="shared" si="113"/>
        <v>y</v>
      </c>
      <c r="JTQ1" s="154" t="str">
        <f t="shared" si="113"/>
        <v>y</v>
      </c>
      <c r="JTR1" s="154" t="str">
        <f t="shared" si="113"/>
        <v>y</v>
      </c>
      <c r="JTS1" s="154" t="str">
        <f t="shared" si="113"/>
        <v>y</v>
      </c>
      <c r="JTT1" s="154" t="str">
        <f t="shared" ref="JTT1:JWE1" si="114">JTT2&amp;"y"</f>
        <v>y</v>
      </c>
      <c r="JTU1" s="154" t="str">
        <f t="shared" si="114"/>
        <v>y</v>
      </c>
      <c r="JTV1" s="154" t="str">
        <f t="shared" si="114"/>
        <v>y</v>
      </c>
      <c r="JTW1" s="154" t="str">
        <f t="shared" si="114"/>
        <v>y</v>
      </c>
      <c r="JTX1" s="154" t="str">
        <f t="shared" si="114"/>
        <v>y</v>
      </c>
      <c r="JTY1" s="154" t="str">
        <f t="shared" si="114"/>
        <v>y</v>
      </c>
      <c r="JTZ1" s="154" t="str">
        <f t="shared" si="114"/>
        <v>y</v>
      </c>
      <c r="JUA1" s="154" t="str">
        <f t="shared" si="114"/>
        <v>y</v>
      </c>
      <c r="JUB1" s="154" t="str">
        <f t="shared" si="114"/>
        <v>y</v>
      </c>
      <c r="JUC1" s="154" t="str">
        <f t="shared" si="114"/>
        <v>y</v>
      </c>
      <c r="JUD1" s="154" t="str">
        <f t="shared" si="114"/>
        <v>y</v>
      </c>
      <c r="JUE1" s="154" t="str">
        <f t="shared" si="114"/>
        <v>y</v>
      </c>
      <c r="JUF1" s="154" t="str">
        <f t="shared" si="114"/>
        <v>y</v>
      </c>
      <c r="JUG1" s="154" t="str">
        <f t="shared" si="114"/>
        <v>y</v>
      </c>
      <c r="JUH1" s="154" t="str">
        <f t="shared" si="114"/>
        <v>y</v>
      </c>
      <c r="JUI1" s="154" t="str">
        <f t="shared" si="114"/>
        <v>y</v>
      </c>
      <c r="JUJ1" s="154" t="str">
        <f t="shared" si="114"/>
        <v>y</v>
      </c>
      <c r="JUK1" s="154" t="str">
        <f t="shared" si="114"/>
        <v>y</v>
      </c>
      <c r="JUL1" s="154" t="str">
        <f t="shared" si="114"/>
        <v>y</v>
      </c>
      <c r="JUM1" s="154" t="str">
        <f t="shared" si="114"/>
        <v>y</v>
      </c>
      <c r="JUN1" s="154" t="str">
        <f t="shared" si="114"/>
        <v>y</v>
      </c>
      <c r="JUO1" s="154" t="str">
        <f t="shared" si="114"/>
        <v>y</v>
      </c>
      <c r="JUP1" s="154" t="str">
        <f t="shared" si="114"/>
        <v>y</v>
      </c>
      <c r="JUQ1" s="154" t="str">
        <f t="shared" si="114"/>
        <v>y</v>
      </c>
      <c r="JUR1" s="154" t="str">
        <f t="shared" si="114"/>
        <v>y</v>
      </c>
      <c r="JUS1" s="154" t="str">
        <f t="shared" si="114"/>
        <v>y</v>
      </c>
      <c r="JUT1" s="154" t="str">
        <f t="shared" si="114"/>
        <v>y</v>
      </c>
      <c r="JUU1" s="154" t="str">
        <f t="shared" si="114"/>
        <v>y</v>
      </c>
      <c r="JUV1" s="154" t="str">
        <f t="shared" si="114"/>
        <v>y</v>
      </c>
      <c r="JUW1" s="154" t="str">
        <f t="shared" si="114"/>
        <v>y</v>
      </c>
      <c r="JUX1" s="154" t="str">
        <f t="shared" si="114"/>
        <v>y</v>
      </c>
      <c r="JUY1" s="154" t="str">
        <f t="shared" si="114"/>
        <v>y</v>
      </c>
      <c r="JUZ1" s="154" t="str">
        <f t="shared" si="114"/>
        <v>y</v>
      </c>
      <c r="JVA1" s="154" t="str">
        <f t="shared" si="114"/>
        <v>y</v>
      </c>
      <c r="JVB1" s="154" t="str">
        <f t="shared" si="114"/>
        <v>y</v>
      </c>
      <c r="JVC1" s="154" t="str">
        <f t="shared" si="114"/>
        <v>y</v>
      </c>
      <c r="JVD1" s="154" t="str">
        <f t="shared" si="114"/>
        <v>y</v>
      </c>
      <c r="JVE1" s="154" t="str">
        <f t="shared" si="114"/>
        <v>y</v>
      </c>
      <c r="JVF1" s="154" t="str">
        <f t="shared" si="114"/>
        <v>y</v>
      </c>
      <c r="JVG1" s="154" t="str">
        <f t="shared" si="114"/>
        <v>y</v>
      </c>
      <c r="JVH1" s="154" t="str">
        <f t="shared" si="114"/>
        <v>y</v>
      </c>
      <c r="JVI1" s="154" t="str">
        <f t="shared" si="114"/>
        <v>y</v>
      </c>
      <c r="JVJ1" s="154" t="str">
        <f t="shared" si="114"/>
        <v>y</v>
      </c>
      <c r="JVK1" s="154" t="str">
        <f t="shared" si="114"/>
        <v>y</v>
      </c>
      <c r="JVL1" s="154" t="str">
        <f t="shared" si="114"/>
        <v>y</v>
      </c>
      <c r="JVM1" s="154" t="str">
        <f t="shared" si="114"/>
        <v>y</v>
      </c>
      <c r="JVN1" s="154" t="str">
        <f t="shared" si="114"/>
        <v>y</v>
      </c>
      <c r="JVO1" s="154" t="str">
        <f t="shared" si="114"/>
        <v>y</v>
      </c>
      <c r="JVP1" s="154" t="str">
        <f t="shared" si="114"/>
        <v>y</v>
      </c>
      <c r="JVQ1" s="154" t="str">
        <f t="shared" si="114"/>
        <v>y</v>
      </c>
      <c r="JVR1" s="154" t="str">
        <f t="shared" si="114"/>
        <v>y</v>
      </c>
      <c r="JVS1" s="154" t="str">
        <f t="shared" si="114"/>
        <v>y</v>
      </c>
      <c r="JVT1" s="154" t="str">
        <f t="shared" si="114"/>
        <v>y</v>
      </c>
      <c r="JVU1" s="154" t="str">
        <f t="shared" si="114"/>
        <v>y</v>
      </c>
      <c r="JVV1" s="154" t="str">
        <f t="shared" si="114"/>
        <v>y</v>
      </c>
      <c r="JVW1" s="154" t="str">
        <f t="shared" si="114"/>
        <v>y</v>
      </c>
      <c r="JVX1" s="154" t="str">
        <f t="shared" si="114"/>
        <v>y</v>
      </c>
      <c r="JVY1" s="154" t="str">
        <f t="shared" si="114"/>
        <v>y</v>
      </c>
      <c r="JVZ1" s="154" t="str">
        <f t="shared" si="114"/>
        <v>y</v>
      </c>
      <c r="JWA1" s="154" t="str">
        <f t="shared" si="114"/>
        <v>y</v>
      </c>
      <c r="JWB1" s="154" t="str">
        <f t="shared" si="114"/>
        <v>y</v>
      </c>
      <c r="JWC1" s="154" t="str">
        <f t="shared" si="114"/>
        <v>y</v>
      </c>
      <c r="JWD1" s="154" t="str">
        <f t="shared" si="114"/>
        <v>y</v>
      </c>
      <c r="JWE1" s="154" t="str">
        <f t="shared" si="114"/>
        <v>y</v>
      </c>
      <c r="JWF1" s="154" t="str">
        <f t="shared" ref="JWF1:JYQ1" si="115">JWF2&amp;"y"</f>
        <v>y</v>
      </c>
      <c r="JWG1" s="154" t="str">
        <f t="shared" si="115"/>
        <v>y</v>
      </c>
      <c r="JWH1" s="154" t="str">
        <f t="shared" si="115"/>
        <v>y</v>
      </c>
      <c r="JWI1" s="154" t="str">
        <f t="shared" si="115"/>
        <v>y</v>
      </c>
      <c r="JWJ1" s="154" t="str">
        <f t="shared" si="115"/>
        <v>y</v>
      </c>
      <c r="JWK1" s="154" t="str">
        <f t="shared" si="115"/>
        <v>y</v>
      </c>
      <c r="JWL1" s="154" t="str">
        <f t="shared" si="115"/>
        <v>y</v>
      </c>
      <c r="JWM1" s="154" t="str">
        <f t="shared" si="115"/>
        <v>y</v>
      </c>
      <c r="JWN1" s="154" t="str">
        <f t="shared" si="115"/>
        <v>y</v>
      </c>
      <c r="JWO1" s="154" t="str">
        <f t="shared" si="115"/>
        <v>y</v>
      </c>
      <c r="JWP1" s="154" t="str">
        <f t="shared" si="115"/>
        <v>y</v>
      </c>
      <c r="JWQ1" s="154" t="str">
        <f t="shared" si="115"/>
        <v>y</v>
      </c>
      <c r="JWR1" s="154" t="str">
        <f t="shared" si="115"/>
        <v>y</v>
      </c>
      <c r="JWS1" s="154" t="str">
        <f t="shared" si="115"/>
        <v>y</v>
      </c>
      <c r="JWT1" s="154" t="str">
        <f t="shared" si="115"/>
        <v>y</v>
      </c>
      <c r="JWU1" s="154" t="str">
        <f t="shared" si="115"/>
        <v>y</v>
      </c>
      <c r="JWV1" s="154" t="str">
        <f t="shared" si="115"/>
        <v>y</v>
      </c>
      <c r="JWW1" s="154" t="str">
        <f t="shared" si="115"/>
        <v>y</v>
      </c>
      <c r="JWX1" s="154" t="str">
        <f t="shared" si="115"/>
        <v>y</v>
      </c>
      <c r="JWY1" s="154" t="str">
        <f t="shared" si="115"/>
        <v>y</v>
      </c>
      <c r="JWZ1" s="154" t="str">
        <f t="shared" si="115"/>
        <v>y</v>
      </c>
      <c r="JXA1" s="154" t="str">
        <f t="shared" si="115"/>
        <v>y</v>
      </c>
      <c r="JXB1" s="154" t="str">
        <f t="shared" si="115"/>
        <v>y</v>
      </c>
      <c r="JXC1" s="154" t="str">
        <f t="shared" si="115"/>
        <v>y</v>
      </c>
      <c r="JXD1" s="154" t="str">
        <f t="shared" si="115"/>
        <v>y</v>
      </c>
      <c r="JXE1" s="154" t="str">
        <f t="shared" si="115"/>
        <v>y</v>
      </c>
      <c r="JXF1" s="154" t="str">
        <f t="shared" si="115"/>
        <v>y</v>
      </c>
      <c r="JXG1" s="154" t="str">
        <f t="shared" si="115"/>
        <v>y</v>
      </c>
      <c r="JXH1" s="154" t="str">
        <f t="shared" si="115"/>
        <v>y</v>
      </c>
      <c r="JXI1" s="154" t="str">
        <f t="shared" si="115"/>
        <v>y</v>
      </c>
      <c r="JXJ1" s="154" t="str">
        <f t="shared" si="115"/>
        <v>y</v>
      </c>
      <c r="JXK1" s="154" t="str">
        <f t="shared" si="115"/>
        <v>y</v>
      </c>
      <c r="JXL1" s="154" t="str">
        <f t="shared" si="115"/>
        <v>y</v>
      </c>
      <c r="JXM1" s="154" t="str">
        <f t="shared" si="115"/>
        <v>y</v>
      </c>
      <c r="JXN1" s="154" t="str">
        <f t="shared" si="115"/>
        <v>y</v>
      </c>
      <c r="JXO1" s="154" t="str">
        <f t="shared" si="115"/>
        <v>y</v>
      </c>
      <c r="JXP1" s="154" t="str">
        <f t="shared" si="115"/>
        <v>y</v>
      </c>
      <c r="JXQ1" s="154" t="str">
        <f t="shared" si="115"/>
        <v>y</v>
      </c>
      <c r="JXR1" s="154" t="str">
        <f t="shared" si="115"/>
        <v>y</v>
      </c>
      <c r="JXS1" s="154" t="str">
        <f t="shared" si="115"/>
        <v>y</v>
      </c>
      <c r="JXT1" s="154" t="str">
        <f t="shared" si="115"/>
        <v>y</v>
      </c>
      <c r="JXU1" s="154" t="str">
        <f t="shared" si="115"/>
        <v>y</v>
      </c>
      <c r="JXV1" s="154" t="str">
        <f t="shared" si="115"/>
        <v>y</v>
      </c>
      <c r="JXW1" s="154" t="str">
        <f t="shared" si="115"/>
        <v>y</v>
      </c>
      <c r="JXX1" s="154" t="str">
        <f t="shared" si="115"/>
        <v>y</v>
      </c>
      <c r="JXY1" s="154" t="str">
        <f t="shared" si="115"/>
        <v>y</v>
      </c>
      <c r="JXZ1" s="154" t="str">
        <f t="shared" si="115"/>
        <v>y</v>
      </c>
      <c r="JYA1" s="154" t="str">
        <f t="shared" si="115"/>
        <v>y</v>
      </c>
      <c r="JYB1" s="154" t="str">
        <f t="shared" si="115"/>
        <v>y</v>
      </c>
      <c r="JYC1" s="154" t="str">
        <f t="shared" si="115"/>
        <v>y</v>
      </c>
      <c r="JYD1" s="154" t="str">
        <f t="shared" si="115"/>
        <v>y</v>
      </c>
      <c r="JYE1" s="154" t="str">
        <f t="shared" si="115"/>
        <v>y</v>
      </c>
      <c r="JYF1" s="154" t="str">
        <f t="shared" si="115"/>
        <v>y</v>
      </c>
      <c r="JYG1" s="154" t="str">
        <f t="shared" si="115"/>
        <v>y</v>
      </c>
      <c r="JYH1" s="154" t="str">
        <f t="shared" si="115"/>
        <v>y</v>
      </c>
      <c r="JYI1" s="154" t="str">
        <f t="shared" si="115"/>
        <v>y</v>
      </c>
      <c r="JYJ1" s="154" t="str">
        <f t="shared" si="115"/>
        <v>y</v>
      </c>
      <c r="JYK1" s="154" t="str">
        <f t="shared" si="115"/>
        <v>y</v>
      </c>
      <c r="JYL1" s="154" t="str">
        <f t="shared" si="115"/>
        <v>y</v>
      </c>
      <c r="JYM1" s="154" t="str">
        <f t="shared" si="115"/>
        <v>y</v>
      </c>
      <c r="JYN1" s="154" t="str">
        <f t="shared" si="115"/>
        <v>y</v>
      </c>
      <c r="JYO1" s="154" t="str">
        <f t="shared" si="115"/>
        <v>y</v>
      </c>
      <c r="JYP1" s="154" t="str">
        <f t="shared" si="115"/>
        <v>y</v>
      </c>
      <c r="JYQ1" s="154" t="str">
        <f t="shared" si="115"/>
        <v>y</v>
      </c>
      <c r="JYR1" s="154" t="str">
        <f t="shared" ref="JYR1:KBC1" si="116">JYR2&amp;"y"</f>
        <v>y</v>
      </c>
      <c r="JYS1" s="154" t="str">
        <f t="shared" si="116"/>
        <v>y</v>
      </c>
      <c r="JYT1" s="154" t="str">
        <f t="shared" si="116"/>
        <v>y</v>
      </c>
      <c r="JYU1" s="154" t="str">
        <f t="shared" si="116"/>
        <v>y</v>
      </c>
      <c r="JYV1" s="154" t="str">
        <f t="shared" si="116"/>
        <v>y</v>
      </c>
      <c r="JYW1" s="154" t="str">
        <f t="shared" si="116"/>
        <v>y</v>
      </c>
      <c r="JYX1" s="154" t="str">
        <f t="shared" si="116"/>
        <v>y</v>
      </c>
      <c r="JYY1" s="154" t="str">
        <f t="shared" si="116"/>
        <v>y</v>
      </c>
      <c r="JYZ1" s="154" t="str">
        <f t="shared" si="116"/>
        <v>y</v>
      </c>
      <c r="JZA1" s="154" t="str">
        <f t="shared" si="116"/>
        <v>y</v>
      </c>
      <c r="JZB1" s="154" t="str">
        <f t="shared" si="116"/>
        <v>y</v>
      </c>
      <c r="JZC1" s="154" t="str">
        <f t="shared" si="116"/>
        <v>y</v>
      </c>
      <c r="JZD1" s="154" t="str">
        <f t="shared" si="116"/>
        <v>y</v>
      </c>
      <c r="JZE1" s="154" t="str">
        <f t="shared" si="116"/>
        <v>y</v>
      </c>
      <c r="JZF1" s="154" t="str">
        <f t="shared" si="116"/>
        <v>y</v>
      </c>
      <c r="JZG1" s="154" t="str">
        <f t="shared" si="116"/>
        <v>y</v>
      </c>
      <c r="JZH1" s="154" t="str">
        <f t="shared" si="116"/>
        <v>y</v>
      </c>
      <c r="JZI1" s="154" t="str">
        <f t="shared" si="116"/>
        <v>y</v>
      </c>
      <c r="JZJ1" s="154" t="str">
        <f t="shared" si="116"/>
        <v>y</v>
      </c>
      <c r="JZK1" s="154" t="str">
        <f t="shared" si="116"/>
        <v>y</v>
      </c>
      <c r="JZL1" s="154" t="str">
        <f t="shared" si="116"/>
        <v>y</v>
      </c>
      <c r="JZM1" s="154" t="str">
        <f t="shared" si="116"/>
        <v>y</v>
      </c>
      <c r="JZN1" s="154" t="str">
        <f t="shared" si="116"/>
        <v>y</v>
      </c>
      <c r="JZO1" s="154" t="str">
        <f t="shared" si="116"/>
        <v>y</v>
      </c>
      <c r="JZP1" s="154" t="str">
        <f t="shared" si="116"/>
        <v>y</v>
      </c>
      <c r="JZQ1" s="154" t="str">
        <f t="shared" si="116"/>
        <v>y</v>
      </c>
      <c r="JZR1" s="154" t="str">
        <f t="shared" si="116"/>
        <v>y</v>
      </c>
      <c r="JZS1" s="154" t="str">
        <f t="shared" si="116"/>
        <v>y</v>
      </c>
      <c r="JZT1" s="154" t="str">
        <f t="shared" si="116"/>
        <v>y</v>
      </c>
      <c r="JZU1" s="154" t="str">
        <f t="shared" si="116"/>
        <v>y</v>
      </c>
      <c r="JZV1" s="154" t="str">
        <f t="shared" si="116"/>
        <v>y</v>
      </c>
      <c r="JZW1" s="154" t="str">
        <f t="shared" si="116"/>
        <v>y</v>
      </c>
      <c r="JZX1" s="154" t="str">
        <f t="shared" si="116"/>
        <v>y</v>
      </c>
      <c r="JZY1" s="154" t="str">
        <f t="shared" si="116"/>
        <v>y</v>
      </c>
      <c r="JZZ1" s="154" t="str">
        <f t="shared" si="116"/>
        <v>y</v>
      </c>
      <c r="KAA1" s="154" t="str">
        <f t="shared" si="116"/>
        <v>y</v>
      </c>
      <c r="KAB1" s="154" t="str">
        <f t="shared" si="116"/>
        <v>y</v>
      </c>
      <c r="KAC1" s="154" t="str">
        <f t="shared" si="116"/>
        <v>y</v>
      </c>
      <c r="KAD1" s="154" t="str">
        <f t="shared" si="116"/>
        <v>y</v>
      </c>
      <c r="KAE1" s="154" t="str">
        <f t="shared" si="116"/>
        <v>y</v>
      </c>
      <c r="KAF1" s="154" t="str">
        <f t="shared" si="116"/>
        <v>y</v>
      </c>
      <c r="KAG1" s="154" t="str">
        <f t="shared" si="116"/>
        <v>y</v>
      </c>
      <c r="KAH1" s="154" t="str">
        <f t="shared" si="116"/>
        <v>y</v>
      </c>
      <c r="KAI1" s="154" t="str">
        <f t="shared" si="116"/>
        <v>y</v>
      </c>
      <c r="KAJ1" s="154" t="str">
        <f t="shared" si="116"/>
        <v>y</v>
      </c>
      <c r="KAK1" s="154" t="str">
        <f t="shared" si="116"/>
        <v>y</v>
      </c>
      <c r="KAL1" s="154" t="str">
        <f t="shared" si="116"/>
        <v>y</v>
      </c>
      <c r="KAM1" s="154" t="str">
        <f t="shared" si="116"/>
        <v>y</v>
      </c>
      <c r="KAN1" s="154" t="str">
        <f t="shared" si="116"/>
        <v>y</v>
      </c>
      <c r="KAO1" s="154" t="str">
        <f t="shared" si="116"/>
        <v>y</v>
      </c>
      <c r="KAP1" s="154" t="str">
        <f t="shared" si="116"/>
        <v>y</v>
      </c>
      <c r="KAQ1" s="154" t="str">
        <f t="shared" si="116"/>
        <v>y</v>
      </c>
      <c r="KAR1" s="154" t="str">
        <f t="shared" si="116"/>
        <v>y</v>
      </c>
      <c r="KAS1" s="154" t="str">
        <f t="shared" si="116"/>
        <v>y</v>
      </c>
      <c r="KAT1" s="154" t="str">
        <f t="shared" si="116"/>
        <v>y</v>
      </c>
      <c r="KAU1" s="154" t="str">
        <f t="shared" si="116"/>
        <v>y</v>
      </c>
      <c r="KAV1" s="154" t="str">
        <f t="shared" si="116"/>
        <v>y</v>
      </c>
      <c r="KAW1" s="154" t="str">
        <f t="shared" si="116"/>
        <v>y</v>
      </c>
      <c r="KAX1" s="154" t="str">
        <f t="shared" si="116"/>
        <v>y</v>
      </c>
      <c r="KAY1" s="154" t="str">
        <f t="shared" si="116"/>
        <v>y</v>
      </c>
      <c r="KAZ1" s="154" t="str">
        <f t="shared" si="116"/>
        <v>y</v>
      </c>
      <c r="KBA1" s="154" t="str">
        <f t="shared" si="116"/>
        <v>y</v>
      </c>
      <c r="KBB1" s="154" t="str">
        <f t="shared" si="116"/>
        <v>y</v>
      </c>
      <c r="KBC1" s="154" t="str">
        <f t="shared" si="116"/>
        <v>y</v>
      </c>
      <c r="KBD1" s="154" t="str">
        <f t="shared" ref="KBD1:KDO1" si="117">KBD2&amp;"y"</f>
        <v>y</v>
      </c>
      <c r="KBE1" s="154" t="str">
        <f t="shared" si="117"/>
        <v>y</v>
      </c>
      <c r="KBF1" s="154" t="str">
        <f t="shared" si="117"/>
        <v>y</v>
      </c>
      <c r="KBG1" s="154" t="str">
        <f t="shared" si="117"/>
        <v>y</v>
      </c>
      <c r="KBH1" s="154" t="str">
        <f t="shared" si="117"/>
        <v>y</v>
      </c>
      <c r="KBI1" s="154" t="str">
        <f t="shared" si="117"/>
        <v>y</v>
      </c>
      <c r="KBJ1" s="154" t="str">
        <f t="shared" si="117"/>
        <v>y</v>
      </c>
      <c r="KBK1" s="154" t="str">
        <f t="shared" si="117"/>
        <v>y</v>
      </c>
      <c r="KBL1" s="154" t="str">
        <f t="shared" si="117"/>
        <v>y</v>
      </c>
      <c r="KBM1" s="154" t="str">
        <f t="shared" si="117"/>
        <v>y</v>
      </c>
      <c r="KBN1" s="154" t="str">
        <f t="shared" si="117"/>
        <v>y</v>
      </c>
      <c r="KBO1" s="154" t="str">
        <f t="shared" si="117"/>
        <v>y</v>
      </c>
      <c r="KBP1" s="154" t="str">
        <f t="shared" si="117"/>
        <v>y</v>
      </c>
      <c r="KBQ1" s="154" t="str">
        <f t="shared" si="117"/>
        <v>y</v>
      </c>
      <c r="KBR1" s="154" t="str">
        <f t="shared" si="117"/>
        <v>y</v>
      </c>
      <c r="KBS1" s="154" t="str">
        <f t="shared" si="117"/>
        <v>y</v>
      </c>
      <c r="KBT1" s="154" t="str">
        <f t="shared" si="117"/>
        <v>y</v>
      </c>
      <c r="KBU1" s="154" t="str">
        <f t="shared" si="117"/>
        <v>y</v>
      </c>
      <c r="KBV1" s="154" t="str">
        <f t="shared" si="117"/>
        <v>y</v>
      </c>
      <c r="KBW1" s="154" t="str">
        <f t="shared" si="117"/>
        <v>y</v>
      </c>
      <c r="KBX1" s="154" t="str">
        <f t="shared" si="117"/>
        <v>y</v>
      </c>
      <c r="KBY1" s="154" t="str">
        <f t="shared" si="117"/>
        <v>y</v>
      </c>
      <c r="KBZ1" s="154" t="str">
        <f t="shared" si="117"/>
        <v>y</v>
      </c>
      <c r="KCA1" s="154" t="str">
        <f t="shared" si="117"/>
        <v>y</v>
      </c>
      <c r="KCB1" s="154" t="str">
        <f t="shared" si="117"/>
        <v>y</v>
      </c>
      <c r="KCC1" s="154" t="str">
        <f t="shared" si="117"/>
        <v>y</v>
      </c>
      <c r="KCD1" s="154" t="str">
        <f t="shared" si="117"/>
        <v>y</v>
      </c>
      <c r="KCE1" s="154" t="str">
        <f t="shared" si="117"/>
        <v>y</v>
      </c>
      <c r="KCF1" s="154" t="str">
        <f t="shared" si="117"/>
        <v>y</v>
      </c>
      <c r="KCG1" s="154" t="str">
        <f t="shared" si="117"/>
        <v>y</v>
      </c>
      <c r="KCH1" s="154" t="str">
        <f t="shared" si="117"/>
        <v>y</v>
      </c>
      <c r="KCI1" s="154" t="str">
        <f t="shared" si="117"/>
        <v>y</v>
      </c>
      <c r="KCJ1" s="154" t="str">
        <f t="shared" si="117"/>
        <v>y</v>
      </c>
      <c r="KCK1" s="154" t="str">
        <f t="shared" si="117"/>
        <v>y</v>
      </c>
      <c r="KCL1" s="154" t="str">
        <f t="shared" si="117"/>
        <v>y</v>
      </c>
      <c r="KCM1" s="154" t="str">
        <f t="shared" si="117"/>
        <v>y</v>
      </c>
      <c r="KCN1" s="154" t="str">
        <f t="shared" si="117"/>
        <v>y</v>
      </c>
      <c r="KCO1" s="154" t="str">
        <f t="shared" si="117"/>
        <v>y</v>
      </c>
      <c r="KCP1" s="154" t="str">
        <f t="shared" si="117"/>
        <v>y</v>
      </c>
      <c r="KCQ1" s="154" t="str">
        <f t="shared" si="117"/>
        <v>y</v>
      </c>
      <c r="KCR1" s="154" t="str">
        <f t="shared" si="117"/>
        <v>y</v>
      </c>
      <c r="KCS1" s="154" t="str">
        <f t="shared" si="117"/>
        <v>y</v>
      </c>
      <c r="KCT1" s="154" t="str">
        <f t="shared" si="117"/>
        <v>y</v>
      </c>
      <c r="KCU1" s="154" t="str">
        <f t="shared" si="117"/>
        <v>y</v>
      </c>
      <c r="KCV1" s="154" t="str">
        <f t="shared" si="117"/>
        <v>y</v>
      </c>
      <c r="KCW1" s="154" t="str">
        <f t="shared" si="117"/>
        <v>y</v>
      </c>
      <c r="KCX1" s="154" t="str">
        <f t="shared" si="117"/>
        <v>y</v>
      </c>
      <c r="KCY1" s="154" t="str">
        <f t="shared" si="117"/>
        <v>y</v>
      </c>
      <c r="KCZ1" s="154" t="str">
        <f t="shared" si="117"/>
        <v>y</v>
      </c>
      <c r="KDA1" s="154" t="str">
        <f t="shared" si="117"/>
        <v>y</v>
      </c>
      <c r="KDB1" s="154" t="str">
        <f t="shared" si="117"/>
        <v>y</v>
      </c>
      <c r="KDC1" s="154" t="str">
        <f t="shared" si="117"/>
        <v>y</v>
      </c>
      <c r="KDD1" s="154" t="str">
        <f t="shared" si="117"/>
        <v>y</v>
      </c>
      <c r="KDE1" s="154" t="str">
        <f t="shared" si="117"/>
        <v>y</v>
      </c>
      <c r="KDF1" s="154" t="str">
        <f t="shared" si="117"/>
        <v>y</v>
      </c>
      <c r="KDG1" s="154" t="str">
        <f t="shared" si="117"/>
        <v>y</v>
      </c>
      <c r="KDH1" s="154" t="str">
        <f t="shared" si="117"/>
        <v>y</v>
      </c>
      <c r="KDI1" s="154" t="str">
        <f t="shared" si="117"/>
        <v>y</v>
      </c>
      <c r="KDJ1" s="154" t="str">
        <f t="shared" si="117"/>
        <v>y</v>
      </c>
      <c r="KDK1" s="154" t="str">
        <f t="shared" si="117"/>
        <v>y</v>
      </c>
      <c r="KDL1" s="154" t="str">
        <f t="shared" si="117"/>
        <v>y</v>
      </c>
      <c r="KDM1" s="154" t="str">
        <f t="shared" si="117"/>
        <v>y</v>
      </c>
      <c r="KDN1" s="154" t="str">
        <f t="shared" si="117"/>
        <v>y</v>
      </c>
      <c r="KDO1" s="154" t="str">
        <f t="shared" si="117"/>
        <v>y</v>
      </c>
      <c r="KDP1" s="154" t="str">
        <f t="shared" ref="KDP1:KGA1" si="118">KDP2&amp;"y"</f>
        <v>y</v>
      </c>
      <c r="KDQ1" s="154" t="str">
        <f t="shared" si="118"/>
        <v>y</v>
      </c>
      <c r="KDR1" s="154" t="str">
        <f t="shared" si="118"/>
        <v>y</v>
      </c>
      <c r="KDS1" s="154" t="str">
        <f t="shared" si="118"/>
        <v>y</v>
      </c>
      <c r="KDT1" s="154" t="str">
        <f t="shared" si="118"/>
        <v>y</v>
      </c>
      <c r="KDU1" s="154" t="str">
        <f t="shared" si="118"/>
        <v>y</v>
      </c>
      <c r="KDV1" s="154" t="str">
        <f t="shared" si="118"/>
        <v>y</v>
      </c>
      <c r="KDW1" s="154" t="str">
        <f t="shared" si="118"/>
        <v>y</v>
      </c>
      <c r="KDX1" s="154" t="str">
        <f t="shared" si="118"/>
        <v>y</v>
      </c>
      <c r="KDY1" s="154" t="str">
        <f t="shared" si="118"/>
        <v>y</v>
      </c>
      <c r="KDZ1" s="154" t="str">
        <f t="shared" si="118"/>
        <v>y</v>
      </c>
      <c r="KEA1" s="154" t="str">
        <f t="shared" si="118"/>
        <v>y</v>
      </c>
      <c r="KEB1" s="154" t="str">
        <f t="shared" si="118"/>
        <v>y</v>
      </c>
      <c r="KEC1" s="154" t="str">
        <f t="shared" si="118"/>
        <v>y</v>
      </c>
      <c r="KED1" s="154" t="str">
        <f t="shared" si="118"/>
        <v>y</v>
      </c>
      <c r="KEE1" s="154" t="str">
        <f t="shared" si="118"/>
        <v>y</v>
      </c>
      <c r="KEF1" s="154" t="str">
        <f t="shared" si="118"/>
        <v>y</v>
      </c>
      <c r="KEG1" s="154" t="str">
        <f t="shared" si="118"/>
        <v>y</v>
      </c>
      <c r="KEH1" s="154" t="str">
        <f t="shared" si="118"/>
        <v>y</v>
      </c>
      <c r="KEI1" s="154" t="str">
        <f t="shared" si="118"/>
        <v>y</v>
      </c>
      <c r="KEJ1" s="154" t="str">
        <f t="shared" si="118"/>
        <v>y</v>
      </c>
      <c r="KEK1" s="154" t="str">
        <f t="shared" si="118"/>
        <v>y</v>
      </c>
      <c r="KEL1" s="154" t="str">
        <f t="shared" si="118"/>
        <v>y</v>
      </c>
      <c r="KEM1" s="154" t="str">
        <f t="shared" si="118"/>
        <v>y</v>
      </c>
      <c r="KEN1" s="154" t="str">
        <f t="shared" si="118"/>
        <v>y</v>
      </c>
      <c r="KEO1" s="154" t="str">
        <f t="shared" si="118"/>
        <v>y</v>
      </c>
      <c r="KEP1" s="154" t="str">
        <f t="shared" si="118"/>
        <v>y</v>
      </c>
      <c r="KEQ1" s="154" t="str">
        <f t="shared" si="118"/>
        <v>y</v>
      </c>
      <c r="KER1" s="154" t="str">
        <f t="shared" si="118"/>
        <v>y</v>
      </c>
      <c r="KES1" s="154" t="str">
        <f t="shared" si="118"/>
        <v>y</v>
      </c>
      <c r="KET1" s="154" t="str">
        <f t="shared" si="118"/>
        <v>y</v>
      </c>
      <c r="KEU1" s="154" t="str">
        <f t="shared" si="118"/>
        <v>y</v>
      </c>
      <c r="KEV1" s="154" t="str">
        <f t="shared" si="118"/>
        <v>y</v>
      </c>
      <c r="KEW1" s="154" t="str">
        <f t="shared" si="118"/>
        <v>y</v>
      </c>
      <c r="KEX1" s="154" t="str">
        <f t="shared" si="118"/>
        <v>y</v>
      </c>
      <c r="KEY1" s="154" t="str">
        <f t="shared" si="118"/>
        <v>y</v>
      </c>
      <c r="KEZ1" s="154" t="str">
        <f t="shared" si="118"/>
        <v>y</v>
      </c>
      <c r="KFA1" s="154" t="str">
        <f t="shared" si="118"/>
        <v>y</v>
      </c>
      <c r="KFB1" s="154" t="str">
        <f t="shared" si="118"/>
        <v>y</v>
      </c>
      <c r="KFC1" s="154" t="str">
        <f t="shared" si="118"/>
        <v>y</v>
      </c>
      <c r="KFD1" s="154" t="str">
        <f t="shared" si="118"/>
        <v>y</v>
      </c>
      <c r="KFE1" s="154" t="str">
        <f t="shared" si="118"/>
        <v>y</v>
      </c>
      <c r="KFF1" s="154" t="str">
        <f t="shared" si="118"/>
        <v>y</v>
      </c>
      <c r="KFG1" s="154" t="str">
        <f t="shared" si="118"/>
        <v>y</v>
      </c>
      <c r="KFH1" s="154" t="str">
        <f t="shared" si="118"/>
        <v>y</v>
      </c>
      <c r="KFI1" s="154" t="str">
        <f t="shared" si="118"/>
        <v>y</v>
      </c>
      <c r="KFJ1" s="154" t="str">
        <f t="shared" si="118"/>
        <v>y</v>
      </c>
      <c r="KFK1" s="154" t="str">
        <f t="shared" si="118"/>
        <v>y</v>
      </c>
      <c r="KFL1" s="154" t="str">
        <f t="shared" si="118"/>
        <v>y</v>
      </c>
      <c r="KFM1" s="154" t="str">
        <f t="shared" si="118"/>
        <v>y</v>
      </c>
      <c r="KFN1" s="154" t="str">
        <f t="shared" si="118"/>
        <v>y</v>
      </c>
      <c r="KFO1" s="154" t="str">
        <f t="shared" si="118"/>
        <v>y</v>
      </c>
      <c r="KFP1" s="154" t="str">
        <f t="shared" si="118"/>
        <v>y</v>
      </c>
      <c r="KFQ1" s="154" t="str">
        <f t="shared" si="118"/>
        <v>y</v>
      </c>
      <c r="KFR1" s="154" t="str">
        <f t="shared" si="118"/>
        <v>y</v>
      </c>
      <c r="KFS1" s="154" t="str">
        <f t="shared" si="118"/>
        <v>y</v>
      </c>
      <c r="KFT1" s="154" t="str">
        <f t="shared" si="118"/>
        <v>y</v>
      </c>
      <c r="KFU1" s="154" t="str">
        <f t="shared" si="118"/>
        <v>y</v>
      </c>
      <c r="KFV1" s="154" t="str">
        <f t="shared" si="118"/>
        <v>y</v>
      </c>
      <c r="KFW1" s="154" t="str">
        <f t="shared" si="118"/>
        <v>y</v>
      </c>
      <c r="KFX1" s="154" t="str">
        <f t="shared" si="118"/>
        <v>y</v>
      </c>
      <c r="KFY1" s="154" t="str">
        <f t="shared" si="118"/>
        <v>y</v>
      </c>
      <c r="KFZ1" s="154" t="str">
        <f t="shared" si="118"/>
        <v>y</v>
      </c>
      <c r="KGA1" s="154" t="str">
        <f t="shared" si="118"/>
        <v>y</v>
      </c>
      <c r="KGB1" s="154" t="str">
        <f t="shared" ref="KGB1:KIM1" si="119">KGB2&amp;"y"</f>
        <v>y</v>
      </c>
      <c r="KGC1" s="154" t="str">
        <f t="shared" si="119"/>
        <v>y</v>
      </c>
      <c r="KGD1" s="154" t="str">
        <f t="shared" si="119"/>
        <v>y</v>
      </c>
      <c r="KGE1" s="154" t="str">
        <f t="shared" si="119"/>
        <v>y</v>
      </c>
      <c r="KGF1" s="154" t="str">
        <f t="shared" si="119"/>
        <v>y</v>
      </c>
      <c r="KGG1" s="154" t="str">
        <f t="shared" si="119"/>
        <v>y</v>
      </c>
      <c r="KGH1" s="154" t="str">
        <f t="shared" si="119"/>
        <v>y</v>
      </c>
      <c r="KGI1" s="154" t="str">
        <f t="shared" si="119"/>
        <v>y</v>
      </c>
      <c r="KGJ1" s="154" t="str">
        <f t="shared" si="119"/>
        <v>y</v>
      </c>
      <c r="KGK1" s="154" t="str">
        <f t="shared" si="119"/>
        <v>y</v>
      </c>
      <c r="KGL1" s="154" t="str">
        <f t="shared" si="119"/>
        <v>y</v>
      </c>
      <c r="KGM1" s="154" t="str">
        <f t="shared" si="119"/>
        <v>y</v>
      </c>
      <c r="KGN1" s="154" t="str">
        <f t="shared" si="119"/>
        <v>y</v>
      </c>
      <c r="KGO1" s="154" t="str">
        <f t="shared" si="119"/>
        <v>y</v>
      </c>
      <c r="KGP1" s="154" t="str">
        <f t="shared" si="119"/>
        <v>y</v>
      </c>
      <c r="KGQ1" s="154" t="str">
        <f t="shared" si="119"/>
        <v>y</v>
      </c>
      <c r="KGR1" s="154" t="str">
        <f t="shared" si="119"/>
        <v>y</v>
      </c>
      <c r="KGS1" s="154" t="str">
        <f t="shared" si="119"/>
        <v>y</v>
      </c>
      <c r="KGT1" s="154" t="str">
        <f t="shared" si="119"/>
        <v>y</v>
      </c>
      <c r="KGU1" s="154" t="str">
        <f t="shared" si="119"/>
        <v>y</v>
      </c>
      <c r="KGV1" s="154" t="str">
        <f t="shared" si="119"/>
        <v>y</v>
      </c>
      <c r="KGW1" s="154" t="str">
        <f t="shared" si="119"/>
        <v>y</v>
      </c>
      <c r="KGX1" s="154" t="str">
        <f t="shared" si="119"/>
        <v>y</v>
      </c>
      <c r="KGY1" s="154" t="str">
        <f t="shared" si="119"/>
        <v>y</v>
      </c>
      <c r="KGZ1" s="154" t="str">
        <f t="shared" si="119"/>
        <v>y</v>
      </c>
      <c r="KHA1" s="154" t="str">
        <f t="shared" si="119"/>
        <v>y</v>
      </c>
      <c r="KHB1" s="154" t="str">
        <f t="shared" si="119"/>
        <v>y</v>
      </c>
      <c r="KHC1" s="154" t="str">
        <f t="shared" si="119"/>
        <v>y</v>
      </c>
      <c r="KHD1" s="154" t="str">
        <f t="shared" si="119"/>
        <v>y</v>
      </c>
      <c r="KHE1" s="154" t="str">
        <f t="shared" si="119"/>
        <v>y</v>
      </c>
      <c r="KHF1" s="154" t="str">
        <f t="shared" si="119"/>
        <v>y</v>
      </c>
      <c r="KHG1" s="154" t="str">
        <f t="shared" si="119"/>
        <v>y</v>
      </c>
      <c r="KHH1" s="154" t="str">
        <f t="shared" si="119"/>
        <v>y</v>
      </c>
      <c r="KHI1" s="154" t="str">
        <f t="shared" si="119"/>
        <v>y</v>
      </c>
      <c r="KHJ1" s="154" t="str">
        <f t="shared" si="119"/>
        <v>y</v>
      </c>
      <c r="KHK1" s="154" t="str">
        <f t="shared" si="119"/>
        <v>y</v>
      </c>
      <c r="KHL1" s="154" t="str">
        <f t="shared" si="119"/>
        <v>y</v>
      </c>
      <c r="KHM1" s="154" t="str">
        <f t="shared" si="119"/>
        <v>y</v>
      </c>
      <c r="KHN1" s="154" t="str">
        <f t="shared" si="119"/>
        <v>y</v>
      </c>
      <c r="KHO1" s="154" t="str">
        <f t="shared" si="119"/>
        <v>y</v>
      </c>
      <c r="KHP1" s="154" t="str">
        <f t="shared" si="119"/>
        <v>y</v>
      </c>
      <c r="KHQ1" s="154" t="str">
        <f t="shared" si="119"/>
        <v>y</v>
      </c>
      <c r="KHR1" s="154" t="str">
        <f t="shared" si="119"/>
        <v>y</v>
      </c>
      <c r="KHS1" s="154" t="str">
        <f t="shared" si="119"/>
        <v>y</v>
      </c>
      <c r="KHT1" s="154" t="str">
        <f t="shared" si="119"/>
        <v>y</v>
      </c>
      <c r="KHU1" s="154" t="str">
        <f t="shared" si="119"/>
        <v>y</v>
      </c>
      <c r="KHV1" s="154" t="str">
        <f t="shared" si="119"/>
        <v>y</v>
      </c>
      <c r="KHW1" s="154" t="str">
        <f t="shared" si="119"/>
        <v>y</v>
      </c>
      <c r="KHX1" s="154" t="str">
        <f t="shared" si="119"/>
        <v>y</v>
      </c>
      <c r="KHY1" s="154" t="str">
        <f t="shared" si="119"/>
        <v>y</v>
      </c>
      <c r="KHZ1" s="154" t="str">
        <f t="shared" si="119"/>
        <v>y</v>
      </c>
      <c r="KIA1" s="154" t="str">
        <f t="shared" si="119"/>
        <v>y</v>
      </c>
      <c r="KIB1" s="154" t="str">
        <f t="shared" si="119"/>
        <v>y</v>
      </c>
      <c r="KIC1" s="154" t="str">
        <f t="shared" si="119"/>
        <v>y</v>
      </c>
      <c r="KID1" s="154" t="str">
        <f t="shared" si="119"/>
        <v>y</v>
      </c>
      <c r="KIE1" s="154" t="str">
        <f t="shared" si="119"/>
        <v>y</v>
      </c>
      <c r="KIF1" s="154" t="str">
        <f t="shared" si="119"/>
        <v>y</v>
      </c>
      <c r="KIG1" s="154" t="str">
        <f t="shared" si="119"/>
        <v>y</v>
      </c>
      <c r="KIH1" s="154" t="str">
        <f t="shared" si="119"/>
        <v>y</v>
      </c>
      <c r="KII1" s="154" t="str">
        <f t="shared" si="119"/>
        <v>y</v>
      </c>
      <c r="KIJ1" s="154" t="str">
        <f t="shared" si="119"/>
        <v>y</v>
      </c>
      <c r="KIK1" s="154" t="str">
        <f t="shared" si="119"/>
        <v>y</v>
      </c>
      <c r="KIL1" s="154" t="str">
        <f t="shared" si="119"/>
        <v>y</v>
      </c>
      <c r="KIM1" s="154" t="str">
        <f t="shared" si="119"/>
        <v>y</v>
      </c>
      <c r="KIN1" s="154" t="str">
        <f t="shared" ref="KIN1:KKY1" si="120">KIN2&amp;"y"</f>
        <v>y</v>
      </c>
      <c r="KIO1" s="154" t="str">
        <f t="shared" si="120"/>
        <v>y</v>
      </c>
      <c r="KIP1" s="154" t="str">
        <f t="shared" si="120"/>
        <v>y</v>
      </c>
      <c r="KIQ1" s="154" t="str">
        <f t="shared" si="120"/>
        <v>y</v>
      </c>
      <c r="KIR1" s="154" t="str">
        <f t="shared" si="120"/>
        <v>y</v>
      </c>
      <c r="KIS1" s="154" t="str">
        <f t="shared" si="120"/>
        <v>y</v>
      </c>
      <c r="KIT1" s="154" t="str">
        <f t="shared" si="120"/>
        <v>y</v>
      </c>
      <c r="KIU1" s="154" t="str">
        <f t="shared" si="120"/>
        <v>y</v>
      </c>
      <c r="KIV1" s="154" t="str">
        <f t="shared" si="120"/>
        <v>y</v>
      </c>
      <c r="KIW1" s="154" t="str">
        <f t="shared" si="120"/>
        <v>y</v>
      </c>
      <c r="KIX1" s="154" t="str">
        <f t="shared" si="120"/>
        <v>y</v>
      </c>
      <c r="KIY1" s="154" t="str">
        <f t="shared" si="120"/>
        <v>y</v>
      </c>
      <c r="KIZ1" s="154" t="str">
        <f t="shared" si="120"/>
        <v>y</v>
      </c>
      <c r="KJA1" s="154" t="str">
        <f t="shared" si="120"/>
        <v>y</v>
      </c>
      <c r="KJB1" s="154" t="str">
        <f t="shared" si="120"/>
        <v>y</v>
      </c>
      <c r="KJC1" s="154" t="str">
        <f t="shared" si="120"/>
        <v>y</v>
      </c>
      <c r="KJD1" s="154" t="str">
        <f t="shared" si="120"/>
        <v>y</v>
      </c>
      <c r="KJE1" s="154" t="str">
        <f t="shared" si="120"/>
        <v>y</v>
      </c>
      <c r="KJF1" s="154" t="str">
        <f t="shared" si="120"/>
        <v>y</v>
      </c>
      <c r="KJG1" s="154" t="str">
        <f t="shared" si="120"/>
        <v>y</v>
      </c>
      <c r="KJH1" s="154" t="str">
        <f t="shared" si="120"/>
        <v>y</v>
      </c>
      <c r="KJI1" s="154" t="str">
        <f t="shared" si="120"/>
        <v>y</v>
      </c>
      <c r="KJJ1" s="154" t="str">
        <f t="shared" si="120"/>
        <v>y</v>
      </c>
      <c r="KJK1" s="154" t="str">
        <f t="shared" si="120"/>
        <v>y</v>
      </c>
      <c r="KJL1" s="154" t="str">
        <f t="shared" si="120"/>
        <v>y</v>
      </c>
      <c r="KJM1" s="154" t="str">
        <f t="shared" si="120"/>
        <v>y</v>
      </c>
      <c r="KJN1" s="154" t="str">
        <f t="shared" si="120"/>
        <v>y</v>
      </c>
      <c r="KJO1" s="154" t="str">
        <f t="shared" si="120"/>
        <v>y</v>
      </c>
      <c r="KJP1" s="154" t="str">
        <f t="shared" si="120"/>
        <v>y</v>
      </c>
      <c r="KJQ1" s="154" t="str">
        <f t="shared" si="120"/>
        <v>y</v>
      </c>
      <c r="KJR1" s="154" t="str">
        <f t="shared" si="120"/>
        <v>y</v>
      </c>
      <c r="KJS1" s="154" t="str">
        <f t="shared" si="120"/>
        <v>y</v>
      </c>
      <c r="KJT1" s="154" t="str">
        <f t="shared" si="120"/>
        <v>y</v>
      </c>
      <c r="KJU1" s="154" t="str">
        <f t="shared" si="120"/>
        <v>y</v>
      </c>
      <c r="KJV1" s="154" t="str">
        <f t="shared" si="120"/>
        <v>y</v>
      </c>
      <c r="KJW1" s="154" t="str">
        <f t="shared" si="120"/>
        <v>y</v>
      </c>
      <c r="KJX1" s="154" t="str">
        <f t="shared" si="120"/>
        <v>y</v>
      </c>
      <c r="KJY1" s="154" t="str">
        <f t="shared" si="120"/>
        <v>y</v>
      </c>
      <c r="KJZ1" s="154" t="str">
        <f t="shared" si="120"/>
        <v>y</v>
      </c>
      <c r="KKA1" s="154" t="str">
        <f t="shared" si="120"/>
        <v>y</v>
      </c>
      <c r="KKB1" s="154" t="str">
        <f t="shared" si="120"/>
        <v>y</v>
      </c>
      <c r="KKC1" s="154" t="str">
        <f t="shared" si="120"/>
        <v>y</v>
      </c>
      <c r="KKD1" s="154" t="str">
        <f t="shared" si="120"/>
        <v>y</v>
      </c>
      <c r="KKE1" s="154" t="str">
        <f t="shared" si="120"/>
        <v>y</v>
      </c>
      <c r="KKF1" s="154" t="str">
        <f t="shared" si="120"/>
        <v>y</v>
      </c>
      <c r="KKG1" s="154" t="str">
        <f t="shared" si="120"/>
        <v>y</v>
      </c>
      <c r="KKH1" s="154" t="str">
        <f t="shared" si="120"/>
        <v>y</v>
      </c>
      <c r="KKI1" s="154" t="str">
        <f t="shared" si="120"/>
        <v>y</v>
      </c>
      <c r="KKJ1" s="154" t="str">
        <f t="shared" si="120"/>
        <v>y</v>
      </c>
      <c r="KKK1" s="154" t="str">
        <f t="shared" si="120"/>
        <v>y</v>
      </c>
      <c r="KKL1" s="154" t="str">
        <f t="shared" si="120"/>
        <v>y</v>
      </c>
      <c r="KKM1" s="154" t="str">
        <f t="shared" si="120"/>
        <v>y</v>
      </c>
      <c r="KKN1" s="154" t="str">
        <f t="shared" si="120"/>
        <v>y</v>
      </c>
      <c r="KKO1" s="154" t="str">
        <f t="shared" si="120"/>
        <v>y</v>
      </c>
      <c r="KKP1" s="154" t="str">
        <f t="shared" si="120"/>
        <v>y</v>
      </c>
      <c r="KKQ1" s="154" t="str">
        <f t="shared" si="120"/>
        <v>y</v>
      </c>
      <c r="KKR1" s="154" t="str">
        <f t="shared" si="120"/>
        <v>y</v>
      </c>
      <c r="KKS1" s="154" t="str">
        <f t="shared" si="120"/>
        <v>y</v>
      </c>
      <c r="KKT1" s="154" t="str">
        <f t="shared" si="120"/>
        <v>y</v>
      </c>
      <c r="KKU1" s="154" t="str">
        <f t="shared" si="120"/>
        <v>y</v>
      </c>
      <c r="KKV1" s="154" t="str">
        <f t="shared" si="120"/>
        <v>y</v>
      </c>
      <c r="KKW1" s="154" t="str">
        <f t="shared" si="120"/>
        <v>y</v>
      </c>
      <c r="KKX1" s="154" t="str">
        <f t="shared" si="120"/>
        <v>y</v>
      </c>
      <c r="KKY1" s="154" t="str">
        <f t="shared" si="120"/>
        <v>y</v>
      </c>
      <c r="KKZ1" s="154" t="str">
        <f t="shared" ref="KKZ1:KNK1" si="121">KKZ2&amp;"y"</f>
        <v>y</v>
      </c>
      <c r="KLA1" s="154" t="str">
        <f t="shared" si="121"/>
        <v>y</v>
      </c>
      <c r="KLB1" s="154" t="str">
        <f t="shared" si="121"/>
        <v>y</v>
      </c>
      <c r="KLC1" s="154" t="str">
        <f t="shared" si="121"/>
        <v>y</v>
      </c>
      <c r="KLD1" s="154" t="str">
        <f t="shared" si="121"/>
        <v>y</v>
      </c>
      <c r="KLE1" s="154" t="str">
        <f t="shared" si="121"/>
        <v>y</v>
      </c>
      <c r="KLF1" s="154" t="str">
        <f t="shared" si="121"/>
        <v>y</v>
      </c>
      <c r="KLG1" s="154" t="str">
        <f t="shared" si="121"/>
        <v>y</v>
      </c>
      <c r="KLH1" s="154" t="str">
        <f t="shared" si="121"/>
        <v>y</v>
      </c>
      <c r="KLI1" s="154" t="str">
        <f t="shared" si="121"/>
        <v>y</v>
      </c>
      <c r="KLJ1" s="154" t="str">
        <f t="shared" si="121"/>
        <v>y</v>
      </c>
      <c r="KLK1" s="154" t="str">
        <f t="shared" si="121"/>
        <v>y</v>
      </c>
      <c r="KLL1" s="154" t="str">
        <f t="shared" si="121"/>
        <v>y</v>
      </c>
      <c r="KLM1" s="154" t="str">
        <f t="shared" si="121"/>
        <v>y</v>
      </c>
      <c r="KLN1" s="154" t="str">
        <f t="shared" si="121"/>
        <v>y</v>
      </c>
      <c r="KLO1" s="154" t="str">
        <f t="shared" si="121"/>
        <v>y</v>
      </c>
      <c r="KLP1" s="154" t="str">
        <f t="shared" si="121"/>
        <v>y</v>
      </c>
      <c r="KLQ1" s="154" t="str">
        <f t="shared" si="121"/>
        <v>y</v>
      </c>
      <c r="KLR1" s="154" t="str">
        <f t="shared" si="121"/>
        <v>y</v>
      </c>
      <c r="KLS1" s="154" t="str">
        <f t="shared" si="121"/>
        <v>y</v>
      </c>
      <c r="KLT1" s="154" t="str">
        <f t="shared" si="121"/>
        <v>y</v>
      </c>
      <c r="KLU1" s="154" t="str">
        <f t="shared" si="121"/>
        <v>y</v>
      </c>
      <c r="KLV1" s="154" t="str">
        <f t="shared" si="121"/>
        <v>y</v>
      </c>
      <c r="KLW1" s="154" t="str">
        <f t="shared" si="121"/>
        <v>y</v>
      </c>
      <c r="KLX1" s="154" t="str">
        <f t="shared" si="121"/>
        <v>y</v>
      </c>
      <c r="KLY1" s="154" t="str">
        <f t="shared" si="121"/>
        <v>y</v>
      </c>
      <c r="KLZ1" s="154" t="str">
        <f t="shared" si="121"/>
        <v>y</v>
      </c>
      <c r="KMA1" s="154" t="str">
        <f t="shared" si="121"/>
        <v>y</v>
      </c>
      <c r="KMB1" s="154" t="str">
        <f t="shared" si="121"/>
        <v>y</v>
      </c>
      <c r="KMC1" s="154" t="str">
        <f t="shared" si="121"/>
        <v>y</v>
      </c>
      <c r="KMD1" s="154" t="str">
        <f t="shared" si="121"/>
        <v>y</v>
      </c>
      <c r="KME1" s="154" t="str">
        <f t="shared" si="121"/>
        <v>y</v>
      </c>
      <c r="KMF1" s="154" t="str">
        <f t="shared" si="121"/>
        <v>y</v>
      </c>
      <c r="KMG1" s="154" t="str">
        <f t="shared" si="121"/>
        <v>y</v>
      </c>
      <c r="KMH1" s="154" t="str">
        <f t="shared" si="121"/>
        <v>y</v>
      </c>
      <c r="KMI1" s="154" t="str">
        <f t="shared" si="121"/>
        <v>y</v>
      </c>
      <c r="KMJ1" s="154" t="str">
        <f t="shared" si="121"/>
        <v>y</v>
      </c>
      <c r="KMK1" s="154" t="str">
        <f t="shared" si="121"/>
        <v>y</v>
      </c>
      <c r="KML1" s="154" t="str">
        <f t="shared" si="121"/>
        <v>y</v>
      </c>
      <c r="KMM1" s="154" t="str">
        <f t="shared" si="121"/>
        <v>y</v>
      </c>
      <c r="KMN1" s="154" t="str">
        <f t="shared" si="121"/>
        <v>y</v>
      </c>
      <c r="KMO1" s="154" t="str">
        <f t="shared" si="121"/>
        <v>y</v>
      </c>
      <c r="KMP1" s="154" t="str">
        <f t="shared" si="121"/>
        <v>y</v>
      </c>
      <c r="KMQ1" s="154" t="str">
        <f t="shared" si="121"/>
        <v>y</v>
      </c>
      <c r="KMR1" s="154" t="str">
        <f t="shared" si="121"/>
        <v>y</v>
      </c>
      <c r="KMS1" s="154" t="str">
        <f t="shared" si="121"/>
        <v>y</v>
      </c>
      <c r="KMT1" s="154" t="str">
        <f t="shared" si="121"/>
        <v>y</v>
      </c>
      <c r="KMU1" s="154" t="str">
        <f t="shared" si="121"/>
        <v>y</v>
      </c>
      <c r="KMV1" s="154" t="str">
        <f t="shared" si="121"/>
        <v>y</v>
      </c>
      <c r="KMW1" s="154" t="str">
        <f t="shared" si="121"/>
        <v>y</v>
      </c>
      <c r="KMX1" s="154" t="str">
        <f t="shared" si="121"/>
        <v>y</v>
      </c>
      <c r="KMY1" s="154" t="str">
        <f t="shared" si="121"/>
        <v>y</v>
      </c>
      <c r="KMZ1" s="154" t="str">
        <f t="shared" si="121"/>
        <v>y</v>
      </c>
      <c r="KNA1" s="154" t="str">
        <f t="shared" si="121"/>
        <v>y</v>
      </c>
      <c r="KNB1" s="154" t="str">
        <f t="shared" si="121"/>
        <v>y</v>
      </c>
      <c r="KNC1" s="154" t="str">
        <f t="shared" si="121"/>
        <v>y</v>
      </c>
      <c r="KND1" s="154" t="str">
        <f t="shared" si="121"/>
        <v>y</v>
      </c>
      <c r="KNE1" s="154" t="str">
        <f t="shared" si="121"/>
        <v>y</v>
      </c>
      <c r="KNF1" s="154" t="str">
        <f t="shared" si="121"/>
        <v>y</v>
      </c>
      <c r="KNG1" s="154" t="str">
        <f t="shared" si="121"/>
        <v>y</v>
      </c>
      <c r="KNH1" s="154" t="str">
        <f t="shared" si="121"/>
        <v>y</v>
      </c>
      <c r="KNI1" s="154" t="str">
        <f t="shared" si="121"/>
        <v>y</v>
      </c>
      <c r="KNJ1" s="154" t="str">
        <f t="shared" si="121"/>
        <v>y</v>
      </c>
      <c r="KNK1" s="154" t="str">
        <f t="shared" si="121"/>
        <v>y</v>
      </c>
      <c r="KNL1" s="154" t="str">
        <f t="shared" ref="KNL1:KPW1" si="122">KNL2&amp;"y"</f>
        <v>y</v>
      </c>
      <c r="KNM1" s="154" t="str">
        <f t="shared" si="122"/>
        <v>y</v>
      </c>
      <c r="KNN1" s="154" t="str">
        <f t="shared" si="122"/>
        <v>y</v>
      </c>
      <c r="KNO1" s="154" t="str">
        <f t="shared" si="122"/>
        <v>y</v>
      </c>
      <c r="KNP1" s="154" t="str">
        <f t="shared" si="122"/>
        <v>y</v>
      </c>
      <c r="KNQ1" s="154" t="str">
        <f t="shared" si="122"/>
        <v>y</v>
      </c>
      <c r="KNR1" s="154" t="str">
        <f t="shared" si="122"/>
        <v>y</v>
      </c>
      <c r="KNS1" s="154" t="str">
        <f t="shared" si="122"/>
        <v>y</v>
      </c>
      <c r="KNT1" s="154" t="str">
        <f t="shared" si="122"/>
        <v>y</v>
      </c>
      <c r="KNU1" s="154" t="str">
        <f t="shared" si="122"/>
        <v>y</v>
      </c>
      <c r="KNV1" s="154" t="str">
        <f t="shared" si="122"/>
        <v>y</v>
      </c>
      <c r="KNW1" s="154" t="str">
        <f t="shared" si="122"/>
        <v>y</v>
      </c>
      <c r="KNX1" s="154" t="str">
        <f t="shared" si="122"/>
        <v>y</v>
      </c>
      <c r="KNY1" s="154" t="str">
        <f t="shared" si="122"/>
        <v>y</v>
      </c>
      <c r="KNZ1" s="154" t="str">
        <f t="shared" si="122"/>
        <v>y</v>
      </c>
      <c r="KOA1" s="154" t="str">
        <f t="shared" si="122"/>
        <v>y</v>
      </c>
      <c r="KOB1" s="154" t="str">
        <f t="shared" si="122"/>
        <v>y</v>
      </c>
      <c r="KOC1" s="154" t="str">
        <f t="shared" si="122"/>
        <v>y</v>
      </c>
      <c r="KOD1" s="154" t="str">
        <f t="shared" si="122"/>
        <v>y</v>
      </c>
      <c r="KOE1" s="154" t="str">
        <f t="shared" si="122"/>
        <v>y</v>
      </c>
      <c r="KOF1" s="154" t="str">
        <f t="shared" si="122"/>
        <v>y</v>
      </c>
      <c r="KOG1" s="154" t="str">
        <f t="shared" si="122"/>
        <v>y</v>
      </c>
      <c r="KOH1" s="154" t="str">
        <f t="shared" si="122"/>
        <v>y</v>
      </c>
      <c r="KOI1" s="154" t="str">
        <f t="shared" si="122"/>
        <v>y</v>
      </c>
      <c r="KOJ1" s="154" t="str">
        <f t="shared" si="122"/>
        <v>y</v>
      </c>
      <c r="KOK1" s="154" t="str">
        <f t="shared" si="122"/>
        <v>y</v>
      </c>
      <c r="KOL1" s="154" t="str">
        <f t="shared" si="122"/>
        <v>y</v>
      </c>
      <c r="KOM1" s="154" t="str">
        <f t="shared" si="122"/>
        <v>y</v>
      </c>
      <c r="KON1" s="154" t="str">
        <f t="shared" si="122"/>
        <v>y</v>
      </c>
      <c r="KOO1" s="154" t="str">
        <f t="shared" si="122"/>
        <v>y</v>
      </c>
      <c r="KOP1" s="154" t="str">
        <f t="shared" si="122"/>
        <v>y</v>
      </c>
      <c r="KOQ1" s="154" t="str">
        <f t="shared" si="122"/>
        <v>y</v>
      </c>
      <c r="KOR1" s="154" t="str">
        <f t="shared" si="122"/>
        <v>y</v>
      </c>
      <c r="KOS1" s="154" t="str">
        <f t="shared" si="122"/>
        <v>y</v>
      </c>
      <c r="KOT1" s="154" t="str">
        <f t="shared" si="122"/>
        <v>y</v>
      </c>
      <c r="KOU1" s="154" t="str">
        <f t="shared" si="122"/>
        <v>y</v>
      </c>
      <c r="KOV1" s="154" t="str">
        <f t="shared" si="122"/>
        <v>y</v>
      </c>
      <c r="KOW1" s="154" t="str">
        <f t="shared" si="122"/>
        <v>y</v>
      </c>
      <c r="KOX1" s="154" t="str">
        <f t="shared" si="122"/>
        <v>y</v>
      </c>
      <c r="KOY1" s="154" t="str">
        <f t="shared" si="122"/>
        <v>y</v>
      </c>
      <c r="KOZ1" s="154" t="str">
        <f t="shared" si="122"/>
        <v>y</v>
      </c>
      <c r="KPA1" s="154" t="str">
        <f t="shared" si="122"/>
        <v>y</v>
      </c>
      <c r="KPB1" s="154" t="str">
        <f t="shared" si="122"/>
        <v>y</v>
      </c>
      <c r="KPC1" s="154" t="str">
        <f t="shared" si="122"/>
        <v>y</v>
      </c>
      <c r="KPD1" s="154" t="str">
        <f t="shared" si="122"/>
        <v>y</v>
      </c>
      <c r="KPE1" s="154" t="str">
        <f t="shared" si="122"/>
        <v>y</v>
      </c>
      <c r="KPF1" s="154" t="str">
        <f t="shared" si="122"/>
        <v>y</v>
      </c>
      <c r="KPG1" s="154" t="str">
        <f t="shared" si="122"/>
        <v>y</v>
      </c>
      <c r="KPH1" s="154" t="str">
        <f t="shared" si="122"/>
        <v>y</v>
      </c>
      <c r="KPI1" s="154" t="str">
        <f t="shared" si="122"/>
        <v>y</v>
      </c>
      <c r="KPJ1" s="154" t="str">
        <f t="shared" si="122"/>
        <v>y</v>
      </c>
      <c r="KPK1" s="154" t="str">
        <f t="shared" si="122"/>
        <v>y</v>
      </c>
      <c r="KPL1" s="154" t="str">
        <f t="shared" si="122"/>
        <v>y</v>
      </c>
      <c r="KPM1" s="154" t="str">
        <f t="shared" si="122"/>
        <v>y</v>
      </c>
      <c r="KPN1" s="154" t="str">
        <f t="shared" si="122"/>
        <v>y</v>
      </c>
      <c r="KPO1" s="154" t="str">
        <f t="shared" si="122"/>
        <v>y</v>
      </c>
      <c r="KPP1" s="154" t="str">
        <f t="shared" si="122"/>
        <v>y</v>
      </c>
      <c r="KPQ1" s="154" t="str">
        <f t="shared" si="122"/>
        <v>y</v>
      </c>
      <c r="KPR1" s="154" t="str">
        <f t="shared" si="122"/>
        <v>y</v>
      </c>
      <c r="KPS1" s="154" t="str">
        <f t="shared" si="122"/>
        <v>y</v>
      </c>
      <c r="KPT1" s="154" t="str">
        <f t="shared" si="122"/>
        <v>y</v>
      </c>
      <c r="KPU1" s="154" t="str">
        <f t="shared" si="122"/>
        <v>y</v>
      </c>
      <c r="KPV1" s="154" t="str">
        <f t="shared" si="122"/>
        <v>y</v>
      </c>
      <c r="KPW1" s="154" t="str">
        <f t="shared" si="122"/>
        <v>y</v>
      </c>
      <c r="KPX1" s="154" t="str">
        <f t="shared" ref="KPX1:KSI1" si="123">KPX2&amp;"y"</f>
        <v>y</v>
      </c>
      <c r="KPY1" s="154" t="str">
        <f t="shared" si="123"/>
        <v>y</v>
      </c>
      <c r="KPZ1" s="154" t="str">
        <f t="shared" si="123"/>
        <v>y</v>
      </c>
      <c r="KQA1" s="154" t="str">
        <f t="shared" si="123"/>
        <v>y</v>
      </c>
      <c r="KQB1" s="154" t="str">
        <f t="shared" si="123"/>
        <v>y</v>
      </c>
      <c r="KQC1" s="154" t="str">
        <f t="shared" si="123"/>
        <v>y</v>
      </c>
      <c r="KQD1" s="154" t="str">
        <f t="shared" si="123"/>
        <v>y</v>
      </c>
      <c r="KQE1" s="154" t="str">
        <f t="shared" si="123"/>
        <v>y</v>
      </c>
      <c r="KQF1" s="154" t="str">
        <f t="shared" si="123"/>
        <v>y</v>
      </c>
      <c r="KQG1" s="154" t="str">
        <f t="shared" si="123"/>
        <v>y</v>
      </c>
      <c r="KQH1" s="154" t="str">
        <f t="shared" si="123"/>
        <v>y</v>
      </c>
      <c r="KQI1" s="154" t="str">
        <f t="shared" si="123"/>
        <v>y</v>
      </c>
      <c r="KQJ1" s="154" t="str">
        <f t="shared" si="123"/>
        <v>y</v>
      </c>
      <c r="KQK1" s="154" t="str">
        <f t="shared" si="123"/>
        <v>y</v>
      </c>
      <c r="KQL1" s="154" t="str">
        <f t="shared" si="123"/>
        <v>y</v>
      </c>
      <c r="KQM1" s="154" t="str">
        <f t="shared" si="123"/>
        <v>y</v>
      </c>
      <c r="KQN1" s="154" t="str">
        <f t="shared" si="123"/>
        <v>y</v>
      </c>
      <c r="KQO1" s="154" t="str">
        <f t="shared" si="123"/>
        <v>y</v>
      </c>
      <c r="KQP1" s="154" t="str">
        <f t="shared" si="123"/>
        <v>y</v>
      </c>
      <c r="KQQ1" s="154" t="str">
        <f t="shared" si="123"/>
        <v>y</v>
      </c>
      <c r="KQR1" s="154" t="str">
        <f t="shared" si="123"/>
        <v>y</v>
      </c>
      <c r="KQS1" s="154" t="str">
        <f t="shared" si="123"/>
        <v>y</v>
      </c>
      <c r="KQT1" s="154" t="str">
        <f t="shared" si="123"/>
        <v>y</v>
      </c>
      <c r="KQU1" s="154" t="str">
        <f t="shared" si="123"/>
        <v>y</v>
      </c>
      <c r="KQV1" s="154" t="str">
        <f t="shared" si="123"/>
        <v>y</v>
      </c>
      <c r="KQW1" s="154" t="str">
        <f t="shared" si="123"/>
        <v>y</v>
      </c>
      <c r="KQX1" s="154" t="str">
        <f t="shared" si="123"/>
        <v>y</v>
      </c>
      <c r="KQY1" s="154" t="str">
        <f t="shared" si="123"/>
        <v>y</v>
      </c>
      <c r="KQZ1" s="154" t="str">
        <f t="shared" si="123"/>
        <v>y</v>
      </c>
      <c r="KRA1" s="154" t="str">
        <f t="shared" si="123"/>
        <v>y</v>
      </c>
      <c r="KRB1" s="154" t="str">
        <f t="shared" si="123"/>
        <v>y</v>
      </c>
      <c r="KRC1" s="154" t="str">
        <f t="shared" si="123"/>
        <v>y</v>
      </c>
      <c r="KRD1" s="154" t="str">
        <f t="shared" si="123"/>
        <v>y</v>
      </c>
      <c r="KRE1" s="154" t="str">
        <f t="shared" si="123"/>
        <v>y</v>
      </c>
      <c r="KRF1" s="154" t="str">
        <f t="shared" si="123"/>
        <v>y</v>
      </c>
      <c r="KRG1" s="154" t="str">
        <f t="shared" si="123"/>
        <v>y</v>
      </c>
      <c r="KRH1" s="154" t="str">
        <f t="shared" si="123"/>
        <v>y</v>
      </c>
      <c r="KRI1" s="154" t="str">
        <f t="shared" si="123"/>
        <v>y</v>
      </c>
      <c r="KRJ1" s="154" t="str">
        <f t="shared" si="123"/>
        <v>y</v>
      </c>
      <c r="KRK1" s="154" t="str">
        <f t="shared" si="123"/>
        <v>y</v>
      </c>
      <c r="KRL1" s="154" t="str">
        <f t="shared" si="123"/>
        <v>y</v>
      </c>
      <c r="KRM1" s="154" t="str">
        <f t="shared" si="123"/>
        <v>y</v>
      </c>
      <c r="KRN1" s="154" t="str">
        <f t="shared" si="123"/>
        <v>y</v>
      </c>
      <c r="KRO1" s="154" t="str">
        <f t="shared" si="123"/>
        <v>y</v>
      </c>
      <c r="KRP1" s="154" t="str">
        <f t="shared" si="123"/>
        <v>y</v>
      </c>
      <c r="KRQ1" s="154" t="str">
        <f t="shared" si="123"/>
        <v>y</v>
      </c>
      <c r="KRR1" s="154" t="str">
        <f t="shared" si="123"/>
        <v>y</v>
      </c>
      <c r="KRS1" s="154" t="str">
        <f t="shared" si="123"/>
        <v>y</v>
      </c>
      <c r="KRT1" s="154" t="str">
        <f t="shared" si="123"/>
        <v>y</v>
      </c>
      <c r="KRU1" s="154" t="str">
        <f t="shared" si="123"/>
        <v>y</v>
      </c>
      <c r="KRV1" s="154" t="str">
        <f t="shared" si="123"/>
        <v>y</v>
      </c>
      <c r="KRW1" s="154" t="str">
        <f t="shared" si="123"/>
        <v>y</v>
      </c>
      <c r="KRX1" s="154" t="str">
        <f t="shared" si="123"/>
        <v>y</v>
      </c>
      <c r="KRY1" s="154" t="str">
        <f t="shared" si="123"/>
        <v>y</v>
      </c>
      <c r="KRZ1" s="154" t="str">
        <f t="shared" si="123"/>
        <v>y</v>
      </c>
      <c r="KSA1" s="154" t="str">
        <f t="shared" si="123"/>
        <v>y</v>
      </c>
      <c r="KSB1" s="154" t="str">
        <f t="shared" si="123"/>
        <v>y</v>
      </c>
      <c r="KSC1" s="154" t="str">
        <f t="shared" si="123"/>
        <v>y</v>
      </c>
      <c r="KSD1" s="154" t="str">
        <f t="shared" si="123"/>
        <v>y</v>
      </c>
      <c r="KSE1" s="154" t="str">
        <f t="shared" si="123"/>
        <v>y</v>
      </c>
      <c r="KSF1" s="154" t="str">
        <f t="shared" si="123"/>
        <v>y</v>
      </c>
      <c r="KSG1" s="154" t="str">
        <f t="shared" si="123"/>
        <v>y</v>
      </c>
      <c r="KSH1" s="154" t="str">
        <f t="shared" si="123"/>
        <v>y</v>
      </c>
      <c r="KSI1" s="154" t="str">
        <f t="shared" si="123"/>
        <v>y</v>
      </c>
      <c r="KSJ1" s="154" t="str">
        <f t="shared" ref="KSJ1:KUU1" si="124">KSJ2&amp;"y"</f>
        <v>y</v>
      </c>
      <c r="KSK1" s="154" t="str">
        <f t="shared" si="124"/>
        <v>y</v>
      </c>
      <c r="KSL1" s="154" t="str">
        <f t="shared" si="124"/>
        <v>y</v>
      </c>
      <c r="KSM1" s="154" t="str">
        <f t="shared" si="124"/>
        <v>y</v>
      </c>
      <c r="KSN1" s="154" t="str">
        <f t="shared" si="124"/>
        <v>y</v>
      </c>
      <c r="KSO1" s="154" t="str">
        <f t="shared" si="124"/>
        <v>y</v>
      </c>
      <c r="KSP1" s="154" t="str">
        <f t="shared" si="124"/>
        <v>y</v>
      </c>
      <c r="KSQ1" s="154" t="str">
        <f t="shared" si="124"/>
        <v>y</v>
      </c>
      <c r="KSR1" s="154" t="str">
        <f t="shared" si="124"/>
        <v>y</v>
      </c>
      <c r="KSS1" s="154" t="str">
        <f t="shared" si="124"/>
        <v>y</v>
      </c>
      <c r="KST1" s="154" t="str">
        <f t="shared" si="124"/>
        <v>y</v>
      </c>
      <c r="KSU1" s="154" t="str">
        <f t="shared" si="124"/>
        <v>y</v>
      </c>
      <c r="KSV1" s="154" t="str">
        <f t="shared" si="124"/>
        <v>y</v>
      </c>
      <c r="KSW1" s="154" t="str">
        <f t="shared" si="124"/>
        <v>y</v>
      </c>
      <c r="KSX1" s="154" t="str">
        <f t="shared" si="124"/>
        <v>y</v>
      </c>
      <c r="KSY1" s="154" t="str">
        <f t="shared" si="124"/>
        <v>y</v>
      </c>
      <c r="KSZ1" s="154" t="str">
        <f t="shared" si="124"/>
        <v>y</v>
      </c>
      <c r="KTA1" s="154" t="str">
        <f t="shared" si="124"/>
        <v>y</v>
      </c>
      <c r="KTB1" s="154" t="str">
        <f t="shared" si="124"/>
        <v>y</v>
      </c>
      <c r="KTC1" s="154" t="str">
        <f t="shared" si="124"/>
        <v>y</v>
      </c>
      <c r="KTD1" s="154" t="str">
        <f t="shared" si="124"/>
        <v>y</v>
      </c>
      <c r="KTE1" s="154" t="str">
        <f t="shared" si="124"/>
        <v>y</v>
      </c>
      <c r="KTF1" s="154" t="str">
        <f t="shared" si="124"/>
        <v>y</v>
      </c>
      <c r="KTG1" s="154" t="str">
        <f t="shared" si="124"/>
        <v>y</v>
      </c>
      <c r="KTH1" s="154" t="str">
        <f t="shared" si="124"/>
        <v>y</v>
      </c>
      <c r="KTI1" s="154" t="str">
        <f t="shared" si="124"/>
        <v>y</v>
      </c>
      <c r="KTJ1" s="154" t="str">
        <f t="shared" si="124"/>
        <v>y</v>
      </c>
      <c r="KTK1" s="154" t="str">
        <f t="shared" si="124"/>
        <v>y</v>
      </c>
      <c r="KTL1" s="154" t="str">
        <f t="shared" si="124"/>
        <v>y</v>
      </c>
      <c r="KTM1" s="154" t="str">
        <f t="shared" si="124"/>
        <v>y</v>
      </c>
      <c r="KTN1" s="154" t="str">
        <f t="shared" si="124"/>
        <v>y</v>
      </c>
      <c r="KTO1" s="154" t="str">
        <f t="shared" si="124"/>
        <v>y</v>
      </c>
      <c r="KTP1" s="154" t="str">
        <f t="shared" si="124"/>
        <v>y</v>
      </c>
      <c r="KTQ1" s="154" t="str">
        <f t="shared" si="124"/>
        <v>y</v>
      </c>
      <c r="KTR1" s="154" t="str">
        <f t="shared" si="124"/>
        <v>y</v>
      </c>
      <c r="KTS1" s="154" t="str">
        <f t="shared" si="124"/>
        <v>y</v>
      </c>
      <c r="KTT1" s="154" t="str">
        <f t="shared" si="124"/>
        <v>y</v>
      </c>
      <c r="KTU1" s="154" t="str">
        <f t="shared" si="124"/>
        <v>y</v>
      </c>
      <c r="KTV1" s="154" t="str">
        <f t="shared" si="124"/>
        <v>y</v>
      </c>
      <c r="KTW1" s="154" t="str">
        <f t="shared" si="124"/>
        <v>y</v>
      </c>
      <c r="KTX1" s="154" t="str">
        <f t="shared" si="124"/>
        <v>y</v>
      </c>
      <c r="KTY1" s="154" t="str">
        <f t="shared" si="124"/>
        <v>y</v>
      </c>
      <c r="KTZ1" s="154" t="str">
        <f t="shared" si="124"/>
        <v>y</v>
      </c>
      <c r="KUA1" s="154" t="str">
        <f t="shared" si="124"/>
        <v>y</v>
      </c>
      <c r="KUB1" s="154" t="str">
        <f t="shared" si="124"/>
        <v>y</v>
      </c>
      <c r="KUC1" s="154" t="str">
        <f t="shared" si="124"/>
        <v>y</v>
      </c>
      <c r="KUD1" s="154" t="str">
        <f t="shared" si="124"/>
        <v>y</v>
      </c>
      <c r="KUE1" s="154" t="str">
        <f t="shared" si="124"/>
        <v>y</v>
      </c>
      <c r="KUF1" s="154" t="str">
        <f t="shared" si="124"/>
        <v>y</v>
      </c>
      <c r="KUG1" s="154" t="str">
        <f t="shared" si="124"/>
        <v>y</v>
      </c>
      <c r="KUH1" s="154" t="str">
        <f t="shared" si="124"/>
        <v>y</v>
      </c>
      <c r="KUI1" s="154" t="str">
        <f t="shared" si="124"/>
        <v>y</v>
      </c>
      <c r="KUJ1" s="154" t="str">
        <f t="shared" si="124"/>
        <v>y</v>
      </c>
      <c r="KUK1" s="154" t="str">
        <f t="shared" si="124"/>
        <v>y</v>
      </c>
      <c r="KUL1" s="154" t="str">
        <f t="shared" si="124"/>
        <v>y</v>
      </c>
      <c r="KUM1" s="154" t="str">
        <f t="shared" si="124"/>
        <v>y</v>
      </c>
      <c r="KUN1" s="154" t="str">
        <f t="shared" si="124"/>
        <v>y</v>
      </c>
      <c r="KUO1" s="154" t="str">
        <f t="shared" si="124"/>
        <v>y</v>
      </c>
      <c r="KUP1" s="154" t="str">
        <f t="shared" si="124"/>
        <v>y</v>
      </c>
      <c r="KUQ1" s="154" t="str">
        <f t="shared" si="124"/>
        <v>y</v>
      </c>
      <c r="KUR1" s="154" t="str">
        <f t="shared" si="124"/>
        <v>y</v>
      </c>
      <c r="KUS1" s="154" t="str">
        <f t="shared" si="124"/>
        <v>y</v>
      </c>
      <c r="KUT1" s="154" t="str">
        <f t="shared" si="124"/>
        <v>y</v>
      </c>
      <c r="KUU1" s="154" t="str">
        <f t="shared" si="124"/>
        <v>y</v>
      </c>
      <c r="KUV1" s="154" t="str">
        <f t="shared" ref="KUV1:KXG1" si="125">KUV2&amp;"y"</f>
        <v>y</v>
      </c>
      <c r="KUW1" s="154" t="str">
        <f t="shared" si="125"/>
        <v>y</v>
      </c>
      <c r="KUX1" s="154" t="str">
        <f t="shared" si="125"/>
        <v>y</v>
      </c>
      <c r="KUY1" s="154" t="str">
        <f t="shared" si="125"/>
        <v>y</v>
      </c>
      <c r="KUZ1" s="154" t="str">
        <f t="shared" si="125"/>
        <v>y</v>
      </c>
      <c r="KVA1" s="154" t="str">
        <f t="shared" si="125"/>
        <v>y</v>
      </c>
      <c r="KVB1" s="154" t="str">
        <f t="shared" si="125"/>
        <v>y</v>
      </c>
      <c r="KVC1" s="154" t="str">
        <f t="shared" si="125"/>
        <v>y</v>
      </c>
      <c r="KVD1" s="154" t="str">
        <f t="shared" si="125"/>
        <v>y</v>
      </c>
      <c r="KVE1" s="154" t="str">
        <f t="shared" si="125"/>
        <v>y</v>
      </c>
      <c r="KVF1" s="154" t="str">
        <f t="shared" si="125"/>
        <v>y</v>
      </c>
      <c r="KVG1" s="154" t="str">
        <f t="shared" si="125"/>
        <v>y</v>
      </c>
      <c r="KVH1" s="154" t="str">
        <f t="shared" si="125"/>
        <v>y</v>
      </c>
      <c r="KVI1" s="154" t="str">
        <f t="shared" si="125"/>
        <v>y</v>
      </c>
      <c r="KVJ1" s="154" t="str">
        <f t="shared" si="125"/>
        <v>y</v>
      </c>
      <c r="KVK1" s="154" t="str">
        <f t="shared" si="125"/>
        <v>y</v>
      </c>
      <c r="KVL1" s="154" t="str">
        <f t="shared" si="125"/>
        <v>y</v>
      </c>
      <c r="KVM1" s="154" t="str">
        <f t="shared" si="125"/>
        <v>y</v>
      </c>
      <c r="KVN1" s="154" t="str">
        <f t="shared" si="125"/>
        <v>y</v>
      </c>
      <c r="KVO1" s="154" t="str">
        <f t="shared" si="125"/>
        <v>y</v>
      </c>
      <c r="KVP1" s="154" t="str">
        <f t="shared" si="125"/>
        <v>y</v>
      </c>
      <c r="KVQ1" s="154" t="str">
        <f t="shared" si="125"/>
        <v>y</v>
      </c>
      <c r="KVR1" s="154" t="str">
        <f t="shared" si="125"/>
        <v>y</v>
      </c>
      <c r="KVS1" s="154" t="str">
        <f t="shared" si="125"/>
        <v>y</v>
      </c>
      <c r="KVT1" s="154" t="str">
        <f t="shared" si="125"/>
        <v>y</v>
      </c>
      <c r="KVU1" s="154" t="str">
        <f t="shared" si="125"/>
        <v>y</v>
      </c>
      <c r="KVV1" s="154" t="str">
        <f t="shared" si="125"/>
        <v>y</v>
      </c>
      <c r="KVW1" s="154" t="str">
        <f t="shared" si="125"/>
        <v>y</v>
      </c>
      <c r="KVX1" s="154" t="str">
        <f t="shared" si="125"/>
        <v>y</v>
      </c>
      <c r="KVY1" s="154" t="str">
        <f t="shared" si="125"/>
        <v>y</v>
      </c>
      <c r="KVZ1" s="154" t="str">
        <f t="shared" si="125"/>
        <v>y</v>
      </c>
      <c r="KWA1" s="154" t="str">
        <f t="shared" si="125"/>
        <v>y</v>
      </c>
      <c r="KWB1" s="154" t="str">
        <f t="shared" si="125"/>
        <v>y</v>
      </c>
      <c r="KWC1" s="154" t="str">
        <f t="shared" si="125"/>
        <v>y</v>
      </c>
      <c r="KWD1" s="154" t="str">
        <f t="shared" si="125"/>
        <v>y</v>
      </c>
      <c r="KWE1" s="154" t="str">
        <f t="shared" si="125"/>
        <v>y</v>
      </c>
      <c r="KWF1" s="154" t="str">
        <f t="shared" si="125"/>
        <v>y</v>
      </c>
      <c r="KWG1" s="154" t="str">
        <f t="shared" si="125"/>
        <v>y</v>
      </c>
      <c r="KWH1" s="154" t="str">
        <f t="shared" si="125"/>
        <v>y</v>
      </c>
      <c r="KWI1" s="154" t="str">
        <f t="shared" si="125"/>
        <v>y</v>
      </c>
      <c r="KWJ1" s="154" t="str">
        <f t="shared" si="125"/>
        <v>y</v>
      </c>
      <c r="KWK1" s="154" t="str">
        <f t="shared" si="125"/>
        <v>y</v>
      </c>
      <c r="KWL1" s="154" t="str">
        <f t="shared" si="125"/>
        <v>y</v>
      </c>
      <c r="KWM1" s="154" t="str">
        <f t="shared" si="125"/>
        <v>y</v>
      </c>
      <c r="KWN1" s="154" t="str">
        <f t="shared" si="125"/>
        <v>y</v>
      </c>
      <c r="KWO1" s="154" t="str">
        <f t="shared" si="125"/>
        <v>y</v>
      </c>
      <c r="KWP1" s="154" t="str">
        <f t="shared" si="125"/>
        <v>y</v>
      </c>
      <c r="KWQ1" s="154" t="str">
        <f t="shared" si="125"/>
        <v>y</v>
      </c>
      <c r="KWR1" s="154" t="str">
        <f t="shared" si="125"/>
        <v>y</v>
      </c>
      <c r="KWS1" s="154" t="str">
        <f t="shared" si="125"/>
        <v>y</v>
      </c>
      <c r="KWT1" s="154" t="str">
        <f t="shared" si="125"/>
        <v>y</v>
      </c>
      <c r="KWU1" s="154" t="str">
        <f t="shared" si="125"/>
        <v>y</v>
      </c>
      <c r="KWV1" s="154" t="str">
        <f t="shared" si="125"/>
        <v>y</v>
      </c>
      <c r="KWW1" s="154" t="str">
        <f t="shared" si="125"/>
        <v>y</v>
      </c>
      <c r="KWX1" s="154" t="str">
        <f t="shared" si="125"/>
        <v>y</v>
      </c>
      <c r="KWY1" s="154" t="str">
        <f t="shared" si="125"/>
        <v>y</v>
      </c>
      <c r="KWZ1" s="154" t="str">
        <f t="shared" si="125"/>
        <v>y</v>
      </c>
      <c r="KXA1" s="154" t="str">
        <f t="shared" si="125"/>
        <v>y</v>
      </c>
      <c r="KXB1" s="154" t="str">
        <f t="shared" si="125"/>
        <v>y</v>
      </c>
      <c r="KXC1" s="154" t="str">
        <f t="shared" si="125"/>
        <v>y</v>
      </c>
      <c r="KXD1" s="154" t="str">
        <f t="shared" si="125"/>
        <v>y</v>
      </c>
      <c r="KXE1" s="154" t="str">
        <f t="shared" si="125"/>
        <v>y</v>
      </c>
      <c r="KXF1" s="154" t="str">
        <f t="shared" si="125"/>
        <v>y</v>
      </c>
      <c r="KXG1" s="154" t="str">
        <f t="shared" si="125"/>
        <v>y</v>
      </c>
      <c r="KXH1" s="154" t="str">
        <f t="shared" ref="KXH1:KZS1" si="126">KXH2&amp;"y"</f>
        <v>y</v>
      </c>
      <c r="KXI1" s="154" t="str">
        <f t="shared" si="126"/>
        <v>y</v>
      </c>
      <c r="KXJ1" s="154" t="str">
        <f t="shared" si="126"/>
        <v>y</v>
      </c>
      <c r="KXK1" s="154" t="str">
        <f t="shared" si="126"/>
        <v>y</v>
      </c>
      <c r="KXL1" s="154" t="str">
        <f t="shared" si="126"/>
        <v>y</v>
      </c>
      <c r="KXM1" s="154" t="str">
        <f t="shared" si="126"/>
        <v>y</v>
      </c>
      <c r="KXN1" s="154" t="str">
        <f t="shared" si="126"/>
        <v>y</v>
      </c>
      <c r="KXO1" s="154" t="str">
        <f t="shared" si="126"/>
        <v>y</v>
      </c>
      <c r="KXP1" s="154" t="str">
        <f t="shared" si="126"/>
        <v>y</v>
      </c>
      <c r="KXQ1" s="154" t="str">
        <f t="shared" si="126"/>
        <v>y</v>
      </c>
      <c r="KXR1" s="154" t="str">
        <f t="shared" si="126"/>
        <v>y</v>
      </c>
      <c r="KXS1" s="154" t="str">
        <f t="shared" si="126"/>
        <v>y</v>
      </c>
      <c r="KXT1" s="154" t="str">
        <f t="shared" si="126"/>
        <v>y</v>
      </c>
      <c r="KXU1" s="154" t="str">
        <f t="shared" si="126"/>
        <v>y</v>
      </c>
      <c r="KXV1" s="154" t="str">
        <f t="shared" si="126"/>
        <v>y</v>
      </c>
      <c r="KXW1" s="154" t="str">
        <f t="shared" si="126"/>
        <v>y</v>
      </c>
      <c r="KXX1" s="154" t="str">
        <f t="shared" si="126"/>
        <v>y</v>
      </c>
      <c r="KXY1" s="154" t="str">
        <f t="shared" si="126"/>
        <v>y</v>
      </c>
      <c r="KXZ1" s="154" t="str">
        <f t="shared" si="126"/>
        <v>y</v>
      </c>
      <c r="KYA1" s="154" t="str">
        <f t="shared" si="126"/>
        <v>y</v>
      </c>
      <c r="KYB1" s="154" t="str">
        <f t="shared" si="126"/>
        <v>y</v>
      </c>
      <c r="KYC1" s="154" t="str">
        <f t="shared" si="126"/>
        <v>y</v>
      </c>
      <c r="KYD1" s="154" t="str">
        <f t="shared" si="126"/>
        <v>y</v>
      </c>
      <c r="KYE1" s="154" t="str">
        <f t="shared" si="126"/>
        <v>y</v>
      </c>
      <c r="KYF1" s="154" t="str">
        <f t="shared" si="126"/>
        <v>y</v>
      </c>
      <c r="KYG1" s="154" t="str">
        <f t="shared" si="126"/>
        <v>y</v>
      </c>
      <c r="KYH1" s="154" t="str">
        <f t="shared" si="126"/>
        <v>y</v>
      </c>
      <c r="KYI1" s="154" t="str">
        <f t="shared" si="126"/>
        <v>y</v>
      </c>
      <c r="KYJ1" s="154" t="str">
        <f t="shared" si="126"/>
        <v>y</v>
      </c>
      <c r="KYK1" s="154" t="str">
        <f t="shared" si="126"/>
        <v>y</v>
      </c>
      <c r="KYL1" s="154" t="str">
        <f t="shared" si="126"/>
        <v>y</v>
      </c>
      <c r="KYM1" s="154" t="str">
        <f t="shared" si="126"/>
        <v>y</v>
      </c>
      <c r="KYN1" s="154" t="str">
        <f t="shared" si="126"/>
        <v>y</v>
      </c>
      <c r="KYO1" s="154" t="str">
        <f t="shared" si="126"/>
        <v>y</v>
      </c>
      <c r="KYP1" s="154" t="str">
        <f t="shared" si="126"/>
        <v>y</v>
      </c>
      <c r="KYQ1" s="154" t="str">
        <f t="shared" si="126"/>
        <v>y</v>
      </c>
      <c r="KYR1" s="154" t="str">
        <f t="shared" si="126"/>
        <v>y</v>
      </c>
      <c r="KYS1" s="154" t="str">
        <f t="shared" si="126"/>
        <v>y</v>
      </c>
      <c r="KYT1" s="154" t="str">
        <f t="shared" si="126"/>
        <v>y</v>
      </c>
      <c r="KYU1" s="154" t="str">
        <f t="shared" si="126"/>
        <v>y</v>
      </c>
      <c r="KYV1" s="154" t="str">
        <f t="shared" si="126"/>
        <v>y</v>
      </c>
      <c r="KYW1" s="154" t="str">
        <f t="shared" si="126"/>
        <v>y</v>
      </c>
      <c r="KYX1" s="154" t="str">
        <f t="shared" si="126"/>
        <v>y</v>
      </c>
      <c r="KYY1" s="154" t="str">
        <f t="shared" si="126"/>
        <v>y</v>
      </c>
      <c r="KYZ1" s="154" t="str">
        <f t="shared" si="126"/>
        <v>y</v>
      </c>
      <c r="KZA1" s="154" t="str">
        <f t="shared" si="126"/>
        <v>y</v>
      </c>
      <c r="KZB1" s="154" t="str">
        <f t="shared" si="126"/>
        <v>y</v>
      </c>
      <c r="KZC1" s="154" t="str">
        <f t="shared" si="126"/>
        <v>y</v>
      </c>
      <c r="KZD1" s="154" t="str">
        <f t="shared" si="126"/>
        <v>y</v>
      </c>
      <c r="KZE1" s="154" t="str">
        <f t="shared" si="126"/>
        <v>y</v>
      </c>
      <c r="KZF1" s="154" t="str">
        <f t="shared" si="126"/>
        <v>y</v>
      </c>
      <c r="KZG1" s="154" t="str">
        <f t="shared" si="126"/>
        <v>y</v>
      </c>
      <c r="KZH1" s="154" t="str">
        <f t="shared" si="126"/>
        <v>y</v>
      </c>
      <c r="KZI1" s="154" t="str">
        <f t="shared" si="126"/>
        <v>y</v>
      </c>
      <c r="KZJ1" s="154" t="str">
        <f t="shared" si="126"/>
        <v>y</v>
      </c>
      <c r="KZK1" s="154" t="str">
        <f t="shared" si="126"/>
        <v>y</v>
      </c>
      <c r="KZL1" s="154" t="str">
        <f t="shared" si="126"/>
        <v>y</v>
      </c>
      <c r="KZM1" s="154" t="str">
        <f t="shared" si="126"/>
        <v>y</v>
      </c>
      <c r="KZN1" s="154" t="str">
        <f t="shared" si="126"/>
        <v>y</v>
      </c>
      <c r="KZO1" s="154" t="str">
        <f t="shared" si="126"/>
        <v>y</v>
      </c>
      <c r="KZP1" s="154" t="str">
        <f t="shared" si="126"/>
        <v>y</v>
      </c>
      <c r="KZQ1" s="154" t="str">
        <f t="shared" si="126"/>
        <v>y</v>
      </c>
      <c r="KZR1" s="154" t="str">
        <f t="shared" si="126"/>
        <v>y</v>
      </c>
      <c r="KZS1" s="154" t="str">
        <f t="shared" si="126"/>
        <v>y</v>
      </c>
      <c r="KZT1" s="154" t="str">
        <f t="shared" ref="KZT1:LCE1" si="127">KZT2&amp;"y"</f>
        <v>y</v>
      </c>
      <c r="KZU1" s="154" t="str">
        <f t="shared" si="127"/>
        <v>y</v>
      </c>
      <c r="KZV1" s="154" t="str">
        <f t="shared" si="127"/>
        <v>y</v>
      </c>
      <c r="KZW1" s="154" t="str">
        <f t="shared" si="127"/>
        <v>y</v>
      </c>
      <c r="KZX1" s="154" t="str">
        <f t="shared" si="127"/>
        <v>y</v>
      </c>
      <c r="KZY1" s="154" t="str">
        <f t="shared" si="127"/>
        <v>y</v>
      </c>
      <c r="KZZ1" s="154" t="str">
        <f t="shared" si="127"/>
        <v>y</v>
      </c>
      <c r="LAA1" s="154" t="str">
        <f t="shared" si="127"/>
        <v>y</v>
      </c>
      <c r="LAB1" s="154" t="str">
        <f t="shared" si="127"/>
        <v>y</v>
      </c>
      <c r="LAC1" s="154" t="str">
        <f t="shared" si="127"/>
        <v>y</v>
      </c>
      <c r="LAD1" s="154" t="str">
        <f t="shared" si="127"/>
        <v>y</v>
      </c>
      <c r="LAE1" s="154" t="str">
        <f t="shared" si="127"/>
        <v>y</v>
      </c>
      <c r="LAF1" s="154" t="str">
        <f t="shared" si="127"/>
        <v>y</v>
      </c>
      <c r="LAG1" s="154" t="str">
        <f t="shared" si="127"/>
        <v>y</v>
      </c>
      <c r="LAH1" s="154" t="str">
        <f t="shared" si="127"/>
        <v>y</v>
      </c>
      <c r="LAI1" s="154" t="str">
        <f t="shared" si="127"/>
        <v>y</v>
      </c>
      <c r="LAJ1" s="154" t="str">
        <f t="shared" si="127"/>
        <v>y</v>
      </c>
      <c r="LAK1" s="154" t="str">
        <f t="shared" si="127"/>
        <v>y</v>
      </c>
      <c r="LAL1" s="154" t="str">
        <f t="shared" si="127"/>
        <v>y</v>
      </c>
      <c r="LAM1" s="154" t="str">
        <f t="shared" si="127"/>
        <v>y</v>
      </c>
      <c r="LAN1" s="154" t="str">
        <f t="shared" si="127"/>
        <v>y</v>
      </c>
      <c r="LAO1" s="154" t="str">
        <f t="shared" si="127"/>
        <v>y</v>
      </c>
      <c r="LAP1" s="154" t="str">
        <f t="shared" si="127"/>
        <v>y</v>
      </c>
      <c r="LAQ1" s="154" t="str">
        <f t="shared" si="127"/>
        <v>y</v>
      </c>
      <c r="LAR1" s="154" t="str">
        <f t="shared" si="127"/>
        <v>y</v>
      </c>
      <c r="LAS1" s="154" t="str">
        <f t="shared" si="127"/>
        <v>y</v>
      </c>
      <c r="LAT1" s="154" t="str">
        <f t="shared" si="127"/>
        <v>y</v>
      </c>
      <c r="LAU1" s="154" t="str">
        <f t="shared" si="127"/>
        <v>y</v>
      </c>
      <c r="LAV1" s="154" t="str">
        <f t="shared" si="127"/>
        <v>y</v>
      </c>
      <c r="LAW1" s="154" t="str">
        <f t="shared" si="127"/>
        <v>y</v>
      </c>
      <c r="LAX1" s="154" t="str">
        <f t="shared" si="127"/>
        <v>y</v>
      </c>
      <c r="LAY1" s="154" t="str">
        <f t="shared" si="127"/>
        <v>y</v>
      </c>
      <c r="LAZ1" s="154" t="str">
        <f t="shared" si="127"/>
        <v>y</v>
      </c>
      <c r="LBA1" s="154" t="str">
        <f t="shared" si="127"/>
        <v>y</v>
      </c>
      <c r="LBB1" s="154" t="str">
        <f t="shared" si="127"/>
        <v>y</v>
      </c>
      <c r="LBC1" s="154" t="str">
        <f t="shared" si="127"/>
        <v>y</v>
      </c>
      <c r="LBD1" s="154" t="str">
        <f t="shared" si="127"/>
        <v>y</v>
      </c>
      <c r="LBE1" s="154" t="str">
        <f t="shared" si="127"/>
        <v>y</v>
      </c>
      <c r="LBF1" s="154" t="str">
        <f t="shared" si="127"/>
        <v>y</v>
      </c>
      <c r="LBG1" s="154" t="str">
        <f t="shared" si="127"/>
        <v>y</v>
      </c>
      <c r="LBH1" s="154" t="str">
        <f t="shared" si="127"/>
        <v>y</v>
      </c>
      <c r="LBI1" s="154" t="str">
        <f t="shared" si="127"/>
        <v>y</v>
      </c>
      <c r="LBJ1" s="154" t="str">
        <f t="shared" si="127"/>
        <v>y</v>
      </c>
      <c r="LBK1" s="154" t="str">
        <f t="shared" si="127"/>
        <v>y</v>
      </c>
      <c r="LBL1" s="154" t="str">
        <f t="shared" si="127"/>
        <v>y</v>
      </c>
      <c r="LBM1" s="154" t="str">
        <f t="shared" si="127"/>
        <v>y</v>
      </c>
      <c r="LBN1" s="154" t="str">
        <f t="shared" si="127"/>
        <v>y</v>
      </c>
      <c r="LBO1" s="154" t="str">
        <f t="shared" si="127"/>
        <v>y</v>
      </c>
      <c r="LBP1" s="154" t="str">
        <f t="shared" si="127"/>
        <v>y</v>
      </c>
      <c r="LBQ1" s="154" t="str">
        <f t="shared" si="127"/>
        <v>y</v>
      </c>
      <c r="LBR1" s="154" t="str">
        <f t="shared" si="127"/>
        <v>y</v>
      </c>
      <c r="LBS1" s="154" t="str">
        <f t="shared" si="127"/>
        <v>y</v>
      </c>
      <c r="LBT1" s="154" t="str">
        <f t="shared" si="127"/>
        <v>y</v>
      </c>
      <c r="LBU1" s="154" t="str">
        <f t="shared" si="127"/>
        <v>y</v>
      </c>
      <c r="LBV1" s="154" t="str">
        <f t="shared" si="127"/>
        <v>y</v>
      </c>
      <c r="LBW1" s="154" t="str">
        <f t="shared" si="127"/>
        <v>y</v>
      </c>
      <c r="LBX1" s="154" t="str">
        <f t="shared" si="127"/>
        <v>y</v>
      </c>
      <c r="LBY1" s="154" t="str">
        <f t="shared" si="127"/>
        <v>y</v>
      </c>
      <c r="LBZ1" s="154" t="str">
        <f t="shared" si="127"/>
        <v>y</v>
      </c>
      <c r="LCA1" s="154" t="str">
        <f t="shared" si="127"/>
        <v>y</v>
      </c>
      <c r="LCB1" s="154" t="str">
        <f t="shared" si="127"/>
        <v>y</v>
      </c>
      <c r="LCC1" s="154" t="str">
        <f t="shared" si="127"/>
        <v>y</v>
      </c>
      <c r="LCD1" s="154" t="str">
        <f t="shared" si="127"/>
        <v>y</v>
      </c>
      <c r="LCE1" s="154" t="str">
        <f t="shared" si="127"/>
        <v>y</v>
      </c>
      <c r="LCF1" s="154" t="str">
        <f t="shared" ref="LCF1:LEQ1" si="128">LCF2&amp;"y"</f>
        <v>y</v>
      </c>
      <c r="LCG1" s="154" t="str">
        <f t="shared" si="128"/>
        <v>y</v>
      </c>
      <c r="LCH1" s="154" t="str">
        <f t="shared" si="128"/>
        <v>y</v>
      </c>
      <c r="LCI1" s="154" t="str">
        <f t="shared" si="128"/>
        <v>y</v>
      </c>
      <c r="LCJ1" s="154" t="str">
        <f t="shared" si="128"/>
        <v>y</v>
      </c>
      <c r="LCK1" s="154" t="str">
        <f t="shared" si="128"/>
        <v>y</v>
      </c>
      <c r="LCL1" s="154" t="str">
        <f t="shared" si="128"/>
        <v>y</v>
      </c>
      <c r="LCM1" s="154" t="str">
        <f t="shared" si="128"/>
        <v>y</v>
      </c>
      <c r="LCN1" s="154" t="str">
        <f t="shared" si="128"/>
        <v>y</v>
      </c>
      <c r="LCO1" s="154" t="str">
        <f t="shared" si="128"/>
        <v>y</v>
      </c>
      <c r="LCP1" s="154" t="str">
        <f t="shared" si="128"/>
        <v>y</v>
      </c>
      <c r="LCQ1" s="154" t="str">
        <f t="shared" si="128"/>
        <v>y</v>
      </c>
      <c r="LCR1" s="154" t="str">
        <f t="shared" si="128"/>
        <v>y</v>
      </c>
      <c r="LCS1" s="154" t="str">
        <f t="shared" si="128"/>
        <v>y</v>
      </c>
      <c r="LCT1" s="154" t="str">
        <f t="shared" si="128"/>
        <v>y</v>
      </c>
      <c r="LCU1" s="154" t="str">
        <f t="shared" si="128"/>
        <v>y</v>
      </c>
      <c r="LCV1" s="154" t="str">
        <f t="shared" si="128"/>
        <v>y</v>
      </c>
      <c r="LCW1" s="154" t="str">
        <f t="shared" si="128"/>
        <v>y</v>
      </c>
      <c r="LCX1" s="154" t="str">
        <f t="shared" si="128"/>
        <v>y</v>
      </c>
      <c r="LCY1" s="154" t="str">
        <f t="shared" si="128"/>
        <v>y</v>
      </c>
      <c r="LCZ1" s="154" t="str">
        <f t="shared" si="128"/>
        <v>y</v>
      </c>
      <c r="LDA1" s="154" t="str">
        <f t="shared" si="128"/>
        <v>y</v>
      </c>
      <c r="LDB1" s="154" t="str">
        <f t="shared" si="128"/>
        <v>y</v>
      </c>
      <c r="LDC1" s="154" t="str">
        <f t="shared" si="128"/>
        <v>y</v>
      </c>
      <c r="LDD1" s="154" t="str">
        <f t="shared" si="128"/>
        <v>y</v>
      </c>
      <c r="LDE1" s="154" t="str">
        <f t="shared" si="128"/>
        <v>y</v>
      </c>
      <c r="LDF1" s="154" t="str">
        <f t="shared" si="128"/>
        <v>y</v>
      </c>
      <c r="LDG1" s="154" t="str">
        <f t="shared" si="128"/>
        <v>y</v>
      </c>
      <c r="LDH1" s="154" t="str">
        <f t="shared" si="128"/>
        <v>y</v>
      </c>
      <c r="LDI1" s="154" t="str">
        <f t="shared" si="128"/>
        <v>y</v>
      </c>
      <c r="LDJ1" s="154" t="str">
        <f t="shared" si="128"/>
        <v>y</v>
      </c>
      <c r="LDK1" s="154" t="str">
        <f t="shared" si="128"/>
        <v>y</v>
      </c>
      <c r="LDL1" s="154" t="str">
        <f t="shared" si="128"/>
        <v>y</v>
      </c>
      <c r="LDM1" s="154" t="str">
        <f t="shared" si="128"/>
        <v>y</v>
      </c>
      <c r="LDN1" s="154" t="str">
        <f t="shared" si="128"/>
        <v>y</v>
      </c>
      <c r="LDO1" s="154" t="str">
        <f t="shared" si="128"/>
        <v>y</v>
      </c>
      <c r="LDP1" s="154" t="str">
        <f t="shared" si="128"/>
        <v>y</v>
      </c>
      <c r="LDQ1" s="154" t="str">
        <f t="shared" si="128"/>
        <v>y</v>
      </c>
      <c r="LDR1" s="154" t="str">
        <f t="shared" si="128"/>
        <v>y</v>
      </c>
      <c r="LDS1" s="154" t="str">
        <f t="shared" si="128"/>
        <v>y</v>
      </c>
      <c r="LDT1" s="154" t="str">
        <f t="shared" si="128"/>
        <v>y</v>
      </c>
      <c r="LDU1" s="154" t="str">
        <f t="shared" si="128"/>
        <v>y</v>
      </c>
      <c r="LDV1" s="154" t="str">
        <f t="shared" si="128"/>
        <v>y</v>
      </c>
      <c r="LDW1" s="154" t="str">
        <f t="shared" si="128"/>
        <v>y</v>
      </c>
      <c r="LDX1" s="154" t="str">
        <f t="shared" si="128"/>
        <v>y</v>
      </c>
      <c r="LDY1" s="154" t="str">
        <f t="shared" si="128"/>
        <v>y</v>
      </c>
      <c r="LDZ1" s="154" t="str">
        <f t="shared" si="128"/>
        <v>y</v>
      </c>
      <c r="LEA1" s="154" t="str">
        <f t="shared" si="128"/>
        <v>y</v>
      </c>
      <c r="LEB1" s="154" t="str">
        <f t="shared" si="128"/>
        <v>y</v>
      </c>
      <c r="LEC1" s="154" t="str">
        <f t="shared" si="128"/>
        <v>y</v>
      </c>
      <c r="LED1" s="154" t="str">
        <f t="shared" si="128"/>
        <v>y</v>
      </c>
      <c r="LEE1" s="154" t="str">
        <f t="shared" si="128"/>
        <v>y</v>
      </c>
      <c r="LEF1" s="154" t="str">
        <f t="shared" si="128"/>
        <v>y</v>
      </c>
      <c r="LEG1" s="154" t="str">
        <f t="shared" si="128"/>
        <v>y</v>
      </c>
      <c r="LEH1" s="154" t="str">
        <f t="shared" si="128"/>
        <v>y</v>
      </c>
      <c r="LEI1" s="154" t="str">
        <f t="shared" si="128"/>
        <v>y</v>
      </c>
      <c r="LEJ1" s="154" t="str">
        <f t="shared" si="128"/>
        <v>y</v>
      </c>
      <c r="LEK1" s="154" t="str">
        <f t="shared" si="128"/>
        <v>y</v>
      </c>
      <c r="LEL1" s="154" t="str">
        <f t="shared" si="128"/>
        <v>y</v>
      </c>
      <c r="LEM1" s="154" t="str">
        <f t="shared" si="128"/>
        <v>y</v>
      </c>
      <c r="LEN1" s="154" t="str">
        <f t="shared" si="128"/>
        <v>y</v>
      </c>
      <c r="LEO1" s="154" t="str">
        <f t="shared" si="128"/>
        <v>y</v>
      </c>
      <c r="LEP1" s="154" t="str">
        <f t="shared" si="128"/>
        <v>y</v>
      </c>
      <c r="LEQ1" s="154" t="str">
        <f t="shared" si="128"/>
        <v>y</v>
      </c>
      <c r="LER1" s="154" t="str">
        <f t="shared" ref="LER1:LHC1" si="129">LER2&amp;"y"</f>
        <v>y</v>
      </c>
      <c r="LES1" s="154" t="str">
        <f t="shared" si="129"/>
        <v>y</v>
      </c>
      <c r="LET1" s="154" t="str">
        <f t="shared" si="129"/>
        <v>y</v>
      </c>
      <c r="LEU1" s="154" t="str">
        <f t="shared" si="129"/>
        <v>y</v>
      </c>
      <c r="LEV1" s="154" t="str">
        <f t="shared" si="129"/>
        <v>y</v>
      </c>
      <c r="LEW1" s="154" t="str">
        <f t="shared" si="129"/>
        <v>y</v>
      </c>
      <c r="LEX1" s="154" t="str">
        <f t="shared" si="129"/>
        <v>y</v>
      </c>
      <c r="LEY1" s="154" t="str">
        <f t="shared" si="129"/>
        <v>y</v>
      </c>
      <c r="LEZ1" s="154" t="str">
        <f t="shared" si="129"/>
        <v>y</v>
      </c>
      <c r="LFA1" s="154" t="str">
        <f t="shared" si="129"/>
        <v>y</v>
      </c>
      <c r="LFB1" s="154" t="str">
        <f t="shared" si="129"/>
        <v>y</v>
      </c>
      <c r="LFC1" s="154" t="str">
        <f t="shared" si="129"/>
        <v>y</v>
      </c>
      <c r="LFD1" s="154" t="str">
        <f t="shared" si="129"/>
        <v>y</v>
      </c>
      <c r="LFE1" s="154" t="str">
        <f t="shared" si="129"/>
        <v>y</v>
      </c>
      <c r="LFF1" s="154" t="str">
        <f t="shared" si="129"/>
        <v>y</v>
      </c>
      <c r="LFG1" s="154" t="str">
        <f t="shared" si="129"/>
        <v>y</v>
      </c>
      <c r="LFH1" s="154" t="str">
        <f t="shared" si="129"/>
        <v>y</v>
      </c>
      <c r="LFI1" s="154" t="str">
        <f t="shared" si="129"/>
        <v>y</v>
      </c>
      <c r="LFJ1" s="154" t="str">
        <f t="shared" si="129"/>
        <v>y</v>
      </c>
      <c r="LFK1" s="154" t="str">
        <f t="shared" si="129"/>
        <v>y</v>
      </c>
      <c r="LFL1" s="154" t="str">
        <f t="shared" si="129"/>
        <v>y</v>
      </c>
      <c r="LFM1" s="154" t="str">
        <f t="shared" si="129"/>
        <v>y</v>
      </c>
      <c r="LFN1" s="154" t="str">
        <f t="shared" si="129"/>
        <v>y</v>
      </c>
      <c r="LFO1" s="154" t="str">
        <f t="shared" si="129"/>
        <v>y</v>
      </c>
      <c r="LFP1" s="154" t="str">
        <f t="shared" si="129"/>
        <v>y</v>
      </c>
      <c r="LFQ1" s="154" t="str">
        <f t="shared" si="129"/>
        <v>y</v>
      </c>
      <c r="LFR1" s="154" t="str">
        <f t="shared" si="129"/>
        <v>y</v>
      </c>
      <c r="LFS1" s="154" t="str">
        <f t="shared" si="129"/>
        <v>y</v>
      </c>
      <c r="LFT1" s="154" t="str">
        <f t="shared" si="129"/>
        <v>y</v>
      </c>
      <c r="LFU1" s="154" t="str">
        <f t="shared" si="129"/>
        <v>y</v>
      </c>
      <c r="LFV1" s="154" t="str">
        <f t="shared" si="129"/>
        <v>y</v>
      </c>
      <c r="LFW1" s="154" t="str">
        <f t="shared" si="129"/>
        <v>y</v>
      </c>
      <c r="LFX1" s="154" t="str">
        <f t="shared" si="129"/>
        <v>y</v>
      </c>
      <c r="LFY1" s="154" t="str">
        <f t="shared" si="129"/>
        <v>y</v>
      </c>
      <c r="LFZ1" s="154" t="str">
        <f t="shared" si="129"/>
        <v>y</v>
      </c>
      <c r="LGA1" s="154" t="str">
        <f t="shared" si="129"/>
        <v>y</v>
      </c>
      <c r="LGB1" s="154" t="str">
        <f t="shared" si="129"/>
        <v>y</v>
      </c>
      <c r="LGC1" s="154" t="str">
        <f t="shared" si="129"/>
        <v>y</v>
      </c>
      <c r="LGD1" s="154" t="str">
        <f t="shared" si="129"/>
        <v>y</v>
      </c>
      <c r="LGE1" s="154" t="str">
        <f t="shared" si="129"/>
        <v>y</v>
      </c>
      <c r="LGF1" s="154" t="str">
        <f t="shared" si="129"/>
        <v>y</v>
      </c>
      <c r="LGG1" s="154" t="str">
        <f t="shared" si="129"/>
        <v>y</v>
      </c>
      <c r="LGH1" s="154" t="str">
        <f t="shared" si="129"/>
        <v>y</v>
      </c>
      <c r="LGI1" s="154" t="str">
        <f t="shared" si="129"/>
        <v>y</v>
      </c>
      <c r="LGJ1" s="154" t="str">
        <f t="shared" si="129"/>
        <v>y</v>
      </c>
      <c r="LGK1" s="154" t="str">
        <f t="shared" si="129"/>
        <v>y</v>
      </c>
      <c r="LGL1" s="154" t="str">
        <f t="shared" si="129"/>
        <v>y</v>
      </c>
      <c r="LGM1" s="154" t="str">
        <f t="shared" si="129"/>
        <v>y</v>
      </c>
      <c r="LGN1" s="154" t="str">
        <f t="shared" si="129"/>
        <v>y</v>
      </c>
      <c r="LGO1" s="154" t="str">
        <f t="shared" si="129"/>
        <v>y</v>
      </c>
      <c r="LGP1" s="154" t="str">
        <f t="shared" si="129"/>
        <v>y</v>
      </c>
      <c r="LGQ1" s="154" t="str">
        <f t="shared" si="129"/>
        <v>y</v>
      </c>
      <c r="LGR1" s="154" t="str">
        <f t="shared" si="129"/>
        <v>y</v>
      </c>
      <c r="LGS1" s="154" t="str">
        <f t="shared" si="129"/>
        <v>y</v>
      </c>
      <c r="LGT1" s="154" t="str">
        <f t="shared" si="129"/>
        <v>y</v>
      </c>
      <c r="LGU1" s="154" t="str">
        <f t="shared" si="129"/>
        <v>y</v>
      </c>
      <c r="LGV1" s="154" t="str">
        <f t="shared" si="129"/>
        <v>y</v>
      </c>
      <c r="LGW1" s="154" t="str">
        <f t="shared" si="129"/>
        <v>y</v>
      </c>
      <c r="LGX1" s="154" t="str">
        <f t="shared" si="129"/>
        <v>y</v>
      </c>
      <c r="LGY1" s="154" t="str">
        <f t="shared" si="129"/>
        <v>y</v>
      </c>
      <c r="LGZ1" s="154" t="str">
        <f t="shared" si="129"/>
        <v>y</v>
      </c>
      <c r="LHA1" s="154" t="str">
        <f t="shared" si="129"/>
        <v>y</v>
      </c>
      <c r="LHB1" s="154" t="str">
        <f t="shared" si="129"/>
        <v>y</v>
      </c>
      <c r="LHC1" s="154" t="str">
        <f t="shared" si="129"/>
        <v>y</v>
      </c>
      <c r="LHD1" s="154" t="str">
        <f t="shared" ref="LHD1:LJO1" si="130">LHD2&amp;"y"</f>
        <v>y</v>
      </c>
      <c r="LHE1" s="154" t="str">
        <f t="shared" si="130"/>
        <v>y</v>
      </c>
      <c r="LHF1" s="154" t="str">
        <f t="shared" si="130"/>
        <v>y</v>
      </c>
      <c r="LHG1" s="154" t="str">
        <f t="shared" si="130"/>
        <v>y</v>
      </c>
      <c r="LHH1" s="154" t="str">
        <f t="shared" si="130"/>
        <v>y</v>
      </c>
      <c r="LHI1" s="154" t="str">
        <f t="shared" si="130"/>
        <v>y</v>
      </c>
      <c r="LHJ1" s="154" t="str">
        <f t="shared" si="130"/>
        <v>y</v>
      </c>
      <c r="LHK1" s="154" t="str">
        <f t="shared" si="130"/>
        <v>y</v>
      </c>
      <c r="LHL1" s="154" t="str">
        <f t="shared" si="130"/>
        <v>y</v>
      </c>
      <c r="LHM1" s="154" t="str">
        <f t="shared" si="130"/>
        <v>y</v>
      </c>
      <c r="LHN1" s="154" t="str">
        <f t="shared" si="130"/>
        <v>y</v>
      </c>
      <c r="LHO1" s="154" t="str">
        <f t="shared" si="130"/>
        <v>y</v>
      </c>
      <c r="LHP1" s="154" t="str">
        <f t="shared" si="130"/>
        <v>y</v>
      </c>
      <c r="LHQ1" s="154" t="str">
        <f t="shared" si="130"/>
        <v>y</v>
      </c>
      <c r="LHR1" s="154" t="str">
        <f t="shared" si="130"/>
        <v>y</v>
      </c>
      <c r="LHS1" s="154" t="str">
        <f t="shared" si="130"/>
        <v>y</v>
      </c>
      <c r="LHT1" s="154" t="str">
        <f t="shared" si="130"/>
        <v>y</v>
      </c>
      <c r="LHU1" s="154" t="str">
        <f t="shared" si="130"/>
        <v>y</v>
      </c>
      <c r="LHV1" s="154" t="str">
        <f t="shared" si="130"/>
        <v>y</v>
      </c>
      <c r="LHW1" s="154" t="str">
        <f t="shared" si="130"/>
        <v>y</v>
      </c>
      <c r="LHX1" s="154" t="str">
        <f t="shared" si="130"/>
        <v>y</v>
      </c>
      <c r="LHY1" s="154" t="str">
        <f t="shared" si="130"/>
        <v>y</v>
      </c>
      <c r="LHZ1" s="154" t="str">
        <f t="shared" si="130"/>
        <v>y</v>
      </c>
      <c r="LIA1" s="154" t="str">
        <f t="shared" si="130"/>
        <v>y</v>
      </c>
      <c r="LIB1" s="154" t="str">
        <f t="shared" si="130"/>
        <v>y</v>
      </c>
      <c r="LIC1" s="154" t="str">
        <f t="shared" si="130"/>
        <v>y</v>
      </c>
      <c r="LID1" s="154" t="str">
        <f t="shared" si="130"/>
        <v>y</v>
      </c>
      <c r="LIE1" s="154" t="str">
        <f t="shared" si="130"/>
        <v>y</v>
      </c>
      <c r="LIF1" s="154" t="str">
        <f t="shared" si="130"/>
        <v>y</v>
      </c>
      <c r="LIG1" s="154" t="str">
        <f t="shared" si="130"/>
        <v>y</v>
      </c>
      <c r="LIH1" s="154" t="str">
        <f t="shared" si="130"/>
        <v>y</v>
      </c>
      <c r="LII1" s="154" t="str">
        <f t="shared" si="130"/>
        <v>y</v>
      </c>
      <c r="LIJ1" s="154" t="str">
        <f t="shared" si="130"/>
        <v>y</v>
      </c>
      <c r="LIK1" s="154" t="str">
        <f t="shared" si="130"/>
        <v>y</v>
      </c>
      <c r="LIL1" s="154" t="str">
        <f t="shared" si="130"/>
        <v>y</v>
      </c>
      <c r="LIM1" s="154" t="str">
        <f t="shared" si="130"/>
        <v>y</v>
      </c>
      <c r="LIN1" s="154" t="str">
        <f t="shared" si="130"/>
        <v>y</v>
      </c>
      <c r="LIO1" s="154" t="str">
        <f t="shared" si="130"/>
        <v>y</v>
      </c>
      <c r="LIP1" s="154" t="str">
        <f t="shared" si="130"/>
        <v>y</v>
      </c>
      <c r="LIQ1" s="154" t="str">
        <f t="shared" si="130"/>
        <v>y</v>
      </c>
      <c r="LIR1" s="154" t="str">
        <f t="shared" si="130"/>
        <v>y</v>
      </c>
      <c r="LIS1" s="154" t="str">
        <f t="shared" si="130"/>
        <v>y</v>
      </c>
      <c r="LIT1" s="154" t="str">
        <f t="shared" si="130"/>
        <v>y</v>
      </c>
      <c r="LIU1" s="154" t="str">
        <f t="shared" si="130"/>
        <v>y</v>
      </c>
      <c r="LIV1" s="154" t="str">
        <f t="shared" si="130"/>
        <v>y</v>
      </c>
      <c r="LIW1" s="154" t="str">
        <f t="shared" si="130"/>
        <v>y</v>
      </c>
      <c r="LIX1" s="154" t="str">
        <f t="shared" si="130"/>
        <v>y</v>
      </c>
      <c r="LIY1" s="154" t="str">
        <f t="shared" si="130"/>
        <v>y</v>
      </c>
      <c r="LIZ1" s="154" t="str">
        <f t="shared" si="130"/>
        <v>y</v>
      </c>
      <c r="LJA1" s="154" t="str">
        <f t="shared" si="130"/>
        <v>y</v>
      </c>
      <c r="LJB1" s="154" t="str">
        <f t="shared" si="130"/>
        <v>y</v>
      </c>
      <c r="LJC1" s="154" t="str">
        <f t="shared" si="130"/>
        <v>y</v>
      </c>
      <c r="LJD1" s="154" t="str">
        <f t="shared" si="130"/>
        <v>y</v>
      </c>
      <c r="LJE1" s="154" t="str">
        <f t="shared" si="130"/>
        <v>y</v>
      </c>
      <c r="LJF1" s="154" t="str">
        <f t="shared" si="130"/>
        <v>y</v>
      </c>
      <c r="LJG1" s="154" t="str">
        <f t="shared" si="130"/>
        <v>y</v>
      </c>
      <c r="LJH1" s="154" t="str">
        <f t="shared" si="130"/>
        <v>y</v>
      </c>
      <c r="LJI1" s="154" t="str">
        <f t="shared" si="130"/>
        <v>y</v>
      </c>
      <c r="LJJ1" s="154" t="str">
        <f t="shared" si="130"/>
        <v>y</v>
      </c>
      <c r="LJK1" s="154" t="str">
        <f t="shared" si="130"/>
        <v>y</v>
      </c>
      <c r="LJL1" s="154" t="str">
        <f t="shared" si="130"/>
        <v>y</v>
      </c>
      <c r="LJM1" s="154" t="str">
        <f t="shared" si="130"/>
        <v>y</v>
      </c>
      <c r="LJN1" s="154" t="str">
        <f t="shared" si="130"/>
        <v>y</v>
      </c>
      <c r="LJO1" s="154" t="str">
        <f t="shared" si="130"/>
        <v>y</v>
      </c>
      <c r="LJP1" s="154" t="str">
        <f t="shared" ref="LJP1:LMA1" si="131">LJP2&amp;"y"</f>
        <v>y</v>
      </c>
      <c r="LJQ1" s="154" t="str">
        <f t="shared" si="131"/>
        <v>y</v>
      </c>
      <c r="LJR1" s="154" t="str">
        <f t="shared" si="131"/>
        <v>y</v>
      </c>
      <c r="LJS1" s="154" t="str">
        <f t="shared" si="131"/>
        <v>y</v>
      </c>
      <c r="LJT1" s="154" t="str">
        <f t="shared" si="131"/>
        <v>y</v>
      </c>
      <c r="LJU1" s="154" t="str">
        <f t="shared" si="131"/>
        <v>y</v>
      </c>
      <c r="LJV1" s="154" t="str">
        <f t="shared" si="131"/>
        <v>y</v>
      </c>
      <c r="LJW1" s="154" t="str">
        <f t="shared" si="131"/>
        <v>y</v>
      </c>
      <c r="LJX1" s="154" t="str">
        <f t="shared" si="131"/>
        <v>y</v>
      </c>
      <c r="LJY1" s="154" t="str">
        <f t="shared" si="131"/>
        <v>y</v>
      </c>
      <c r="LJZ1" s="154" t="str">
        <f t="shared" si="131"/>
        <v>y</v>
      </c>
      <c r="LKA1" s="154" t="str">
        <f t="shared" si="131"/>
        <v>y</v>
      </c>
      <c r="LKB1" s="154" t="str">
        <f t="shared" si="131"/>
        <v>y</v>
      </c>
      <c r="LKC1" s="154" t="str">
        <f t="shared" si="131"/>
        <v>y</v>
      </c>
      <c r="LKD1" s="154" t="str">
        <f t="shared" si="131"/>
        <v>y</v>
      </c>
      <c r="LKE1" s="154" t="str">
        <f t="shared" si="131"/>
        <v>y</v>
      </c>
      <c r="LKF1" s="154" t="str">
        <f t="shared" si="131"/>
        <v>y</v>
      </c>
      <c r="LKG1" s="154" t="str">
        <f t="shared" si="131"/>
        <v>y</v>
      </c>
      <c r="LKH1" s="154" t="str">
        <f t="shared" si="131"/>
        <v>y</v>
      </c>
      <c r="LKI1" s="154" t="str">
        <f t="shared" si="131"/>
        <v>y</v>
      </c>
      <c r="LKJ1" s="154" t="str">
        <f t="shared" si="131"/>
        <v>y</v>
      </c>
      <c r="LKK1" s="154" t="str">
        <f t="shared" si="131"/>
        <v>y</v>
      </c>
      <c r="LKL1" s="154" t="str">
        <f t="shared" si="131"/>
        <v>y</v>
      </c>
      <c r="LKM1" s="154" t="str">
        <f t="shared" si="131"/>
        <v>y</v>
      </c>
      <c r="LKN1" s="154" t="str">
        <f t="shared" si="131"/>
        <v>y</v>
      </c>
      <c r="LKO1" s="154" t="str">
        <f t="shared" si="131"/>
        <v>y</v>
      </c>
      <c r="LKP1" s="154" t="str">
        <f t="shared" si="131"/>
        <v>y</v>
      </c>
      <c r="LKQ1" s="154" t="str">
        <f t="shared" si="131"/>
        <v>y</v>
      </c>
      <c r="LKR1" s="154" t="str">
        <f t="shared" si="131"/>
        <v>y</v>
      </c>
      <c r="LKS1" s="154" t="str">
        <f t="shared" si="131"/>
        <v>y</v>
      </c>
      <c r="LKT1" s="154" t="str">
        <f t="shared" si="131"/>
        <v>y</v>
      </c>
      <c r="LKU1" s="154" t="str">
        <f t="shared" si="131"/>
        <v>y</v>
      </c>
      <c r="LKV1" s="154" t="str">
        <f t="shared" si="131"/>
        <v>y</v>
      </c>
      <c r="LKW1" s="154" t="str">
        <f t="shared" si="131"/>
        <v>y</v>
      </c>
      <c r="LKX1" s="154" t="str">
        <f t="shared" si="131"/>
        <v>y</v>
      </c>
      <c r="LKY1" s="154" t="str">
        <f t="shared" si="131"/>
        <v>y</v>
      </c>
      <c r="LKZ1" s="154" t="str">
        <f t="shared" si="131"/>
        <v>y</v>
      </c>
      <c r="LLA1" s="154" t="str">
        <f t="shared" si="131"/>
        <v>y</v>
      </c>
      <c r="LLB1" s="154" t="str">
        <f t="shared" si="131"/>
        <v>y</v>
      </c>
      <c r="LLC1" s="154" t="str">
        <f t="shared" si="131"/>
        <v>y</v>
      </c>
      <c r="LLD1" s="154" t="str">
        <f t="shared" si="131"/>
        <v>y</v>
      </c>
      <c r="LLE1" s="154" t="str">
        <f t="shared" si="131"/>
        <v>y</v>
      </c>
      <c r="LLF1" s="154" t="str">
        <f t="shared" si="131"/>
        <v>y</v>
      </c>
      <c r="LLG1" s="154" t="str">
        <f t="shared" si="131"/>
        <v>y</v>
      </c>
      <c r="LLH1" s="154" t="str">
        <f t="shared" si="131"/>
        <v>y</v>
      </c>
      <c r="LLI1" s="154" t="str">
        <f t="shared" si="131"/>
        <v>y</v>
      </c>
      <c r="LLJ1" s="154" t="str">
        <f t="shared" si="131"/>
        <v>y</v>
      </c>
      <c r="LLK1" s="154" t="str">
        <f t="shared" si="131"/>
        <v>y</v>
      </c>
      <c r="LLL1" s="154" t="str">
        <f t="shared" si="131"/>
        <v>y</v>
      </c>
      <c r="LLM1" s="154" t="str">
        <f t="shared" si="131"/>
        <v>y</v>
      </c>
      <c r="LLN1" s="154" t="str">
        <f t="shared" si="131"/>
        <v>y</v>
      </c>
      <c r="LLO1" s="154" t="str">
        <f t="shared" si="131"/>
        <v>y</v>
      </c>
      <c r="LLP1" s="154" t="str">
        <f t="shared" si="131"/>
        <v>y</v>
      </c>
      <c r="LLQ1" s="154" t="str">
        <f t="shared" si="131"/>
        <v>y</v>
      </c>
      <c r="LLR1" s="154" t="str">
        <f t="shared" si="131"/>
        <v>y</v>
      </c>
      <c r="LLS1" s="154" t="str">
        <f t="shared" si="131"/>
        <v>y</v>
      </c>
      <c r="LLT1" s="154" t="str">
        <f t="shared" si="131"/>
        <v>y</v>
      </c>
      <c r="LLU1" s="154" t="str">
        <f t="shared" si="131"/>
        <v>y</v>
      </c>
      <c r="LLV1" s="154" t="str">
        <f t="shared" si="131"/>
        <v>y</v>
      </c>
      <c r="LLW1" s="154" t="str">
        <f t="shared" si="131"/>
        <v>y</v>
      </c>
      <c r="LLX1" s="154" t="str">
        <f t="shared" si="131"/>
        <v>y</v>
      </c>
      <c r="LLY1" s="154" t="str">
        <f t="shared" si="131"/>
        <v>y</v>
      </c>
      <c r="LLZ1" s="154" t="str">
        <f t="shared" si="131"/>
        <v>y</v>
      </c>
      <c r="LMA1" s="154" t="str">
        <f t="shared" si="131"/>
        <v>y</v>
      </c>
      <c r="LMB1" s="154" t="str">
        <f t="shared" ref="LMB1:LOM1" si="132">LMB2&amp;"y"</f>
        <v>y</v>
      </c>
      <c r="LMC1" s="154" t="str">
        <f t="shared" si="132"/>
        <v>y</v>
      </c>
      <c r="LMD1" s="154" t="str">
        <f t="shared" si="132"/>
        <v>y</v>
      </c>
      <c r="LME1" s="154" t="str">
        <f t="shared" si="132"/>
        <v>y</v>
      </c>
      <c r="LMF1" s="154" t="str">
        <f t="shared" si="132"/>
        <v>y</v>
      </c>
      <c r="LMG1" s="154" t="str">
        <f t="shared" si="132"/>
        <v>y</v>
      </c>
      <c r="LMH1" s="154" t="str">
        <f t="shared" si="132"/>
        <v>y</v>
      </c>
      <c r="LMI1" s="154" t="str">
        <f t="shared" si="132"/>
        <v>y</v>
      </c>
      <c r="LMJ1" s="154" t="str">
        <f t="shared" si="132"/>
        <v>y</v>
      </c>
      <c r="LMK1" s="154" t="str">
        <f t="shared" si="132"/>
        <v>y</v>
      </c>
      <c r="LML1" s="154" t="str">
        <f t="shared" si="132"/>
        <v>y</v>
      </c>
      <c r="LMM1" s="154" t="str">
        <f t="shared" si="132"/>
        <v>y</v>
      </c>
      <c r="LMN1" s="154" t="str">
        <f t="shared" si="132"/>
        <v>y</v>
      </c>
      <c r="LMO1" s="154" t="str">
        <f t="shared" si="132"/>
        <v>y</v>
      </c>
      <c r="LMP1" s="154" t="str">
        <f t="shared" si="132"/>
        <v>y</v>
      </c>
      <c r="LMQ1" s="154" t="str">
        <f t="shared" si="132"/>
        <v>y</v>
      </c>
      <c r="LMR1" s="154" t="str">
        <f t="shared" si="132"/>
        <v>y</v>
      </c>
      <c r="LMS1" s="154" t="str">
        <f t="shared" si="132"/>
        <v>y</v>
      </c>
      <c r="LMT1" s="154" t="str">
        <f t="shared" si="132"/>
        <v>y</v>
      </c>
      <c r="LMU1" s="154" t="str">
        <f t="shared" si="132"/>
        <v>y</v>
      </c>
      <c r="LMV1" s="154" t="str">
        <f t="shared" si="132"/>
        <v>y</v>
      </c>
      <c r="LMW1" s="154" t="str">
        <f t="shared" si="132"/>
        <v>y</v>
      </c>
      <c r="LMX1" s="154" t="str">
        <f t="shared" si="132"/>
        <v>y</v>
      </c>
      <c r="LMY1" s="154" t="str">
        <f t="shared" si="132"/>
        <v>y</v>
      </c>
      <c r="LMZ1" s="154" t="str">
        <f t="shared" si="132"/>
        <v>y</v>
      </c>
      <c r="LNA1" s="154" t="str">
        <f t="shared" si="132"/>
        <v>y</v>
      </c>
      <c r="LNB1" s="154" t="str">
        <f t="shared" si="132"/>
        <v>y</v>
      </c>
      <c r="LNC1" s="154" t="str">
        <f t="shared" si="132"/>
        <v>y</v>
      </c>
      <c r="LND1" s="154" t="str">
        <f t="shared" si="132"/>
        <v>y</v>
      </c>
      <c r="LNE1" s="154" t="str">
        <f t="shared" si="132"/>
        <v>y</v>
      </c>
      <c r="LNF1" s="154" t="str">
        <f t="shared" si="132"/>
        <v>y</v>
      </c>
      <c r="LNG1" s="154" t="str">
        <f t="shared" si="132"/>
        <v>y</v>
      </c>
      <c r="LNH1" s="154" t="str">
        <f t="shared" si="132"/>
        <v>y</v>
      </c>
      <c r="LNI1" s="154" t="str">
        <f t="shared" si="132"/>
        <v>y</v>
      </c>
      <c r="LNJ1" s="154" t="str">
        <f t="shared" si="132"/>
        <v>y</v>
      </c>
      <c r="LNK1" s="154" t="str">
        <f t="shared" si="132"/>
        <v>y</v>
      </c>
      <c r="LNL1" s="154" t="str">
        <f t="shared" si="132"/>
        <v>y</v>
      </c>
      <c r="LNM1" s="154" t="str">
        <f t="shared" si="132"/>
        <v>y</v>
      </c>
      <c r="LNN1" s="154" t="str">
        <f t="shared" si="132"/>
        <v>y</v>
      </c>
      <c r="LNO1" s="154" t="str">
        <f t="shared" si="132"/>
        <v>y</v>
      </c>
      <c r="LNP1" s="154" t="str">
        <f t="shared" si="132"/>
        <v>y</v>
      </c>
      <c r="LNQ1" s="154" t="str">
        <f t="shared" si="132"/>
        <v>y</v>
      </c>
      <c r="LNR1" s="154" t="str">
        <f t="shared" si="132"/>
        <v>y</v>
      </c>
      <c r="LNS1" s="154" t="str">
        <f t="shared" si="132"/>
        <v>y</v>
      </c>
      <c r="LNT1" s="154" t="str">
        <f t="shared" si="132"/>
        <v>y</v>
      </c>
      <c r="LNU1" s="154" t="str">
        <f t="shared" si="132"/>
        <v>y</v>
      </c>
      <c r="LNV1" s="154" t="str">
        <f t="shared" si="132"/>
        <v>y</v>
      </c>
      <c r="LNW1" s="154" t="str">
        <f t="shared" si="132"/>
        <v>y</v>
      </c>
      <c r="LNX1" s="154" t="str">
        <f t="shared" si="132"/>
        <v>y</v>
      </c>
      <c r="LNY1" s="154" t="str">
        <f t="shared" si="132"/>
        <v>y</v>
      </c>
      <c r="LNZ1" s="154" t="str">
        <f t="shared" si="132"/>
        <v>y</v>
      </c>
      <c r="LOA1" s="154" t="str">
        <f t="shared" si="132"/>
        <v>y</v>
      </c>
      <c r="LOB1" s="154" t="str">
        <f t="shared" si="132"/>
        <v>y</v>
      </c>
      <c r="LOC1" s="154" t="str">
        <f t="shared" si="132"/>
        <v>y</v>
      </c>
      <c r="LOD1" s="154" t="str">
        <f t="shared" si="132"/>
        <v>y</v>
      </c>
      <c r="LOE1" s="154" t="str">
        <f t="shared" si="132"/>
        <v>y</v>
      </c>
      <c r="LOF1" s="154" t="str">
        <f t="shared" si="132"/>
        <v>y</v>
      </c>
      <c r="LOG1" s="154" t="str">
        <f t="shared" si="132"/>
        <v>y</v>
      </c>
      <c r="LOH1" s="154" t="str">
        <f t="shared" si="132"/>
        <v>y</v>
      </c>
      <c r="LOI1" s="154" t="str">
        <f t="shared" si="132"/>
        <v>y</v>
      </c>
      <c r="LOJ1" s="154" t="str">
        <f t="shared" si="132"/>
        <v>y</v>
      </c>
      <c r="LOK1" s="154" t="str">
        <f t="shared" si="132"/>
        <v>y</v>
      </c>
      <c r="LOL1" s="154" t="str">
        <f t="shared" si="132"/>
        <v>y</v>
      </c>
      <c r="LOM1" s="154" t="str">
        <f t="shared" si="132"/>
        <v>y</v>
      </c>
      <c r="LON1" s="154" t="str">
        <f t="shared" ref="LON1:LQY1" si="133">LON2&amp;"y"</f>
        <v>y</v>
      </c>
      <c r="LOO1" s="154" t="str">
        <f t="shared" si="133"/>
        <v>y</v>
      </c>
      <c r="LOP1" s="154" t="str">
        <f t="shared" si="133"/>
        <v>y</v>
      </c>
      <c r="LOQ1" s="154" t="str">
        <f t="shared" si="133"/>
        <v>y</v>
      </c>
      <c r="LOR1" s="154" t="str">
        <f t="shared" si="133"/>
        <v>y</v>
      </c>
      <c r="LOS1" s="154" t="str">
        <f t="shared" si="133"/>
        <v>y</v>
      </c>
      <c r="LOT1" s="154" t="str">
        <f t="shared" si="133"/>
        <v>y</v>
      </c>
      <c r="LOU1" s="154" t="str">
        <f t="shared" si="133"/>
        <v>y</v>
      </c>
      <c r="LOV1" s="154" t="str">
        <f t="shared" si="133"/>
        <v>y</v>
      </c>
      <c r="LOW1" s="154" t="str">
        <f t="shared" si="133"/>
        <v>y</v>
      </c>
      <c r="LOX1" s="154" t="str">
        <f t="shared" si="133"/>
        <v>y</v>
      </c>
      <c r="LOY1" s="154" t="str">
        <f t="shared" si="133"/>
        <v>y</v>
      </c>
      <c r="LOZ1" s="154" t="str">
        <f t="shared" si="133"/>
        <v>y</v>
      </c>
      <c r="LPA1" s="154" t="str">
        <f t="shared" si="133"/>
        <v>y</v>
      </c>
      <c r="LPB1" s="154" t="str">
        <f t="shared" si="133"/>
        <v>y</v>
      </c>
      <c r="LPC1" s="154" t="str">
        <f t="shared" si="133"/>
        <v>y</v>
      </c>
      <c r="LPD1" s="154" t="str">
        <f t="shared" si="133"/>
        <v>y</v>
      </c>
      <c r="LPE1" s="154" t="str">
        <f t="shared" si="133"/>
        <v>y</v>
      </c>
      <c r="LPF1" s="154" t="str">
        <f t="shared" si="133"/>
        <v>y</v>
      </c>
      <c r="LPG1" s="154" t="str">
        <f t="shared" si="133"/>
        <v>y</v>
      </c>
      <c r="LPH1" s="154" t="str">
        <f t="shared" si="133"/>
        <v>y</v>
      </c>
      <c r="LPI1" s="154" t="str">
        <f t="shared" si="133"/>
        <v>y</v>
      </c>
      <c r="LPJ1" s="154" t="str">
        <f t="shared" si="133"/>
        <v>y</v>
      </c>
      <c r="LPK1" s="154" t="str">
        <f t="shared" si="133"/>
        <v>y</v>
      </c>
      <c r="LPL1" s="154" t="str">
        <f t="shared" si="133"/>
        <v>y</v>
      </c>
      <c r="LPM1" s="154" t="str">
        <f t="shared" si="133"/>
        <v>y</v>
      </c>
      <c r="LPN1" s="154" t="str">
        <f t="shared" si="133"/>
        <v>y</v>
      </c>
      <c r="LPO1" s="154" t="str">
        <f t="shared" si="133"/>
        <v>y</v>
      </c>
      <c r="LPP1" s="154" t="str">
        <f t="shared" si="133"/>
        <v>y</v>
      </c>
      <c r="LPQ1" s="154" t="str">
        <f t="shared" si="133"/>
        <v>y</v>
      </c>
      <c r="LPR1" s="154" t="str">
        <f t="shared" si="133"/>
        <v>y</v>
      </c>
      <c r="LPS1" s="154" t="str">
        <f t="shared" si="133"/>
        <v>y</v>
      </c>
      <c r="LPT1" s="154" t="str">
        <f t="shared" si="133"/>
        <v>y</v>
      </c>
      <c r="LPU1" s="154" t="str">
        <f t="shared" si="133"/>
        <v>y</v>
      </c>
      <c r="LPV1" s="154" t="str">
        <f t="shared" si="133"/>
        <v>y</v>
      </c>
      <c r="LPW1" s="154" t="str">
        <f t="shared" si="133"/>
        <v>y</v>
      </c>
      <c r="LPX1" s="154" t="str">
        <f t="shared" si="133"/>
        <v>y</v>
      </c>
      <c r="LPY1" s="154" t="str">
        <f t="shared" si="133"/>
        <v>y</v>
      </c>
      <c r="LPZ1" s="154" t="str">
        <f t="shared" si="133"/>
        <v>y</v>
      </c>
      <c r="LQA1" s="154" t="str">
        <f t="shared" si="133"/>
        <v>y</v>
      </c>
      <c r="LQB1" s="154" t="str">
        <f t="shared" si="133"/>
        <v>y</v>
      </c>
      <c r="LQC1" s="154" t="str">
        <f t="shared" si="133"/>
        <v>y</v>
      </c>
      <c r="LQD1" s="154" t="str">
        <f t="shared" si="133"/>
        <v>y</v>
      </c>
      <c r="LQE1" s="154" t="str">
        <f t="shared" si="133"/>
        <v>y</v>
      </c>
      <c r="LQF1" s="154" t="str">
        <f t="shared" si="133"/>
        <v>y</v>
      </c>
      <c r="LQG1" s="154" t="str">
        <f t="shared" si="133"/>
        <v>y</v>
      </c>
      <c r="LQH1" s="154" t="str">
        <f t="shared" si="133"/>
        <v>y</v>
      </c>
      <c r="LQI1" s="154" t="str">
        <f t="shared" si="133"/>
        <v>y</v>
      </c>
      <c r="LQJ1" s="154" t="str">
        <f t="shared" si="133"/>
        <v>y</v>
      </c>
      <c r="LQK1" s="154" t="str">
        <f t="shared" si="133"/>
        <v>y</v>
      </c>
      <c r="LQL1" s="154" t="str">
        <f t="shared" si="133"/>
        <v>y</v>
      </c>
      <c r="LQM1" s="154" t="str">
        <f t="shared" si="133"/>
        <v>y</v>
      </c>
      <c r="LQN1" s="154" t="str">
        <f t="shared" si="133"/>
        <v>y</v>
      </c>
      <c r="LQO1" s="154" t="str">
        <f t="shared" si="133"/>
        <v>y</v>
      </c>
      <c r="LQP1" s="154" t="str">
        <f t="shared" si="133"/>
        <v>y</v>
      </c>
      <c r="LQQ1" s="154" t="str">
        <f t="shared" si="133"/>
        <v>y</v>
      </c>
      <c r="LQR1" s="154" t="str">
        <f t="shared" si="133"/>
        <v>y</v>
      </c>
      <c r="LQS1" s="154" t="str">
        <f t="shared" si="133"/>
        <v>y</v>
      </c>
      <c r="LQT1" s="154" t="str">
        <f t="shared" si="133"/>
        <v>y</v>
      </c>
      <c r="LQU1" s="154" t="str">
        <f t="shared" si="133"/>
        <v>y</v>
      </c>
      <c r="LQV1" s="154" t="str">
        <f t="shared" si="133"/>
        <v>y</v>
      </c>
      <c r="LQW1" s="154" t="str">
        <f t="shared" si="133"/>
        <v>y</v>
      </c>
      <c r="LQX1" s="154" t="str">
        <f t="shared" si="133"/>
        <v>y</v>
      </c>
      <c r="LQY1" s="154" t="str">
        <f t="shared" si="133"/>
        <v>y</v>
      </c>
      <c r="LQZ1" s="154" t="str">
        <f t="shared" ref="LQZ1:LTK1" si="134">LQZ2&amp;"y"</f>
        <v>y</v>
      </c>
      <c r="LRA1" s="154" t="str">
        <f t="shared" si="134"/>
        <v>y</v>
      </c>
      <c r="LRB1" s="154" t="str">
        <f t="shared" si="134"/>
        <v>y</v>
      </c>
      <c r="LRC1" s="154" t="str">
        <f t="shared" si="134"/>
        <v>y</v>
      </c>
      <c r="LRD1" s="154" t="str">
        <f t="shared" si="134"/>
        <v>y</v>
      </c>
      <c r="LRE1" s="154" t="str">
        <f t="shared" si="134"/>
        <v>y</v>
      </c>
      <c r="LRF1" s="154" t="str">
        <f t="shared" si="134"/>
        <v>y</v>
      </c>
      <c r="LRG1" s="154" t="str">
        <f t="shared" si="134"/>
        <v>y</v>
      </c>
      <c r="LRH1" s="154" t="str">
        <f t="shared" si="134"/>
        <v>y</v>
      </c>
      <c r="LRI1" s="154" t="str">
        <f t="shared" si="134"/>
        <v>y</v>
      </c>
      <c r="LRJ1" s="154" t="str">
        <f t="shared" si="134"/>
        <v>y</v>
      </c>
      <c r="LRK1" s="154" t="str">
        <f t="shared" si="134"/>
        <v>y</v>
      </c>
      <c r="LRL1" s="154" t="str">
        <f t="shared" si="134"/>
        <v>y</v>
      </c>
      <c r="LRM1" s="154" t="str">
        <f t="shared" si="134"/>
        <v>y</v>
      </c>
      <c r="LRN1" s="154" t="str">
        <f t="shared" si="134"/>
        <v>y</v>
      </c>
      <c r="LRO1" s="154" t="str">
        <f t="shared" si="134"/>
        <v>y</v>
      </c>
      <c r="LRP1" s="154" t="str">
        <f t="shared" si="134"/>
        <v>y</v>
      </c>
      <c r="LRQ1" s="154" t="str">
        <f t="shared" si="134"/>
        <v>y</v>
      </c>
      <c r="LRR1" s="154" t="str">
        <f t="shared" si="134"/>
        <v>y</v>
      </c>
      <c r="LRS1" s="154" t="str">
        <f t="shared" si="134"/>
        <v>y</v>
      </c>
      <c r="LRT1" s="154" t="str">
        <f t="shared" si="134"/>
        <v>y</v>
      </c>
      <c r="LRU1" s="154" t="str">
        <f t="shared" si="134"/>
        <v>y</v>
      </c>
      <c r="LRV1" s="154" t="str">
        <f t="shared" si="134"/>
        <v>y</v>
      </c>
      <c r="LRW1" s="154" t="str">
        <f t="shared" si="134"/>
        <v>y</v>
      </c>
      <c r="LRX1" s="154" t="str">
        <f t="shared" si="134"/>
        <v>y</v>
      </c>
      <c r="LRY1" s="154" t="str">
        <f t="shared" si="134"/>
        <v>y</v>
      </c>
      <c r="LRZ1" s="154" t="str">
        <f t="shared" si="134"/>
        <v>y</v>
      </c>
      <c r="LSA1" s="154" t="str">
        <f t="shared" si="134"/>
        <v>y</v>
      </c>
      <c r="LSB1" s="154" t="str">
        <f t="shared" si="134"/>
        <v>y</v>
      </c>
      <c r="LSC1" s="154" t="str">
        <f t="shared" si="134"/>
        <v>y</v>
      </c>
      <c r="LSD1" s="154" t="str">
        <f t="shared" si="134"/>
        <v>y</v>
      </c>
      <c r="LSE1" s="154" t="str">
        <f t="shared" si="134"/>
        <v>y</v>
      </c>
      <c r="LSF1" s="154" t="str">
        <f t="shared" si="134"/>
        <v>y</v>
      </c>
      <c r="LSG1" s="154" t="str">
        <f t="shared" si="134"/>
        <v>y</v>
      </c>
      <c r="LSH1" s="154" t="str">
        <f t="shared" si="134"/>
        <v>y</v>
      </c>
      <c r="LSI1" s="154" t="str">
        <f t="shared" si="134"/>
        <v>y</v>
      </c>
      <c r="LSJ1" s="154" t="str">
        <f t="shared" si="134"/>
        <v>y</v>
      </c>
      <c r="LSK1" s="154" t="str">
        <f t="shared" si="134"/>
        <v>y</v>
      </c>
      <c r="LSL1" s="154" t="str">
        <f t="shared" si="134"/>
        <v>y</v>
      </c>
      <c r="LSM1" s="154" t="str">
        <f t="shared" si="134"/>
        <v>y</v>
      </c>
      <c r="LSN1" s="154" t="str">
        <f t="shared" si="134"/>
        <v>y</v>
      </c>
      <c r="LSO1" s="154" t="str">
        <f t="shared" si="134"/>
        <v>y</v>
      </c>
      <c r="LSP1" s="154" t="str">
        <f t="shared" si="134"/>
        <v>y</v>
      </c>
      <c r="LSQ1" s="154" t="str">
        <f t="shared" si="134"/>
        <v>y</v>
      </c>
      <c r="LSR1" s="154" t="str">
        <f t="shared" si="134"/>
        <v>y</v>
      </c>
      <c r="LSS1" s="154" t="str">
        <f t="shared" si="134"/>
        <v>y</v>
      </c>
      <c r="LST1" s="154" t="str">
        <f t="shared" si="134"/>
        <v>y</v>
      </c>
      <c r="LSU1" s="154" t="str">
        <f t="shared" si="134"/>
        <v>y</v>
      </c>
      <c r="LSV1" s="154" t="str">
        <f t="shared" si="134"/>
        <v>y</v>
      </c>
      <c r="LSW1" s="154" t="str">
        <f t="shared" si="134"/>
        <v>y</v>
      </c>
      <c r="LSX1" s="154" t="str">
        <f t="shared" si="134"/>
        <v>y</v>
      </c>
      <c r="LSY1" s="154" t="str">
        <f t="shared" si="134"/>
        <v>y</v>
      </c>
      <c r="LSZ1" s="154" t="str">
        <f t="shared" si="134"/>
        <v>y</v>
      </c>
      <c r="LTA1" s="154" t="str">
        <f t="shared" si="134"/>
        <v>y</v>
      </c>
      <c r="LTB1" s="154" t="str">
        <f t="shared" si="134"/>
        <v>y</v>
      </c>
      <c r="LTC1" s="154" t="str">
        <f t="shared" si="134"/>
        <v>y</v>
      </c>
      <c r="LTD1" s="154" t="str">
        <f t="shared" si="134"/>
        <v>y</v>
      </c>
      <c r="LTE1" s="154" t="str">
        <f t="shared" si="134"/>
        <v>y</v>
      </c>
      <c r="LTF1" s="154" t="str">
        <f t="shared" si="134"/>
        <v>y</v>
      </c>
      <c r="LTG1" s="154" t="str">
        <f t="shared" si="134"/>
        <v>y</v>
      </c>
      <c r="LTH1" s="154" t="str">
        <f t="shared" si="134"/>
        <v>y</v>
      </c>
      <c r="LTI1" s="154" t="str">
        <f t="shared" si="134"/>
        <v>y</v>
      </c>
      <c r="LTJ1" s="154" t="str">
        <f t="shared" si="134"/>
        <v>y</v>
      </c>
      <c r="LTK1" s="154" t="str">
        <f t="shared" si="134"/>
        <v>y</v>
      </c>
      <c r="LTL1" s="154" t="str">
        <f t="shared" ref="LTL1:LVW1" si="135">LTL2&amp;"y"</f>
        <v>y</v>
      </c>
      <c r="LTM1" s="154" t="str">
        <f t="shared" si="135"/>
        <v>y</v>
      </c>
      <c r="LTN1" s="154" t="str">
        <f t="shared" si="135"/>
        <v>y</v>
      </c>
      <c r="LTO1" s="154" t="str">
        <f t="shared" si="135"/>
        <v>y</v>
      </c>
      <c r="LTP1" s="154" t="str">
        <f t="shared" si="135"/>
        <v>y</v>
      </c>
      <c r="LTQ1" s="154" t="str">
        <f t="shared" si="135"/>
        <v>y</v>
      </c>
      <c r="LTR1" s="154" t="str">
        <f t="shared" si="135"/>
        <v>y</v>
      </c>
      <c r="LTS1" s="154" t="str">
        <f t="shared" si="135"/>
        <v>y</v>
      </c>
      <c r="LTT1" s="154" t="str">
        <f t="shared" si="135"/>
        <v>y</v>
      </c>
      <c r="LTU1" s="154" t="str">
        <f t="shared" si="135"/>
        <v>y</v>
      </c>
      <c r="LTV1" s="154" t="str">
        <f t="shared" si="135"/>
        <v>y</v>
      </c>
      <c r="LTW1" s="154" t="str">
        <f t="shared" si="135"/>
        <v>y</v>
      </c>
      <c r="LTX1" s="154" t="str">
        <f t="shared" si="135"/>
        <v>y</v>
      </c>
      <c r="LTY1" s="154" t="str">
        <f t="shared" si="135"/>
        <v>y</v>
      </c>
      <c r="LTZ1" s="154" t="str">
        <f t="shared" si="135"/>
        <v>y</v>
      </c>
      <c r="LUA1" s="154" t="str">
        <f t="shared" si="135"/>
        <v>y</v>
      </c>
      <c r="LUB1" s="154" t="str">
        <f t="shared" si="135"/>
        <v>y</v>
      </c>
      <c r="LUC1" s="154" t="str">
        <f t="shared" si="135"/>
        <v>y</v>
      </c>
      <c r="LUD1" s="154" t="str">
        <f t="shared" si="135"/>
        <v>y</v>
      </c>
      <c r="LUE1" s="154" t="str">
        <f t="shared" si="135"/>
        <v>y</v>
      </c>
      <c r="LUF1" s="154" t="str">
        <f t="shared" si="135"/>
        <v>y</v>
      </c>
      <c r="LUG1" s="154" t="str">
        <f t="shared" si="135"/>
        <v>y</v>
      </c>
      <c r="LUH1" s="154" t="str">
        <f t="shared" si="135"/>
        <v>y</v>
      </c>
      <c r="LUI1" s="154" t="str">
        <f t="shared" si="135"/>
        <v>y</v>
      </c>
      <c r="LUJ1" s="154" t="str">
        <f t="shared" si="135"/>
        <v>y</v>
      </c>
      <c r="LUK1" s="154" t="str">
        <f t="shared" si="135"/>
        <v>y</v>
      </c>
      <c r="LUL1" s="154" t="str">
        <f t="shared" si="135"/>
        <v>y</v>
      </c>
      <c r="LUM1" s="154" t="str">
        <f t="shared" si="135"/>
        <v>y</v>
      </c>
      <c r="LUN1" s="154" t="str">
        <f t="shared" si="135"/>
        <v>y</v>
      </c>
      <c r="LUO1" s="154" t="str">
        <f t="shared" si="135"/>
        <v>y</v>
      </c>
      <c r="LUP1" s="154" t="str">
        <f t="shared" si="135"/>
        <v>y</v>
      </c>
      <c r="LUQ1" s="154" t="str">
        <f t="shared" si="135"/>
        <v>y</v>
      </c>
      <c r="LUR1" s="154" t="str">
        <f t="shared" si="135"/>
        <v>y</v>
      </c>
      <c r="LUS1" s="154" t="str">
        <f t="shared" si="135"/>
        <v>y</v>
      </c>
      <c r="LUT1" s="154" t="str">
        <f t="shared" si="135"/>
        <v>y</v>
      </c>
      <c r="LUU1" s="154" t="str">
        <f t="shared" si="135"/>
        <v>y</v>
      </c>
      <c r="LUV1" s="154" t="str">
        <f t="shared" si="135"/>
        <v>y</v>
      </c>
      <c r="LUW1" s="154" t="str">
        <f t="shared" si="135"/>
        <v>y</v>
      </c>
      <c r="LUX1" s="154" t="str">
        <f t="shared" si="135"/>
        <v>y</v>
      </c>
      <c r="LUY1" s="154" t="str">
        <f t="shared" si="135"/>
        <v>y</v>
      </c>
      <c r="LUZ1" s="154" t="str">
        <f t="shared" si="135"/>
        <v>y</v>
      </c>
      <c r="LVA1" s="154" t="str">
        <f t="shared" si="135"/>
        <v>y</v>
      </c>
      <c r="LVB1" s="154" t="str">
        <f t="shared" si="135"/>
        <v>y</v>
      </c>
      <c r="LVC1" s="154" t="str">
        <f t="shared" si="135"/>
        <v>y</v>
      </c>
      <c r="LVD1" s="154" t="str">
        <f t="shared" si="135"/>
        <v>y</v>
      </c>
      <c r="LVE1" s="154" t="str">
        <f t="shared" si="135"/>
        <v>y</v>
      </c>
      <c r="LVF1" s="154" t="str">
        <f t="shared" si="135"/>
        <v>y</v>
      </c>
      <c r="LVG1" s="154" t="str">
        <f t="shared" si="135"/>
        <v>y</v>
      </c>
      <c r="LVH1" s="154" t="str">
        <f t="shared" si="135"/>
        <v>y</v>
      </c>
      <c r="LVI1" s="154" t="str">
        <f t="shared" si="135"/>
        <v>y</v>
      </c>
      <c r="LVJ1" s="154" t="str">
        <f t="shared" si="135"/>
        <v>y</v>
      </c>
      <c r="LVK1" s="154" t="str">
        <f t="shared" si="135"/>
        <v>y</v>
      </c>
      <c r="LVL1" s="154" t="str">
        <f t="shared" si="135"/>
        <v>y</v>
      </c>
      <c r="LVM1" s="154" t="str">
        <f t="shared" si="135"/>
        <v>y</v>
      </c>
      <c r="LVN1" s="154" t="str">
        <f t="shared" si="135"/>
        <v>y</v>
      </c>
      <c r="LVO1" s="154" t="str">
        <f t="shared" si="135"/>
        <v>y</v>
      </c>
      <c r="LVP1" s="154" t="str">
        <f t="shared" si="135"/>
        <v>y</v>
      </c>
      <c r="LVQ1" s="154" t="str">
        <f t="shared" si="135"/>
        <v>y</v>
      </c>
      <c r="LVR1" s="154" t="str">
        <f t="shared" si="135"/>
        <v>y</v>
      </c>
      <c r="LVS1" s="154" t="str">
        <f t="shared" si="135"/>
        <v>y</v>
      </c>
      <c r="LVT1" s="154" t="str">
        <f t="shared" si="135"/>
        <v>y</v>
      </c>
      <c r="LVU1" s="154" t="str">
        <f t="shared" si="135"/>
        <v>y</v>
      </c>
      <c r="LVV1" s="154" t="str">
        <f t="shared" si="135"/>
        <v>y</v>
      </c>
      <c r="LVW1" s="154" t="str">
        <f t="shared" si="135"/>
        <v>y</v>
      </c>
      <c r="LVX1" s="154" t="str">
        <f t="shared" ref="LVX1:LYI1" si="136">LVX2&amp;"y"</f>
        <v>y</v>
      </c>
      <c r="LVY1" s="154" t="str">
        <f t="shared" si="136"/>
        <v>y</v>
      </c>
      <c r="LVZ1" s="154" t="str">
        <f t="shared" si="136"/>
        <v>y</v>
      </c>
      <c r="LWA1" s="154" t="str">
        <f t="shared" si="136"/>
        <v>y</v>
      </c>
      <c r="LWB1" s="154" t="str">
        <f t="shared" si="136"/>
        <v>y</v>
      </c>
      <c r="LWC1" s="154" t="str">
        <f t="shared" si="136"/>
        <v>y</v>
      </c>
      <c r="LWD1" s="154" t="str">
        <f t="shared" si="136"/>
        <v>y</v>
      </c>
      <c r="LWE1" s="154" t="str">
        <f t="shared" si="136"/>
        <v>y</v>
      </c>
      <c r="LWF1" s="154" t="str">
        <f t="shared" si="136"/>
        <v>y</v>
      </c>
      <c r="LWG1" s="154" t="str">
        <f t="shared" si="136"/>
        <v>y</v>
      </c>
      <c r="LWH1" s="154" t="str">
        <f t="shared" si="136"/>
        <v>y</v>
      </c>
      <c r="LWI1" s="154" t="str">
        <f t="shared" si="136"/>
        <v>y</v>
      </c>
      <c r="LWJ1" s="154" t="str">
        <f t="shared" si="136"/>
        <v>y</v>
      </c>
      <c r="LWK1" s="154" t="str">
        <f t="shared" si="136"/>
        <v>y</v>
      </c>
      <c r="LWL1" s="154" t="str">
        <f t="shared" si="136"/>
        <v>y</v>
      </c>
      <c r="LWM1" s="154" t="str">
        <f t="shared" si="136"/>
        <v>y</v>
      </c>
      <c r="LWN1" s="154" t="str">
        <f t="shared" si="136"/>
        <v>y</v>
      </c>
      <c r="LWO1" s="154" t="str">
        <f t="shared" si="136"/>
        <v>y</v>
      </c>
      <c r="LWP1" s="154" t="str">
        <f t="shared" si="136"/>
        <v>y</v>
      </c>
      <c r="LWQ1" s="154" t="str">
        <f t="shared" si="136"/>
        <v>y</v>
      </c>
      <c r="LWR1" s="154" t="str">
        <f t="shared" si="136"/>
        <v>y</v>
      </c>
      <c r="LWS1" s="154" t="str">
        <f t="shared" si="136"/>
        <v>y</v>
      </c>
      <c r="LWT1" s="154" t="str">
        <f t="shared" si="136"/>
        <v>y</v>
      </c>
      <c r="LWU1" s="154" t="str">
        <f t="shared" si="136"/>
        <v>y</v>
      </c>
      <c r="LWV1" s="154" t="str">
        <f t="shared" si="136"/>
        <v>y</v>
      </c>
      <c r="LWW1" s="154" t="str">
        <f t="shared" si="136"/>
        <v>y</v>
      </c>
      <c r="LWX1" s="154" t="str">
        <f t="shared" si="136"/>
        <v>y</v>
      </c>
      <c r="LWY1" s="154" t="str">
        <f t="shared" si="136"/>
        <v>y</v>
      </c>
      <c r="LWZ1" s="154" t="str">
        <f t="shared" si="136"/>
        <v>y</v>
      </c>
      <c r="LXA1" s="154" t="str">
        <f t="shared" si="136"/>
        <v>y</v>
      </c>
      <c r="LXB1" s="154" t="str">
        <f t="shared" si="136"/>
        <v>y</v>
      </c>
      <c r="LXC1" s="154" t="str">
        <f t="shared" si="136"/>
        <v>y</v>
      </c>
      <c r="LXD1" s="154" t="str">
        <f t="shared" si="136"/>
        <v>y</v>
      </c>
      <c r="LXE1" s="154" t="str">
        <f t="shared" si="136"/>
        <v>y</v>
      </c>
      <c r="LXF1" s="154" t="str">
        <f t="shared" si="136"/>
        <v>y</v>
      </c>
      <c r="LXG1" s="154" t="str">
        <f t="shared" si="136"/>
        <v>y</v>
      </c>
      <c r="LXH1" s="154" t="str">
        <f t="shared" si="136"/>
        <v>y</v>
      </c>
      <c r="LXI1" s="154" t="str">
        <f t="shared" si="136"/>
        <v>y</v>
      </c>
      <c r="LXJ1" s="154" t="str">
        <f t="shared" si="136"/>
        <v>y</v>
      </c>
      <c r="LXK1" s="154" t="str">
        <f t="shared" si="136"/>
        <v>y</v>
      </c>
      <c r="LXL1" s="154" t="str">
        <f t="shared" si="136"/>
        <v>y</v>
      </c>
      <c r="LXM1" s="154" t="str">
        <f t="shared" si="136"/>
        <v>y</v>
      </c>
      <c r="LXN1" s="154" t="str">
        <f t="shared" si="136"/>
        <v>y</v>
      </c>
      <c r="LXO1" s="154" t="str">
        <f t="shared" si="136"/>
        <v>y</v>
      </c>
      <c r="LXP1" s="154" t="str">
        <f t="shared" si="136"/>
        <v>y</v>
      </c>
      <c r="LXQ1" s="154" t="str">
        <f t="shared" si="136"/>
        <v>y</v>
      </c>
      <c r="LXR1" s="154" t="str">
        <f t="shared" si="136"/>
        <v>y</v>
      </c>
      <c r="LXS1" s="154" t="str">
        <f t="shared" si="136"/>
        <v>y</v>
      </c>
      <c r="LXT1" s="154" t="str">
        <f t="shared" si="136"/>
        <v>y</v>
      </c>
      <c r="LXU1" s="154" t="str">
        <f t="shared" si="136"/>
        <v>y</v>
      </c>
      <c r="LXV1" s="154" t="str">
        <f t="shared" si="136"/>
        <v>y</v>
      </c>
      <c r="LXW1" s="154" t="str">
        <f t="shared" si="136"/>
        <v>y</v>
      </c>
      <c r="LXX1" s="154" t="str">
        <f t="shared" si="136"/>
        <v>y</v>
      </c>
      <c r="LXY1" s="154" t="str">
        <f t="shared" si="136"/>
        <v>y</v>
      </c>
      <c r="LXZ1" s="154" t="str">
        <f t="shared" si="136"/>
        <v>y</v>
      </c>
      <c r="LYA1" s="154" t="str">
        <f t="shared" si="136"/>
        <v>y</v>
      </c>
      <c r="LYB1" s="154" t="str">
        <f t="shared" si="136"/>
        <v>y</v>
      </c>
      <c r="LYC1" s="154" t="str">
        <f t="shared" si="136"/>
        <v>y</v>
      </c>
      <c r="LYD1" s="154" t="str">
        <f t="shared" si="136"/>
        <v>y</v>
      </c>
      <c r="LYE1" s="154" t="str">
        <f t="shared" si="136"/>
        <v>y</v>
      </c>
      <c r="LYF1" s="154" t="str">
        <f t="shared" si="136"/>
        <v>y</v>
      </c>
      <c r="LYG1" s="154" t="str">
        <f t="shared" si="136"/>
        <v>y</v>
      </c>
      <c r="LYH1" s="154" t="str">
        <f t="shared" si="136"/>
        <v>y</v>
      </c>
      <c r="LYI1" s="154" t="str">
        <f t="shared" si="136"/>
        <v>y</v>
      </c>
      <c r="LYJ1" s="154" t="str">
        <f t="shared" ref="LYJ1:MAU1" si="137">LYJ2&amp;"y"</f>
        <v>y</v>
      </c>
      <c r="LYK1" s="154" t="str">
        <f t="shared" si="137"/>
        <v>y</v>
      </c>
      <c r="LYL1" s="154" t="str">
        <f t="shared" si="137"/>
        <v>y</v>
      </c>
      <c r="LYM1" s="154" t="str">
        <f t="shared" si="137"/>
        <v>y</v>
      </c>
      <c r="LYN1" s="154" t="str">
        <f t="shared" si="137"/>
        <v>y</v>
      </c>
      <c r="LYO1" s="154" t="str">
        <f t="shared" si="137"/>
        <v>y</v>
      </c>
      <c r="LYP1" s="154" t="str">
        <f t="shared" si="137"/>
        <v>y</v>
      </c>
      <c r="LYQ1" s="154" t="str">
        <f t="shared" si="137"/>
        <v>y</v>
      </c>
      <c r="LYR1" s="154" t="str">
        <f t="shared" si="137"/>
        <v>y</v>
      </c>
      <c r="LYS1" s="154" t="str">
        <f t="shared" si="137"/>
        <v>y</v>
      </c>
      <c r="LYT1" s="154" t="str">
        <f t="shared" si="137"/>
        <v>y</v>
      </c>
      <c r="LYU1" s="154" t="str">
        <f t="shared" si="137"/>
        <v>y</v>
      </c>
      <c r="LYV1" s="154" t="str">
        <f t="shared" si="137"/>
        <v>y</v>
      </c>
      <c r="LYW1" s="154" t="str">
        <f t="shared" si="137"/>
        <v>y</v>
      </c>
      <c r="LYX1" s="154" t="str">
        <f t="shared" si="137"/>
        <v>y</v>
      </c>
      <c r="LYY1" s="154" t="str">
        <f t="shared" si="137"/>
        <v>y</v>
      </c>
      <c r="LYZ1" s="154" t="str">
        <f t="shared" si="137"/>
        <v>y</v>
      </c>
      <c r="LZA1" s="154" t="str">
        <f t="shared" si="137"/>
        <v>y</v>
      </c>
      <c r="LZB1" s="154" t="str">
        <f t="shared" si="137"/>
        <v>y</v>
      </c>
      <c r="LZC1" s="154" t="str">
        <f t="shared" si="137"/>
        <v>y</v>
      </c>
      <c r="LZD1" s="154" t="str">
        <f t="shared" si="137"/>
        <v>y</v>
      </c>
      <c r="LZE1" s="154" t="str">
        <f t="shared" si="137"/>
        <v>y</v>
      </c>
      <c r="LZF1" s="154" t="str">
        <f t="shared" si="137"/>
        <v>y</v>
      </c>
      <c r="LZG1" s="154" t="str">
        <f t="shared" si="137"/>
        <v>y</v>
      </c>
      <c r="LZH1" s="154" t="str">
        <f t="shared" si="137"/>
        <v>y</v>
      </c>
      <c r="LZI1" s="154" t="str">
        <f t="shared" si="137"/>
        <v>y</v>
      </c>
      <c r="LZJ1" s="154" t="str">
        <f t="shared" si="137"/>
        <v>y</v>
      </c>
      <c r="LZK1" s="154" t="str">
        <f t="shared" si="137"/>
        <v>y</v>
      </c>
      <c r="LZL1" s="154" t="str">
        <f t="shared" si="137"/>
        <v>y</v>
      </c>
      <c r="LZM1" s="154" t="str">
        <f t="shared" si="137"/>
        <v>y</v>
      </c>
      <c r="LZN1" s="154" t="str">
        <f t="shared" si="137"/>
        <v>y</v>
      </c>
      <c r="LZO1" s="154" t="str">
        <f t="shared" si="137"/>
        <v>y</v>
      </c>
      <c r="LZP1" s="154" t="str">
        <f t="shared" si="137"/>
        <v>y</v>
      </c>
      <c r="LZQ1" s="154" t="str">
        <f t="shared" si="137"/>
        <v>y</v>
      </c>
      <c r="LZR1" s="154" t="str">
        <f t="shared" si="137"/>
        <v>y</v>
      </c>
      <c r="LZS1" s="154" t="str">
        <f t="shared" si="137"/>
        <v>y</v>
      </c>
      <c r="LZT1" s="154" t="str">
        <f t="shared" si="137"/>
        <v>y</v>
      </c>
      <c r="LZU1" s="154" t="str">
        <f t="shared" si="137"/>
        <v>y</v>
      </c>
      <c r="LZV1" s="154" t="str">
        <f t="shared" si="137"/>
        <v>y</v>
      </c>
      <c r="LZW1" s="154" t="str">
        <f t="shared" si="137"/>
        <v>y</v>
      </c>
      <c r="LZX1" s="154" t="str">
        <f t="shared" si="137"/>
        <v>y</v>
      </c>
      <c r="LZY1" s="154" t="str">
        <f t="shared" si="137"/>
        <v>y</v>
      </c>
      <c r="LZZ1" s="154" t="str">
        <f t="shared" si="137"/>
        <v>y</v>
      </c>
      <c r="MAA1" s="154" t="str">
        <f t="shared" si="137"/>
        <v>y</v>
      </c>
      <c r="MAB1" s="154" t="str">
        <f t="shared" si="137"/>
        <v>y</v>
      </c>
      <c r="MAC1" s="154" t="str">
        <f t="shared" si="137"/>
        <v>y</v>
      </c>
      <c r="MAD1" s="154" t="str">
        <f t="shared" si="137"/>
        <v>y</v>
      </c>
      <c r="MAE1" s="154" t="str">
        <f t="shared" si="137"/>
        <v>y</v>
      </c>
      <c r="MAF1" s="154" t="str">
        <f t="shared" si="137"/>
        <v>y</v>
      </c>
      <c r="MAG1" s="154" t="str">
        <f t="shared" si="137"/>
        <v>y</v>
      </c>
      <c r="MAH1" s="154" t="str">
        <f t="shared" si="137"/>
        <v>y</v>
      </c>
      <c r="MAI1" s="154" t="str">
        <f t="shared" si="137"/>
        <v>y</v>
      </c>
      <c r="MAJ1" s="154" t="str">
        <f t="shared" si="137"/>
        <v>y</v>
      </c>
      <c r="MAK1" s="154" t="str">
        <f t="shared" si="137"/>
        <v>y</v>
      </c>
      <c r="MAL1" s="154" t="str">
        <f t="shared" si="137"/>
        <v>y</v>
      </c>
      <c r="MAM1" s="154" t="str">
        <f t="shared" si="137"/>
        <v>y</v>
      </c>
      <c r="MAN1" s="154" t="str">
        <f t="shared" si="137"/>
        <v>y</v>
      </c>
      <c r="MAO1" s="154" t="str">
        <f t="shared" si="137"/>
        <v>y</v>
      </c>
      <c r="MAP1" s="154" t="str">
        <f t="shared" si="137"/>
        <v>y</v>
      </c>
      <c r="MAQ1" s="154" t="str">
        <f t="shared" si="137"/>
        <v>y</v>
      </c>
      <c r="MAR1" s="154" t="str">
        <f t="shared" si="137"/>
        <v>y</v>
      </c>
      <c r="MAS1" s="154" t="str">
        <f t="shared" si="137"/>
        <v>y</v>
      </c>
      <c r="MAT1" s="154" t="str">
        <f t="shared" si="137"/>
        <v>y</v>
      </c>
      <c r="MAU1" s="154" t="str">
        <f t="shared" si="137"/>
        <v>y</v>
      </c>
      <c r="MAV1" s="154" t="str">
        <f t="shared" ref="MAV1:MDG1" si="138">MAV2&amp;"y"</f>
        <v>y</v>
      </c>
      <c r="MAW1" s="154" t="str">
        <f t="shared" si="138"/>
        <v>y</v>
      </c>
      <c r="MAX1" s="154" t="str">
        <f t="shared" si="138"/>
        <v>y</v>
      </c>
      <c r="MAY1" s="154" t="str">
        <f t="shared" si="138"/>
        <v>y</v>
      </c>
      <c r="MAZ1" s="154" t="str">
        <f t="shared" si="138"/>
        <v>y</v>
      </c>
      <c r="MBA1" s="154" t="str">
        <f t="shared" si="138"/>
        <v>y</v>
      </c>
      <c r="MBB1" s="154" t="str">
        <f t="shared" si="138"/>
        <v>y</v>
      </c>
      <c r="MBC1" s="154" t="str">
        <f t="shared" si="138"/>
        <v>y</v>
      </c>
      <c r="MBD1" s="154" t="str">
        <f t="shared" si="138"/>
        <v>y</v>
      </c>
      <c r="MBE1" s="154" t="str">
        <f t="shared" si="138"/>
        <v>y</v>
      </c>
      <c r="MBF1" s="154" t="str">
        <f t="shared" si="138"/>
        <v>y</v>
      </c>
      <c r="MBG1" s="154" t="str">
        <f t="shared" si="138"/>
        <v>y</v>
      </c>
      <c r="MBH1" s="154" t="str">
        <f t="shared" si="138"/>
        <v>y</v>
      </c>
      <c r="MBI1" s="154" t="str">
        <f t="shared" si="138"/>
        <v>y</v>
      </c>
      <c r="MBJ1" s="154" t="str">
        <f t="shared" si="138"/>
        <v>y</v>
      </c>
      <c r="MBK1" s="154" t="str">
        <f t="shared" si="138"/>
        <v>y</v>
      </c>
      <c r="MBL1" s="154" t="str">
        <f t="shared" si="138"/>
        <v>y</v>
      </c>
      <c r="MBM1" s="154" t="str">
        <f t="shared" si="138"/>
        <v>y</v>
      </c>
      <c r="MBN1" s="154" t="str">
        <f t="shared" si="138"/>
        <v>y</v>
      </c>
      <c r="MBO1" s="154" t="str">
        <f t="shared" si="138"/>
        <v>y</v>
      </c>
      <c r="MBP1" s="154" t="str">
        <f t="shared" si="138"/>
        <v>y</v>
      </c>
      <c r="MBQ1" s="154" t="str">
        <f t="shared" si="138"/>
        <v>y</v>
      </c>
      <c r="MBR1" s="154" t="str">
        <f t="shared" si="138"/>
        <v>y</v>
      </c>
      <c r="MBS1" s="154" t="str">
        <f t="shared" si="138"/>
        <v>y</v>
      </c>
      <c r="MBT1" s="154" t="str">
        <f t="shared" si="138"/>
        <v>y</v>
      </c>
      <c r="MBU1" s="154" t="str">
        <f t="shared" si="138"/>
        <v>y</v>
      </c>
      <c r="MBV1" s="154" t="str">
        <f t="shared" si="138"/>
        <v>y</v>
      </c>
      <c r="MBW1" s="154" t="str">
        <f t="shared" si="138"/>
        <v>y</v>
      </c>
      <c r="MBX1" s="154" t="str">
        <f t="shared" si="138"/>
        <v>y</v>
      </c>
      <c r="MBY1" s="154" t="str">
        <f t="shared" si="138"/>
        <v>y</v>
      </c>
      <c r="MBZ1" s="154" t="str">
        <f t="shared" si="138"/>
        <v>y</v>
      </c>
      <c r="MCA1" s="154" t="str">
        <f t="shared" si="138"/>
        <v>y</v>
      </c>
      <c r="MCB1" s="154" t="str">
        <f t="shared" si="138"/>
        <v>y</v>
      </c>
      <c r="MCC1" s="154" t="str">
        <f t="shared" si="138"/>
        <v>y</v>
      </c>
      <c r="MCD1" s="154" t="str">
        <f t="shared" si="138"/>
        <v>y</v>
      </c>
      <c r="MCE1" s="154" t="str">
        <f t="shared" si="138"/>
        <v>y</v>
      </c>
      <c r="MCF1" s="154" t="str">
        <f t="shared" si="138"/>
        <v>y</v>
      </c>
      <c r="MCG1" s="154" t="str">
        <f t="shared" si="138"/>
        <v>y</v>
      </c>
      <c r="MCH1" s="154" t="str">
        <f t="shared" si="138"/>
        <v>y</v>
      </c>
      <c r="MCI1" s="154" t="str">
        <f t="shared" si="138"/>
        <v>y</v>
      </c>
      <c r="MCJ1" s="154" t="str">
        <f t="shared" si="138"/>
        <v>y</v>
      </c>
      <c r="MCK1" s="154" t="str">
        <f t="shared" si="138"/>
        <v>y</v>
      </c>
      <c r="MCL1" s="154" t="str">
        <f t="shared" si="138"/>
        <v>y</v>
      </c>
      <c r="MCM1" s="154" t="str">
        <f t="shared" si="138"/>
        <v>y</v>
      </c>
      <c r="MCN1" s="154" t="str">
        <f t="shared" si="138"/>
        <v>y</v>
      </c>
      <c r="MCO1" s="154" t="str">
        <f t="shared" si="138"/>
        <v>y</v>
      </c>
      <c r="MCP1" s="154" t="str">
        <f t="shared" si="138"/>
        <v>y</v>
      </c>
      <c r="MCQ1" s="154" t="str">
        <f t="shared" si="138"/>
        <v>y</v>
      </c>
      <c r="MCR1" s="154" t="str">
        <f t="shared" si="138"/>
        <v>y</v>
      </c>
      <c r="MCS1" s="154" t="str">
        <f t="shared" si="138"/>
        <v>y</v>
      </c>
      <c r="MCT1" s="154" t="str">
        <f t="shared" si="138"/>
        <v>y</v>
      </c>
      <c r="MCU1" s="154" t="str">
        <f t="shared" si="138"/>
        <v>y</v>
      </c>
      <c r="MCV1" s="154" t="str">
        <f t="shared" si="138"/>
        <v>y</v>
      </c>
      <c r="MCW1" s="154" t="str">
        <f t="shared" si="138"/>
        <v>y</v>
      </c>
      <c r="MCX1" s="154" t="str">
        <f t="shared" si="138"/>
        <v>y</v>
      </c>
      <c r="MCY1" s="154" t="str">
        <f t="shared" si="138"/>
        <v>y</v>
      </c>
      <c r="MCZ1" s="154" t="str">
        <f t="shared" si="138"/>
        <v>y</v>
      </c>
      <c r="MDA1" s="154" t="str">
        <f t="shared" si="138"/>
        <v>y</v>
      </c>
      <c r="MDB1" s="154" t="str">
        <f t="shared" si="138"/>
        <v>y</v>
      </c>
      <c r="MDC1" s="154" t="str">
        <f t="shared" si="138"/>
        <v>y</v>
      </c>
      <c r="MDD1" s="154" t="str">
        <f t="shared" si="138"/>
        <v>y</v>
      </c>
      <c r="MDE1" s="154" t="str">
        <f t="shared" si="138"/>
        <v>y</v>
      </c>
      <c r="MDF1" s="154" t="str">
        <f t="shared" si="138"/>
        <v>y</v>
      </c>
      <c r="MDG1" s="154" t="str">
        <f t="shared" si="138"/>
        <v>y</v>
      </c>
      <c r="MDH1" s="154" t="str">
        <f t="shared" ref="MDH1:MFS1" si="139">MDH2&amp;"y"</f>
        <v>y</v>
      </c>
      <c r="MDI1" s="154" t="str">
        <f t="shared" si="139"/>
        <v>y</v>
      </c>
      <c r="MDJ1" s="154" t="str">
        <f t="shared" si="139"/>
        <v>y</v>
      </c>
      <c r="MDK1" s="154" t="str">
        <f t="shared" si="139"/>
        <v>y</v>
      </c>
      <c r="MDL1" s="154" t="str">
        <f t="shared" si="139"/>
        <v>y</v>
      </c>
      <c r="MDM1" s="154" t="str">
        <f t="shared" si="139"/>
        <v>y</v>
      </c>
      <c r="MDN1" s="154" t="str">
        <f t="shared" si="139"/>
        <v>y</v>
      </c>
      <c r="MDO1" s="154" t="str">
        <f t="shared" si="139"/>
        <v>y</v>
      </c>
      <c r="MDP1" s="154" t="str">
        <f t="shared" si="139"/>
        <v>y</v>
      </c>
      <c r="MDQ1" s="154" t="str">
        <f t="shared" si="139"/>
        <v>y</v>
      </c>
      <c r="MDR1" s="154" t="str">
        <f t="shared" si="139"/>
        <v>y</v>
      </c>
      <c r="MDS1" s="154" t="str">
        <f t="shared" si="139"/>
        <v>y</v>
      </c>
      <c r="MDT1" s="154" t="str">
        <f t="shared" si="139"/>
        <v>y</v>
      </c>
      <c r="MDU1" s="154" t="str">
        <f t="shared" si="139"/>
        <v>y</v>
      </c>
      <c r="MDV1" s="154" t="str">
        <f t="shared" si="139"/>
        <v>y</v>
      </c>
      <c r="MDW1" s="154" t="str">
        <f t="shared" si="139"/>
        <v>y</v>
      </c>
      <c r="MDX1" s="154" t="str">
        <f t="shared" si="139"/>
        <v>y</v>
      </c>
      <c r="MDY1" s="154" t="str">
        <f t="shared" si="139"/>
        <v>y</v>
      </c>
      <c r="MDZ1" s="154" t="str">
        <f t="shared" si="139"/>
        <v>y</v>
      </c>
      <c r="MEA1" s="154" t="str">
        <f t="shared" si="139"/>
        <v>y</v>
      </c>
      <c r="MEB1" s="154" t="str">
        <f t="shared" si="139"/>
        <v>y</v>
      </c>
      <c r="MEC1" s="154" t="str">
        <f t="shared" si="139"/>
        <v>y</v>
      </c>
      <c r="MED1" s="154" t="str">
        <f t="shared" si="139"/>
        <v>y</v>
      </c>
      <c r="MEE1" s="154" t="str">
        <f t="shared" si="139"/>
        <v>y</v>
      </c>
      <c r="MEF1" s="154" t="str">
        <f t="shared" si="139"/>
        <v>y</v>
      </c>
      <c r="MEG1" s="154" t="str">
        <f t="shared" si="139"/>
        <v>y</v>
      </c>
      <c r="MEH1" s="154" t="str">
        <f t="shared" si="139"/>
        <v>y</v>
      </c>
      <c r="MEI1" s="154" t="str">
        <f t="shared" si="139"/>
        <v>y</v>
      </c>
      <c r="MEJ1" s="154" t="str">
        <f t="shared" si="139"/>
        <v>y</v>
      </c>
      <c r="MEK1" s="154" t="str">
        <f t="shared" si="139"/>
        <v>y</v>
      </c>
      <c r="MEL1" s="154" t="str">
        <f t="shared" si="139"/>
        <v>y</v>
      </c>
      <c r="MEM1" s="154" t="str">
        <f t="shared" si="139"/>
        <v>y</v>
      </c>
      <c r="MEN1" s="154" t="str">
        <f t="shared" si="139"/>
        <v>y</v>
      </c>
      <c r="MEO1" s="154" t="str">
        <f t="shared" si="139"/>
        <v>y</v>
      </c>
      <c r="MEP1" s="154" t="str">
        <f t="shared" si="139"/>
        <v>y</v>
      </c>
      <c r="MEQ1" s="154" t="str">
        <f t="shared" si="139"/>
        <v>y</v>
      </c>
      <c r="MER1" s="154" t="str">
        <f t="shared" si="139"/>
        <v>y</v>
      </c>
      <c r="MES1" s="154" t="str">
        <f t="shared" si="139"/>
        <v>y</v>
      </c>
      <c r="MET1" s="154" t="str">
        <f t="shared" si="139"/>
        <v>y</v>
      </c>
      <c r="MEU1" s="154" t="str">
        <f t="shared" si="139"/>
        <v>y</v>
      </c>
      <c r="MEV1" s="154" t="str">
        <f t="shared" si="139"/>
        <v>y</v>
      </c>
      <c r="MEW1" s="154" t="str">
        <f t="shared" si="139"/>
        <v>y</v>
      </c>
      <c r="MEX1" s="154" t="str">
        <f t="shared" si="139"/>
        <v>y</v>
      </c>
      <c r="MEY1" s="154" t="str">
        <f t="shared" si="139"/>
        <v>y</v>
      </c>
      <c r="MEZ1" s="154" t="str">
        <f t="shared" si="139"/>
        <v>y</v>
      </c>
      <c r="MFA1" s="154" t="str">
        <f t="shared" si="139"/>
        <v>y</v>
      </c>
      <c r="MFB1" s="154" t="str">
        <f t="shared" si="139"/>
        <v>y</v>
      </c>
      <c r="MFC1" s="154" t="str">
        <f t="shared" si="139"/>
        <v>y</v>
      </c>
      <c r="MFD1" s="154" t="str">
        <f t="shared" si="139"/>
        <v>y</v>
      </c>
      <c r="MFE1" s="154" t="str">
        <f t="shared" si="139"/>
        <v>y</v>
      </c>
      <c r="MFF1" s="154" t="str">
        <f t="shared" si="139"/>
        <v>y</v>
      </c>
      <c r="MFG1" s="154" t="str">
        <f t="shared" si="139"/>
        <v>y</v>
      </c>
      <c r="MFH1" s="154" t="str">
        <f t="shared" si="139"/>
        <v>y</v>
      </c>
      <c r="MFI1" s="154" t="str">
        <f t="shared" si="139"/>
        <v>y</v>
      </c>
      <c r="MFJ1" s="154" t="str">
        <f t="shared" si="139"/>
        <v>y</v>
      </c>
      <c r="MFK1" s="154" t="str">
        <f t="shared" si="139"/>
        <v>y</v>
      </c>
      <c r="MFL1" s="154" t="str">
        <f t="shared" si="139"/>
        <v>y</v>
      </c>
      <c r="MFM1" s="154" t="str">
        <f t="shared" si="139"/>
        <v>y</v>
      </c>
      <c r="MFN1" s="154" t="str">
        <f t="shared" si="139"/>
        <v>y</v>
      </c>
      <c r="MFO1" s="154" t="str">
        <f t="shared" si="139"/>
        <v>y</v>
      </c>
      <c r="MFP1" s="154" t="str">
        <f t="shared" si="139"/>
        <v>y</v>
      </c>
      <c r="MFQ1" s="154" t="str">
        <f t="shared" si="139"/>
        <v>y</v>
      </c>
      <c r="MFR1" s="154" t="str">
        <f t="shared" si="139"/>
        <v>y</v>
      </c>
      <c r="MFS1" s="154" t="str">
        <f t="shared" si="139"/>
        <v>y</v>
      </c>
      <c r="MFT1" s="154" t="str">
        <f t="shared" ref="MFT1:MIE1" si="140">MFT2&amp;"y"</f>
        <v>y</v>
      </c>
      <c r="MFU1" s="154" t="str">
        <f t="shared" si="140"/>
        <v>y</v>
      </c>
      <c r="MFV1" s="154" t="str">
        <f t="shared" si="140"/>
        <v>y</v>
      </c>
      <c r="MFW1" s="154" t="str">
        <f t="shared" si="140"/>
        <v>y</v>
      </c>
      <c r="MFX1" s="154" t="str">
        <f t="shared" si="140"/>
        <v>y</v>
      </c>
      <c r="MFY1" s="154" t="str">
        <f t="shared" si="140"/>
        <v>y</v>
      </c>
      <c r="MFZ1" s="154" t="str">
        <f t="shared" si="140"/>
        <v>y</v>
      </c>
      <c r="MGA1" s="154" t="str">
        <f t="shared" si="140"/>
        <v>y</v>
      </c>
      <c r="MGB1" s="154" t="str">
        <f t="shared" si="140"/>
        <v>y</v>
      </c>
      <c r="MGC1" s="154" t="str">
        <f t="shared" si="140"/>
        <v>y</v>
      </c>
      <c r="MGD1" s="154" t="str">
        <f t="shared" si="140"/>
        <v>y</v>
      </c>
      <c r="MGE1" s="154" t="str">
        <f t="shared" si="140"/>
        <v>y</v>
      </c>
      <c r="MGF1" s="154" t="str">
        <f t="shared" si="140"/>
        <v>y</v>
      </c>
      <c r="MGG1" s="154" t="str">
        <f t="shared" si="140"/>
        <v>y</v>
      </c>
      <c r="MGH1" s="154" t="str">
        <f t="shared" si="140"/>
        <v>y</v>
      </c>
      <c r="MGI1" s="154" t="str">
        <f t="shared" si="140"/>
        <v>y</v>
      </c>
      <c r="MGJ1" s="154" t="str">
        <f t="shared" si="140"/>
        <v>y</v>
      </c>
      <c r="MGK1" s="154" t="str">
        <f t="shared" si="140"/>
        <v>y</v>
      </c>
      <c r="MGL1" s="154" t="str">
        <f t="shared" si="140"/>
        <v>y</v>
      </c>
      <c r="MGM1" s="154" t="str">
        <f t="shared" si="140"/>
        <v>y</v>
      </c>
      <c r="MGN1" s="154" t="str">
        <f t="shared" si="140"/>
        <v>y</v>
      </c>
      <c r="MGO1" s="154" t="str">
        <f t="shared" si="140"/>
        <v>y</v>
      </c>
      <c r="MGP1" s="154" t="str">
        <f t="shared" si="140"/>
        <v>y</v>
      </c>
      <c r="MGQ1" s="154" t="str">
        <f t="shared" si="140"/>
        <v>y</v>
      </c>
      <c r="MGR1" s="154" t="str">
        <f t="shared" si="140"/>
        <v>y</v>
      </c>
      <c r="MGS1" s="154" t="str">
        <f t="shared" si="140"/>
        <v>y</v>
      </c>
      <c r="MGT1" s="154" t="str">
        <f t="shared" si="140"/>
        <v>y</v>
      </c>
      <c r="MGU1" s="154" t="str">
        <f t="shared" si="140"/>
        <v>y</v>
      </c>
      <c r="MGV1" s="154" t="str">
        <f t="shared" si="140"/>
        <v>y</v>
      </c>
      <c r="MGW1" s="154" t="str">
        <f t="shared" si="140"/>
        <v>y</v>
      </c>
      <c r="MGX1" s="154" t="str">
        <f t="shared" si="140"/>
        <v>y</v>
      </c>
      <c r="MGY1" s="154" t="str">
        <f t="shared" si="140"/>
        <v>y</v>
      </c>
      <c r="MGZ1" s="154" t="str">
        <f t="shared" si="140"/>
        <v>y</v>
      </c>
      <c r="MHA1" s="154" t="str">
        <f t="shared" si="140"/>
        <v>y</v>
      </c>
      <c r="MHB1" s="154" t="str">
        <f t="shared" si="140"/>
        <v>y</v>
      </c>
      <c r="MHC1" s="154" t="str">
        <f t="shared" si="140"/>
        <v>y</v>
      </c>
      <c r="MHD1" s="154" t="str">
        <f t="shared" si="140"/>
        <v>y</v>
      </c>
      <c r="MHE1" s="154" t="str">
        <f t="shared" si="140"/>
        <v>y</v>
      </c>
      <c r="MHF1" s="154" t="str">
        <f t="shared" si="140"/>
        <v>y</v>
      </c>
      <c r="MHG1" s="154" t="str">
        <f t="shared" si="140"/>
        <v>y</v>
      </c>
      <c r="MHH1" s="154" t="str">
        <f t="shared" si="140"/>
        <v>y</v>
      </c>
      <c r="MHI1" s="154" t="str">
        <f t="shared" si="140"/>
        <v>y</v>
      </c>
      <c r="MHJ1" s="154" t="str">
        <f t="shared" si="140"/>
        <v>y</v>
      </c>
      <c r="MHK1" s="154" t="str">
        <f t="shared" si="140"/>
        <v>y</v>
      </c>
      <c r="MHL1" s="154" t="str">
        <f t="shared" si="140"/>
        <v>y</v>
      </c>
      <c r="MHM1" s="154" t="str">
        <f t="shared" si="140"/>
        <v>y</v>
      </c>
      <c r="MHN1" s="154" t="str">
        <f t="shared" si="140"/>
        <v>y</v>
      </c>
      <c r="MHO1" s="154" t="str">
        <f t="shared" si="140"/>
        <v>y</v>
      </c>
      <c r="MHP1" s="154" t="str">
        <f t="shared" si="140"/>
        <v>y</v>
      </c>
      <c r="MHQ1" s="154" t="str">
        <f t="shared" si="140"/>
        <v>y</v>
      </c>
      <c r="MHR1" s="154" t="str">
        <f t="shared" si="140"/>
        <v>y</v>
      </c>
      <c r="MHS1" s="154" t="str">
        <f t="shared" si="140"/>
        <v>y</v>
      </c>
      <c r="MHT1" s="154" t="str">
        <f t="shared" si="140"/>
        <v>y</v>
      </c>
      <c r="MHU1" s="154" t="str">
        <f t="shared" si="140"/>
        <v>y</v>
      </c>
      <c r="MHV1" s="154" t="str">
        <f t="shared" si="140"/>
        <v>y</v>
      </c>
      <c r="MHW1" s="154" t="str">
        <f t="shared" si="140"/>
        <v>y</v>
      </c>
      <c r="MHX1" s="154" t="str">
        <f t="shared" si="140"/>
        <v>y</v>
      </c>
      <c r="MHY1" s="154" t="str">
        <f t="shared" si="140"/>
        <v>y</v>
      </c>
      <c r="MHZ1" s="154" t="str">
        <f t="shared" si="140"/>
        <v>y</v>
      </c>
      <c r="MIA1" s="154" t="str">
        <f t="shared" si="140"/>
        <v>y</v>
      </c>
      <c r="MIB1" s="154" t="str">
        <f t="shared" si="140"/>
        <v>y</v>
      </c>
      <c r="MIC1" s="154" t="str">
        <f t="shared" si="140"/>
        <v>y</v>
      </c>
      <c r="MID1" s="154" t="str">
        <f t="shared" si="140"/>
        <v>y</v>
      </c>
      <c r="MIE1" s="154" t="str">
        <f t="shared" si="140"/>
        <v>y</v>
      </c>
      <c r="MIF1" s="154" t="str">
        <f t="shared" ref="MIF1:MKQ1" si="141">MIF2&amp;"y"</f>
        <v>y</v>
      </c>
      <c r="MIG1" s="154" t="str">
        <f t="shared" si="141"/>
        <v>y</v>
      </c>
      <c r="MIH1" s="154" t="str">
        <f t="shared" si="141"/>
        <v>y</v>
      </c>
      <c r="MII1" s="154" t="str">
        <f t="shared" si="141"/>
        <v>y</v>
      </c>
      <c r="MIJ1" s="154" t="str">
        <f t="shared" si="141"/>
        <v>y</v>
      </c>
      <c r="MIK1" s="154" t="str">
        <f t="shared" si="141"/>
        <v>y</v>
      </c>
      <c r="MIL1" s="154" t="str">
        <f t="shared" si="141"/>
        <v>y</v>
      </c>
      <c r="MIM1" s="154" t="str">
        <f t="shared" si="141"/>
        <v>y</v>
      </c>
      <c r="MIN1" s="154" t="str">
        <f t="shared" si="141"/>
        <v>y</v>
      </c>
      <c r="MIO1" s="154" t="str">
        <f t="shared" si="141"/>
        <v>y</v>
      </c>
      <c r="MIP1" s="154" t="str">
        <f t="shared" si="141"/>
        <v>y</v>
      </c>
      <c r="MIQ1" s="154" t="str">
        <f t="shared" si="141"/>
        <v>y</v>
      </c>
      <c r="MIR1" s="154" t="str">
        <f t="shared" si="141"/>
        <v>y</v>
      </c>
      <c r="MIS1" s="154" t="str">
        <f t="shared" si="141"/>
        <v>y</v>
      </c>
      <c r="MIT1" s="154" t="str">
        <f t="shared" si="141"/>
        <v>y</v>
      </c>
      <c r="MIU1" s="154" t="str">
        <f t="shared" si="141"/>
        <v>y</v>
      </c>
      <c r="MIV1" s="154" t="str">
        <f t="shared" si="141"/>
        <v>y</v>
      </c>
      <c r="MIW1" s="154" t="str">
        <f t="shared" si="141"/>
        <v>y</v>
      </c>
      <c r="MIX1" s="154" t="str">
        <f t="shared" si="141"/>
        <v>y</v>
      </c>
      <c r="MIY1" s="154" t="str">
        <f t="shared" si="141"/>
        <v>y</v>
      </c>
      <c r="MIZ1" s="154" t="str">
        <f t="shared" si="141"/>
        <v>y</v>
      </c>
      <c r="MJA1" s="154" t="str">
        <f t="shared" si="141"/>
        <v>y</v>
      </c>
      <c r="MJB1" s="154" t="str">
        <f t="shared" si="141"/>
        <v>y</v>
      </c>
      <c r="MJC1" s="154" t="str">
        <f t="shared" si="141"/>
        <v>y</v>
      </c>
      <c r="MJD1" s="154" t="str">
        <f t="shared" si="141"/>
        <v>y</v>
      </c>
      <c r="MJE1" s="154" t="str">
        <f t="shared" si="141"/>
        <v>y</v>
      </c>
      <c r="MJF1" s="154" t="str">
        <f t="shared" si="141"/>
        <v>y</v>
      </c>
      <c r="MJG1" s="154" t="str">
        <f t="shared" si="141"/>
        <v>y</v>
      </c>
      <c r="MJH1" s="154" t="str">
        <f t="shared" si="141"/>
        <v>y</v>
      </c>
      <c r="MJI1" s="154" t="str">
        <f t="shared" si="141"/>
        <v>y</v>
      </c>
      <c r="MJJ1" s="154" t="str">
        <f t="shared" si="141"/>
        <v>y</v>
      </c>
      <c r="MJK1" s="154" t="str">
        <f t="shared" si="141"/>
        <v>y</v>
      </c>
      <c r="MJL1" s="154" t="str">
        <f t="shared" si="141"/>
        <v>y</v>
      </c>
      <c r="MJM1" s="154" t="str">
        <f t="shared" si="141"/>
        <v>y</v>
      </c>
      <c r="MJN1" s="154" t="str">
        <f t="shared" si="141"/>
        <v>y</v>
      </c>
      <c r="MJO1" s="154" t="str">
        <f t="shared" si="141"/>
        <v>y</v>
      </c>
      <c r="MJP1" s="154" t="str">
        <f t="shared" si="141"/>
        <v>y</v>
      </c>
      <c r="MJQ1" s="154" t="str">
        <f t="shared" si="141"/>
        <v>y</v>
      </c>
      <c r="MJR1" s="154" t="str">
        <f t="shared" si="141"/>
        <v>y</v>
      </c>
      <c r="MJS1" s="154" t="str">
        <f t="shared" si="141"/>
        <v>y</v>
      </c>
      <c r="MJT1" s="154" t="str">
        <f t="shared" si="141"/>
        <v>y</v>
      </c>
      <c r="MJU1" s="154" t="str">
        <f t="shared" si="141"/>
        <v>y</v>
      </c>
      <c r="MJV1" s="154" t="str">
        <f t="shared" si="141"/>
        <v>y</v>
      </c>
      <c r="MJW1" s="154" t="str">
        <f t="shared" si="141"/>
        <v>y</v>
      </c>
      <c r="MJX1" s="154" t="str">
        <f t="shared" si="141"/>
        <v>y</v>
      </c>
      <c r="MJY1" s="154" t="str">
        <f t="shared" si="141"/>
        <v>y</v>
      </c>
      <c r="MJZ1" s="154" t="str">
        <f t="shared" si="141"/>
        <v>y</v>
      </c>
      <c r="MKA1" s="154" t="str">
        <f t="shared" si="141"/>
        <v>y</v>
      </c>
      <c r="MKB1" s="154" t="str">
        <f t="shared" si="141"/>
        <v>y</v>
      </c>
      <c r="MKC1" s="154" t="str">
        <f t="shared" si="141"/>
        <v>y</v>
      </c>
      <c r="MKD1" s="154" t="str">
        <f t="shared" si="141"/>
        <v>y</v>
      </c>
      <c r="MKE1" s="154" t="str">
        <f t="shared" si="141"/>
        <v>y</v>
      </c>
      <c r="MKF1" s="154" t="str">
        <f t="shared" si="141"/>
        <v>y</v>
      </c>
      <c r="MKG1" s="154" t="str">
        <f t="shared" si="141"/>
        <v>y</v>
      </c>
      <c r="MKH1" s="154" t="str">
        <f t="shared" si="141"/>
        <v>y</v>
      </c>
      <c r="MKI1" s="154" t="str">
        <f t="shared" si="141"/>
        <v>y</v>
      </c>
      <c r="MKJ1" s="154" t="str">
        <f t="shared" si="141"/>
        <v>y</v>
      </c>
      <c r="MKK1" s="154" t="str">
        <f t="shared" si="141"/>
        <v>y</v>
      </c>
      <c r="MKL1" s="154" t="str">
        <f t="shared" si="141"/>
        <v>y</v>
      </c>
      <c r="MKM1" s="154" t="str">
        <f t="shared" si="141"/>
        <v>y</v>
      </c>
      <c r="MKN1" s="154" t="str">
        <f t="shared" si="141"/>
        <v>y</v>
      </c>
      <c r="MKO1" s="154" t="str">
        <f t="shared" si="141"/>
        <v>y</v>
      </c>
      <c r="MKP1" s="154" t="str">
        <f t="shared" si="141"/>
        <v>y</v>
      </c>
      <c r="MKQ1" s="154" t="str">
        <f t="shared" si="141"/>
        <v>y</v>
      </c>
      <c r="MKR1" s="154" t="str">
        <f t="shared" ref="MKR1:MNC1" si="142">MKR2&amp;"y"</f>
        <v>y</v>
      </c>
      <c r="MKS1" s="154" t="str">
        <f t="shared" si="142"/>
        <v>y</v>
      </c>
      <c r="MKT1" s="154" t="str">
        <f t="shared" si="142"/>
        <v>y</v>
      </c>
      <c r="MKU1" s="154" t="str">
        <f t="shared" si="142"/>
        <v>y</v>
      </c>
      <c r="MKV1" s="154" t="str">
        <f t="shared" si="142"/>
        <v>y</v>
      </c>
      <c r="MKW1" s="154" t="str">
        <f t="shared" si="142"/>
        <v>y</v>
      </c>
      <c r="MKX1" s="154" t="str">
        <f t="shared" si="142"/>
        <v>y</v>
      </c>
      <c r="MKY1" s="154" t="str">
        <f t="shared" si="142"/>
        <v>y</v>
      </c>
      <c r="MKZ1" s="154" t="str">
        <f t="shared" si="142"/>
        <v>y</v>
      </c>
      <c r="MLA1" s="154" t="str">
        <f t="shared" si="142"/>
        <v>y</v>
      </c>
      <c r="MLB1" s="154" t="str">
        <f t="shared" si="142"/>
        <v>y</v>
      </c>
      <c r="MLC1" s="154" t="str">
        <f t="shared" si="142"/>
        <v>y</v>
      </c>
      <c r="MLD1" s="154" t="str">
        <f t="shared" si="142"/>
        <v>y</v>
      </c>
      <c r="MLE1" s="154" t="str">
        <f t="shared" si="142"/>
        <v>y</v>
      </c>
      <c r="MLF1" s="154" t="str">
        <f t="shared" si="142"/>
        <v>y</v>
      </c>
      <c r="MLG1" s="154" t="str">
        <f t="shared" si="142"/>
        <v>y</v>
      </c>
      <c r="MLH1" s="154" t="str">
        <f t="shared" si="142"/>
        <v>y</v>
      </c>
      <c r="MLI1" s="154" t="str">
        <f t="shared" si="142"/>
        <v>y</v>
      </c>
      <c r="MLJ1" s="154" t="str">
        <f t="shared" si="142"/>
        <v>y</v>
      </c>
      <c r="MLK1" s="154" t="str">
        <f t="shared" si="142"/>
        <v>y</v>
      </c>
      <c r="MLL1" s="154" t="str">
        <f t="shared" si="142"/>
        <v>y</v>
      </c>
      <c r="MLM1" s="154" t="str">
        <f t="shared" si="142"/>
        <v>y</v>
      </c>
      <c r="MLN1" s="154" t="str">
        <f t="shared" si="142"/>
        <v>y</v>
      </c>
      <c r="MLO1" s="154" t="str">
        <f t="shared" si="142"/>
        <v>y</v>
      </c>
      <c r="MLP1" s="154" t="str">
        <f t="shared" si="142"/>
        <v>y</v>
      </c>
      <c r="MLQ1" s="154" t="str">
        <f t="shared" si="142"/>
        <v>y</v>
      </c>
      <c r="MLR1" s="154" t="str">
        <f t="shared" si="142"/>
        <v>y</v>
      </c>
      <c r="MLS1" s="154" t="str">
        <f t="shared" si="142"/>
        <v>y</v>
      </c>
      <c r="MLT1" s="154" t="str">
        <f t="shared" si="142"/>
        <v>y</v>
      </c>
      <c r="MLU1" s="154" t="str">
        <f t="shared" si="142"/>
        <v>y</v>
      </c>
      <c r="MLV1" s="154" t="str">
        <f t="shared" si="142"/>
        <v>y</v>
      </c>
      <c r="MLW1" s="154" t="str">
        <f t="shared" si="142"/>
        <v>y</v>
      </c>
      <c r="MLX1" s="154" t="str">
        <f t="shared" si="142"/>
        <v>y</v>
      </c>
      <c r="MLY1" s="154" t="str">
        <f t="shared" si="142"/>
        <v>y</v>
      </c>
      <c r="MLZ1" s="154" t="str">
        <f t="shared" si="142"/>
        <v>y</v>
      </c>
      <c r="MMA1" s="154" t="str">
        <f t="shared" si="142"/>
        <v>y</v>
      </c>
      <c r="MMB1" s="154" t="str">
        <f t="shared" si="142"/>
        <v>y</v>
      </c>
      <c r="MMC1" s="154" t="str">
        <f t="shared" si="142"/>
        <v>y</v>
      </c>
      <c r="MMD1" s="154" t="str">
        <f t="shared" si="142"/>
        <v>y</v>
      </c>
      <c r="MME1" s="154" t="str">
        <f t="shared" si="142"/>
        <v>y</v>
      </c>
      <c r="MMF1" s="154" t="str">
        <f t="shared" si="142"/>
        <v>y</v>
      </c>
      <c r="MMG1" s="154" t="str">
        <f t="shared" si="142"/>
        <v>y</v>
      </c>
      <c r="MMH1" s="154" t="str">
        <f t="shared" si="142"/>
        <v>y</v>
      </c>
      <c r="MMI1" s="154" t="str">
        <f t="shared" si="142"/>
        <v>y</v>
      </c>
      <c r="MMJ1" s="154" t="str">
        <f t="shared" si="142"/>
        <v>y</v>
      </c>
      <c r="MMK1" s="154" t="str">
        <f t="shared" si="142"/>
        <v>y</v>
      </c>
      <c r="MML1" s="154" t="str">
        <f t="shared" si="142"/>
        <v>y</v>
      </c>
      <c r="MMM1" s="154" t="str">
        <f t="shared" si="142"/>
        <v>y</v>
      </c>
      <c r="MMN1" s="154" t="str">
        <f t="shared" si="142"/>
        <v>y</v>
      </c>
      <c r="MMO1" s="154" t="str">
        <f t="shared" si="142"/>
        <v>y</v>
      </c>
      <c r="MMP1" s="154" t="str">
        <f t="shared" si="142"/>
        <v>y</v>
      </c>
      <c r="MMQ1" s="154" t="str">
        <f t="shared" si="142"/>
        <v>y</v>
      </c>
      <c r="MMR1" s="154" t="str">
        <f t="shared" si="142"/>
        <v>y</v>
      </c>
      <c r="MMS1" s="154" t="str">
        <f t="shared" si="142"/>
        <v>y</v>
      </c>
      <c r="MMT1" s="154" t="str">
        <f t="shared" si="142"/>
        <v>y</v>
      </c>
      <c r="MMU1" s="154" t="str">
        <f t="shared" si="142"/>
        <v>y</v>
      </c>
      <c r="MMV1" s="154" t="str">
        <f t="shared" si="142"/>
        <v>y</v>
      </c>
      <c r="MMW1" s="154" t="str">
        <f t="shared" si="142"/>
        <v>y</v>
      </c>
      <c r="MMX1" s="154" t="str">
        <f t="shared" si="142"/>
        <v>y</v>
      </c>
      <c r="MMY1" s="154" t="str">
        <f t="shared" si="142"/>
        <v>y</v>
      </c>
      <c r="MMZ1" s="154" t="str">
        <f t="shared" si="142"/>
        <v>y</v>
      </c>
      <c r="MNA1" s="154" t="str">
        <f t="shared" si="142"/>
        <v>y</v>
      </c>
      <c r="MNB1" s="154" t="str">
        <f t="shared" si="142"/>
        <v>y</v>
      </c>
      <c r="MNC1" s="154" t="str">
        <f t="shared" si="142"/>
        <v>y</v>
      </c>
      <c r="MND1" s="154" t="str">
        <f t="shared" ref="MND1:MPO1" si="143">MND2&amp;"y"</f>
        <v>y</v>
      </c>
      <c r="MNE1" s="154" t="str">
        <f t="shared" si="143"/>
        <v>y</v>
      </c>
      <c r="MNF1" s="154" t="str">
        <f t="shared" si="143"/>
        <v>y</v>
      </c>
      <c r="MNG1" s="154" t="str">
        <f t="shared" si="143"/>
        <v>y</v>
      </c>
      <c r="MNH1" s="154" t="str">
        <f t="shared" si="143"/>
        <v>y</v>
      </c>
      <c r="MNI1" s="154" t="str">
        <f t="shared" si="143"/>
        <v>y</v>
      </c>
      <c r="MNJ1" s="154" t="str">
        <f t="shared" si="143"/>
        <v>y</v>
      </c>
      <c r="MNK1" s="154" t="str">
        <f t="shared" si="143"/>
        <v>y</v>
      </c>
      <c r="MNL1" s="154" t="str">
        <f t="shared" si="143"/>
        <v>y</v>
      </c>
      <c r="MNM1" s="154" t="str">
        <f t="shared" si="143"/>
        <v>y</v>
      </c>
      <c r="MNN1" s="154" t="str">
        <f t="shared" si="143"/>
        <v>y</v>
      </c>
      <c r="MNO1" s="154" t="str">
        <f t="shared" si="143"/>
        <v>y</v>
      </c>
      <c r="MNP1" s="154" t="str">
        <f t="shared" si="143"/>
        <v>y</v>
      </c>
      <c r="MNQ1" s="154" t="str">
        <f t="shared" si="143"/>
        <v>y</v>
      </c>
      <c r="MNR1" s="154" t="str">
        <f t="shared" si="143"/>
        <v>y</v>
      </c>
      <c r="MNS1" s="154" t="str">
        <f t="shared" si="143"/>
        <v>y</v>
      </c>
      <c r="MNT1" s="154" t="str">
        <f t="shared" si="143"/>
        <v>y</v>
      </c>
      <c r="MNU1" s="154" t="str">
        <f t="shared" si="143"/>
        <v>y</v>
      </c>
      <c r="MNV1" s="154" t="str">
        <f t="shared" si="143"/>
        <v>y</v>
      </c>
      <c r="MNW1" s="154" t="str">
        <f t="shared" si="143"/>
        <v>y</v>
      </c>
      <c r="MNX1" s="154" t="str">
        <f t="shared" si="143"/>
        <v>y</v>
      </c>
      <c r="MNY1" s="154" t="str">
        <f t="shared" si="143"/>
        <v>y</v>
      </c>
      <c r="MNZ1" s="154" t="str">
        <f t="shared" si="143"/>
        <v>y</v>
      </c>
      <c r="MOA1" s="154" t="str">
        <f t="shared" si="143"/>
        <v>y</v>
      </c>
      <c r="MOB1" s="154" t="str">
        <f t="shared" si="143"/>
        <v>y</v>
      </c>
      <c r="MOC1" s="154" t="str">
        <f t="shared" si="143"/>
        <v>y</v>
      </c>
      <c r="MOD1" s="154" t="str">
        <f t="shared" si="143"/>
        <v>y</v>
      </c>
      <c r="MOE1" s="154" t="str">
        <f t="shared" si="143"/>
        <v>y</v>
      </c>
      <c r="MOF1" s="154" t="str">
        <f t="shared" si="143"/>
        <v>y</v>
      </c>
      <c r="MOG1" s="154" t="str">
        <f t="shared" si="143"/>
        <v>y</v>
      </c>
      <c r="MOH1" s="154" t="str">
        <f t="shared" si="143"/>
        <v>y</v>
      </c>
      <c r="MOI1" s="154" t="str">
        <f t="shared" si="143"/>
        <v>y</v>
      </c>
      <c r="MOJ1" s="154" t="str">
        <f t="shared" si="143"/>
        <v>y</v>
      </c>
      <c r="MOK1" s="154" t="str">
        <f t="shared" si="143"/>
        <v>y</v>
      </c>
      <c r="MOL1" s="154" t="str">
        <f t="shared" si="143"/>
        <v>y</v>
      </c>
      <c r="MOM1" s="154" t="str">
        <f t="shared" si="143"/>
        <v>y</v>
      </c>
      <c r="MON1" s="154" t="str">
        <f t="shared" si="143"/>
        <v>y</v>
      </c>
      <c r="MOO1" s="154" t="str">
        <f t="shared" si="143"/>
        <v>y</v>
      </c>
      <c r="MOP1" s="154" t="str">
        <f t="shared" si="143"/>
        <v>y</v>
      </c>
      <c r="MOQ1" s="154" t="str">
        <f t="shared" si="143"/>
        <v>y</v>
      </c>
      <c r="MOR1" s="154" t="str">
        <f t="shared" si="143"/>
        <v>y</v>
      </c>
      <c r="MOS1" s="154" t="str">
        <f t="shared" si="143"/>
        <v>y</v>
      </c>
      <c r="MOT1" s="154" t="str">
        <f t="shared" si="143"/>
        <v>y</v>
      </c>
      <c r="MOU1" s="154" t="str">
        <f t="shared" si="143"/>
        <v>y</v>
      </c>
      <c r="MOV1" s="154" t="str">
        <f t="shared" si="143"/>
        <v>y</v>
      </c>
      <c r="MOW1" s="154" t="str">
        <f t="shared" si="143"/>
        <v>y</v>
      </c>
      <c r="MOX1" s="154" t="str">
        <f t="shared" si="143"/>
        <v>y</v>
      </c>
      <c r="MOY1" s="154" t="str">
        <f t="shared" si="143"/>
        <v>y</v>
      </c>
      <c r="MOZ1" s="154" t="str">
        <f t="shared" si="143"/>
        <v>y</v>
      </c>
      <c r="MPA1" s="154" t="str">
        <f t="shared" si="143"/>
        <v>y</v>
      </c>
      <c r="MPB1" s="154" t="str">
        <f t="shared" si="143"/>
        <v>y</v>
      </c>
      <c r="MPC1" s="154" t="str">
        <f t="shared" si="143"/>
        <v>y</v>
      </c>
      <c r="MPD1" s="154" t="str">
        <f t="shared" si="143"/>
        <v>y</v>
      </c>
      <c r="MPE1" s="154" t="str">
        <f t="shared" si="143"/>
        <v>y</v>
      </c>
      <c r="MPF1" s="154" t="str">
        <f t="shared" si="143"/>
        <v>y</v>
      </c>
      <c r="MPG1" s="154" t="str">
        <f t="shared" si="143"/>
        <v>y</v>
      </c>
      <c r="MPH1" s="154" t="str">
        <f t="shared" si="143"/>
        <v>y</v>
      </c>
      <c r="MPI1" s="154" t="str">
        <f t="shared" si="143"/>
        <v>y</v>
      </c>
      <c r="MPJ1" s="154" t="str">
        <f t="shared" si="143"/>
        <v>y</v>
      </c>
      <c r="MPK1" s="154" t="str">
        <f t="shared" si="143"/>
        <v>y</v>
      </c>
      <c r="MPL1" s="154" t="str">
        <f t="shared" si="143"/>
        <v>y</v>
      </c>
      <c r="MPM1" s="154" t="str">
        <f t="shared" si="143"/>
        <v>y</v>
      </c>
      <c r="MPN1" s="154" t="str">
        <f t="shared" si="143"/>
        <v>y</v>
      </c>
      <c r="MPO1" s="154" t="str">
        <f t="shared" si="143"/>
        <v>y</v>
      </c>
      <c r="MPP1" s="154" t="str">
        <f t="shared" ref="MPP1:MSA1" si="144">MPP2&amp;"y"</f>
        <v>y</v>
      </c>
      <c r="MPQ1" s="154" t="str">
        <f t="shared" si="144"/>
        <v>y</v>
      </c>
      <c r="MPR1" s="154" t="str">
        <f t="shared" si="144"/>
        <v>y</v>
      </c>
      <c r="MPS1" s="154" t="str">
        <f t="shared" si="144"/>
        <v>y</v>
      </c>
      <c r="MPT1" s="154" t="str">
        <f t="shared" si="144"/>
        <v>y</v>
      </c>
      <c r="MPU1" s="154" t="str">
        <f t="shared" si="144"/>
        <v>y</v>
      </c>
      <c r="MPV1" s="154" t="str">
        <f t="shared" si="144"/>
        <v>y</v>
      </c>
      <c r="MPW1" s="154" t="str">
        <f t="shared" si="144"/>
        <v>y</v>
      </c>
      <c r="MPX1" s="154" t="str">
        <f t="shared" si="144"/>
        <v>y</v>
      </c>
      <c r="MPY1" s="154" t="str">
        <f t="shared" si="144"/>
        <v>y</v>
      </c>
      <c r="MPZ1" s="154" t="str">
        <f t="shared" si="144"/>
        <v>y</v>
      </c>
      <c r="MQA1" s="154" t="str">
        <f t="shared" si="144"/>
        <v>y</v>
      </c>
      <c r="MQB1" s="154" t="str">
        <f t="shared" si="144"/>
        <v>y</v>
      </c>
      <c r="MQC1" s="154" t="str">
        <f t="shared" si="144"/>
        <v>y</v>
      </c>
      <c r="MQD1" s="154" t="str">
        <f t="shared" si="144"/>
        <v>y</v>
      </c>
      <c r="MQE1" s="154" t="str">
        <f t="shared" si="144"/>
        <v>y</v>
      </c>
      <c r="MQF1" s="154" t="str">
        <f t="shared" si="144"/>
        <v>y</v>
      </c>
      <c r="MQG1" s="154" t="str">
        <f t="shared" si="144"/>
        <v>y</v>
      </c>
      <c r="MQH1" s="154" t="str">
        <f t="shared" si="144"/>
        <v>y</v>
      </c>
      <c r="MQI1" s="154" t="str">
        <f t="shared" si="144"/>
        <v>y</v>
      </c>
      <c r="MQJ1" s="154" t="str">
        <f t="shared" si="144"/>
        <v>y</v>
      </c>
      <c r="MQK1" s="154" t="str">
        <f t="shared" si="144"/>
        <v>y</v>
      </c>
      <c r="MQL1" s="154" t="str">
        <f t="shared" si="144"/>
        <v>y</v>
      </c>
      <c r="MQM1" s="154" t="str">
        <f t="shared" si="144"/>
        <v>y</v>
      </c>
      <c r="MQN1" s="154" t="str">
        <f t="shared" si="144"/>
        <v>y</v>
      </c>
      <c r="MQO1" s="154" t="str">
        <f t="shared" si="144"/>
        <v>y</v>
      </c>
      <c r="MQP1" s="154" t="str">
        <f t="shared" si="144"/>
        <v>y</v>
      </c>
      <c r="MQQ1" s="154" t="str">
        <f t="shared" si="144"/>
        <v>y</v>
      </c>
      <c r="MQR1" s="154" t="str">
        <f t="shared" si="144"/>
        <v>y</v>
      </c>
      <c r="MQS1" s="154" t="str">
        <f t="shared" si="144"/>
        <v>y</v>
      </c>
      <c r="MQT1" s="154" t="str">
        <f t="shared" si="144"/>
        <v>y</v>
      </c>
      <c r="MQU1" s="154" t="str">
        <f t="shared" si="144"/>
        <v>y</v>
      </c>
      <c r="MQV1" s="154" t="str">
        <f t="shared" si="144"/>
        <v>y</v>
      </c>
      <c r="MQW1" s="154" t="str">
        <f t="shared" si="144"/>
        <v>y</v>
      </c>
      <c r="MQX1" s="154" t="str">
        <f t="shared" si="144"/>
        <v>y</v>
      </c>
      <c r="MQY1" s="154" t="str">
        <f t="shared" si="144"/>
        <v>y</v>
      </c>
      <c r="MQZ1" s="154" t="str">
        <f t="shared" si="144"/>
        <v>y</v>
      </c>
      <c r="MRA1" s="154" t="str">
        <f t="shared" si="144"/>
        <v>y</v>
      </c>
      <c r="MRB1" s="154" t="str">
        <f t="shared" si="144"/>
        <v>y</v>
      </c>
      <c r="MRC1" s="154" t="str">
        <f t="shared" si="144"/>
        <v>y</v>
      </c>
      <c r="MRD1" s="154" t="str">
        <f t="shared" si="144"/>
        <v>y</v>
      </c>
      <c r="MRE1" s="154" t="str">
        <f t="shared" si="144"/>
        <v>y</v>
      </c>
      <c r="MRF1" s="154" t="str">
        <f t="shared" si="144"/>
        <v>y</v>
      </c>
      <c r="MRG1" s="154" t="str">
        <f t="shared" si="144"/>
        <v>y</v>
      </c>
      <c r="MRH1" s="154" t="str">
        <f t="shared" si="144"/>
        <v>y</v>
      </c>
      <c r="MRI1" s="154" t="str">
        <f t="shared" si="144"/>
        <v>y</v>
      </c>
      <c r="MRJ1" s="154" t="str">
        <f t="shared" si="144"/>
        <v>y</v>
      </c>
      <c r="MRK1" s="154" t="str">
        <f t="shared" si="144"/>
        <v>y</v>
      </c>
      <c r="MRL1" s="154" t="str">
        <f t="shared" si="144"/>
        <v>y</v>
      </c>
      <c r="MRM1" s="154" t="str">
        <f t="shared" si="144"/>
        <v>y</v>
      </c>
      <c r="MRN1" s="154" t="str">
        <f t="shared" si="144"/>
        <v>y</v>
      </c>
      <c r="MRO1" s="154" t="str">
        <f t="shared" si="144"/>
        <v>y</v>
      </c>
      <c r="MRP1" s="154" t="str">
        <f t="shared" si="144"/>
        <v>y</v>
      </c>
      <c r="MRQ1" s="154" t="str">
        <f t="shared" si="144"/>
        <v>y</v>
      </c>
      <c r="MRR1" s="154" t="str">
        <f t="shared" si="144"/>
        <v>y</v>
      </c>
      <c r="MRS1" s="154" t="str">
        <f t="shared" si="144"/>
        <v>y</v>
      </c>
      <c r="MRT1" s="154" t="str">
        <f t="shared" si="144"/>
        <v>y</v>
      </c>
      <c r="MRU1" s="154" t="str">
        <f t="shared" si="144"/>
        <v>y</v>
      </c>
      <c r="MRV1" s="154" t="str">
        <f t="shared" si="144"/>
        <v>y</v>
      </c>
      <c r="MRW1" s="154" t="str">
        <f t="shared" si="144"/>
        <v>y</v>
      </c>
      <c r="MRX1" s="154" t="str">
        <f t="shared" si="144"/>
        <v>y</v>
      </c>
      <c r="MRY1" s="154" t="str">
        <f t="shared" si="144"/>
        <v>y</v>
      </c>
      <c r="MRZ1" s="154" t="str">
        <f t="shared" si="144"/>
        <v>y</v>
      </c>
      <c r="MSA1" s="154" t="str">
        <f t="shared" si="144"/>
        <v>y</v>
      </c>
      <c r="MSB1" s="154" t="str">
        <f t="shared" ref="MSB1:MUM1" si="145">MSB2&amp;"y"</f>
        <v>y</v>
      </c>
      <c r="MSC1" s="154" t="str">
        <f t="shared" si="145"/>
        <v>y</v>
      </c>
      <c r="MSD1" s="154" t="str">
        <f t="shared" si="145"/>
        <v>y</v>
      </c>
      <c r="MSE1" s="154" t="str">
        <f t="shared" si="145"/>
        <v>y</v>
      </c>
      <c r="MSF1" s="154" t="str">
        <f t="shared" si="145"/>
        <v>y</v>
      </c>
      <c r="MSG1" s="154" t="str">
        <f t="shared" si="145"/>
        <v>y</v>
      </c>
      <c r="MSH1" s="154" t="str">
        <f t="shared" si="145"/>
        <v>y</v>
      </c>
      <c r="MSI1" s="154" t="str">
        <f t="shared" si="145"/>
        <v>y</v>
      </c>
      <c r="MSJ1" s="154" t="str">
        <f t="shared" si="145"/>
        <v>y</v>
      </c>
      <c r="MSK1" s="154" t="str">
        <f t="shared" si="145"/>
        <v>y</v>
      </c>
      <c r="MSL1" s="154" t="str">
        <f t="shared" si="145"/>
        <v>y</v>
      </c>
      <c r="MSM1" s="154" t="str">
        <f t="shared" si="145"/>
        <v>y</v>
      </c>
      <c r="MSN1" s="154" t="str">
        <f t="shared" si="145"/>
        <v>y</v>
      </c>
      <c r="MSO1" s="154" t="str">
        <f t="shared" si="145"/>
        <v>y</v>
      </c>
      <c r="MSP1" s="154" t="str">
        <f t="shared" si="145"/>
        <v>y</v>
      </c>
      <c r="MSQ1" s="154" t="str">
        <f t="shared" si="145"/>
        <v>y</v>
      </c>
      <c r="MSR1" s="154" t="str">
        <f t="shared" si="145"/>
        <v>y</v>
      </c>
      <c r="MSS1" s="154" t="str">
        <f t="shared" si="145"/>
        <v>y</v>
      </c>
      <c r="MST1" s="154" t="str">
        <f t="shared" si="145"/>
        <v>y</v>
      </c>
      <c r="MSU1" s="154" t="str">
        <f t="shared" si="145"/>
        <v>y</v>
      </c>
      <c r="MSV1" s="154" t="str">
        <f t="shared" si="145"/>
        <v>y</v>
      </c>
      <c r="MSW1" s="154" t="str">
        <f t="shared" si="145"/>
        <v>y</v>
      </c>
      <c r="MSX1" s="154" t="str">
        <f t="shared" si="145"/>
        <v>y</v>
      </c>
      <c r="MSY1" s="154" t="str">
        <f t="shared" si="145"/>
        <v>y</v>
      </c>
      <c r="MSZ1" s="154" t="str">
        <f t="shared" si="145"/>
        <v>y</v>
      </c>
      <c r="MTA1" s="154" t="str">
        <f t="shared" si="145"/>
        <v>y</v>
      </c>
      <c r="MTB1" s="154" t="str">
        <f t="shared" si="145"/>
        <v>y</v>
      </c>
      <c r="MTC1" s="154" t="str">
        <f t="shared" si="145"/>
        <v>y</v>
      </c>
      <c r="MTD1" s="154" t="str">
        <f t="shared" si="145"/>
        <v>y</v>
      </c>
      <c r="MTE1" s="154" t="str">
        <f t="shared" si="145"/>
        <v>y</v>
      </c>
      <c r="MTF1" s="154" t="str">
        <f t="shared" si="145"/>
        <v>y</v>
      </c>
      <c r="MTG1" s="154" t="str">
        <f t="shared" si="145"/>
        <v>y</v>
      </c>
      <c r="MTH1" s="154" t="str">
        <f t="shared" si="145"/>
        <v>y</v>
      </c>
      <c r="MTI1" s="154" t="str">
        <f t="shared" si="145"/>
        <v>y</v>
      </c>
      <c r="MTJ1" s="154" t="str">
        <f t="shared" si="145"/>
        <v>y</v>
      </c>
      <c r="MTK1" s="154" t="str">
        <f t="shared" si="145"/>
        <v>y</v>
      </c>
      <c r="MTL1" s="154" t="str">
        <f t="shared" si="145"/>
        <v>y</v>
      </c>
      <c r="MTM1" s="154" t="str">
        <f t="shared" si="145"/>
        <v>y</v>
      </c>
      <c r="MTN1" s="154" t="str">
        <f t="shared" si="145"/>
        <v>y</v>
      </c>
      <c r="MTO1" s="154" t="str">
        <f t="shared" si="145"/>
        <v>y</v>
      </c>
      <c r="MTP1" s="154" t="str">
        <f t="shared" si="145"/>
        <v>y</v>
      </c>
      <c r="MTQ1" s="154" t="str">
        <f t="shared" si="145"/>
        <v>y</v>
      </c>
      <c r="MTR1" s="154" t="str">
        <f t="shared" si="145"/>
        <v>y</v>
      </c>
      <c r="MTS1" s="154" t="str">
        <f t="shared" si="145"/>
        <v>y</v>
      </c>
      <c r="MTT1" s="154" t="str">
        <f t="shared" si="145"/>
        <v>y</v>
      </c>
      <c r="MTU1" s="154" t="str">
        <f t="shared" si="145"/>
        <v>y</v>
      </c>
      <c r="MTV1" s="154" t="str">
        <f t="shared" si="145"/>
        <v>y</v>
      </c>
      <c r="MTW1" s="154" t="str">
        <f t="shared" si="145"/>
        <v>y</v>
      </c>
      <c r="MTX1" s="154" t="str">
        <f t="shared" si="145"/>
        <v>y</v>
      </c>
      <c r="MTY1" s="154" t="str">
        <f t="shared" si="145"/>
        <v>y</v>
      </c>
      <c r="MTZ1" s="154" t="str">
        <f t="shared" si="145"/>
        <v>y</v>
      </c>
      <c r="MUA1" s="154" t="str">
        <f t="shared" si="145"/>
        <v>y</v>
      </c>
      <c r="MUB1" s="154" t="str">
        <f t="shared" si="145"/>
        <v>y</v>
      </c>
      <c r="MUC1" s="154" t="str">
        <f t="shared" si="145"/>
        <v>y</v>
      </c>
      <c r="MUD1" s="154" t="str">
        <f t="shared" si="145"/>
        <v>y</v>
      </c>
      <c r="MUE1" s="154" t="str">
        <f t="shared" si="145"/>
        <v>y</v>
      </c>
      <c r="MUF1" s="154" t="str">
        <f t="shared" si="145"/>
        <v>y</v>
      </c>
      <c r="MUG1" s="154" t="str">
        <f t="shared" si="145"/>
        <v>y</v>
      </c>
      <c r="MUH1" s="154" t="str">
        <f t="shared" si="145"/>
        <v>y</v>
      </c>
      <c r="MUI1" s="154" t="str">
        <f t="shared" si="145"/>
        <v>y</v>
      </c>
      <c r="MUJ1" s="154" t="str">
        <f t="shared" si="145"/>
        <v>y</v>
      </c>
      <c r="MUK1" s="154" t="str">
        <f t="shared" si="145"/>
        <v>y</v>
      </c>
      <c r="MUL1" s="154" t="str">
        <f t="shared" si="145"/>
        <v>y</v>
      </c>
      <c r="MUM1" s="154" t="str">
        <f t="shared" si="145"/>
        <v>y</v>
      </c>
      <c r="MUN1" s="154" t="str">
        <f t="shared" ref="MUN1:MWY1" si="146">MUN2&amp;"y"</f>
        <v>y</v>
      </c>
      <c r="MUO1" s="154" t="str">
        <f t="shared" si="146"/>
        <v>y</v>
      </c>
      <c r="MUP1" s="154" t="str">
        <f t="shared" si="146"/>
        <v>y</v>
      </c>
      <c r="MUQ1" s="154" t="str">
        <f t="shared" si="146"/>
        <v>y</v>
      </c>
      <c r="MUR1" s="154" t="str">
        <f t="shared" si="146"/>
        <v>y</v>
      </c>
      <c r="MUS1" s="154" t="str">
        <f t="shared" si="146"/>
        <v>y</v>
      </c>
      <c r="MUT1" s="154" t="str">
        <f t="shared" si="146"/>
        <v>y</v>
      </c>
      <c r="MUU1" s="154" t="str">
        <f t="shared" si="146"/>
        <v>y</v>
      </c>
      <c r="MUV1" s="154" t="str">
        <f t="shared" si="146"/>
        <v>y</v>
      </c>
      <c r="MUW1" s="154" t="str">
        <f t="shared" si="146"/>
        <v>y</v>
      </c>
      <c r="MUX1" s="154" t="str">
        <f t="shared" si="146"/>
        <v>y</v>
      </c>
      <c r="MUY1" s="154" t="str">
        <f t="shared" si="146"/>
        <v>y</v>
      </c>
      <c r="MUZ1" s="154" t="str">
        <f t="shared" si="146"/>
        <v>y</v>
      </c>
      <c r="MVA1" s="154" t="str">
        <f t="shared" si="146"/>
        <v>y</v>
      </c>
      <c r="MVB1" s="154" t="str">
        <f t="shared" si="146"/>
        <v>y</v>
      </c>
      <c r="MVC1" s="154" t="str">
        <f t="shared" si="146"/>
        <v>y</v>
      </c>
      <c r="MVD1" s="154" t="str">
        <f t="shared" si="146"/>
        <v>y</v>
      </c>
      <c r="MVE1" s="154" t="str">
        <f t="shared" si="146"/>
        <v>y</v>
      </c>
      <c r="MVF1" s="154" t="str">
        <f t="shared" si="146"/>
        <v>y</v>
      </c>
      <c r="MVG1" s="154" t="str">
        <f t="shared" si="146"/>
        <v>y</v>
      </c>
      <c r="MVH1" s="154" t="str">
        <f t="shared" si="146"/>
        <v>y</v>
      </c>
      <c r="MVI1" s="154" t="str">
        <f t="shared" si="146"/>
        <v>y</v>
      </c>
      <c r="MVJ1" s="154" t="str">
        <f t="shared" si="146"/>
        <v>y</v>
      </c>
      <c r="MVK1" s="154" t="str">
        <f t="shared" si="146"/>
        <v>y</v>
      </c>
      <c r="MVL1" s="154" t="str">
        <f t="shared" si="146"/>
        <v>y</v>
      </c>
      <c r="MVM1" s="154" t="str">
        <f t="shared" si="146"/>
        <v>y</v>
      </c>
      <c r="MVN1" s="154" t="str">
        <f t="shared" si="146"/>
        <v>y</v>
      </c>
      <c r="MVO1" s="154" t="str">
        <f t="shared" si="146"/>
        <v>y</v>
      </c>
      <c r="MVP1" s="154" t="str">
        <f t="shared" si="146"/>
        <v>y</v>
      </c>
      <c r="MVQ1" s="154" t="str">
        <f t="shared" si="146"/>
        <v>y</v>
      </c>
      <c r="MVR1" s="154" t="str">
        <f t="shared" si="146"/>
        <v>y</v>
      </c>
      <c r="MVS1" s="154" t="str">
        <f t="shared" si="146"/>
        <v>y</v>
      </c>
      <c r="MVT1" s="154" t="str">
        <f t="shared" si="146"/>
        <v>y</v>
      </c>
      <c r="MVU1" s="154" t="str">
        <f t="shared" si="146"/>
        <v>y</v>
      </c>
      <c r="MVV1" s="154" t="str">
        <f t="shared" si="146"/>
        <v>y</v>
      </c>
      <c r="MVW1" s="154" t="str">
        <f t="shared" si="146"/>
        <v>y</v>
      </c>
      <c r="MVX1" s="154" t="str">
        <f t="shared" si="146"/>
        <v>y</v>
      </c>
      <c r="MVY1" s="154" t="str">
        <f t="shared" si="146"/>
        <v>y</v>
      </c>
      <c r="MVZ1" s="154" t="str">
        <f t="shared" si="146"/>
        <v>y</v>
      </c>
      <c r="MWA1" s="154" t="str">
        <f t="shared" si="146"/>
        <v>y</v>
      </c>
      <c r="MWB1" s="154" t="str">
        <f t="shared" si="146"/>
        <v>y</v>
      </c>
      <c r="MWC1" s="154" t="str">
        <f t="shared" si="146"/>
        <v>y</v>
      </c>
      <c r="MWD1" s="154" t="str">
        <f t="shared" si="146"/>
        <v>y</v>
      </c>
      <c r="MWE1" s="154" t="str">
        <f t="shared" si="146"/>
        <v>y</v>
      </c>
      <c r="MWF1" s="154" t="str">
        <f t="shared" si="146"/>
        <v>y</v>
      </c>
      <c r="MWG1" s="154" t="str">
        <f t="shared" si="146"/>
        <v>y</v>
      </c>
      <c r="MWH1" s="154" t="str">
        <f t="shared" si="146"/>
        <v>y</v>
      </c>
      <c r="MWI1" s="154" t="str">
        <f t="shared" si="146"/>
        <v>y</v>
      </c>
      <c r="MWJ1" s="154" t="str">
        <f t="shared" si="146"/>
        <v>y</v>
      </c>
      <c r="MWK1" s="154" t="str">
        <f t="shared" si="146"/>
        <v>y</v>
      </c>
      <c r="MWL1" s="154" t="str">
        <f t="shared" si="146"/>
        <v>y</v>
      </c>
      <c r="MWM1" s="154" t="str">
        <f t="shared" si="146"/>
        <v>y</v>
      </c>
      <c r="MWN1" s="154" t="str">
        <f t="shared" si="146"/>
        <v>y</v>
      </c>
      <c r="MWO1" s="154" t="str">
        <f t="shared" si="146"/>
        <v>y</v>
      </c>
      <c r="MWP1" s="154" t="str">
        <f t="shared" si="146"/>
        <v>y</v>
      </c>
      <c r="MWQ1" s="154" t="str">
        <f t="shared" si="146"/>
        <v>y</v>
      </c>
      <c r="MWR1" s="154" t="str">
        <f t="shared" si="146"/>
        <v>y</v>
      </c>
      <c r="MWS1" s="154" t="str">
        <f t="shared" si="146"/>
        <v>y</v>
      </c>
      <c r="MWT1" s="154" t="str">
        <f t="shared" si="146"/>
        <v>y</v>
      </c>
      <c r="MWU1" s="154" t="str">
        <f t="shared" si="146"/>
        <v>y</v>
      </c>
      <c r="MWV1" s="154" t="str">
        <f t="shared" si="146"/>
        <v>y</v>
      </c>
      <c r="MWW1" s="154" t="str">
        <f t="shared" si="146"/>
        <v>y</v>
      </c>
      <c r="MWX1" s="154" t="str">
        <f t="shared" si="146"/>
        <v>y</v>
      </c>
      <c r="MWY1" s="154" t="str">
        <f t="shared" si="146"/>
        <v>y</v>
      </c>
      <c r="MWZ1" s="154" t="str">
        <f t="shared" ref="MWZ1:MZK1" si="147">MWZ2&amp;"y"</f>
        <v>y</v>
      </c>
      <c r="MXA1" s="154" t="str">
        <f t="shared" si="147"/>
        <v>y</v>
      </c>
      <c r="MXB1" s="154" t="str">
        <f t="shared" si="147"/>
        <v>y</v>
      </c>
      <c r="MXC1" s="154" t="str">
        <f t="shared" si="147"/>
        <v>y</v>
      </c>
      <c r="MXD1" s="154" t="str">
        <f t="shared" si="147"/>
        <v>y</v>
      </c>
      <c r="MXE1" s="154" t="str">
        <f t="shared" si="147"/>
        <v>y</v>
      </c>
      <c r="MXF1" s="154" t="str">
        <f t="shared" si="147"/>
        <v>y</v>
      </c>
      <c r="MXG1" s="154" t="str">
        <f t="shared" si="147"/>
        <v>y</v>
      </c>
      <c r="MXH1" s="154" t="str">
        <f t="shared" si="147"/>
        <v>y</v>
      </c>
      <c r="MXI1" s="154" t="str">
        <f t="shared" si="147"/>
        <v>y</v>
      </c>
      <c r="MXJ1" s="154" t="str">
        <f t="shared" si="147"/>
        <v>y</v>
      </c>
      <c r="MXK1" s="154" t="str">
        <f t="shared" si="147"/>
        <v>y</v>
      </c>
      <c r="MXL1" s="154" t="str">
        <f t="shared" si="147"/>
        <v>y</v>
      </c>
      <c r="MXM1" s="154" t="str">
        <f t="shared" si="147"/>
        <v>y</v>
      </c>
      <c r="MXN1" s="154" t="str">
        <f t="shared" si="147"/>
        <v>y</v>
      </c>
      <c r="MXO1" s="154" t="str">
        <f t="shared" si="147"/>
        <v>y</v>
      </c>
      <c r="MXP1" s="154" t="str">
        <f t="shared" si="147"/>
        <v>y</v>
      </c>
      <c r="MXQ1" s="154" t="str">
        <f t="shared" si="147"/>
        <v>y</v>
      </c>
      <c r="MXR1" s="154" t="str">
        <f t="shared" si="147"/>
        <v>y</v>
      </c>
      <c r="MXS1" s="154" t="str">
        <f t="shared" si="147"/>
        <v>y</v>
      </c>
      <c r="MXT1" s="154" t="str">
        <f t="shared" si="147"/>
        <v>y</v>
      </c>
      <c r="MXU1" s="154" t="str">
        <f t="shared" si="147"/>
        <v>y</v>
      </c>
      <c r="MXV1" s="154" t="str">
        <f t="shared" si="147"/>
        <v>y</v>
      </c>
      <c r="MXW1" s="154" t="str">
        <f t="shared" si="147"/>
        <v>y</v>
      </c>
      <c r="MXX1" s="154" t="str">
        <f t="shared" si="147"/>
        <v>y</v>
      </c>
      <c r="MXY1" s="154" t="str">
        <f t="shared" si="147"/>
        <v>y</v>
      </c>
      <c r="MXZ1" s="154" t="str">
        <f t="shared" si="147"/>
        <v>y</v>
      </c>
      <c r="MYA1" s="154" t="str">
        <f t="shared" si="147"/>
        <v>y</v>
      </c>
      <c r="MYB1" s="154" t="str">
        <f t="shared" si="147"/>
        <v>y</v>
      </c>
      <c r="MYC1" s="154" t="str">
        <f t="shared" si="147"/>
        <v>y</v>
      </c>
      <c r="MYD1" s="154" t="str">
        <f t="shared" si="147"/>
        <v>y</v>
      </c>
      <c r="MYE1" s="154" t="str">
        <f t="shared" si="147"/>
        <v>y</v>
      </c>
      <c r="MYF1" s="154" t="str">
        <f t="shared" si="147"/>
        <v>y</v>
      </c>
      <c r="MYG1" s="154" t="str">
        <f t="shared" si="147"/>
        <v>y</v>
      </c>
      <c r="MYH1" s="154" t="str">
        <f t="shared" si="147"/>
        <v>y</v>
      </c>
      <c r="MYI1" s="154" t="str">
        <f t="shared" si="147"/>
        <v>y</v>
      </c>
      <c r="MYJ1" s="154" t="str">
        <f t="shared" si="147"/>
        <v>y</v>
      </c>
      <c r="MYK1" s="154" t="str">
        <f t="shared" si="147"/>
        <v>y</v>
      </c>
      <c r="MYL1" s="154" t="str">
        <f t="shared" si="147"/>
        <v>y</v>
      </c>
      <c r="MYM1" s="154" t="str">
        <f t="shared" si="147"/>
        <v>y</v>
      </c>
      <c r="MYN1" s="154" t="str">
        <f t="shared" si="147"/>
        <v>y</v>
      </c>
      <c r="MYO1" s="154" t="str">
        <f t="shared" si="147"/>
        <v>y</v>
      </c>
      <c r="MYP1" s="154" t="str">
        <f t="shared" si="147"/>
        <v>y</v>
      </c>
      <c r="MYQ1" s="154" t="str">
        <f t="shared" si="147"/>
        <v>y</v>
      </c>
      <c r="MYR1" s="154" t="str">
        <f t="shared" si="147"/>
        <v>y</v>
      </c>
      <c r="MYS1" s="154" t="str">
        <f t="shared" si="147"/>
        <v>y</v>
      </c>
      <c r="MYT1" s="154" t="str">
        <f t="shared" si="147"/>
        <v>y</v>
      </c>
      <c r="MYU1" s="154" t="str">
        <f t="shared" si="147"/>
        <v>y</v>
      </c>
      <c r="MYV1" s="154" t="str">
        <f t="shared" si="147"/>
        <v>y</v>
      </c>
      <c r="MYW1" s="154" t="str">
        <f t="shared" si="147"/>
        <v>y</v>
      </c>
      <c r="MYX1" s="154" t="str">
        <f t="shared" si="147"/>
        <v>y</v>
      </c>
      <c r="MYY1" s="154" t="str">
        <f t="shared" si="147"/>
        <v>y</v>
      </c>
      <c r="MYZ1" s="154" t="str">
        <f t="shared" si="147"/>
        <v>y</v>
      </c>
      <c r="MZA1" s="154" t="str">
        <f t="shared" si="147"/>
        <v>y</v>
      </c>
      <c r="MZB1" s="154" t="str">
        <f t="shared" si="147"/>
        <v>y</v>
      </c>
      <c r="MZC1" s="154" t="str">
        <f t="shared" si="147"/>
        <v>y</v>
      </c>
      <c r="MZD1" s="154" t="str">
        <f t="shared" si="147"/>
        <v>y</v>
      </c>
      <c r="MZE1" s="154" t="str">
        <f t="shared" si="147"/>
        <v>y</v>
      </c>
      <c r="MZF1" s="154" t="str">
        <f t="shared" si="147"/>
        <v>y</v>
      </c>
      <c r="MZG1" s="154" t="str">
        <f t="shared" si="147"/>
        <v>y</v>
      </c>
      <c r="MZH1" s="154" t="str">
        <f t="shared" si="147"/>
        <v>y</v>
      </c>
      <c r="MZI1" s="154" t="str">
        <f t="shared" si="147"/>
        <v>y</v>
      </c>
      <c r="MZJ1" s="154" t="str">
        <f t="shared" si="147"/>
        <v>y</v>
      </c>
      <c r="MZK1" s="154" t="str">
        <f t="shared" si="147"/>
        <v>y</v>
      </c>
      <c r="MZL1" s="154" t="str">
        <f t="shared" ref="MZL1:NBW1" si="148">MZL2&amp;"y"</f>
        <v>y</v>
      </c>
      <c r="MZM1" s="154" t="str">
        <f t="shared" si="148"/>
        <v>y</v>
      </c>
      <c r="MZN1" s="154" t="str">
        <f t="shared" si="148"/>
        <v>y</v>
      </c>
      <c r="MZO1" s="154" t="str">
        <f t="shared" si="148"/>
        <v>y</v>
      </c>
      <c r="MZP1" s="154" t="str">
        <f t="shared" si="148"/>
        <v>y</v>
      </c>
      <c r="MZQ1" s="154" t="str">
        <f t="shared" si="148"/>
        <v>y</v>
      </c>
      <c r="MZR1" s="154" t="str">
        <f t="shared" si="148"/>
        <v>y</v>
      </c>
      <c r="MZS1" s="154" t="str">
        <f t="shared" si="148"/>
        <v>y</v>
      </c>
      <c r="MZT1" s="154" t="str">
        <f t="shared" si="148"/>
        <v>y</v>
      </c>
      <c r="MZU1" s="154" t="str">
        <f t="shared" si="148"/>
        <v>y</v>
      </c>
      <c r="MZV1" s="154" t="str">
        <f t="shared" si="148"/>
        <v>y</v>
      </c>
      <c r="MZW1" s="154" t="str">
        <f t="shared" si="148"/>
        <v>y</v>
      </c>
      <c r="MZX1" s="154" t="str">
        <f t="shared" si="148"/>
        <v>y</v>
      </c>
      <c r="MZY1" s="154" t="str">
        <f t="shared" si="148"/>
        <v>y</v>
      </c>
      <c r="MZZ1" s="154" t="str">
        <f t="shared" si="148"/>
        <v>y</v>
      </c>
      <c r="NAA1" s="154" t="str">
        <f t="shared" si="148"/>
        <v>y</v>
      </c>
      <c r="NAB1" s="154" t="str">
        <f t="shared" si="148"/>
        <v>y</v>
      </c>
      <c r="NAC1" s="154" t="str">
        <f t="shared" si="148"/>
        <v>y</v>
      </c>
      <c r="NAD1" s="154" t="str">
        <f t="shared" si="148"/>
        <v>y</v>
      </c>
      <c r="NAE1" s="154" t="str">
        <f t="shared" si="148"/>
        <v>y</v>
      </c>
      <c r="NAF1" s="154" t="str">
        <f t="shared" si="148"/>
        <v>y</v>
      </c>
      <c r="NAG1" s="154" t="str">
        <f t="shared" si="148"/>
        <v>y</v>
      </c>
      <c r="NAH1" s="154" t="str">
        <f t="shared" si="148"/>
        <v>y</v>
      </c>
      <c r="NAI1" s="154" t="str">
        <f t="shared" si="148"/>
        <v>y</v>
      </c>
      <c r="NAJ1" s="154" t="str">
        <f t="shared" si="148"/>
        <v>y</v>
      </c>
      <c r="NAK1" s="154" t="str">
        <f t="shared" si="148"/>
        <v>y</v>
      </c>
      <c r="NAL1" s="154" t="str">
        <f t="shared" si="148"/>
        <v>y</v>
      </c>
      <c r="NAM1" s="154" t="str">
        <f t="shared" si="148"/>
        <v>y</v>
      </c>
      <c r="NAN1" s="154" t="str">
        <f t="shared" si="148"/>
        <v>y</v>
      </c>
      <c r="NAO1" s="154" t="str">
        <f t="shared" si="148"/>
        <v>y</v>
      </c>
      <c r="NAP1" s="154" t="str">
        <f t="shared" si="148"/>
        <v>y</v>
      </c>
      <c r="NAQ1" s="154" t="str">
        <f t="shared" si="148"/>
        <v>y</v>
      </c>
      <c r="NAR1" s="154" t="str">
        <f t="shared" si="148"/>
        <v>y</v>
      </c>
      <c r="NAS1" s="154" t="str">
        <f t="shared" si="148"/>
        <v>y</v>
      </c>
      <c r="NAT1" s="154" t="str">
        <f t="shared" si="148"/>
        <v>y</v>
      </c>
      <c r="NAU1" s="154" t="str">
        <f t="shared" si="148"/>
        <v>y</v>
      </c>
      <c r="NAV1" s="154" t="str">
        <f t="shared" si="148"/>
        <v>y</v>
      </c>
      <c r="NAW1" s="154" t="str">
        <f t="shared" si="148"/>
        <v>y</v>
      </c>
      <c r="NAX1" s="154" t="str">
        <f t="shared" si="148"/>
        <v>y</v>
      </c>
      <c r="NAY1" s="154" t="str">
        <f t="shared" si="148"/>
        <v>y</v>
      </c>
      <c r="NAZ1" s="154" t="str">
        <f t="shared" si="148"/>
        <v>y</v>
      </c>
      <c r="NBA1" s="154" t="str">
        <f t="shared" si="148"/>
        <v>y</v>
      </c>
      <c r="NBB1" s="154" t="str">
        <f t="shared" si="148"/>
        <v>y</v>
      </c>
      <c r="NBC1" s="154" t="str">
        <f t="shared" si="148"/>
        <v>y</v>
      </c>
      <c r="NBD1" s="154" t="str">
        <f t="shared" si="148"/>
        <v>y</v>
      </c>
      <c r="NBE1" s="154" t="str">
        <f t="shared" si="148"/>
        <v>y</v>
      </c>
      <c r="NBF1" s="154" t="str">
        <f t="shared" si="148"/>
        <v>y</v>
      </c>
      <c r="NBG1" s="154" t="str">
        <f t="shared" si="148"/>
        <v>y</v>
      </c>
      <c r="NBH1" s="154" t="str">
        <f t="shared" si="148"/>
        <v>y</v>
      </c>
      <c r="NBI1" s="154" t="str">
        <f t="shared" si="148"/>
        <v>y</v>
      </c>
      <c r="NBJ1" s="154" t="str">
        <f t="shared" si="148"/>
        <v>y</v>
      </c>
      <c r="NBK1" s="154" t="str">
        <f t="shared" si="148"/>
        <v>y</v>
      </c>
      <c r="NBL1" s="154" t="str">
        <f t="shared" si="148"/>
        <v>y</v>
      </c>
      <c r="NBM1" s="154" t="str">
        <f t="shared" si="148"/>
        <v>y</v>
      </c>
      <c r="NBN1" s="154" t="str">
        <f t="shared" si="148"/>
        <v>y</v>
      </c>
      <c r="NBO1" s="154" t="str">
        <f t="shared" si="148"/>
        <v>y</v>
      </c>
      <c r="NBP1" s="154" t="str">
        <f t="shared" si="148"/>
        <v>y</v>
      </c>
      <c r="NBQ1" s="154" t="str">
        <f t="shared" si="148"/>
        <v>y</v>
      </c>
      <c r="NBR1" s="154" t="str">
        <f t="shared" si="148"/>
        <v>y</v>
      </c>
      <c r="NBS1" s="154" t="str">
        <f t="shared" si="148"/>
        <v>y</v>
      </c>
      <c r="NBT1" s="154" t="str">
        <f t="shared" si="148"/>
        <v>y</v>
      </c>
      <c r="NBU1" s="154" t="str">
        <f t="shared" si="148"/>
        <v>y</v>
      </c>
      <c r="NBV1" s="154" t="str">
        <f t="shared" si="148"/>
        <v>y</v>
      </c>
      <c r="NBW1" s="154" t="str">
        <f t="shared" si="148"/>
        <v>y</v>
      </c>
      <c r="NBX1" s="154" t="str">
        <f t="shared" ref="NBX1:NEI1" si="149">NBX2&amp;"y"</f>
        <v>y</v>
      </c>
      <c r="NBY1" s="154" t="str">
        <f t="shared" si="149"/>
        <v>y</v>
      </c>
      <c r="NBZ1" s="154" t="str">
        <f t="shared" si="149"/>
        <v>y</v>
      </c>
      <c r="NCA1" s="154" t="str">
        <f t="shared" si="149"/>
        <v>y</v>
      </c>
      <c r="NCB1" s="154" t="str">
        <f t="shared" si="149"/>
        <v>y</v>
      </c>
      <c r="NCC1" s="154" t="str">
        <f t="shared" si="149"/>
        <v>y</v>
      </c>
      <c r="NCD1" s="154" t="str">
        <f t="shared" si="149"/>
        <v>y</v>
      </c>
      <c r="NCE1" s="154" t="str">
        <f t="shared" si="149"/>
        <v>y</v>
      </c>
      <c r="NCF1" s="154" t="str">
        <f t="shared" si="149"/>
        <v>y</v>
      </c>
      <c r="NCG1" s="154" t="str">
        <f t="shared" si="149"/>
        <v>y</v>
      </c>
      <c r="NCH1" s="154" t="str">
        <f t="shared" si="149"/>
        <v>y</v>
      </c>
      <c r="NCI1" s="154" t="str">
        <f t="shared" si="149"/>
        <v>y</v>
      </c>
      <c r="NCJ1" s="154" t="str">
        <f t="shared" si="149"/>
        <v>y</v>
      </c>
      <c r="NCK1" s="154" t="str">
        <f t="shared" si="149"/>
        <v>y</v>
      </c>
      <c r="NCL1" s="154" t="str">
        <f t="shared" si="149"/>
        <v>y</v>
      </c>
      <c r="NCM1" s="154" t="str">
        <f t="shared" si="149"/>
        <v>y</v>
      </c>
      <c r="NCN1" s="154" t="str">
        <f t="shared" si="149"/>
        <v>y</v>
      </c>
      <c r="NCO1" s="154" t="str">
        <f t="shared" si="149"/>
        <v>y</v>
      </c>
      <c r="NCP1" s="154" t="str">
        <f t="shared" si="149"/>
        <v>y</v>
      </c>
      <c r="NCQ1" s="154" t="str">
        <f t="shared" si="149"/>
        <v>y</v>
      </c>
      <c r="NCR1" s="154" t="str">
        <f t="shared" si="149"/>
        <v>y</v>
      </c>
      <c r="NCS1" s="154" t="str">
        <f t="shared" si="149"/>
        <v>y</v>
      </c>
      <c r="NCT1" s="154" t="str">
        <f t="shared" si="149"/>
        <v>y</v>
      </c>
      <c r="NCU1" s="154" t="str">
        <f t="shared" si="149"/>
        <v>y</v>
      </c>
      <c r="NCV1" s="154" t="str">
        <f t="shared" si="149"/>
        <v>y</v>
      </c>
      <c r="NCW1" s="154" t="str">
        <f t="shared" si="149"/>
        <v>y</v>
      </c>
      <c r="NCX1" s="154" t="str">
        <f t="shared" si="149"/>
        <v>y</v>
      </c>
      <c r="NCY1" s="154" t="str">
        <f t="shared" si="149"/>
        <v>y</v>
      </c>
      <c r="NCZ1" s="154" t="str">
        <f t="shared" si="149"/>
        <v>y</v>
      </c>
      <c r="NDA1" s="154" t="str">
        <f t="shared" si="149"/>
        <v>y</v>
      </c>
      <c r="NDB1" s="154" t="str">
        <f t="shared" si="149"/>
        <v>y</v>
      </c>
      <c r="NDC1" s="154" t="str">
        <f t="shared" si="149"/>
        <v>y</v>
      </c>
      <c r="NDD1" s="154" t="str">
        <f t="shared" si="149"/>
        <v>y</v>
      </c>
      <c r="NDE1" s="154" t="str">
        <f t="shared" si="149"/>
        <v>y</v>
      </c>
      <c r="NDF1" s="154" t="str">
        <f t="shared" si="149"/>
        <v>y</v>
      </c>
      <c r="NDG1" s="154" t="str">
        <f t="shared" si="149"/>
        <v>y</v>
      </c>
      <c r="NDH1" s="154" t="str">
        <f t="shared" si="149"/>
        <v>y</v>
      </c>
      <c r="NDI1" s="154" t="str">
        <f t="shared" si="149"/>
        <v>y</v>
      </c>
      <c r="NDJ1" s="154" t="str">
        <f t="shared" si="149"/>
        <v>y</v>
      </c>
      <c r="NDK1" s="154" t="str">
        <f t="shared" si="149"/>
        <v>y</v>
      </c>
      <c r="NDL1" s="154" t="str">
        <f t="shared" si="149"/>
        <v>y</v>
      </c>
      <c r="NDM1" s="154" t="str">
        <f t="shared" si="149"/>
        <v>y</v>
      </c>
      <c r="NDN1" s="154" t="str">
        <f t="shared" si="149"/>
        <v>y</v>
      </c>
      <c r="NDO1" s="154" t="str">
        <f t="shared" si="149"/>
        <v>y</v>
      </c>
      <c r="NDP1" s="154" t="str">
        <f t="shared" si="149"/>
        <v>y</v>
      </c>
      <c r="NDQ1" s="154" t="str">
        <f t="shared" si="149"/>
        <v>y</v>
      </c>
      <c r="NDR1" s="154" t="str">
        <f t="shared" si="149"/>
        <v>y</v>
      </c>
      <c r="NDS1" s="154" t="str">
        <f t="shared" si="149"/>
        <v>y</v>
      </c>
      <c r="NDT1" s="154" t="str">
        <f t="shared" si="149"/>
        <v>y</v>
      </c>
      <c r="NDU1" s="154" t="str">
        <f t="shared" si="149"/>
        <v>y</v>
      </c>
      <c r="NDV1" s="154" t="str">
        <f t="shared" si="149"/>
        <v>y</v>
      </c>
      <c r="NDW1" s="154" t="str">
        <f t="shared" si="149"/>
        <v>y</v>
      </c>
      <c r="NDX1" s="154" t="str">
        <f t="shared" si="149"/>
        <v>y</v>
      </c>
      <c r="NDY1" s="154" t="str">
        <f t="shared" si="149"/>
        <v>y</v>
      </c>
      <c r="NDZ1" s="154" t="str">
        <f t="shared" si="149"/>
        <v>y</v>
      </c>
      <c r="NEA1" s="154" t="str">
        <f t="shared" si="149"/>
        <v>y</v>
      </c>
      <c r="NEB1" s="154" t="str">
        <f t="shared" si="149"/>
        <v>y</v>
      </c>
      <c r="NEC1" s="154" t="str">
        <f t="shared" si="149"/>
        <v>y</v>
      </c>
      <c r="NED1" s="154" t="str">
        <f t="shared" si="149"/>
        <v>y</v>
      </c>
      <c r="NEE1" s="154" t="str">
        <f t="shared" si="149"/>
        <v>y</v>
      </c>
      <c r="NEF1" s="154" t="str">
        <f t="shared" si="149"/>
        <v>y</v>
      </c>
      <c r="NEG1" s="154" t="str">
        <f t="shared" si="149"/>
        <v>y</v>
      </c>
      <c r="NEH1" s="154" t="str">
        <f t="shared" si="149"/>
        <v>y</v>
      </c>
      <c r="NEI1" s="154" t="str">
        <f t="shared" si="149"/>
        <v>y</v>
      </c>
      <c r="NEJ1" s="154" t="str">
        <f t="shared" ref="NEJ1:NGU1" si="150">NEJ2&amp;"y"</f>
        <v>y</v>
      </c>
      <c r="NEK1" s="154" t="str">
        <f t="shared" si="150"/>
        <v>y</v>
      </c>
      <c r="NEL1" s="154" t="str">
        <f t="shared" si="150"/>
        <v>y</v>
      </c>
      <c r="NEM1" s="154" t="str">
        <f t="shared" si="150"/>
        <v>y</v>
      </c>
      <c r="NEN1" s="154" t="str">
        <f t="shared" si="150"/>
        <v>y</v>
      </c>
      <c r="NEO1" s="154" t="str">
        <f t="shared" si="150"/>
        <v>y</v>
      </c>
      <c r="NEP1" s="154" t="str">
        <f t="shared" si="150"/>
        <v>y</v>
      </c>
      <c r="NEQ1" s="154" t="str">
        <f t="shared" si="150"/>
        <v>y</v>
      </c>
      <c r="NER1" s="154" t="str">
        <f t="shared" si="150"/>
        <v>y</v>
      </c>
      <c r="NES1" s="154" t="str">
        <f t="shared" si="150"/>
        <v>y</v>
      </c>
      <c r="NET1" s="154" t="str">
        <f t="shared" si="150"/>
        <v>y</v>
      </c>
      <c r="NEU1" s="154" t="str">
        <f t="shared" si="150"/>
        <v>y</v>
      </c>
      <c r="NEV1" s="154" t="str">
        <f t="shared" si="150"/>
        <v>y</v>
      </c>
      <c r="NEW1" s="154" t="str">
        <f t="shared" si="150"/>
        <v>y</v>
      </c>
      <c r="NEX1" s="154" t="str">
        <f t="shared" si="150"/>
        <v>y</v>
      </c>
      <c r="NEY1" s="154" t="str">
        <f t="shared" si="150"/>
        <v>y</v>
      </c>
      <c r="NEZ1" s="154" t="str">
        <f t="shared" si="150"/>
        <v>y</v>
      </c>
      <c r="NFA1" s="154" t="str">
        <f t="shared" si="150"/>
        <v>y</v>
      </c>
      <c r="NFB1" s="154" t="str">
        <f t="shared" si="150"/>
        <v>y</v>
      </c>
      <c r="NFC1" s="154" t="str">
        <f t="shared" si="150"/>
        <v>y</v>
      </c>
      <c r="NFD1" s="154" t="str">
        <f t="shared" si="150"/>
        <v>y</v>
      </c>
      <c r="NFE1" s="154" t="str">
        <f t="shared" si="150"/>
        <v>y</v>
      </c>
      <c r="NFF1" s="154" t="str">
        <f t="shared" si="150"/>
        <v>y</v>
      </c>
      <c r="NFG1" s="154" t="str">
        <f t="shared" si="150"/>
        <v>y</v>
      </c>
      <c r="NFH1" s="154" t="str">
        <f t="shared" si="150"/>
        <v>y</v>
      </c>
      <c r="NFI1" s="154" t="str">
        <f t="shared" si="150"/>
        <v>y</v>
      </c>
      <c r="NFJ1" s="154" t="str">
        <f t="shared" si="150"/>
        <v>y</v>
      </c>
      <c r="NFK1" s="154" t="str">
        <f t="shared" si="150"/>
        <v>y</v>
      </c>
      <c r="NFL1" s="154" t="str">
        <f t="shared" si="150"/>
        <v>y</v>
      </c>
      <c r="NFM1" s="154" t="str">
        <f t="shared" si="150"/>
        <v>y</v>
      </c>
      <c r="NFN1" s="154" t="str">
        <f t="shared" si="150"/>
        <v>y</v>
      </c>
      <c r="NFO1" s="154" t="str">
        <f t="shared" si="150"/>
        <v>y</v>
      </c>
      <c r="NFP1" s="154" t="str">
        <f t="shared" si="150"/>
        <v>y</v>
      </c>
      <c r="NFQ1" s="154" t="str">
        <f t="shared" si="150"/>
        <v>y</v>
      </c>
      <c r="NFR1" s="154" t="str">
        <f t="shared" si="150"/>
        <v>y</v>
      </c>
      <c r="NFS1" s="154" t="str">
        <f t="shared" si="150"/>
        <v>y</v>
      </c>
      <c r="NFT1" s="154" t="str">
        <f t="shared" si="150"/>
        <v>y</v>
      </c>
      <c r="NFU1" s="154" t="str">
        <f t="shared" si="150"/>
        <v>y</v>
      </c>
      <c r="NFV1" s="154" t="str">
        <f t="shared" si="150"/>
        <v>y</v>
      </c>
      <c r="NFW1" s="154" t="str">
        <f t="shared" si="150"/>
        <v>y</v>
      </c>
      <c r="NFX1" s="154" t="str">
        <f t="shared" si="150"/>
        <v>y</v>
      </c>
      <c r="NFY1" s="154" t="str">
        <f t="shared" si="150"/>
        <v>y</v>
      </c>
      <c r="NFZ1" s="154" t="str">
        <f t="shared" si="150"/>
        <v>y</v>
      </c>
      <c r="NGA1" s="154" t="str">
        <f t="shared" si="150"/>
        <v>y</v>
      </c>
      <c r="NGB1" s="154" t="str">
        <f t="shared" si="150"/>
        <v>y</v>
      </c>
      <c r="NGC1" s="154" t="str">
        <f t="shared" si="150"/>
        <v>y</v>
      </c>
      <c r="NGD1" s="154" t="str">
        <f t="shared" si="150"/>
        <v>y</v>
      </c>
      <c r="NGE1" s="154" t="str">
        <f t="shared" si="150"/>
        <v>y</v>
      </c>
      <c r="NGF1" s="154" t="str">
        <f t="shared" si="150"/>
        <v>y</v>
      </c>
      <c r="NGG1" s="154" t="str">
        <f t="shared" si="150"/>
        <v>y</v>
      </c>
      <c r="NGH1" s="154" t="str">
        <f t="shared" si="150"/>
        <v>y</v>
      </c>
      <c r="NGI1" s="154" t="str">
        <f t="shared" si="150"/>
        <v>y</v>
      </c>
      <c r="NGJ1" s="154" t="str">
        <f t="shared" si="150"/>
        <v>y</v>
      </c>
      <c r="NGK1" s="154" t="str">
        <f t="shared" si="150"/>
        <v>y</v>
      </c>
      <c r="NGL1" s="154" t="str">
        <f t="shared" si="150"/>
        <v>y</v>
      </c>
      <c r="NGM1" s="154" t="str">
        <f t="shared" si="150"/>
        <v>y</v>
      </c>
      <c r="NGN1" s="154" t="str">
        <f t="shared" si="150"/>
        <v>y</v>
      </c>
      <c r="NGO1" s="154" t="str">
        <f t="shared" si="150"/>
        <v>y</v>
      </c>
      <c r="NGP1" s="154" t="str">
        <f t="shared" si="150"/>
        <v>y</v>
      </c>
      <c r="NGQ1" s="154" t="str">
        <f t="shared" si="150"/>
        <v>y</v>
      </c>
      <c r="NGR1" s="154" t="str">
        <f t="shared" si="150"/>
        <v>y</v>
      </c>
      <c r="NGS1" s="154" t="str">
        <f t="shared" si="150"/>
        <v>y</v>
      </c>
      <c r="NGT1" s="154" t="str">
        <f t="shared" si="150"/>
        <v>y</v>
      </c>
      <c r="NGU1" s="154" t="str">
        <f t="shared" si="150"/>
        <v>y</v>
      </c>
      <c r="NGV1" s="154" t="str">
        <f t="shared" ref="NGV1:NJG1" si="151">NGV2&amp;"y"</f>
        <v>y</v>
      </c>
      <c r="NGW1" s="154" t="str">
        <f t="shared" si="151"/>
        <v>y</v>
      </c>
      <c r="NGX1" s="154" t="str">
        <f t="shared" si="151"/>
        <v>y</v>
      </c>
      <c r="NGY1" s="154" t="str">
        <f t="shared" si="151"/>
        <v>y</v>
      </c>
      <c r="NGZ1" s="154" t="str">
        <f t="shared" si="151"/>
        <v>y</v>
      </c>
      <c r="NHA1" s="154" t="str">
        <f t="shared" si="151"/>
        <v>y</v>
      </c>
      <c r="NHB1" s="154" t="str">
        <f t="shared" si="151"/>
        <v>y</v>
      </c>
      <c r="NHC1" s="154" t="str">
        <f t="shared" si="151"/>
        <v>y</v>
      </c>
      <c r="NHD1" s="154" t="str">
        <f t="shared" si="151"/>
        <v>y</v>
      </c>
      <c r="NHE1" s="154" t="str">
        <f t="shared" si="151"/>
        <v>y</v>
      </c>
      <c r="NHF1" s="154" t="str">
        <f t="shared" si="151"/>
        <v>y</v>
      </c>
      <c r="NHG1" s="154" t="str">
        <f t="shared" si="151"/>
        <v>y</v>
      </c>
      <c r="NHH1" s="154" t="str">
        <f t="shared" si="151"/>
        <v>y</v>
      </c>
      <c r="NHI1" s="154" t="str">
        <f t="shared" si="151"/>
        <v>y</v>
      </c>
      <c r="NHJ1" s="154" t="str">
        <f t="shared" si="151"/>
        <v>y</v>
      </c>
      <c r="NHK1" s="154" t="str">
        <f t="shared" si="151"/>
        <v>y</v>
      </c>
      <c r="NHL1" s="154" t="str">
        <f t="shared" si="151"/>
        <v>y</v>
      </c>
      <c r="NHM1" s="154" t="str">
        <f t="shared" si="151"/>
        <v>y</v>
      </c>
      <c r="NHN1" s="154" t="str">
        <f t="shared" si="151"/>
        <v>y</v>
      </c>
      <c r="NHO1" s="154" t="str">
        <f t="shared" si="151"/>
        <v>y</v>
      </c>
      <c r="NHP1" s="154" t="str">
        <f t="shared" si="151"/>
        <v>y</v>
      </c>
      <c r="NHQ1" s="154" t="str">
        <f t="shared" si="151"/>
        <v>y</v>
      </c>
      <c r="NHR1" s="154" t="str">
        <f t="shared" si="151"/>
        <v>y</v>
      </c>
      <c r="NHS1" s="154" t="str">
        <f t="shared" si="151"/>
        <v>y</v>
      </c>
      <c r="NHT1" s="154" t="str">
        <f t="shared" si="151"/>
        <v>y</v>
      </c>
      <c r="NHU1" s="154" t="str">
        <f t="shared" si="151"/>
        <v>y</v>
      </c>
      <c r="NHV1" s="154" t="str">
        <f t="shared" si="151"/>
        <v>y</v>
      </c>
      <c r="NHW1" s="154" t="str">
        <f t="shared" si="151"/>
        <v>y</v>
      </c>
      <c r="NHX1" s="154" t="str">
        <f t="shared" si="151"/>
        <v>y</v>
      </c>
      <c r="NHY1" s="154" t="str">
        <f t="shared" si="151"/>
        <v>y</v>
      </c>
      <c r="NHZ1" s="154" t="str">
        <f t="shared" si="151"/>
        <v>y</v>
      </c>
      <c r="NIA1" s="154" t="str">
        <f t="shared" si="151"/>
        <v>y</v>
      </c>
      <c r="NIB1" s="154" t="str">
        <f t="shared" si="151"/>
        <v>y</v>
      </c>
      <c r="NIC1" s="154" t="str">
        <f t="shared" si="151"/>
        <v>y</v>
      </c>
      <c r="NID1" s="154" t="str">
        <f t="shared" si="151"/>
        <v>y</v>
      </c>
      <c r="NIE1" s="154" t="str">
        <f t="shared" si="151"/>
        <v>y</v>
      </c>
      <c r="NIF1" s="154" t="str">
        <f t="shared" si="151"/>
        <v>y</v>
      </c>
      <c r="NIG1" s="154" t="str">
        <f t="shared" si="151"/>
        <v>y</v>
      </c>
      <c r="NIH1" s="154" t="str">
        <f t="shared" si="151"/>
        <v>y</v>
      </c>
      <c r="NII1" s="154" t="str">
        <f t="shared" si="151"/>
        <v>y</v>
      </c>
      <c r="NIJ1" s="154" t="str">
        <f t="shared" si="151"/>
        <v>y</v>
      </c>
      <c r="NIK1" s="154" t="str">
        <f t="shared" si="151"/>
        <v>y</v>
      </c>
      <c r="NIL1" s="154" t="str">
        <f t="shared" si="151"/>
        <v>y</v>
      </c>
      <c r="NIM1" s="154" t="str">
        <f t="shared" si="151"/>
        <v>y</v>
      </c>
      <c r="NIN1" s="154" t="str">
        <f t="shared" si="151"/>
        <v>y</v>
      </c>
      <c r="NIO1" s="154" t="str">
        <f t="shared" si="151"/>
        <v>y</v>
      </c>
      <c r="NIP1" s="154" t="str">
        <f t="shared" si="151"/>
        <v>y</v>
      </c>
      <c r="NIQ1" s="154" t="str">
        <f t="shared" si="151"/>
        <v>y</v>
      </c>
      <c r="NIR1" s="154" t="str">
        <f t="shared" si="151"/>
        <v>y</v>
      </c>
      <c r="NIS1" s="154" t="str">
        <f t="shared" si="151"/>
        <v>y</v>
      </c>
      <c r="NIT1" s="154" t="str">
        <f t="shared" si="151"/>
        <v>y</v>
      </c>
      <c r="NIU1" s="154" t="str">
        <f t="shared" si="151"/>
        <v>y</v>
      </c>
      <c r="NIV1" s="154" t="str">
        <f t="shared" si="151"/>
        <v>y</v>
      </c>
      <c r="NIW1" s="154" t="str">
        <f t="shared" si="151"/>
        <v>y</v>
      </c>
      <c r="NIX1" s="154" t="str">
        <f t="shared" si="151"/>
        <v>y</v>
      </c>
      <c r="NIY1" s="154" t="str">
        <f t="shared" si="151"/>
        <v>y</v>
      </c>
      <c r="NIZ1" s="154" t="str">
        <f t="shared" si="151"/>
        <v>y</v>
      </c>
      <c r="NJA1" s="154" t="str">
        <f t="shared" si="151"/>
        <v>y</v>
      </c>
      <c r="NJB1" s="154" t="str">
        <f t="shared" si="151"/>
        <v>y</v>
      </c>
      <c r="NJC1" s="154" t="str">
        <f t="shared" si="151"/>
        <v>y</v>
      </c>
      <c r="NJD1" s="154" t="str">
        <f t="shared" si="151"/>
        <v>y</v>
      </c>
      <c r="NJE1" s="154" t="str">
        <f t="shared" si="151"/>
        <v>y</v>
      </c>
      <c r="NJF1" s="154" t="str">
        <f t="shared" si="151"/>
        <v>y</v>
      </c>
      <c r="NJG1" s="154" t="str">
        <f t="shared" si="151"/>
        <v>y</v>
      </c>
      <c r="NJH1" s="154" t="str">
        <f t="shared" ref="NJH1:NLS1" si="152">NJH2&amp;"y"</f>
        <v>y</v>
      </c>
      <c r="NJI1" s="154" t="str">
        <f t="shared" si="152"/>
        <v>y</v>
      </c>
      <c r="NJJ1" s="154" t="str">
        <f t="shared" si="152"/>
        <v>y</v>
      </c>
      <c r="NJK1" s="154" t="str">
        <f t="shared" si="152"/>
        <v>y</v>
      </c>
      <c r="NJL1" s="154" t="str">
        <f t="shared" si="152"/>
        <v>y</v>
      </c>
      <c r="NJM1" s="154" t="str">
        <f t="shared" si="152"/>
        <v>y</v>
      </c>
      <c r="NJN1" s="154" t="str">
        <f t="shared" si="152"/>
        <v>y</v>
      </c>
      <c r="NJO1" s="154" t="str">
        <f t="shared" si="152"/>
        <v>y</v>
      </c>
      <c r="NJP1" s="154" t="str">
        <f t="shared" si="152"/>
        <v>y</v>
      </c>
      <c r="NJQ1" s="154" t="str">
        <f t="shared" si="152"/>
        <v>y</v>
      </c>
      <c r="NJR1" s="154" t="str">
        <f t="shared" si="152"/>
        <v>y</v>
      </c>
      <c r="NJS1" s="154" t="str">
        <f t="shared" si="152"/>
        <v>y</v>
      </c>
      <c r="NJT1" s="154" t="str">
        <f t="shared" si="152"/>
        <v>y</v>
      </c>
      <c r="NJU1" s="154" t="str">
        <f t="shared" si="152"/>
        <v>y</v>
      </c>
      <c r="NJV1" s="154" t="str">
        <f t="shared" si="152"/>
        <v>y</v>
      </c>
      <c r="NJW1" s="154" t="str">
        <f t="shared" si="152"/>
        <v>y</v>
      </c>
      <c r="NJX1" s="154" t="str">
        <f t="shared" si="152"/>
        <v>y</v>
      </c>
      <c r="NJY1" s="154" t="str">
        <f t="shared" si="152"/>
        <v>y</v>
      </c>
      <c r="NJZ1" s="154" t="str">
        <f t="shared" si="152"/>
        <v>y</v>
      </c>
      <c r="NKA1" s="154" t="str">
        <f t="shared" si="152"/>
        <v>y</v>
      </c>
      <c r="NKB1" s="154" t="str">
        <f t="shared" si="152"/>
        <v>y</v>
      </c>
      <c r="NKC1" s="154" t="str">
        <f t="shared" si="152"/>
        <v>y</v>
      </c>
      <c r="NKD1" s="154" t="str">
        <f t="shared" si="152"/>
        <v>y</v>
      </c>
      <c r="NKE1" s="154" t="str">
        <f t="shared" si="152"/>
        <v>y</v>
      </c>
      <c r="NKF1" s="154" t="str">
        <f t="shared" si="152"/>
        <v>y</v>
      </c>
      <c r="NKG1" s="154" t="str">
        <f t="shared" si="152"/>
        <v>y</v>
      </c>
      <c r="NKH1" s="154" t="str">
        <f t="shared" si="152"/>
        <v>y</v>
      </c>
      <c r="NKI1" s="154" t="str">
        <f t="shared" si="152"/>
        <v>y</v>
      </c>
      <c r="NKJ1" s="154" t="str">
        <f t="shared" si="152"/>
        <v>y</v>
      </c>
      <c r="NKK1" s="154" t="str">
        <f t="shared" si="152"/>
        <v>y</v>
      </c>
      <c r="NKL1" s="154" t="str">
        <f t="shared" si="152"/>
        <v>y</v>
      </c>
      <c r="NKM1" s="154" t="str">
        <f t="shared" si="152"/>
        <v>y</v>
      </c>
      <c r="NKN1" s="154" t="str">
        <f t="shared" si="152"/>
        <v>y</v>
      </c>
      <c r="NKO1" s="154" t="str">
        <f t="shared" si="152"/>
        <v>y</v>
      </c>
      <c r="NKP1" s="154" t="str">
        <f t="shared" si="152"/>
        <v>y</v>
      </c>
      <c r="NKQ1" s="154" t="str">
        <f t="shared" si="152"/>
        <v>y</v>
      </c>
      <c r="NKR1" s="154" t="str">
        <f t="shared" si="152"/>
        <v>y</v>
      </c>
      <c r="NKS1" s="154" t="str">
        <f t="shared" si="152"/>
        <v>y</v>
      </c>
      <c r="NKT1" s="154" t="str">
        <f t="shared" si="152"/>
        <v>y</v>
      </c>
      <c r="NKU1" s="154" t="str">
        <f t="shared" si="152"/>
        <v>y</v>
      </c>
      <c r="NKV1" s="154" t="str">
        <f t="shared" si="152"/>
        <v>y</v>
      </c>
      <c r="NKW1" s="154" t="str">
        <f t="shared" si="152"/>
        <v>y</v>
      </c>
      <c r="NKX1" s="154" t="str">
        <f t="shared" si="152"/>
        <v>y</v>
      </c>
      <c r="NKY1" s="154" t="str">
        <f t="shared" si="152"/>
        <v>y</v>
      </c>
      <c r="NKZ1" s="154" t="str">
        <f t="shared" si="152"/>
        <v>y</v>
      </c>
      <c r="NLA1" s="154" t="str">
        <f t="shared" si="152"/>
        <v>y</v>
      </c>
      <c r="NLB1" s="154" t="str">
        <f t="shared" si="152"/>
        <v>y</v>
      </c>
      <c r="NLC1" s="154" t="str">
        <f t="shared" si="152"/>
        <v>y</v>
      </c>
      <c r="NLD1" s="154" t="str">
        <f t="shared" si="152"/>
        <v>y</v>
      </c>
      <c r="NLE1" s="154" t="str">
        <f t="shared" si="152"/>
        <v>y</v>
      </c>
      <c r="NLF1" s="154" t="str">
        <f t="shared" si="152"/>
        <v>y</v>
      </c>
      <c r="NLG1" s="154" t="str">
        <f t="shared" si="152"/>
        <v>y</v>
      </c>
      <c r="NLH1" s="154" t="str">
        <f t="shared" si="152"/>
        <v>y</v>
      </c>
      <c r="NLI1" s="154" t="str">
        <f t="shared" si="152"/>
        <v>y</v>
      </c>
      <c r="NLJ1" s="154" t="str">
        <f t="shared" si="152"/>
        <v>y</v>
      </c>
      <c r="NLK1" s="154" t="str">
        <f t="shared" si="152"/>
        <v>y</v>
      </c>
      <c r="NLL1" s="154" t="str">
        <f t="shared" si="152"/>
        <v>y</v>
      </c>
      <c r="NLM1" s="154" t="str">
        <f t="shared" si="152"/>
        <v>y</v>
      </c>
      <c r="NLN1" s="154" t="str">
        <f t="shared" si="152"/>
        <v>y</v>
      </c>
      <c r="NLO1" s="154" t="str">
        <f t="shared" si="152"/>
        <v>y</v>
      </c>
      <c r="NLP1" s="154" t="str">
        <f t="shared" si="152"/>
        <v>y</v>
      </c>
      <c r="NLQ1" s="154" t="str">
        <f t="shared" si="152"/>
        <v>y</v>
      </c>
      <c r="NLR1" s="154" t="str">
        <f t="shared" si="152"/>
        <v>y</v>
      </c>
      <c r="NLS1" s="154" t="str">
        <f t="shared" si="152"/>
        <v>y</v>
      </c>
      <c r="NLT1" s="154" t="str">
        <f t="shared" ref="NLT1:NOE1" si="153">NLT2&amp;"y"</f>
        <v>y</v>
      </c>
      <c r="NLU1" s="154" t="str">
        <f t="shared" si="153"/>
        <v>y</v>
      </c>
      <c r="NLV1" s="154" t="str">
        <f t="shared" si="153"/>
        <v>y</v>
      </c>
      <c r="NLW1" s="154" t="str">
        <f t="shared" si="153"/>
        <v>y</v>
      </c>
      <c r="NLX1" s="154" t="str">
        <f t="shared" si="153"/>
        <v>y</v>
      </c>
      <c r="NLY1" s="154" t="str">
        <f t="shared" si="153"/>
        <v>y</v>
      </c>
      <c r="NLZ1" s="154" t="str">
        <f t="shared" si="153"/>
        <v>y</v>
      </c>
      <c r="NMA1" s="154" t="str">
        <f t="shared" si="153"/>
        <v>y</v>
      </c>
      <c r="NMB1" s="154" t="str">
        <f t="shared" si="153"/>
        <v>y</v>
      </c>
      <c r="NMC1" s="154" t="str">
        <f t="shared" si="153"/>
        <v>y</v>
      </c>
      <c r="NMD1" s="154" t="str">
        <f t="shared" si="153"/>
        <v>y</v>
      </c>
      <c r="NME1" s="154" t="str">
        <f t="shared" si="153"/>
        <v>y</v>
      </c>
      <c r="NMF1" s="154" t="str">
        <f t="shared" si="153"/>
        <v>y</v>
      </c>
      <c r="NMG1" s="154" t="str">
        <f t="shared" si="153"/>
        <v>y</v>
      </c>
      <c r="NMH1" s="154" t="str">
        <f t="shared" si="153"/>
        <v>y</v>
      </c>
      <c r="NMI1" s="154" t="str">
        <f t="shared" si="153"/>
        <v>y</v>
      </c>
      <c r="NMJ1" s="154" t="str">
        <f t="shared" si="153"/>
        <v>y</v>
      </c>
      <c r="NMK1" s="154" t="str">
        <f t="shared" si="153"/>
        <v>y</v>
      </c>
      <c r="NML1" s="154" t="str">
        <f t="shared" si="153"/>
        <v>y</v>
      </c>
      <c r="NMM1" s="154" t="str">
        <f t="shared" si="153"/>
        <v>y</v>
      </c>
      <c r="NMN1" s="154" t="str">
        <f t="shared" si="153"/>
        <v>y</v>
      </c>
      <c r="NMO1" s="154" t="str">
        <f t="shared" si="153"/>
        <v>y</v>
      </c>
      <c r="NMP1" s="154" t="str">
        <f t="shared" si="153"/>
        <v>y</v>
      </c>
      <c r="NMQ1" s="154" t="str">
        <f t="shared" si="153"/>
        <v>y</v>
      </c>
      <c r="NMR1" s="154" t="str">
        <f t="shared" si="153"/>
        <v>y</v>
      </c>
      <c r="NMS1" s="154" t="str">
        <f t="shared" si="153"/>
        <v>y</v>
      </c>
      <c r="NMT1" s="154" t="str">
        <f t="shared" si="153"/>
        <v>y</v>
      </c>
      <c r="NMU1" s="154" t="str">
        <f t="shared" si="153"/>
        <v>y</v>
      </c>
      <c r="NMV1" s="154" t="str">
        <f t="shared" si="153"/>
        <v>y</v>
      </c>
      <c r="NMW1" s="154" t="str">
        <f t="shared" si="153"/>
        <v>y</v>
      </c>
      <c r="NMX1" s="154" t="str">
        <f t="shared" si="153"/>
        <v>y</v>
      </c>
      <c r="NMY1" s="154" t="str">
        <f t="shared" si="153"/>
        <v>y</v>
      </c>
      <c r="NMZ1" s="154" t="str">
        <f t="shared" si="153"/>
        <v>y</v>
      </c>
      <c r="NNA1" s="154" t="str">
        <f t="shared" si="153"/>
        <v>y</v>
      </c>
      <c r="NNB1" s="154" t="str">
        <f t="shared" si="153"/>
        <v>y</v>
      </c>
      <c r="NNC1" s="154" t="str">
        <f t="shared" si="153"/>
        <v>y</v>
      </c>
      <c r="NND1" s="154" t="str">
        <f t="shared" si="153"/>
        <v>y</v>
      </c>
      <c r="NNE1" s="154" t="str">
        <f t="shared" si="153"/>
        <v>y</v>
      </c>
      <c r="NNF1" s="154" t="str">
        <f t="shared" si="153"/>
        <v>y</v>
      </c>
      <c r="NNG1" s="154" t="str">
        <f t="shared" si="153"/>
        <v>y</v>
      </c>
      <c r="NNH1" s="154" t="str">
        <f t="shared" si="153"/>
        <v>y</v>
      </c>
      <c r="NNI1" s="154" t="str">
        <f t="shared" si="153"/>
        <v>y</v>
      </c>
      <c r="NNJ1" s="154" t="str">
        <f t="shared" si="153"/>
        <v>y</v>
      </c>
      <c r="NNK1" s="154" t="str">
        <f t="shared" si="153"/>
        <v>y</v>
      </c>
      <c r="NNL1" s="154" t="str">
        <f t="shared" si="153"/>
        <v>y</v>
      </c>
      <c r="NNM1" s="154" t="str">
        <f t="shared" si="153"/>
        <v>y</v>
      </c>
      <c r="NNN1" s="154" t="str">
        <f t="shared" si="153"/>
        <v>y</v>
      </c>
      <c r="NNO1" s="154" t="str">
        <f t="shared" si="153"/>
        <v>y</v>
      </c>
      <c r="NNP1" s="154" t="str">
        <f t="shared" si="153"/>
        <v>y</v>
      </c>
      <c r="NNQ1" s="154" t="str">
        <f t="shared" si="153"/>
        <v>y</v>
      </c>
      <c r="NNR1" s="154" t="str">
        <f t="shared" si="153"/>
        <v>y</v>
      </c>
      <c r="NNS1" s="154" t="str">
        <f t="shared" si="153"/>
        <v>y</v>
      </c>
      <c r="NNT1" s="154" t="str">
        <f t="shared" si="153"/>
        <v>y</v>
      </c>
      <c r="NNU1" s="154" t="str">
        <f t="shared" si="153"/>
        <v>y</v>
      </c>
      <c r="NNV1" s="154" t="str">
        <f t="shared" si="153"/>
        <v>y</v>
      </c>
      <c r="NNW1" s="154" t="str">
        <f t="shared" si="153"/>
        <v>y</v>
      </c>
      <c r="NNX1" s="154" t="str">
        <f t="shared" si="153"/>
        <v>y</v>
      </c>
      <c r="NNY1" s="154" t="str">
        <f t="shared" si="153"/>
        <v>y</v>
      </c>
      <c r="NNZ1" s="154" t="str">
        <f t="shared" si="153"/>
        <v>y</v>
      </c>
      <c r="NOA1" s="154" t="str">
        <f t="shared" si="153"/>
        <v>y</v>
      </c>
      <c r="NOB1" s="154" t="str">
        <f t="shared" si="153"/>
        <v>y</v>
      </c>
      <c r="NOC1" s="154" t="str">
        <f t="shared" si="153"/>
        <v>y</v>
      </c>
      <c r="NOD1" s="154" t="str">
        <f t="shared" si="153"/>
        <v>y</v>
      </c>
      <c r="NOE1" s="154" t="str">
        <f t="shared" si="153"/>
        <v>y</v>
      </c>
      <c r="NOF1" s="154" t="str">
        <f t="shared" ref="NOF1:NQQ1" si="154">NOF2&amp;"y"</f>
        <v>y</v>
      </c>
      <c r="NOG1" s="154" t="str">
        <f t="shared" si="154"/>
        <v>y</v>
      </c>
      <c r="NOH1" s="154" t="str">
        <f t="shared" si="154"/>
        <v>y</v>
      </c>
      <c r="NOI1" s="154" t="str">
        <f t="shared" si="154"/>
        <v>y</v>
      </c>
      <c r="NOJ1" s="154" t="str">
        <f t="shared" si="154"/>
        <v>y</v>
      </c>
      <c r="NOK1" s="154" t="str">
        <f t="shared" si="154"/>
        <v>y</v>
      </c>
      <c r="NOL1" s="154" t="str">
        <f t="shared" si="154"/>
        <v>y</v>
      </c>
      <c r="NOM1" s="154" t="str">
        <f t="shared" si="154"/>
        <v>y</v>
      </c>
      <c r="NON1" s="154" t="str">
        <f t="shared" si="154"/>
        <v>y</v>
      </c>
      <c r="NOO1" s="154" t="str">
        <f t="shared" si="154"/>
        <v>y</v>
      </c>
      <c r="NOP1" s="154" t="str">
        <f t="shared" si="154"/>
        <v>y</v>
      </c>
      <c r="NOQ1" s="154" t="str">
        <f t="shared" si="154"/>
        <v>y</v>
      </c>
      <c r="NOR1" s="154" t="str">
        <f t="shared" si="154"/>
        <v>y</v>
      </c>
      <c r="NOS1" s="154" t="str">
        <f t="shared" si="154"/>
        <v>y</v>
      </c>
      <c r="NOT1" s="154" t="str">
        <f t="shared" si="154"/>
        <v>y</v>
      </c>
      <c r="NOU1" s="154" t="str">
        <f t="shared" si="154"/>
        <v>y</v>
      </c>
      <c r="NOV1" s="154" t="str">
        <f t="shared" si="154"/>
        <v>y</v>
      </c>
      <c r="NOW1" s="154" t="str">
        <f t="shared" si="154"/>
        <v>y</v>
      </c>
      <c r="NOX1" s="154" t="str">
        <f t="shared" si="154"/>
        <v>y</v>
      </c>
      <c r="NOY1" s="154" t="str">
        <f t="shared" si="154"/>
        <v>y</v>
      </c>
      <c r="NOZ1" s="154" t="str">
        <f t="shared" si="154"/>
        <v>y</v>
      </c>
      <c r="NPA1" s="154" t="str">
        <f t="shared" si="154"/>
        <v>y</v>
      </c>
      <c r="NPB1" s="154" t="str">
        <f t="shared" si="154"/>
        <v>y</v>
      </c>
      <c r="NPC1" s="154" t="str">
        <f t="shared" si="154"/>
        <v>y</v>
      </c>
      <c r="NPD1" s="154" t="str">
        <f t="shared" si="154"/>
        <v>y</v>
      </c>
      <c r="NPE1" s="154" t="str">
        <f t="shared" si="154"/>
        <v>y</v>
      </c>
      <c r="NPF1" s="154" t="str">
        <f t="shared" si="154"/>
        <v>y</v>
      </c>
      <c r="NPG1" s="154" t="str">
        <f t="shared" si="154"/>
        <v>y</v>
      </c>
      <c r="NPH1" s="154" t="str">
        <f t="shared" si="154"/>
        <v>y</v>
      </c>
      <c r="NPI1" s="154" t="str">
        <f t="shared" si="154"/>
        <v>y</v>
      </c>
      <c r="NPJ1" s="154" t="str">
        <f t="shared" si="154"/>
        <v>y</v>
      </c>
      <c r="NPK1" s="154" t="str">
        <f t="shared" si="154"/>
        <v>y</v>
      </c>
      <c r="NPL1" s="154" t="str">
        <f t="shared" si="154"/>
        <v>y</v>
      </c>
      <c r="NPM1" s="154" t="str">
        <f t="shared" si="154"/>
        <v>y</v>
      </c>
      <c r="NPN1" s="154" t="str">
        <f t="shared" si="154"/>
        <v>y</v>
      </c>
      <c r="NPO1" s="154" t="str">
        <f t="shared" si="154"/>
        <v>y</v>
      </c>
      <c r="NPP1" s="154" t="str">
        <f t="shared" si="154"/>
        <v>y</v>
      </c>
      <c r="NPQ1" s="154" t="str">
        <f t="shared" si="154"/>
        <v>y</v>
      </c>
      <c r="NPR1" s="154" t="str">
        <f t="shared" si="154"/>
        <v>y</v>
      </c>
      <c r="NPS1" s="154" t="str">
        <f t="shared" si="154"/>
        <v>y</v>
      </c>
      <c r="NPT1" s="154" t="str">
        <f t="shared" si="154"/>
        <v>y</v>
      </c>
      <c r="NPU1" s="154" t="str">
        <f t="shared" si="154"/>
        <v>y</v>
      </c>
      <c r="NPV1" s="154" t="str">
        <f t="shared" si="154"/>
        <v>y</v>
      </c>
      <c r="NPW1" s="154" t="str">
        <f t="shared" si="154"/>
        <v>y</v>
      </c>
      <c r="NPX1" s="154" t="str">
        <f t="shared" si="154"/>
        <v>y</v>
      </c>
      <c r="NPY1" s="154" t="str">
        <f t="shared" si="154"/>
        <v>y</v>
      </c>
      <c r="NPZ1" s="154" t="str">
        <f t="shared" si="154"/>
        <v>y</v>
      </c>
      <c r="NQA1" s="154" t="str">
        <f t="shared" si="154"/>
        <v>y</v>
      </c>
      <c r="NQB1" s="154" t="str">
        <f t="shared" si="154"/>
        <v>y</v>
      </c>
      <c r="NQC1" s="154" t="str">
        <f t="shared" si="154"/>
        <v>y</v>
      </c>
      <c r="NQD1" s="154" t="str">
        <f t="shared" si="154"/>
        <v>y</v>
      </c>
      <c r="NQE1" s="154" t="str">
        <f t="shared" si="154"/>
        <v>y</v>
      </c>
      <c r="NQF1" s="154" t="str">
        <f t="shared" si="154"/>
        <v>y</v>
      </c>
      <c r="NQG1" s="154" t="str">
        <f t="shared" si="154"/>
        <v>y</v>
      </c>
      <c r="NQH1" s="154" t="str">
        <f t="shared" si="154"/>
        <v>y</v>
      </c>
      <c r="NQI1" s="154" t="str">
        <f t="shared" si="154"/>
        <v>y</v>
      </c>
      <c r="NQJ1" s="154" t="str">
        <f t="shared" si="154"/>
        <v>y</v>
      </c>
      <c r="NQK1" s="154" t="str">
        <f t="shared" si="154"/>
        <v>y</v>
      </c>
      <c r="NQL1" s="154" t="str">
        <f t="shared" si="154"/>
        <v>y</v>
      </c>
      <c r="NQM1" s="154" t="str">
        <f t="shared" si="154"/>
        <v>y</v>
      </c>
      <c r="NQN1" s="154" t="str">
        <f t="shared" si="154"/>
        <v>y</v>
      </c>
      <c r="NQO1" s="154" t="str">
        <f t="shared" si="154"/>
        <v>y</v>
      </c>
      <c r="NQP1" s="154" t="str">
        <f t="shared" si="154"/>
        <v>y</v>
      </c>
      <c r="NQQ1" s="154" t="str">
        <f t="shared" si="154"/>
        <v>y</v>
      </c>
      <c r="NQR1" s="154" t="str">
        <f t="shared" ref="NQR1:NTC1" si="155">NQR2&amp;"y"</f>
        <v>y</v>
      </c>
      <c r="NQS1" s="154" t="str">
        <f t="shared" si="155"/>
        <v>y</v>
      </c>
      <c r="NQT1" s="154" t="str">
        <f t="shared" si="155"/>
        <v>y</v>
      </c>
      <c r="NQU1" s="154" t="str">
        <f t="shared" si="155"/>
        <v>y</v>
      </c>
      <c r="NQV1" s="154" t="str">
        <f t="shared" si="155"/>
        <v>y</v>
      </c>
      <c r="NQW1" s="154" t="str">
        <f t="shared" si="155"/>
        <v>y</v>
      </c>
      <c r="NQX1" s="154" t="str">
        <f t="shared" si="155"/>
        <v>y</v>
      </c>
      <c r="NQY1" s="154" t="str">
        <f t="shared" si="155"/>
        <v>y</v>
      </c>
      <c r="NQZ1" s="154" t="str">
        <f t="shared" si="155"/>
        <v>y</v>
      </c>
      <c r="NRA1" s="154" t="str">
        <f t="shared" si="155"/>
        <v>y</v>
      </c>
      <c r="NRB1" s="154" t="str">
        <f t="shared" si="155"/>
        <v>y</v>
      </c>
      <c r="NRC1" s="154" t="str">
        <f t="shared" si="155"/>
        <v>y</v>
      </c>
      <c r="NRD1" s="154" t="str">
        <f t="shared" si="155"/>
        <v>y</v>
      </c>
      <c r="NRE1" s="154" t="str">
        <f t="shared" si="155"/>
        <v>y</v>
      </c>
      <c r="NRF1" s="154" t="str">
        <f t="shared" si="155"/>
        <v>y</v>
      </c>
      <c r="NRG1" s="154" t="str">
        <f t="shared" si="155"/>
        <v>y</v>
      </c>
      <c r="NRH1" s="154" t="str">
        <f t="shared" si="155"/>
        <v>y</v>
      </c>
      <c r="NRI1" s="154" t="str">
        <f t="shared" si="155"/>
        <v>y</v>
      </c>
      <c r="NRJ1" s="154" t="str">
        <f t="shared" si="155"/>
        <v>y</v>
      </c>
      <c r="NRK1" s="154" t="str">
        <f t="shared" si="155"/>
        <v>y</v>
      </c>
      <c r="NRL1" s="154" t="str">
        <f t="shared" si="155"/>
        <v>y</v>
      </c>
      <c r="NRM1" s="154" t="str">
        <f t="shared" si="155"/>
        <v>y</v>
      </c>
      <c r="NRN1" s="154" t="str">
        <f t="shared" si="155"/>
        <v>y</v>
      </c>
      <c r="NRO1" s="154" t="str">
        <f t="shared" si="155"/>
        <v>y</v>
      </c>
      <c r="NRP1" s="154" t="str">
        <f t="shared" si="155"/>
        <v>y</v>
      </c>
      <c r="NRQ1" s="154" t="str">
        <f t="shared" si="155"/>
        <v>y</v>
      </c>
      <c r="NRR1" s="154" t="str">
        <f t="shared" si="155"/>
        <v>y</v>
      </c>
      <c r="NRS1" s="154" t="str">
        <f t="shared" si="155"/>
        <v>y</v>
      </c>
      <c r="NRT1" s="154" t="str">
        <f t="shared" si="155"/>
        <v>y</v>
      </c>
      <c r="NRU1" s="154" t="str">
        <f t="shared" si="155"/>
        <v>y</v>
      </c>
      <c r="NRV1" s="154" t="str">
        <f t="shared" si="155"/>
        <v>y</v>
      </c>
      <c r="NRW1" s="154" t="str">
        <f t="shared" si="155"/>
        <v>y</v>
      </c>
      <c r="NRX1" s="154" t="str">
        <f t="shared" si="155"/>
        <v>y</v>
      </c>
      <c r="NRY1" s="154" t="str">
        <f t="shared" si="155"/>
        <v>y</v>
      </c>
      <c r="NRZ1" s="154" t="str">
        <f t="shared" si="155"/>
        <v>y</v>
      </c>
      <c r="NSA1" s="154" t="str">
        <f t="shared" si="155"/>
        <v>y</v>
      </c>
      <c r="NSB1" s="154" t="str">
        <f t="shared" si="155"/>
        <v>y</v>
      </c>
      <c r="NSC1" s="154" t="str">
        <f t="shared" si="155"/>
        <v>y</v>
      </c>
      <c r="NSD1" s="154" t="str">
        <f t="shared" si="155"/>
        <v>y</v>
      </c>
      <c r="NSE1" s="154" t="str">
        <f t="shared" si="155"/>
        <v>y</v>
      </c>
      <c r="NSF1" s="154" t="str">
        <f t="shared" si="155"/>
        <v>y</v>
      </c>
      <c r="NSG1" s="154" t="str">
        <f t="shared" si="155"/>
        <v>y</v>
      </c>
      <c r="NSH1" s="154" t="str">
        <f t="shared" si="155"/>
        <v>y</v>
      </c>
      <c r="NSI1" s="154" t="str">
        <f t="shared" si="155"/>
        <v>y</v>
      </c>
      <c r="NSJ1" s="154" t="str">
        <f t="shared" si="155"/>
        <v>y</v>
      </c>
      <c r="NSK1" s="154" t="str">
        <f t="shared" si="155"/>
        <v>y</v>
      </c>
      <c r="NSL1" s="154" t="str">
        <f t="shared" si="155"/>
        <v>y</v>
      </c>
      <c r="NSM1" s="154" t="str">
        <f t="shared" si="155"/>
        <v>y</v>
      </c>
      <c r="NSN1" s="154" t="str">
        <f t="shared" si="155"/>
        <v>y</v>
      </c>
      <c r="NSO1" s="154" t="str">
        <f t="shared" si="155"/>
        <v>y</v>
      </c>
      <c r="NSP1" s="154" t="str">
        <f t="shared" si="155"/>
        <v>y</v>
      </c>
      <c r="NSQ1" s="154" t="str">
        <f t="shared" si="155"/>
        <v>y</v>
      </c>
      <c r="NSR1" s="154" t="str">
        <f t="shared" si="155"/>
        <v>y</v>
      </c>
      <c r="NSS1" s="154" t="str">
        <f t="shared" si="155"/>
        <v>y</v>
      </c>
      <c r="NST1" s="154" t="str">
        <f t="shared" si="155"/>
        <v>y</v>
      </c>
      <c r="NSU1" s="154" t="str">
        <f t="shared" si="155"/>
        <v>y</v>
      </c>
      <c r="NSV1" s="154" t="str">
        <f t="shared" si="155"/>
        <v>y</v>
      </c>
      <c r="NSW1" s="154" t="str">
        <f t="shared" si="155"/>
        <v>y</v>
      </c>
      <c r="NSX1" s="154" t="str">
        <f t="shared" si="155"/>
        <v>y</v>
      </c>
      <c r="NSY1" s="154" t="str">
        <f t="shared" si="155"/>
        <v>y</v>
      </c>
      <c r="NSZ1" s="154" t="str">
        <f t="shared" si="155"/>
        <v>y</v>
      </c>
      <c r="NTA1" s="154" t="str">
        <f t="shared" si="155"/>
        <v>y</v>
      </c>
      <c r="NTB1" s="154" t="str">
        <f t="shared" si="155"/>
        <v>y</v>
      </c>
      <c r="NTC1" s="154" t="str">
        <f t="shared" si="155"/>
        <v>y</v>
      </c>
      <c r="NTD1" s="154" t="str">
        <f t="shared" ref="NTD1:NVO1" si="156">NTD2&amp;"y"</f>
        <v>y</v>
      </c>
      <c r="NTE1" s="154" t="str">
        <f t="shared" si="156"/>
        <v>y</v>
      </c>
      <c r="NTF1" s="154" t="str">
        <f t="shared" si="156"/>
        <v>y</v>
      </c>
      <c r="NTG1" s="154" t="str">
        <f t="shared" si="156"/>
        <v>y</v>
      </c>
      <c r="NTH1" s="154" t="str">
        <f t="shared" si="156"/>
        <v>y</v>
      </c>
      <c r="NTI1" s="154" t="str">
        <f t="shared" si="156"/>
        <v>y</v>
      </c>
      <c r="NTJ1" s="154" t="str">
        <f t="shared" si="156"/>
        <v>y</v>
      </c>
      <c r="NTK1" s="154" t="str">
        <f t="shared" si="156"/>
        <v>y</v>
      </c>
      <c r="NTL1" s="154" t="str">
        <f t="shared" si="156"/>
        <v>y</v>
      </c>
      <c r="NTM1" s="154" t="str">
        <f t="shared" si="156"/>
        <v>y</v>
      </c>
      <c r="NTN1" s="154" t="str">
        <f t="shared" si="156"/>
        <v>y</v>
      </c>
      <c r="NTO1" s="154" t="str">
        <f t="shared" si="156"/>
        <v>y</v>
      </c>
      <c r="NTP1" s="154" t="str">
        <f t="shared" si="156"/>
        <v>y</v>
      </c>
      <c r="NTQ1" s="154" t="str">
        <f t="shared" si="156"/>
        <v>y</v>
      </c>
      <c r="NTR1" s="154" t="str">
        <f t="shared" si="156"/>
        <v>y</v>
      </c>
      <c r="NTS1" s="154" t="str">
        <f t="shared" si="156"/>
        <v>y</v>
      </c>
      <c r="NTT1" s="154" t="str">
        <f t="shared" si="156"/>
        <v>y</v>
      </c>
      <c r="NTU1" s="154" t="str">
        <f t="shared" si="156"/>
        <v>y</v>
      </c>
      <c r="NTV1" s="154" t="str">
        <f t="shared" si="156"/>
        <v>y</v>
      </c>
      <c r="NTW1" s="154" t="str">
        <f t="shared" si="156"/>
        <v>y</v>
      </c>
      <c r="NTX1" s="154" t="str">
        <f t="shared" si="156"/>
        <v>y</v>
      </c>
      <c r="NTY1" s="154" t="str">
        <f t="shared" si="156"/>
        <v>y</v>
      </c>
      <c r="NTZ1" s="154" t="str">
        <f t="shared" si="156"/>
        <v>y</v>
      </c>
      <c r="NUA1" s="154" t="str">
        <f t="shared" si="156"/>
        <v>y</v>
      </c>
      <c r="NUB1" s="154" t="str">
        <f t="shared" si="156"/>
        <v>y</v>
      </c>
      <c r="NUC1" s="154" t="str">
        <f t="shared" si="156"/>
        <v>y</v>
      </c>
      <c r="NUD1" s="154" t="str">
        <f t="shared" si="156"/>
        <v>y</v>
      </c>
      <c r="NUE1" s="154" t="str">
        <f t="shared" si="156"/>
        <v>y</v>
      </c>
      <c r="NUF1" s="154" t="str">
        <f t="shared" si="156"/>
        <v>y</v>
      </c>
      <c r="NUG1" s="154" t="str">
        <f t="shared" si="156"/>
        <v>y</v>
      </c>
      <c r="NUH1" s="154" t="str">
        <f t="shared" si="156"/>
        <v>y</v>
      </c>
      <c r="NUI1" s="154" t="str">
        <f t="shared" si="156"/>
        <v>y</v>
      </c>
      <c r="NUJ1" s="154" t="str">
        <f t="shared" si="156"/>
        <v>y</v>
      </c>
      <c r="NUK1" s="154" t="str">
        <f t="shared" si="156"/>
        <v>y</v>
      </c>
      <c r="NUL1" s="154" t="str">
        <f t="shared" si="156"/>
        <v>y</v>
      </c>
      <c r="NUM1" s="154" t="str">
        <f t="shared" si="156"/>
        <v>y</v>
      </c>
      <c r="NUN1" s="154" t="str">
        <f t="shared" si="156"/>
        <v>y</v>
      </c>
      <c r="NUO1" s="154" t="str">
        <f t="shared" si="156"/>
        <v>y</v>
      </c>
      <c r="NUP1" s="154" t="str">
        <f t="shared" si="156"/>
        <v>y</v>
      </c>
      <c r="NUQ1" s="154" t="str">
        <f t="shared" si="156"/>
        <v>y</v>
      </c>
      <c r="NUR1" s="154" t="str">
        <f t="shared" si="156"/>
        <v>y</v>
      </c>
      <c r="NUS1" s="154" t="str">
        <f t="shared" si="156"/>
        <v>y</v>
      </c>
      <c r="NUT1" s="154" t="str">
        <f t="shared" si="156"/>
        <v>y</v>
      </c>
      <c r="NUU1" s="154" t="str">
        <f t="shared" si="156"/>
        <v>y</v>
      </c>
      <c r="NUV1" s="154" t="str">
        <f t="shared" si="156"/>
        <v>y</v>
      </c>
      <c r="NUW1" s="154" t="str">
        <f t="shared" si="156"/>
        <v>y</v>
      </c>
      <c r="NUX1" s="154" t="str">
        <f t="shared" si="156"/>
        <v>y</v>
      </c>
      <c r="NUY1" s="154" t="str">
        <f t="shared" si="156"/>
        <v>y</v>
      </c>
      <c r="NUZ1" s="154" t="str">
        <f t="shared" si="156"/>
        <v>y</v>
      </c>
      <c r="NVA1" s="154" t="str">
        <f t="shared" si="156"/>
        <v>y</v>
      </c>
      <c r="NVB1" s="154" t="str">
        <f t="shared" si="156"/>
        <v>y</v>
      </c>
      <c r="NVC1" s="154" t="str">
        <f t="shared" si="156"/>
        <v>y</v>
      </c>
      <c r="NVD1" s="154" t="str">
        <f t="shared" si="156"/>
        <v>y</v>
      </c>
      <c r="NVE1" s="154" t="str">
        <f t="shared" si="156"/>
        <v>y</v>
      </c>
      <c r="NVF1" s="154" t="str">
        <f t="shared" si="156"/>
        <v>y</v>
      </c>
      <c r="NVG1" s="154" t="str">
        <f t="shared" si="156"/>
        <v>y</v>
      </c>
      <c r="NVH1" s="154" t="str">
        <f t="shared" si="156"/>
        <v>y</v>
      </c>
      <c r="NVI1" s="154" t="str">
        <f t="shared" si="156"/>
        <v>y</v>
      </c>
      <c r="NVJ1" s="154" t="str">
        <f t="shared" si="156"/>
        <v>y</v>
      </c>
      <c r="NVK1" s="154" t="str">
        <f t="shared" si="156"/>
        <v>y</v>
      </c>
      <c r="NVL1" s="154" t="str">
        <f t="shared" si="156"/>
        <v>y</v>
      </c>
      <c r="NVM1" s="154" t="str">
        <f t="shared" si="156"/>
        <v>y</v>
      </c>
      <c r="NVN1" s="154" t="str">
        <f t="shared" si="156"/>
        <v>y</v>
      </c>
      <c r="NVO1" s="154" t="str">
        <f t="shared" si="156"/>
        <v>y</v>
      </c>
      <c r="NVP1" s="154" t="str">
        <f t="shared" ref="NVP1:NYA1" si="157">NVP2&amp;"y"</f>
        <v>y</v>
      </c>
      <c r="NVQ1" s="154" t="str">
        <f t="shared" si="157"/>
        <v>y</v>
      </c>
      <c r="NVR1" s="154" t="str">
        <f t="shared" si="157"/>
        <v>y</v>
      </c>
      <c r="NVS1" s="154" t="str">
        <f t="shared" si="157"/>
        <v>y</v>
      </c>
      <c r="NVT1" s="154" t="str">
        <f t="shared" si="157"/>
        <v>y</v>
      </c>
      <c r="NVU1" s="154" t="str">
        <f t="shared" si="157"/>
        <v>y</v>
      </c>
      <c r="NVV1" s="154" t="str">
        <f t="shared" si="157"/>
        <v>y</v>
      </c>
      <c r="NVW1" s="154" t="str">
        <f t="shared" si="157"/>
        <v>y</v>
      </c>
      <c r="NVX1" s="154" t="str">
        <f t="shared" si="157"/>
        <v>y</v>
      </c>
      <c r="NVY1" s="154" t="str">
        <f t="shared" si="157"/>
        <v>y</v>
      </c>
      <c r="NVZ1" s="154" t="str">
        <f t="shared" si="157"/>
        <v>y</v>
      </c>
      <c r="NWA1" s="154" t="str">
        <f t="shared" si="157"/>
        <v>y</v>
      </c>
      <c r="NWB1" s="154" t="str">
        <f t="shared" si="157"/>
        <v>y</v>
      </c>
      <c r="NWC1" s="154" t="str">
        <f t="shared" si="157"/>
        <v>y</v>
      </c>
      <c r="NWD1" s="154" t="str">
        <f t="shared" si="157"/>
        <v>y</v>
      </c>
      <c r="NWE1" s="154" t="str">
        <f t="shared" si="157"/>
        <v>y</v>
      </c>
      <c r="NWF1" s="154" t="str">
        <f t="shared" si="157"/>
        <v>y</v>
      </c>
      <c r="NWG1" s="154" t="str">
        <f t="shared" si="157"/>
        <v>y</v>
      </c>
      <c r="NWH1" s="154" t="str">
        <f t="shared" si="157"/>
        <v>y</v>
      </c>
      <c r="NWI1" s="154" t="str">
        <f t="shared" si="157"/>
        <v>y</v>
      </c>
      <c r="NWJ1" s="154" t="str">
        <f t="shared" si="157"/>
        <v>y</v>
      </c>
      <c r="NWK1" s="154" t="str">
        <f t="shared" si="157"/>
        <v>y</v>
      </c>
      <c r="NWL1" s="154" t="str">
        <f t="shared" si="157"/>
        <v>y</v>
      </c>
      <c r="NWM1" s="154" t="str">
        <f t="shared" si="157"/>
        <v>y</v>
      </c>
      <c r="NWN1" s="154" t="str">
        <f t="shared" si="157"/>
        <v>y</v>
      </c>
      <c r="NWO1" s="154" t="str">
        <f t="shared" si="157"/>
        <v>y</v>
      </c>
      <c r="NWP1" s="154" t="str">
        <f t="shared" si="157"/>
        <v>y</v>
      </c>
      <c r="NWQ1" s="154" t="str">
        <f t="shared" si="157"/>
        <v>y</v>
      </c>
      <c r="NWR1" s="154" t="str">
        <f t="shared" si="157"/>
        <v>y</v>
      </c>
      <c r="NWS1" s="154" t="str">
        <f t="shared" si="157"/>
        <v>y</v>
      </c>
      <c r="NWT1" s="154" t="str">
        <f t="shared" si="157"/>
        <v>y</v>
      </c>
      <c r="NWU1" s="154" t="str">
        <f t="shared" si="157"/>
        <v>y</v>
      </c>
      <c r="NWV1" s="154" t="str">
        <f t="shared" si="157"/>
        <v>y</v>
      </c>
      <c r="NWW1" s="154" t="str">
        <f t="shared" si="157"/>
        <v>y</v>
      </c>
      <c r="NWX1" s="154" t="str">
        <f t="shared" si="157"/>
        <v>y</v>
      </c>
      <c r="NWY1" s="154" t="str">
        <f t="shared" si="157"/>
        <v>y</v>
      </c>
      <c r="NWZ1" s="154" t="str">
        <f t="shared" si="157"/>
        <v>y</v>
      </c>
      <c r="NXA1" s="154" t="str">
        <f t="shared" si="157"/>
        <v>y</v>
      </c>
      <c r="NXB1" s="154" t="str">
        <f t="shared" si="157"/>
        <v>y</v>
      </c>
      <c r="NXC1" s="154" t="str">
        <f t="shared" si="157"/>
        <v>y</v>
      </c>
      <c r="NXD1" s="154" t="str">
        <f t="shared" si="157"/>
        <v>y</v>
      </c>
      <c r="NXE1" s="154" t="str">
        <f t="shared" si="157"/>
        <v>y</v>
      </c>
      <c r="NXF1" s="154" t="str">
        <f t="shared" si="157"/>
        <v>y</v>
      </c>
      <c r="NXG1" s="154" t="str">
        <f t="shared" si="157"/>
        <v>y</v>
      </c>
      <c r="NXH1" s="154" t="str">
        <f t="shared" si="157"/>
        <v>y</v>
      </c>
      <c r="NXI1" s="154" t="str">
        <f t="shared" si="157"/>
        <v>y</v>
      </c>
      <c r="NXJ1" s="154" t="str">
        <f t="shared" si="157"/>
        <v>y</v>
      </c>
      <c r="NXK1" s="154" t="str">
        <f t="shared" si="157"/>
        <v>y</v>
      </c>
      <c r="NXL1" s="154" t="str">
        <f t="shared" si="157"/>
        <v>y</v>
      </c>
      <c r="NXM1" s="154" t="str">
        <f t="shared" si="157"/>
        <v>y</v>
      </c>
      <c r="NXN1" s="154" t="str">
        <f t="shared" si="157"/>
        <v>y</v>
      </c>
      <c r="NXO1" s="154" t="str">
        <f t="shared" si="157"/>
        <v>y</v>
      </c>
      <c r="NXP1" s="154" t="str">
        <f t="shared" si="157"/>
        <v>y</v>
      </c>
      <c r="NXQ1" s="154" t="str">
        <f t="shared" si="157"/>
        <v>y</v>
      </c>
      <c r="NXR1" s="154" t="str">
        <f t="shared" si="157"/>
        <v>y</v>
      </c>
      <c r="NXS1" s="154" t="str">
        <f t="shared" si="157"/>
        <v>y</v>
      </c>
      <c r="NXT1" s="154" t="str">
        <f t="shared" si="157"/>
        <v>y</v>
      </c>
      <c r="NXU1" s="154" t="str">
        <f t="shared" si="157"/>
        <v>y</v>
      </c>
      <c r="NXV1" s="154" t="str">
        <f t="shared" si="157"/>
        <v>y</v>
      </c>
      <c r="NXW1" s="154" t="str">
        <f t="shared" si="157"/>
        <v>y</v>
      </c>
      <c r="NXX1" s="154" t="str">
        <f t="shared" si="157"/>
        <v>y</v>
      </c>
      <c r="NXY1" s="154" t="str">
        <f t="shared" si="157"/>
        <v>y</v>
      </c>
      <c r="NXZ1" s="154" t="str">
        <f t="shared" si="157"/>
        <v>y</v>
      </c>
      <c r="NYA1" s="154" t="str">
        <f t="shared" si="157"/>
        <v>y</v>
      </c>
      <c r="NYB1" s="154" t="str">
        <f t="shared" ref="NYB1:OAM1" si="158">NYB2&amp;"y"</f>
        <v>y</v>
      </c>
      <c r="NYC1" s="154" t="str">
        <f t="shared" si="158"/>
        <v>y</v>
      </c>
      <c r="NYD1" s="154" t="str">
        <f t="shared" si="158"/>
        <v>y</v>
      </c>
      <c r="NYE1" s="154" t="str">
        <f t="shared" si="158"/>
        <v>y</v>
      </c>
      <c r="NYF1" s="154" t="str">
        <f t="shared" si="158"/>
        <v>y</v>
      </c>
      <c r="NYG1" s="154" t="str">
        <f t="shared" si="158"/>
        <v>y</v>
      </c>
      <c r="NYH1" s="154" t="str">
        <f t="shared" si="158"/>
        <v>y</v>
      </c>
      <c r="NYI1" s="154" t="str">
        <f t="shared" si="158"/>
        <v>y</v>
      </c>
      <c r="NYJ1" s="154" t="str">
        <f t="shared" si="158"/>
        <v>y</v>
      </c>
      <c r="NYK1" s="154" t="str">
        <f t="shared" si="158"/>
        <v>y</v>
      </c>
      <c r="NYL1" s="154" t="str">
        <f t="shared" si="158"/>
        <v>y</v>
      </c>
      <c r="NYM1" s="154" t="str">
        <f t="shared" si="158"/>
        <v>y</v>
      </c>
      <c r="NYN1" s="154" t="str">
        <f t="shared" si="158"/>
        <v>y</v>
      </c>
      <c r="NYO1" s="154" t="str">
        <f t="shared" si="158"/>
        <v>y</v>
      </c>
      <c r="NYP1" s="154" t="str">
        <f t="shared" si="158"/>
        <v>y</v>
      </c>
      <c r="NYQ1" s="154" t="str">
        <f t="shared" si="158"/>
        <v>y</v>
      </c>
      <c r="NYR1" s="154" t="str">
        <f t="shared" si="158"/>
        <v>y</v>
      </c>
      <c r="NYS1" s="154" t="str">
        <f t="shared" si="158"/>
        <v>y</v>
      </c>
      <c r="NYT1" s="154" t="str">
        <f t="shared" si="158"/>
        <v>y</v>
      </c>
      <c r="NYU1" s="154" t="str">
        <f t="shared" si="158"/>
        <v>y</v>
      </c>
      <c r="NYV1" s="154" t="str">
        <f t="shared" si="158"/>
        <v>y</v>
      </c>
      <c r="NYW1" s="154" t="str">
        <f t="shared" si="158"/>
        <v>y</v>
      </c>
      <c r="NYX1" s="154" t="str">
        <f t="shared" si="158"/>
        <v>y</v>
      </c>
      <c r="NYY1" s="154" t="str">
        <f t="shared" si="158"/>
        <v>y</v>
      </c>
      <c r="NYZ1" s="154" t="str">
        <f t="shared" si="158"/>
        <v>y</v>
      </c>
      <c r="NZA1" s="154" t="str">
        <f t="shared" si="158"/>
        <v>y</v>
      </c>
      <c r="NZB1" s="154" t="str">
        <f t="shared" si="158"/>
        <v>y</v>
      </c>
      <c r="NZC1" s="154" t="str">
        <f t="shared" si="158"/>
        <v>y</v>
      </c>
      <c r="NZD1" s="154" t="str">
        <f t="shared" si="158"/>
        <v>y</v>
      </c>
      <c r="NZE1" s="154" t="str">
        <f t="shared" si="158"/>
        <v>y</v>
      </c>
      <c r="NZF1" s="154" t="str">
        <f t="shared" si="158"/>
        <v>y</v>
      </c>
      <c r="NZG1" s="154" t="str">
        <f t="shared" si="158"/>
        <v>y</v>
      </c>
      <c r="NZH1" s="154" t="str">
        <f t="shared" si="158"/>
        <v>y</v>
      </c>
      <c r="NZI1" s="154" t="str">
        <f t="shared" si="158"/>
        <v>y</v>
      </c>
      <c r="NZJ1" s="154" t="str">
        <f t="shared" si="158"/>
        <v>y</v>
      </c>
      <c r="NZK1" s="154" t="str">
        <f t="shared" si="158"/>
        <v>y</v>
      </c>
      <c r="NZL1" s="154" t="str">
        <f t="shared" si="158"/>
        <v>y</v>
      </c>
      <c r="NZM1" s="154" t="str">
        <f t="shared" si="158"/>
        <v>y</v>
      </c>
      <c r="NZN1" s="154" t="str">
        <f t="shared" si="158"/>
        <v>y</v>
      </c>
      <c r="NZO1" s="154" t="str">
        <f t="shared" si="158"/>
        <v>y</v>
      </c>
      <c r="NZP1" s="154" t="str">
        <f t="shared" si="158"/>
        <v>y</v>
      </c>
      <c r="NZQ1" s="154" t="str">
        <f t="shared" si="158"/>
        <v>y</v>
      </c>
      <c r="NZR1" s="154" t="str">
        <f t="shared" si="158"/>
        <v>y</v>
      </c>
      <c r="NZS1" s="154" t="str">
        <f t="shared" si="158"/>
        <v>y</v>
      </c>
      <c r="NZT1" s="154" t="str">
        <f t="shared" si="158"/>
        <v>y</v>
      </c>
      <c r="NZU1" s="154" t="str">
        <f t="shared" si="158"/>
        <v>y</v>
      </c>
      <c r="NZV1" s="154" t="str">
        <f t="shared" si="158"/>
        <v>y</v>
      </c>
      <c r="NZW1" s="154" t="str">
        <f t="shared" si="158"/>
        <v>y</v>
      </c>
      <c r="NZX1" s="154" t="str">
        <f t="shared" si="158"/>
        <v>y</v>
      </c>
      <c r="NZY1" s="154" t="str">
        <f t="shared" si="158"/>
        <v>y</v>
      </c>
      <c r="NZZ1" s="154" t="str">
        <f t="shared" si="158"/>
        <v>y</v>
      </c>
      <c r="OAA1" s="154" t="str">
        <f t="shared" si="158"/>
        <v>y</v>
      </c>
      <c r="OAB1" s="154" t="str">
        <f t="shared" si="158"/>
        <v>y</v>
      </c>
      <c r="OAC1" s="154" t="str">
        <f t="shared" si="158"/>
        <v>y</v>
      </c>
      <c r="OAD1" s="154" t="str">
        <f t="shared" si="158"/>
        <v>y</v>
      </c>
      <c r="OAE1" s="154" t="str">
        <f t="shared" si="158"/>
        <v>y</v>
      </c>
      <c r="OAF1" s="154" t="str">
        <f t="shared" si="158"/>
        <v>y</v>
      </c>
      <c r="OAG1" s="154" t="str">
        <f t="shared" si="158"/>
        <v>y</v>
      </c>
      <c r="OAH1" s="154" t="str">
        <f t="shared" si="158"/>
        <v>y</v>
      </c>
      <c r="OAI1" s="154" t="str">
        <f t="shared" si="158"/>
        <v>y</v>
      </c>
      <c r="OAJ1" s="154" t="str">
        <f t="shared" si="158"/>
        <v>y</v>
      </c>
      <c r="OAK1" s="154" t="str">
        <f t="shared" si="158"/>
        <v>y</v>
      </c>
      <c r="OAL1" s="154" t="str">
        <f t="shared" si="158"/>
        <v>y</v>
      </c>
      <c r="OAM1" s="154" t="str">
        <f t="shared" si="158"/>
        <v>y</v>
      </c>
      <c r="OAN1" s="154" t="str">
        <f t="shared" ref="OAN1:OCY1" si="159">OAN2&amp;"y"</f>
        <v>y</v>
      </c>
      <c r="OAO1" s="154" t="str">
        <f t="shared" si="159"/>
        <v>y</v>
      </c>
      <c r="OAP1" s="154" t="str">
        <f t="shared" si="159"/>
        <v>y</v>
      </c>
      <c r="OAQ1" s="154" t="str">
        <f t="shared" si="159"/>
        <v>y</v>
      </c>
      <c r="OAR1" s="154" t="str">
        <f t="shared" si="159"/>
        <v>y</v>
      </c>
      <c r="OAS1" s="154" t="str">
        <f t="shared" si="159"/>
        <v>y</v>
      </c>
      <c r="OAT1" s="154" t="str">
        <f t="shared" si="159"/>
        <v>y</v>
      </c>
      <c r="OAU1" s="154" t="str">
        <f t="shared" si="159"/>
        <v>y</v>
      </c>
      <c r="OAV1" s="154" t="str">
        <f t="shared" si="159"/>
        <v>y</v>
      </c>
      <c r="OAW1" s="154" t="str">
        <f t="shared" si="159"/>
        <v>y</v>
      </c>
      <c r="OAX1" s="154" t="str">
        <f t="shared" si="159"/>
        <v>y</v>
      </c>
      <c r="OAY1" s="154" t="str">
        <f t="shared" si="159"/>
        <v>y</v>
      </c>
      <c r="OAZ1" s="154" t="str">
        <f t="shared" si="159"/>
        <v>y</v>
      </c>
      <c r="OBA1" s="154" t="str">
        <f t="shared" si="159"/>
        <v>y</v>
      </c>
      <c r="OBB1" s="154" t="str">
        <f t="shared" si="159"/>
        <v>y</v>
      </c>
      <c r="OBC1" s="154" t="str">
        <f t="shared" si="159"/>
        <v>y</v>
      </c>
      <c r="OBD1" s="154" t="str">
        <f t="shared" si="159"/>
        <v>y</v>
      </c>
      <c r="OBE1" s="154" t="str">
        <f t="shared" si="159"/>
        <v>y</v>
      </c>
      <c r="OBF1" s="154" t="str">
        <f t="shared" si="159"/>
        <v>y</v>
      </c>
      <c r="OBG1" s="154" t="str">
        <f t="shared" si="159"/>
        <v>y</v>
      </c>
      <c r="OBH1" s="154" t="str">
        <f t="shared" si="159"/>
        <v>y</v>
      </c>
      <c r="OBI1" s="154" t="str">
        <f t="shared" si="159"/>
        <v>y</v>
      </c>
      <c r="OBJ1" s="154" t="str">
        <f t="shared" si="159"/>
        <v>y</v>
      </c>
      <c r="OBK1" s="154" t="str">
        <f t="shared" si="159"/>
        <v>y</v>
      </c>
      <c r="OBL1" s="154" t="str">
        <f t="shared" si="159"/>
        <v>y</v>
      </c>
      <c r="OBM1" s="154" t="str">
        <f t="shared" si="159"/>
        <v>y</v>
      </c>
      <c r="OBN1" s="154" t="str">
        <f t="shared" si="159"/>
        <v>y</v>
      </c>
      <c r="OBO1" s="154" t="str">
        <f t="shared" si="159"/>
        <v>y</v>
      </c>
      <c r="OBP1" s="154" t="str">
        <f t="shared" si="159"/>
        <v>y</v>
      </c>
      <c r="OBQ1" s="154" t="str">
        <f t="shared" si="159"/>
        <v>y</v>
      </c>
      <c r="OBR1" s="154" t="str">
        <f t="shared" si="159"/>
        <v>y</v>
      </c>
      <c r="OBS1" s="154" t="str">
        <f t="shared" si="159"/>
        <v>y</v>
      </c>
      <c r="OBT1" s="154" t="str">
        <f t="shared" si="159"/>
        <v>y</v>
      </c>
      <c r="OBU1" s="154" t="str">
        <f t="shared" si="159"/>
        <v>y</v>
      </c>
      <c r="OBV1" s="154" t="str">
        <f t="shared" si="159"/>
        <v>y</v>
      </c>
      <c r="OBW1" s="154" t="str">
        <f t="shared" si="159"/>
        <v>y</v>
      </c>
      <c r="OBX1" s="154" t="str">
        <f t="shared" si="159"/>
        <v>y</v>
      </c>
      <c r="OBY1" s="154" t="str">
        <f t="shared" si="159"/>
        <v>y</v>
      </c>
      <c r="OBZ1" s="154" t="str">
        <f t="shared" si="159"/>
        <v>y</v>
      </c>
      <c r="OCA1" s="154" t="str">
        <f t="shared" si="159"/>
        <v>y</v>
      </c>
      <c r="OCB1" s="154" t="str">
        <f t="shared" si="159"/>
        <v>y</v>
      </c>
      <c r="OCC1" s="154" t="str">
        <f t="shared" si="159"/>
        <v>y</v>
      </c>
      <c r="OCD1" s="154" t="str">
        <f t="shared" si="159"/>
        <v>y</v>
      </c>
      <c r="OCE1" s="154" t="str">
        <f t="shared" si="159"/>
        <v>y</v>
      </c>
      <c r="OCF1" s="154" t="str">
        <f t="shared" si="159"/>
        <v>y</v>
      </c>
      <c r="OCG1" s="154" t="str">
        <f t="shared" si="159"/>
        <v>y</v>
      </c>
      <c r="OCH1" s="154" t="str">
        <f t="shared" si="159"/>
        <v>y</v>
      </c>
      <c r="OCI1" s="154" t="str">
        <f t="shared" si="159"/>
        <v>y</v>
      </c>
      <c r="OCJ1" s="154" t="str">
        <f t="shared" si="159"/>
        <v>y</v>
      </c>
      <c r="OCK1" s="154" t="str">
        <f t="shared" si="159"/>
        <v>y</v>
      </c>
      <c r="OCL1" s="154" t="str">
        <f t="shared" si="159"/>
        <v>y</v>
      </c>
      <c r="OCM1" s="154" t="str">
        <f t="shared" si="159"/>
        <v>y</v>
      </c>
      <c r="OCN1" s="154" t="str">
        <f t="shared" si="159"/>
        <v>y</v>
      </c>
      <c r="OCO1" s="154" t="str">
        <f t="shared" si="159"/>
        <v>y</v>
      </c>
      <c r="OCP1" s="154" t="str">
        <f t="shared" si="159"/>
        <v>y</v>
      </c>
      <c r="OCQ1" s="154" t="str">
        <f t="shared" si="159"/>
        <v>y</v>
      </c>
      <c r="OCR1" s="154" t="str">
        <f t="shared" si="159"/>
        <v>y</v>
      </c>
      <c r="OCS1" s="154" t="str">
        <f t="shared" si="159"/>
        <v>y</v>
      </c>
      <c r="OCT1" s="154" t="str">
        <f t="shared" si="159"/>
        <v>y</v>
      </c>
      <c r="OCU1" s="154" t="str">
        <f t="shared" si="159"/>
        <v>y</v>
      </c>
      <c r="OCV1" s="154" t="str">
        <f t="shared" si="159"/>
        <v>y</v>
      </c>
      <c r="OCW1" s="154" t="str">
        <f t="shared" si="159"/>
        <v>y</v>
      </c>
      <c r="OCX1" s="154" t="str">
        <f t="shared" si="159"/>
        <v>y</v>
      </c>
      <c r="OCY1" s="154" t="str">
        <f t="shared" si="159"/>
        <v>y</v>
      </c>
      <c r="OCZ1" s="154" t="str">
        <f t="shared" ref="OCZ1:OFK1" si="160">OCZ2&amp;"y"</f>
        <v>y</v>
      </c>
      <c r="ODA1" s="154" t="str">
        <f t="shared" si="160"/>
        <v>y</v>
      </c>
      <c r="ODB1" s="154" t="str">
        <f t="shared" si="160"/>
        <v>y</v>
      </c>
      <c r="ODC1" s="154" t="str">
        <f t="shared" si="160"/>
        <v>y</v>
      </c>
      <c r="ODD1" s="154" t="str">
        <f t="shared" si="160"/>
        <v>y</v>
      </c>
      <c r="ODE1" s="154" t="str">
        <f t="shared" si="160"/>
        <v>y</v>
      </c>
      <c r="ODF1" s="154" t="str">
        <f t="shared" si="160"/>
        <v>y</v>
      </c>
      <c r="ODG1" s="154" t="str">
        <f t="shared" si="160"/>
        <v>y</v>
      </c>
      <c r="ODH1" s="154" t="str">
        <f t="shared" si="160"/>
        <v>y</v>
      </c>
      <c r="ODI1" s="154" t="str">
        <f t="shared" si="160"/>
        <v>y</v>
      </c>
      <c r="ODJ1" s="154" t="str">
        <f t="shared" si="160"/>
        <v>y</v>
      </c>
      <c r="ODK1" s="154" t="str">
        <f t="shared" si="160"/>
        <v>y</v>
      </c>
      <c r="ODL1" s="154" t="str">
        <f t="shared" si="160"/>
        <v>y</v>
      </c>
      <c r="ODM1" s="154" t="str">
        <f t="shared" si="160"/>
        <v>y</v>
      </c>
      <c r="ODN1" s="154" t="str">
        <f t="shared" si="160"/>
        <v>y</v>
      </c>
      <c r="ODO1" s="154" t="str">
        <f t="shared" si="160"/>
        <v>y</v>
      </c>
      <c r="ODP1" s="154" t="str">
        <f t="shared" si="160"/>
        <v>y</v>
      </c>
      <c r="ODQ1" s="154" t="str">
        <f t="shared" si="160"/>
        <v>y</v>
      </c>
      <c r="ODR1" s="154" t="str">
        <f t="shared" si="160"/>
        <v>y</v>
      </c>
      <c r="ODS1" s="154" t="str">
        <f t="shared" si="160"/>
        <v>y</v>
      </c>
      <c r="ODT1" s="154" t="str">
        <f t="shared" si="160"/>
        <v>y</v>
      </c>
      <c r="ODU1" s="154" t="str">
        <f t="shared" si="160"/>
        <v>y</v>
      </c>
      <c r="ODV1" s="154" t="str">
        <f t="shared" si="160"/>
        <v>y</v>
      </c>
      <c r="ODW1" s="154" t="str">
        <f t="shared" si="160"/>
        <v>y</v>
      </c>
      <c r="ODX1" s="154" t="str">
        <f t="shared" si="160"/>
        <v>y</v>
      </c>
      <c r="ODY1" s="154" t="str">
        <f t="shared" si="160"/>
        <v>y</v>
      </c>
      <c r="ODZ1" s="154" t="str">
        <f t="shared" si="160"/>
        <v>y</v>
      </c>
      <c r="OEA1" s="154" t="str">
        <f t="shared" si="160"/>
        <v>y</v>
      </c>
      <c r="OEB1" s="154" t="str">
        <f t="shared" si="160"/>
        <v>y</v>
      </c>
      <c r="OEC1" s="154" t="str">
        <f t="shared" si="160"/>
        <v>y</v>
      </c>
      <c r="OED1" s="154" t="str">
        <f t="shared" si="160"/>
        <v>y</v>
      </c>
      <c r="OEE1" s="154" t="str">
        <f t="shared" si="160"/>
        <v>y</v>
      </c>
      <c r="OEF1" s="154" t="str">
        <f t="shared" si="160"/>
        <v>y</v>
      </c>
      <c r="OEG1" s="154" t="str">
        <f t="shared" si="160"/>
        <v>y</v>
      </c>
      <c r="OEH1" s="154" t="str">
        <f t="shared" si="160"/>
        <v>y</v>
      </c>
      <c r="OEI1" s="154" t="str">
        <f t="shared" si="160"/>
        <v>y</v>
      </c>
      <c r="OEJ1" s="154" t="str">
        <f t="shared" si="160"/>
        <v>y</v>
      </c>
      <c r="OEK1" s="154" t="str">
        <f t="shared" si="160"/>
        <v>y</v>
      </c>
      <c r="OEL1" s="154" t="str">
        <f t="shared" si="160"/>
        <v>y</v>
      </c>
      <c r="OEM1" s="154" t="str">
        <f t="shared" si="160"/>
        <v>y</v>
      </c>
      <c r="OEN1" s="154" t="str">
        <f t="shared" si="160"/>
        <v>y</v>
      </c>
      <c r="OEO1" s="154" t="str">
        <f t="shared" si="160"/>
        <v>y</v>
      </c>
      <c r="OEP1" s="154" t="str">
        <f t="shared" si="160"/>
        <v>y</v>
      </c>
      <c r="OEQ1" s="154" t="str">
        <f t="shared" si="160"/>
        <v>y</v>
      </c>
      <c r="OER1" s="154" t="str">
        <f t="shared" si="160"/>
        <v>y</v>
      </c>
      <c r="OES1" s="154" t="str">
        <f t="shared" si="160"/>
        <v>y</v>
      </c>
      <c r="OET1" s="154" t="str">
        <f t="shared" si="160"/>
        <v>y</v>
      </c>
      <c r="OEU1" s="154" t="str">
        <f t="shared" si="160"/>
        <v>y</v>
      </c>
      <c r="OEV1" s="154" t="str">
        <f t="shared" si="160"/>
        <v>y</v>
      </c>
      <c r="OEW1" s="154" t="str">
        <f t="shared" si="160"/>
        <v>y</v>
      </c>
      <c r="OEX1" s="154" t="str">
        <f t="shared" si="160"/>
        <v>y</v>
      </c>
      <c r="OEY1" s="154" t="str">
        <f t="shared" si="160"/>
        <v>y</v>
      </c>
      <c r="OEZ1" s="154" t="str">
        <f t="shared" si="160"/>
        <v>y</v>
      </c>
      <c r="OFA1" s="154" t="str">
        <f t="shared" si="160"/>
        <v>y</v>
      </c>
      <c r="OFB1" s="154" t="str">
        <f t="shared" si="160"/>
        <v>y</v>
      </c>
      <c r="OFC1" s="154" t="str">
        <f t="shared" si="160"/>
        <v>y</v>
      </c>
      <c r="OFD1" s="154" t="str">
        <f t="shared" si="160"/>
        <v>y</v>
      </c>
      <c r="OFE1" s="154" t="str">
        <f t="shared" si="160"/>
        <v>y</v>
      </c>
      <c r="OFF1" s="154" t="str">
        <f t="shared" si="160"/>
        <v>y</v>
      </c>
      <c r="OFG1" s="154" t="str">
        <f t="shared" si="160"/>
        <v>y</v>
      </c>
      <c r="OFH1" s="154" t="str">
        <f t="shared" si="160"/>
        <v>y</v>
      </c>
      <c r="OFI1" s="154" t="str">
        <f t="shared" si="160"/>
        <v>y</v>
      </c>
      <c r="OFJ1" s="154" t="str">
        <f t="shared" si="160"/>
        <v>y</v>
      </c>
      <c r="OFK1" s="154" t="str">
        <f t="shared" si="160"/>
        <v>y</v>
      </c>
      <c r="OFL1" s="154" t="str">
        <f t="shared" ref="OFL1:OHW1" si="161">OFL2&amp;"y"</f>
        <v>y</v>
      </c>
      <c r="OFM1" s="154" t="str">
        <f t="shared" si="161"/>
        <v>y</v>
      </c>
      <c r="OFN1" s="154" t="str">
        <f t="shared" si="161"/>
        <v>y</v>
      </c>
      <c r="OFO1" s="154" t="str">
        <f t="shared" si="161"/>
        <v>y</v>
      </c>
      <c r="OFP1" s="154" t="str">
        <f t="shared" si="161"/>
        <v>y</v>
      </c>
      <c r="OFQ1" s="154" t="str">
        <f t="shared" si="161"/>
        <v>y</v>
      </c>
      <c r="OFR1" s="154" t="str">
        <f t="shared" si="161"/>
        <v>y</v>
      </c>
      <c r="OFS1" s="154" t="str">
        <f t="shared" si="161"/>
        <v>y</v>
      </c>
      <c r="OFT1" s="154" t="str">
        <f t="shared" si="161"/>
        <v>y</v>
      </c>
      <c r="OFU1" s="154" t="str">
        <f t="shared" si="161"/>
        <v>y</v>
      </c>
      <c r="OFV1" s="154" t="str">
        <f t="shared" si="161"/>
        <v>y</v>
      </c>
      <c r="OFW1" s="154" t="str">
        <f t="shared" si="161"/>
        <v>y</v>
      </c>
      <c r="OFX1" s="154" t="str">
        <f t="shared" si="161"/>
        <v>y</v>
      </c>
      <c r="OFY1" s="154" t="str">
        <f t="shared" si="161"/>
        <v>y</v>
      </c>
      <c r="OFZ1" s="154" t="str">
        <f t="shared" si="161"/>
        <v>y</v>
      </c>
      <c r="OGA1" s="154" t="str">
        <f t="shared" si="161"/>
        <v>y</v>
      </c>
      <c r="OGB1" s="154" t="str">
        <f t="shared" si="161"/>
        <v>y</v>
      </c>
      <c r="OGC1" s="154" t="str">
        <f t="shared" si="161"/>
        <v>y</v>
      </c>
      <c r="OGD1" s="154" t="str">
        <f t="shared" si="161"/>
        <v>y</v>
      </c>
      <c r="OGE1" s="154" t="str">
        <f t="shared" si="161"/>
        <v>y</v>
      </c>
      <c r="OGF1" s="154" t="str">
        <f t="shared" si="161"/>
        <v>y</v>
      </c>
      <c r="OGG1" s="154" t="str">
        <f t="shared" si="161"/>
        <v>y</v>
      </c>
      <c r="OGH1" s="154" t="str">
        <f t="shared" si="161"/>
        <v>y</v>
      </c>
      <c r="OGI1" s="154" t="str">
        <f t="shared" si="161"/>
        <v>y</v>
      </c>
      <c r="OGJ1" s="154" t="str">
        <f t="shared" si="161"/>
        <v>y</v>
      </c>
      <c r="OGK1" s="154" t="str">
        <f t="shared" si="161"/>
        <v>y</v>
      </c>
      <c r="OGL1" s="154" t="str">
        <f t="shared" si="161"/>
        <v>y</v>
      </c>
      <c r="OGM1" s="154" t="str">
        <f t="shared" si="161"/>
        <v>y</v>
      </c>
      <c r="OGN1" s="154" t="str">
        <f t="shared" si="161"/>
        <v>y</v>
      </c>
      <c r="OGO1" s="154" t="str">
        <f t="shared" si="161"/>
        <v>y</v>
      </c>
      <c r="OGP1" s="154" t="str">
        <f t="shared" si="161"/>
        <v>y</v>
      </c>
      <c r="OGQ1" s="154" t="str">
        <f t="shared" si="161"/>
        <v>y</v>
      </c>
      <c r="OGR1" s="154" t="str">
        <f t="shared" si="161"/>
        <v>y</v>
      </c>
      <c r="OGS1" s="154" t="str">
        <f t="shared" si="161"/>
        <v>y</v>
      </c>
      <c r="OGT1" s="154" t="str">
        <f t="shared" si="161"/>
        <v>y</v>
      </c>
      <c r="OGU1" s="154" t="str">
        <f t="shared" si="161"/>
        <v>y</v>
      </c>
      <c r="OGV1" s="154" t="str">
        <f t="shared" si="161"/>
        <v>y</v>
      </c>
      <c r="OGW1" s="154" t="str">
        <f t="shared" si="161"/>
        <v>y</v>
      </c>
      <c r="OGX1" s="154" t="str">
        <f t="shared" si="161"/>
        <v>y</v>
      </c>
      <c r="OGY1" s="154" t="str">
        <f t="shared" si="161"/>
        <v>y</v>
      </c>
      <c r="OGZ1" s="154" t="str">
        <f t="shared" si="161"/>
        <v>y</v>
      </c>
      <c r="OHA1" s="154" t="str">
        <f t="shared" si="161"/>
        <v>y</v>
      </c>
      <c r="OHB1" s="154" t="str">
        <f t="shared" si="161"/>
        <v>y</v>
      </c>
      <c r="OHC1" s="154" t="str">
        <f t="shared" si="161"/>
        <v>y</v>
      </c>
      <c r="OHD1" s="154" t="str">
        <f t="shared" si="161"/>
        <v>y</v>
      </c>
      <c r="OHE1" s="154" t="str">
        <f t="shared" si="161"/>
        <v>y</v>
      </c>
      <c r="OHF1" s="154" t="str">
        <f t="shared" si="161"/>
        <v>y</v>
      </c>
      <c r="OHG1" s="154" t="str">
        <f t="shared" si="161"/>
        <v>y</v>
      </c>
      <c r="OHH1" s="154" t="str">
        <f t="shared" si="161"/>
        <v>y</v>
      </c>
      <c r="OHI1" s="154" t="str">
        <f t="shared" si="161"/>
        <v>y</v>
      </c>
      <c r="OHJ1" s="154" t="str">
        <f t="shared" si="161"/>
        <v>y</v>
      </c>
      <c r="OHK1" s="154" t="str">
        <f t="shared" si="161"/>
        <v>y</v>
      </c>
      <c r="OHL1" s="154" t="str">
        <f t="shared" si="161"/>
        <v>y</v>
      </c>
      <c r="OHM1" s="154" t="str">
        <f t="shared" si="161"/>
        <v>y</v>
      </c>
      <c r="OHN1" s="154" t="str">
        <f t="shared" si="161"/>
        <v>y</v>
      </c>
      <c r="OHO1" s="154" t="str">
        <f t="shared" si="161"/>
        <v>y</v>
      </c>
      <c r="OHP1" s="154" t="str">
        <f t="shared" si="161"/>
        <v>y</v>
      </c>
      <c r="OHQ1" s="154" t="str">
        <f t="shared" si="161"/>
        <v>y</v>
      </c>
      <c r="OHR1" s="154" t="str">
        <f t="shared" si="161"/>
        <v>y</v>
      </c>
      <c r="OHS1" s="154" t="str">
        <f t="shared" si="161"/>
        <v>y</v>
      </c>
      <c r="OHT1" s="154" t="str">
        <f t="shared" si="161"/>
        <v>y</v>
      </c>
      <c r="OHU1" s="154" t="str">
        <f t="shared" si="161"/>
        <v>y</v>
      </c>
      <c r="OHV1" s="154" t="str">
        <f t="shared" si="161"/>
        <v>y</v>
      </c>
      <c r="OHW1" s="154" t="str">
        <f t="shared" si="161"/>
        <v>y</v>
      </c>
      <c r="OHX1" s="154" t="str">
        <f t="shared" ref="OHX1:OKI1" si="162">OHX2&amp;"y"</f>
        <v>y</v>
      </c>
      <c r="OHY1" s="154" t="str">
        <f t="shared" si="162"/>
        <v>y</v>
      </c>
      <c r="OHZ1" s="154" t="str">
        <f t="shared" si="162"/>
        <v>y</v>
      </c>
      <c r="OIA1" s="154" t="str">
        <f t="shared" si="162"/>
        <v>y</v>
      </c>
      <c r="OIB1" s="154" t="str">
        <f t="shared" si="162"/>
        <v>y</v>
      </c>
      <c r="OIC1" s="154" t="str">
        <f t="shared" si="162"/>
        <v>y</v>
      </c>
      <c r="OID1" s="154" t="str">
        <f t="shared" si="162"/>
        <v>y</v>
      </c>
      <c r="OIE1" s="154" t="str">
        <f t="shared" si="162"/>
        <v>y</v>
      </c>
      <c r="OIF1" s="154" t="str">
        <f t="shared" si="162"/>
        <v>y</v>
      </c>
      <c r="OIG1" s="154" t="str">
        <f t="shared" si="162"/>
        <v>y</v>
      </c>
      <c r="OIH1" s="154" t="str">
        <f t="shared" si="162"/>
        <v>y</v>
      </c>
      <c r="OII1" s="154" t="str">
        <f t="shared" si="162"/>
        <v>y</v>
      </c>
      <c r="OIJ1" s="154" t="str">
        <f t="shared" si="162"/>
        <v>y</v>
      </c>
      <c r="OIK1" s="154" t="str">
        <f t="shared" si="162"/>
        <v>y</v>
      </c>
      <c r="OIL1" s="154" t="str">
        <f t="shared" si="162"/>
        <v>y</v>
      </c>
      <c r="OIM1" s="154" t="str">
        <f t="shared" si="162"/>
        <v>y</v>
      </c>
      <c r="OIN1" s="154" t="str">
        <f t="shared" si="162"/>
        <v>y</v>
      </c>
      <c r="OIO1" s="154" t="str">
        <f t="shared" si="162"/>
        <v>y</v>
      </c>
      <c r="OIP1" s="154" t="str">
        <f t="shared" si="162"/>
        <v>y</v>
      </c>
      <c r="OIQ1" s="154" t="str">
        <f t="shared" si="162"/>
        <v>y</v>
      </c>
      <c r="OIR1" s="154" t="str">
        <f t="shared" si="162"/>
        <v>y</v>
      </c>
      <c r="OIS1" s="154" t="str">
        <f t="shared" si="162"/>
        <v>y</v>
      </c>
      <c r="OIT1" s="154" t="str">
        <f t="shared" si="162"/>
        <v>y</v>
      </c>
      <c r="OIU1" s="154" t="str">
        <f t="shared" si="162"/>
        <v>y</v>
      </c>
      <c r="OIV1" s="154" t="str">
        <f t="shared" si="162"/>
        <v>y</v>
      </c>
      <c r="OIW1" s="154" t="str">
        <f t="shared" si="162"/>
        <v>y</v>
      </c>
      <c r="OIX1" s="154" t="str">
        <f t="shared" si="162"/>
        <v>y</v>
      </c>
      <c r="OIY1" s="154" t="str">
        <f t="shared" si="162"/>
        <v>y</v>
      </c>
      <c r="OIZ1" s="154" t="str">
        <f t="shared" si="162"/>
        <v>y</v>
      </c>
      <c r="OJA1" s="154" t="str">
        <f t="shared" si="162"/>
        <v>y</v>
      </c>
      <c r="OJB1" s="154" t="str">
        <f t="shared" si="162"/>
        <v>y</v>
      </c>
      <c r="OJC1" s="154" t="str">
        <f t="shared" si="162"/>
        <v>y</v>
      </c>
      <c r="OJD1" s="154" t="str">
        <f t="shared" si="162"/>
        <v>y</v>
      </c>
      <c r="OJE1" s="154" t="str">
        <f t="shared" si="162"/>
        <v>y</v>
      </c>
      <c r="OJF1" s="154" t="str">
        <f t="shared" si="162"/>
        <v>y</v>
      </c>
      <c r="OJG1" s="154" t="str">
        <f t="shared" si="162"/>
        <v>y</v>
      </c>
      <c r="OJH1" s="154" t="str">
        <f t="shared" si="162"/>
        <v>y</v>
      </c>
      <c r="OJI1" s="154" t="str">
        <f t="shared" si="162"/>
        <v>y</v>
      </c>
      <c r="OJJ1" s="154" t="str">
        <f t="shared" si="162"/>
        <v>y</v>
      </c>
      <c r="OJK1" s="154" t="str">
        <f t="shared" si="162"/>
        <v>y</v>
      </c>
      <c r="OJL1" s="154" t="str">
        <f t="shared" si="162"/>
        <v>y</v>
      </c>
      <c r="OJM1" s="154" t="str">
        <f t="shared" si="162"/>
        <v>y</v>
      </c>
      <c r="OJN1" s="154" t="str">
        <f t="shared" si="162"/>
        <v>y</v>
      </c>
      <c r="OJO1" s="154" t="str">
        <f t="shared" si="162"/>
        <v>y</v>
      </c>
      <c r="OJP1" s="154" t="str">
        <f t="shared" si="162"/>
        <v>y</v>
      </c>
      <c r="OJQ1" s="154" t="str">
        <f t="shared" si="162"/>
        <v>y</v>
      </c>
      <c r="OJR1" s="154" t="str">
        <f t="shared" si="162"/>
        <v>y</v>
      </c>
      <c r="OJS1" s="154" t="str">
        <f t="shared" si="162"/>
        <v>y</v>
      </c>
      <c r="OJT1" s="154" t="str">
        <f t="shared" si="162"/>
        <v>y</v>
      </c>
      <c r="OJU1" s="154" t="str">
        <f t="shared" si="162"/>
        <v>y</v>
      </c>
      <c r="OJV1" s="154" t="str">
        <f t="shared" si="162"/>
        <v>y</v>
      </c>
      <c r="OJW1" s="154" t="str">
        <f t="shared" si="162"/>
        <v>y</v>
      </c>
      <c r="OJX1" s="154" t="str">
        <f t="shared" si="162"/>
        <v>y</v>
      </c>
      <c r="OJY1" s="154" t="str">
        <f t="shared" si="162"/>
        <v>y</v>
      </c>
      <c r="OJZ1" s="154" t="str">
        <f t="shared" si="162"/>
        <v>y</v>
      </c>
      <c r="OKA1" s="154" t="str">
        <f t="shared" si="162"/>
        <v>y</v>
      </c>
      <c r="OKB1" s="154" t="str">
        <f t="shared" si="162"/>
        <v>y</v>
      </c>
      <c r="OKC1" s="154" t="str">
        <f t="shared" si="162"/>
        <v>y</v>
      </c>
      <c r="OKD1" s="154" t="str">
        <f t="shared" si="162"/>
        <v>y</v>
      </c>
      <c r="OKE1" s="154" t="str">
        <f t="shared" si="162"/>
        <v>y</v>
      </c>
      <c r="OKF1" s="154" t="str">
        <f t="shared" si="162"/>
        <v>y</v>
      </c>
      <c r="OKG1" s="154" t="str">
        <f t="shared" si="162"/>
        <v>y</v>
      </c>
      <c r="OKH1" s="154" t="str">
        <f t="shared" si="162"/>
        <v>y</v>
      </c>
      <c r="OKI1" s="154" t="str">
        <f t="shared" si="162"/>
        <v>y</v>
      </c>
      <c r="OKJ1" s="154" t="str">
        <f t="shared" ref="OKJ1:OMU1" si="163">OKJ2&amp;"y"</f>
        <v>y</v>
      </c>
      <c r="OKK1" s="154" t="str">
        <f t="shared" si="163"/>
        <v>y</v>
      </c>
      <c r="OKL1" s="154" t="str">
        <f t="shared" si="163"/>
        <v>y</v>
      </c>
      <c r="OKM1" s="154" t="str">
        <f t="shared" si="163"/>
        <v>y</v>
      </c>
      <c r="OKN1" s="154" t="str">
        <f t="shared" si="163"/>
        <v>y</v>
      </c>
      <c r="OKO1" s="154" t="str">
        <f t="shared" si="163"/>
        <v>y</v>
      </c>
      <c r="OKP1" s="154" t="str">
        <f t="shared" si="163"/>
        <v>y</v>
      </c>
      <c r="OKQ1" s="154" t="str">
        <f t="shared" si="163"/>
        <v>y</v>
      </c>
      <c r="OKR1" s="154" t="str">
        <f t="shared" si="163"/>
        <v>y</v>
      </c>
      <c r="OKS1" s="154" t="str">
        <f t="shared" si="163"/>
        <v>y</v>
      </c>
      <c r="OKT1" s="154" t="str">
        <f t="shared" si="163"/>
        <v>y</v>
      </c>
      <c r="OKU1" s="154" t="str">
        <f t="shared" si="163"/>
        <v>y</v>
      </c>
      <c r="OKV1" s="154" t="str">
        <f t="shared" si="163"/>
        <v>y</v>
      </c>
      <c r="OKW1" s="154" t="str">
        <f t="shared" si="163"/>
        <v>y</v>
      </c>
      <c r="OKX1" s="154" t="str">
        <f t="shared" si="163"/>
        <v>y</v>
      </c>
      <c r="OKY1" s="154" t="str">
        <f t="shared" si="163"/>
        <v>y</v>
      </c>
      <c r="OKZ1" s="154" t="str">
        <f t="shared" si="163"/>
        <v>y</v>
      </c>
      <c r="OLA1" s="154" t="str">
        <f t="shared" si="163"/>
        <v>y</v>
      </c>
      <c r="OLB1" s="154" t="str">
        <f t="shared" si="163"/>
        <v>y</v>
      </c>
      <c r="OLC1" s="154" t="str">
        <f t="shared" si="163"/>
        <v>y</v>
      </c>
      <c r="OLD1" s="154" t="str">
        <f t="shared" si="163"/>
        <v>y</v>
      </c>
      <c r="OLE1" s="154" t="str">
        <f t="shared" si="163"/>
        <v>y</v>
      </c>
      <c r="OLF1" s="154" t="str">
        <f t="shared" si="163"/>
        <v>y</v>
      </c>
      <c r="OLG1" s="154" t="str">
        <f t="shared" si="163"/>
        <v>y</v>
      </c>
      <c r="OLH1" s="154" t="str">
        <f t="shared" si="163"/>
        <v>y</v>
      </c>
      <c r="OLI1" s="154" t="str">
        <f t="shared" si="163"/>
        <v>y</v>
      </c>
      <c r="OLJ1" s="154" t="str">
        <f t="shared" si="163"/>
        <v>y</v>
      </c>
      <c r="OLK1" s="154" t="str">
        <f t="shared" si="163"/>
        <v>y</v>
      </c>
      <c r="OLL1" s="154" t="str">
        <f t="shared" si="163"/>
        <v>y</v>
      </c>
      <c r="OLM1" s="154" t="str">
        <f t="shared" si="163"/>
        <v>y</v>
      </c>
      <c r="OLN1" s="154" t="str">
        <f t="shared" si="163"/>
        <v>y</v>
      </c>
      <c r="OLO1" s="154" t="str">
        <f t="shared" si="163"/>
        <v>y</v>
      </c>
      <c r="OLP1" s="154" t="str">
        <f t="shared" si="163"/>
        <v>y</v>
      </c>
      <c r="OLQ1" s="154" t="str">
        <f t="shared" si="163"/>
        <v>y</v>
      </c>
      <c r="OLR1" s="154" t="str">
        <f t="shared" si="163"/>
        <v>y</v>
      </c>
      <c r="OLS1" s="154" t="str">
        <f t="shared" si="163"/>
        <v>y</v>
      </c>
      <c r="OLT1" s="154" t="str">
        <f t="shared" si="163"/>
        <v>y</v>
      </c>
      <c r="OLU1" s="154" t="str">
        <f t="shared" si="163"/>
        <v>y</v>
      </c>
      <c r="OLV1" s="154" t="str">
        <f t="shared" si="163"/>
        <v>y</v>
      </c>
      <c r="OLW1" s="154" t="str">
        <f t="shared" si="163"/>
        <v>y</v>
      </c>
      <c r="OLX1" s="154" t="str">
        <f t="shared" si="163"/>
        <v>y</v>
      </c>
      <c r="OLY1" s="154" t="str">
        <f t="shared" si="163"/>
        <v>y</v>
      </c>
      <c r="OLZ1" s="154" t="str">
        <f t="shared" si="163"/>
        <v>y</v>
      </c>
      <c r="OMA1" s="154" t="str">
        <f t="shared" si="163"/>
        <v>y</v>
      </c>
      <c r="OMB1" s="154" t="str">
        <f t="shared" si="163"/>
        <v>y</v>
      </c>
      <c r="OMC1" s="154" t="str">
        <f t="shared" si="163"/>
        <v>y</v>
      </c>
      <c r="OMD1" s="154" t="str">
        <f t="shared" si="163"/>
        <v>y</v>
      </c>
      <c r="OME1" s="154" t="str">
        <f t="shared" si="163"/>
        <v>y</v>
      </c>
      <c r="OMF1" s="154" t="str">
        <f t="shared" si="163"/>
        <v>y</v>
      </c>
      <c r="OMG1" s="154" t="str">
        <f t="shared" si="163"/>
        <v>y</v>
      </c>
      <c r="OMH1" s="154" t="str">
        <f t="shared" si="163"/>
        <v>y</v>
      </c>
      <c r="OMI1" s="154" t="str">
        <f t="shared" si="163"/>
        <v>y</v>
      </c>
      <c r="OMJ1" s="154" t="str">
        <f t="shared" si="163"/>
        <v>y</v>
      </c>
      <c r="OMK1" s="154" t="str">
        <f t="shared" si="163"/>
        <v>y</v>
      </c>
      <c r="OML1" s="154" t="str">
        <f t="shared" si="163"/>
        <v>y</v>
      </c>
      <c r="OMM1" s="154" t="str">
        <f t="shared" si="163"/>
        <v>y</v>
      </c>
      <c r="OMN1" s="154" t="str">
        <f t="shared" si="163"/>
        <v>y</v>
      </c>
      <c r="OMO1" s="154" t="str">
        <f t="shared" si="163"/>
        <v>y</v>
      </c>
      <c r="OMP1" s="154" t="str">
        <f t="shared" si="163"/>
        <v>y</v>
      </c>
      <c r="OMQ1" s="154" t="str">
        <f t="shared" si="163"/>
        <v>y</v>
      </c>
      <c r="OMR1" s="154" t="str">
        <f t="shared" si="163"/>
        <v>y</v>
      </c>
      <c r="OMS1" s="154" t="str">
        <f t="shared" si="163"/>
        <v>y</v>
      </c>
      <c r="OMT1" s="154" t="str">
        <f t="shared" si="163"/>
        <v>y</v>
      </c>
      <c r="OMU1" s="154" t="str">
        <f t="shared" si="163"/>
        <v>y</v>
      </c>
      <c r="OMV1" s="154" t="str">
        <f t="shared" ref="OMV1:OPG1" si="164">OMV2&amp;"y"</f>
        <v>y</v>
      </c>
      <c r="OMW1" s="154" t="str">
        <f t="shared" si="164"/>
        <v>y</v>
      </c>
      <c r="OMX1" s="154" t="str">
        <f t="shared" si="164"/>
        <v>y</v>
      </c>
      <c r="OMY1" s="154" t="str">
        <f t="shared" si="164"/>
        <v>y</v>
      </c>
      <c r="OMZ1" s="154" t="str">
        <f t="shared" si="164"/>
        <v>y</v>
      </c>
      <c r="ONA1" s="154" t="str">
        <f t="shared" si="164"/>
        <v>y</v>
      </c>
      <c r="ONB1" s="154" t="str">
        <f t="shared" si="164"/>
        <v>y</v>
      </c>
      <c r="ONC1" s="154" t="str">
        <f t="shared" si="164"/>
        <v>y</v>
      </c>
      <c r="OND1" s="154" t="str">
        <f t="shared" si="164"/>
        <v>y</v>
      </c>
      <c r="ONE1" s="154" t="str">
        <f t="shared" si="164"/>
        <v>y</v>
      </c>
      <c r="ONF1" s="154" t="str">
        <f t="shared" si="164"/>
        <v>y</v>
      </c>
      <c r="ONG1" s="154" t="str">
        <f t="shared" si="164"/>
        <v>y</v>
      </c>
      <c r="ONH1" s="154" t="str">
        <f t="shared" si="164"/>
        <v>y</v>
      </c>
      <c r="ONI1" s="154" t="str">
        <f t="shared" si="164"/>
        <v>y</v>
      </c>
      <c r="ONJ1" s="154" t="str">
        <f t="shared" si="164"/>
        <v>y</v>
      </c>
      <c r="ONK1" s="154" t="str">
        <f t="shared" si="164"/>
        <v>y</v>
      </c>
      <c r="ONL1" s="154" t="str">
        <f t="shared" si="164"/>
        <v>y</v>
      </c>
      <c r="ONM1" s="154" t="str">
        <f t="shared" si="164"/>
        <v>y</v>
      </c>
      <c r="ONN1" s="154" t="str">
        <f t="shared" si="164"/>
        <v>y</v>
      </c>
      <c r="ONO1" s="154" t="str">
        <f t="shared" si="164"/>
        <v>y</v>
      </c>
      <c r="ONP1" s="154" t="str">
        <f t="shared" si="164"/>
        <v>y</v>
      </c>
      <c r="ONQ1" s="154" t="str">
        <f t="shared" si="164"/>
        <v>y</v>
      </c>
      <c r="ONR1" s="154" t="str">
        <f t="shared" si="164"/>
        <v>y</v>
      </c>
      <c r="ONS1" s="154" t="str">
        <f t="shared" si="164"/>
        <v>y</v>
      </c>
      <c r="ONT1" s="154" t="str">
        <f t="shared" si="164"/>
        <v>y</v>
      </c>
      <c r="ONU1" s="154" t="str">
        <f t="shared" si="164"/>
        <v>y</v>
      </c>
      <c r="ONV1" s="154" t="str">
        <f t="shared" si="164"/>
        <v>y</v>
      </c>
      <c r="ONW1" s="154" t="str">
        <f t="shared" si="164"/>
        <v>y</v>
      </c>
      <c r="ONX1" s="154" t="str">
        <f t="shared" si="164"/>
        <v>y</v>
      </c>
      <c r="ONY1" s="154" t="str">
        <f t="shared" si="164"/>
        <v>y</v>
      </c>
      <c r="ONZ1" s="154" t="str">
        <f t="shared" si="164"/>
        <v>y</v>
      </c>
      <c r="OOA1" s="154" t="str">
        <f t="shared" si="164"/>
        <v>y</v>
      </c>
      <c r="OOB1" s="154" t="str">
        <f t="shared" si="164"/>
        <v>y</v>
      </c>
      <c r="OOC1" s="154" t="str">
        <f t="shared" si="164"/>
        <v>y</v>
      </c>
      <c r="OOD1" s="154" t="str">
        <f t="shared" si="164"/>
        <v>y</v>
      </c>
      <c r="OOE1" s="154" t="str">
        <f t="shared" si="164"/>
        <v>y</v>
      </c>
      <c r="OOF1" s="154" t="str">
        <f t="shared" si="164"/>
        <v>y</v>
      </c>
      <c r="OOG1" s="154" t="str">
        <f t="shared" si="164"/>
        <v>y</v>
      </c>
      <c r="OOH1" s="154" t="str">
        <f t="shared" si="164"/>
        <v>y</v>
      </c>
      <c r="OOI1" s="154" t="str">
        <f t="shared" si="164"/>
        <v>y</v>
      </c>
      <c r="OOJ1" s="154" t="str">
        <f t="shared" si="164"/>
        <v>y</v>
      </c>
      <c r="OOK1" s="154" t="str">
        <f t="shared" si="164"/>
        <v>y</v>
      </c>
      <c r="OOL1" s="154" t="str">
        <f t="shared" si="164"/>
        <v>y</v>
      </c>
      <c r="OOM1" s="154" t="str">
        <f t="shared" si="164"/>
        <v>y</v>
      </c>
      <c r="OON1" s="154" t="str">
        <f t="shared" si="164"/>
        <v>y</v>
      </c>
      <c r="OOO1" s="154" t="str">
        <f t="shared" si="164"/>
        <v>y</v>
      </c>
      <c r="OOP1" s="154" t="str">
        <f t="shared" si="164"/>
        <v>y</v>
      </c>
      <c r="OOQ1" s="154" t="str">
        <f t="shared" si="164"/>
        <v>y</v>
      </c>
      <c r="OOR1" s="154" t="str">
        <f t="shared" si="164"/>
        <v>y</v>
      </c>
      <c r="OOS1" s="154" t="str">
        <f t="shared" si="164"/>
        <v>y</v>
      </c>
      <c r="OOT1" s="154" t="str">
        <f t="shared" si="164"/>
        <v>y</v>
      </c>
      <c r="OOU1" s="154" t="str">
        <f t="shared" si="164"/>
        <v>y</v>
      </c>
      <c r="OOV1" s="154" t="str">
        <f t="shared" si="164"/>
        <v>y</v>
      </c>
      <c r="OOW1" s="154" t="str">
        <f t="shared" si="164"/>
        <v>y</v>
      </c>
      <c r="OOX1" s="154" t="str">
        <f t="shared" si="164"/>
        <v>y</v>
      </c>
      <c r="OOY1" s="154" t="str">
        <f t="shared" si="164"/>
        <v>y</v>
      </c>
      <c r="OOZ1" s="154" t="str">
        <f t="shared" si="164"/>
        <v>y</v>
      </c>
      <c r="OPA1" s="154" t="str">
        <f t="shared" si="164"/>
        <v>y</v>
      </c>
      <c r="OPB1" s="154" t="str">
        <f t="shared" si="164"/>
        <v>y</v>
      </c>
      <c r="OPC1" s="154" t="str">
        <f t="shared" si="164"/>
        <v>y</v>
      </c>
      <c r="OPD1" s="154" t="str">
        <f t="shared" si="164"/>
        <v>y</v>
      </c>
      <c r="OPE1" s="154" t="str">
        <f t="shared" si="164"/>
        <v>y</v>
      </c>
      <c r="OPF1" s="154" t="str">
        <f t="shared" si="164"/>
        <v>y</v>
      </c>
      <c r="OPG1" s="154" t="str">
        <f t="shared" si="164"/>
        <v>y</v>
      </c>
      <c r="OPH1" s="154" t="str">
        <f t="shared" ref="OPH1:ORS1" si="165">OPH2&amp;"y"</f>
        <v>y</v>
      </c>
      <c r="OPI1" s="154" t="str">
        <f t="shared" si="165"/>
        <v>y</v>
      </c>
      <c r="OPJ1" s="154" t="str">
        <f t="shared" si="165"/>
        <v>y</v>
      </c>
      <c r="OPK1" s="154" t="str">
        <f t="shared" si="165"/>
        <v>y</v>
      </c>
      <c r="OPL1" s="154" t="str">
        <f t="shared" si="165"/>
        <v>y</v>
      </c>
      <c r="OPM1" s="154" t="str">
        <f t="shared" si="165"/>
        <v>y</v>
      </c>
      <c r="OPN1" s="154" t="str">
        <f t="shared" si="165"/>
        <v>y</v>
      </c>
      <c r="OPO1" s="154" t="str">
        <f t="shared" si="165"/>
        <v>y</v>
      </c>
      <c r="OPP1" s="154" t="str">
        <f t="shared" si="165"/>
        <v>y</v>
      </c>
      <c r="OPQ1" s="154" t="str">
        <f t="shared" si="165"/>
        <v>y</v>
      </c>
      <c r="OPR1" s="154" t="str">
        <f t="shared" si="165"/>
        <v>y</v>
      </c>
      <c r="OPS1" s="154" t="str">
        <f t="shared" si="165"/>
        <v>y</v>
      </c>
      <c r="OPT1" s="154" t="str">
        <f t="shared" si="165"/>
        <v>y</v>
      </c>
      <c r="OPU1" s="154" t="str">
        <f t="shared" si="165"/>
        <v>y</v>
      </c>
      <c r="OPV1" s="154" t="str">
        <f t="shared" si="165"/>
        <v>y</v>
      </c>
      <c r="OPW1" s="154" t="str">
        <f t="shared" si="165"/>
        <v>y</v>
      </c>
      <c r="OPX1" s="154" t="str">
        <f t="shared" si="165"/>
        <v>y</v>
      </c>
      <c r="OPY1" s="154" t="str">
        <f t="shared" si="165"/>
        <v>y</v>
      </c>
      <c r="OPZ1" s="154" t="str">
        <f t="shared" si="165"/>
        <v>y</v>
      </c>
      <c r="OQA1" s="154" t="str">
        <f t="shared" si="165"/>
        <v>y</v>
      </c>
      <c r="OQB1" s="154" t="str">
        <f t="shared" si="165"/>
        <v>y</v>
      </c>
      <c r="OQC1" s="154" t="str">
        <f t="shared" si="165"/>
        <v>y</v>
      </c>
      <c r="OQD1" s="154" t="str">
        <f t="shared" si="165"/>
        <v>y</v>
      </c>
      <c r="OQE1" s="154" t="str">
        <f t="shared" si="165"/>
        <v>y</v>
      </c>
      <c r="OQF1" s="154" t="str">
        <f t="shared" si="165"/>
        <v>y</v>
      </c>
      <c r="OQG1" s="154" t="str">
        <f t="shared" si="165"/>
        <v>y</v>
      </c>
      <c r="OQH1" s="154" t="str">
        <f t="shared" si="165"/>
        <v>y</v>
      </c>
      <c r="OQI1" s="154" t="str">
        <f t="shared" si="165"/>
        <v>y</v>
      </c>
      <c r="OQJ1" s="154" t="str">
        <f t="shared" si="165"/>
        <v>y</v>
      </c>
      <c r="OQK1" s="154" t="str">
        <f t="shared" si="165"/>
        <v>y</v>
      </c>
      <c r="OQL1" s="154" t="str">
        <f t="shared" si="165"/>
        <v>y</v>
      </c>
      <c r="OQM1" s="154" t="str">
        <f t="shared" si="165"/>
        <v>y</v>
      </c>
      <c r="OQN1" s="154" t="str">
        <f t="shared" si="165"/>
        <v>y</v>
      </c>
      <c r="OQO1" s="154" t="str">
        <f t="shared" si="165"/>
        <v>y</v>
      </c>
      <c r="OQP1" s="154" t="str">
        <f t="shared" si="165"/>
        <v>y</v>
      </c>
      <c r="OQQ1" s="154" t="str">
        <f t="shared" si="165"/>
        <v>y</v>
      </c>
      <c r="OQR1" s="154" t="str">
        <f t="shared" si="165"/>
        <v>y</v>
      </c>
      <c r="OQS1" s="154" t="str">
        <f t="shared" si="165"/>
        <v>y</v>
      </c>
      <c r="OQT1" s="154" t="str">
        <f t="shared" si="165"/>
        <v>y</v>
      </c>
      <c r="OQU1" s="154" t="str">
        <f t="shared" si="165"/>
        <v>y</v>
      </c>
      <c r="OQV1" s="154" t="str">
        <f t="shared" si="165"/>
        <v>y</v>
      </c>
      <c r="OQW1" s="154" t="str">
        <f t="shared" si="165"/>
        <v>y</v>
      </c>
      <c r="OQX1" s="154" t="str">
        <f t="shared" si="165"/>
        <v>y</v>
      </c>
      <c r="OQY1" s="154" t="str">
        <f t="shared" si="165"/>
        <v>y</v>
      </c>
      <c r="OQZ1" s="154" t="str">
        <f t="shared" si="165"/>
        <v>y</v>
      </c>
      <c r="ORA1" s="154" t="str">
        <f t="shared" si="165"/>
        <v>y</v>
      </c>
      <c r="ORB1" s="154" t="str">
        <f t="shared" si="165"/>
        <v>y</v>
      </c>
      <c r="ORC1" s="154" t="str">
        <f t="shared" si="165"/>
        <v>y</v>
      </c>
      <c r="ORD1" s="154" t="str">
        <f t="shared" si="165"/>
        <v>y</v>
      </c>
      <c r="ORE1" s="154" t="str">
        <f t="shared" si="165"/>
        <v>y</v>
      </c>
      <c r="ORF1" s="154" t="str">
        <f t="shared" si="165"/>
        <v>y</v>
      </c>
      <c r="ORG1" s="154" t="str">
        <f t="shared" si="165"/>
        <v>y</v>
      </c>
      <c r="ORH1" s="154" t="str">
        <f t="shared" si="165"/>
        <v>y</v>
      </c>
      <c r="ORI1" s="154" t="str">
        <f t="shared" si="165"/>
        <v>y</v>
      </c>
      <c r="ORJ1" s="154" t="str">
        <f t="shared" si="165"/>
        <v>y</v>
      </c>
      <c r="ORK1" s="154" t="str">
        <f t="shared" si="165"/>
        <v>y</v>
      </c>
      <c r="ORL1" s="154" t="str">
        <f t="shared" si="165"/>
        <v>y</v>
      </c>
      <c r="ORM1" s="154" t="str">
        <f t="shared" si="165"/>
        <v>y</v>
      </c>
      <c r="ORN1" s="154" t="str">
        <f t="shared" si="165"/>
        <v>y</v>
      </c>
      <c r="ORO1" s="154" t="str">
        <f t="shared" si="165"/>
        <v>y</v>
      </c>
      <c r="ORP1" s="154" t="str">
        <f t="shared" si="165"/>
        <v>y</v>
      </c>
      <c r="ORQ1" s="154" t="str">
        <f t="shared" si="165"/>
        <v>y</v>
      </c>
      <c r="ORR1" s="154" t="str">
        <f t="shared" si="165"/>
        <v>y</v>
      </c>
      <c r="ORS1" s="154" t="str">
        <f t="shared" si="165"/>
        <v>y</v>
      </c>
      <c r="ORT1" s="154" t="str">
        <f t="shared" ref="ORT1:OUE1" si="166">ORT2&amp;"y"</f>
        <v>y</v>
      </c>
      <c r="ORU1" s="154" t="str">
        <f t="shared" si="166"/>
        <v>y</v>
      </c>
      <c r="ORV1" s="154" t="str">
        <f t="shared" si="166"/>
        <v>y</v>
      </c>
      <c r="ORW1" s="154" t="str">
        <f t="shared" si="166"/>
        <v>y</v>
      </c>
      <c r="ORX1" s="154" t="str">
        <f t="shared" si="166"/>
        <v>y</v>
      </c>
      <c r="ORY1" s="154" t="str">
        <f t="shared" si="166"/>
        <v>y</v>
      </c>
      <c r="ORZ1" s="154" t="str">
        <f t="shared" si="166"/>
        <v>y</v>
      </c>
      <c r="OSA1" s="154" t="str">
        <f t="shared" si="166"/>
        <v>y</v>
      </c>
      <c r="OSB1" s="154" t="str">
        <f t="shared" si="166"/>
        <v>y</v>
      </c>
      <c r="OSC1" s="154" t="str">
        <f t="shared" si="166"/>
        <v>y</v>
      </c>
      <c r="OSD1" s="154" t="str">
        <f t="shared" si="166"/>
        <v>y</v>
      </c>
      <c r="OSE1" s="154" t="str">
        <f t="shared" si="166"/>
        <v>y</v>
      </c>
      <c r="OSF1" s="154" t="str">
        <f t="shared" si="166"/>
        <v>y</v>
      </c>
      <c r="OSG1" s="154" t="str">
        <f t="shared" si="166"/>
        <v>y</v>
      </c>
      <c r="OSH1" s="154" t="str">
        <f t="shared" si="166"/>
        <v>y</v>
      </c>
      <c r="OSI1" s="154" t="str">
        <f t="shared" si="166"/>
        <v>y</v>
      </c>
      <c r="OSJ1" s="154" t="str">
        <f t="shared" si="166"/>
        <v>y</v>
      </c>
      <c r="OSK1" s="154" t="str">
        <f t="shared" si="166"/>
        <v>y</v>
      </c>
      <c r="OSL1" s="154" t="str">
        <f t="shared" si="166"/>
        <v>y</v>
      </c>
      <c r="OSM1" s="154" t="str">
        <f t="shared" si="166"/>
        <v>y</v>
      </c>
      <c r="OSN1" s="154" t="str">
        <f t="shared" si="166"/>
        <v>y</v>
      </c>
      <c r="OSO1" s="154" t="str">
        <f t="shared" si="166"/>
        <v>y</v>
      </c>
      <c r="OSP1" s="154" t="str">
        <f t="shared" si="166"/>
        <v>y</v>
      </c>
      <c r="OSQ1" s="154" t="str">
        <f t="shared" si="166"/>
        <v>y</v>
      </c>
      <c r="OSR1" s="154" t="str">
        <f t="shared" si="166"/>
        <v>y</v>
      </c>
      <c r="OSS1" s="154" t="str">
        <f t="shared" si="166"/>
        <v>y</v>
      </c>
      <c r="OST1" s="154" t="str">
        <f t="shared" si="166"/>
        <v>y</v>
      </c>
      <c r="OSU1" s="154" t="str">
        <f t="shared" si="166"/>
        <v>y</v>
      </c>
      <c r="OSV1" s="154" t="str">
        <f t="shared" si="166"/>
        <v>y</v>
      </c>
      <c r="OSW1" s="154" t="str">
        <f t="shared" si="166"/>
        <v>y</v>
      </c>
      <c r="OSX1" s="154" t="str">
        <f t="shared" si="166"/>
        <v>y</v>
      </c>
      <c r="OSY1" s="154" t="str">
        <f t="shared" si="166"/>
        <v>y</v>
      </c>
      <c r="OSZ1" s="154" t="str">
        <f t="shared" si="166"/>
        <v>y</v>
      </c>
      <c r="OTA1" s="154" t="str">
        <f t="shared" si="166"/>
        <v>y</v>
      </c>
      <c r="OTB1" s="154" t="str">
        <f t="shared" si="166"/>
        <v>y</v>
      </c>
      <c r="OTC1" s="154" t="str">
        <f t="shared" si="166"/>
        <v>y</v>
      </c>
      <c r="OTD1" s="154" t="str">
        <f t="shared" si="166"/>
        <v>y</v>
      </c>
      <c r="OTE1" s="154" t="str">
        <f t="shared" si="166"/>
        <v>y</v>
      </c>
      <c r="OTF1" s="154" t="str">
        <f t="shared" si="166"/>
        <v>y</v>
      </c>
      <c r="OTG1" s="154" t="str">
        <f t="shared" si="166"/>
        <v>y</v>
      </c>
      <c r="OTH1" s="154" t="str">
        <f t="shared" si="166"/>
        <v>y</v>
      </c>
      <c r="OTI1" s="154" t="str">
        <f t="shared" si="166"/>
        <v>y</v>
      </c>
      <c r="OTJ1" s="154" t="str">
        <f t="shared" si="166"/>
        <v>y</v>
      </c>
      <c r="OTK1" s="154" t="str">
        <f t="shared" si="166"/>
        <v>y</v>
      </c>
      <c r="OTL1" s="154" t="str">
        <f t="shared" si="166"/>
        <v>y</v>
      </c>
      <c r="OTM1" s="154" t="str">
        <f t="shared" si="166"/>
        <v>y</v>
      </c>
      <c r="OTN1" s="154" t="str">
        <f t="shared" si="166"/>
        <v>y</v>
      </c>
      <c r="OTO1" s="154" t="str">
        <f t="shared" si="166"/>
        <v>y</v>
      </c>
      <c r="OTP1" s="154" t="str">
        <f t="shared" si="166"/>
        <v>y</v>
      </c>
      <c r="OTQ1" s="154" t="str">
        <f t="shared" si="166"/>
        <v>y</v>
      </c>
      <c r="OTR1" s="154" t="str">
        <f t="shared" si="166"/>
        <v>y</v>
      </c>
      <c r="OTS1" s="154" t="str">
        <f t="shared" si="166"/>
        <v>y</v>
      </c>
      <c r="OTT1" s="154" t="str">
        <f t="shared" si="166"/>
        <v>y</v>
      </c>
      <c r="OTU1" s="154" t="str">
        <f t="shared" si="166"/>
        <v>y</v>
      </c>
      <c r="OTV1" s="154" t="str">
        <f t="shared" si="166"/>
        <v>y</v>
      </c>
      <c r="OTW1" s="154" t="str">
        <f t="shared" si="166"/>
        <v>y</v>
      </c>
      <c r="OTX1" s="154" t="str">
        <f t="shared" si="166"/>
        <v>y</v>
      </c>
      <c r="OTY1" s="154" t="str">
        <f t="shared" si="166"/>
        <v>y</v>
      </c>
      <c r="OTZ1" s="154" t="str">
        <f t="shared" si="166"/>
        <v>y</v>
      </c>
      <c r="OUA1" s="154" t="str">
        <f t="shared" si="166"/>
        <v>y</v>
      </c>
      <c r="OUB1" s="154" t="str">
        <f t="shared" si="166"/>
        <v>y</v>
      </c>
      <c r="OUC1" s="154" t="str">
        <f t="shared" si="166"/>
        <v>y</v>
      </c>
      <c r="OUD1" s="154" t="str">
        <f t="shared" si="166"/>
        <v>y</v>
      </c>
      <c r="OUE1" s="154" t="str">
        <f t="shared" si="166"/>
        <v>y</v>
      </c>
      <c r="OUF1" s="154" t="str">
        <f t="shared" ref="OUF1:OWQ1" si="167">OUF2&amp;"y"</f>
        <v>y</v>
      </c>
      <c r="OUG1" s="154" t="str">
        <f t="shared" si="167"/>
        <v>y</v>
      </c>
      <c r="OUH1" s="154" t="str">
        <f t="shared" si="167"/>
        <v>y</v>
      </c>
      <c r="OUI1" s="154" t="str">
        <f t="shared" si="167"/>
        <v>y</v>
      </c>
      <c r="OUJ1" s="154" t="str">
        <f t="shared" si="167"/>
        <v>y</v>
      </c>
      <c r="OUK1" s="154" t="str">
        <f t="shared" si="167"/>
        <v>y</v>
      </c>
      <c r="OUL1" s="154" t="str">
        <f t="shared" si="167"/>
        <v>y</v>
      </c>
      <c r="OUM1" s="154" t="str">
        <f t="shared" si="167"/>
        <v>y</v>
      </c>
      <c r="OUN1" s="154" t="str">
        <f t="shared" si="167"/>
        <v>y</v>
      </c>
      <c r="OUO1" s="154" t="str">
        <f t="shared" si="167"/>
        <v>y</v>
      </c>
      <c r="OUP1" s="154" t="str">
        <f t="shared" si="167"/>
        <v>y</v>
      </c>
      <c r="OUQ1" s="154" t="str">
        <f t="shared" si="167"/>
        <v>y</v>
      </c>
      <c r="OUR1" s="154" t="str">
        <f t="shared" si="167"/>
        <v>y</v>
      </c>
      <c r="OUS1" s="154" t="str">
        <f t="shared" si="167"/>
        <v>y</v>
      </c>
      <c r="OUT1" s="154" t="str">
        <f t="shared" si="167"/>
        <v>y</v>
      </c>
      <c r="OUU1" s="154" t="str">
        <f t="shared" si="167"/>
        <v>y</v>
      </c>
      <c r="OUV1" s="154" t="str">
        <f t="shared" si="167"/>
        <v>y</v>
      </c>
      <c r="OUW1" s="154" t="str">
        <f t="shared" si="167"/>
        <v>y</v>
      </c>
      <c r="OUX1" s="154" t="str">
        <f t="shared" si="167"/>
        <v>y</v>
      </c>
      <c r="OUY1" s="154" t="str">
        <f t="shared" si="167"/>
        <v>y</v>
      </c>
      <c r="OUZ1" s="154" t="str">
        <f t="shared" si="167"/>
        <v>y</v>
      </c>
      <c r="OVA1" s="154" t="str">
        <f t="shared" si="167"/>
        <v>y</v>
      </c>
      <c r="OVB1" s="154" t="str">
        <f t="shared" si="167"/>
        <v>y</v>
      </c>
      <c r="OVC1" s="154" t="str">
        <f t="shared" si="167"/>
        <v>y</v>
      </c>
      <c r="OVD1" s="154" t="str">
        <f t="shared" si="167"/>
        <v>y</v>
      </c>
      <c r="OVE1" s="154" t="str">
        <f t="shared" si="167"/>
        <v>y</v>
      </c>
      <c r="OVF1" s="154" t="str">
        <f t="shared" si="167"/>
        <v>y</v>
      </c>
      <c r="OVG1" s="154" t="str">
        <f t="shared" si="167"/>
        <v>y</v>
      </c>
      <c r="OVH1" s="154" t="str">
        <f t="shared" si="167"/>
        <v>y</v>
      </c>
      <c r="OVI1" s="154" t="str">
        <f t="shared" si="167"/>
        <v>y</v>
      </c>
      <c r="OVJ1" s="154" t="str">
        <f t="shared" si="167"/>
        <v>y</v>
      </c>
      <c r="OVK1" s="154" t="str">
        <f t="shared" si="167"/>
        <v>y</v>
      </c>
      <c r="OVL1" s="154" t="str">
        <f t="shared" si="167"/>
        <v>y</v>
      </c>
      <c r="OVM1" s="154" t="str">
        <f t="shared" si="167"/>
        <v>y</v>
      </c>
      <c r="OVN1" s="154" t="str">
        <f t="shared" si="167"/>
        <v>y</v>
      </c>
      <c r="OVO1" s="154" t="str">
        <f t="shared" si="167"/>
        <v>y</v>
      </c>
      <c r="OVP1" s="154" t="str">
        <f t="shared" si="167"/>
        <v>y</v>
      </c>
      <c r="OVQ1" s="154" t="str">
        <f t="shared" si="167"/>
        <v>y</v>
      </c>
      <c r="OVR1" s="154" t="str">
        <f t="shared" si="167"/>
        <v>y</v>
      </c>
      <c r="OVS1" s="154" t="str">
        <f t="shared" si="167"/>
        <v>y</v>
      </c>
      <c r="OVT1" s="154" t="str">
        <f t="shared" si="167"/>
        <v>y</v>
      </c>
      <c r="OVU1" s="154" t="str">
        <f t="shared" si="167"/>
        <v>y</v>
      </c>
      <c r="OVV1" s="154" t="str">
        <f t="shared" si="167"/>
        <v>y</v>
      </c>
      <c r="OVW1" s="154" t="str">
        <f t="shared" si="167"/>
        <v>y</v>
      </c>
      <c r="OVX1" s="154" t="str">
        <f t="shared" si="167"/>
        <v>y</v>
      </c>
      <c r="OVY1" s="154" t="str">
        <f t="shared" si="167"/>
        <v>y</v>
      </c>
      <c r="OVZ1" s="154" t="str">
        <f t="shared" si="167"/>
        <v>y</v>
      </c>
      <c r="OWA1" s="154" t="str">
        <f t="shared" si="167"/>
        <v>y</v>
      </c>
      <c r="OWB1" s="154" t="str">
        <f t="shared" si="167"/>
        <v>y</v>
      </c>
      <c r="OWC1" s="154" t="str">
        <f t="shared" si="167"/>
        <v>y</v>
      </c>
      <c r="OWD1" s="154" t="str">
        <f t="shared" si="167"/>
        <v>y</v>
      </c>
      <c r="OWE1" s="154" t="str">
        <f t="shared" si="167"/>
        <v>y</v>
      </c>
      <c r="OWF1" s="154" t="str">
        <f t="shared" si="167"/>
        <v>y</v>
      </c>
      <c r="OWG1" s="154" t="str">
        <f t="shared" si="167"/>
        <v>y</v>
      </c>
      <c r="OWH1" s="154" t="str">
        <f t="shared" si="167"/>
        <v>y</v>
      </c>
      <c r="OWI1" s="154" t="str">
        <f t="shared" si="167"/>
        <v>y</v>
      </c>
      <c r="OWJ1" s="154" t="str">
        <f t="shared" si="167"/>
        <v>y</v>
      </c>
      <c r="OWK1" s="154" t="str">
        <f t="shared" si="167"/>
        <v>y</v>
      </c>
      <c r="OWL1" s="154" t="str">
        <f t="shared" si="167"/>
        <v>y</v>
      </c>
      <c r="OWM1" s="154" t="str">
        <f t="shared" si="167"/>
        <v>y</v>
      </c>
      <c r="OWN1" s="154" t="str">
        <f t="shared" si="167"/>
        <v>y</v>
      </c>
      <c r="OWO1" s="154" t="str">
        <f t="shared" si="167"/>
        <v>y</v>
      </c>
      <c r="OWP1" s="154" t="str">
        <f t="shared" si="167"/>
        <v>y</v>
      </c>
      <c r="OWQ1" s="154" t="str">
        <f t="shared" si="167"/>
        <v>y</v>
      </c>
      <c r="OWR1" s="154" t="str">
        <f t="shared" ref="OWR1:OZC1" si="168">OWR2&amp;"y"</f>
        <v>y</v>
      </c>
      <c r="OWS1" s="154" t="str">
        <f t="shared" si="168"/>
        <v>y</v>
      </c>
      <c r="OWT1" s="154" t="str">
        <f t="shared" si="168"/>
        <v>y</v>
      </c>
      <c r="OWU1" s="154" t="str">
        <f t="shared" si="168"/>
        <v>y</v>
      </c>
      <c r="OWV1" s="154" t="str">
        <f t="shared" si="168"/>
        <v>y</v>
      </c>
      <c r="OWW1" s="154" t="str">
        <f t="shared" si="168"/>
        <v>y</v>
      </c>
      <c r="OWX1" s="154" t="str">
        <f t="shared" si="168"/>
        <v>y</v>
      </c>
      <c r="OWY1" s="154" t="str">
        <f t="shared" si="168"/>
        <v>y</v>
      </c>
      <c r="OWZ1" s="154" t="str">
        <f t="shared" si="168"/>
        <v>y</v>
      </c>
      <c r="OXA1" s="154" t="str">
        <f t="shared" si="168"/>
        <v>y</v>
      </c>
      <c r="OXB1" s="154" t="str">
        <f t="shared" si="168"/>
        <v>y</v>
      </c>
      <c r="OXC1" s="154" t="str">
        <f t="shared" si="168"/>
        <v>y</v>
      </c>
      <c r="OXD1" s="154" t="str">
        <f t="shared" si="168"/>
        <v>y</v>
      </c>
      <c r="OXE1" s="154" t="str">
        <f t="shared" si="168"/>
        <v>y</v>
      </c>
      <c r="OXF1" s="154" t="str">
        <f t="shared" si="168"/>
        <v>y</v>
      </c>
      <c r="OXG1" s="154" t="str">
        <f t="shared" si="168"/>
        <v>y</v>
      </c>
      <c r="OXH1" s="154" t="str">
        <f t="shared" si="168"/>
        <v>y</v>
      </c>
      <c r="OXI1" s="154" t="str">
        <f t="shared" si="168"/>
        <v>y</v>
      </c>
      <c r="OXJ1" s="154" t="str">
        <f t="shared" si="168"/>
        <v>y</v>
      </c>
      <c r="OXK1" s="154" t="str">
        <f t="shared" si="168"/>
        <v>y</v>
      </c>
      <c r="OXL1" s="154" t="str">
        <f t="shared" si="168"/>
        <v>y</v>
      </c>
      <c r="OXM1" s="154" t="str">
        <f t="shared" si="168"/>
        <v>y</v>
      </c>
      <c r="OXN1" s="154" t="str">
        <f t="shared" si="168"/>
        <v>y</v>
      </c>
      <c r="OXO1" s="154" t="str">
        <f t="shared" si="168"/>
        <v>y</v>
      </c>
      <c r="OXP1" s="154" t="str">
        <f t="shared" si="168"/>
        <v>y</v>
      </c>
      <c r="OXQ1" s="154" t="str">
        <f t="shared" si="168"/>
        <v>y</v>
      </c>
      <c r="OXR1" s="154" t="str">
        <f t="shared" si="168"/>
        <v>y</v>
      </c>
      <c r="OXS1" s="154" t="str">
        <f t="shared" si="168"/>
        <v>y</v>
      </c>
      <c r="OXT1" s="154" t="str">
        <f t="shared" si="168"/>
        <v>y</v>
      </c>
      <c r="OXU1" s="154" t="str">
        <f t="shared" si="168"/>
        <v>y</v>
      </c>
      <c r="OXV1" s="154" t="str">
        <f t="shared" si="168"/>
        <v>y</v>
      </c>
      <c r="OXW1" s="154" t="str">
        <f t="shared" si="168"/>
        <v>y</v>
      </c>
      <c r="OXX1" s="154" t="str">
        <f t="shared" si="168"/>
        <v>y</v>
      </c>
      <c r="OXY1" s="154" t="str">
        <f t="shared" si="168"/>
        <v>y</v>
      </c>
      <c r="OXZ1" s="154" t="str">
        <f t="shared" si="168"/>
        <v>y</v>
      </c>
      <c r="OYA1" s="154" t="str">
        <f t="shared" si="168"/>
        <v>y</v>
      </c>
      <c r="OYB1" s="154" t="str">
        <f t="shared" si="168"/>
        <v>y</v>
      </c>
      <c r="OYC1" s="154" t="str">
        <f t="shared" si="168"/>
        <v>y</v>
      </c>
      <c r="OYD1" s="154" t="str">
        <f t="shared" si="168"/>
        <v>y</v>
      </c>
      <c r="OYE1" s="154" t="str">
        <f t="shared" si="168"/>
        <v>y</v>
      </c>
      <c r="OYF1" s="154" t="str">
        <f t="shared" si="168"/>
        <v>y</v>
      </c>
      <c r="OYG1" s="154" t="str">
        <f t="shared" si="168"/>
        <v>y</v>
      </c>
      <c r="OYH1" s="154" t="str">
        <f t="shared" si="168"/>
        <v>y</v>
      </c>
      <c r="OYI1" s="154" t="str">
        <f t="shared" si="168"/>
        <v>y</v>
      </c>
      <c r="OYJ1" s="154" t="str">
        <f t="shared" si="168"/>
        <v>y</v>
      </c>
      <c r="OYK1" s="154" t="str">
        <f t="shared" si="168"/>
        <v>y</v>
      </c>
      <c r="OYL1" s="154" t="str">
        <f t="shared" si="168"/>
        <v>y</v>
      </c>
      <c r="OYM1" s="154" t="str">
        <f t="shared" si="168"/>
        <v>y</v>
      </c>
      <c r="OYN1" s="154" t="str">
        <f t="shared" si="168"/>
        <v>y</v>
      </c>
      <c r="OYO1" s="154" t="str">
        <f t="shared" si="168"/>
        <v>y</v>
      </c>
      <c r="OYP1" s="154" t="str">
        <f t="shared" si="168"/>
        <v>y</v>
      </c>
      <c r="OYQ1" s="154" t="str">
        <f t="shared" si="168"/>
        <v>y</v>
      </c>
      <c r="OYR1" s="154" t="str">
        <f t="shared" si="168"/>
        <v>y</v>
      </c>
      <c r="OYS1" s="154" t="str">
        <f t="shared" si="168"/>
        <v>y</v>
      </c>
      <c r="OYT1" s="154" t="str">
        <f t="shared" si="168"/>
        <v>y</v>
      </c>
      <c r="OYU1" s="154" t="str">
        <f t="shared" si="168"/>
        <v>y</v>
      </c>
      <c r="OYV1" s="154" t="str">
        <f t="shared" si="168"/>
        <v>y</v>
      </c>
      <c r="OYW1" s="154" t="str">
        <f t="shared" si="168"/>
        <v>y</v>
      </c>
      <c r="OYX1" s="154" t="str">
        <f t="shared" si="168"/>
        <v>y</v>
      </c>
      <c r="OYY1" s="154" t="str">
        <f t="shared" si="168"/>
        <v>y</v>
      </c>
      <c r="OYZ1" s="154" t="str">
        <f t="shared" si="168"/>
        <v>y</v>
      </c>
      <c r="OZA1" s="154" t="str">
        <f t="shared" si="168"/>
        <v>y</v>
      </c>
      <c r="OZB1" s="154" t="str">
        <f t="shared" si="168"/>
        <v>y</v>
      </c>
      <c r="OZC1" s="154" t="str">
        <f t="shared" si="168"/>
        <v>y</v>
      </c>
      <c r="OZD1" s="154" t="str">
        <f t="shared" ref="OZD1:PBO1" si="169">OZD2&amp;"y"</f>
        <v>y</v>
      </c>
      <c r="OZE1" s="154" t="str">
        <f t="shared" si="169"/>
        <v>y</v>
      </c>
      <c r="OZF1" s="154" t="str">
        <f t="shared" si="169"/>
        <v>y</v>
      </c>
      <c r="OZG1" s="154" t="str">
        <f t="shared" si="169"/>
        <v>y</v>
      </c>
      <c r="OZH1" s="154" t="str">
        <f t="shared" si="169"/>
        <v>y</v>
      </c>
      <c r="OZI1" s="154" t="str">
        <f t="shared" si="169"/>
        <v>y</v>
      </c>
      <c r="OZJ1" s="154" t="str">
        <f t="shared" si="169"/>
        <v>y</v>
      </c>
      <c r="OZK1" s="154" t="str">
        <f t="shared" si="169"/>
        <v>y</v>
      </c>
      <c r="OZL1" s="154" t="str">
        <f t="shared" si="169"/>
        <v>y</v>
      </c>
      <c r="OZM1" s="154" t="str">
        <f t="shared" si="169"/>
        <v>y</v>
      </c>
      <c r="OZN1" s="154" t="str">
        <f t="shared" si="169"/>
        <v>y</v>
      </c>
      <c r="OZO1" s="154" t="str">
        <f t="shared" si="169"/>
        <v>y</v>
      </c>
      <c r="OZP1" s="154" t="str">
        <f t="shared" si="169"/>
        <v>y</v>
      </c>
      <c r="OZQ1" s="154" t="str">
        <f t="shared" si="169"/>
        <v>y</v>
      </c>
      <c r="OZR1" s="154" t="str">
        <f t="shared" si="169"/>
        <v>y</v>
      </c>
      <c r="OZS1" s="154" t="str">
        <f t="shared" si="169"/>
        <v>y</v>
      </c>
      <c r="OZT1" s="154" t="str">
        <f t="shared" si="169"/>
        <v>y</v>
      </c>
      <c r="OZU1" s="154" t="str">
        <f t="shared" si="169"/>
        <v>y</v>
      </c>
      <c r="OZV1" s="154" t="str">
        <f t="shared" si="169"/>
        <v>y</v>
      </c>
      <c r="OZW1" s="154" t="str">
        <f t="shared" si="169"/>
        <v>y</v>
      </c>
      <c r="OZX1" s="154" t="str">
        <f t="shared" si="169"/>
        <v>y</v>
      </c>
      <c r="OZY1" s="154" t="str">
        <f t="shared" si="169"/>
        <v>y</v>
      </c>
      <c r="OZZ1" s="154" t="str">
        <f t="shared" si="169"/>
        <v>y</v>
      </c>
      <c r="PAA1" s="154" t="str">
        <f t="shared" si="169"/>
        <v>y</v>
      </c>
      <c r="PAB1" s="154" t="str">
        <f t="shared" si="169"/>
        <v>y</v>
      </c>
      <c r="PAC1" s="154" t="str">
        <f t="shared" si="169"/>
        <v>y</v>
      </c>
      <c r="PAD1" s="154" t="str">
        <f t="shared" si="169"/>
        <v>y</v>
      </c>
      <c r="PAE1" s="154" t="str">
        <f t="shared" si="169"/>
        <v>y</v>
      </c>
      <c r="PAF1" s="154" t="str">
        <f t="shared" si="169"/>
        <v>y</v>
      </c>
      <c r="PAG1" s="154" t="str">
        <f t="shared" si="169"/>
        <v>y</v>
      </c>
      <c r="PAH1" s="154" t="str">
        <f t="shared" si="169"/>
        <v>y</v>
      </c>
      <c r="PAI1" s="154" t="str">
        <f t="shared" si="169"/>
        <v>y</v>
      </c>
      <c r="PAJ1" s="154" t="str">
        <f t="shared" si="169"/>
        <v>y</v>
      </c>
      <c r="PAK1" s="154" t="str">
        <f t="shared" si="169"/>
        <v>y</v>
      </c>
      <c r="PAL1" s="154" t="str">
        <f t="shared" si="169"/>
        <v>y</v>
      </c>
      <c r="PAM1" s="154" t="str">
        <f t="shared" si="169"/>
        <v>y</v>
      </c>
      <c r="PAN1" s="154" t="str">
        <f t="shared" si="169"/>
        <v>y</v>
      </c>
      <c r="PAO1" s="154" t="str">
        <f t="shared" si="169"/>
        <v>y</v>
      </c>
      <c r="PAP1" s="154" t="str">
        <f t="shared" si="169"/>
        <v>y</v>
      </c>
      <c r="PAQ1" s="154" t="str">
        <f t="shared" si="169"/>
        <v>y</v>
      </c>
      <c r="PAR1" s="154" t="str">
        <f t="shared" si="169"/>
        <v>y</v>
      </c>
      <c r="PAS1" s="154" t="str">
        <f t="shared" si="169"/>
        <v>y</v>
      </c>
      <c r="PAT1" s="154" t="str">
        <f t="shared" si="169"/>
        <v>y</v>
      </c>
      <c r="PAU1" s="154" t="str">
        <f t="shared" si="169"/>
        <v>y</v>
      </c>
      <c r="PAV1" s="154" t="str">
        <f t="shared" si="169"/>
        <v>y</v>
      </c>
      <c r="PAW1" s="154" t="str">
        <f t="shared" si="169"/>
        <v>y</v>
      </c>
      <c r="PAX1" s="154" t="str">
        <f t="shared" si="169"/>
        <v>y</v>
      </c>
      <c r="PAY1" s="154" t="str">
        <f t="shared" si="169"/>
        <v>y</v>
      </c>
      <c r="PAZ1" s="154" t="str">
        <f t="shared" si="169"/>
        <v>y</v>
      </c>
      <c r="PBA1" s="154" t="str">
        <f t="shared" si="169"/>
        <v>y</v>
      </c>
      <c r="PBB1" s="154" t="str">
        <f t="shared" si="169"/>
        <v>y</v>
      </c>
      <c r="PBC1" s="154" t="str">
        <f t="shared" si="169"/>
        <v>y</v>
      </c>
      <c r="PBD1" s="154" t="str">
        <f t="shared" si="169"/>
        <v>y</v>
      </c>
      <c r="PBE1" s="154" t="str">
        <f t="shared" si="169"/>
        <v>y</v>
      </c>
      <c r="PBF1" s="154" t="str">
        <f t="shared" si="169"/>
        <v>y</v>
      </c>
      <c r="PBG1" s="154" t="str">
        <f t="shared" si="169"/>
        <v>y</v>
      </c>
      <c r="PBH1" s="154" t="str">
        <f t="shared" si="169"/>
        <v>y</v>
      </c>
      <c r="PBI1" s="154" t="str">
        <f t="shared" si="169"/>
        <v>y</v>
      </c>
      <c r="PBJ1" s="154" t="str">
        <f t="shared" si="169"/>
        <v>y</v>
      </c>
      <c r="PBK1" s="154" t="str">
        <f t="shared" si="169"/>
        <v>y</v>
      </c>
      <c r="PBL1" s="154" t="str">
        <f t="shared" si="169"/>
        <v>y</v>
      </c>
      <c r="PBM1" s="154" t="str">
        <f t="shared" si="169"/>
        <v>y</v>
      </c>
      <c r="PBN1" s="154" t="str">
        <f t="shared" si="169"/>
        <v>y</v>
      </c>
      <c r="PBO1" s="154" t="str">
        <f t="shared" si="169"/>
        <v>y</v>
      </c>
      <c r="PBP1" s="154" t="str">
        <f t="shared" ref="PBP1:PEA1" si="170">PBP2&amp;"y"</f>
        <v>y</v>
      </c>
      <c r="PBQ1" s="154" t="str">
        <f t="shared" si="170"/>
        <v>y</v>
      </c>
      <c r="PBR1" s="154" t="str">
        <f t="shared" si="170"/>
        <v>y</v>
      </c>
      <c r="PBS1" s="154" t="str">
        <f t="shared" si="170"/>
        <v>y</v>
      </c>
      <c r="PBT1" s="154" t="str">
        <f t="shared" si="170"/>
        <v>y</v>
      </c>
      <c r="PBU1" s="154" t="str">
        <f t="shared" si="170"/>
        <v>y</v>
      </c>
      <c r="PBV1" s="154" t="str">
        <f t="shared" si="170"/>
        <v>y</v>
      </c>
      <c r="PBW1" s="154" t="str">
        <f t="shared" si="170"/>
        <v>y</v>
      </c>
      <c r="PBX1" s="154" t="str">
        <f t="shared" si="170"/>
        <v>y</v>
      </c>
      <c r="PBY1" s="154" t="str">
        <f t="shared" si="170"/>
        <v>y</v>
      </c>
      <c r="PBZ1" s="154" t="str">
        <f t="shared" si="170"/>
        <v>y</v>
      </c>
      <c r="PCA1" s="154" t="str">
        <f t="shared" si="170"/>
        <v>y</v>
      </c>
      <c r="PCB1" s="154" t="str">
        <f t="shared" si="170"/>
        <v>y</v>
      </c>
      <c r="PCC1" s="154" t="str">
        <f t="shared" si="170"/>
        <v>y</v>
      </c>
      <c r="PCD1" s="154" t="str">
        <f t="shared" si="170"/>
        <v>y</v>
      </c>
      <c r="PCE1" s="154" t="str">
        <f t="shared" si="170"/>
        <v>y</v>
      </c>
      <c r="PCF1" s="154" t="str">
        <f t="shared" si="170"/>
        <v>y</v>
      </c>
      <c r="PCG1" s="154" t="str">
        <f t="shared" si="170"/>
        <v>y</v>
      </c>
      <c r="PCH1" s="154" t="str">
        <f t="shared" si="170"/>
        <v>y</v>
      </c>
      <c r="PCI1" s="154" t="str">
        <f t="shared" si="170"/>
        <v>y</v>
      </c>
      <c r="PCJ1" s="154" t="str">
        <f t="shared" si="170"/>
        <v>y</v>
      </c>
      <c r="PCK1" s="154" t="str">
        <f t="shared" si="170"/>
        <v>y</v>
      </c>
      <c r="PCL1" s="154" t="str">
        <f t="shared" si="170"/>
        <v>y</v>
      </c>
      <c r="PCM1" s="154" t="str">
        <f t="shared" si="170"/>
        <v>y</v>
      </c>
      <c r="PCN1" s="154" t="str">
        <f t="shared" si="170"/>
        <v>y</v>
      </c>
      <c r="PCO1" s="154" t="str">
        <f t="shared" si="170"/>
        <v>y</v>
      </c>
      <c r="PCP1" s="154" t="str">
        <f t="shared" si="170"/>
        <v>y</v>
      </c>
      <c r="PCQ1" s="154" t="str">
        <f t="shared" si="170"/>
        <v>y</v>
      </c>
      <c r="PCR1" s="154" t="str">
        <f t="shared" si="170"/>
        <v>y</v>
      </c>
      <c r="PCS1" s="154" t="str">
        <f t="shared" si="170"/>
        <v>y</v>
      </c>
      <c r="PCT1" s="154" t="str">
        <f t="shared" si="170"/>
        <v>y</v>
      </c>
      <c r="PCU1" s="154" t="str">
        <f t="shared" si="170"/>
        <v>y</v>
      </c>
      <c r="PCV1" s="154" t="str">
        <f t="shared" si="170"/>
        <v>y</v>
      </c>
      <c r="PCW1" s="154" t="str">
        <f t="shared" si="170"/>
        <v>y</v>
      </c>
      <c r="PCX1" s="154" t="str">
        <f t="shared" si="170"/>
        <v>y</v>
      </c>
      <c r="PCY1" s="154" t="str">
        <f t="shared" si="170"/>
        <v>y</v>
      </c>
      <c r="PCZ1" s="154" t="str">
        <f t="shared" si="170"/>
        <v>y</v>
      </c>
      <c r="PDA1" s="154" t="str">
        <f t="shared" si="170"/>
        <v>y</v>
      </c>
      <c r="PDB1" s="154" t="str">
        <f t="shared" si="170"/>
        <v>y</v>
      </c>
      <c r="PDC1" s="154" t="str">
        <f t="shared" si="170"/>
        <v>y</v>
      </c>
      <c r="PDD1" s="154" t="str">
        <f t="shared" si="170"/>
        <v>y</v>
      </c>
      <c r="PDE1" s="154" t="str">
        <f t="shared" si="170"/>
        <v>y</v>
      </c>
      <c r="PDF1" s="154" t="str">
        <f t="shared" si="170"/>
        <v>y</v>
      </c>
      <c r="PDG1" s="154" t="str">
        <f t="shared" si="170"/>
        <v>y</v>
      </c>
      <c r="PDH1" s="154" t="str">
        <f t="shared" si="170"/>
        <v>y</v>
      </c>
      <c r="PDI1" s="154" t="str">
        <f t="shared" si="170"/>
        <v>y</v>
      </c>
      <c r="PDJ1" s="154" t="str">
        <f t="shared" si="170"/>
        <v>y</v>
      </c>
      <c r="PDK1" s="154" t="str">
        <f t="shared" si="170"/>
        <v>y</v>
      </c>
      <c r="PDL1" s="154" t="str">
        <f t="shared" si="170"/>
        <v>y</v>
      </c>
      <c r="PDM1" s="154" t="str">
        <f t="shared" si="170"/>
        <v>y</v>
      </c>
      <c r="PDN1" s="154" t="str">
        <f t="shared" si="170"/>
        <v>y</v>
      </c>
      <c r="PDO1" s="154" t="str">
        <f t="shared" si="170"/>
        <v>y</v>
      </c>
      <c r="PDP1" s="154" t="str">
        <f t="shared" si="170"/>
        <v>y</v>
      </c>
      <c r="PDQ1" s="154" t="str">
        <f t="shared" si="170"/>
        <v>y</v>
      </c>
      <c r="PDR1" s="154" t="str">
        <f t="shared" si="170"/>
        <v>y</v>
      </c>
      <c r="PDS1" s="154" t="str">
        <f t="shared" si="170"/>
        <v>y</v>
      </c>
      <c r="PDT1" s="154" t="str">
        <f t="shared" si="170"/>
        <v>y</v>
      </c>
      <c r="PDU1" s="154" t="str">
        <f t="shared" si="170"/>
        <v>y</v>
      </c>
      <c r="PDV1" s="154" t="str">
        <f t="shared" si="170"/>
        <v>y</v>
      </c>
      <c r="PDW1" s="154" t="str">
        <f t="shared" si="170"/>
        <v>y</v>
      </c>
      <c r="PDX1" s="154" t="str">
        <f t="shared" si="170"/>
        <v>y</v>
      </c>
      <c r="PDY1" s="154" t="str">
        <f t="shared" si="170"/>
        <v>y</v>
      </c>
      <c r="PDZ1" s="154" t="str">
        <f t="shared" si="170"/>
        <v>y</v>
      </c>
      <c r="PEA1" s="154" t="str">
        <f t="shared" si="170"/>
        <v>y</v>
      </c>
      <c r="PEB1" s="154" t="str">
        <f t="shared" ref="PEB1:PGM1" si="171">PEB2&amp;"y"</f>
        <v>y</v>
      </c>
      <c r="PEC1" s="154" t="str">
        <f t="shared" si="171"/>
        <v>y</v>
      </c>
      <c r="PED1" s="154" t="str">
        <f t="shared" si="171"/>
        <v>y</v>
      </c>
      <c r="PEE1" s="154" t="str">
        <f t="shared" si="171"/>
        <v>y</v>
      </c>
      <c r="PEF1" s="154" t="str">
        <f t="shared" si="171"/>
        <v>y</v>
      </c>
      <c r="PEG1" s="154" t="str">
        <f t="shared" si="171"/>
        <v>y</v>
      </c>
      <c r="PEH1" s="154" t="str">
        <f t="shared" si="171"/>
        <v>y</v>
      </c>
      <c r="PEI1" s="154" t="str">
        <f t="shared" si="171"/>
        <v>y</v>
      </c>
      <c r="PEJ1" s="154" t="str">
        <f t="shared" si="171"/>
        <v>y</v>
      </c>
      <c r="PEK1" s="154" t="str">
        <f t="shared" si="171"/>
        <v>y</v>
      </c>
      <c r="PEL1" s="154" t="str">
        <f t="shared" si="171"/>
        <v>y</v>
      </c>
      <c r="PEM1" s="154" t="str">
        <f t="shared" si="171"/>
        <v>y</v>
      </c>
      <c r="PEN1" s="154" t="str">
        <f t="shared" si="171"/>
        <v>y</v>
      </c>
      <c r="PEO1" s="154" t="str">
        <f t="shared" si="171"/>
        <v>y</v>
      </c>
      <c r="PEP1" s="154" t="str">
        <f t="shared" si="171"/>
        <v>y</v>
      </c>
      <c r="PEQ1" s="154" t="str">
        <f t="shared" si="171"/>
        <v>y</v>
      </c>
      <c r="PER1" s="154" t="str">
        <f t="shared" si="171"/>
        <v>y</v>
      </c>
      <c r="PES1" s="154" t="str">
        <f t="shared" si="171"/>
        <v>y</v>
      </c>
      <c r="PET1" s="154" t="str">
        <f t="shared" si="171"/>
        <v>y</v>
      </c>
      <c r="PEU1" s="154" t="str">
        <f t="shared" si="171"/>
        <v>y</v>
      </c>
      <c r="PEV1" s="154" t="str">
        <f t="shared" si="171"/>
        <v>y</v>
      </c>
      <c r="PEW1" s="154" t="str">
        <f t="shared" si="171"/>
        <v>y</v>
      </c>
      <c r="PEX1" s="154" t="str">
        <f t="shared" si="171"/>
        <v>y</v>
      </c>
      <c r="PEY1" s="154" t="str">
        <f t="shared" si="171"/>
        <v>y</v>
      </c>
      <c r="PEZ1" s="154" t="str">
        <f t="shared" si="171"/>
        <v>y</v>
      </c>
      <c r="PFA1" s="154" t="str">
        <f t="shared" si="171"/>
        <v>y</v>
      </c>
      <c r="PFB1" s="154" t="str">
        <f t="shared" si="171"/>
        <v>y</v>
      </c>
      <c r="PFC1" s="154" t="str">
        <f t="shared" si="171"/>
        <v>y</v>
      </c>
      <c r="PFD1" s="154" t="str">
        <f t="shared" si="171"/>
        <v>y</v>
      </c>
      <c r="PFE1" s="154" t="str">
        <f t="shared" si="171"/>
        <v>y</v>
      </c>
      <c r="PFF1" s="154" t="str">
        <f t="shared" si="171"/>
        <v>y</v>
      </c>
      <c r="PFG1" s="154" t="str">
        <f t="shared" si="171"/>
        <v>y</v>
      </c>
      <c r="PFH1" s="154" t="str">
        <f t="shared" si="171"/>
        <v>y</v>
      </c>
      <c r="PFI1" s="154" t="str">
        <f t="shared" si="171"/>
        <v>y</v>
      </c>
      <c r="PFJ1" s="154" t="str">
        <f t="shared" si="171"/>
        <v>y</v>
      </c>
      <c r="PFK1" s="154" t="str">
        <f t="shared" si="171"/>
        <v>y</v>
      </c>
      <c r="PFL1" s="154" t="str">
        <f t="shared" si="171"/>
        <v>y</v>
      </c>
      <c r="PFM1" s="154" t="str">
        <f t="shared" si="171"/>
        <v>y</v>
      </c>
      <c r="PFN1" s="154" t="str">
        <f t="shared" si="171"/>
        <v>y</v>
      </c>
      <c r="PFO1" s="154" t="str">
        <f t="shared" si="171"/>
        <v>y</v>
      </c>
      <c r="PFP1" s="154" t="str">
        <f t="shared" si="171"/>
        <v>y</v>
      </c>
      <c r="PFQ1" s="154" t="str">
        <f t="shared" si="171"/>
        <v>y</v>
      </c>
      <c r="PFR1" s="154" t="str">
        <f t="shared" si="171"/>
        <v>y</v>
      </c>
      <c r="PFS1" s="154" t="str">
        <f t="shared" si="171"/>
        <v>y</v>
      </c>
      <c r="PFT1" s="154" t="str">
        <f t="shared" si="171"/>
        <v>y</v>
      </c>
      <c r="PFU1" s="154" t="str">
        <f t="shared" si="171"/>
        <v>y</v>
      </c>
      <c r="PFV1" s="154" t="str">
        <f t="shared" si="171"/>
        <v>y</v>
      </c>
      <c r="PFW1" s="154" t="str">
        <f t="shared" si="171"/>
        <v>y</v>
      </c>
      <c r="PFX1" s="154" t="str">
        <f t="shared" si="171"/>
        <v>y</v>
      </c>
      <c r="PFY1" s="154" t="str">
        <f t="shared" si="171"/>
        <v>y</v>
      </c>
      <c r="PFZ1" s="154" t="str">
        <f t="shared" si="171"/>
        <v>y</v>
      </c>
      <c r="PGA1" s="154" t="str">
        <f t="shared" si="171"/>
        <v>y</v>
      </c>
      <c r="PGB1" s="154" t="str">
        <f t="shared" si="171"/>
        <v>y</v>
      </c>
      <c r="PGC1" s="154" t="str">
        <f t="shared" si="171"/>
        <v>y</v>
      </c>
      <c r="PGD1" s="154" t="str">
        <f t="shared" si="171"/>
        <v>y</v>
      </c>
      <c r="PGE1" s="154" t="str">
        <f t="shared" si="171"/>
        <v>y</v>
      </c>
      <c r="PGF1" s="154" t="str">
        <f t="shared" si="171"/>
        <v>y</v>
      </c>
      <c r="PGG1" s="154" t="str">
        <f t="shared" si="171"/>
        <v>y</v>
      </c>
      <c r="PGH1" s="154" t="str">
        <f t="shared" si="171"/>
        <v>y</v>
      </c>
      <c r="PGI1" s="154" t="str">
        <f t="shared" si="171"/>
        <v>y</v>
      </c>
      <c r="PGJ1" s="154" t="str">
        <f t="shared" si="171"/>
        <v>y</v>
      </c>
      <c r="PGK1" s="154" t="str">
        <f t="shared" si="171"/>
        <v>y</v>
      </c>
      <c r="PGL1" s="154" t="str">
        <f t="shared" si="171"/>
        <v>y</v>
      </c>
      <c r="PGM1" s="154" t="str">
        <f t="shared" si="171"/>
        <v>y</v>
      </c>
      <c r="PGN1" s="154" t="str">
        <f t="shared" ref="PGN1:PIY1" si="172">PGN2&amp;"y"</f>
        <v>y</v>
      </c>
      <c r="PGO1" s="154" t="str">
        <f t="shared" si="172"/>
        <v>y</v>
      </c>
      <c r="PGP1" s="154" t="str">
        <f t="shared" si="172"/>
        <v>y</v>
      </c>
      <c r="PGQ1" s="154" t="str">
        <f t="shared" si="172"/>
        <v>y</v>
      </c>
      <c r="PGR1" s="154" t="str">
        <f t="shared" si="172"/>
        <v>y</v>
      </c>
      <c r="PGS1" s="154" t="str">
        <f t="shared" si="172"/>
        <v>y</v>
      </c>
      <c r="PGT1" s="154" t="str">
        <f t="shared" si="172"/>
        <v>y</v>
      </c>
      <c r="PGU1" s="154" t="str">
        <f t="shared" si="172"/>
        <v>y</v>
      </c>
      <c r="PGV1" s="154" t="str">
        <f t="shared" si="172"/>
        <v>y</v>
      </c>
      <c r="PGW1" s="154" t="str">
        <f t="shared" si="172"/>
        <v>y</v>
      </c>
      <c r="PGX1" s="154" t="str">
        <f t="shared" si="172"/>
        <v>y</v>
      </c>
      <c r="PGY1" s="154" t="str">
        <f t="shared" si="172"/>
        <v>y</v>
      </c>
      <c r="PGZ1" s="154" t="str">
        <f t="shared" si="172"/>
        <v>y</v>
      </c>
      <c r="PHA1" s="154" t="str">
        <f t="shared" si="172"/>
        <v>y</v>
      </c>
      <c r="PHB1" s="154" t="str">
        <f t="shared" si="172"/>
        <v>y</v>
      </c>
      <c r="PHC1" s="154" t="str">
        <f t="shared" si="172"/>
        <v>y</v>
      </c>
      <c r="PHD1" s="154" t="str">
        <f t="shared" si="172"/>
        <v>y</v>
      </c>
      <c r="PHE1" s="154" t="str">
        <f t="shared" si="172"/>
        <v>y</v>
      </c>
      <c r="PHF1" s="154" t="str">
        <f t="shared" si="172"/>
        <v>y</v>
      </c>
      <c r="PHG1" s="154" t="str">
        <f t="shared" si="172"/>
        <v>y</v>
      </c>
      <c r="PHH1" s="154" t="str">
        <f t="shared" si="172"/>
        <v>y</v>
      </c>
      <c r="PHI1" s="154" t="str">
        <f t="shared" si="172"/>
        <v>y</v>
      </c>
      <c r="PHJ1" s="154" t="str">
        <f t="shared" si="172"/>
        <v>y</v>
      </c>
      <c r="PHK1" s="154" t="str">
        <f t="shared" si="172"/>
        <v>y</v>
      </c>
      <c r="PHL1" s="154" t="str">
        <f t="shared" si="172"/>
        <v>y</v>
      </c>
      <c r="PHM1" s="154" t="str">
        <f t="shared" si="172"/>
        <v>y</v>
      </c>
      <c r="PHN1" s="154" t="str">
        <f t="shared" si="172"/>
        <v>y</v>
      </c>
      <c r="PHO1" s="154" t="str">
        <f t="shared" si="172"/>
        <v>y</v>
      </c>
      <c r="PHP1" s="154" t="str">
        <f t="shared" si="172"/>
        <v>y</v>
      </c>
      <c r="PHQ1" s="154" t="str">
        <f t="shared" si="172"/>
        <v>y</v>
      </c>
      <c r="PHR1" s="154" t="str">
        <f t="shared" si="172"/>
        <v>y</v>
      </c>
      <c r="PHS1" s="154" t="str">
        <f t="shared" si="172"/>
        <v>y</v>
      </c>
      <c r="PHT1" s="154" t="str">
        <f t="shared" si="172"/>
        <v>y</v>
      </c>
      <c r="PHU1" s="154" t="str">
        <f t="shared" si="172"/>
        <v>y</v>
      </c>
      <c r="PHV1" s="154" t="str">
        <f t="shared" si="172"/>
        <v>y</v>
      </c>
      <c r="PHW1" s="154" t="str">
        <f t="shared" si="172"/>
        <v>y</v>
      </c>
      <c r="PHX1" s="154" t="str">
        <f t="shared" si="172"/>
        <v>y</v>
      </c>
      <c r="PHY1" s="154" t="str">
        <f t="shared" si="172"/>
        <v>y</v>
      </c>
      <c r="PHZ1" s="154" t="str">
        <f t="shared" si="172"/>
        <v>y</v>
      </c>
      <c r="PIA1" s="154" t="str">
        <f t="shared" si="172"/>
        <v>y</v>
      </c>
      <c r="PIB1" s="154" t="str">
        <f t="shared" si="172"/>
        <v>y</v>
      </c>
      <c r="PIC1" s="154" t="str">
        <f t="shared" si="172"/>
        <v>y</v>
      </c>
      <c r="PID1" s="154" t="str">
        <f t="shared" si="172"/>
        <v>y</v>
      </c>
      <c r="PIE1" s="154" t="str">
        <f t="shared" si="172"/>
        <v>y</v>
      </c>
      <c r="PIF1" s="154" t="str">
        <f t="shared" si="172"/>
        <v>y</v>
      </c>
      <c r="PIG1" s="154" t="str">
        <f t="shared" si="172"/>
        <v>y</v>
      </c>
      <c r="PIH1" s="154" t="str">
        <f t="shared" si="172"/>
        <v>y</v>
      </c>
      <c r="PII1" s="154" t="str">
        <f t="shared" si="172"/>
        <v>y</v>
      </c>
      <c r="PIJ1" s="154" t="str">
        <f t="shared" si="172"/>
        <v>y</v>
      </c>
      <c r="PIK1" s="154" t="str">
        <f t="shared" si="172"/>
        <v>y</v>
      </c>
      <c r="PIL1" s="154" t="str">
        <f t="shared" si="172"/>
        <v>y</v>
      </c>
      <c r="PIM1" s="154" t="str">
        <f t="shared" si="172"/>
        <v>y</v>
      </c>
      <c r="PIN1" s="154" t="str">
        <f t="shared" si="172"/>
        <v>y</v>
      </c>
      <c r="PIO1" s="154" t="str">
        <f t="shared" si="172"/>
        <v>y</v>
      </c>
      <c r="PIP1" s="154" t="str">
        <f t="shared" si="172"/>
        <v>y</v>
      </c>
      <c r="PIQ1" s="154" t="str">
        <f t="shared" si="172"/>
        <v>y</v>
      </c>
      <c r="PIR1" s="154" t="str">
        <f t="shared" si="172"/>
        <v>y</v>
      </c>
      <c r="PIS1" s="154" t="str">
        <f t="shared" si="172"/>
        <v>y</v>
      </c>
      <c r="PIT1" s="154" t="str">
        <f t="shared" si="172"/>
        <v>y</v>
      </c>
      <c r="PIU1" s="154" t="str">
        <f t="shared" si="172"/>
        <v>y</v>
      </c>
      <c r="PIV1" s="154" t="str">
        <f t="shared" si="172"/>
        <v>y</v>
      </c>
      <c r="PIW1" s="154" t="str">
        <f t="shared" si="172"/>
        <v>y</v>
      </c>
      <c r="PIX1" s="154" t="str">
        <f t="shared" si="172"/>
        <v>y</v>
      </c>
      <c r="PIY1" s="154" t="str">
        <f t="shared" si="172"/>
        <v>y</v>
      </c>
      <c r="PIZ1" s="154" t="str">
        <f t="shared" ref="PIZ1:PLK1" si="173">PIZ2&amp;"y"</f>
        <v>y</v>
      </c>
      <c r="PJA1" s="154" t="str">
        <f t="shared" si="173"/>
        <v>y</v>
      </c>
      <c r="PJB1" s="154" t="str">
        <f t="shared" si="173"/>
        <v>y</v>
      </c>
      <c r="PJC1" s="154" t="str">
        <f t="shared" si="173"/>
        <v>y</v>
      </c>
      <c r="PJD1" s="154" t="str">
        <f t="shared" si="173"/>
        <v>y</v>
      </c>
      <c r="PJE1" s="154" t="str">
        <f t="shared" si="173"/>
        <v>y</v>
      </c>
      <c r="PJF1" s="154" t="str">
        <f t="shared" si="173"/>
        <v>y</v>
      </c>
      <c r="PJG1" s="154" t="str">
        <f t="shared" si="173"/>
        <v>y</v>
      </c>
      <c r="PJH1" s="154" t="str">
        <f t="shared" si="173"/>
        <v>y</v>
      </c>
      <c r="PJI1" s="154" t="str">
        <f t="shared" si="173"/>
        <v>y</v>
      </c>
      <c r="PJJ1" s="154" t="str">
        <f t="shared" si="173"/>
        <v>y</v>
      </c>
      <c r="PJK1" s="154" t="str">
        <f t="shared" si="173"/>
        <v>y</v>
      </c>
      <c r="PJL1" s="154" t="str">
        <f t="shared" si="173"/>
        <v>y</v>
      </c>
      <c r="PJM1" s="154" t="str">
        <f t="shared" si="173"/>
        <v>y</v>
      </c>
      <c r="PJN1" s="154" t="str">
        <f t="shared" si="173"/>
        <v>y</v>
      </c>
      <c r="PJO1" s="154" t="str">
        <f t="shared" si="173"/>
        <v>y</v>
      </c>
      <c r="PJP1" s="154" t="str">
        <f t="shared" si="173"/>
        <v>y</v>
      </c>
      <c r="PJQ1" s="154" t="str">
        <f t="shared" si="173"/>
        <v>y</v>
      </c>
      <c r="PJR1" s="154" t="str">
        <f t="shared" si="173"/>
        <v>y</v>
      </c>
      <c r="PJS1" s="154" t="str">
        <f t="shared" si="173"/>
        <v>y</v>
      </c>
      <c r="PJT1" s="154" t="str">
        <f t="shared" si="173"/>
        <v>y</v>
      </c>
      <c r="PJU1" s="154" t="str">
        <f t="shared" si="173"/>
        <v>y</v>
      </c>
      <c r="PJV1" s="154" t="str">
        <f t="shared" si="173"/>
        <v>y</v>
      </c>
      <c r="PJW1" s="154" t="str">
        <f t="shared" si="173"/>
        <v>y</v>
      </c>
      <c r="PJX1" s="154" t="str">
        <f t="shared" si="173"/>
        <v>y</v>
      </c>
      <c r="PJY1" s="154" t="str">
        <f t="shared" si="173"/>
        <v>y</v>
      </c>
      <c r="PJZ1" s="154" t="str">
        <f t="shared" si="173"/>
        <v>y</v>
      </c>
      <c r="PKA1" s="154" t="str">
        <f t="shared" si="173"/>
        <v>y</v>
      </c>
      <c r="PKB1" s="154" t="str">
        <f t="shared" si="173"/>
        <v>y</v>
      </c>
      <c r="PKC1" s="154" t="str">
        <f t="shared" si="173"/>
        <v>y</v>
      </c>
      <c r="PKD1" s="154" t="str">
        <f t="shared" si="173"/>
        <v>y</v>
      </c>
      <c r="PKE1" s="154" t="str">
        <f t="shared" si="173"/>
        <v>y</v>
      </c>
      <c r="PKF1" s="154" t="str">
        <f t="shared" si="173"/>
        <v>y</v>
      </c>
      <c r="PKG1" s="154" t="str">
        <f t="shared" si="173"/>
        <v>y</v>
      </c>
      <c r="PKH1" s="154" t="str">
        <f t="shared" si="173"/>
        <v>y</v>
      </c>
      <c r="PKI1" s="154" t="str">
        <f t="shared" si="173"/>
        <v>y</v>
      </c>
      <c r="PKJ1" s="154" t="str">
        <f t="shared" si="173"/>
        <v>y</v>
      </c>
      <c r="PKK1" s="154" t="str">
        <f t="shared" si="173"/>
        <v>y</v>
      </c>
      <c r="PKL1" s="154" t="str">
        <f t="shared" si="173"/>
        <v>y</v>
      </c>
      <c r="PKM1" s="154" t="str">
        <f t="shared" si="173"/>
        <v>y</v>
      </c>
      <c r="PKN1" s="154" t="str">
        <f t="shared" si="173"/>
        <v>y</v>
      </c>
      <c r="PKO1" s="154" t="str">
        <f t="shared" si="173"/>
        <v>y</v>
      </c>
      <c r="PKP1" s="154" t="str">
        <f t="shared" si="173"/>
        <v>y</v>
      </c>
      <c r="PKQ1" s="154" t="str">
        <f t="shared" si="173"/>
        <v>y</v>
      </c>
      <c r="PKR1" s="154" t="str">
        <f t="shared" si="173"/>
        <v>y</v>
      </c>
      <c r="PKS1" s="154" t="str">
        <f t="shared" si="173"/>
        <v>y</v>
      </c>
      <c r="PKT1" s="154" t="str">
        <f t="shared" si="173"/>
        <v>y</v>
      </c>
      <c r="PKU1" s="154" t="str">
        <f t="shared" si="173"/>
        <v>y</v>
      </c>
      <c r="PKV1" s="154" t="str">
        <f t="shared" si="173"/>
        <v>y</v>
      </c>
      <c r="PKW1" s="154" t="str">
        <f t="shared" si="173"/>
        <v>y</v>
      </c>
      <c r="PKX1" s="154" t="str">
        <f t="shared" si="173"/>
        <v>y</v>
      </c>
      <c r="PKY1" s="154" t="str">
        <f t="shared" si="173"/>
        <v>y</v>
      </c>
      <c r="PKZ1" s="154" t="str">
        <f t="shared" si="173"/>
        <v>y</v>
      </c>
      <c r="PLA1" s="154" t="str">
        <f t="shared" si="173"/>
        <v>y</v>
      </c>
      <c r="PLB1" s="154" t="str">
        <f t="shared" si="173"/>
        <v>y</v>
      </c>
      <c r="PLC1" s="154" t="str">
        <f t="shared" si="173"/>
        <v>y</v>
      </c>
      <c r="PLD1" s="154" t="str">
        <f t="shared" si="173"/>
        <v>y</v>
      </c>
      <c r="PLE1" s="154" t="str">
        <f t="shared" si="173"/>
        <v>y</v>
      </c>
      <c r="PLF1" s="154" t="str">
        <f t="shared" si="173"/>
        <v>y</v>
      </c>
      <c r="PLG1" s="154" t="str">
        <f t="shared" si="173"/>
        <v>y</v>
      </c>
      <c r="PLH1" s="154" t="str">
        <f t="shared" si="173"/>
        <v>y</v>
      </c>
      <c r="PLI1" s="154" t="str">
        <f t="shared" si="173"/>
        <v>y</v>
      </c>
      <c r="PLJ1" s="154" t="str">
        <f t="shared" si="173"/>
        <v>y</v>
      </c>
      <c r="PLK1" s="154" t="str">
        <f t="shared" si="173"/>
        <v>y</v>
      </c>
      <c r="PLL1" s="154" t="str">
        <f t="shared" ref="PLL1:PNW1" si="174">PLL2&amp;"y"</f>
        <v>y</v>
      </c>
      <c r="PLM1" s="154" t="str">
        <f t="shared" si="174"/>
        <v>y</v>
      </c>
      <c r="PLN1" s="154" t="str">
        <f t="shared" si="174"/>
        <v>y</v>
      </c>
      <c r="PLO1" s="154" t="str">
        <f t="shared" si="174"/>
        <v>y</v>
      </c>
      <c r="PLP1" s="154" t="str">
        <f t="shared" si="174"/>
        <v>y</v>
      </c>
      <c r="PLQ1" s="154" t="str">
        <f t="shared" si="174"/>
        <v>y</v>
      </c>
      <c r="PLR1" s="154" t="str">
        <f t="shared" si="174"/>
        <v>y</v>
      </c>
      <c r="PLS1" s="154" t="str">
        <f t="shared" si="174"/>
        <v>y</v>
      </c>
      <c r="PLT1" s="154" t="str">
        <f t="shared" si="174"/>
        <v>y</v>
      </c>
      <c r="PLU1" s="154" t="str">
        <f t="shared" si="174"/>
        <v>y</v>
      </c>
      <c r="PLV1" s="154" t="str">
        <f t="shared" si="174"/>
        <v>y</v>
      </c>
      <c r="PLW1" s="154" t="str">
        <f t="shared" si="174"/>
        <v>y</v>
      </c>
      <c r="PLX1" s="154" t="str">
        <f t="shared" si="174"/>
        <v>y</v>
      </c>
      <c r="PLY1" s="154" t="str">
        <f t="shared" si="174"/>
        <v>y</v>
      </c>
      <c r="PLZ1" s="154" t="str">
        <f t="shared" si="174"/>
        <v>y</v>
      </c>
      <c r="PMA1" s="154" t="str">
        <f t="shared" si="174"/>
        <v>y</v>
      </c>
      <c r="PMB1" s="154" t="str">
        <f t="shared" si="174"/>
        <v>y</v>
      </c>
      <c r="PMC1" s="154" t="str">
        <f t="shared" si="174"/>
        <v>y</v>
      </c>
      <c r="PMD1" s="154" t="str">
        <f t="shared" si="174"/>
        <v>y</v>
      </c>
      <c r="PME1" s="154" t="str">
        <f t="shared" si="174"/>
        <v>y</v>
      </c>
      <c r="PMF1" s="154" t="str">
        <f t="shared" si="174"/>
        <v>y</v>
      </c>
      <c r="PMG1" s="154" t="str">
        <f t="shared" si="174"/>
        <v>y</v>
      </c>
      <c r="PMH1" s="154" t="str">
        <f t="shared" si="174"/>
        <v>y</v>
      </c>
      <c r="PMI1" s="154" t="str">
        <f t="shared" si="174"/>
        <v>y</v>
      </c>
      <c r="PMJ1" s="154" t="str">
        <f t="shared" si="174"/>
        <v>y</v>
      </c>
      <c r="PMK1" s="154" t="str">
        <f t="shared" si="174"/>
        <v>y</v>
      </c>
      <c r="PML1" s="154" t="str">
        <f t="shared" si="174"/>
        <v>y</v>
      </c>
      <c r="PMM1" s="154" t="str">
        <f t="shared" si="174"/>
        <v>y</v>
      </c>
      <c r="PMN1" s="154" t="str">
        <f t="shared" si="174"/>
        <v>y</v>
      </c>
      <c r="PMO1" s="154" t="str">
        <f t="shared" si="174"/>
        <v>y</v>
      </c>
      <c r="PMP1" s="154" t="str">
        <f t="shared" si="174"/>
        <v>y</v>
      </c>
      <c r="PMQ1" s="154" t="str">
        <f t="shared" si="174"/>
        <v>y</v>
      </c>
      <c r="PMR1" s="154" t="str">
        <f t="shared" si="174"/>
        <v>y</v>
      </c>
      <c r="PMS1" s="154" t="str">
        <f t="shared" si="174"/>
        <v>y</v>
      </c>
      <c r="PMT1" s="154" t="str">
        <f t="shared" si="174"/>
        <v>y</v>
      </c>
      <c r="PMU1" s="154" t="str">
        <f t="shared" si="174"/>
        <v>y</v>
      </c>
      <c r="PMV1" s="154" t="str">
        <f t="shared" si="174"/>
        <v>y</v>
      </c>
      <c r="PMW1" s="154" t="str">
        <f t="shared" si="174"/>
        <v>y</v>
      </c>
      <c r="PMX1" s="154" t="str">
        <f t="shared" si="174"/>
        <v>y</v>
      </c>
      <c r="PMY1" s="154" t="str">
        <f t="shared" si="174"/>
        <v>y</v>
      </c>
      <c r="PMZ1" s="154" t="str">
        <f t="shared" si="174"/>
        <v>y</v>
      </c>
      <c r="PNA1" s="154" t="str">
        <f t="shared" si="174"/>
        <v>y</v>
      </c>
      <c r="PNB1" s="154" t="str">
        <f t="shared" si="174"/>
        <v>y</v>
      </c>
      <c r="PNC1" s="154" t="str">
        <f t="shared" si="174"/>
        <v>y</v>
      </c>
      <c r="PND1" s="154" t="str">
        <f t="shared" si="174"/>
        <v>y</v>
      </c>
      <c r="PNE1" s="154" t="str">
        <f t="shared" si="174"/>
        <v>y</v>
      </c>
      <c r="PNF1" s="154" t="str">
        <f t="shared" si="174"/>
        <v>y</v>
      </c>
      <c r="PNG1" s="154" t="str">
        <f t="shared" si="174"/>
        <v>y</v>
      </c>
      <c r="PNH1" s="154" t="str">
        <f t="shared" si="174"/>
        <v>y</v>
      </c>
      <c r="PNI1" s="154" t="str">
        <f t="shared" si="174"/>
        <v>y</v>
      </c>
      <c r="PNJ1" s="154" t="str">
        <f t="shared" si="174"/>
        <v>y</v>
      </c>
      <c r="PNK1" s="154" t="str">
        <f t="shared" si="174"/>
        <v>y</v>
      </c>
      <c r="PNL1" s="154" t="str">
        <f t="shared" si="174"/>
        <v>y</v>
      </c>
      <c r="PNM1" s="154" t="str">
        <f t="shared" si="174"/>
        <v>y</v>
      </c>
      <c r="PNN1" s="154" t="str">
        <f t="shared" si="174"/>
        <v>y</v>
      </c>
      <c r="PNO1" s="154" t="str">
        <f t="shared" si="174"/>
        <v>y</v>
      </c>
      <c r="PNP1" s="154" t="str">
        <f t="shared" si="174"/>
        <v>y</v>
      </c>
      <c r="PNQ1" s="154" t="str">
        <f t="shared" si="174"/>
        <v>y</v>
      </c>
      <c r="PNR1" s="154" t="str">
        <f t="shared" si="174"/>
        <v>y</v>
      </c>
      <c r="PNS1" s="154" t="str">
        <f t="shared" si="174"/>
        <v>y</v>
      </c>
      <c r="PNT1" s="154" t="str">
        <f t="shared" si="174"/>
        <v>y</v>
      </c>
      <c r="PNU1" s="154" t="str">
        <f t="shared" si="174"/>
        <v>y</v>
      </c>
      <c r="PNV1" s="154" t="str">
        <f t="shared" si="174"/>
        <v>y</v>
      </c>
      <c r="PNW1" s="154" t="str">
        <f t="shared" si="174"/>
        <v>y</v>
      </c>
      <c r="PNX1" s="154" t="str">
        <f t="shared" ref="PNX1:PQI1" si="175">PNX2&amp;"y"</f>
        <v>y</v>
      </c>
      <c r="PNY1" s="154" t="str">
        <f t="shared" si="175"/>
        <v>y</v>
      </c>
      <c r="PNZ1" s="154" t="str">
        <f t="shared" si="175"/>
        <v>y</v>
      </c>
      <c r="POA1" s="154" t="str">
        <f t="shared" si="175"/>
        <v>y</v>
      </c>
      <c r="POB1" s="154" t="str">
        <f t="shared" si="175"/>
        <v>y</v>
      </c>
      <c r="POC1" s="154" t="str">
        <f t="shared" si="175"/>
        <v>y</v>
      </c>
      <c r="POD1" s="154" t="str">
        <f t="shared" si="175"/>
        <v>y</v>
      </c>
      <c r="POE1" s="154" t="str">
        <f t="shared" si="175"/>
        <v>y</v>
      </c>
      <c r="POF1" s="154" t="str">
        <f t="shared" si="175"/>
        <v>y</v>
      </c>
      <c r="POG1" s="154" t="str">
        <f t="shared" si="175"/>
        <v>y</v>
      </c>
      <c r="POH1" s="154" t="str">
        <f t="shared" si="175"/>
        <v>y</v>
      </c>
      <c r="POI1" s="154" t="str">
        <f t="shared" si="175"/>
        <v>y</v>
      </c>
      <c r="POJ1" s="154" t="str">
        <f t="shared" si="175"/>
        <v>y</v>
      </c>
      <c r="POK1" s="154" t="str">
        <f t="shared" si="175"/>
        <v>y</v>
      </c>
      <c r="POL1" s="154" t="str">
        <f t="shared" si="175"/>
        <v>y</v>
      </c>
      <c r="POM1" s="154" t="str">
        <f t="shared" si="175"/>
        <v>y</v>
      </c>
      <c r="PON1" s="154" t="str">
        <f t="shared" si="175"/>
        <v>y</v>
      </c>
      <c r="POO1" s="154" t="str">
        <f t="shared" si="175"/>
        <v>y</v>
      </c>
      <c r="POP1" s="154" t="str">
        <f t="shared" si="175"/>
        <v>y</v>
      </c>
      <c r="POQ1" s="154" t="str">
        <f t="shared" si="175"/>
        <v>y</v>
      </c>
      <c r="POR1" s="154" t="str">
        <f t="shared" si="175"/>
        <v>y</v>
      </c>
      <c r="POS1" s="154" t="str">
        <f t="shared" si="175"/>
        <v>y</v>
      </c>
      <c r="POT1" s="154" t="str">
        <f t="shared" si="175"/>
        <v>y</v>
      </c>
      <c r="POU1" s="154" t="str">
        <f t="shared" si="175"/>
        <v>y</v>
      </c>
      <c r="POV1" s="154" t="str">
        <f t="shared" si="175"/>
        <v>y</v>
      </c>
      <c r="POW1" s="154" t="str">
        <f t="shared" si="175"/>
        <v>y</v>
      </c>
      <c r="POX1" s="154" t="str">
        <f t="shared" si="175"/>
        <v>y</v>
      </c>
      <c r="POY1" s="154" t="str">
        <f t="shared" si="175"/>
        <v>y</v>
      </c>
      <c r="POZ1" s="154" t="str">
        <f t="shared" si="175"/>
        <v>y</v>
      </c>
      <c r="PPA1" s="154" t="str">
        <f t="shared" si="175"/>
        <v>y</v>
      </c>
      <c r="PPB1" s="154" t="str">
        <f t="shared" si="175"/>
        <v>y</v>
      </c>
      <c r="PPC1" s="154" t="str">
        <f t="shared" si="175"/>
        <v>y</v>
      </c>
      <c r="PPD1" s="154" t="str">
        <f t="shared" si="175"/>
        <v>y</v>
      </c>
      <c r="PPE1" s="154" t="str">
        <f t="shared" si="175"/>
        <v>y</v>
      </c>
      <c r="PPF1" s="154" t="str">
        <f t="shared" si="175"/>
        <v>y</v>
      </c>
      <c r="PPG1" s="154" t="str">
        <f t="shared" si="175"/>
        <v>y</v>
      </c>
      <c r="PPH1" s="154" t="str">
        <f t="shared" si="175"/>
        <v>y</v>
      </c>
      <c r="PPI1" s="154" t="str">
        <f t="shared" si="175"/>
        <v>y</v>
      </c>
      <c r="PPJ1" s="154" t="str">
        <f t="shared" si="175"/>
        <v>y</v>
      </c>
      <c r="PPK1" s="154" t="str">
        <f t="shared" si="175"/>
        <v>y</v>
      </c>
      <c r="PPL1" s="154" t="str">
        <f t="shared" si="175"/>
        <v>y</v>
      </c>
      <c r="PPM1" s="154" t="str">
        <f t="shared" si="175"/>
        <v>y</v>
      </c>
      <c r="PPN1" s="154" t="str">
        <f t="shared" si="175"/>
        <v>y</v>
      </c>
      <c r="PPO1" s="154" t="str">
        <f t="shared" si="175"/>
        <v>y</v>
      </c>
      <c r="PPP1" s="154" t="str">
        <f t="shared" si="175"/>
        <v>y</v>
      </c>
      <c r="PPQ1" s="154" t="str">
        <f t="shared" si="175"/>
        <v>y</v>
      </c>
      <c r="PPR1" s="154" t="str">
        <f t="shared" si="175"/>
        <v>y</v>
      </c>
      <c r="PPS1" s="154" t="str">
        <f t="shared" si="175"/>
        <v>y</v>
      </c>
      <c r="PPT1" s="154" t="str">
        <f t="shared" si="175"/>
        <v>y</v>
      </c>
      <c r="PPU1" s="154" t="str">
        <f t="shared" si="175"/>
        <v>y</v>
      </c>
      <c r="PPV1" s="154" t="str">
        <f t="shared" si="175"/>
        <v>y</v>
      </c>
      <c r="PPW1" s="154" t="str">
        <f t="shared" si="175"/>
        <v>y</v>
      </c>
      <c r="PPX1" s="154" t="str">
        <f t="shared" si="175"/>
        <v>y</v>
      </c>
      <c r="PPY1" s="154" t="str">
        <f t="shared" si="175"/>
        <v>y</v>
      </c>
      <c r="PPZ1" s="154" t="str">
        <f t="shared" si="175"/>
        <v>y</v>
      </c>
      <c r="PQA1" s="154" t="str">
        <f t="shared" si="175"/>
        <v>y</v>
      </c>
      <c r="PQB1" s="154" t="str">
        <f t="shared" si="175"/>
        <v>y</v>
      </c>
      <c r="PQC1" s="154" t="str">
        <f t="shared" si="175"/>
        <v>y</v>
      </c>
      <c r="PQD1" s="154" t="str">
        <f t="shared" si="175"/>
        <v>y</v>
      </c>
      <c r="PQE1" s="154" t="str">
        <f t="shared" si="175"/>
        <v>y</v>
      </c>
      <c r="PQF1" s="154" t="str">
        <f t="shared" si="175"/>
        <v>y</v>
      </c>
      <c r="PQG1" s="154" t="str">
        <f t="shared" si="175"/>
        <v>y</v>
      </c>
      <c r="PQH1" s="154" t="str">
        <f t="shared" si="175"/>
        <v>y</v>
      </c>
      <c r="PQI1" s="154" t="str">
        <f t="shared" si="175"/>
        <v>y</v>
      </c>
      <c r="PQJ1" s="154" t="str">
        <f t="shared" ref="PQJ1:PSU1" si="176">PQJ2&amp;"y"</f>
        <v>y</v>
      </c>
      <c r="PQK1" s="154" t="str">
        <f t="shared" si="176"/>
        <v>y</v>
      </c>
      <c r="PQL1" s="154" t="str">
        <f t="shared" si="176"/>
        <v>y</v>
      </c>
      <c r="PQM1" s="154" t="str">
        <f t="shared" si="176"/>
        <v>y</v>
      </c>
      <c r="PQN1" s="154" t="str">
        <f t="shared" si="176"/>
        <v>y</v>
      </c>
      <c r="PQO1" s="154" t="str">
        <f t="shared" si="176"/>
        <v>y</v>
      </c>
      <c r="PQP1" s="154" t="str">
        <f t="shared" si="176"/>
        <v>y</v>
      </c>
      <c r="PQQ1" s="154" t="str">
        <f t="shared" si="176"/>
        <v>y</v>
      </c>
      <c r="PQR1" s="154" t="str">
        <f t="shared" si="176"/>
        <v>y</v>
      </c>
      <c r="PQS1" s="154" t="str">
        <f t="shared" si="176"/>
        <v>y</v>
      </c>
      <c r="PQT1" s="154" t="str">
        <f t="shared" si="176"/>
        <v>y</v>
      </c>
      <c r="PQU1" s="154" t="str">
        <f t="shared" si="176"/>
        <v>y</v>
      </c>
      <c r="PQV1" s="154" t="str">
        <f t="shared" si="176"/>
        <v>y</v>
      </c>
      <c r="PQW1" s="154" t="str">
        <f t="shared" si="176"/>
        <v>y</v>
      </c>
      <c r="PQX1" s="154" t="str">
        <f t="shared" si="176"/>
        <v>y</v>
      </c>
      <c r="PQY1" s="154" t="str">
        <f t="shared" si="176"/>
        <v>y</v>
      </c>
      <c r="PQZ1" s="154" t="str">
        <f t="shared" si="176"/>
        <v>y</v>
      </c>
      <c r="PRA1" s="154" t="str">
        <f t="shared" si="176"/>
        <v>y</v>
      </c>
      <c r="PRB1" s="154" t="str">
        <f t="shared" si="176"/>
        <v>y</v>
      </c>
      <c r="PRC1" s="154" t="str">
        <f t="shared" si="176"/>
        <v>y</v>
      </c>
      <c r="PRD1" s="154" t="str">
        <f t="shared" si="176"/>
        <v>y</v>
      </c>
      <c r="PRE1" s="154" t="str">
        <f t="shared" si="176"/>
        <v>y</v>
      </c>
      <c r="PRF1" s="154" t="str">
        <f t="shared" si="176"/>
        <v>y</v>
      </c>
      <c r="PRG1" s="154" t="str">
        <f t="shared" si="176"/>
        <v>y</v>
      </c>
      <c r="PRH1" s="154" t="str">
        <f t="shared" si="176"/>
        <v>y</v>
      </c>
      <c r="PRI1" s="154" t="str">
        <f t="shared" si="176"/>
        <v>y</v>
      </c>
      <c r="PRJ1" s="154" t="str">
        <f t="shared" si="176"/>
        <v>y</v>
      </c>
      <c r="PRK1" s="154" t="str">
        <f t="shared" si="176"/>
        <v>y</v>
      </c>
      <c r="PRL1" s="154" t="str">
        <f t="shared" si="176"/>
        <v>y</v>
      </c>
      <c r="PRM1" s="154" t="str">
        <f t="shared" si="176"/>
        <v>y</v>
      </c>
      <c r="PRN1" s="154" t="str">
        <f t="shared" si="176"/>
        <v>y</v>
      </c>
      <c r="PRO1" s="154" t="str">
        <f t="shared" si="176"/>
        <v>y</v>
      </c>
      <c r="PRP1" s="154" t="str">
        <f t="shared" si="176"/>
        <v>y</v>
      </c>
      <c r="PRQ1" s="154" t="str">
        <f t="shared" si="176"/>
        <v>y</v>
      </c>
      <c r="PRR1" s="154" t="str">
        <f t="shared" si="176"/>
        <v>y</v>
      </c>
      <c r="PRS1" s="154" t="str">
        <f t="shared" si="176"/>
        <v>y</v>
      </c>
      <c r="PRT1" s="154" t="str">
        <f t="shared" si="176"/>
        <v>y</v>
      </c>
      <c r="PRU1" s="154" t="str">
        <f t="shared" si="176"/>
        <v>y</v>
      </c>
      <c r="PRV1" s="154" t="str">
        <f t="shared" si="176"/>
        <v>y</v>
      </c>
      <c r="PRW1" s="154" t="str">
        <f t="shared" si="176"/>
        <v>y</v>
      </c>
      <c r="PRX1" s="154" t="str">
        <f t="shared" si="176"/>
        <v>y</v>
      </c>
      <c r="PRY1" s="154" t="str">
        <f t="shared" si="176"/>
        <v>y</v>
      </c>
      <c r="PRZ1" s="154" t="str">
        <f t="shared" si="176"/>
        <v>y</v>
      </c>
      <c r="PSA1" s="154" t="str">
        <f t="shared" si="176"/>
        <v>y</v>
      </c>
      <c r="PSB1" s="154" t="str">
        <f t="shared" si="176"/>
        <v>y</v>
      </c>
      <c r="PSC1" s="154" t="str">
        <f t="shared" si="176"/>
        <v>y</v>
      </c>
      <c r="PSD1" s="154" t="str">
        <f t="shared" si="176"/>
        <v>y</v>
      </c>
      <c r="PSE1" s="154" t="str">
        <f t="shared" si="176"/>
        <v>y</v>
      </c>
      <c r="PSF1" s="154" t="str">
        <f t="shared" si="176"/>
        <v>y</v>
      </c>
      <c r="PSG1" s="154" t="str">
        <f t="shared" si="176"/>
        <v>y</v>
      </c>
      <c r="PSH1" s="154" t="str">
        <f t="shared" si="176"/>
        <v>y</v>
      </c>
      <c r="PSI1" s="154" t="str">
        <f t="shared" si="176"/>
        <v>y</v>
      </c>
      <c r="PSJ1" s="154" t="str">
        <f t="shared" si="176"/>
        <v>y</v>
      </c>
      <c r="PSK1" s="154" t="str">
        <f t="shared" si="176"/>
        <v>y</v>
      </c>
      <c r="PSL1" s="154" t="str">
        <f t="shared" si="176"/>
        <v>y</v>
      </c>
      <c r="PSM1" s="154" t="str">
        <f t="shared" si="176"/>
        <v>y</v>
      </c>
      <c r="PSN1" s="154" t="str">
        <f t="shared" si="176"/>
        <v>y</v>
      </c>
      <c r="PSO1" s="154" t="str">
        <f t="shared" si="176"/>
        <v>y</v>
      </c>
      <c r="PSP1" s="154" t="str">
        <f t="shared" si="176"/>
        <v>y</v>
      </c>
      <c r="PSQ1" s="154" t="str">
        <f t="shared" si="176"/>
        <v>y</v>
      </c>
      <c r="PSR1" s="154" t="str">
        <f t="shared" si="176"/>
        <v>y</v>
      </c>
      <c r="PSS1" s="154" t="str">
        <f t="shared" si="176"/>
        <v>y</v>
      </c>
      <c r="PST1" s="154" t="str">
        <f t="shared" si="176"/>
        <v>y</v>
      </c>
      <c r="PSU1" s="154" t="str">
        <f t="shared" si="176"/>
        <v>y</v>
      </c>
      <c r="PSV1" s="154" t="str">
        <f t="shared" ref="PSV1:PVG1" si="177">PSV2&amp;"y"</f>
        <v>y</v>
      </c>
      <c r="PSW1" s="154" t="str">
        <f t="shared" si="177"/>
        <v>y</v>
      </c>
      <c r="PSX1" s="154" t="str">
        <f t="shared" si="177"/>
        <v>y</v>
      </c>
      <c r="PSY1" s="154" t="str">
        <f t="shared" si="177"/>
        <v>y</v>
      </c>
      <c r="PSZ1" s="154" t="str">
        <f t="shared" si="177"/>
        <v>y</v>
      </c>
      <c r="PTA1" s="154" t="str">
        <f t="shared" si="177"/>
        <v>y</v>
      </c>
      <c r="PTB1" s="154" t="str">
        <f t="shared" si="177"/>
        <v>y</v>
      </c>
      <c r="PTC1" s="154" t="str">
        <f t="shared" si="177"/>
        <v>y</v>
      </c>
      <c r="PTD1" s="154" t="str">
        <f t="shared" si="177"/>
        <v>y</v>
      </c>
      <c r="PTE1" s="154" t="str">
        <f t="shared" si="177"/>
        <v>y</v>
      </c>
      <c r="PTF1" s="154" t="str">
        <f t="shared" si="177"/>
        <v>y</v>
      </c>
      <c r="PTG1" s="154" t="str">
        <f t="shared" si="177"/>
        <v>y</v>
      </c>
      <c r="PTH1" s="154" t="str">
        <f t="shared" si="177"/>
        <v>y</v>
      </c>
      <c r="PTI1" s="154" t="str">
        <f t="shared" si="177"/>
        <v>y</v>
      </c>
      <c r="PTJ1" s="154" t="str">
        <f t="shared" si="177"/>
        <v>y</v>
      </c>
      <c r="PTK1" s="154" t="str">
        <f t="shared" si="177"/>
        <v>y</v>
      </c>
      <c r="PTL1" s="154" t="str">
        <f t="shared" si="177"/>
        <v>y</v>
      </c>
      <c r="PTM1" s="154" t="str">
        <f t="shared" si="177"/>
        <v>y</v>
      </c>
      <c r="PTN1" s="154" t="str">
        <f t="shared" si="177"/>
        <v>y</v>
      </c>
      <c r="PTO1" s="154" t="str">
        <f t="shared" si="177"/>
        <v>y</v>
      </c>
      <c r="PTP1" s="154" t="str">
        <f t="shared" si="177"/>
        <v>y</v>
      </c>
      <c r="PTQ1" s="154" t="str">
        <f t="shared" si="177"/>
        <v>y</v>
      </c>
      <c r="PTR1" s="154" t="str">
        <f t="shared" si="177"/>
        <v>y</v>
      </c>
      <c r="PTS1" s="154" t="str">
        <f t="shared" si="177"/>
        <v>y</v>
      </c>
      <c r="PTT1" s="154" t="str">
        <f t="shared" si="177"/>
        <v>y</v>
      </c>
      <c r="PTU1" s="154" t="str">
        <f t="shared" si="177"/>
        <v>y</v>
      </c>
      <c r="PTV1" s="154" t="str">
        <f t="shared" si="177"/>
        <v>y</v>
      </c>
      <c r="PTW1" s="154" t="str">
        <f t="shared" si="177"/>
        <v>y</v>
      </c>
      <c r="PTX1" s="154" t="str">
        <f t="shared" si="177"/>
        <v>y</v>
      </c>
      <c r="PTY1" s="154" t="str">
        <f t="shared" si="177"/>
        <v>y</v>
      </c>
      <c r="PTZ1" s="154" t="str">
        <f t="shared" si="177"/>
        <v>y</v>
      </c>
      <c r="PUA1" s="154" t="str">
        <f t="shared" si="177"/>
        <v>y</v>
      </c>
      <c r="PUB1" s="154" t="str">
        <f t="shared" si="177"/>
        <v>y</v>
      </c>
      <c r="PUC1" s="154" t="str">
        <f t="shared" si="177"/>
        <v>y</v>
      </c>
      <c r="PUD1" s="154" t="str">
        <f t="shared" si="177"/>
        <v>y</v>
      </c>
      <c r="PUE1" s="154" t="str">
        <f t="shared" si="177"/>
        <v>y</v>
      </c>
      <c r="PUF1" s="154" t="str">
        <f t="shared" si="177"/>
        <v>y</v>
      </c>
      <c r="PUG1" s="154" t="str">
        <f t="shared" si="177"/>
        <v>y</v>
      </c>
      <c r="PUH1" s="154" t="str">
        <f t="shared" si="177"/>
        <v>y</v>
      </c>
      <c r="PUI1" s="154" t="str">
        <f t="shared" si="177"/>
        <v>y</v>
      </c>
      <c r="PUJ1" s="154" t="str">
        <f t="shared" si="177"/>
        <v>y</v>
      </c>
      <c r="PUK1" s="154" t="str">
        <f t="shared" si="177"/>
        <v>y</v>
      </c>
      <c r="PUL1" s="154" t="str">
        <f t="shared" si="177"/>
        <v>y</v>
      </c>
      <c r="PUM1" s="154" t="str">
        <f t="shared" si="177"/>
        <v>y</v>
      </c>
      <c r="PUN1" s="154" t="str">
        <f t="shared" si="177"/>
        <v>y</v>
      </c>
      <c r="PUO1" s="154" t="str">
        <f t="shared" si="177"/>
        <v>y</v>
      </c>
      <c r="PUP1" s="154" t="str">
        <f t="shared" si="177"/>
        <v>y</v>
      </c>
      <c r="PUQ1" s="154" t="str">
        <f t="shared" si="177"/>
        <v>y</v>
      </c>
      <c r="PUR1" s="154" t="str">
        <f t="shared" si="177"/>
        <v>y</v>
      </c>
      <c r="PUS1" s="154" t="str">
        <f t="shared" si="177"/>
        <v>y</v>
      </c>
      <c r="PUT1" s="154" t="str">
        <f t="shared" si="177"/>
        <v>y</v>
      </c>
      <c r="PUU1" s="154" t="str">
        <f t="shared" si="177"/>
        <v>y</v>
      </c>
      <c r="PUV1" s="154" t="str">
        <f t="shared" si="177"/>
        <v>y</v>
      </c>
      <c r="PUW1" s="154" t="str">
        <f t="shared" si="177"/>
        <v>y</v>
      </c>
      <c r="PUX1" s="154" t="str">
        <f t="shared" si="177"/>
        <v>y</v>
      </c>
      <c r="PUY1" s="154" t="str">
        <f t="shared" si="177"/>
        <v>y</v>
      </c>
      <c r="PUZ1" s="154" t="str">
        <f t="shared" si="177"/>
        <v>y</v>
      </c>
      <c r="PVA1" s="154" t="str">
        <f t="shared" si="177"/>
        <v>y</v>
      </c>
      <c r="PVB1" s="154" t="str">
        <f t="shared" si="177"/>
        <v>y</v>
      </c>
      <c r="PVC1" s="154" t="str">
        <f t="shared" si="177"/>
        <v>y</v>
      </c>
      <c r="PVD1" s="154" t="str">
        <f t="shared" si="177"/>
        <v>y</v>
      </c>
      <c r="PVE1" s="154" t="str">
        <f t="shared" si="177"/>
        <v>y</v>
      </c>
      <c r="PVF1" s="154" t="str">
        <f t="shared" si="177"/>
        <v>y</v>
      </c>
      <c r="PVG1" s="154" t="str">
        <f t="shared" si="177"/>
        <v>y</v>
      </c>
      <c r="PVH1" s="154" t="str">
        <f t="shared" ref="PVH1:PXS1" si="178">PVH2&amp;"y"</f>
        <v>y</v>
      </c>
      <c r="PVI1" s="154" t="str">
        <f t="shared" si="178"/>
        <v>y</v>
      </c>
      <c r="PVJ1" s="154" t="str">
        <f t="shared" si="178"/>
        <v>y</v>
      </c>
      <c r="PVK1" s="154" t="str">
        <f t="shared" si="178"/>
        <v>y</v>
      </c>
      <c r="PVL1" s="154" t="str">
        <f t="shared" si="178"/>
        <v>y</v>
      </c>
      <c r="PVM1" s="154" t="str">
        <f t="shared" si="178"/>
        <v>y</v>
      </c>
      <c r="PVN1" s="154" t="str">
        <f t="shared" si="178"/>
        <v>y</v>
      </c>
      <c r="PVO1" s="154" t="str">
        <f t="shared" si="178"/>
        <v>y</v>
      </c>
      <c r="PVP1" s="154" t="str">
        <f t="shared" si="178"/>
        <v>y</v>
      </c>
      <c r="PVQ1" s="154" t="str">
        <f t="shared" si="178"/>
        <v>y</v>
      </c>
      <c r="PVR1" s="154" t="str">
        <f t="shared" si="178"/>
        <v>y</v>
      </c>
      <c r="PVS1" s="154" t="str">
        <f t="shared" si="178"/>
        <v>y</v>
      </c>
      <c r="PVT1" s="154" t="str">
        <f t="shared" si="178"/>
        <v>y</v>
      </c>
      <c r="PVU1" s="154" t="str">
        <f t="shared" si="178"/>
        <v>y</v>
      </c>
      <c r="PVV1" s="154" t="str">
        <f t="shared" si="178"/>
        <v>y</v>
      </c>
      <c r="PVW1" s="154" t="str">
        <f t="shared" si="178"/>
        <v>y</v>
      </c>
      <c r="PVX1" s="154" t="str">
        <f t="shared" si="178"/>
        <v>y</v>
      </c>
      <c r="PVY1" s="154" t="str">
        <f t="shared" si="178"/>
        <v>y</v>
      </c>
      <c r="PVZ1" s="154" t="str">
        <f t="shared" si="178"/>
        <v>y</v>
      </c>
      <c r="PWA1" s="154" t="str">
        <f t="shared" si="178"/>
        <v>y</v>
      </c>
      <c r="PWB1" s="154" t="str">
        <f t="shared" si="178"/>
        <v>y</v>
      </c>
      <c r="PWC1" s="154" t="str">
        <f t="shared" si="178"/>
        <v>y</v>
      </c>
      <c r="PWD1" s="154" t="str">
        <f t="shared" si="178"/>
        <v>y</v>
      </c>
      <c r="PWE1" s="154" t="str">
        <f t="shared" si="178"/>
        <v>y</v>
      </c>
      <c r="PWF1" s="154" t="str">
        <f t="shared" si="178"/>
        <v>y</v>
      </c>
      <c r="PWG1" s="154" t="str">
        <f t="shared" si="178"/>
        <v>y</v>
      </c>
      <c r="PWH1" s="154" t="str">
        <f t="shared" si="178"/>
        <v>y</v>
      </c>
      <c r="PWI1" s="154" t="str">
        <f t="shared" si="178"/>
        <v>y</v>
      </c>
      <c r="PWJ1" s="154" t="str">
        <f t="shared" si="178"/>
        <v>y</v>
      </c>
      <c r="PWK1" s="154" t="str">
        <f t="shared" si="178"/>
        <v>y</v>
      </c>
      <c r="PWL1" s="154" t="str">
        <f t="shared" si="178"/>
        <v>y</v>
      </c>
      <c r="PWM1" s="154" t="str">
        <f t="shared" si="178"/>
        <v>y</v>
      </c>
      <c r="PWN1" s="154" t="str">
        <f t="shared" si="178"/>
        <v>y</v>
      </c>
      <c r="PWO1" s="154" t="str">
        <f t="shared" si="178"/>
        <v>y</v>
      </c>
      <c r="PWP1" s="154" t="str">
        <f t="shared" si="178"/>
        <v>y</v>
      </c>
      <c r="PWQ1" s="154" t="str">
        <f t="shared" si="178"/>
        <v>y</v>
      </c>
      <c r="PWR1" s="154" t="str">
        <f t="shared" si="178"/>
        <v>y</v>
      </c>
      <c r="PWS1" s="154" t="str">
        <f t="shared" si="178"/>
        <v>y</v>
      </c>
      <c r="PWT1" s="154" t="str">
        <f t="shared" si="178"/>
        <v>y</v>
      </c>
      <c r="PWU1" s="154" t="str">
        <f t="shared" si="178"/>
        <v>y</v>
      </c>
      <c r="PWV1" s="154" t="str">
        <f t="shared" si="178"/>
        <v>y</v>
      </c>
      <c r="PWW1" s="154" t="str">
        <f t="shared" si="178"/>
        <v>y</v>
      </c>
      <c r="PWX1" s="154" t="str">
        <f t="shared" si="178"/>
        <v>y</v>
      </c>
      <c r="PWY1" s="154" t="str">
        <f t="shared" si="178"/>
        <v>y</v>
      </c>
      <c r="PWZ1" s="154" t="str">
        <f t="shared" si="178"/>
        <v>y</v>
      </c>
      <c r="PXA1" s="154" t="str">
        <f t="shared" si="178"/>
        <v>y</v>
      </c>
      <c r="PXB1" s="154" t="str">
        <f t="shared" si="178"/>
        <v>y</v>
      </c>
      <c r="PXC1" s="154" t="str">
        <f t="shared" si="178"/>
        <v>y</v>
      </c>
      <c r="PXD1" s="154" t="str">
        <f t="shared" si="178"/>
        <v>y</v>
      </c>
      <c r="PXE1" s="154" t="str">
        <f t="shared" si="178"/>
        <v>y</v>
      </c>
      <c r="PXF1" s="154" t="str">
        <f t="shared" si="178"/>
        <v>y</v>
      </c>
      <c r="PXG1" s="154" t="str">
        <f t="shared" si="178"/>
        <v>y</v>
      </c>
      <c r="PXH1" s="154" t="str">
        <f t="shared" si="178"/>
        <v>y</v>
      </c>
      <c r="PXI1" s="154" t="str">
        <f t="shared" si="178"/>
        <v>y</v>
      </c>
      <c r="PXJ1" s="154" t="str">
        <f t="shared" si="178"/>
        <v>y</v>
      </c>
      <c r="PXK1" s="154" t="str">
        <f t="shared" si="178"/>
        <v>y</v>
      </c>
      <c r="PXL1" s="154" t="str">
        <f t="shared" si="178"/>
        <v>y</v>
      </c>
      <c r="PXM1" s="154" t="str">
        <f t="shared" si="178"/>
        <v>y</v>
      </c>
      <c r="PXN1" s="154" t="str">
        <f t="shared" si="178"/>
        <v>y</v>
      </c>
      <c r="PXO1" s="154" t="str">
        <f t="shared" si="178"/>
        <v>y</v>
      </c>
      <c r="PXP1" s="154" t="str">
        <f t="shared" si="178"/>
        <v>y</v>
      </c>
      <c r="PXQ1" s="154" t="str">
        <f t="shared" si="178"/>
        <v>y</v>
      </c>
      <c r="PXR1" s="154" t="str">
        <f t="shared" si="178"/>
        <v>y</v>
      </c>
      <c r="PXS1" s="154" t="str">
        <f t="shared" si="178"/>
        <v>y</v>
      </c>
      <c r="PXT1" s="154" t="str">
        <f t="shared" ref="PXT1:QAE1" si="179">PXT2&amp;"y"</f>
        <v>y</v>
      </c>
      <c r="PXU1" s="154" t="str">
        <f t="shared" si="179"/>
        <v>y</v>
      </c>
      <c r="PXV1" s="154" t="str">
        <f t="shared" si="179"/>
        <v>y</v>
      </c>
      <c r="PXW1" s="154" t="str">
        <f t="shared" si="179"/>
        <v>y</v>
      </c>
      <c r="PXX1" s="154" t="str">
        <f t="shared" si="179"/>
        <v>y</v>
      </c>
      <c r="PXY1" s="154" t="str">
        <f t="shared" si="179"/>
        <v>y</v>
      </c>
      <c r="PXZ1" s="154" t="str">
        <f t="shared" si="179"/>
        <v>y</v>
      </c>
      <c r="PYA1" s="154" t="str">
        <f t="shared" si="179"/>
        <v>y</v>
      </c>
      <c r="PYB1" s="154" t="str">
        <f t="shared" si="179"/>
        <v>y</v>
      </c>
      <c r="PYC1" s="154" t="str">
        <f t="shared" si="179"/>
        <v>y</v>
      </c>
      <c r="PYD1" s="154" t="str">
        <f t="shared" si="179"/>
        <v>y</v>
      </c>
      <c r="PYE1" s="154" t="str">
        <f t="shared" si="179"/>
        <v>y</v>
      </c>
      <c r="PYF1" s="154" t="str">
        <f t="shared" si="179"/>
        <v>y</v>
      </c>
      <c r="PYG1" s="154" t="str">
        <f t="shared" si="179"/>
        <v>y</v>
      </c>
      <c r="PYH1" s="154" t="str">
        <f t="shared" si="179"/>
        <v>y</v>
      </c>
      <c r="PYI1" s="154" t="str">
        <f t="shared" si="179"/>
        <v>y</v>
      </c>
      <c r="PYJ1" s="154" t="str">
        <f t="shared" si="179"/>
        <v>y</v>
      </c>
      <c r="PYK1" s="154" t="str">
        <f t="shared" si="179"/>
        <v>y</v>
      </c>
      <c r="PYL1" s="154" t="str">
        <f t="shared" si="179"/>
        <v>y</v>
      </c>
      <c r="PYM1" s="154" t="str">
        <f t="shared" si="179"/>
        <v>y</v>
      </c>
      <c r="PYN1" s="154" t="str">
        <f t="shared" si="179"/>
        <v>y</v>
      </c>
      <c r="PYO1" s="154" t="str">
        <f t="shared" si="179"/>
        <v>y</v>
      </c>
      <c r="PYP1" s="154" t="str">
        <f t="shared" si="179"/>
        <v>y</v>
      </c>
      <c r="PYQ1" s="154" t="str">
        <f t="shared" si="179"/>
        <v>y</v>
      </c>
      <c r="PYR1" s="154" t="str">
        <f t="shared" si="179"/>
        <v>y</v>
      </c>
      <c r="PYS1" s="154" t="str">
        <f t="shared" si="179"/>
        <v>y</v>
      </c>
      <c r="PYT1" s="154" t="str">
        <f t="shared" si="179"/>
        <v>y</v>
      </c>
      <c r="PYU1" s="154" t="str">
        <f t="shared" si="179"/>
        <v>y</v>
      </c>
      <c r="PYV1" s="154" t="str">
        <f t="shared" si="179"/>
        <v>y</v>
      </c>
      <c r="PYW1" s="154" t="str">
        <f t="shared" si="179"/>
        <v>y</v>
      </c>
      <c r="PYX1" s="154" t="str">
        <f t="shared" si="179"/>
        <v>y</v>
      </c>
      <c r="PYY1" s="154" t="str">
        <f t="shared" si="179"/>
        <v>y</v>
      </c>
      <c r="PYZ1" s="154" t="str">
        <f t="shared" si="179"/>
        <v>y</v>
      </c>
      <c r="PZA1" s="154" t="str">
        <f t="shared" si="179"/>
        <v>y</v>
      </c>
      <c r="PZB1" s="154" t="str">
        <f t="shared" si="179"/>
        <v>y</v>
      </c>
      <c r="PZC1" s="154" t="str">
        <f t="shared" si="179"/>
        <v>y</v>
      </c>
      <c r="PZD1" s="154" t="str">
        <f t="shared" si="179"/>
        <v>y</v>
      </c>
      <c r="PZE1" s="154" t="str">
        <f t="shared" si="179"/>
        <v>y</v>
      </c>
      <c r="PZF1" s="154" t="str">
        <f t="shared" si="179"/>
        <v>y</v>
      </c>
      <c r="PZG1" s="154" t="str">
        <f t="shared" si="179"/>
        <v>y</v>
      </c>
      <c r="PZH1" s="154" t="str">
        <f t="shared" si="179"/>
        <v>y</v>
      </c>
      <c r="PZI1" s="154" t="str">
        <f t="shared" si="179"/>
        <v>y</v>
      </c>
      <c r="PZJ1" s="154" t="str">
        <f t="shared" si="179"/>
        <v>y</v>
      </c>
      <c r="PZK1" s="154" t="str">
        <f t="shared" si="179"/>
        <v>y</v>
      </c>
      <c r="PZL1" s="154" t="str">
        <f t="shared" si="179"/>
        <v>y</v>
      </c>
      <c r="PZM1" s="154" t="str">
        <f t="shared" si="179"/>
        <v>y</v>
      </c>
      <c r="PZN1" s="154" t="str">
        <f t="shared" si="179"/>
        <v>y</v>
      </c>
      <c r="PZO1" s="154" t="str">
        <f t="shared" si="179"/>
        <v>y</v>
      </c>
      <c r="PZP1" s="154" t="str">
        <f t="shared" si="179"/>
        <v>y</v>
      </c>
      <c r="PZQ1" s="154" t="str">
        <f t="shared" si="179"/>
        <v>y</v>
      </c>
      <c r="PZR1" s="154" t="str">
        <f t="shared" si="179"/>
        <v>y</v>
      </c>
      <c r="PZS1" s="154" t="str">
        <f t="shared" si="179"/>
        <v>y</v>
      </c>
      <c r="PZT1" s="154" t="str">
        <f t="shared" si="179"/>
        <v>y</v>
      </c>
      <c r="PZU1" s="154" t="str">
        <f t="shared" si="179"/>
        <v>y</v>
      </c>
      <c r="PZV1" s="154" t="str">
        <f t="shared" si="179"/>
        <v>y</v>
      </c>
      <c r="PZW1" s="154" t="str">
        <f t="shared" si="179"/>
        <v>y</v>
      </c>
      <c r="PZX1" s="154" t="str">
        <f t="shared" si="179"/>
        <v>y</v>
      </c>
      <c r="PZY1" s="154" t="str">
        <f t="shared" si="179"/>
        <v>y</v>
      </c>
      <c r="PZZ1" s="154" t="str">
        <f t="shared" si="179"/>
        <v>y</v>
      </c>
      <c r="QAA1" s="154" t="str">
        <f t="shared" si="179"/>
        <v>y</v>
      </c>
      <c r="QAB1" s="154" t="str">
        <f t="shared" si="179"/>
        <v>y</v>
      </c>
      <c r="QAC1" s="154" t="str">
        <f t="shared" si="179"/>
        <v>y</v>
      </c>
      <c r="QAD1" s="154" t="str">
        <f t="shared" si="179"/>
        <v>y</v>
      </c>
      <c r="QAE1" s="154" t="str">
        <f t="shared" si="179"/>
        <v>y</v>
      </c>
      <c r="QAF1" s="154" t="str">
        <f t="shared" ref="QAF1:QCQ1" si="180">QAF2&amp;"y"</f>
        <v>y</v>
      </c>
      <c r="QAG1" s="154" t="str">
        <f t="shared" si="180"/>
        <v>y</v>
      </c>
      <c r="QAH1" s="154" t="str">
        <f t="shared" si="180"/>
        <v>y</v>
      </c>
      <c r="QAI1" s="154" t="str">
        <f t="shared" si="180"/>
        <v>y</v>
      </c>
      <c r="QAJ1" s="154" t="str">
        <f t="shared" si="180"/>
        <v>y</v>
      </c>
      <c r="QAK1" s="154" t="str">
        <f t="shared" si="180"/>
        <v>y</v>
      </c>
      <c r="QAL1" s="154" t="str">
        <f t="shared" si="180"/>
        <v>y</v>
      </c>
      <c r="QAM1" s="154" t="str">
        <f t="shared" si="180"/>
        <v>y</v>
      </c>
      <c r="QAN1" s="154" t="str">
        <f t="shared" si="180"/>
        <v>y</v>
      </c>
      <c r="QAO1" s="154" t="str">
        <f t="shared" si="180"/>
        <v>y</v>
      </c>
      <c r="QAP1" s="154" t="str">
        <f t="shared" si="180"/>
        <v>y</v>
      </c>
      <c r="QAQ1" s="154" t="str">
        <f t="shared" si="180"/>
        <v>y</v>
      </c>
      <c r="QAR1" s="154" t="str">
        <f t="shared" si="180"/>
        <v>y</v>
      </c>
      <c r="QAS1" s="154" t="str">
        <f t="shared" si="180"/>
        <v>y</v>
      </c>
      <c r="QAT1" s="154" t="str">
        <f t="shared" si="180"/>
        <v>y</v>
      </c>
      <c r="QAU1" s="154" t="str">
        <f t="shared" si="180"/>
        <v>y</v>
      </c>
      <c r="QAV1" s="154" t="str">
        <f t="shared" si="180"/>
        <v>y</v>
      </c>
      <c r="QAW1" s="154" t="str">
        <f t="shared" si="180"/>
        <v>y</v>
      </c>
      <c r="QAX1" s="154" t="str">
        <f t="shared" si="180"/>
        <v>y</v>
      </c>
      <c r="QAY1" s="154" t="str">
        <f t="shared" si="180"/>
        <v>y</v>
      </c>
      <c r="QAZ1" s="154" t="str">
        <f t="shared" si="180"/>
        <v>y</v>
      </c>
      <c r="QBA1" s="154" t="str">
        <f t="shared" si="180"/>
        <v>y</v>
      </c>
      <c r="QBB1" s="154" t="str">
        <f t="shared" si="180"/>
        <v>y</v>
      </c>
      <c r="QBC1" s="154" t="str">
        <f t="shared" si="180"/>
        <v>y</v>
      </c>
      <c r="QBD1" s="154" t="str">
        <f t="shared" si="180"/>
        <v>y</v>
      </c>
      <c r="QBE1" s="154" t="str">
        <f t="shared" si="180"/>
        <v>y</v>
      </c>
      <c r="QBF1" s="154" t="str">
        <f t="shared" si="180"/>
        <v>y</v>
      </c>
      <c r="QBG1" s="154" t="str">
        <f t="shared" si="180"/>
        <v>y</v>
      </c>
      <c r="QBH1" s="154" t="str">
        <f t="shared" si="180"/>
        <v>y</v>
      </c>
      <c r="QBI1" s="154" t="str">
        <f t="shared" si="180"/>
        <v>y</v>
      </c>
      <c r="QBJ1" s="154" t="str">
        <f t="shared" si="180"/>
        <v>y</v>
      </c>
      <c r="QBK1" s="154" t="str">
        <f t="shared" si="180"/>
        <v>y</v>
      </c>
      <c r="QBL1" s="154" t="str">
        <f t="shared" si="180"/>
        <v>y</v>
      </c>
      <c r="QBM1" s="154" t="str">
        <f t="shared" si="180"/>
        <v>y</v>
      </c>
      <c r="QBN1" s="154" t="str">
        <f t="shared" si="180"/>
        <v>y</v>
      </c>
      <c r="QBO1" s="154" t="str">
        <f t="shared" si="180"/>
        <v>y</v>
      </c>
      <c r="QBP1" s="154" t="str">
        <f t="shared" si="180"/>
        <v>y</v>
      </c>
      <c r="QBQ1" s="154" t="str">
        <f t="shared" si="180"/>
        <v>y</v>
      </c>
      <c r="QBR1" s="154" t="str">
        <f t="shared" si="180"/>
        <v>y</v>
      </c>
      <c r="QBS1" s="154" t="str">
        <f t="shared" si="180"/>
        <v>y</v>
      </c>
      <c r="QBT1" s="154" t="str">
        <f t="shared" si="180"/>
        <v>y</v>
      </c>
      <c r="QBU1" s="154" t="str">
        <f t="shared" si="180"/>
        <v>y</v>
      </c>
      <c r="QBV1" s="154" t="str">
        <f t="shared" si="180"/>
        <v>y</v>
      </c>
      <c r="QBW1" s="154" t="str">
        <f t="shared" si="180"/>
        <v>y</v>
      </c>
      <c r="QBX1" s="154" t="str">
        <f t="shared" si="180"/>
        <v>y</v>
      </c>
      <c r="QBY1" s="154" t="str">
        <f t="shared" si="180"/>
        <v>y</v>
      </c>
      <c r="QBZ1" s="154" t="str">
        <f t="shared" si="180"/>
        <v>y</v>
      </c>
      <c r="QCA1" s="154" t="str">
        <f t="shared" si="180"/>
        <v>y</v>
      </c>
      <c r="QCB1" s="154" t="str">
        <f t="shared" si="180"/>
        <v>y</v>
      </c>
      <c r="QCC1" s="154" t="str">
        <f t="shared" si="180"/>
        <v>y</v>
      </c>
      <c r="QCD1" s="154" t="str">
        <f t="shared" si="180"/>
        <v>y</v>
      </c>
      <c r="QCE1" s="154" t="str">
        <f t="shared" si="180"/>
        <v>y</v>
      </c>
      <c r="QCF1" s="154" t="str">
        <f t="shared" si="180"/>
        <v>y</v>
      </c>
      <c r="QCG1" s="154" t="str">
        <f t="shared" si="180"/>
        <v>y</v>
      </c>
      <c r="QCH1" s="154" t="str">
        <f t="shared" si="180"/>
        <v>y</v>
      </c>
      <c r="QCI1" s="154" t="str">
        <f t="shared" si="180"/>
        <v>y</v>
      </c>
      <c r="QCJ1" s="154" t="str">
        <f t="shared" si="180"/>
        <v>y</v>
      </c>
      <c r="QCK1" s="154" t="str">
        <f t="shared" si="180"/>
        <v>y</v>
      </c>
      <c r="QCL1" s="154" t="str">
        <f t="shared" si="180"/>
        <v>y</v>
      </c>
      <c r="QCM1" s="154" t="str">
        <f t="shared" si="180"/>
        <v>y</v>
      </c>
      <c r="QCN1" s="154" t="str">
        <f t="shared" si="180"/>
        <v>y</v>
      </c>
      <c r="QCO1" s="154" t="str">
        <f t="shared" si="180"/>
        <v>y</v>
      </c>
      <c r="QCP1" s="154" t="str">
        <f t="shared" si="180"/>
        <v>y</v>
      </c>
      <c r="QCQ1" s="154" t="str">
        <f t="shared" si="180"/>
        <v>y</v>
      </c>
      <c r="QCR1" s="154" t="str">
        <f t="shared" ref="QCR1:QFC1" si="181">QCR2&amp;"y"</f>
        <v>y</v>
      </c>
      <c r="QCS1" s="154" t="str">
        <f t="shared" si="181"/>
        <v>y</v>
      </c>
      <c r="QCT1" s="154" t="str">
        <f t="shared" si="181"/>
        <v>y</v>
      </c>
      <c r="QCU1" s="154" t="str">
        <f t="shared" si="181"/>
        <v>y</v>
      </c>
      <c r="QCV1" s="154" t="str">
        <f t="shared" si="181"/>
        <v>y</v>
      </c>
      <c r="QCW1" s="154" t="str">
        <f t="shared" si="181"/>
        <v>y</v>
      </c>
      <c r="QCX1" s="154" t="str">
        <f t="shared" si="181"/>
        <v>y</v>
      </c>
      <c r="QCY1" s="154" t="str">
        <f t="shared" si="181"/>
        <v>y</v>
      </c>
      <c r="QCZ1" s="154" t="str">
        <f t="shared" si="181"/>
        <v>y</v>
      </c>
      <c r="QDA1" s="154" t="str">
        <f t="shared" si="181"/>
        <v>y</v>
      </c>
      <c r="QDB1" s="154" t="str">
        <f t="shared" si="181"/>
        <v>y</v>
      </c>
      <c r="QDC1" s="154" t="str">
        <f t="shared" si="181"/>
        <v>y</v>
      </c>
      <c r="QDD1" s="154" t="str">
        <f t="shared" si="181"/>
        <v>y</v>
      </c>
      <c r="QDE1" s="154" t="str">
        <f t="shared" si="181"/>
        <v>y</v>
      </c>
      <c r="QDF1" s="154" t="str">
        <f t="shared" si="181"/>
        <v>y</v>
      </c>
      <c r="QDG1" s="154" t="str">
        <f t="shared" si="181"/>
        <v>y</v>
      </c>
      <c r="QDH1" s="154" t="str">
        <f t="shared" si="181"/>
        <v>y</v>
      </c>
      <c r="QDI1" s="154" t="str">
        <f t="shared" si="181"/>
        <v>y</v>
      </c>
      <c r="QDJ1" s="154" t="str">
        <f t="shared" si="181"/>
        <v>y</v>
      </c>
      <c r="QDK1" s="154" t="str">
        <f t="shared" si="181"/>
        <v>y</v>
      </c>
      <c r="QDL1" s="154" t="str">
        <f t="shared" si="181"/>
        <v>y</v>
      </c>
      <c r="QDM1" s="154" t="str">
        <f t="shared" si="181"/>
        <v>y</v>
      </c>
      <c r="QDN1" s="154" t="str">
        <f t="shared" si="181"/>
        <v>y</v>
      </c>
      <c r="QDO1" s="154" t="str">
        <f t="shared" si="181"/>
        <v>y</v>
      </c>
      <c r="QDP1" s="154" t="str">
        <f t="shared" si="181"/>
        <v>y</v>
      </c>
      <c r="QDQ1" s="154" t="str">
        <f t="shared" si="181"/>
        <v>y</v>
      </c>
      <c r="QDR1" s="154" t="str">
        <f t="shared" si="181"/>
        <v>y</v>
      </c>
      <c r="QDS1" s="154" t="str">
        <f t="shared" si="181"/>
        <v>y</v>
      </c>
      <c r="QDT1" s="154" t="str">
        <f t="shared" si="181"/>
        <v>y</v>
      </c>
      <c r="QDU1" s="154" t="str">
        <f t="shared" si="181"/>
        <v>y</v>
      </c>
      <c r="QDV1" s="154" t="str">
        <f t="shared" si="181"/>
        <v>y</v>
      </c>
      <c r="QDW1" s="154" t="str">
        <f t="shared" si="181"/>
        <v>y</v>
      </c>
      <c r="QDX1" s="154" t="str">
        <f t="shared" si="181"/>
        <v>y</v>
      </c>
      <c r="QDY1" s="154" t="str">
        <f t="shared" si="181"/>
        <v>y</v>
      </c>
      <c r="QDZ1" s="154" t="str">
        <f t="shared" si="181"/>
        <v>y</v>
      </c>
      <c r="QEA1" s="154" t="str">
        <f t="shared" si="181"/>
        <v>y</v>
      </c>
      <c r="QEB1" s="154" t="str">
        <f t="shared" si="181"/>
        <v>y</v>
      </c>
      <c r="QEC1" s="154" t="str">
        <f t="shared" si="181"/>
        <v>y</v>
      </c>
      <c r="QED1" s="154" t="str">
        <f t="shared" si="181"/>
        <v>y</v>
      </c>
      <c r="QEE1" s="154" t="str">
        <f t="shared" si="181"/>
        <v>y</v>
      </c>
      <c r="QEF1" s="154" t="str">
        <f t="shared" si="181"/>
        <v>y</v>
      </c>
      <c r="QEG1" s="154" t="str">
        <f t="shared" si="181"/>
        <v>y</v>
      </c>
      <c r="QEH1" s="154" t="str">
        <f t="shared" si="181"/>
        <v>y</v>
      </c>
      <c r="QEI1" s="154" t="str">
        <f t="shared" si="181"/>
        <v>y</v>
      </c>
      <c r="QEJ1" s="154" t="str">
        <f t="shared" si="181"/>
        <v>y</v>
      </c>
      <c r="QEK1" s="154" t="str">
        <f t="shared" si="181"/>
        <v>y</v>
      </c>
      <c r="QEL1" s="154" t="str">
        <f t="shared" si="181"/>
        <v>y</v>
      </c>
      <c r="QEM1" s="154" t="str">
        <f t="shared" si="181"/>
        <v>y</v>
      </c>
      <c r="QEN1" s="154" t="str">
        <f t="shared" si="181"/>
        <v>y</v>
      </c>
      <c r="QEO1" s="154" t="str">
        <f t="shared" si="181"/>
        <v>y</v>
      </c>
      <c r="QEP1" s="154" t="str">
        <f t="shared" si="181"/>
        <v>y</v>
      </c>
      <c r="QEQ1" s="154" t="str">
        <f t="shared" si="181"/>
        <v>y</v>
      </c>
      <c r="QER1" s="154" t="str">
        <f t="shared" si="181"/>
        <v>y</v>
      </c>
      <c r="QES1" s="154" t="str">
        <f t="shared" si="181"/>
        <v>y</v>
      </c>
      <c r="QET1" s="154" t="str">
        <f t="shared" si="181"/>
        <v>y</v>
      </c>
      <c r="QEU1" s="154" t="str">
        <f t="shared" si="181"/>
        <v>y</v>
      </c>
      <c r="QEV1" s="154" t="str">
        <f t="shared" si="181"/>
        <v>y</v>
      </c>
      <c r="QEW1" s="154" t="str">
        <f t="shared" si="181"/>
        <v>y</v>
      </c>
      <c r="QEX1" s="154" t="str">
        <f t="shared" si="181"/>
        <v>y</v>
      </c>
      <c r="QEY1" s="154" t="str">
        <f t="shared" si="181"/>
        <v>y</v>
      </c>
      <c r="QEZ1" s="154" t="str">
        <f t="shared" si="181"/>
        <v>y</v>
      </c>
      <c r="QFA1" s="154" t="str">
        <f t="shared" si="181"/>
        <v>y</v>
      </c>
      <c r="QFB1" s="154" t="str">
        <f t="shared" si="181"/>
        <v>y</v>
      </c>
      <c r="QFC1" s="154" t="str">
        <f t="shared" si="181"/>
        <v>y</v>
      </c>
      <c r="QFD1" s="154" t="str">
        <f t="shared" ref="QFD1:QHO1" si="182">QFD2&amp;"y"</f>
        <v>y</v>
      </c>
      <c r="QFE1" s="154" t="str">
        <f t="shared" si="182"/>
        <v>y</v>
      </c>
      <c r="QFF1" s="154" t="str">
        <f t="shared" si="182"/>
        <v>y</v>
      </c>
      <c r="QFG1" s="154" t="str">
        <f t="shared" si="182"/>
        <v>y</v>
      </c>
      <c r="QFH1" s="154" t="str">
        <f t="shared" si="182"/>
        <v>y</v>
      </c>
      <c r="QFI1" s="154" t="str">
        <f t="shared" si="182"/>
        <v>y</v>
      </c>
      <c r="QFJ1" s="154" t="str">
        <f t="shared" si="182"/>
        <v>y</v>
      </c>
      <c r="QFK1" s="154" t="str">
        <f t="shared" si="182"/>
        <v>y</v>
      </c>
      <c r="QFL1" s="154" t="str">
        <f t="shared" si="182"/>
        <v>y</v>
      </c>
      <c r="QFM1" s="154" t="str">
        <f t="shared" si="182"/>
        <v>y</v>
      </c>
      <c r="QFN1" s="154" t="str">
        <f t="shared" si="182"/>
        <v>y</v>
      </c>
      <c r="QFO1" s="154" t="str">
        <f t="shared" si="182"/>
        <v>y</v>
      </c>
      <c r="QFP1" s="154" t="str">
        <f t="shared" si="182"/>
        <v>y</v>
      </c>
      <c r="QFQ1" s="154" t="str">
        <f t="shared" si="182"/>
        <v>y</v>
      </c>
      <c r="QFR1" s="154" t="str">
        <f t="shared" si="182"/>
        <v>y</v>
      </c>
      <c r="QFS1" s="154" t="str">
        <f t="shared" si="182"/>
        <v>y</v>
      </c>
      <c r="QFT1" s="154" t="str">
        <f t="shared" si="182"/>
        <v>y</v>
      </c>
      <c r="QFU1" s="154" t="str">
        <f t="shared" si="182"/>
        <v>y</v>
      </c>
      <c r="QFV1" s="154" t="str">
        <f t="shared" si="182"/>
        <v>y</v>
      </c>
      <c r="QFW1" s="154" t="str">
        <f t="shared" si="182"/>
        <v>y</v>
      </c>
      <c r="QFX1" s="154" t="str">
        <f t="shared" si="182"/>
        <v>y</v>
      </c>
      <c r="QFY1" s="154" t="str">
        <f t="shared" si="182"/>
        <v>y</v>
      </c>
      <c r="QFZ1" s="154" t="str">
        <f t="shared" si="182"/>
        <v>y</v>
      </c>
      <c r="QGA1" s="154" t="str">
        <f t="shared" si="182"/>
        <v>y</v>
      </c>
      <c r="QGB1" s="154" t="str">
        <f t="shared" si="182"/>
        <v>y</v>
      </c>
      <c r="QGC1" s="154" t="str">
        <f t="shared" si="182"/>
        <v>y</v>
      </c>
      <c r="QGD1" s="154" t="str">
        <f t="shared" si="182"/>
        <v>y</v>
      </c>
      <c r="QGE1" s="154" t="str">
        <f t="shared" si="182"/>
        <v>y</v>
      </c>
      <c r="QGF1" s="154" t="str">
        <f t="shared" si="182"/>
        <v>y</v>
      </c>
      <c r="QGG1" s="154" t="str">
        <f t="shared" si="182"/>
        <v>y</v>
      </c>
      <c r="QGH1" s="154" t="str">
        <f t="shared" si="182"/>
        <v>y</v>
      </c>
      <c r="QGI1" s="154" t="str">
        <f t="shared" si="182"/>
        <v>y</v>
      </c>
      <c r="QGJ1" s="154" t="str">
        <f t="shared" si="182"/>
        <v>y</v>
      </c>
      <c r="QGK1" s="154" t="str">
        <f t="shared" si="182"/>
        <v>y</v>
      </c>
      <c r="QGL1" s="154" t="str">
        <f t="shared" si="182"/>
        <v>y</v>
      </c>
      <c r="QGM1" s="154" t="str">
        <f t="shared" si="182"/>
        <v>y</v>
      </c>
      <c r="QGN1" s="154" t="str">
        <f t="shared" si="182"/>
        <v>y</v>
      </c>
      <c r="QGO1" s="154" t="str">
        <f t="shared" si="182"/>
        <v>y</v>
      </c>
      <c r="QGP1" s="154" t="str">
        <f t="shared" si="182"/>
        <v>y</v>
      </c>
      <c r="QGQ1" s="154" t="str">
        <f t="shared" si="182"/>
        <v>y</v>
      </c>
      <c r="QGR1" s="154" t="str">
        <f t="shared" si="182"/>
        <v>y</v>
      </c>
      <c r="QGS1" s="154" t="str">
        <f t="shared" si="182"/>
        <v>y</v>
      </c>
      <c r="QGT1" s="154" t="str">
        <f t="shared" si="182"/>
        <v>y</v>
      </c>
      <c r="QGU1" s="154" t="str">
        <f t="shared" si="182"/>
        <v>y</v>
      </c>
      <c r="QGV1" s="154" t="str">
        <f t="shared" si="182"/>
        <v>y</v>
      </c>
      <c r="QGW1" s="154" t="str">
        <f t="shared" si="182"/>
        <v>y</v>
      </c>
      <c r="QGX1" s="154" t="str">
        <f t="shared" si="182"/>
        <v>y</v>
      </c>
      <c r="QGY1" s="154" t="str">
        <f t="shared" si="182"/>
        <v>y</v>
      </c>
      <c r="QGZ1" s="154" t="str">
        <f t="shared" si="182"/>
        <v>y</v>
      </c>
      <c r="QHA1" s="154" t="str">
        <f t="shared" si="182"/>
        <v>y</v>
      </c>
      <c r="QHB1" s="154" t="str">
        <f t="shared" si="182"/>
        <v>y</v>
      </c>
      <c r="QHC1" s="154" t="str">
        <f t="shared" si="182"/>
        <v>y</v>
      </c>
      <c r="QHD1" s="154" t="str">
        <f t="shared" si="182"/>
        <v>y</v>
      </c>
      <c r="QHE1" s="154" t="str">
        <f t="shared" si="182"/>
        <v>y</v>
      </c>
      <c r="QHF1" s="154" t="str">
        <f t="shared" si="182"/>
        <v>y</v>
      </c>
      <c r="QHG1" s="154" t="str">
        <f t="shared" si="182"/>
        <v>y</v>
      </c>
      <c r="QHH1" s="154" t="str">
        <f t="shared" si="182"/>
        <v>y</v>
      </c>
      <c r="QHI1" s="154" t="str">
        <f t="shared" si="182"/>
        <v>y</v>
      </c>
      <c r="QHJ1" s="154" t="str">
        <f t="shared" si="182"/>
        <v>y</v>
      </c>
      <c r="QHK1" s="154" t="str">
        <f t="shared" si="182"/>
        <v>y</v>
      </c>
      <c r="QHL1" s="154" t="str">
        <f t="shared" si="182"/>
        <v>y</v>
      </c>
      <c r="QHM1" s="154" t="str">
        <f t="shared" si="182"/>
        <v>y</v>
      </c>
      <c r="QHN1" s="154" t="str">
        <f t="shared" si="182"/>
        <v>y</v>
      </c>
      <c r="QHO1" s="154" t="str">
        <f t="shared" si="182"/>
        <v>y</v>
      </c>
      <c r="QHP1" s="154" t="str">
        <f t="shared" ref="QHP1:QKA1" si="183">QHP2&amp;"y"</f>
        <v>y</v>
      </c>
      <c r="QHQ1" s="154" t="str">
        <f t="shared" si="183"/>
        <v>y</v>
      </c>
      <c r="QHR1" s="154" t="str">
        <f t="shared" si="183"/>
        <v>y</v>
      </c>
      <c r="QHS1" s="154" t="str">
        <f t="shared" si="183"/>
        <v>y</v>
      </c>
      <c r="QHT1" s="154" t="str">
        <f t="shared" si="183"/>
        <v>y</v>
      </c>
      <c r="QHU1" s="154" t="str">
        <f t="shared" si="183"/>
        <v>y</v>
      </c>
      <c r="QHV1" s="154" t="str">
        <f t="shared" si="183"/>
        <v>y</v>
      </c>
      <c r="QHW1" s="154" t="str">
        <f t="shared" si="183"/>
        <v>y</v>
      </c>
      <c r="QHX1" s="154" t="str">
        <f t="shared" si="183"/>
        <v>y</v>
      </c>
      <c r="QHY1" s="154" t="str">
        <f t="shared" si="183"/>
        <v>y</v>
      </c>
      <c r="QHZ1" s="154" t="str">
        <f t="shared" si="183"/>
        <v>y</v>
      </c>
      <c r="QIA1" s="154" t="str">
        <f t="shared" si="183"/>
        <v>y</v>
      </c>
      <c r="QIB1" s="154" t="str">
        <f t="shared" si="183"/>
        <v>y</v>
      </c>
      <c r="QIC1" s="154" t="str">
        <f t="shared" si="183"/>
        <v>y</v>
      </c>
      <c r="QID1" s="154" t="str">
        <f t="shared" si="183"/>
        <v>y</v>
      </c>
      <c r="QIE1" s="154" t="str">
        <f t="shared" si="183"/>
        <v>y</v>
      </c>
      <c r="QIF1" s="154" t="str">
        <f t="shared" si="183"/>
        <v>y</v>
      </c>
      <c r="QIG1" s="154" t="str">
        <f t="shared" si="183"/>
        <v>y</v>
      </c>
      <c r="QIH1" s="154" t="str">
        <f t="shared" si="183"/>
        <v>y</v>
      </c>
      <c r="QII1" s="154" t="str">
        <f t="shared" si="183"/>
        <v>y</v>
      </c>
      <c r="QIJ1" s="154" t="str">
        <f t="shared" si="183"/>
        <v>y</v>
      </c>
      <c r="QIK1" s="154" t="str">
        <f t="shared" si="183"/>
        <v>y</v>
      </c>
      <c r="QIL1" s="154" t="str">
        <f t="shared" si="183"/>
        <v>y</v>
      </c>
      <c r="QIM1" s="154" t="str">
        <f t="shared" si="183"/>
        <v>y</v>
      </c>
      <c r="QIN1" s="154" t="str">
        <f t="shared" si="183"/>
        <v>y</v>
      </c>
      <c r="QIO1" s="154" t="str">
        <f t="shared" si="183"/>
        <v>y</v>
      </c>
      <c r="QIP1" s="154" t="str">
        <f t="shared" si="183"/>
        <v>y</v>
      </c>
      <c r="QIQ1" s="154" t="str">
        <f t="shared" si="183"/>
        <v>y</v>
      </c>
      <c r="QIR1" s="154" t="str">
        <f t="shared" si="183"/>
        <v>y</v>
      </c>
      <c r="QIS1" s="154" t="str">
        <f t="shared" si="183"/>
        <v>y</v>
      </c>
      <c r="QIT1" s="154" t="str">
        <f t="shared" si="183"/>
        <v>y</v>
      </c>
      <c r="QIU1" s="154" t="str">
        <f t="shared" si="183"/>
        <v>y</v>
      </c>
      <c r="QIV1" s="154" t="str">
        <f t="shared" si="183"/>
        <v>y</v>
      </c>
      <c r="QIW1" s="154" t="str">
        <f t="shared" si="183"/>
        <v>y</v>
      </c>
      <c r="QIX1" s="154" t="str">
        <f t="shared" si="183"/>
        <v>y</v>
      </c>
      <c r="QIY1" s="154" t="str">
        <f t="shared" si="183"/>
        <v>y</v>
      </c>
      <c r="QIZ1" s="154" t="str">
        <f t="shared" si="183"/>
        <v>y</v>
      </c>
      <c r="QJA1" s="154" t="str">
        <f t="shared" si="183"/>
        <v>y</v>
      </c>
      <c r="QJB1" s="154" t="str">
        <f t="shared" si="183"/>
        <v>y</v>
      </c>
      <c r="QJC1" s="154" t="str">
        <f t="shared" si="183"/>
        <v>y</v>
      </c>
      <c r="QJD1" s="154" t="str">
        <f t="shared" si="183"/>
        <v>y</v>
      </c>
      <c r="QJE1" s="154" t="str">
        <f t="shared" si="183"/>
        <v>y</v>
      </c>
      <c r="QJF1" s="154" t="str">
        <f t="shared" si="183"/>
        <v>y</v>
      </c>
      <c r="QJG1" s="154" t="str">
        <f t="shared" si="183"/>
        <v>y</v>
      </c>
      <c r="QJH1" s="154" t="str">
        <f t="shared" si="183"/>
        <v>y</v>
      </c>
      <c r="QJI1" s="154" t="str">
        <f t="shared" si="183"/>
        <v>y</v>
      </c>
      <c r="QJJ1" s="154" t="str">
        <f t="shared" si="183"/>
        <v>y</v>
      </c>
      <c r="QJK1" s="154" t="str">
        <f t="shared" si="183"/>
        <v>y</v>
      </c>
      <c r="QJL1" s="154" t="str">
        <f t="shared" si="183"/>
        <v>y</v>
      </c>
      <c r="QJM1" s="154" t="str">
        <f t="shared" si="183"/>
        <v>y</v>
      </c>
      <c r="QJN1" s="154" t="str">
        <f t="shared" si="183"/>
        <v>y</v>
      </c>
      <c r="QJO1" s="154" t="str">
        <f t="shared" si="183"/>
        <v>y</v>
      </c>
      <c r="QJP1" s="154" t="str">
        <f t="shared" si="183"/>
        <v>y</v>
      </c>
      <c r="QJQ1" s="154" t="str">
        <f t="shared" si="183"/>
        <v>y</v>
      </c>
      <c r="QJR1" s="154" t="str">
        <f t="shared" si="183"/>
        <v>y</v>
      </c>
      <c r="QJS1" s="154" t="str">
        <f t="shared" si="183"/>
        <v>y</v>
      </c>
      <c r="QJT1" s="154" t="str">
        <f t="shared" si="183"/>
        <v>y</v>
      </c>
      <c r="QJU1" s="154" t="str">
        <f t="shared" si="183"/>
        <v>y</v>
      </c>
      <c r="QJV1" s="154" t="str">
        <f t="shared" si="183"/>
        <v>y</v>
      </c>
      <c r="QJW1" s="154" t="str">
        <f t="shared" si="183"/>
        <v>y</v>
      </c>
      <c r="QJX1" s="154" t="str">
        <f t="shared" si="183"/>
        <v>y</v>
      </c>
      <c r="QJY1" s="154" t="str">
        <f t="shared" si="183"/>
        <v>y</v>
      </c>
      <c r="QJZ1" s="154" t="str">
        <f t="shared" si="183"/>
        <v>y</v>
      </c>
      <c r="QKA1" s="154" t="str">
        <f t="shared" si="183"/>
        <v>y</v>
      </c>
      <c r="QKB1" s="154" t="str">
        <f t="shared" ref="QKB1:QMM1" si="184">QKB2&amp;"y"</f>
        <v>y</v>
      </c>
      <c r="QKC1" s="154" t="str">
        <f t="shared" si="184"/>
        <v>y</v>
      </c>
      <c r="QKD1" s="154" t="str">
        <f t="shared" si="184"/>
        <v>y</v>
      </c>
      <c r="QKE1" s="154" t="str">
        <f t="shared" si="184"/>
        <v>y</v>
      </c>
      <c r="QKF1" s="154" t="str">
        <f t="shared" si="184"/>
        <v>y</v>
      </c>
      <c r="QKG1" s="154" t="str">
        <f t="shared" si="184"/>
        <v>y</v>
      </c>
      <c r="QKH1" s="154" t="str">
        <f t="shared" si="184"/>
        <v>y</v>
      </c>
      <c r="QKI1" s="154" t="str">
        <f t="shared" si="184"/>
        <v>y</v>
      </c>
      <c r="QKJ1" s="154" t="str">
        <f t="shared" si="184"/>
        <v>y</v>
      </c>
      <c r="QKK1" s="154" t="str">
        <f t="shared" si="184"/>
        <v>y</v>
      </c>
      <c r="QKL1" s="154" t="str">
        <f t="shared" si="184"/>
        <v>y</v>
      </c>
      <c r="QKM1" s="154" t="str">
        <f t="shared" si="184"/>
        <v>y</v>
      </c>
      <c r="QKN1" s="154" t="str">
        <f t="shared" si="184"/>
        <v>y</v>
      </c>
      <c r="QKO1" s="154" t="str">
        <f t="shared" si="184"/>
        <v>y</v>
      </c>
      <c r="QKP1" s="154" t="str">
        <f t="shared" si="184"/>
        <v>y</v>
      </c>
      <c r="QKQ1" s="154" t="str">
        <f t="shared" si="184"/>
        <v>y</v>
      </c>
      <c r="QKR1" s="154" t="str">
        <f t="shared" si="184"/>
        <v>y</v>
      </c>
      <c r="QKS1" s="154" t="str">
        <f t="shared" si="184"/>
        <v>y</v>
      </c>
      <c r="QKT1" s="154" t="str">
        <f t="shared" si="184"/>
        <v>y</v>
      </c>
      <c r="QKU1" s="154" t="str">
        <f t="shared" si="184"/>
        <v>y</v>
      </c>
      <c r="QKV1" s="154" t="str">
        <f t="shared" si="184"/>
        <v>y</v>
      </c>
      <c r="QKW1" s="154" t="str">
        <f t="shared" si="184"/>
        <v>y</v>
      </c>
      <c r="QKX1" s="154" t="str">
        <f t="shared" si="184"/>
        <v>y</v>
      </c>
      <c r="QKY1" s="154" t="str">
        <f t="shared" si="184"/>
        <v>y</v>
      </c>
      <c r="QKZ1" s="154" t="str">
        <f t="shared" si="184"/>
        <v>y</v>
      </c>
      <c r="QLA1" s="154" t="str">
        <f t="shared" si="184"/>
        <v>y</v>
      </c>
      <c r="QLB1" s="154" t="str">
        <f t="shared" si="184"/>
        <v>y</v>
      </c>
      <c r="QLC1" s="154" t="str">
        <f t="shared" si="184"/>
        <v>y</v>
      </c>
      <c r="QLD1" s="154" t="str">
        <f t="shared" si="184"/>
        <v>y</v>
      </c>
      <c r="QLE1" s="154" t="str">
        <f t="shared" si="184"/>
        <v>y</v>
      </c>
      <c r="QLF1" s="154" t="str">
        <f t="shared" si="184"/>
        <v>y</v>
      </c>
      <c r="QLG1" s="154" t="str">
        <f t="shared" si="184"/>
        <v>y</v>
      </c>
      <c r="QLH1" s="154" t="str">
        <f t="shared" si="184"/>
        <v>y</v>
      </c>
      <c r="QLI1" s="154" t="str">
        <f t="shared" si="184"/>
        <v>y</v>
      </c>
      <c r="QLJ1" s="154" t="str">
        <f t="shared" si="184"/>
        <v>y</v>
      </c>
      <c r="QLK1" s="154" t="str">
        <f t="shared" si="184"/>
        <v>y</v>
      </c>
      <c r="QLL1" s="154" t="str">
        <f t="shared" si="184"/>
        <v>y</v>
      </c>
      <c r="QLM1" s="154" t="str">
        <f t="shared" si="184"/>
        <v>y</v>
      </c>
      <c r="QLN1" s="154" t="str">
        <f t="shared" si="184"/>
        <v>y</v>
      </c>
      <c r="QLO1" s="154" t="str">
        <f t="shared" si="184"/>
        <v>y</v>
      </c>
      <c r="QLP1" s="154" t="str">
        <f t="shared" si="184"/>
        <v>y</v>
      </c>
      <c r="QLQ1" s="154" t="str">
        <f t="shared" si="184"/>
        <v>y</v>
      </c>
      <c r="QLR1" s="154" t="str">
        <f t="shared" si="184"/>
        <v>y</v>
      </c>
      <c r="QLS1" s="154" t="str">
        <f t="shared" si="184"/>
        <v>y</v>
      </c>
      <c r="QLT1" s="154" t="str">
        <f t="shared" si="184"/>
        <v>y</v>
      </c>
      <c r="QLU1" s="154" t="str">
        <f t="shared" si="184"/>
        <v>y</v>
      </c>
      <c r="QLV1" s="154" t="str">
        <f t="shared" si="184"/>
        <v>y</v>
      </c>
      <c r="QLW1" s="154" t="str">
        <f t="shared" si="184"/>
        <v>y</v>
      </c>
      <c r="QLX1" s="154" t="str">
        <f t="shared" si="184"/>
        <v>y</v>
      </c>
      <c r="QLY1" s="154" t="str">
        <f t="shared" si="184"/>
        <v>y</v>
      </c>
      <c r="QLZ1" s="154" t="str">
        <f t="shared" si="184"/>
        <v>y</v>
      </c>
      <c r="QMA1" s="154" t="str">
        <f t="shared" si="184"/>
        <v>y</v>
      </c>
      <c r="QMB1" s="154" t="str">
        <f t="shared" si="184"/>
        <v>y</v>
      </c>
      <c r="QMC1" s="154" t="str">
        <f t="shared" si="184"/>
        <v>y</v>
      </c>
      <c r="QMD1" s="154" t="str">
        <f t="shared" si="184"/>
        <v>y</v>
      </c>
      <c r="QME1" s="154" t="str">
        <f t="shared" si="184"/>
        <v>y</v>
      </c>
      <c r="QMF1" s="154" t="str">
        <f t="shared" si="184"/>
        <v>y</v>
      </c>
      <c r="QMG1" s="154" t="str">
        <f t="shared" si="184"/>
        <v>y</v>
      </c>
      <c r="QMH1" s="154" t="str">
        <f t="shared" si="184"/>
        <v>y</v>
      </c>
      <c r="QMI1" s="154" t="str">
        <f t="shared" si="184"/>
        <v>y</v>
      </c>
      <c r="QMJ1" s="154" t="str">
        <f t="shared" si="184"/>
        <v>y</v>
      </c>
      <c r="QMK1" s="154" t="str">
        <f t="shared" si="184"/>
        <v>y</v>
      </c>
      <c r="QML1" s="154" t="str">
        <f t="shared" si="184"/>
        <v>y</v>
      </c>
      <c r="QMM1" s="154" t="str">
        <f t="shared" si="184"/>
        <v>y</v>
      </c>
      <c r="QMN1" s="154" t="str">
        <f t="shared" ref="QMN1:QOY1" si="185">QMN2&amp;"y"</f>
        <v>y</v>
      </c>
      <c r="QMO1" s="154" t="str">
        <f t="shared" si="185"/>
        <v>y</v>
      </c>
      <c r="QMP1" s="154" t="str">
        <f t="shared" si="185"/>
        <v>y</v>
      </c>
      <c r="QMQ1" s="154" t="str">
        <f t="shared" si="185"/>
        <v>y</v>
      </c>
      <c r="QMR1" s="154" t="str">
        <f t="shared" si="185"/>
        <v>y</v>
      </c>
      <c r="QMS1" s="154" t="str">
        <f t="shared" si="185"/>
        <v>y</v>
      </c>
      <c r="QMT1" s="154" t="str">
        <f t="shared" si="185"/>
        <v>y</v>
      </c>
      <c r="QMU1" s="154" t="str">
        <f t="shared" si="185"/>
        <v>y</v>
      </c>
      <c r="QMV1" s="154" t="str">
        <f t="shared" si="185"/>
        <v>y</v>
      </c>
      <c r="QMW1" s="154" t="str">
        <f t="shared" si="185"/>
        <v>y</v>
      </c>
      <c r="QMX1" s="154" t="str">
        <f t="shared" si="185"/>
        <v>y</v>
      </c>
      <c r="QMY1" s="154" t="str">
        <f t="shared" si="185"/>
        <v>y</v>
      </c>
      <c r="QMZ1" s="154" t="str">
        <f t="shared" si="185"/>
        <v>y</v>
      </c>
      <c r="QNA1" s="154" t="str">
        <f t="shared" si="185"/>
        <v>y</v>
      </c>
      <c r="QNB1" s="154" t="str">
        <f t="shared" si="185"/>
        <v>y</v>
      </c>
      <c r="QNC1" s="154" t="str">
        <f t="shared" si="185"/>
        <v>y</v>
      </c>
      <c r="QND1" s="154" t="str">
        <f t="shared" si="185"/>
        <v>y</v>
      </c>
      <c r="QNE1" s="154" t="str">
        <f t="shared" si="185"/>
        <v>y</v>
      </c>
      <c r="QNF1" s="154" t="str">
        <f t="shared" si="185"/>
        <v>y</v>
      </c>
      <c r="QNG1" s="154" t="str">
        <f t="shared" si="185"/>
        <v>y</v>
      </c>
      <c r="QNH1" s="154" t="str">
        <f t="shared" si="185"/>
        <v>y</v>
      </c>
      <c r="QNI1" s="154" t="str">
        <f t="shared" si="185"/>
        <v>y</v>
      </c>
      <c r="QNJ1" s="154" t="str">
        <f t="shared" si="185"/>
        <v>y</v>
      </c>
      <c r="QNK1" s="154" t="str">
        <f t="shared" si="185"/>
        <v>y</v>
      </c>
      <c r="QNL1" s="154" t="str">
        <f t="shared" si="185"/>
        <v>y</v>
      </c>
      <c r="QNM1" s="154" t="str">
        <f t="shared" si="185"/>
        <v>y</v>
      </c>
      <c r="QNN1" s="154" t="str">
        <f t="shared" si="185"/>
        <v>y</v>
      </c>
      <c r="QNO1" s="154" t="str">
        <f t="shared" si="185"/>
        <v>y</v>
      </c>
      <c r="QNP1" s="154" t="str">
        <f t="shared" si="185"/>
        <v>y</v>
      </c>
      <c r="QNQ1" s="154" t="str">
        <f t="shared" si="185"/>
        <v>y</v>
      </c>
      <c r="QNR1" s="154" t="str">
        <f t="shared" si="185"/>
        <v>y</v>
      </c>
      <c r="QNS1" s="154" t="str">
        <f t="shared" si="185"/>
        <v>y</v>
      </c>
      <c r="QNT1" s="154" t="str">
        <f t="shared" si="185"/>
        <v>y</v>
      </c>
      <c r="QNU1" s="154" t="str">
        <f t="shared" si="185"/>
        <v>y</v>
      </c>
      <c r="QNV1" s="154" t="str">
        <f t="shared" si="185"/>
        <v>y</v>
      </c>
      <c r="QNW1" s="154" t="str">
        <f t="shared" si="185"/>
        <v>y</v>
      </c>
      <c r="QNX1" s="154" t="str">
        <f t="shared" si="185"/>
        <v>y</v>
      </c>
      <c r="QNY1" s="154" t="str">
        <f t="shared" si="185"/>
        <v>y</v>
      </c>
      <c r="QNZ1" s="154" t="str">
        <f t="shared" si="185"/>
        <v>y</v>
      </c>
      <c r="QOA1" s="154" t="str">
        <f t="shared" si="185"/>
        <v>y</v>
      </c>
      <c r="QOB1" s="154" t="str">
        <f t="shared" si="185"/>
        <v>y</v>
      </c>
      <c r="QOC1" s="154" t="str">
        <f t="shared" si="185"/>
        <v>y</v>
      </c>
      <c r="QOD1" s="154" t="str">
        <f t="shared" si="185"/>
        <v>y</v>
      </c>
      <c r="QOE1" s="154" t="str">
        <f t="shared" si="185"/>
        <v>y</v>
      </c>
      <c r="QOF1" s="154" t="str">
        <f t="shared" si="185"/>
        <v>y</v>
      </c>
      <c r="QOG1" s="154" t="str">
        <f t="shared" si="185"/>
        <v>y</v>
      </c>
      <c r="QOH1" s="154" t="str">
        <f t="shared" si="185"/>
        <v>y</v>
      </c>
      <c r="QOI1" s="154" t="str">
        <f t="shared" si="185"/>
        <v>y</v>
      </c>
      <c r="QOJ1" s="154" t="str">
        <f t="shared" si="185"/>
        <v>y</v>
      </c>
      <c r="QOK1" s="154" t="str">
        <f t="shared" si="185"/>
        <v>y</v>
      </c>
      <c r="QOL1" s="154" t="str">
        <f t="shared" si="185"/>
        <v>y</v>
      </c>
      <c r="QOM1" s="154" t="str">
        <f t="shared" si="185"/>
        <v>y</v>
      </c>
      <c r="QON1" s="154" t="str">
        <f t="shared" si="185"/>
        <v>y</v>
      </c>
      <c r="QOO1" s="154" t="str">
        <f t="shared" si="185"/>
        <v>y</v>
      </c>
      <c r="QOP1" s="154" t="str">
        <f t="shared" si="185"/>
        <v>y</v>
      </c>
      <c r="QOQ1" s="154" t="str">
        <f t="shared" si="185"/>
        <v>y</v>
      </c>
      <c r="QOR1" s="154" t="str">
        <f t="shared" si="185"/>
        <v>y</v>
      </c>
      <c r="QOS1" s="154" t="str">
        <f t="shared" si="185"/>
        <v>y</v>
      </c>
      <c r="QOT1" s="154" t="str">
        <f t="shared" si="185"/>
        <v>y</v>
      </c>
      <c r="QOU1" s="154" t="str">
        <f t="shared" si="185"/>
        <v>y</v>
      </c>
      <c r="QOV1" s="154" t="str">
        <f t="shared" si="185"/>
        <v>y</v>
      </c>
      <c r="QOW1" s="154" t="str">
        <f t="shared" si="185"/>
        <v>y</v>
      </c>
      <c r="QOX1" s="154" t="str">
        <f t="shared" si="185"/>
        <v>y</v>
      </c>
      <c r="QOY1" s="154" t="str">
        <f t="shared" si="185"/>
        <v>y</v>
      </c>
      <c r="QOZ1" s="154" t="str">
        <f t="shared" ref="QOZ1:QRK1" si="186">QOZ2&amp;"y"</f>
        <v>y</v>
      </c>
      <c r="QPA1" s="154" t="str">
        <f t="shared" si="186"/>
        <v>y</v>
      </c>
      <c r="QPB1" s="154" t="str">
        <f t="shared" si="186"/>
        <v>y</v>
      </c>
      <c r="QPC1" s="154" t="str">
        <f t="shared" si="186"/>
        <v>y</v>
      </c>
      <c r="QPD1" s="154" t="str">
        <f t="shared" si="186"/>
        <v>y</v>
      </c>
      <c r="QPE1" s="154" t="str">
        <f t="shared" si="186"/>
        <v>y</v>
      </c>
      <c r="QPF1" s="154" t="str">
        <f t="shared" si="186"/>
        <v>y</v>
      </c>
      <c r="QPG1" s="154" t="str">
        <f t="shared" si="186"/>
        <v>y</v>
      </c>
      <c r="QPH1" s="154" t="str">
        <f t="shared" si="186"/>
        <v>y</v>
      </c>
      <c r="QPI1" s="154" t="str">
        <f t="shared" si="186"/>
        <v>y</v>
      </c>
      <c r="QPJ1" s="154" t="str">
        <f t="shared" si="186"/>
        <v>y</v>
      </c>
      <c r="QPK1" s="154" t="str">
        <f t="shared" si="186"/>
        <v>y</v>
      </c>
      <c r="QPL1" s="154" t="str">
        <f t="shared" si="186"/>
        <v>y</v>
      </c>
      <c r="QPM1" s="154" t="str">
        <f t="shared" si="186"/>
        <v>y</v>
      </c>
      <c r="QPN1" s="154" t="str">
        <f t="shared" si="186"/>
        <v>y</v>
      </c>
      <c r="QPO1" s="154" t="str">
        <f t="shared" si="186"/>
        <v>y</v>
      </c>
      <c r="QPP1" s="154" t="str">
        <f t="shared" si="186"/>
        <v>y</v>
      </c>
      <c r="QPQ1" s="154" t="str">
        <f t="shared" si="186"/>
        <v>y</v>
      </c>
      <c r="QPR1" s="154" t="str">
        <f t="shared" si="186"/>
        <v>y</v>
      </c>
      <c r="QPS1" s="154" t="str">
        <f t="shared" si="186"/>
        <v>y</v>
      </c>
      <c r="QPT1" s="154" t="str">
        <f t="shared" si="186"/>
        <v>y</v>
      </c>
      <c r="QPU1" s="154" t="str">
        <f t="shared" si="186"/>
        <v>y</v>
      </c>
      <c r="QPV1" s="154" t="str">
        <f t="shared" si="186"/>
        <v>y</v>
      </c>
      <c r="QPW1" s="154" t="str">
        <f t="shared" si="186"/>
        <v>y</v>
      </c>
      <c r="QPX1" s="154" t="str">
        <f t="shared" si="186"/>
        <v>y</v>
      </c>
      <c r="QPY1" s="154" t="str">
        <f t="shared" si="186"/>
        <v>y</v>
      </c>
      <c r="QPZ1" s="154" t="str">
        <f t="shared" si="186"/>
        <v>y</v>
      </c>
      <c r="QQA1" s="154" t="str">
        <f t="shared" si="186"/>
        <v>y</v>
      </c>
      <c r="QQB1" s="154" t="str">
        <f t="shared" si="186"/>
        <v>y</v>
      </c>
      <c r="QQC1" s="154" t="str">
        <f t="shared" si="186"/>
        <v>y</v>
      </c>
      <c r="QQD1" s="154" t="str">
        <f t="shared" si="186"/>
        <v>y</v>
      </c>
      <c r="QQE1" s="154" t="str">
        <f t="shared" si="186"/>
        <v>y</v>
      </c>
      <c r="QQF1" s="154" t="str">
        <f t="shared" si="186"/>
        <v>y</v>
      </c>
      <c r="QQG1" s="154" t="str">
        <f t="shared" si="186"/>
        <v>y</v>
      </c>
      <c r="QQH1" s="154" t="str">
        <f t="shared" si="186"/>
        <v>y</v>
      </c>
      <c r="QQI1" s="154" t="str">
        <f t="shared" si="186"/>
        <v>y</v>
      </c>
      <c r="QQJ1" s="154" t="str">
        <f t="shared" si="186"/>
        <v>y</v>
      </c>
      <c r="QQK1" s="154" t="str">
        <f t="shared" si="186"/>
        <v>y</v>
      </c>
      <c r="QQL1" s="154" t="str">
        <f t="shared" si="186"/>
        <v>y</v>
      </c>
      <c r="QQM1" s="154" t="str">
        <f t="shared" si="186"/>
        <v>y</v>
      </c>
      <c r="QQN1" s="154" t="str">
        <f t="shared" si="186"/>
        <v>y</v>
      </c>
      <c r="QQO1" s="154" t="str">
        <f t="shared" si="186"/>
        <v>y</v>
      </c>
      <c r="QQP1" s="154" t="str">
        <f t="shared" si="186"/>
        <v>y</v>
      </c>
      <c r="QQQ1" s="154" t="str">
        <f t="shared" si="186"/>
        <v>y</v>
      </c>
      <c r="QQR1" s="154" t="str">
        <f t="shared" si="186"/>
        <v>y</v>
      </c>
      <c r="QQS1" s="154" t="str">
        <f t="shared" si="186"/>
        <v>y</v>
      </c>
      <c r="QQT1" s="154" t="str">
        <f t="shared" si="186"/>
        <v>y</v>
      </c>
      <c r="QQU1" s="154" t="str">
        <f t="shared" si="186"/>
        <v>y</v>
      </c>
      <c r="QQV1" s="154" t="str">
        <f t="shared" si="186"/>
        <v>y</v>
      </c>
      <c r="QQW1" s="154" t="str">
        <f t="shared" si="186"/>
        <v>y</v>
      </c>
      <c r="QQX1" s="154" t="str">
        <f t="shared" si="186"/>
        <v>y</v>
      </c>
      <c r="QQY1" s="154" t="str">
        <f t="shared" si="186"/>
        <v>y</v>
      </c>
      <c r="QQZ1" s="154" t="str">
        <f t="shared" si="186"/>
        <v>y</v>
      </c>
      <c r="QRA1" s="154" t="str">
        <f t="shared" si="186"/>
        <v>y</v>
      </c>
      <c r="QRB1" s="154" t="str">
        <f t="shared" si="186"/>
        <v>y</v>
      </c>
      <c r="QRC1" s="154" t="str">
        <f t="shared" si="186"/>
        <v>y</v>
      </c>
      <c r="QRD1" s="154" t="str">
        <f t="shared" si="186"/>
        <v>y</v>
      </c>
      <c r="QRE1" s="154" t="str">
        <f t="shared" si="186"/>
        <v>y</v>
      </c>
      <c r="QRF1" s="154" t="str">
        <f t="shared" si="186"/>
        <v>y</v>
      </c>
      <c r="QRG1" s="154" t="str">
        <f t="shared" si="186"/>
        <v>y</v>
      </c>
      <c r="QRH1" s="154" t="str">
        <f t="shared" si="186"/>
        <v>y</v>
      </c>
      <c r="QRI1" s="154" t="str">
        <f t="shared" si="186"/>
        <v>y</v>
      </c>
      <c r="QRJ1" s="154" t="str">
        <f t="shared" si="186"/>
        <v>y</v>
      </c>
      <c r="QRK1" s="154" t="str">
        <f t="shared" si="186"/>
        <v>y</v>
      </c>
      <c r="QRL1" s="154" t="str">
        <f t="shared" ref="QRL1:QTW1" si="187">QRL2&amp;"y"</f>
        <v>y</v>
      </c>
      <c r="QRM1" s="154" t="str">
        <f t="shared" si="187"/>
        <v>y</v>
      </c>
      <c r="QRN1" s="154" t="str">
        <f t="shared" si="187"/>
        <v>y</v>
      </c>
      <c r="QRO1" s="154" t="str">
        <f t="shared" si="187"/>
        <v>y</v>
      </c>
      <c r="QRP1" s="154" t="str">
        <f t="shared" si="187"/>
        <v>y</v>
      </c>
      <c r="QRQ1" s="154" t="str">
        <f t="shared" si="187"/>
        <v>y</v>
      </c>
      <c r="QRR1" s="154" t="str">
        <f t="shared" si="187"/>
        <v>y</v>
      </c>
      <c r="QRS1" s="154" t="str">
        <f t="shared" si="187"/>
        <v>y</v>
      </c>
      <c r="QRT1" s="154" t="str">
        <f t="shared" si="187"/>
        <v>y</v>
      </c>
      <c r="QRU1" s="154" t="str">
        <f t="shared" si="187"/>
        <v>y</v>
      </c>
      <c r="QRV1" s="154" t="str">
        <f t="shared" si="187"/>
        <v>y</v>
      </c>
      <c r="QRW1" s="154" t="str">
        <f t="shared" si="187"/>
        <v>y</v>
      </c>
      <c r="QRX1" s="154" t="str">
        <f t="shared" si="187"/>
        <v>y</v>
      </c>
      <c r="QRY1" s="154" t="str">
        <f t="shared" si="187"/>
        <v>y</v>
      </c>
      <c r="QRZ1" s="154" t="str">
        <f t="shared" si="187"/>
        <v>y</v>
      </c>
      <c r="QSA1" s="154" t="str">
        <f t="shared" si="187"/>
        <v>y</v>
      </c>
      <c r="QSB1" s="154" t="str">
        <f t="shared" si="187"/>
        <v>y</v>
      </c>
      <c r="QSC1" s="154" t="str">
        <f t="shared" si="187"/>
        <v>y</v>
      </c>
      <c r="QSD1" s="154" t="str">
        <f t="shared" si="187"/>
        <v>y</v>
      </c>
      <c r="QSE1" s="154" t="str">
        <f t="shared" si="187"/>
        <v>y</v>
      </c>
      <c r="QSF1" s="154" t="str">
        <f t="shared" si="187"/>
        <v>y</v>
      </c>
      <c r="QSG1" s="154" t="str">
        <f t="shared" si="187"/>
        <v>y</v>
      </c>
      <c r="QSH1" s="154" t="str">
        <f t="shared" si="187"/>
        <v>y</v>
      </c>
      <c r="QSI1" s="154" t="str">
        <f t="shared" si="187"/>
        <v>y</v>
      </c>
      <c r="QSJ1" s="154" t="str">
        <f t="shared" si="187"/>
        <v>y</v>
      </c>
      <c r="QSK1" s="154" t="str">
        <f t="shared" si="187"/>
        <v>y</v>
      </c>
      <c r="QSL1" s="154" t="str">
        <f t="shared" si="187"/>
        <v>y</v>
      </c>
      <c r="QSM1" s="154" t="str">
        <f t="shared" si="187"/>
        <v>y</v>
      </c>
      <c r="QSN1" s="154" t="str">
        <f t="shared" si="187"/>
        <v>y</v>
      </c>
      <c r="QSO1" s="154" t="str">
        <f t="shared" si="187"/>
        <v>y</v>
      </c>
      <c r="QSP1" s="154" t="str">
        <f t="shared" si="187"/>
        <v>y</v>
      </c>
      <c r="QSQ1" s="154" t="str">
        <f t="shared" si="187"/>
        <v>y</v>
      </c>
      <c r="QSR1" s="154" t="str">
        <f t="shared" si="187"/>
        <v>y</v>
      </c>
      <c r="QSS1" s="154" t="str">
        <f t="shared" si="187"/>
        <v>y</v>
      </c>
      <c r="QST1" s="154" t="str">
        <f t="shared" si="187"/>
        <v>y</v>
      </c>
      <c r="QSU1" s="154" t="str">
        <f t="shared" si="187"/>
        <v>y</v>
      </c>
      <c r="QSV1" s="154" t="str">
        <f t="shared" si="187"/>
        <v>y</v>
      </c>
      <c r="QSW1" s="154" t="str">
        <f t="shared" si="187"/>
        <v>y</v>
      </c>
      <c r="QSX1" s="154" t="str">
        <f t="shared" si="187"/>
        <v>y</v>
      </c>
      <c r="QSY1" s="154" t="str">
        <f t="shared" si="187"/>
        <v>y</v>
      </c>
      <c r="QSZ1" s="154" t="str">
        <f t="shared" si="187"/>
        <v>y</v>
      </c>
      <c r="QTA1" s="154" t="str">
        <f t="shared" si="187"/>
        <v>y</v>
      </c>
      <c r="QTB1" s="154" t="str">
        <f t="shared" si="187"/>
        <v>y</v>
      </c>
      <c r="QTC1" s="154" t="str">
        <f t="shared" si="187"/>
        <v>y</v>
      </c>
      <c r="QTD1" s="154" t="str">
        <f t="shared" si="187"/>
        <v>y</v>
      </c>
      <c r="QTE1" s="154" t="str">
        <f t="shared" si="187"/>
        <v>y</v>
      </c>
      <c r="QTF1" s="154" t="str">
        <f t="shared" si="187"/>
        <v>y</v>
      </c>
      <c r="QTG1" s="154" t="str">
        <f t="shared" si="187"/>
        <v>y</v>
      </c>
      <c r="QTH1" s="154" t="str">
        <f t="shared" si="187"/>
        <v>y</v>
      </c>
      <c r="QTI1" s="154" t="str">
        <f t="shared" si="187"/>
        <v>y</v>
      </c>
      <c r="QTJ1" s="154" t="str">
        <f t="shared" si="187"/>
        <v>y</v>
      </c>
      <c r="QTK1" s="154" t="str">
        <f t="shared" si="187"/>
        <v>y</v>
      </c>
      <c r="QTL1" s="154" t="str">
        <f t="shared" si="187"/>
        <v>y</v>
      </c>
      <c r="QTM1" s="154" t="str">
        <f t="shared" si="187"/>
        <v>y</v>
      </c>
      <c r="QTN1" s="154" t="str">
        <f t="shared" si="187"/>
        <v>y</v>
      </c>
      <c r="QTO1" s="154" t="str">
        <f t="shared" si="187"/>
        <v>y</v>
      </c>
      <c r="QTP1" s="154" t="str">
        <f t="shared" si="187"/>
        <v>y</v>
      </c>
      <c r="QTQ1" s="154" t="str">
        <f t="shared" si="187"/>
        <v>y</v>
      </c>
      <c r="QTR1" s="154" t="str">
        <f t="shared" si="187"/>
        <v>y</v>
      </c>
      <c r="QTS1" s="154" t="str">
        <f t="shared" si="187"/>
        <v>y</v>
      </c>
      <c r="QTT1" s="154" t="str">
        <f t="shared" si="187"/>
        <v>y</v>
      </c>
      <c r="QTU1" s="154" t="str">
        <f t="shared" si="187"/>
        <v>y</v>
      </c>
      <c r="QTV1" s="154" t="str">
        <f t="shared" si="187"/>
        <v>y</v>
      </c>
      <c r="QTW1" s="154" t="str">
        <f t="shared" si="187"/>
        <v>y</v>
      </c>
      <c r="QTX1" s="154" t="str">
        <f t="shared" ref="QTX1:QWI1" si="188">QTX2&amp;"y"</f>
        <v>y</v>
      </c>
      <c r="QTY1" s="154" t="str">
        <f t="shared" si="188"/>
        <v>y</v>
      </c>
      <c r="QTZ1" s="154" t="str">
        <f t="shared" si="188"/>
        <v>y</v>
      </c>
      <c r="QUA1" s="154" t="str">
        <f t="shared" si="188"/>
        <v>y</v>
      </c>
      <c r="QUB1" s="154" t="str">
        <f t="shared" si="188"/>
        <v>y</v>
      </c>
      <c r="QUC1" s="154" t="str">
        <f t="shared" si="188"/>
        <v>y</v>
      </c>
      <c r="QUD1" s="154" t="str">
        <f t="shared" si="188"/>
        <v>y</v>
      </c>
      <c r="QUE1" s="154" t="str">
        <f t="shared" si="188"/>
        <v>y</v>
      </c>
      <c r="QUF1" s="154" t="str">
        <f t="shared" si="188"/>
        <v>y</v>
      </c>
      <c r="QUG1" s="154" t="str">
        <f t="shared" si="188"/>
        <v>y</v>
      </c>
      <c r="QUH1" s="154" t="str">
        <f t="shared" si="188"/>
        <v>y</v>
      </c>
      <c r="QUI1" s="154" t="str">
        <f t="shared" si="188"/>
        <v>y</v>
      </c>
      <c r="QUJ1" s="154" t="str">
        <f t="shared" si="188"/>
        <v>y</v>
      </c>
      <c r="QUK1" s="154" t="str">
        <f t="shared" si="188"/>
        <v>y</v>
      </c>
      <c r="QUL1" s="154" t="str">
        <f t="shared" si="188"/>
        <v>y</v>
      </c>
      <c r="QUM1" s="154" t="str">
        <f t="shared" si="188"/>
        <v>y</v>
      </c>
      <c r="QUN1" s="154" t="str">
        <f t="shared" si="188"/>
        <v>y</v>
      </c>
      <c r="QUO1" s="154" t="str">
        <f t="shared" si="188"/>
        <v>y</v>
      </c>
      <c r="QUP1" s="154" t="str">
        <f t="shared" si="188"/>
        <v>y</v>
      </c>
      <c r="QUQ1" s="154" t="str">
        <f t="shared" si="188"/>
        <v>y</v>
      </c>
      <c r="QUR1" s="154" t="str">
        <f t="shared" si="188"/>
        <v>y</v>
      </c>
      <c r="QUS1" s="154" t="str">
        <f t="shared" si="188"/>
        <v>y</v>
      </c>
      <c r="QUT1" s="154" t="str">
        <f t="shared" si="188"/>
        <v>y</v>
      </c>
      <c r="QUU1" s="154" t="str">
        <f t="shared" si="188"/>
        <v>y</v>
      </c>
      <c r="QUV1" s="154" t="str">
        <f t="shared" si="188"/>
        <v>y</v>
      </c>
      <c r="QUW1" s="154" t="str">
        <f t="shared" si="188"/>
        <v>y</v>
      </c>
      <c r="QUX1" s="154" t="str">
        <f t="shared" si="188"/>
        <v>y</v>
      </c>
      <c r="QUY1" s="154" t="str">
        <f t="shared" si="188"/>
        <v>y</v>
      </c>
      <c r="QUZ1" s="154" t="str">
        <f t="shared" si="188"/>
        <v>y</v>
      </c>
      <c r="QVA1" s="154" t="str">
        <f t="shared" si="188"/>
        <v>y</v>
      </c>
      <c r="QVB1" s="154" t="str">
        <f t="shared" si="188"/>
        <v>y</v>
      </c>
      <c r="QVC1" s="154" t="str">
        <f t="shared" si="188"/>
        <v>y</v>
      </c>
      <c r="QVD1" s="154" t="str">
        <f t="shared" si="188"/>
        <v>y</v>
      </c>
      <c r="QVE1" s="154" t="str">
        <f t="shared" si="188"/>
        <v>y</v>
      </c>
      <c r="QVF1" s="154" t="str">
        <f t="shared" si="188"/>
        <v>y</v>
      </c>
      <c r="QVG1" s="154" t="str">
        <f t="shared" si="188"/>
        <v>y</v>
      </c>
      <c r="QVH1" s="154" t="str">
        <f t="shared" si="188"/>
        <v>y</v>
      </c>
      <c r="QVI1" s="154" t="str">
        <f t="shared" si="188"/>
        <v>y</v>
      </c>
      <c r="QVJ1" s="154" t="str">
        <f t="shared" si="188"/>
        <v>y</v>
      </c>
      <c r="QVK1" s="154" t="str">
        <f t="shared" si="188"/>
        <v>y</v>
      </c>
      <c r="QVL1" s="154" t="str">
        <f t="shared" si="188"/>
        <v>y</v>
      </c>
      <c r="QVM1" s="154" t="str">
        <f t="shared" si="188"/>
        <v>y</v>
      </c>
      <c r="QVN1" s="154" t="str">
        <f t="shared" si="188"/>
        <v>y</v>
      </c>
      <c r="QVO1" s="154" t="str">
        <f t="shared" si="188"/>
        <v>y</v>
      </c>
      <c r="QVP1" s="154" t="str">
        <f t="shared" si="188"/>
        <v>y</v>
      </c>
      <c r="QVQ1" s="154" t="str">
        <f t="shared" si="188"/>
        <v>y</v>
      </c>
      <c r="QVR1" s="154" t="str">
        <f t="shared" si="188"/>
        <v>y</v>
      </c>
      <c r="QVS1" s="154" t="str">
        <f t="shared" si="188"/>
        <v>y</v>
      </c>
      <c r="QVT1" s="154" t="str">
        <f t="shared" si="188"/>
        <v>y</v>
      </c>
      <c r="QVU1" s="154" t="str">
        <f t="shared" si="188"/>
        <v>y</v>
      </c>
      <c r="QVV1" s="154" t="str">
        <f t="shared" si="188"/>
        <v>y</v>
      </c>
      <c r="QVW1" s="154" t="str">
        <f t="shared" si="188"/>
        <v>y</v>
      </c>
      <c r="QVX1" s="154" t="str">
        <f t="shared" si="188"/>
        <v>y</v>
      </c>
      <c r="QVY1" s="154" t="str">
        <f t="shared" si="188"/>
        <v>y</v>
      </c>
      <c r="QVZ1" s="154" t="str">
        <f t="shared" si="188"/>
        <v>y</v>
      </c>
      <c r="QWA1" s="154" t="str">
        <f t="shared" si="188"/>
        <v>y</v>
      </c>
      <c r="QWB1" s="154" t="str">
        <f t="shared" si="188"/>
        <v>y</v>
      </c>
      <c r="QWC1" s="154" t="str">
        <f t="shared" si="188"/>
        <v>y</v>
      </c>
      <c r="QWD1" s="154" t="str">
        <f t="shared" si="188"/>
        <v>y</v>
      </c>
      <c r="QWE1" s="154" t="str">
        <f t="shared" si="188"/>
        <v>y</v>
      </c>
      <c r="QWF1" s="154" t="str">
        <f t="shared" si="188"/>
        <v>y</v>
      </c>
      <c r="QWG1" s="154" t="str">
        <f t="shared" si="188"/>
        <v>y</v>
      </c>
      <c r="QWH1" s="154" t="str">
        <f t="shared" si="188"/>
        <v>y</v>
      </c>
      <c r="QWI1" s="154" t="str">
        <f t="shared" si="188"/>
        <v>y</v>
      </c>
      <c r="QWJ1" s="154" t="str">
        <f t="shared" ref="QWJ1:QYU1" si="189">QWJ2&amp;"y"</f>
        <v>y</v>
      </c>
      <c r="QWK1" s="154" t="str">
        <f t="shared" si="189"/>
        <v>y</v>
      </c>
      <c r="QWL1" s="154" t="str">
        <f t="shared" si="189"/>
        <v>y</v>
      </c>
      <c r="QWM1" s="154" t="str">
        <f t="shared" si="189"/>
        <v>y</v>
      </c>
      <c r="QWN1" s="154" t="str">
        <f t="shared" si="189"/>
        <v>y</v>
      </c>
      <c r="QWO1" s="154" t="str">
        <f t="shared" si="189"/>
        <v>y</v>
      </c>
      <c r="QWP1" s="154" t="str">
        <f t="shared" si="189"/>
        <v>y</v>
      </c>
      <c r="QWQ1" s="154" t="str">
        <f t="shared" si="189"/>
        <v>y</v>
      </c>
      <c r="QWR1" s="154" t="str">
        <f t="shared" si="189"/>
        <v>y</v>
      </c>
      <c r="QWS1" s="154" t="str">
        <f t="shared" si="189"/>
        <v>y</v>
      </c>
      <c r="QWT1" s="154" t="str">
        <f t="shared" si="189"/>
        <v>y</v>
      </c>
      <c r="QWU1" s="154" t="str">
        <f t="shared" si="189"/>
        <v>y</v>
      </c>
      <c r="QWV1" s="154" t="str">
        <f t="shared" si="189"/>
        <v>y</v>
      </c>
      <c r="QWW1" s="154" t="str">
        <f t="shared" si="189"/>
        <v>y</v>
      </c>
      <c r="QWX1" s="154" t="str">
        <f t="shared" si="189"/>
        <v>y</v>
      </c>
      <c r="QWY1" s="154" t="str">
        <f t="shared" si="189"/>
        <v>y</v>
      </c>
      <c r="QWZ1" s="154" t="str">
        <f t="shared" si="189"/>
        <v>y</v>
      </c>
      <c r="QXA1" s="154" t="str">
        <f t="shared" si="189"/>
        <v>y</v>
      </c>
      <c r="QXB1" s="154" t="str">
        <f t="shared" si="189"/>
        <v>y</v>
      </c>
      <c r="QXC1" s="154" t="str">
        <f t="shared" si="189"/>
        <v>y</v>
      </c>
      <c r="QXD1" s="154" t="str">
        <f t="shared" si="189"/>
        <v>y</v>
      </c>
      <c r="QXE1" s="154" t="str">
        <f t="shared" si="189"/>
        <v>y</v>
      </c>
      <c r="QXF1" s="154" t="str">
        <f t="shared" si="189"/>
        <v>y</v>
      </c>
      <c r="QXG1" s="154" t="str">
        <f t="shared" si="189"/>
        <v>y</v>
      </c>
      <c r="QXH1" s="154" t="str">
        <f t="shared" si="189"/>
        <v>y</v>
      </c>
      <c r="QXI1" s="154" t="str">
        <f t="shared" si="189"/>
        <v>y</v>
      </c>
      <c r="QXJ1" s="154" t="str">
        <f t="shared" si="189"/>
        <v>y</v>
      </c>
      <c r="QXK1" s="154" t="str">
        <f t="shared" si="189"/>
        <v>y</v>
      </c>
      <c r="QXL1" s="154" t="str">
        <f t="shared" si="189"/>
        <v>y</v>
      </c>
      <c r="QXM1" s="154" t="str">
        <f t="shared" si="189"/>
        <v>y</v>
      </c>
      <c r="QXN1" s="154" t="str">
        <f t="shared" si="189"/>
        <v>y</v>
      </c>
      <c r="QXO1" s="154" t="str">
        <f t="shared" si="189"/>
        <v>y</v>
      </c>
      <c r="QXP1" s="154" t="str">
        <f t="shared" si="189"/>
        <v>y</v>
      </c>
      <c r="QXQ1" s="154" t="str">
        <f t="shared" si="189"/>
        <v>y</v>
      </c>
      <c r="QXR1" s="154" t="str">
        <f t="shared" si="189"/>
        <v>y</v>
      </c>
      <c r="QXS1" s="154" t="str">
        <f t="shared" si="189"/>
        <v>y</v>
      </c>
      <c r="QXT1" s="154" t="str">
        <f t="shared" si="189"/>
        <v>y</v>
      </c>
      <c r="QXU1" s="154" t="str">
        <f t="shared" si="189"/>
        <v>y</v>
      </c>
      <c r="QXV1" s="154" t="str">
        <f t="shared" si="189"/>
        <v>y</v>
      </c>
      <c r="QXW1" s="154" t="str">
        <f t="shared" si="189"/>
        <v>y</v>
      </c>
      <c r="QXX1" s="154" t="str">
        <f t="shared" si="189"/>
        <v>y</v>
      </c>
      <c r="QXY1" s="154" t="str">
        <f t="shared" si="189"/>
        <v>y</v>
      </c>
      <c r="QXZ1" s="154" t="str">
        <f t="shared" si="189"/>
        <v>y</v>
      </c>
      <c r="QYA1" s="154" t="str">
        <f t="shared" si="189"/>
        <v>y</v>
      </c>
      <c r="QYB1" s="154" t="str">
        <f t="shared" si="189"/>
        <v>y</v>
      </c>
      <c r="QYC1" s="154" t="str">
        <f t="shared" si="189"/>
        <v>y</v>
      </c>
      <c r="QYD1" s="154" t="str">
        <f t="shared" si="189"/>
        <v>y</v>
      </c>
      <c r="QYE1" s="154" t="str">
        <f t="shared" si="189"/>
        <v>y</v>
      </c>
      <c r="QYF1" s="154" t="str">
        <f t="shared" si="189"/>
        <v>y</v>
      </c>
      <c r="QYG1" s="154" t="str">
        <f t="shared" si="189"/>
        <v>y</v>
      </c>
      <c r="QYH1" s="154" t="str">
        <f t="shared" si="189"/>
        <v>y</v>
      </c>
      <c r="QYI1" s="154" t="str">
        <f t="shared" si="189"/>
        <v>y</v>
      </c>
      <c r="QYJ1" s="154" t="str">
        <f t="shared" si="189"/>
        <v>y</v>
      </c>
      <c r="QYK1" s="154" t="str">
        <f t="shared" si="189"/>
        <v>y</v>
      </c>
      <c r="QYL1" s="154" t="str">
        <f t="shared" si="189"/>
        <v>y</v>
      </c>
      <c r="QYM1" s="154" t="str">
        <f t="shared" si="189"/>
        <v>y</v>
      </c>
      <c r="QYN1" s="154" t="str">
        <f t="shared" si="189"/>
        <v>y</v>
      </c>
      <c r="QYO1" s="154" t="str">
        <f t="shared" si="189"/>
        <v>y</v>
      </c>
      <c r="QYP1" s="154" t="str">
        <f t="shared" si="189"/>
        <v>y</v>
      </c>
      <c r="QYQ1" s="154" t="str">
        <f t="shared" si="189"/>
        <v>y</v>
      </c>
      <c r="QYR1" s="154" t="str">
        <f t="shared" si="189"/>
        <v>y</v>
      </c>
      <c r="QYS1" s="154" t="str">
        <f t="shared" si="189"/>
        <v>y</v>
      </c>
      <c r="QYT1" s="154" t="str">
        <f t="shared" si="189"/>
        <v>y</v>
      </c>
      <c r="QYU1" s="154" t="str">
        <f t="shared" si="189"/>
        <v>y</v>
      </c>
      <c r="QYV1" s="154" t="str">
        <f t="shared" ref="QYV1:RBG1" si="190">QYV2&amp;"y"</f>
        <v>y</v>
      </c>
      <c r="QYW1" s="154" t="str">
        <f t="shared" si="190"/>
        <v>y</v>
      </c>
      <c r="QYX1" s="154" t="str">
        <f t="shared" si="190"/>
        <v>y</v>
      </c>
      <c r="QYY1" s="154" t="str">
        <f t="shared" si="190"/>
        <v>y</v>
      </c>
      <c r="QYZ1" s="154" t="str">
        <f t="shared" si="190"/>
        <v>y</v>
      </c>
      <c r="QZA1" s="154" t="str">
        <f t="shared" si="190"/>
        <v>y</v>
      </c>
      <c r="QZB1" s="154" t="str">
        <f t="shared" si="190"/>
        <v>y</v>
      </c>
      <c r="QZC1" s="154" t="str">
        <f t="shared" si="190"/>
        <v>y</v>
      </c>
      <c r="QZD1" s="154" t="str">
        <f t="shared" si="190"/>
        <v>y</v>
      </c>
      <c r="QZE1" s="154" t="str">
        <f t="shared" si="190"/>
        <v>y</v>
      </c>
      <c r="QZF1" s="154" t="str">
        <f t="shared" si="190"/>
        <v>y</v>
      </c>
      <c r="QZG1" s="154" t="str">
        <f t="shared" si="190"/>
        <v>y</v>
      </c>
      <c r="QZH1" s="154" t="str">
        <f t="shared" si="190"/>
        <v>y</v>
      </c>
      <c r="QZI1" s="154" t="str">
        <f t="shared" si="190"/>
        <v>y</v>
      </c>
      <c r="QZJ1" s="154" t="str">
        <f t="shared" si="190"/>
        <v>y</v>
      </c>
      <c r="QZK1" s="154" t="str">
        <f t="shared" si="190"/>
        <v>y</v>
      </c>
      <c r="QZL1" s="154" t="str">
        <f t="shared" si="190"/>
        <v>y</v>
      </c>
      <c r="QZM1" s="154" t="str">
        <f t="shared" si="190"/>
        <v>y</v>
      </c>
      <c r="QZN1" s="154" t="str">
        <f t="shared" si="190"/>
        <v>y</v>
      </c>
      <c r="QZO1" s="154" t="str">
        <f t="shared" si="190"/>
        <v>y</v>
      </c>
      <c r="QZP1" s="154" t="str">
        <f t="shared" si="190"/>
        <v>y</v>
      </c>
      <c r="QZQ1" s="154" t="str">
        <f t="shared" si="190"/>
        <v>y</v>
      </c>
      <c r="QZR1" s="154" t="str">
        <f t="shared" si="190"/>
        <v>y</v>
      </c>
      <c r="QZS1" s="154" t="str">
        <f t="shared" si="190"/>
        <v>y</v>
      </c>
      <c r="QZT1" s="154" t="str">
        <f t="shared" si="190"/>
        <v>y</v>
      </c>
      <c r="QZU1" s="154" t="str">
        <f t="shared" si="190"/>
        <v>y</v>
      </c>
      <c r="QZV1" s="154" t="str">
        <f t="shared" si="190"/>
        <v>y</v>
      </c>
      <c r="QZW1" s="154" t="str">
        <f t="shared" si="190"/>
        <v>y</v>
      </c>
      <c r="QZX1" s="154" t="str">
        <f t="shared" si="190"/>
        <v>y</v>
      </c>
      <c r="QZY1" s="154" t="str">
        <f t="shared" si="190"/>
        <v>y</v>
      </c>
      <c r="QZZ1" s="154" t="str">
        <f t="shared" si="190"/>
        <v>y</v>
      </c>
      <c r="RAA1" s="154" t="str">
        <f t="shared" si="190"/>
        <v>y</v>
      </c>
      <c r="RAB1" s="154" t="str">
        <f t="shared" si="190"/>
        <v>y</v>
      </c>
      <c r="RAC1" s="154" t="str">
        <f t="shared" si="190"/>
        <v>y</v>
      </c>
      <c r="RAD1" s="154" t="str">
        <f t="shared" si="190"/>
        <v>y</v>
      </c>
      <c r="RAE1" s="154" t="str">
        <f t="shared" si="190"/>
        <v>y</v>
      </c>
      <c r="RAF1" s="154" t="str">
        <f t="shared" si="190"/>
        <v>y</v>
      </c>
      <c r="RAG1" s="154" t="str">
        <f t="shared" si="190"/>
        <v>y</v>
      </c>
      <c r="RAH1" s="154" t="str">
        <f t="shared" si="190"/>
        <v>y</v>
      </c>
      <c r="RAI1" s="154" t="str">
        <f t="shared" si="190"/>
        <v>y</v>
      </c>
      <c r="RAJ1" s="154" t="str">
        <f t="shared" si="190"/>
        <v>y</v>
      </c>
      <c r="RAK1" s="154" t="str">
        <f t="shared" si="190"/>
        <v>y</v>
      </c>
      <c r="RAL1" s="154" t="str">
        <f t="shared" si="190"/>
        <v>y</v>
      </c>
      <c r="RAM1" s="154" t="str">
        <f t="shared" si="190"/>
        <v>y</v>
      </c>
      <c r="RAN1" s="154" t="str">
        <f t="shared" si="190"/>
        <v>y</v>
      </c>
      <c r="RAO1" s="154" t="str">
        <f t="shared" si="190"/>
        <v>y</v>
      </c>
      <c r="RAP1" s="154" t="str">
        <f t="shared" si="190"/>
        <v>y</v>
      </c>
      <c r="RAQ1" s="154" t="str">
        <f t="shared" si="190"/>
        <v>y</v>
      </c>
      <c r="RAR1" s="154" t="str">
        <f t="shared" si="190"/>
        <v>y</v>
      </c>
      <c r="RAS1" s="154" t="str">
        <f t="shared" si="190"/>
        <v>y</v>
      </c>
      <c r="RAT1" s="154" t="str">
        <f t="shared" si="190"/>
        <v>y</v>
      </c>
      <c r="RAU1" s="154" t="str">
        <f t="shared" si="190"/>
        <v>y</v>
      </c>
      <c r="RAV1" s="154" t="str">
        <f t="shared" si="190"/>
        <v>y</v>
      </c>
      <c r="RAW1" s="154" t="str">
        <f t="shared" si="190"/>
        <v>y</v>
      </c>
      <c r="RAX1" s="154" t="str">
        <f t="shared" si="190"/>
        <v>y</v>
      </c>
      <c r="RAY1" s="154" t="str">
        <f t="shared" si="190"/>
        <v>y</v>
      </c>
      <c r="RAZ1" s="154" t="str">
        <f t="shared" si="190"/>
        <v>y</v>
      </c>
      <c r="RBA1" s="154" t="str">
        <f t="shared" si="190"/>
        <v>y</v>
      </c>
      <c r="RBB1" s="154" t="str">
        <f t="shared" si="190"/>
        <v>y</v>
      </c>
      <c r="RBC1" s="154" t="str">
        <f t="shared" si="190"/>
        <v>y</v>
      </c>
      <c r="RBD1" s="154" t="str">
        <f t="shared" si="190"/>
        <v>y</v>
      </c>
      <c r="RBE1" s="154" t="str">
        <f t="shared" si="190"/>
        <v>y</v>
      </c>
      <c r="RBF1" s="154" t="str">
        <f t="shared" si="190"/>
        <v>y</v>
      </c>
      <c r="RBG1" s="154" t="str">
        <f t="shared" si="190"/>
        <v>y</v>
      </c>
      <c r="RBH1" s="154" t="str">
        <f t="shared" ref="RBH1:RDS1" si="191">RBH2&amp;"y"</f>
        <v>y</v>
      </c>
      <c r="RBI1" s="154" t="str">
        <f t="shared" si="191"/>
        <v>y</v>
      </c>
      <c r="RBJ1" s="154" t="str">
        <f t="shared" si="191"/>
        <v>y</v>
      </c>
      <c r="RBK1" s="154" t="str">
        <f t="shared" si="191"/>
        <v>y</v>
      </c>
      <c r="RBL1" s="154" t="str">
        <f t="shared" si="191"/>
        <v>y</v>
      </c>
      <c r="RBM1" s="154" t="str">
        <f t="shared" si="191"/>
        <v>y</v>
      </c>
      <c r="RBN1" s="154" t="str">
        <f t="shared" si="191"/>
        <v>y</v>
      </c>
      <c r="RBO1" s="154" t="str">
        <f t="shared" si="191"/>
        <v>y</v>
      </c>
      <c r="RBP1" s="154" t="str">
        <f t="shared" si="191"/>
        <v>y</v>
      </c>
      <c r="RBQ1" s="154" t="str">
        <f t="shared" si="191"/>
        <v>y</v>
      </c>
      <c r="RBR1" s="154" t="str">
        <f t="shared" si="191"/>
        <v>y</v>
      </c>
      <c r="RBS1" s="154" t="str">
        <f t="shared" si="191"/>
        <v>y</v>
      </c>
      <c r="RBT1" s="154" t="str">
        <f t="shared" si="191"/>
        <v>y</v>
      </c>
      <c r="RBU1" s="154" t="str">
        <f t="shared" si="191"/>
        <v>y</v>
      </c>
      <c r="RBV1" s="154" t="str">
        <f t="shared" si="191"/>
        <v>y</v>
      </c>
      <c r="RBW1" s="154" t="str">
        <f t="shared" si="191"/>
        <v>y</v>
      </c>
      <c r="RBX1" s="154" t="str">
        <f t="shared" si="191"/>
        <v>y</v>
      </c>
      <c r="RBY1" s="154" t="str">
        <f t="shared" si="191"/>
        <v>y</v>
      </c>
      <c r="RBZ1" s="154" t="str">
        <f t="shared" si="191"/>
        <v>y</v>
      </c>
      <c r="RCA1" s="154" t="str">
        <f t="shared" si="191"/>
        <v>y</v>
      </c>
      <c r="RCB1" s="154" t="str">
        <f t="shared" si="191"/>
        <v>y</v>
      </c>
      <c r="RCC1" s="154" t="str">
        <f t="shared" si="191"/>
        <v>y</v>
      </c>
      <c r="RCD1" s="154" t="str">
        <f t="shared" si="191"/>
        <v>y</v>
      </c>
      <c r="RCE1" s="154" t="str">
        <f t="shared" si="191"/>
        <v>y</v>
      </c>
      <c r="RCF1" s="154" t="str">
        <f t="shared" si="191"/>
        <v>y</v>
      </c>
      <c r="RCG1" s="154" t="str">
        <f t="shared" si="191"/>
        <v>y</v>
      </c>
      <c r="RCH1" s="154" t="str">
        <f t="shared" si="191"/>
        <v>y</v>
      </c>
      <c r="RCI1" s="154" t="str">
        <f t="shared" si="191"/>
        <v>y</v>
      </c>
      <c r="RCJ1" s="154" t="str">
        <f t="shared" si="191"/>
        <v>y</v>
      </c>
      <c r="RCK1" s="154" t="str">
        <f t="shared" si="191"/>
        <v>y</v>
      </c>
      <c r="RCL1" s="154" t="str">
        <f t="shared" si="191"/>
        <v>y</v>
      </c>
      <c r="RCM1" s="154" t="str">
        <f t="shared" si="191"/>
        <v>y</v>
      </c>
      <c r="RCN1" s="154" t="str">
        <f t="shared" si="191"/>
        <v>y</v>
      </c>
      <c r="RCO1" s="154" t="str">
        <f t="shared" si="191"/>
        <v>y</v>
      </c>
      <c r="RCP1" s="154" t="str">
        <f t="shared" si="191"/>
        <v>y</v>
      </c>
      <c r="RCQ1" s="154" t="str">
        <f t="shared" si="191"/>
        <v>y</v>
      </c>
      <c r="RCR1" s="154" t="str">
        <f t="shared" si="191"/>
        <v>y</v>
      </c>
      <c r="RCS1" s="154" t="str">
        <f t="shared" si="191"/>
        <v>y</v>
      </c>
      <c r="RCT1" s="154" t="str">
        <f t="shared" si="191"/>
        <v>y</v>
      </c>
      <c r="RCU1" s="154" t="str">
        <f t="shared" si="191"/>
        <v>y</v>
      </c>
      <c r="RCV1" s="154" t="str">
        <f t="shared" si="191"/>
        <v>y</v>
      </c>
      <c r="RCW1" s="154" t="str">
        <f t="shared" si="191"/>
        <v>y</v>
      </c>
      <c r="RCX1" s="154" t="str">
        <f t="shared" si="191"/>
        <v>y</v>
      </c>
      <c r="RCY1" s="154" t="str">
        <f t="shared" si="191"/>
        <v>y</v>
      </c>
      <c r="RCZ1" s="154" t="str">
        <f t="shared" si="191"/>
        <v>y</v>
      </c>
      <c r="RDA1" s="154" t="str">
        <f t="shared" si="191"/>
        <v>y</v>
      </c>
      <c r="RDB1" s="154" t="str">
        <f t="shared" si="191"/>
        <v>y</v>
      </c>
      <c r="RDC1" s="154" t="str">
        <f t="shared" si="191"/>
        <v>y</v>
      </c>
      <c r="RDD1" s="154" t="str">
        <f t="shared" si="191"/>
        <v>y</v>
      </c>
      <c r="RDE1" s="154" t="str">
        <f t="shared" si="191"/>
        <v>y</v>
      </c>
      <c r="RDF1" s="154" t="str">
        <f t="shared" si="191"/>
        <v>y</v>
      </c>
      <c r="RDG1" s="154" t="str">
        <f t="shared" si="191"/>
        <v>y</v>
      </c>
      <c r="RDH1" s="154" t="str">
        <f t="shared" si="191"/>
        <v>y</v>
      </c>
      <c r="RDI1" s="154" t="str">
        <f t="shared" si="191"/>
        <v>y</v>
      </c>
      <c r="RDJ1" s="154" t="str">
        <f t="shared" si="191"/>
        <v>y</v>
      </c>
      <c r="RDK1" s="154" t="str">
        <f t="shared" si="191"/>
        <v>y</v>
      </c>
      <c r="RDL1" s="154" t="str">
        <f t="shared" si="191"/>
        <v>y</v>
      </c>
      <c r="RDM1" s="154" t="str">
        <f t="shared" si="191"/>
        <v>y</v>
      </c>
      <c r="RDN1" s="154" t="str">
        <f t="shared" si="191"/>
        <v>y</v>
      </c>
      <c r="RDO1" s="154" t="str">
        <f t="shared" si="191"/>
        <v>y</v>
      </c>
      <c r="RDP1" s="154" t="str">
        <f t="shared" si="191"/>
        <v>y</v>
      </c>
      <c r="RDQ1" s="154" t="str">
        <f t="shared" si="191"/>
        <v>y</v>
      </c>
      <c r="RDR1" s="154" t="str">
        <f t="shared" si="191"/>
        <v>y</v>
      </c>
      <c r="RDS1" s="154" t="str">
        <f t="shared" si="191"/>
        <v>y</v>
      </c>
      <c r="RDT1" s="154" t="str">
        <f t="shared" ref="RDT1:RGE1" si="192">RDT2&amp;"y"</f>
        <v>y</v>
      </c>
      <c r="RDU1" s="154" t="str">
        <f t="shared" si="192"/>
        <v>y</v>
      </c>
      <c r="RDV1" s="154" t="str">
        <f t="shared" si="192"/>
        <v>y</v>
      </c>
      <c r="RDW1" s="154" t="str">
        <f t="shared" si="192"/>
        <v>y</v>
      </c>
      <c r="RDX1" s="154" t="str">
        <f t="shared" si="192"/>
        <v>y</v>
      </c>
      <c r="RDY1" s="154" t="str">
        <f t="shared" si="192"/>
        <v>y</v>
      </c>
      <c r="RDZ1" s="154" t="str">
        <f t="shared" si="192"/>
        <v>y</v>
      </c>
      <c r="REA1" s="154" t="str">
        <f t="shared" si="192"/>
        <v>y</v>
      </c>
      <c r="REB1" s="154" t="str">
        <f t="shared" si="192"/>
        <v>y</v>
      </c>
      <c r="REC1" s="154" t="str">
        <f t="shared" si="192"/>
        <v>y</v>
      </c>
      <c r="RED1" s="154" t="str">
        <f t="shared" si="192"/>
        <v>y</v>
      </c>
      <c r="REE1" s="154" t="str">
        <f t="shared" si="192"/>
        <v>y</v>
      </c>
      <c r="REF1" s="154" t="str">
        <f t="shared" si="192"/>
        <v>y</v>
      </c>
      <c r="REG1" s="154" t="str">
        <f t="shared" si="192"/>
        <v>y</v>
      </c>
      <c r="REH1" s="154" t="str">
        <f t="shared" si="192"/>
        <v>y</v>
      </c>
      <c r="REI1" s="154" t="str">
        <f t="shared" si="192"/>
        <v>y</v>
      </c>
      <c r="REJ1" s="154" t="str">
        <f t="shared" si="192"/>
        <v>y</v>
      </c>
      <c r="REK1" s="154" t="str">
        <f t="shared" si="192"/>
        <v>y</v>
      </c>
      <c r="REL1" s="154" t="str">
        <f t="shared" si="192"/>
        <v>y</v>
      </c>
      <c r="REM1" s="154" t="str">
        <f t="shared" si="192"/>
        <v>y</v>
      </c>
      <c r="REN1" s="154" t="str">
        <f t="shared" si="192"/>
        <v>y</v>
      </c>
      <c r="REO1" s="154" t="str">
        <f t="shared" si="192"/>
        <v>y</v>
      </c>
      <c r="REP1" s="154" t="str">
        <f t="shared" si="192"/>
        <v>y</v>
      </c>
      <c r="REQ1" s="154" t="str">
        <f t="shared" si="192"/>
        <v>y</v>
      </c>
      <c r="RER1" s="154" t="str">
        <f t="shared" si="192"/>
        <v>y</v>
      </c>
      <c r="RES1" s="154" t="str">
        <f t="shared" si="192"/>
        <v>y</v>
      </c>
      <c r="RET1" s="154" t="str">
        <f t="shared" si="192"/>
        <v>y</v>
      </c>
      <c r="REU1" s="154" t="str">
        <f t="shared" si="192"/>
        <v>y</v>
      </c>
      <c r="REV1" s="154" t="str">
        <f t="shared" si="192"/>
        <v>y</v>
      </c>
      <c r="REW1" s="154" t="str">
        <f t="shared" si="192"/>
        <v>y</v>
      </c>
      <c r="REX1" s="154" t="str">
        <f t="shared" si="192"/>
        <v>y</v>
      </c>
      <c r="REY1" s="154" t="str">
        <f t="shared" si="192"/>
        <v>y</v>
      </c>
      <c r="REZ1" s="154" t="str">
        <f t="shared" si="192"/>
        <v>y</v>
      </c>
      <c r="RFA1" s="154" t="str">
        <f t="shared" si="192"/>
        <v>y</v>
      </c>
      <c r="RFB1" s="154" t="str">
        <f t="shared" si="192"/>
        <v>y</v>
      </c>
      <c r="RFC1" s="154" t="str">
        <f t="shared" si="192"/>
        <v>y</v>
      </c>
      <c r="RFD1" s="154" t="str">
        <f t="shared" si="192"/>
        <v>y</v>
      </c>
      <c r="RFE1" s="154" t="str">
        <f t="shared" si="192"/>
        <v>y</v>
      </c>
      <c r="RFF1" s="154" t="str">
        <f t="shared" si="192"/>
        <v>y</v>
      </c>
      <c r="RFG1" s="154" t="str">
        <f t="shared" si="192"/>
        <v>y</v>
      </c>
      <c r="RFH1" s="154" t="str">
        <f t="shared" si="192"/>
        <v>y</v>
      </c>
      <c r="RFI1" s="154" t="str">
        <f t="shared" si="192"/>
        <v>y</v>
      </c>
      <c r="RFJ1" s="154" t="str">
        <f t="shared" si="192"/>
        <v>y</v>
      </c>
      <c r="RFK1" s="154" t="str">
        <f t="shared" si="192"/>
        <v>y</v>
      </c>
      <c r="RFL1" s="154" t="str">
        <f t="shared" si="192"/>
        <v>y</v>
      </c>
      <c r="RFM1" s="154" t="str">
        <f t="shared" si="192"/>
        <v>y</v>
      </c>
      <c r="RFN1" s="154" t="str">
        <f t="shared" si="192"/>
        <v>y</v>
      </c>
      <c r="RFO1" s="154" t="str">
        <f t="shared" si="192"/>
        <v>y</v>
      </c>
      <c r="RFP1" s="154" t="str">
        <f t="shared" si="192"/>
        <v>y</v>
      </c>
      <c r="RFQ1" s="154" t="str">
        <f t="shared" si="192"/>
        <v>y</v>
      </c>
      <c r="RFR1" s="154" t="str">
        <f t="shared" si="192"/>
        <v>y</v>
      </c>
      <c r="RFS1" s="154" t="str">
        <f t="shared" si="192"/>
        <v>y</v>
      </c>
      <c r="RFT1" s="154" t="str">
        <f t="shared" si="192"/>
        <v>y</v>
      </c>
      <c r="RFU1" s="154" t="str">
        <f t="shared" si="192"/>
        <v>y</v>
      </c>
      <c r="RFV1" s="154" t="str">
        <f t="shared" si="192"/>
        <v>y</v>
      </c>
      <c r="RFW1" s="154" t="str">
        <f t="shared" si="192"/>
        <v>y</v>
      </c>
      <c r="RFX1" s="154" t="str">
        <f t="shared" si="192"/>
        <v>y</v>
      </c>
      <c r="RFY1" s="154" t="str">
        <f t="shared" si="192"/>
        <v>y</v>
      </c>
      <c r="RFZ1" s="154" t="str">
        <f t="shared" si="192"/>
        <v>y</v>
      </c>
      <c r="RGA1" s="154" t="str">
        <f t="shared" si="192"/>
        <v>y</v>
      </c>
      <c r="RGB1" s="154" t="str">
        <f t="shared" si="192"/>
        <v>y</v>
      </c>
      <c r="RGC1" s="154" t="str">
        <f t="shared" si="192"/>
        <v>y</v>
      </c>
      <c r="RGD1" s="154" t="str">
        <f t="shared" si="192"/>
        <v>y</v>
      </c>
      <c r="RGE1" s="154" t="str">
        <f t="shared" si="192"/>
        <v>y</v>
      </c>
      <c r="RGF1" s="154" t="str">
        <f t="shared" ref="RGF1:RIQ1" si="193">RGF2&amp;"y"</f>
        <v>y</v>
      </c>
      <c r="RGG1" s="154" t="str">
        <f t="shared" si="193"/>
        <v>y</v>
      </c>
      <c r="RGH1" s="154" t="str">
        <f t="shared" si="193"/>
        <v>y</v>
      </c>
      <c r="RGI1" s="154" t="str">
        <f t="shared" si="193"/>
        <v>y</v>
      </c>
      <c r="RGJ1" s="154" t="str">
        <f t="shared" si="193"/>
        <v>y</v>
      </c>
      <c r="RGK1" s="154" t="str">
        <f t="shared" si="193"/>
        <v>y</v>
      </c>
      <c r="RGL1" s="154" t="str">
        <f t="shared" si="193"/>
        <v>y</v>
      </c>
      <c r="RGM1" s="154" t="str">
        <f t="shared" si="193"/>
        <v>y</v>
      </c>
      <c r="RGN1" s="154" t="str">
        <f t="shared" si="193"/>
        <v>y</v>
      </c>
      <c r="RGO1" s="154" t="str">
        <f t="shared" si="193"/>
        <v>y</v>
      </c>
      <c r="RGP1" s="154" t="str">
        <f t="shared" si="193"/>
        <v>y</v>
      </c>
      <c r="RGQ1" s="154" t="str">
        <f t="shared" si="193"/>
        <v>y</v>
      </c>
      <c r="RGR1" s="154" t="str">
        <f t="shared" si="193"/>
        <v>y</v>
      </c>
      <c r="RGS1" s="154" t="str">
        <f t="shared" si="193"/>
        <v>y</v>
      </c>
      <c r="RGT1" s="154" t="str">
        <f t="shared" si="193"/>
        <v>y</v>
      </c>
      <c r="RGU1" s="154" t="str">
        <f t="shared" si="193"/>
        <v>y</v>
      </c>
      <c r="RGV1" s="154" t="str">
        <f t="shared" si="193"/>
        <v>y</v>
      </c>
      <c r="RGW1" s="154" t="str">
        <f t="shared" si="193"/>
        <v>y</v>
      </c>
      <c r="RGX1" s="154" t="str">
        <f t="shared" si="193"/>
        <v>y</v>
      </c>
      <c r="RGY1" s="154" t="str">
        <f t="shared" si="193"/>
        <v>y</v>
      </c>
      <c r="RGZ1" s="154" t="str">
        <f t="shared" si="193"/>
        <v>y</v>
      </c>
      <c r="RHA1" s="154" t="str">
        <f t="shared" si="193"/>
        <v>y</v>
      </c>
      <c r="RHB1" s="154" t="str">
        <f t="shared" si="193"/>
        <v>y</v>
      </c>
      <c r="RHC1" s="154" t="str">
        <f t="shared" si="193"/>
        <v>y</v>
      </c>
      <c r="RHD1" s="154" t="str">
        <f t="shared" si="193"/>
        <v>y</v>
      </c>
      <c r="RHE1" s="154" t="str">
        <f t="shared" si="193"/>
        <v>y</v>
      </c>
      <c r="RHF1" s="154" t="str">
        <f t="shared" si="193"/>
        <v>y</v>
      </c>
      <c r="RHG1" s="154" t="str">
        <f t="shared" si="193"/>
        <v>y</v>
      </c>
      <c r="RHH1" s="154" t="str">
        <f t="shared" si="193"/>
        <v>y</v>
      </c>
      <c r="RHI1" s="154" t="str">
        <f t="shared" si="193"/>
        <v>y</v>
      </c>
      <c r="RHJ1" s="154" t="str">
        <f t="shared" si="193"/>
        <v>y</v>
      </c>
      <c r="RHK1" s="154" t="str">
        <f t="shared" si="193"/>
        <v>y</v>
      </c>
      <c r="RHL1" s="154" t="str">
        <f t="shared" si="193"/>
        <v>y</v>
      </c>
      <c r="RHM1" s="154" t="str">
        <f t="shared" si="193"/>
        <v>y</v>
      </c>
      <c r="RHN1" s="154" t="str">
        <f t="shared" si="193"/>
        <v>y</v>
      </c>
      <c r="RHO1" s="154" t="str">
        <f t="shared" si="193"/>
        <v>y</v>
      </c>
      <c r="RHP1" s="154" t="str">
        <f t="shared" si="193"/>
        <v>y</v>
      </c>
      <c r="RHQ1" s="154" t="str">
        <f t="shared" si="193"/>
        <v>y</v>
      </c>
      <c r="RHR1" s="154" t="str">
        <f t="shared" si="193"/>
        <v>y</v>
      </c>
      <c r="RHS1" s="154" t="str">
        <f t="shared" si="193"/>
        <v>y</v>
      </c>
      <c r="RHT1" s="154" t="str">
        <f t="shared" si="193"/>
        <v>y</v>
      </c>
      <c r="RHU1" s="154" t="str">
        <f t="shared" si="193"/>
        <v>y</v>
      </c>
      <c r="RHV1" s="154" t="str">
        <f t="shared" si="193"/>
        <v>y</v>
      </c>
      <c r="RHW1" s="154" t="str">
        <f t="shared" si="193"/>
        <v>y</v>
      </c>
      <c r="RHX1" s="154" t="str">
        <f t="shared" si="193"/>
        <v>y</v>
      </c>
      <c r="RHY1" s="154" t="str">
        <f t="shared" si="193"/>
        <v>y</v>
      </c>
      <c r="RHZ1" s="154" t="str">
        <f t="shared" si="193"/>
        <v>y</v>
      </c>
      <c r="RIA1" s="154" t="str">
        <f t="shared" si="193"/>
        <v>y</v>
      </c>
      <c r="RIB1" s="154" t="str">
        <f t="shared" si="193"/>
        <v>y</v>
      </c>
      <c r="RIC1" s="154" t="str">
        <f t="shared" si="193"/>
        <v>y</v>
      </c>
      <c r="RID1" s="154" t="str">
        <f t="shared" si="193"/>
        <v>y</v>
      </c>
      <c r="RIE1" s="154" t="str">
        <f t="shared" si="193"/>
        <v>y</v>
      </c>
      <c r="RIF1" s="154" t="str">
        <f t="shared" si="193"/>
        <v>y</v>
      </c>
      <c r="RIG1" s="154" t="str">
        <f t="shared" si="193"/>
        <v>y</v>
      </c>
      <c r="RIH1" s="154" t="str">
        <f t="shared" si="193"/>
        <v>y</v>
      </c>
      <c r="RII1" s="154" t="str">
        <f t="shared" si="193"/>
        <v>y</v>
      </c>
      <c r="RIJ1" s="154" t="str">
        <f t="shared" si="193"/>
        <v>y</v>
      </c>
      <c r="RIK1" s="154" t="str">
        <f t="shared" si="193"/>
        <v>y</v>
      </c>
      <c r="RIL1" s="154" t="str">
        <f t="shared" si="193"/>
        <v>y</v>
      </c>
      <c r="RIM1" s="154" t="str">
        <f t="shared" si="193"/>
        <v>y</v>
      </c>
      <c r="RIN1" s="154" t="str">
        <f t="shared" si="193"/>
        <v>y</v>
      </c>
      <c r="RIO1" s="154" t="str">
        <f t="shared" si="193"/>
        <v>y</v>
      </c>
      <c r="RIP1" s="154" t="str">
        <f t="shared" si="193"/>
        <v>y</v>
      </c>
      <c r="RIQ1" s="154" t="str">
        <f t="shared" si="193"/>
        <v>y</v>
      </c>
      <c r="RIR1" s="154" t="str">
        <f t="shared" ref="RIR1:RLC1" si="194">RIR2&amp;"y"</f>
        <v>y</v>
      </c>
      <c r="RIS1" s="154" t="str">
        <f t="shared" si="194"/>
        <v>y</v>
      </c>
      <c r="RIT1" s="154" t="str">
        <f t="shared" si="194"/>
        <v>y</v>
      </c>
      <c r="RIU1" s="154" t="str">
        <f t="shared" si="194"/>
        <v>y</v>
      </c>
      <c r="RIV1" s="154" t="str">
        <f t="shared" si="194"/>
        <v>y</v>
      </c>
      <c r="RIW1" s="154" t="str">
        <f t="shared" si="194"/>
        <v>y</v>
      </c>
      <c r="RIX1" s="154" t="str">
        <f t="shared" si="194"/>
        <v>y</v>
      </c>
      <c r="RIY1" s="154" t="str">
        <f t="shared" si="194"/>
        <v>y</v>
      </c>
      <c r="RIZ1" s="154" t="str">
        <f t="shared" si="194"/>
        <v>y</v>
      </c>
      <c r="RJA1" s="154" t="str">
        <f t="shared" si="194"/>
        <v>y</v>
      </c>
      <c r="RJB1" s="154" t="str">
        <f t="shared" si="194"/>
        <v>y</v>
      </c>
      <c r="RJC1" s="154" t="str">
        <f t="shared" si="194"/>
        <v>y</v>
      </c>
      <c r="RJD1" s="154" t="str">
        <f t="shared" si="194"/>
        <v>y</v>
      </c>
      <c r="RJE1" s="154" t="str">
        <f t="shared" si="194"/>
        <v>y</v>
      </c>
      <c r="RJF1" s="154" t="str">
        <f t="shared" si="194"/>
        <v>y</v>
      </c>
      <c r="RJG1" s="154" t="str">
        <f t="shared" si="194"/>
        <v>y</v>
      </c>
      <c r="RJH1" s="154" t="str">
        <f t="shared" si="194"/>
        <v>y</v>
      </c>
      <c r="RJI1" s="154" t="str">
        <f t="shared" si="194"/>
        <v>y</v>
      </c>
      <c r="RJJ1" s="154" t="str">
        <f t="shared" si="194"/>
        <v>y</v>
      </c>
      <c r="RJK1" s="154" t="str">
        <f t="shared" si="194"/>
        <v>y</v>
      </c>
      <c r="RJL1" s="154" t="str">
        <f t="shared" si="194"/>
        <v>y</v>
      </c>
      <c r="RJM1" s="154" t="str">
        <f t="shared" si="194"/>
        <v>y</v>
      </c>
      <c r="RJN1" s="154" t="str">
        <f t="shared" si="194"/>
        <v>y</v>
      </c>
      <c r="RJO1" s="154" t="str">
        <f t="shared" si="194"/>
        <v>y</v>
      </c>
      <c r="RJP1" s="154" t="str">
        <f t="shared" si="194"/>
        <v>y</v>
      </c>
      <c r="RJQ1" s="154" t="str">
        <f t="shared" si="194"/>
        <v>y</v>
      </c>
      <c r="RJR1" s="154" t="str">
        <f t="shared" si="194"/>
        <v>y</v>
      </c>
      <c r="RJS1" s="154" t="str">
        <f t="shared" si="194"/>
        <v>y</v>
      </c>
      <c r="RJT1" s="154" t="str">
        <f t="shared" si="194"/>
        <v>y</v>
      </c>
      <c r="RJU1" s="154" t="str">
        <f t="shared" si="194"/>
        <v>y</v>
      </c>
      <c r="RJV1" s="154" t="str">
        <f t="shared" si="194"/>
        <v>y</v>
      </c>
      <c r="RJW1" s="154" t="str">
        <f t="shared" si="194"/>
        <v>y</v>
      </c>
      <c r="RJX1" s="154" t="str">
        <f t="shared" si="194"/>
        <v>y</v>
      </c>
      <c r="RJY1" s="154" t="str">
        <f t="shared" si="194"/>
        <v>y</v>
      </c>
      <c r="RJZ1" s="154" t="str">
        <f t="shared" si="194"/>
        <v>y</v>
      </c>
      <c r="RKA1" s="154" t="str">
        <f t="shared" si="194"/>
        <v>y</v>
      </c>
      <c r="RKB1" s="154" t="str">
        <f t="shared" si="194"/>
        <v>y</v>
      </c>
      <c r="RKC1" s="154" t="str">
        <f t="shared" si="194"/>
        <v>y</v>
      </c>
      <c r="RKD1" s="154" t="str">
        <f t="shared" si="194"/>
        <v>y</v>
      </c>
      <c r="RKE1" s="154" t="str">
        <f t="shared" si="194"/>
        <v>y</v>
      </c>
      <c r="RKF1" s="154" t="str">
        <f t="shared" si="194"/>
        <v>y</v>
      </c>
      <c r="RKG1" s="154" t="str">
        <f t="shared" si="194"/>
        <v>y</v>
      </c>
      <c r="RKH1" s="154" t="str">
        <f t="shared" si="194"/>
        <v>y</v>
      </c>
      <c r="RKI1" s="154" t="str">
        <f t="shared" si="194"/>
        <v>y</v>
      </c>
      <c r="RKJ1" s="154" t="str">
        <f t="shared" si="194"/>
        <v>y</v>
      </c>
      <c r="RKK1" s="154" t="str">
        <f t="shared" si="194"/>
        <v>y</v>
      </c>
      <c r="RKL1" s="154" t="str">
        <f t="shared" si="194"/>
        <v>y</v>
      </c>
      <c r="RKM1" s="154" t="str">
        <f t="shared" si="194"/>
        <v>y</v>
      </c>
      <c r="RKN1" s="154" t="str">
        <f t="shared" si="194"/>
        <v>y</v>
      </c>
      <c r="RKO1" s="154" t="str">
        <f t="shared" si="194"/>
        <v>y</v>
      </c>
      <c r="RKP1" s="154" t="str">
        <f t="shared" si="194"/>
        <v>y</v>
      </c>
      <c r="RKQ1" s="154" t="str">
        <f t="shared" si="194"/>
        <v>y</v>
      </c>
      <c r="RKR1" s="154" t="str">
        <f t="shared" si="194"/>
        <v>y</v>
      </c>
      <c r="RKS1" s="154" t="str">
        <f t="shared" si="194"/>
        <v>y</v>
      </c>
      <c r="RKT1" s="154" t="str">
        <f t="shared" si="194"/>
        <v>y</v>
      </c>
      <c r="RKU1" s="154" t="str">
        <f t="shared" si="194"/>
        <v>y</v>
      </c>
      <c r="RKV1" s="154" t="str">
        <f t="shared" si="194"/>
        <v>y</v>
      </c>
      <c r="RKW1" s="154" t="str">
        <f t="shared" si="194"/>
        <v>y</v>
      </c>
      <c r="RKX1" s="154" t="str">
        <f t="shared" si="194"/>
        <v>y</v>
      </c>
      <c r="RKY1" s="154" t="str">
        <f t="shared" si="194"/>
        <v>y</v>
      </c>
      <c r="RKZ1" s="154" t="str">
        <f t="shared" si="194"/>
        <v>y</v>
      </c>
      <c r="RLA1" s="154" t="str">
        <f t="shared" si="194"/>
        <v>y</v>
      </c>
      <c r="RLB1" s="154" t="str">
        <f t="shared" si="194"/>
        <v>y</v>
      </c>
      <c r="RLC1" s="154" t="str">
        <f t="shared" si="194"/>
        <v>y</v>
      </c>
      <c r="RLD1" s="154" t="str">
        <f t="shared" ref="RLD1:RNO1" si="195">RLD2&amp;"y"</f>
        <v>y</v>
      </c>
      <c r="RLE1" s="154" t="str">
        <f t="shared" si="195"/>
        <v>y</v>
      </c>
      <c r="RLF1" s="154" t="str">
        <f t="shared" si="195"/>
        <v>y</v>
      </c>
      <c r="RLG1" s="154" t="str">
        <f t="shared" si="195"/>
        <v>y</v>
      </c>
      <c r="RLH1" s="154" t="str">
        <f t="shared" si="195"/>
        <v>y</v>
      </c>
      <c r="RLI1" s="154" t="str">
        <f t="shared" si="195"/>
        <v>y</v>
      </c>
      <c r="RLJ1" s="154" t="str">
        <f t="shared" si="195"/>
        <v>y</v>
      </c>
      <c r="RLK1" s="154" t="str">
        <f t="shared" si="195"/>
        <v>y</v>
      </c>
      <c r="RLL1" s="154" t="str">
        <f t="shared" si="195"/>
        <v>y</v>
      </c>
      <c r="RLM1" s="154" t="str">
        <f t="shared" si="195"/>
        <v>y</v>
      </c>
      <c r="RLN1" s="154" t="str">
        <f t="shared" si="195"/>
        <v>y</v>
      </c>
      <c r="RLO1" s="154" t="str">
        <f t="shared" si="195"/>
        <v>y</v>
      </c>
      <c r="RLP1" s="154" t="str">
        <f t="shared" si="195"/>
        <v>y</v>
      </c>
      <c r="RLQ1" s="154" t="str">
        <f t="shared" si="195"/>
        <v>y</v>
      </c>
      <c r="RLR1" s="154" t="str">
        <f t="shared" si="195"/>
        <v>y</v>
      </c>
      <c r="RLS1" s="154" t="str">
        <f t="shared" si="195"/>
        <v>y</v>
      </c>
      <c r="RLT1" s="154" t="str">
        <f t="shared" si="195"/>
        <v>y</v>
      </c>
      <c r="RLU1" s="154" t="str">
        <f t="shared" si="195"/>
        <v>y</v>
      </c>
      <c r="RLV1" s="154" t="str">
        <f t="shared" si="195"/>
        <v>y</v>
      </c>
      <c r="RLW1" s="154" t="str">
        <f t="shared" si="195"/>
        <v>y</v>
      </c>
      <c r="RLX1" s="154" t="str">
        <f t="shared" si="195"/>
        <v>y</v>
      </c>
      <c r="RLY1" s="154" t="str">
        <f t="shared" si="195"/>
        <v>y</v>
      </c>
      <c r="RLZ1" s="154" t="str">
        <f t="shared" si="195"/>
        <v>y</v>
      </c>
      <c r="RMA1" s="154" t="str">
        <f t="shared" si="195"/>
        <v>y</v>
      </c>
      <c r="RMB1" s="154" t="str">
        <f t="shared" si="195"/>
        <v>y</v>
      </c>
      <c r="RMC1" s="154" t="str">
        <f t="shared" si="195"/>
        <v>y</v>
      </c>
      <c r="RMD1" s="154" t="str">
        <f t="shared" si="195"/>
        <v>y</v>
      </c>
      <c r="RME1" s="154" t="str">
        <f t="shared" si="195"/>
        <v>y</v>
      </c>
      <c r="RMF1" s="154" t="str">
        <f t="shared" si="195"/>
        <v>y</v>
      </c>
      <c r="RMG1" s="154" t="str">
        <f t="shared" si="195"/>
        <v>y</v>
      </c>
      <c r="RMH1" s="154" t="str">
        <f t="shared" si="195"/>
        <v>y</v>
      </c>
      <c r="RMI1" s="154" t="str">
        <f t="shared" si="195"/>
        <v>y</v>
      </c>
      <c r="RMJ1" s="154" t="str">
        <f t="shared" si="195"/>
        <v>y</v>
      </c>
      <c r="RMK1" s="154" t="str">
        <f t="shared" si="195"/>
        <v>y</v>
      </c>
      <c r="RML1" s="154" t="str">
        <f t="shared" si="195"/>
        <v>y</v>
      </c>
      <c r="RMM1" s="154" t="str">
        <f t="shared" si="195"/>
        <v>y</v>
      </c>
      <c r="RMN1" s="154" t="str">
        <f t="shared" si="195"/>
        <v>y</v>
      </c>
      <c r="RMO1" s="154" t="str">
        <f t="shared" si="195"/>
        <v>y</v>
      </c>
      <c r="RMP1" s="154" t="str">
        <f t="shared" si="195"/>
        <v>y</v>
      </c>
      <c r="RMQ1" s="154" t="str">
        <f t="shared" si="195"/>
        <v>y</v>
      </c>
      <c r="RMR1" s="154" t="str">
        <f t="shared" si="195"/>
        <v>y</v>
      </c>
      <c r="RMS1" s="154" t="str">
        <f t="shared" si="195"/>
        <v>y</v>
      </c>
      <c r="RMT1" s="154" t="str">
        <f t="shared" si="195"/>
        <v>y</v>
      </c>
      <c r="RMU1" s="154" t="str">
        <f t="shared" si="195"/>
        <v>y</v>
      </c>
      <c r="RMV1" s="154" t="str">
        <f t="shared" si="195"/>
        <v>y</v>
      </c>
      <c r="RMW1" s="154" t="str">
        <f t="shared" si="195"/>
        <v>y</v>
      </c>
      <c r="RMX1" s="154" t="str">
        <f t="shared" si="195"/>
        <v>y</v>
      </c>
      <c r="RMY1" s="154" t="str">
        <f t="shared" si="195"/>
        <v>y</v>
      </c>
      <c r="RMZ1" s="154" t="str">
        <f t="shared" si="195"/>
        <v>y</v>
      </c>
      <c r="RNA1" s="154" t="str">
        <f t="shared" si="195"/>
        <v>y</v>
      </c>
      <c r="RNB1" s="154" t="str">
        <f t="shared" si="195"/>
        <v>y</v>
      </c>
      <c r="RNC1" s="154" t="str">
        <f t="shared" si="195"/>
        <v>y</v>
      </c>
      <c r="RND1" s="154" t="str">
        <f t="shared" si="195"/>
        <v>y</v>
      </c>
      <c r="RNE1" s="154" t="str">
        <f t="shared" si="195"/>
        <v>y</v>
      </c>
      <c r="RNF1" s="154" t="str">
        <f t="shared" si="195"/>
        <v>y</v>
      </c>
      <c r="RNG1" s="154" t="str">
        <f t="shared" si="195"/>
        <v>y</v>
      </c>
      <c r="RNH1" s="154" t="str">
        <f t="shared" si="195"/>
        <v>y</v>
      </c>
      <c r="RNI1" s="154" t="str">
        <f t="shared" si="195"/>
        <v>y</v>
      </c>
      <c r="RNJ1" s="154" t="str">
        <f t="shared" si="195"/>
        <v>y</v>
      </c>
      <c r="RNK1" s="154" t="str">
        <f t="shared" si="195"/>
        <v>y</v>
      </c>
      <c r="RNL1" s="154" t="str">
        <f t="shared" si="195"/>
        <v>y</v>
      </c>
      <c r="RNM1" s="154" t="str">
        <f t="shared" si="195"/>
        <v>y</v>
      </c>
      <c r="RNN1" s="154" t="str">
        <f t="shared" si="195"/>
        <v>y</v>
      </c>
      <c r="RNO1" s="154" t="str">
        <f t="shared" si="195"/>
        <v>y</v>
      </c>
      <c r="RNP1" s="154" t="str">
        <f t="shared" ref="RNP1:RQA1" si="196">RNP2&amp;"y"</f>
        <v>y</v>
      </c>
      <c r="RNQ1" s="154" t="str">
        <f t="shared" si="196"/>
        <v>y</v>
      </c>
      <c r="RNR1" s="154" t="str">
        <f t="shared" si="196"/>
        <v>y</v>
      </c>
      <c r="RNS1" s="154" t="str">
        <f t="shared" si="196"/>
        <v>y</v>
      </c>
      <c r="RNT1" s="154" t="str">
        <f t="shared" si="196"/>
        <v>y</v>
      </c>
      <c r="RNU1" s="154" t="str">
        <f t="shared" si="196"/>
        <v>y</v>
      </c>
      <c r="RNV1" s="154" t="str">
        <f t="shared" si="196"/>
        <v>y</v>
      </c>
      <c r="RNW1" s="154" t="str">
        <f t="shared" si="196"/>
        <v>y</v>
      </c>
      <c r="RNX1" s="154" t="str">
        <f t="shared" si="196"/>
        <v>y</v>
      </c>
      <c r="RNY1" s="154" t="str">
        <f t="shared" si="196"/>
        <v>y</v>
      </c>
      <c r="RNZ1" s="154" t="str">
        <f t="shared" si="196"/>
        <v>y</v>
      </c>
      <c r="ROA1" s="154" t="str">
        <f t="shared" si="196"/>
        <v>y</v>
      </c>
      <c r="ROB1" s="154" t="str">
        <f t="shared" si="196"/>
        <v>y</v>
      </c>
      <c r="ROC1" s="154" t="str">
        <f t="shared" si="196"/>
        <v>y</v>
      </c>
      <c r="ROD1" s="154" t="str">
        <f t="shared" si="196"/>
        <v>y</v>
      </c>
      <c r="ROE1" s="154" t="str">
        <f t="shared" si="196"/>
        <v>y</v>
      </c>
      <c r="ROF1" s="154" t="str">
        <f t="shared" si="196"/>
        <v>y</v>
      </c>
      <c r="ROG1" s="154" t="str">
        <f t="shared" si="196"/>
        <v>y</v>
      </c>
      <c r="ROH1" s="154" t="str">
        <f t="shared" si="196"/>
        <v>y</v>
      </c>
      <c r="ROI1" s="154" t="str">
        <f t="shared" si="196"/>
        <v>y</v>
      </c>
      <c r="ROJ1" s="154" t="str">
        <f t="shared" si="196"/>
        <v>y</v>
      </c>
      <c r="ROK1" s="154" t="str">
        <f t="shared" si="196"/>
        <v>y</v>
      </c>
      <c r="ROL1" s="154" t="str">
        <f t="shared" si="196"/>
        <v>y</v>
      </c>
      <c r="ROM1" s="154" t="str">
        <f t="shared" si="196"/>
        <v>y</v>
      </c>
      <c r="RON1" s="154" t="str">
        <f t="shared" si="196"/>
        <v>y</v>
      </c>
      <c r="ROO1" s="154" t="str">
        <f t="shared" si="196"/>
        <v>y</v>
      </c>
      <c r="ROP1" s="154" t="str">
        <f t="shared" si="196"/>
        <v>y</v>
      </c>
      <c r="ROQ1" s="154" t="str">
        <f t="shared" si="196"/>
        <v>y</v>
      </c>
      <c r="ROR1" s="154" t="str">
        <f t="shared" si="196"/>
        <v>y</v>
      </c>
      <c r="ROS1" s="154" t="str">
        <f t="shared" si="196"/>
        <v>y</v>
      </c>
      <c r="ROT1" s="154" t="str">
        <f t="shared" si="196"/>
        <v>y</v>
      </c>
      <c r="ROU1" s="154" t="str">
        <f t="shared" si="196"/>
        <v>y</v>
      </c>
      <c r="ROV1" s="154" t="str">
        <f t="shared" si="196"/>
        <v>y</v>
      </c>
      <c r="ROW1" s="154" t="str">
        <f t="shared" si="196"/>
        <v>y</v>
      </c>
      <c r="ROX1" s="154" t="str">
        <f t="shared" si="196"/>
        <v>y</v>
      </c>
      <c r="ROY1" s="154" t="str">
        <f t="shared" si="196"/>
        <v>y</v>
      </c>
      <c r="ROZ1" s="154" t="str">
        <f t="shared" si="196"/>
        <v>y</v>
      </c>
      <c r="RPA1" s="154" t="str">
        <f t="shared" si="196"/>
        <v>y</v>
      </c>
      <c r="RPB1" s="154" t="str">
        <f t="shared" si="196"/>
        <v>y</v>
      </c>
      <c r="RPC1" s="154" t="str">
        <f t="shared" si="196"/>
        <v>y</v>
      </c>
      <c r="RPD1" s="154" t="str">
        <f t="shared" si="196"/>
        <v>y</v>
      </c>
      <c r="RPE1" s="154" t="str">
        <f t="shared" si="196"/>
        <v>y</v>
      </c>
      <c r="RPF1" s="154" t="str">
        <f t="shared" si="196"/>
        <v>y</v>
      </c>
      <c r="RPG1" s="154" t="str">
        <f t="shared" si="196"/>
        <v>y</v>
      </c>
      <c r="RPH1" s="154" t="str">
        <f t="shared" si="196"/>
        <v>y</v>
      </c>
      <c r="RPI1" s="154" t="str">
        <f t="shared" si="196"/>
        <v>y</v>
      </c>
      <c r="RPJ1" s="154" t="str">
        <f t="shared" si="196"/>
        <v>y</v>
      </c>
      <c r="RPK1" s="154" t="str">
        <f t="shared" si="196"/>
        <v>y</v>
      </c>
      <c r="RPL1" s="154" t="str">
        <f t="shared" si="196"/>
        <v>y</v>
      </c>
      <c r="RPM1" s="154" t="str">
        <f t="shared" si="196"/>
        <v>y</v>
      </c>
      <c r="RPN1" s="154" t="str">
        <f t="shared" si="196"/>
        <v>y</v>
      </c>
      <c r="RPO1" s="154" t="str">
        <f t="shared" si="196"/>
        <v>y</v>
      </c>
      <c r="RPP1" s="154" t="str">
        <f t="shared" si="196"/>
        <v>y</v>
      </c>
      <c r="RPQ1" s="154" t="str">
        <f t="shared" si="196"/>
        <v>y</v>
      </c>
      <c r="RPR1" s="154" t="str">
        <f t="shared" si="196"/>
        <v>y</v>
      </c>
      <c r="RPS1" s="154" t="str">
        <f t="shared" si="196"/>
        <v>y</v>
      </c>
      <c r="RPT1" s="154" t="str">
        <f t="shared" si="196"/>
        <v>y</v>
      </c>
      <c r="RPU1" s="154" t="str">
        <f t="shared" si="196"/>
        <v>y</v>
      </c>
      <c r="RPV1" s="154" t="str">
        <f t="shared" si="196"/>
        <v>y</v>
      </c>
      <c r="RPW1" s="154" t="str">
        <f t="shared" si="196"/>
        <v>y</v>
      </c>
      <c r="RPX1" s="154" t="str">
        <f t="shared" si="196"/>
        <v>y</v>
      </c>
      <c r="RPY1" s="154" t="str">
        <f t="shared" si="196"/>
        <v>y</v>
      </c>
      <c r="RPZ1" s="154" t="str">
        <f t="shared" si="196"/>
        <v>y</v>
      </c>
      <c r="RQA1" s="154" t="str">
        <f t="shared" si="196"/>
        <v>y</v>
      </c>
      <c r="RQB1" s="154" t="str">
        <f t="shared" ref="RQB1:RSM1" si="197">RQB2&amp;"y"</f>
        <v>y</v>
      </c>
      <c r="RQC1" s="154" t="str">
        <f t="shared" si="197"/>
        <v>y</v>
      </c>
      <c r="RQD1" s="154" t="str">
        <f t="shared" si="197"/>
        <v>y</v>
      </c>
      <c r="RQE1" s="154" t="str">
        <f t="shared" si="197"/>
        <v>y</v>
      </c>
      <c r="RQF1" s="154" t="str">
        <f t="shared" si="197"/>
        <v>y</v>
      </c>
      <c r="RQG1" s="154" t="str">
        <f t="shared" si="197"/>
        <v>y</v>
      </c>
      <c r="RQH1" s="154" t="str">
        <f t="shared" si="197"/>
        <v>y</v>
      </c>
      <c r="RQI1" s="154" t="str">
        <f t="shared" si="197"/>
        <v>y</v>
      </c>
      <c r="RQJ1" s="154" t="str">
        <f t="shared" si="197"/>
        <v>y</v>
      </c>
      <c r="RQK1" s="154" t="str">
        <f t="shared" si="197"/>
        <v>y</v>
      </c>
      <c r="RQL1" s="154" t="str">
        <f t="shared" si="197"/>
        <v>y</v>
      </c>
      <c r="RQM1" s="154" t="str">
        <f t="shared" si="197"/>
        <v>y</v>
      </c>
      <c r="RQN1" s="154" t="str">
        <f t="shared" si="197"/>
        <v>y</v>
      </c>
      <c r="RQO1" s="154" t="str">
        <f t="shared" si="197"/>
        <v>y</v>
      </c>
      <c r="RQP1" s="154" t="str">
        <f t="shared" si="197"/>
        <v>y</v>
      </c>
      <c r="RQQ1" s="154" t="str">
        <f t="shared" si="197"/>
        <v>y</v>
      </c>
      <c r="RQR1" s="154" t="str">
        <f t="shared" si="197"/>
        <v>y</v>
      </c>
      <c r="RQS1" s="154" t="str">
        <f t="shared" si="197"/>
        <v>y</v>
      </c>
      <c r="RQT1" s="154" t="str">
        <f t="shared" si="197"/>
        <v>y</v>
      </c>
      <c r="RQU1" s="154" t="str">
        <f t="shared" si="197"/>
        <v>y</v>
      </c>
      <c r="RQV1" s="154" t="str">
        <f t="shared" si="197"/>
        <v>y</v>
      </c>
      <c r="RQW1" s="154" t="str">
        <f t="shared" si="197"/>
        <v>y</v>
      </c>
      <c r="RQX1" s="154" t="str">
        <f t="shared" si="197"/>
        <v>y</v>
      </c>
      <c r="RQY1" s="154" t="str">
        <f t="shared" si="197"/>
        <v>y</v>
      </c>
      <c r="RQZ1" s="154" t="str">
        <f t="shared" si="197"/>
        <v>y</v>
      </c>
      <c r="RRA1" s="154" t="str">
        <f t="shared" si="197"/>
        <v>y</v>
      </c>
      <c r="RRB1" s="154" t="str">
        <f t="shared" si="197"/>
        <v>y</v>
      </c>
      <c r="RRC1" s="154" t="str">
        <f t="shared" si="197"/>
        <v>y</v>
      </c>
      <c r="RRD1" s="154" t="str">
        <f t="shared" si="197"/>
        <v>y</v>
      </c>
      <c r="RRE1" s="154" t="str">
        <f t="shared" si="197"/>
        <v>y</v>
      </c>
      <c r="RRF1" s="154" t="str">
        <f t="shared" si="197"/>
        <v>y</v>
      </c>
      <c r="RRG1" s="154" t="str">
        <f t="shared" si="197"/>
        <v>y</v>
      </c>
      <c r="RRH1" s="154" t="str">
        <f t="shared" si="197"/>
        <v>y</v>
      </c>
      <c r="RRI1" s="154" t="str">
        <f t="shared" si="197"/>
        <v>y</v>
      </c>
      <c r="RRJ1" s="154" t="str">
        <f t="shared" si="197"/>
        <v>y</v>
      </c>
      <c r="RRK1" s="154" t="str">
        <f t="shared" si="197"/>
        <v>y</v>
      </c>
      <c r="RRL1" s="154" t="str">
        <f t="shared" si="197"/>
        <v>y</v>
      </c>
      <c r="RRM1" s="154" t="str">
        <f t="shared" si="197"/>
        <v>y</v>
      </c>
      <c r="RRN1" s="154" t="str">
        <f t="shared" si="197"/>
        <v>y</v>
      </c>
      <c r="RRO1" s="154" t="str">
        <f t="shared" si="197"/>
        <v>y</v>
      </c>
      <c r="RRP1" s="154" t="str">
        <f t="shared" si="197"/>
        <v>y</v>
      </c>
      <c r="RRQ1" s="154" t="str">
        <f t="shared" si="197"/>
        <v>y</v>
      </c>
      <c r="RRR1" s="154" t="str">
        <f t="shared" si="197"/>
        <v>y</v>
      </c>
      <c r="RRS1" s="154" t="str">
        <f t="shared" si="197"/>
        <v>y</v>
      </c>
      <c r="RRT1" s="154" t="str">
        <f t="shared" si="197"/>
        <v>y</v>
      </c>
      <c r="RRU1" s="154" t="str">
        <f t="shared" si="197"/>
        <v>y</v>
      </c>
      <c r="RRV1" s="154" t="str">
        <f t="shared" si="197"/>
        <v>y</v>
      </c>
      <c r="RRW1" s="154" t="str">
        <f t="shared" si="197"/>
        <v>y</v>
      </c>
      <c r="RRX1" s="154" t="str">
        <f t="shared" si="197"/>
        <v>y</v>
      </c>
      <c r="RRY1" s="154" t="str">
        <f t="shared" si="197"/>
        <v>y</v>
      </c>
      <c r="RRZ1" s="154" t="str">
        <f t="shared" si="197"/>
        <v>y</v>
      </c>
      <c r="RSA1" s="154" t="str">
        <f t="shared" si="197"/>
        <v>y</v>
      </c>
      <c r="RSB1" s="154" t="str">
        <f t="shared" si="197"/>
        <v>y</v>
      </c>
      <c r="RSC1" s="154" t="str">
        <f t="shared" si="197"/>
        <v>y</v>
      </c>
      <c r="RSD1" s="154" t="str">
        <f t="shared" si="197"/>
        <v>y</v>
      </c>
      <c r="RSE1" s="154" t="str">
        <f t="shared" si="197"/>
        <v>y</v>
      </c>
      <c r="RSF1" s="154" t="str">
        <f t="shared" si="197"/>
        <v>y</v>
      </c>
      <c r="RSG1" s="154" t="str">
        <f t="shared" si="197"/>
        <v>y</v>
      </c>
      <c r="RSH1" s="154" t="str">
        <f t="shared" si="197"/>
        <v>y</v>
      </c>
      <c r="RSI1" s="154" t="str">
        <f t="shared" si="197"/>
        <v>y</v>
      </c>
      <c r="RSJ1" s="154" t="str">
        <f t="shared" si="197"/>
        <v>y</v>
      </c>
      <c r="RSK1" s="154" t="str">
        <f t="shared" si="197"/>
        <v>y</v>
      </c>
      <c r="RSL1" s="154" t="str">
        <f t="shared" si="197"/>
        <v>y</v>
      </c>
      <c r="RSM1" s="154" t="str">
        <f t="shared" si="197"/>
        <v>y</v>
      </c>
      <c r="RSN1" s="154" t="str">
        <f t="shared" ref="RSN1:RUY1" si="198">RSN2&amp;"y"</f>
        <v>y</v>
      </c>
      <c r="RSO1" s="154" t="str">
        <f t="shared" si="198"/>
        <v>y</v>
      </c>
      <c r="RSP1" s="154" t="str">
        <f t="shared" si="198"/>
        <v>y</v>
      </c>
      <c r="RSQ1" s="154" t="str">
        <f t="shared" si="198"/>
        <v>y</v>
      </c>
      <c r="RSR1" s="154" t="str">
        <f t="shared" si="198"/>
        <v>y</v>
      </c>
      <c r="RSS1" s="154" t="str">
        <f t="shared" si="198"/>
        <v>y</v>
      </c>
      <c r="RST1" s="154" t="str">
        <f t="shared" si="198"/>
        <v>y</v>
      </c>
      <c r="RSU1" s="154" t="str">
        <f t="shared" si="198"/>
        <v>y</v>
      </c>
      <c r="RSV1" s="154" t="str">
        <f t="shared" si="198"/>
        <v>y</v>
      </c>
      <c r="RSW1" s="154" t="str">
        <f t="shared" si="198"/>
        <v>y</v>
      </c>
      <c r="RSX1" s="154" t="str">
        <f t="shared" si="198"/>
        <v>y</v>
      </c>
      <c r="RSY1" s="154" t="str">
        <f t="shared" si="198"/>
        <v>y</v>
      </c>
      <c r="RSZ1" s="154" t="str">
        <f t="shared" si="198"/>
        <v>y</v>
      </c>
      <c r="RTA1" s="154" t="str">
        <f t="shared" si="198"/>
        <v>y</v>
      </c>
      <c r="RTB1" s="154" t="str">
        <f t="shared" si="198"/>
        <v>y</v>
      </c>
      <c r="RTC1" s="154" t="str">
        <f t="shared" si="198"/>
        <v>y</v>
      </c>
      <c r="RTD1" s="154" t="str">
        <f t="shared" si="198"/>
        <v>y</v>
      </c>
      <c r="RTE1" s="154" t="str">
        <f t="shared" si="198"/>
        <v>y</v>
      </c>
      <c r="RTF1" s="154" t="str">
        <f t="shared" si="198"/>
        <v>y</v>
      </c>
      <c r="RTG1" s="154" t="str">
        <f t="shared" si="198"/>
        <v>y</v>
      </c>
      <c r="RTH1" s="154" t="str">
        <f t="shared" si="198"/>
        <v>y</v>
      </c>
      <c r="RTI1" s="154" t="str">
        <f t="shared" si="198"/>
        <v>y</v>
      </c>
      <c r="RTJ1" s="154" t="str">
        <f t="shared" si="198"/>
        <v>y</v>
      </c>
      <c r="RTK1" s="154" t="str">
        <f t="shared" si="198"/>
        <v>y</v>
      </c>
      <c r="RTL1" s="154" t="str">
        <f t="shared" si="198"/>
        <v>y</v>
      </c>
      <c r="RTM1" s="154" t="str">
        <f t="shared" si="198"/>
        <v>y</v>
      </c>
      <c r="RTN1" s="154" t="str">
        <f t="shared" si="198"/>
        <v>y</v>
      </c>
      <c r="RTO1" s="154" t="str">
        <f t="shared" si="198"/>
        <v>y</v>
      </c>
      <c r="RTP1" s="154" t="str">
        <f t="shared" si="198"/>
        <v>y</v>
      </c>
      <c r="RTQ1" s="154" t="str">
        <f t="shared" si="198"/>
        <v>y</v>
      </c>
      <c r="RTR1" s="154" t="str">
        <f t="shared" si="198"/>
        <v>y</v>
      </c>
      <c r="RTS1" s="154" t="str">
        <f t="shared" si="198"/>
        <v>y</v>
      </c>
      <c r="RTT1" s="154" t="str">
        <f t="shared" si="198"/>
        <v>y</v>
      </c>
      <c r="RTU1" s="154" t="str">
        <f t="shared" si="198"/>
        <v>y</v>
      </c>
      <c r="RTV1" s="154" t="str">
        <f t="shared" si="198"/>
        <v>y</v>
      </c>
      <c r="RTW1" s="154" t="str">
        <f t="shared" si="198"/>
        <v>y</v>
      </c>
      <c r="RTX1" s="154" t="str">
        <f t="shared" si="198"/>
        <v>y</v>
      </c>
      <c r="RTY1" s="154" t="str">
        <f t="shared" si="198"/>
        <v>y</v>
      </c>
      <c r="RTZ1" s="154" t="str">
        <f t="shared" si="198"/>
        <v>y</v>
      </c>
      <c r="RUA1" s="154" t="str">
        <f t="shared" si="198"/>
        <v>y</v>
      </c>
      <c r="RUB1" s="154" t="str">
        <f t="shared" si="198"/>
        <v>y</v>
      </c>
      <c r="RUC1" s="154" t="str">
        <f t="shared" si="198"/>
        <v>y</v>
      </c>
      <c r="RUD1" s="154" t="str">
        <f t="shared" si="198"/>
        <v>y</v>
      </c>
      <c r="RUE1" s="154" t="str">
        <f t="shared" si="198"/>
        <v>y</v>
      </c>
      <c r="RUF1" s="154" t="str">
        <f t="shared" si="198"/>
        <v>y</v>
      </c>
      <c r="RUG1" s="154" t="str">
        <f t="shared" si="198"/>
        <v>y</v>
      </c>
      <c r="RUH1" s="154" t="str">
        <f t="shared" si="198"/>
        <v>y</v>
      </c>
      <c r="RUI1" s="154" t="str">
        <f t="shared" si="198"/>
        <v>y</v>
      </c>
      <c r="RUJ1" s="154" t="str">
        <f t="shared" si="198"/>
        <v>y</v>
      </c>
      <c r="RUK1" s="154" t="str">
        <f t="shared" si="198"/>
        <v>y</v>
      </c>
      <c r="RUL1" s="154" t="str">
        <f t="shared" si="198"/>
        <v>y</v>
      </c>
      <c r="RUM1" s="154" t="str">
        <f t="shared" si="198"/>
        <v>y</v>
      </c>
      <c r="RUN1" s="154" t="str">
        <f t="shared" si="198"/>
        <v>y</v>
      </c>
      <c r="RUO1" s="154" t="str">
        <f t="shared" si="198"/>
        <v>y</v>
      </c>
      <c r="RUP1" s="154" t="str">
        <f t="shared" si="198"/>
        <v>y</v>
      </c>
      <c r="RUQ1" s="154" t="str">
        <f t="shared" si="198"/>
        <v>y</v>
      </c>
      <c r="RUR1" s="154" t="str">
        <f t="shared" si="198"/>
        <v>y</v>
      </c>
      <c r="RUS1" s="154" t="str">
        <f t="shared" si="198"/>
        <v>y</v>
      </c>
      <c r="RUT1" s="154" t="str">
        <f t="shared" si="198"/>
        <v>y</v>
      </c>
      <c r="RUU1" s="154" t="str">
        <f t="shared" si="198"/>
        <v>y</v>
      </c>
      <c r="RUV1" s="154" t="str">
        <f t="shared" si="198"/>
        <v>y</v>
      </c>
      <c r="RUW1" s="154" t="str">
        <f t="shared" si="198"/>
        <v>y</v>
      </c>
      <c r="RUX1" s="154" t="str">
        <f t="shared" si="198"/>
        <v>y</v>
      </c>
      <c r="RUY1" s="154" t="str">
        <f t="shared" si="198"/>
        <v>y</v>
      </c>
      <c r="RUZ1" s="154" t="str">
        <f t="shared" ref="RUZ1:RXK1" si="199">RUZ2&amp;"y"</f>
        <v>y</v>
      </c>
      <c r="RVA1" s="154" t="str">
        <f t="shared" si="199"/>
        <v>y</v>
      </c>
      <c r="RVB1" s="154" t="str">
        <f t="shared" si="199"/>
        <v>y</v>
      </c>
      <c r="RVC1" s="154" t="str">
        <f t="shared" si="199"/>
        <v>y</v>
      </c>
      <c r="RVD1" s="154" t="str">
        <f t="shared" si="199"/>
        <v>y</v>
      </c>
      <c r="RVE1" s="154" t="str">
        <f t="shared" si="199"/>
        <v>y</v>
      </c>
      <c r="RVF1" s="154" t="str">
        <f t="shared" si="199"/>
        <v>y</v>
      </c>
      <c r="RVG1" s="154" t="str">
        <f t="shared" si="199"/>
        <v>y</v>
      </c>
      <c r="RVH1" s="154" t="str">
        <f t="shared" si="199"/>
        <v>y</v>
      </c>
      <c r="RVI1" s="154" t="str">
        <f t="shared" si="199"/>
        <v>y</v>
      </c>
      <c r="RVJ1" s="154" t="str">
        <f t="shared" si="199"/>
        <v>y</v>
      </c>
      <c r="RVK1" s="154" t="str">
        <f t="shared" si="199"/>
        <v>y</v>
      </c>
      <c r="RVL1" s="154" t="str">
        <f t="shared" si="199"/>
        <v>y</v>
      </c>
      <c r="RVM1" s="154" t="str">
        <f t="shared" si="199"/>
        <v>y</v>
      </c>
      <c r="RVN1" s="154" t="str">
        <f t="shared" si="199"/>
        <v>y</v>
      </c>
      <c r="RVO1" s="154" t="str">
        <f t="shared" si="199"/>
        <v>y</v>
      </c>
      <c r="RVP1" s="154" t="str">
        <f t="shared" si="199"/>
        <v>y</v>
      </c>
      <c r="RVQ1" s="154" t="str">
        <f t="shared" si="199"/>
        <v>y</v>
      </c>
      <c r="RVR1" s="154" t="str">
        <f t="shared" si="199"/>
        <v>y</v>
      </c>
      <c r="RVS1" s="154" t="str">
        <f t="shared" si="199"/>
        <v>y</v>
      </c>
      <c r="RVT1" s="154" t="str">
        <f t="shared" si="199"/>
        <v>y</v>
      </c>
      <c r="RVU1" s="154" t="str">
        <f t="shared" si="199"/>
        <v>y</v>
      </c>
      <c r="RVV1" s="154" t="str">
        <f t="shared" si="199"/>
        <v>y</v>
      </c>
      <c r="RVW1" s="154" t="str">
        <f t="shared" si="199"/>
        <v>y</v>
      </c>
      <c r="RVX1" s="154" t="str">
        <f t="shared" si="199"/>
        <v>y</v>
      </c>
      <c r="RVY1" s="154" t="str">
        <f t="shared" si="199"/>
        <v>y</v>
      </c>
      <c r="RVZ1" s="154" t="str">
        <f t="shared" si="199"/>
        <v>y</v>
      </c>
      <c r="RWA1" s="154" t="str">
        <f t="shared" si="199"/>
        <v>y</v>
      </c>
      <c r="RWB1" s="154" t="str">
        <f t="shared" si="199"/>
        <v>y</v>
      </c>
      <c r="RWC1" s="154" t="str">
        <f t="shared" si="199"/>
        <v>y</v>
      </c>
      <c r="RWD1" s="154" t="str">
        <f t="shared" si="199"/>
        <v>y</v>
      </c>
      <c r="RWE1" s="154" t="str">
        <f t="shared" si="199"/>
        <v>y</v>
      </c>
      <c r="RWF1" s="154" t="str">
        <f t="shared" si="199"/>
        <v>y</v>
      </c>
      <c r="RWG1" s="154" t="str">
        <f t="shared" si="199"/>
        <v>y</v>
      </c>
      <c r="RWH1" s="154" t="str">
        <f t="shared" si="199"/>
        <v>y</v>
      </c>
      <c r="RWI1" s="154" t="str">
        <f t="shared" si="199"/>
        <v>y</v>
      </c>
      <c r="RWJ1" s="154" t="str">
        <f t="shared" si="199"/>
        <v>y</v>
      </c>
      <c r="RWK1" s="154" t="str">
        <f t="shared" si="199"/>
        <v>y</v>
      </c>
      <c r="RWL1" s="154" t="str">
        <f t="shared" si="199"/>
        <v>y</v>
      </c>
      <c r="RWM1" s="154" t="str">
        <f t="shared" si="199"/>
        <v>y</v>
      </c>
      <c r="RWN1" s="154" t="str">
        <f t="shared" si="199"/>
        <v>y</v>
      </c>
      <c r="RWO1" s="154" t="str">
        <f t="shared" si="199"/>
        <v>y</v>
      </c>
      <c r="RWP1" s="154" t="str">
        <f t="shared" si="199"/>
        <v>y</v>
      </c>
      <c r="RWQ1" s="154" t="str">
        <f t="shared" si="199"/>
        <v>y</v>
      </c>
      <c r="RWR1" s="154" t="str">
        <f t="shared" si="199"/>
        <v>y</v>
      </c>
      <c r="RWS1" s="154" t="str">
        <f t="shared" si="199"/>
        <v>y</v>
      </c>
      <c r="RWT1" s="154" t="str">
        <f t="shared" si="199"/>
        <v>y</v>
      </c>
      <c r="RWU1" s="154" t="str">
        <f t="shared" si="199"/>
        <v>y</v>
      </c>
      <c r="RWV1" s="154" t="str">
        <f t="shared" si="199"/>
        <v>y</v>
      </c>
      <c r="RWW1" s="154" t="str">
        <f t="shared" si="199"/>
        <v>y</v>
      </c>
      <c r="RWX1" s="154" t="str">
        <f t="shared" si="199"/>
        <v>y</v>
      </c>
      <c r="RWY1" s="154" t="str">
        <f t="shared" si="199"/>
        <v>y</v>
      </c>
      <c r="RWZ1" s="154" t="str">
        <f t="shared" si="199"/>
        <v>y</v>
      </c>
      <c r="RXA1" s="154" t="str">
        <f t="shared" si="199"/>
        <v>y</v>
      </c>
      <c r="RXB1" s="154" t="str">
        <f t="shared" si="199"/>
        <v>y</v>
      </c>
      <c r="RXC1" s="154" t="str">
        <f t="shared" si="199"/>
        <v>y</v>
      </c>
      <c r="RXD1" s="154" t="str">
        <f t="shared" si="199"/>
        <v>y</v>
      </c>
      <c r="RXE1" s="154" t="str">
        <f t="shared" si="199"/>
        <v>y</v>
      </c>
      <c r="RXF1" s="154" t="str">
        <f t="shared" si="199"/>
        <v>y</v>
      </c>
      <c r="RXG1" s="154" t="str">
        <f t="shared" si="199"/>
        <v>y</v>
      </c>
      <c r="RXH1" s="154" t="str">
        <f t="shared" si="199"/>
        <v>y</v>
      </c>
      <c r="RXI1" s="154" t="str">
        <f t="shared" si="199"/>
        <v>y</v>
      </c>
      <c r="RXJ1" s="154" t="str">
        <f t="shared" si="199"/>
        <v>y</v>
      </c>
      <c r="RXK1" s="154" t="str">
        <f t="shared" si="199"/>
        <v>y</v>
      </c>
      <c r="RXL1" s="154" t="str">
        <f t="shared" ref="RXL1:RZW1" si="200">RXL2&amp;"y"</f>
        <v>y</v>
      </c>
      <c r="RXM1" s="154" t="str">
        <f t="shared" si="200"/>
        <v>y</v>
      </c>
      <c r="RXN1" s="154" t="str">
        <f t="shared" si="200"/>
        <v>y</v>
      </c>
      <c r="RXO1" s="154" t="str">
        <f t="shared" si="200"/>
        <v>y</v>
      </c>
      <c r="RXP1" s="154" t="str">
        <f t="shared" si="200"/>
        <v>y</v>
      </c>
      <c r="RXQ1" s="154" t="str">
        <f t="shared" si="200"/>
        <v>y</v>
      </c>
      <c r="RXR1" s="154" t="str">
        <f t="shared" si="200"/>
        <v>y</v>
      </c>
      <c r="RXS1" s="154" t="str">
        <f t="shared" si="200"/>
        <v>y</v>
      </c>
      <c r="RXT1" s="154" t="str">
        <f t="shared" si="200"/>
        <v>y</v>
      </c>
      <c r="RXU1" s="154" t="str">
        <f t="shared" si="200"/>
        <v>y</v>
      </c>
      <c r="RXV1" s="154" t="str">
        <f t="shared" si="200"/>
        <v>y</v>
      </c>
      <c r="RXW1" s="154" t="str">
        <f t="shared" si="200"/>
        <v>y</v>
      </c>
      <c r="RXX1" s="154" t="str">
        <f t="shared" si="200"/>
        <v>y</v>
      </c>
      <c r="RXY1" s="154" t="str">
        <f t="shared" si="200"/>
        <v>y</v>
      </c>
      <c r="RXZ1" s="154" t="str">
        <f t="shared" si="200"/>
        <v>y</v>
      </c>
      <c r="RYA1" s="154" t="str">
        <f t="shared" si="200"/>
        <v>y</v>
      </c>
      <c r="RYB1" s="154" t="str">
        <f t="shared" si="200"/>
        <v>y</v>
      </c>
      <c r="RYC1" s="154" t="str">
        <f t="shared" si="200"/>
        <v>y</v>
      </c>
      <c r="RYD1" s="154" t="str">
        <f t="shared" si="200"/>
        <v>y</v>
      </c>
      <c r="RYE1" s="154" t="str">
        <f t="shared" si="200"/>
        <v>y</v>
      </c>
      <c r="RYF1" s="154" t="str">
        <f t="shared" si="200"/>
        <v>y</v>
      </c>
      <c r="RYG1" s="154" t="str">
        <f t="shared" si="200"/>
        <v>y</v>
      </c>
      <c r="RYH1" s="154" t="str">
        <f t="shared" si="200"/>
        <v>y</v>
      </c>
      <c r="RYI1" s="154" t="str">
        <f t="shared" si="200"/>
        <v>y</v>
      </c>
      <c r="RYJ1" s="154" t="str">
        <f t="shared" si="200"/>
        <v>y</v>
      </c>
      <c r="RYK1" s="154" t="str">
        <f t="shared" si="200"/>
        <v>y</v>
      </c>
      <c r="RYL1" s="154" t="str">
        <f t="shared" si="200"/>
        <v>y</v>
      </c>
      <c r="RYM1" s="154" t="str">
        <f t="shared" si="200"/>
        <v>y</v>
      </c>
      <c r="RYN1" s="154" t="str">
        <f t="shared" si="200"/>
        <v>y</v>
      </c>
      <c r="RYO1" s="154" t="str">
        <f t="shared" si="200"/>
        <v>y</v>
      </c>
      <c r="RYP1" s="154" t="str">
        <f t="shared" si="200"/>
        <v>y</v>
      </c>
      <c r="RYQ1" s="154" t="str">
        <f t="shared" si="200"/>
        <v>y</v>
      </c>
      <c r="RYR1" s="154" t="str">
        <f t="shared" si="200"/>
        <v>y</v>
      </c>
      <c r="RYS1" s="154" t="str">
        <f t="shared" si="200"/>
        <v>y</v>
      </c>
      <c r="RYT1" s="154" t="str">
        <f t="shared" si="200"/>
        <v>y</v>
      </c>
      <c r="RYU1" s="154" t="str">
        <f t="shared" si="200"/>
        <v>y</v>
      </c>
      <c r="RYV1" s="154" t="str">
        <f t="shared" si="200"/>
        <v>y</v>
      </c>
      <c r="RYW1" s="154" t="str">
        <f t="shared" si="200"/>
        <v>y</v>
      </c>
      <c r="RYX1" s="154" t="str">
        <f t="shared" si="200"/>
        <v>y</v>
      </c>
      <c r="RYY1" s="154" t="str">
        <f t="shared" si="200"/>
        <v>y</v>
      </c>
      <c r="RYZ1" s="154" t="str">
        <f t="shared" si="200"/>
        <v>y</v>
      </c>
      <c r="RZA1" s="154" t="str">
        <f t="shared" si="200"/>
        <v>y</v>
      </c>
      <c r="RZB1" s="154" t="str">
        <f t="shared" si="200"/>
        <v>y</v>
      </c>
      <c r="RZC1" s="154" t="str">
        <f t="shared" si="200"/>
        <v>y</v>
      </c>
      <c r="RZD1" s="154" t="str">
        <f t="shared" si="200"/>
        <v>y</v>
      </c>
      <c r="RZE1" s="154" t="str">
        <f t="shared" si="200"/>
        <v>y</v>
      </c>
      <c r="RZF1" s="154" t="str">
        <f t="shared" si="200"/>
        <v>y</v>
      </c>
      <c r="RZG1" s="154" t="str">
        <f t="shared" si="200"/>
        <v>y</v>
      </c>
      <c r="RZH1" s="154" t="str">
        <f t="shared" si="200"/>
        <v>y</v>
      </c>
      <c r="RZI1" s="154" t="str">
        <f t="shared" si="200"/>
        <v>y</v>
      </c>
      <c r="RZJ1" s="154" t="str">
        <f t="shared" si="200"/>
        <v>y</v>
      </c>
      <c r="RZK1" s="154" t="str">
        <f t="shared" si="200"/>
        <v>y</v>
      </c>
      <c r="RZL1" s="154" t="str">
        <f t="shared" si="200"/>
        <v>y</v>
      </c>
      <c r="RZM1" s="154" t="str">
        <f t="shared" si="200"/>
        <v>y</v>
      </c>
      <c r="RZN1" s="154" t="str">
        <f t="shared" si="200"/>
        <v>y</v>
      </c>
      <c r="RZO1" s="154" t="str">
        <f t="shared" si="200"/>
        <v>y</v>
      </c>
      <c r="RZP1" s="154" t="str">
        <f t="shared" si="200"/>
        <v>y</v>
      </c>
      <c r="RZQ1" s="154" t="str">
        <f t="shared" si="200"/>
        <v>y</v>
      </c>
      <c r="RZR1" s="154" t="str">
        <f t="shared" si="200"/>
        <v>y</v>
      </c>
      <c r="RZS1" s="154" t="str">
        <f t="shared" si="200"/>
        <v>y</v>
      </c>
      <c r="RZT1" s="154" t="str">
        <f t="shared" si="200"/>
        <v>y</v>
      </c>
      <c r="RZU1" s="154" t="str">
        <f t="shared" si="200"/>
        <v>y</v>
      </c>
      <c r="RZV1" s="154" t="str">
        <f t="shared" si="200"/>
        <v>y</v>
      </c>
      <c r="RZW1" s="154" t="str">
        <f t="shared" si="200"/>
        <v>y</v>
      </c>
      <c r="RZX1" s="154" t="str">
        <f t="shared" ref="RZX1:SCI1" si="201">RZX2&amp;"y"</f>
        <v>y</v>
      </c>
      <c r="RZY1" s="154" t="str">
        <f t="shared" si="201"/>
        <v>y</v>
      </c>
      <c r="RZZ1" s="154" t="str">
        <f t="shared" si="201"/>
        <v>y</v>
      </c>
      <c r="SAA1" s="154" t="str">
        <f t="shared" si="201"/>
        <v>y</v>
      </c>
      <c r="SAB1" s="154" t="str">
        <f t="shared" si="201"/>
        <v>y</v>
      </c>
      <c r="SAC1" s="154" t="str">
        <f t="shared" si="201"/>
        <v>y</v>
      </c>
      <c r="SAD1" s="154" t="str">
        <f t="shared" si="201"/>
        <v>y</v>
      </c>
      <c r="SAE1" s="154" t="str">
        <f t="shared" si="201"/>
        <v>y</v>
      </c>
      <c r="SAF1" s="154" t="str">
        <f t="shared" si="201"/>
        <v>y</v>
      </c>
      <c r="SAG1" s="154" t="str">
        <f t="shared" si="201"/>
        <v>y</v>
      </c>
      <c r="SAH1" s="154" t="str">
        <f t="shared" si="201"/>
        <v>y</v>
      </c>
      <c r="SAI1" s="154" t="str">
        <f t="shared" si="201"/>
        <v>y</v>
      </c>
      <c r="SAJ1" s="154" t="str">
        <f t="shared" si="201"/>
        <v>y</v>
      </c>
      <c r="SAK1" s="154" t="str">
        <f t="shared" si="201"/>
        <v>y</v>
      </c>
      <c r="SAL1" s="154" t="str">
        <f t="shared" si="201"/>
        <v>y</v>
      </c>
      <c r="SAM1" s="154" t="str">
        <f t="shared" si="201"/>
        <v>y</v>
      </c>
      <c r="SAN1" s="154" t="str">
        <f t="shared" si="201"/>
        <v>y</v>
      </c>
      <c r="SAO1" s="154" t="str">
        <f t="shared" si="201"/>
        <v>y</v>
      </c>
      <c r="SAP1" s="154" t="str">
        <f t="shared" si="201"/>
        <v>y</v>
      </c>
      <c r="SAQ1" s="154" t="str">
        <f t="shared" si="201"/>
        <v>y</v>
      </c>
      <c r="SAR1" s="154" t="str">
        <f t="shared" si="201"/>
        <v>y</v>
      </c>
      <c r="SAS1" s="154" t="str">
        <f t="shared" si="201"/>
        <v>y</v>
      </c>
      <c r="SAT1" s="154" t="str">
        <f t="shared" si="201"/>
        <v>y</v>
      </c>
      <c r="SAU1" s="154" t="str">
        <f t="shared" si="201"/>
        <v>y</v>
      </c>
      <c r="SAV1" s="154" t="str">
        <f t="shared" si="201"/>
        <v>y</v>
      </c>
      <c r="SAW1" s="154" t="str">
        <f t="shared" si="201"/>
        <v>y</v>
      </c>
      <c r="SAX1" s="154" t="str">
        <f t="shared" si="201"/>
        <v>y</v>
      </c>
      <c r="SAY1" s="154" t="str">
        <f t="shared" si="201"/>
        <v>y</v>
      </c>
      <c r="SAZ1" s="154" t="str">
        <f t="shared" si="201"/>
        <v>y</v>
      </c>
      <c r="SBA1" s="154" t="str">
        <f t="shared" si="201"/>
        <v>y</v>
      </c>
      <c r="SBB1" s="154" t="str">
        <f t="shared" si="201"/>
        <v>y</v>
      </c>
      <c r="SBC1" s="154" t="str">
        <f t="shared" si="201"/>
        <v>y</v>
      </c>
      <c r="SBD1" s="154" t="str">
        <f t="shared" si="201"/>
        <v>y</v>
      </c>
      <c r="SBE1" s="154" t="str">
        <f t="shared" si="201"/>
        <v>y</v>
      </c>
      <c r="SBF1" s="154" t="str">
        <f t="shared" si="201"/>
        <v>y</v>
      </c>
      <c r="SBG1" s="154" t="str">
        <f t="shared" si="201"/>
        <v>y</v>
      </c>
      <c r="SBH1" s="154" t="str">
        <f t="shared" si="201"/>
        <v>y</v>
      </c>
      <c r="SBI1" s="154" t="str">
        <f t="shared" si="201"/>
        <v>y</v>
      </c>
      <c r="SBJ1" s="154" t="str">
        <f t="shared" si="201"/>
        <v>y</v>
      </c>
      <c r="SBK1" s="154" t="str">
        <f t="shared" si="201"/>
        <v>y</v>
      </c>
      <c r="SBL1" s="154" t="str">
        <f t="shared" si="201"/>
        <v>y</v>
      </c>
      <c r="SBM1" s="154" t="str">
        <f t="shared" si="201"/>
        <v>y</v>
      </c>
      <c r="SBN1" s="154" t="str">
        <f t="shared" si="201"/>
        <v>y</v>
      </c>
      <c r="SBO1" s="154" t="str">
        <f t="shared" si="201"/>
        <v>y</v>
      </c>
      <c r="SBP1" s="154" t="str">
        <f t="shared" si="201"/>
        <v>y</v>
      </c>
      <c r="SBQ1" s="154" t="str">
        <f t="shared" si="201"/>
        <v>y</v>
      </c>
      <c r="SBR1" s="154" t="str">
        <f t="shared" si="201"/>
        <v>y</v>
      </c>
      <c r="SBS1" s="154" t="str">
        <f t="shared" si="201"/>
        <v>y</v>
      </c>
      <c r="SBT1" s="154" t="str">
        <f t="shared" si="201"/>
        <v>y</v>
      </c>
      <c r="SBU1" s="154" t="str">
        <f t="shared" si="201"/>
        <v>y</v>
      </c>
      <c r="SBV1" s="154" t="str">
        <f t="shared" si="201"/>
        <v>y</v>
      </c>
      <c r="SBW1" s="154" t="str">
        <f t="shared" si="201"/>
        <v>y</v>
      </c>
      <c r="SBX1" s="154" t="str">
        <f t="shared" si="201"/>
        <v>y</v>
      </c>
      <c r="SBY1" s="154" t="str">
        <f t="shared" si="201"/>
        <v>y</v>
      </c>
      <c r="SBZ1" s="154" t="str">
        <f t="shared" si="201"/>
        <v>y</v>
      </c>
      <c r="SCA1" s="154" t="str">
        <f t="shared" si="201"/>
        <v>y</v>
      </c>
      <c r="SCB1" s="154" t="str">
        <f t="shared" si="201"/>
        <v>y</v>
      </c>
      <c r="SCC1" s="154" t="str">
        <f t="shared" si="201"/>
        <v>y</v>
      </c>
      <c r="SCD1" s="154" t="str">
        <f t="shared" si="201"/>
        <v>y</v>
      </c>
      <c r="SCE1" s="154" t="str">
        <f t="shared" si="201"/>
        <v>y</v>
      </c>
      <c r="SCF1" s="154" t="str">
        <f t="shared" si="201"/>
        <v>y</v>
      </c>
      <c r="SCG1" s="154" t="str">
        <f t="shared" si="201"/>
        <v>y</v>
      </c>
      <c r="SCH1" s="154" t="str">
        <f t="shared" si="201"/>
        <v>y</v>
      </c>
      <c r="SCI1" s="154" t="str">
        <f t="shared" si="201"/>
        <v>y</v>
      </c>
      <c r="SCJ1" s="154" t="str">
        <f t="shared" ref="SCJ1:SEU1" si="202">SCJ2&amp;"y"</f>
        <v>y</v>
      </c>
      <c r="SCK1" s="154" t="str">
        <f t="shared" si="202"/>
        <v>y</v>
      </c>
      <c r="SCL1" s="154" t="str">
        <f t="shared" si="202"/>
        <v>y</v>
      </c>
      <c r="SCM1" s="154" t="str">
        <f t="shared" si="202"/>
        <v>y</v>
      </c>
      <c r="SCN1" s="154" t="str">
        <f t="shared" si="202"/>
        <v>y</v>
      </c>
      <c r="SCO1" s="154" t="str">
        <f t="shared" si="202"/>
        <v>y</v>
      </c>
      <c r="SCP1" s="154" t="str">
        <f t="shared" si="202"/>
        <v>y</v>
      </c>
      <c r="SCQ1" s="154" t="str">
        <f t="shared" si="202"/>
        <v>y</v>
      </c>
      <c r="SCR1" s="154" t="str">
        <f t="shared" si="202"/>
        <v>y</v>
      </c>
      <c r="SCS1" s="154" t="str">
        <f t="shared" si="202"/>
        <v>y</v>
      </c>
      <c r="SCT1" s="154" t="str">
        <f t="shared" si="202"/>
        <v>y</v>
      </c>
      <c r="SCU1" s="154" t="str">
        <f t="shared" si="202"/>
        <v>y</v>
      </c>
      <c r="SCV1" s="154" t="str">
        <f t="shared" si="202"/>
        <v>y</v>
      </c>
      <c r="SCW1" s="154" t="str">
        <f t="shared" si="202"/>
        <v>y</v>
      </c>
      <c r="SCX1" s="154" t="str">
        <f t="shared" si="202"/>
        <v>y</v>
      </c>
      <c r="SCY1" s="154" t="str">
        <f t="shared" si="202"/>
        <v>y</v>
      </c>
      <c r="SCZ1" s="154" t="str">
        <f t="shared" si="202"/>
        <v>y</v>
      </c>
      <c r="SDA1" s="154" t="str">
        <f t="shared" si="202"/>
        <v>y</v>
      </c>
      <c r="SDB1" s="154" t="str">
        <f t="shared" si="202"/>
        <v>y</v>
      </c>
      <c r="SDC1" s="154" t="str">
        <f t="shared" si="202"/>
        <v>y</v>
      </c>
      <c r="SDD1" s="154" t="str">
        <f t="shared" si="202"/>
        <v>y</v>
      </c>
      <c r="SDE1" s="154" t="str">
        <f t="shared" si="202"/>
        <v>y</v>
      </c>
      <c r="SDF1" s="154" t="str">
        <f t="shared" si="202"/>
        <v>y</v>
      </c>
      <c r="SDG1" s="154" t="str">
        <f t="shared" si="202"/>
        <v>y</v>
      </c>
      <c r="SDH1" s="154" t="str">
        <f t="shared" si="202"/>
        <v>y</v>
      </c>
      <c r="SDI1" s="154" t="str">
        <f t="shared" si="202"/>
        <v>y</v>
      </c>
      <c r="SDJ1" s="154" t="str">
        <f t="shared" si="202"/>
        <v>y</v>
      </c>
      <c r="SDK1" s="154" t="str">
        <f t="shared" si="202"/>
        <v>y</v>
      </c>
      <c r="SDL1" s="154" t="str">
        <f t="shared" si="202"/>
        <v>y</v>
      </c>
      <c r="SDM1" s="154" t="str">
        <f t="shared" si="202"/>
        <v>y</v>
      </c>
      <c r="SDN1" s="154" t="str">
        <f t="shared" si="202"/>
        <v>y</v>
      </c>
      <c r="SDO1" s="154" t="str">
        <f t="shared" si="202"/>
        <v>y</v>
      </c>
      <c r="SDP1" s="154" t="str">
        <f t="shared" si="202"/>
        <v>y</v>
      </c>
      <c r="SDQ1" s="154" t="str">
        <f t="shared" si="202"/>
        <v>y</v>
      </c>
      <c r="SDR1" s="154" t="str">
        <f t="shared" si="202"/>
        <v>y</v>
      </c>
      <c r="SDS1" s="154" t="str">
        <f t="shared" si="202"/>
        <v>y</v>
      </c>
      <c r="SDT1" s="154" t="str">
        <f t="shared" si="202"/>
        <v>y</v>
      </c>
      <c r="SDU1" s="154" t="str">
        <f t="shared" si="202"/>
        <v>y</v>
      </c>
      <c r="SDV1" s="154" t="str">
        <f t="shared" si="202"/>
        <v>y</v>
      </c>
      <c r="SDW1" s="154" t="str">
        <f t="shared" si="202"/>
        <v>y</v>
      </c>
      <c r="SDX1" s="154" t="str">
        <f t="shared" si="202"/>
        <v>y</v>
      </c>
      <c r="SDY1" s="154" t="str">
        <f t="shared" si="202"/>
        <v>y</v>
      </c>
      <c r="SDZ1" s="154" t="str">
        <f t="shared" si="202"/>
        <v>y</v>
      </c>
      <c r="SEA1" s="154" t="str">
        <f t="shared" si="202"/>
        <v>y</v>
      </c>
      <c r="SEB1" s="154" t="str">
        <f t="shared" si="202"/>
        <v>y</v>
      </c>
      <c r="SEC1" s="154" t="str">
        <f t="shared" si="202"/>
        <v>y</v>
      </c>
      <c r="SED1" s="154" t="str">
        <f t="shared" si="202"/>
        <v>y</v>
      </c>
      <c r="SEE1" s="154" t="str">
        <f t="shared" si="202"/>
        <v>y</v>
      </c>
      <c r="SEF1" s="154" t="str">
        <f t="shared" si="202"/>
        <v>y</v>
      </c>
      <c r="SEG1" s="154" t="str">
        <f t="shared" si="202"/>
        <v>y</v>
      </c>
      <c r="SEH1" s="154" t="str">
        <f t="shared" si="202"/>
        <v>y</v>
      </c>
      <c r="SEI1" s="154" t="str">
        <f t="shared" si="202"/>
        <v>y</v>
      </c>
      <c r="SEJ1" s="154" t="str">
        <f t="shared" si="202"/>
        <v>y</v>
      </c>
      <c r="SEK1" s="154" t="str">
        <f t="shared" si="202"/>
        <v>y</v>
      </c>
      <c r="SEL1" s="154" t="str">
        <f t="shared" si="202"/>
        <v>y</v>
      </c>
      <c r="SEM1" s="154" t="str">
        <f t="shared" si="202"/>
        <v>y</v>
      </c>
      <c r="SEN1" s="154" t="str">
        <f t="shared" si="202"/>
        <v>y</v>
      </c>
      <c r="SEO1" s="154" t="str">
        <f t="shared" si="202"/>
        <v>y</v>
      </c>
      <c r="SEP1" s="154" t="str">
        <f t="shared" si="202"/>
        <v>y</v>
      </c>
      <c r="SEQ1" s="154" t="str">
        <f t="shared" si="202"/>
        <v>y</v>
      </c>
      <c r="SER1" s="154" t="str">
        <f t="shared" si="202"/>
        <v>y</v>
      </c>
      <c r="SES1" s="154" t="str">
        <f t="shared" si="202"/>
        <v>y</v>
      </c>
      <c r="SET1" s="154" t="str">
        <f t="shared" si="202"/>
        <v>y</v>
      </c>
      <c r="SEU1" s="154" t="str">
        <f t="shared" si="202"/>
        <v>y</v>
      </c>
      <c r="SEV1" s="154" t="str">
        <f t="shared" ref="SEV1:SHG1" si="203">SEV2&amp;"y"</f>
        <v>y</v>
      </c>
      <c r="SEW1" s="154" t="str">
        <f t="shared" si="203"/>
        <v>y</v>
      </c>
      <c r="SEX1" s="154" t="str">
        <f t="shared" si="203"/>
        <v>y</v>
      </c>
      <c r="SEY1" s="154" t="str">
        <f t="shared" si="203"/>
        <v>y</v>
      </c>
      <c r="SEZ1" s="154" t="str">
        <f t="shared" si="203"/>
        <v>y</v>
      </c>
      <c r="SFA1" s="154" t="str">
        <f t="shared" si="203"/>
        <v>y</v>
      </c>
      <c r="SFB1" s="154" t="str">
        <f t="shared" si="203"/>
        <v>y</v>
      </c>
      <c r="SFC1" s="154" t="str">
        <f t="shared" si="203"/>
        <v>y</v>
      </c>
      <c r="SFD1" s="154" t="str">
        <f t="shared" si="203"/>
        <v>y</v>
      </c>
      <c r="SFE1" s="154" t="str">
        <f t="shared" si="203"/>
        <v>y</v>
      </c>
      <c r="SFF1" s="154" t="str">
        <f t="shared" si="203"/>
        <v>y</v>
      </c>
      <c r="SFG1" s="154" t="str">
        <f t="shared" si="203"/>
        <v>y</v>
      </c>
      <c r="SFH1" s="154" t="str">
        <f t="shared" si="203"/>
        <v>y</v>
      </c>
      <c r="SFI1" s="154" t="str">
        <f t="shared" si="203"/>
        <v>y</v>
      </c>
      <c r="SFJ1" s="154" t="str">
        <f t="shared" si="203"/>
        <v>y</v>
      </c>
      <c r="SFK1" s="154" t="str">
        <f t="shared" si="203"/>
        <v>y</v>
      </c>
      <c r="SFL1" s="154" t="str">
        <f t="shared" si="203"/>
        <v>y</v>
      </c>
      <c r="SFM1" s="154" t="str">
        <f t="shared" si="203"/>
        <v>y</v>
      </c>
      <c r="SFN1" s="154" t="str">
        <f t="shared" si="203"/>
        <v>y</v>
      </c>
      <c r="SFO1" s="154" t="str">
        <f t="shared" si="203"/>
        <v>y</v>
      </c>
      <c r="SFP1" s="154" t="str">
        <f t="shared" si="203"/>
        <v>y</v>
      </c>
      <c r="SFQ1" s="154" t="str">
        <f t="shared" si="203"/>
        <v>y</v>
      </c>
      <c r="SFR1" s="154" t="str">
        <f t="shared" si="203"/>
        <v>y</v>
      </c>
      <c r="SFS1" s="154" t="str">
        <f t="shared" si="203"/>
        <v>y</v>
      </c>
      <c r="SFT1" s="154" t="str">
        <f t="shared" si="203"/>
        <v>y</v>
      </c>
      <c r="SFU1" s="154" t="str">
        <f t="shared" si="203"/>
        <v>y</v>
      </c>
      <c r="SFV1" s="154" t="str">
        <f t="shared" si="203"/>
        <v>y</v>
      </c>
      <c r="SFW1" s="154" t="str">
        <f t="shared" si="203"/>
        <v>y</v>
      </c>
      <c r="SFX1" s="154" t="str">
        <f t="shared" si="203"/>
        <v>y</v>
      </c>
      <c r="SFY1" s="154" t="str">
        <f t="shared" si="203"/>
        <v>y</v>
      </c>
      <c r="SFZ1" s="154" t="str">
        <f t="shared" si="203"/>
        <v>y</v>
      </c>
      <c r="SGA1" s="154" t="str">
        <f t="shared" si="203"/>
        <v>y</v>
      </c>
      <c r="SGB1" s="154" t="str">
        <f t="shared" si="203"/>
        <v>y</v>
      </c>
      <c r="SGC1" s="154" t="str">
        <f t="shared" si="203"/>
        <v>y</v>
      </c>
      <c r="SGD1" s="154" t="str">
        <f t="shared" si="203"/>
        <v>y</v>
      </c>
      <c r="SGE1" s="154" t="str">
        <f t="shared" si="203"/>
        <v>y</v>
      </c>
      <c r="SGF1" s="154" t="str">
        <f t="shared" si="203"/>
        <v>y</v>
      </c>
      <c r="SGG1" s="154" t="str">
        <f t="shared" si="203"/>
        <v>y</v>
      </c>
      <c r="SGH1" s="154" t="str">
        <f t="shared" si="203"/>
        <v>y</v>
      </c>
      <c r="SGI1" s="154" t="str">
        <f t="shared" si="203"/>
        <v>y</v>
      </c>
      <c r="SGJ1" s="154" t="str">
        <f t="shared" si="203"/>
        <v>y</v>
      </c>
      <c r="SGK1" s="154" t="str">
        <f t="shared" si="203"/>
        <v>y</v>
      </c>
      <c r="SGL1" s="154" t="str">
        <f t="shared" si="203"/>
        <v>y</v>
      </c>
      <c r="SGM1" s="154" t="str">
        <f t="shared" si="203"/>
        <v>y</v>
      </c>
      <c r="SGN1" s="154" t="str">
        <f t="shared" si="203"/>
        <v>y</v>
      </c>
      <c r="SGO1" s="154" t="str">
        <f t="shared" si="203"/>
        <v>y</v>
      </c>
      <c r="SGP1" s="154" t="str">
        <f t="shared" si="203"/>
        <v>y</v>
      </c>
      <c r="SGQ1" s="154" t="str">
        <f t="shared" si="203"/>
        <v>y</v>
      </c>
      <c r="SGR1" s="154" t="str">
        <f t="shared" si="203"/>
        <v>y</v>
      </c>
      <c r="SGS1" s="154" t="str">
        <f t="shared" si="203"/>
        <v>y</v>
      </c>
      <c r="SGT1" s="154" t="str">
        <f t="shared" si="203"/>
        <v>y</v>
      </c>
      <c r="SGU1" s="154" t="str">
        <f t="shared" si="203"/>
        <v>y</v>
      </c>
      <c r="SGV1" s="154" t="str">
        <f t="shared" si="203"/>
        <v>y</v>
      </c>
      <c r="SGW1" s="154" t="str">
        <f t="shared" si="203"/>
        <v>y</v>
      </c>
      <c r="SGX1" s="154" t="str">
        <f t="shared" si="203"/>
        <v>y</v>
      </c>
      <c r="SGY1" s="154" t="str">
        <f t="shared" si="203"/>
        <v>y</v>
      </c>
      <c r="SGZ1" s="154" t="str">
        <f t="shared" si="203"/>
        <v>y</v>
      </c>
      <c r="SHA1" s="154" t="str">
        <f t="shared" si="203"/>
        <v>y</v>
      </c>
      <c r="SHB1" s="154" t="str">
        <f t="shared" si="203"/>
        <v>y</v>
      </c>
      <c r="SHC1" s="154" t="str">
        <f t="shared" si="203"/>
        <v>y</v>
      </c>
      <c r="SHD1" s="154" t="str">
        <f t="shared" si="203"/>
        <v>y</v>
      </c>
      <c r="SHE1" s="154" t="str">
        <f t="shared" si="203"/>
        <v>y</v>
      </c>
      <c r="SHF1" s="154" t="str">
        <f t="shared" si="203"/>
        <v>y</v>
      </c>
      <c r="SHG1" s="154" t="str">
        <f t="shared" si="203"/>
        <v>y</v>
      </c>
      <c r="SHH1" s="154" t="str">
        <f t="shared" ref="SHH1:SJS1" si="204">SHH2&amp;"y"</f>
        <v>y</v>
      </c>
      <c r="SHI1" s="154" t="str">
        <f t="shared" si="204"/>
        <v>y</v>
      </c>
      <c r="SHJ1" s="154" t="str">
        <f t="shared" si="204"/>
        <v>y</v>
      </c>
      <c r="SHK1" s="154" t="str">
        <f t="shared" si="204"/>
        <v>y</v>
      </c>
      <c r="SHL1" s="154" t="str">
        <f t="shared" si="204"/>
        <v>y</v>
      </c>
      <c r="SHM1" s="154" t="str">
        <f t="shared" si="204"/>
        <v>y</v>
      </c>
      <c r="SHN1" s="154" t="str">
        <f t="shared" si="204"/>
        <v>y</v>
      </c>
      <c r="SHO1" s="154" t="str">
        <f t="shared" si="204"/>
        <v>y</v>
      </c>
      <c r="SHP1" s="154" t="str">
        <f t="shared" si="204"/>
        <v>y</v>
      </c>
      <c r="SHQ1" s="154" t="str">
        <f t="shared" si="204"/>
        <v>y</v>
      </c>
      <c r="SHR1" s="154" t="str">
        <f t="shared" si="204"/>
        <v>y</v>
      </c>
      <c r="SHS1" s="154" t="str">
        <f t="shared" si="204"/>
        <v>y</v>
      </c>
      <c r="SHT1" s="154" t="str">
        <f t="shared" si="204"/>
        <v>y</v>
      </c>
      <c r="SHU1" s="154" t="str">
        <f t="shared" si="204"/>
        <v>y</v>
      </c>
      <c r="SHV1" s="154" t="str">
        <f t="shared" si="204"/>
        <v>y</v>
      </c>
      <c r="SHW1" s="154" t="str">
        <f t="shared" si="204"/>
        <v>y</v>
      </c>
      <c r="SHX1" s="154" t="str">
        <f t="shared" si="204"/>
        <v>y</v>
      </c>
      <c r="SHY1" s="154" t="str">
        <f t="shared" si="204"/>
        <v>y</v>
      </c>
      <c r="SHZ1" s="154" t="str">
        <f t="shared" si="204"/>
        <v>y</v>
      </c>
      <c r="SIA1" s="154" t="str">
        <f t="shared" si="204"/>
        <v>y</v>
      </c>
      <c r="SIB1" s="154" t="str">
        <f t="shared" si="204"/>
        <v>y</v>
      </c>
      <c r="SIC1" s="154" t="str">
        <f t="shared" si="204"/>
        <v>y</v>
      </c>
      <c r="SID1" s="154" t="str">
        <f t="shared" si="204"/>
        <v>y</v>
      </c>
      <c r="SIE1" s="154" t="str">
        <f t="shared" si="204"/>
        <v>y</v>
      </c>
      <c r="SIF1" s="154" t="str">
        <f t="shared" si="204"/>
        <v>y</v>
      </c>
      <c r="SIG1" s="154" t="str">
        <f t="shared" si="204"/>
        <v>y</v>
      </c>
      <c r="SIH1" s="154" t="str">
        <f t="shared" si="204"/>
        <v>y</v>
      </c>
      <c r="SII1" s="154" t="str">
        <f t="shared" si="204"/>
        <v>y</v>
      </c>
      <c r="SIJ1" s="154" t="str">
        <f t="shared" si="204"/>
        <v>y</v>
      </c>
      <c r="SIK1" s="154" t="str">
        <f t="shared" si="204"/>
        <v>y</v>
      </c>
      <c r="SIL1" s="154" t="str">
        <f t="shared" si="204"/>
        <v>y</v>
      </c>
      <c r="SIM1" s="154" t="str">
        <f t="shared" si="204"/>
        <v>y</v>
      </c>
      <c r="SIN1" s="154" t="str">
        <f t="shared" si="204"/>
        <v>y</v>
      </c>
      <c r="SIO1" s="154" t="str">
        <f t="shared" si="204"/>
        <v>y</v>
      </c>
      <c r="SIP1" s="154" t="str">
        <f t="shared" si="204"/>
        <v>y</v>
      </c>
      <c r="SIQ1" s="154" t="str">
        <f t="shared" si="204"/>
        <v>y</v>
      </c>
      <c r="SIR1" s="154" t="str">
        <f t="shared" si="204"/>
        <v>y</v>
      </c>
      <c r="SIS1" s="154" t="str">
        <f t="shared" si="204"/>
        <v>y</v>
      </c>
      <c r="SIT1" s="154" t="str">
        <f t="shared" si="204"/>
        <v>y</v>
      </c>
      <c r="SIU1" s="154" t="str">
        <f t="shared" si="204"/>
        <v>y</v>
      </c>
      <c r="SIV1" s="154" t="str">
        <f t="shared" si="204"/>
        <v>y</v>
      </c>
      <c r="SIW1" s="154" t="str">
        <f t="shared" si="204"/>
        <v>y</v>
      </c>
      <c r="SIX1" s="154" t="str">
        <f t="shared" si="204"/>
        <v>y</v>
      </c>
      <c r="SIY1" s="154" t="str">
        <f t="shared" si="204"/>
        <v>y</v>
      </c>
      <c r="SIZ1" s="154" t="str">
        <f t="shared" si="204"/>
        <v>y</v>
      </c>
      <c r="SJA1" s="154" t="str">
        <f t="shared" si="204"/>
        <v>y</v>
      </c>
      <c r="SJB1" s="154" t="str">
        <f t="shared" si="204"/>
        <v>y</v>
      </c>
      <c r="SJC1" s="154" t="str">
        <f t="shared" si="204"/>
        <v>y</v>
      </c>
      <c r="SJD1" s="154" t="str">
        <f t="shared" si="204"/>
        <v>y</v>
      </c>
      <c r="SJE1" s="154" t="str">
        <f t="shared" si="204"/>
        <v>y</v>
      </c>
      <c r="SJF1" s="154" t="str">
        <f t="shared" si="204"/>
        <v>y</v>
      </c>
      <c r="SJG1" s="154" t="str">
        <f t="shared" si="204"/>
        <v>y</v>
      </c>
      <c r="SJH1" s="154" t="str">
        <f t="shared" si="204"/>
        <v>y</v>
      </c>
      <c r="SJI1" s="154" t="str">
        <f t="shared" si="204"/>
        <v>y</v>
      </c>
      <c r="SJJ1" s="154" t="str">
        <f t="shared" si="204"/>
        <v>y</v>
      </c>
      <c r="SJK1" s="154" t="str">
        <f t="shared" si="204"/>
        <v>y</v>
      </c>
      <c r="SJL1" s="154" t="str">
        <f t="shared" si="204"/>
        <v>y</v>
      </c>
      <c r="SJM1" s="154" t="str">
        <f t="shared" si="204"/>
        <v>y</v>
      </c>
      <c r="SJN1" s="154" t="str">
        <f t="shared" si="204"/>
        <v>y</v>
      </c>
      <c r="SJO1" s="154" t="str">
        <f t="shared" si="204"/>
        <v>y</v>
      </c>
      <c r="SJP1" s="154" t="str">
        <f t="shared" si="204"/>
        <v>y</v>
      </c>
      <c r="SJQ1" s="154" t="str">
        <f t="shared" si="204"/>
        <v>y</v>
      </c>
      <c r="SJR1" s="154" t="str">
        <f t="shared" si="204"/>
        <v>y</v>
      </c>
      <c r="SJS1" s="154" t="str">
        <f t="shared" si="204"/>
        <v>y</v>
      </c>
      <c r="SJT1" s="154" t="str">
        <f t="shared" ref="SJT1:SME1" si="205">SJT2&amp;"y"</f>
        <v>y</v>
      </c>
      <c r="SJU1" s="154" t="str">
        <f t="shared" si="205"/>
        <v>y</v>
      </c>
      <c r="SJV1" s="154" t="str">
        <f t="shared" si="205"/>
        <v>y</v>
      </c>
      <c r="SJW1" s="154" t="str">
        <f t="shared" si="205"/>
        <v>y</v>
      </c>
      <c r="SJX1" s="154" t="str">
        <f t="shared" si="205"/>
        <v>y</v>
      </c>
      <c r="SJY1" s="154" t="str">
        <f t="shared" si="205"/>
        <v>y</v>
      </c>
      <c r="SJZ1" s="154" t="str">
        <f t="shared" si="205"/>
        <v>y</v>
      </c>
      <c r="SKA1" s="154" t="str">
        <f t="shared" si="205"/>
        <v>y</v>
      </c>
      <c r="SKB1" s="154" t="str">
        <f t="shared" si="205"/>
        <v>y</v>
      </c>
      <c r="SKC1" s="154" t="str">
        <f t="shared" si="205"/>
        <v>y</v>
      </c>
      <c r="SKD1" s="154" t="str">
        <f t="shared" si="205"/>
        <v>y</v>
      </c>
      <c r="SKE1" s="154" t="str">
        <f t="shared" si="205"/>
        <v>y</v>
      </c>
      <c r="SKF1" s="154" t="str">
        <f t="shared" si="205"/>
        <v>y</v>
      </c>
      <c r="SKG1" s="154" t="str">
        <f t="shared" si="205"/>
        <v>y</v>
      </c>
      <c r="SKH1" s="154" t="str">
        <f t="shared" si="205"/>
        <v>y</v>
      </c>
      <c r="SKI1" s="154" t="str">
        <f t="shared" si="205"/>
        <v>y</v>
      </c>
      <c r="SKJ1" s="154" t="str">
        <f t="shared" si="205"/>
        <v>y</v>
      </c>
      <c r="SKK1" s="154" t="str">
        <f t="shared" si="205"/>
        <v>y</v>
      </c>
      <c r="SKL1" s="154" t="str">
        <f t="shared" si="205"/>
        <v>y</v>
      </c>
      <c r="SKM1" s="154" t="str">
        <f t="shared" si="205"/>
        <v>y</v>
      </c>
      <c r="SKN1" s="154" t="str">
        <f t="shared" si="205"/>
        <v>y</v>
      </c>
      <c r="SKO1" s="154" t="str">
        <f t="shared" si="205"/>
        <v>y</v>
      </c>
      <c r="SKP1" s="154" t="str">
        <f t="shared" si="205"/>
        <v>y</v>
      </c>
      <c r="SKQ1" s="154" t="str">
        <f t="shared" si="205"/>
        <v>y</v>
      </c>
      <c r="SKR1" s="154" t="str">
        <f t="shared" si="205"/>
        <v>y</v>
      </c>
      <c r="SKS1" s="154" t="str">
        <f t="shared" si="205"/>
        <v>y</v>
      </c>
      <c r="SKT1" s="154" t="str">
        <f t="shared" si="205"/>
        <v>y</v>
      </c>
      <c r="SKU1" s="154" t="str">
        <f t="shared" si="205"/>
        <v>y</v>
      </c>
      <c r="SKV1" s="154" t="str">
        <f t="shared" si="205"/>
        <v>y</v>
      </c>
      <c r="SKW1" s="154" t="str">
        <f t="shared" si="205"/>
        <v>y</v>
      </c>
      <c r="SKX1" s="154" t="str">
        <f t="shared" si="205"/>
        <v>y</v>
      </c>
      <c r="SKY1" s="154" t="str">
        <f t="shared" si="205"/>
        <v>y</v>
      </c>
      <c r="SKZ1" s="154" t="str">
        <f t="shared" si="205"/>
        <v>y</v>
      </c>
      <c r="SLA1" s="154" t="str">
        <f t="shared" si="205"/>
        <v>y</v>
      </c>
      <c r="SLB1" s="154" t="str">
        <f t="shared" si="205"/>
        <v>y</v>
      </c>
      <c r="SLC1" s="154" t="str">
        <f t="shared" si="205"/>
        <v>y</v>
      </c>
      <c r="SLD1" s="154" t="str">
        <f t="shared" si="205"/>
        <v>y</v>
      </c>
      <c r="SLE1" s="154" t="str">
        <f t="shared" si="205"/>
        <v>y</v>
      </c>
      <c r="SLF1" s="154" t="str">
        <f t="shared" si="205"/>
        <v>y</v>
      </c>
      <c r="SLG1" s="154" t="str">
        <f t="shared" si="205"/>
        <v>y</v>
      </c>
      <c r="SLH1" s="154" t="str">
        <f t="shared" si="205"/>
        <v>y</v>
      </c>
      <c r="SLI1" s="154" t="str">
        <f t="shared" si="205"/>
        <v>y</v>
      </c>
      <c r="SLJ1" s="154" t="str">
        <f t="shared" si="205"/>
        <v>y</v>
      </c>
      <c r="SLK1" s="154" t="str">
        <f t="shared" si="205"/>
        <v>y</v>
      </c>
      <c r="SLL1" s="154" t="str">
        <f t="shared" si="205"/>
        <v>y</v>
      </c>
      <c r="SLM1" s="154" t="str">
        <f t="shared" si="205"/>
        <v>y</v>
      </c>
      <c r="SLN1" s="154" t="str">
        <f t="shared" si="205"/>
        <v>y</v>
      </c>
      <c r="SLO1" s="154" t="str">
        <f t="shared" si="205"/>
        <v>y</v>
      </c>
      <c r="SLP1" s="154" t="str">
        <f t="shared" si="205"/>
        <v>y</v>
      </c>
      <c r="SLQ1" s="154" t="str">
        <f t="shared" si="205"/>
        <v>y</v>
      </c>
      <c r="SLR1" s="154" t="str">
        <f t="shared" si="205"/>
        <v>y</v>
      </c>
      <c r="SLS1" s="154" t="str">
        <f t="shared" si="205"/>
        <v>y</v>
      </c>
      <c r="SLT1" s="154" t="str">
        <f t="shared" si="205"/>
        <v>y</v>
      </c>
      <c r="SLU1" s="154" t="str">
        <f t="shared" si="205"/>
        <v>y</v>
      </c>
      <c r="SLV1" s="154" t="str">
        <f t="shared" si="205"/>
        <v>y</v>
      </c>
      <c r="SLW1" s="154" t="str">
        <f t="shared" si="205"/>
        <v>y</v>
      </c>
      <c r="SLX1" s="154" t="str">
        <f t="shared" si="205"/>
        <v>y</v>
      </c>
      <c r="SLY1" s="154" t="str">
        <f t="shared" si="205"/>
        <v>y</v>
      </c>
      <c r="SLZ1" s="154" t="str">
        <f t="shared" si="205"/>
        <v>y</v>
      </c>
      <c r="SMA1" s="154" t="str">
        <f t="shared" si="205"/>
        <v>y</v>
      </c>
      <c r="SMB1" s="154" t="str">
        <f t="shared" si="205"/>
        <v>y</v>
      </c>
      <c r="SMC1" s="154" t="str">
        <f t="shared" si="205"/>
        <v>y</v>
      </c>
      <c r="SMD1" s="154" t="str">
        <f t="shared" si="205"/>
        <v>y</v>
      </c>
      <c r="SME1" s="154" t="str">
        <f t="shared" si="205"/>
        <v>y</v>
      </c>
      <c r="SMF1" s="154" t="str">
        <f t="shared" ref="SMF1:SOQ1" si="206">SMF2&amp;"y"</f>
        <v>y</v>
      </c>
      <c r="SMG1" s="154" t="str">
        <f t="shared" si="206"/>
        <v>y</v>
      </c>
      <c r="SMH1" s="154" t="str">
        <f t="shared" si="206"/>
        <v>y</v>
      </c>
      <c r="SMI1" s="154" t="str">
        <f t="shared" si="206"/>
        <v>y</v>
      </c>
      <c r="SMJ1" s="154" t="str">
        <f t="shared" si="206"/>
        <v>y</v>
      </c>
      <c r="SMK1" s="154" t="str">
        <f t="shared" si="206"/>
        <v>y</v>
      </c>
      <c r="SML1" s="154" t="str">
        <f t="shared" si="206"/>
        <v>y</v>
      </c>
      <c r="SMM1" s="154" t="str">
        <f t="shared" si="206"/>
        <v>y</v>
      </c>
      <c r="SMN1" s="154" t="str">
        <f t="shared" si="206"/>
        <v>y</v>
      </c>
      <c r="SMO1" s="154" t="str">
        <f t="shared" si="206"/>
        <v>y</v>
      </c>
      <c r="SMP1" s="154" t="str">
        <f t="shared" si="206"/>
        <v>y</v>
      </c>
      <c r="SMQ1" s="154" t="str">
        <f t="shared" si="206"/>
        <v>y</v>
      </c>
      <c r="SMR1" s="154" t="str">
        <f t="shared" si="206"/>
        <v>y</v>
      </c>
      <c r="SMS1" s="154" t="str">
        <f t="shared" si="206"/>
        <v>y</v>
      </c>
      <c r="SMT1" s="154" t="str">
        <f t="shared" si="206"/>
        <v>y</v>
      </c>
      <c r="SMU1" s="154" t="str">
        <f t="shared" si="206"/>
        <v>y</v>
      </c>
      <c r="SMV1" s="154" t="str">
        <f t="shared" si="206"/>
        <v>y</v>
      </c>
      <c r="SMW1" s="154" t="str">
        <f t="shared" si="206"/>
        <v>y</v>
      </c>
      <c r="SMX1" s="154" t="str">
        <f t="shared" si="206"/>
        <v>y</v>
      </c>
      <c r="SMY1" s="154" t="str">
        <f t="shared" si="206"/>
        <v>y</v>
      </c>
      <c r="SMZ1" s="154" t="str">
        <f t="shared" si="206"/>
        <v>y</v>
      </c>
      <c r="SNA1" s="154" t="str">
        <f t="shared" si="206"/>
        <v>y</v>
      </c>
      <c r="SNB1" s="154" t="str">
        <f t="shared" si="206"/>
        <v>y</v>
      </c>
      <c r="SNC1" s="154" t="str">
        <f t="shared" si="206"/>
        <v>y</v>
      </c>
      <c r="SND1" s="154" t="str">
        <f t="shared" si="206"/>
        <v>y</v>
      </c>
      <c r="SNE1" s="154" t="str">
        <f t="shared" si="206"/>
        <v>y</v>
      </c>
      <c r="SNF1" s="154" t="str">
        <f t="shared" si="206"/>
        <v>y</v>
      </c>
      <c r="SNG1" s="154" t="str">
        <f t="shared" si="206"/>
        <v>y</v>
      </c>
      <c r="SNH1" s="154" t="str">
        <f t="shared" si="206"/>
        <v>y</v>
      </c>
      <c r="SNI1" s="154" t="str">
        <f t="shared" si="206"/>
        <v>y</v>
      </c>
      <c r="SNJ1" s="154" t="str">
        <f t="shared" si="206"/>
        <v>y</v>
      </c>
      <c r="SNK1" s="154" t="str">
        <f t="shared" si="206"/>
        <v>y</v>
      </c>
      <c r="SNL1" s="154" t="str">
        <f t="shared" si="206"/>
        <v>y</v>
      </c>
      <c r="SNM1" s="154" t="str">
        <f t="shared" si="206"/>
        <v>y</v>
      </c>
      <c r="SNN1" s="154" t="str">
        <f t="shared" si="206"/>
        <v>y</v>
      </c>
      <c r="SNO1" s="154" t="str">
        <f t="shared" si="206"/>
        <v>y</v>
      </c>
      <c r="SNP1" s="154" t="str">
        <f t="shared" si="206"/>
        <v>y</v>
      </c>
      <c r="SNQ1" s="154" t="str">
        <f t="shared" si="206"/>
        <v>y</v>
      </c>
      <c r="SNR1" s="154" t="str">
        <f t="shared" si="206"/>
        <v>y</v>
      </c>
      <c r="SNS1" s="154" t="str">
        <f t="shared" si="206"/>
        <v>y</v>
      </c>
      <c r="SNT1" s="154" t="str">
        <f t="shared" si="206"/>
        <v>y</v>
      </c>
      <c r="SNU1" s="154" t="str">
        <f t="shared" si="206"/>
        <v>y</v>
      </c>
      <c r="SNV1" s="154" t="str">
        <f t="shared" si="206"/>
        <v>y</v>
      </c>
      <c r="SNW1" s="154" t="str">
        <f t="shared" si="206"/>
        <v>y</v>
      </c>
      <c r="SNX1" s="154" t="str">
        <f t="shared" si="206"/>
        <v>y</v>
      </c>
      <c r="SNY1" s="154" t="str">
        <f t="shared" si="206"/>
        <v>y</v>
      </c>
      <c r="SNZ1" s="154" t="str">
        <f t="shared" si="206"/>
        <v>y</v>
      </c>
      <c r="SOA1" s="154" t="str">
        <f t="shared" si="206"/>
        <v>y</v>
      </c>
      <c r="SOB1" s="154" t="str">
        <f t="shared" si="206"/>
        <v>y</v>
      </c>
      <c r="SOC1" s="154" t="str">
        <f t="shared" si="206"/>
        <v>y</v>
      </c>
      <c r="SOD1" s="154" t="str">
        <f t="shared" si="206"/>
        <v>y</v>
      </c>
      <c r="SOE1" s="154" t="str">
        <f t="shared" si="206"/>
        <v>y</v>
      </c>
      <c r="SOF1" s="154" t="str">
        <f t="shared" si="206"/>
        <v>y</v>
      </c>
      <c r="SOG1" s="154" t="str">
        <f t="shared" si="206"/>
        <v>y</v>
      </c>
      <c r="SOH1" s="154" t="str">
        <f t="shared" si="206"/>
        <v>y</v>
      </c>
      <c r="SOI1" s="154" t="str">
        <f t="shared" si="206"/>
        <v>y</v>
      </c>
      <c r="SOJ1" s="154" t="str">
        <f t="shared" si="206"/>
        <v>y</v>
      </c>
      <c r="SOK1" s="154" t="str">
        <f t="shared" si="206"/>
        <v>y</v>
      </c>
      <c r="SOL1" s="154" t="str">
        <f t="shared" si="206"/>
        <v>y</v>
      </c>
      <c r="SOM1" s="154" t="str">
        <f t="shared" si="206"/>
        <v>y</v>
      </c>
      <c r="SON1" s="154" t="str">
        <f t="shared" si="206"/>
        <v>y</v>
      </c>
      <c r="SOO1" s="154" t="str">
        <f t="shared" si="206"/>
        <v>y</v>
      </c>
      <c r="SOP1" s="154" t="str">
        <f t="shared" si="206"/>
        <v>y</v>
      </c>
      <c r="SOQ1" s="154" t="str">
        <f t="shared" si="206"/>
        <v>y</v>
      </c>
      <c r="SOR1" s="154" t="str">
        <f t="shared" ref="SOR1:SRC1" si="207">SOR2&amp;"y"</f>
        <v>y</v>
      </c>
      <c r="SOS1" s="154" t="str">
        <f t="shared" si="207"/>
        <v>y</v>
      </c>
      <c r="SOT1" s="154" t="str">
        <f t="shared" si="207"/>
        <v>y</v>
      </c>
      <c r="SOU1" s="154" t="str">
        <f t="shared" si="207"/>
        <v>y</v>
      </c>
      <c r="SOV1" s="154" t="str">
        <f t="shared" si="207"/>
        <v>y</v>
      </c>
      <c r="SOW1" s="154" t="str">
        <f t="shared" si="207"/>
        <v>y</v>
      </c>
      <c r="SOX1" s="154" t="str">
        <f t="shared" si="207"/>
        <v>y</v>
      </c>
      <c r="SOY1" s="154" t="str">
        <f t="shared" si="207"/>
        <v>y</v>
      </c>
      <c r="SOZ1" s="154" t="str">
        <f t="shared" si="207"/>
        <v>y</v>
      </c>
      <c r="SPA1" s="154" t="str">
        <f t="shared" si="207"/>
        <v>y</v>
      </c>
      <c r="SPB1" s="154" t="str">
        <f t="shared" si="207"/>
        <v>y</v>
      </c>
      <c r="SPC1" s="154" t="str">
        <f t="shared" si="207"/>
        <v>y</v>
      </c>
      <c r="SPD1" s="154" t="str">
        <f t="shared" si="207"/>
        <v>y</v>
      </c>
      <c r="SPE1" s="154" t="str">
        <f t="shared" si="207"/>
        <v>y</v>
      </c>
      <c r="SPF1" s="154" t="str">
        <f t="shared" si="207"/>
        <v>y</v>
      </c>
      <c r="SPG1" s="154" t="str">
        <f t="shared" si="207"/>
        <v>y</v>
      </c>
      <c r="SPH1" s="154" t="str">
        <f t="shared" si="207"/>
        <v>y</v>
      </c>
      <c r="SPI1" s="154" t="str">
        <f t="shared" si="207"/>
        <v>y</v>
      </c>
      <c r="SPJ1" s="154" t="str">
        <f t="shared" si="207"/>
        <v>y</v>
      </c>
      <c r="SPK1" s="154" t="str">
        <f t="shared" si="207"/>
        <v>y</v>
      </c>
      <c r="SPL1" s="154" t="str">
        <f t="shared" si="207"/>
        <v>y</v>
      </c>
      <c r="SPM1" s="154" t="str">
        <f t="shared" si="207"/>
        <v>y</v>
      </c>
      <c r="SPN1" s="154" t="str">
        <f t="shared" si="207"/>
        <v>y</v>
      </c>
      <c r="SPO1" s="154" t="str">
        <f t="shared" si="207"/>
        <v>y</v>
      </c>
      <c r="SPP1" s="154" t="str">
        <f t="shared" si="207"/>
        <v>y</v>
      </c>
      <c r="SPQ1" s="154" t="str">
        <f t="shared" si="207"/>
        <v>y</v>
      </c>
      <c r="SPR1" s="154" t="str">
        <f t="shared" si="207"/>
        <v>y</v>
      </c>
      <c r="SPS1" s="154" t="str">
        <f t="shared" si="207"/>
        <v>y</v>
      </c>
      <c r="SPT1" s="154" t="str">
        <f t="shared" si="207"/>
        <v>y</v>
      </c>
      <c r="SPU1" s="154" t="str">
        <f t="shared" si="207"/>
        <v>y</v>
      </c>
      <c r="SPV1" s="154" t="str">
        <f t="shared" si="207"/>
        <v>y</v>
      </c>
      <c r="SPW1" s="154" t="str">
        <f t="shared" si="207"/>
        <v>y</v>
      </c>
      <c r="SPX1" s="154" t="str">
        <f t="shared" si="207"/>
        <v>y</v>
      </c>
      <c r="SPY1" s="154" t="str">
        <f t="shared" si="207"/>
        <v>y</v>
      </c>
      <c r="SPZ1" s="154" t="str">
        <f t="shared" si="207"/>
        <v>y</v>
      </c>
      <c r="SQA1" s="154" t="str">
        <f t="shared" si="207"/>
        <v>y</v>
      </c>
      <c r="SQB1" s="154" t="str">
        <f t="shared" si="207"/>
        <v>y</v>
      </c>
      <c r="SQC1" s="154" t="str">
        <f t="shared" si="207"/>
        <v>y</v>
      </c>
      <c r="SQD1" s="154" t="str">
        <f t="shared" si="207"/>
        <v>y</v>
      </c>
      <c r="SQE1" s="154" t="str">
        <f t="shared" si="207"/>
        <v>y</v>
      </c>
      <c r="SQF1" s="154" t="str">
        <f t="shared" si="207"/>
        <v>y</v>
      </c>
      <c r="SQG1" s="154" t="str">
        <f t="shared" si="207"/>
        <v>y</v>
      </c>
      <c r="SQH1" s="154" t="str">
        <f t="shared" si="207"/>
        <v>y</v>
      </c>
      <c r="SQI1" s="154" t="str">
        <f t="shared" si="207"/>
        <v>y</v>
      </c>
      <c r="SQJ1" s="154" t="str">
        <f t="shared" si="207"/>
        <v>y</v>
      </c>
      <c r="SQK1" s="154" t="str">
        <f t="shared" si="207"/>
        <v>y</v>
      </c>
      <c r="SQL1" s="154" t="str">
        <f t="shared" si="207"/>
        <v>y</v>
      </c>
      <c r="SQM1" s="154" t="str">
        <f t="shared" si="207"/>
        <v>y</v>
      </c>
      <c r="SQN1" s="154" t="str">
        <f t="shared" si="207"/>
        <v>y</v>
      </c>
      <c r="SQO1" s="154" t="str">
        <f t="shared" si="207"/>
        <v>y</v>
      </c>
      <c r="SQP1" s="154" t="str">
        <f t="shared" si="207"/>
        <v>y</v>
      </c>
      <c r="SQQ1" s="154" t="str">
        <f t="shared" si="207"/>
        <v>y</v>
      </c>
      <c r="SQR1" s="154" t="str">
        <f t="shared" si="207"/>
        <v>y</v>
      </c>
      <c r="SQS1" s="154" t="str">
        <f t="shared" si="207"/>
        <v>y</v>
      </c>
      <c r="SQT1" s="154" t="str">
        <f t="shared" si="207"/>
        <v>y</v>
      </c>
      <c r="SQU1" s="154" t="str">
        <f t="shared" si="207"/>
        <v>y</v>
      </c>
      <c r="SQV1" s="154" t="str">
        <f t="shared" si="207"/>
        <v>y</v>
      </c>
      <c r="SQW1" s="154" t="str">
        <f t="shared" si="207"/>
        <v>y</v>
      </c>
      <c r="SQX1" s="154" t="str">
        <f t="shared" si="207"/>
        <v>y</v>
      </c>
      <c r="SQY1" s="154" t="str">
        <f t="shared" si="207"/>
        <v>y</v>
      </c>
      <c r="SQZ1" s="154" t="str">
        <f t="shared" si="207"/>
        <v>y</v>
      </c>
      <c r="SRA1" s="154" t="str">
        <f t="shared" si="207"/>
        <v>y</v>
      </c>
      <c r="SRB1" s="154" t="str">
        <f t="shared" si="207"/>
        <v>y</v>
      </c>
      <c r="SRC1" s="154" t="str">
        <f t="shared" si="207"/>
        <v>y</v>
      </c>
      <c r="SRD1" s="154" t="str">
        <f t="shared" ref="SRD1:STO1" si="208">SRD2&amp;"y"</f>
        <v>y</v>
      </c>
      <c r="SRE1" s="154" t="str">
        <f t="shared" si="208"/>
        <v>y</v>
      </c>
      <c r="SRF1" s="154" t="str">
        <f t="shared" si="208"/>
        <v>y</v>
      </c>
      <c r="SRG1" s="154" t="str">
        <f t="shared" si="208"/>
        <v>y</v>
      </c>
      <c r="SRH1" s="154" t="str">
        <f t="shared" si="208"/>
        <v>y</v>
      </c>
      <c r="SRI1" s="154" t="str">
        <f t="shared" si="208"/>
        <v>y</v>
      </c>
      <c r="SRJ1" s="154" t="str">
        <f t="shared" si="208"/>
        <v>y</v>
      </c>
      <c r="SRK1" s="154" t="str">
        <f t="shared" si="208"/>
        <v>y</v>
      </c>
      <c r="SRL1" s="154" t="str">
        <f t="shared" si="208"/>
        <v>y</v>
      </c>
      <c r="SRM1" s="154" t="str">
        <f t="shared" si="208"/>
        <v>y</v>
      </c>
      <c r="SRN1" s="154" t="str">
        <f t="shared" si="208"/>
        <v>y</v>
      </c>
      <c r="SRO1" s="154" t="str">
        <f t="shared" si="208"/>
        <v>y</v>
      </c>
      <c r="SRP1" s="154" t="str">
        <f t="shared" si="208"/>
        <v>y</v>
      </c>
      <c r="SRQ1" s="154" t="str">
        <f t="shared" si="208"/>
        <v>y</v>
      </c>
      <c r="SRR1" s="154" t="str">
        <f t="shared" si="208"/>
        <v>y</v>
      </c>
      <c r="SRS1" s="154" t="str">
        <f t="shared" si="208"/>
        <v>y</v>
      </c>
      <c r="SRT1" s="154" t="str">
        <f t="shared" si="208"/>
        <v>y</v>
      </c>
      <c r="SRU1" s="154" t="str">
        <f t="shared" si="208"/>
        <v>y</v>
      </c>
      <c r="SRV1" s="154" t="str">
        <f t="shared" si="208"/>
        <v>y</v>
      </c>
      <c r="SRW1" s="154" t="str">
        <f t="shared" si="208"/>
        <v>y</v>
      </c>
      <c r="SRX1" s="154" t="str">
        <f t="shared" si="208"/>
        <v>y</v>
      </c>
      <c r="SRY1" s="154" t="str">
        <f t="shared" si="208"/>
        <v>y</v>
      </c>
      <c r="SRZ1" s="154" t="str">
        <f t="shared" si="208"/>
        <v>y</v>
      </c>
      <c r="SSA1" s="154" t="str">
        <f t="shared" si="208"/>
        <v>y</v>
      </c>
      <c r="SSB1" s="154" t="str">
        <f t="shared" si="208"/>
        <v>y</v>
      </c>
      <c r="SSC1" s="154" t="str">
        <f t="shared" si="208"/>
        <v>y</v>
      </c>
      <c r="SSD1" s="154" t="str">
        <f t="shared" si="208"/>
        <v>y</v>
      </c>
      <c r="SSE1" s="154" t="str">
        <f t="shared" si="208"/>
        <v>y</v>
      </c>
      <c r="SSF1" s="154" t="str">
        <f t="shared" si="208"/>
        <v>y</v>
      </c>
      <c r="SSG1" s="154" t="str">
        <f t="shared" si="208"/>
        <v>y</v>
      </c>
      <c r="SSH1" s="154" t="str">
        <f t="shared" si="208"/>
        <v>y</v>
      </c>
      <c r="SSI1" s="154" t="str">
        <f t="shared" si="208"/>
        <v>y</v>
      </c>
      <c r="SSJ1" s="154" t="str">
        <f t="shared" si="208"/>
        <v>y</v>
      </c>
      <c r="SSK1" s="154" t="str">
        <f t="shared" si="208"/>
        <v>y</v>
      </c>
      <c r="SSL1" s="154" t="str">
        <f t="shared" si="208"/>
        <v>y</v>
      </c>
      <c r="SSM1" s="154" t="str">
        <f t="shared" si="208"/>
        <v>y</v>
      </c>
      <c r="SSN1" s="154" t="str">
        <f t="shared" si="208"/>
        <v>y</v>
      </c>
      <c r="SSO1" s="154" t="str">
        <f t="shared" si="208"/>
        <v>y</v>
      </c>
      <c r="SSP1" s="154" t="str">
        <f t="shared" si="208"/>
        <v>y</v>
      </c>
      <c r="SSQ1" s="154" t="str">
        <f t="shared" si="208"/>
        <v>y</v>
      </c>
      <c r="SSR1" s="154" t="str">
        <f t="shared" si="208"/>
        <v>y</v>
      </c>
      <c r="SSS1" s="154" t="str">
        <f t="shared" si="208"/>
        <v>y</v>
      </c>
      <c r="SST1" s="154" t="str">
        <f t="shared" si="208"/>
        <v>y</v>
      </c>
      <c r="SSU1" s="154" t="str">
        <f t="shared" si="208"/>
        <v>y</v>
      </c>
      <c r="SSV1" s="154" t="str">
        <f t="shared" si="208"/>
        <v>y</v>
      </c>
      <c r="SSW1" s="154" t="str">
        <f t="shared" si="208"/>
        <v>y</v>
      </c>
      <c r="SSX1" s="154" t="str">
        <f t="shared" si="208"/>
        <v>y</v>
      </c>
      <c r="SSY1" s="154" t="str">
        <f t="shared" si="208"/>
        <v>y</v>
      </c>
      <c r="SSZ1" s="154" t="str">
        <f t="shared" si="208"/>
        <v>y</v>
      </c>
      <c r="STA1" s="154" t="str">
        <f t="shared" si="208"/>
        <v>y</v>
      </c>
      <c r="STB1" s="154" t="str">
        <f t="shared" si="208"/>
        <v>y</v>
      </c>
      <c r="STC1" s="154" t="str">
        <f t="shared" si="208"/>
        <v>y</v>
      </c>
      <c r="STD1" s="154" t="str">
        <f t="shared" si="208"/>
        <v>y</v>
      </c>
      <c r="STE1" s="154" t="str">
        <f t="shared" si="208"/>
        <v>y</v>
      </c>
      <c r="STF1" s="154" t="str">
        <f t="shared" si="208"/>
        <v>y</v>
      </c>
      <c r="STG1" s="154" t="str">
        <f t="shared" si="208"/>
        <v>y</v>
      </c>
      <c r="STH1" s="154" t="str">
        <f t="shared" si="208"/>
        <v>y</v>
      </c>
      <c r="STI1" s="154" t="str">
        <f t="shared" si="208"/>
        <v>y</v>
      </c>
      <c r="STJ1" s="154" t="str">
        <f t="shared" si="208"/>
        <v>y</v>
      </c>
      <c r="STK1" s="154" t="str">
        <f t="shared" si="208"/>
        <v>y</v>
      </c>
      <c r="STL1" s="154" t="str">
        <f t="shared" si="208"/>
        <v>y</v>
      </c>
      <c r="STM1" s="154" t="str">
        <f t="shared" si="208"/>
        <v>y</v>
      </c>
      <c r="STN1" s="154" t="str">
        <f t="shared" si="208"/>
        <v>y</v>
      </c>
      <c r="STO1" s="154" t="str">
        <f t="shared" si="208"/>
        <v>y</v>
      </c>
      <c r="STP1" s="154" t="str">
        <f t="shared" ref="STP1:SWA1" si="209">STP2&amp;"y"</f>
        <v>y</v>
      </c>
      <c r="STQ1" s="154" t="str">
        <f t="shared" si="209"/>
        <v>y</v>
      </c>
      <c r="STR1" s="154" t="str">
        <f t="shared" si="209"/>
        <v>y</v>
      </c>
      <c r="STS1" s="154" t="str">
        <f t="shared" si="209"/>
        <v>y</v>
      </c>
      <c r="STT1" s="154" t="str">
        <f t="shared" si="209"/>
        <v>y</v>
      </c>
      <c r="STU1" s="154" t="str">
        <f t="shared" si="209"/>
        <v>y</v>
      </c>
      <c r="STV1" s="154" t="str">
        <f t="shared" si="209"/>
        <v>y</v>
      </c>
      <c r="STW1" s="154" t="str">
        <f t="shared" si="209"/>
        <v>y</v>
      </c>
      <c r="STX1" s="154" t="str">
        <f t="shared" si="209"/>
        <v>y</v>
      </c>
      <c r="STY1" s="154" t="str">
        <f t="shared" si="209"/>
        <v>y</v>
      </c>
      <c r="STZ1" s="154" t="str">
        <f t="shared" si="209"/>
        <v>y</v>
      </c>
      <c r="SUA1" s="154" t="str">
        <f t="shared" si="209"/>
        <v>y</v>
      </c>
      <c r="SUB1" s="154" t="str">
        <f t="shared" si="209"/>
        <v>y</v>
      </c>
      <c r="SUC1" s="154" t="str">
        <f t="shared" si="209"/>
        <v>y</v>
      </c>
      <c r="SUD1" s="154" t="str">
        <f t="shared" si="209"/>
        <v>y</v>
      </c>
      <c r="SUE1" s="154" t="str">
        <f t="shared" si="209"/>
        <v>y</v>
      </c>
      <c r="SUF1" s="154" t="str">
        <f t="shared" si="209"/>
        <v>y</v>
      </c>
      <c r="SUG1" s="154" t="str">
        <f t="shared" si="209"/>
        <v>y</v>
      </c>
      <c r="SUH1" s="154" t="str">
        <f t="shared" si="209"/>
        <v>y</v>
      </c>
      <c r="SUI1" s="154" t="str">
        <f t="shared" si="209"/>
        <v>y</v>
      </c>
      <c r="SUJ1" s="154" t="str">
        <f t="shared" si="209"/>
        <v>y</v>
      </c>
      <c r="SUK1" s="154" t="str">
        <f t="shared" si="209"/>
        <v>y</v>
      </c>
      <c r="SUL1" s="154" t="str">
        <f t="shared" si="209"/>
        <v>y</v>
      </c>
      <c r="SUM1" s="154" t="str">
        <f t="shared" si="209"/>
        <v>y</v>
      </c>
      <c r="SUN1" s="154" t="str">
        <f t="shared" si="209"/>
        <v>y</v>
      </c>
      <c r="SUO1" s="154" t="str">
        <f t="shared" si="209"/>
        <v>y</v>
      </c>
      <c r="SUP1" s="154" t="str">
        <f t="shared" si="209"/>
        <v>y</v>
      </c>
      <c r="SUQ1" s="154" t="str">
        <f t="shared" si="209"/>
        <v>y</v>
      </c>
      <c r="SUR1" s="154" t="str">
        <f t="shared" si="209"/>
        <v>y</v>
      </c>
      <c r="SUS1" s="154" t="str">
        <f t="shared" si="209"/>
        <v>y</v>
      </c>
      <c r="SUT1" s="154" t="str">
        <f t="shared" si="209"/>
        <v>y</v>
      </c>
      <c r="SUU1" s="154" t="str">
        <f t="shared" si="209"/>
        <v>y</v>
      </c>
      <c r="SUV1" s="154" t="str">
        <f t="shared" si="209"/>
        <v>y</v>
      </c>
      <c r="SUW1" s="154" t="str">
        <f t="shared" si="209"/>
        <v>y</v>
      </c>
      <c r="SUX1" s="154" t="str">
        <f t="shared" si="209"/>
        <v>y</v>
      </c>
      <c r="SUY1" s="154" t="str">
        <f t="shared" si="209"/>
        <v>y</v>
      </c>
      <c r="SUZ1" s="154" t="str">
        <f t="shared" si="209"/>
        <v>y</v>
      </c>
      <c r="SVA1" s="154" t="str">
        <f t="shared" si="209"/>
        <v>y</v>
      </c>
      <c r="SVB1" s="154" t="str">
        <f t="shared" si="209"/>
        <v>y</v>
      </c>
      <c r="SVC1" s="154" t="str">
        <f t="shared" si="209"/>
        <v>y</v>
      </c>
      <c r="SVD1" s="154" t="str">
        <f t="shared" si="209"/>
        <v>y</v>
      </c>
      <c r="SVE1" s="154" t="str">
        <f t="shared" si="209"/>
        <v>y</v>
      </c>
      <c r="SVF1" s="154" t="str">
        <f t="shared" si="209"/>
        <v>y</v>
      </c>
      <c r="SVG1" s="154" t="str">
        <f t="shared" si="209"/>
        <v>y</v>
      </c>
      <c r="SVH1" s="154" t="str">
        <f t="shared" si="209"/>
        <v>y</v>
      </c>
      <c r="SVI1" s="154" t="str">
        <f t="shared" si="209"/>
        <v>y</v>
      </c>
      <c r="SVJ1" s="154" t="str">
        <f t="shared" si="209"/>
        <v>y</v>
      </c>
      <c r="SVK1" s="154" t="str">
        <f t="shared" si="209"/>
        <v>y</v>
      </c>
      <c r="SVL1" s="154" t="str">
        <f t="shared" si="209"/>
        <v>y</v>
      </c>
      <c r="SVM1" s="154" t="str">
        <f t="shared" si="209"/>
        <v>y</v>
      </c>
      <c r="SVN1" s="154" t="str">
        <f t="shared" si="209"/>
        <v>y</v>
      </c>
      <c r="SVO1" s="154" t="str">
        <f t="shared" si="209"/>
        <v>y</v>
      </c>
      <c r="SVP1" s="154" t="str">
        <f t="shared" si="209"/>
        <v>y</v>
      </c>
      <c r="SVQ1" s="154" t="str">
        <f t="shared" si="209"/>
        <v>y</v>
      </c>
      <c r="SVR1" s="154" t="str">
        <f t="shared" si="209"/>
        <v>y</v>
      </c>
      <c r="SVS1" s="154" t="str">
        <f t="shared" si="209"/>
        <v>y</v>
      </c>
      <c r="SVT1" s="154" t="str">
        <f t="shared" si="209"/>
        <v>y</v>
      </c>
      <c r="SVU1" s="154" t="str">
        <f t="shared" si="209"/>
        <v>y</v>
      </c>
      <c r="SVV1" s="154" t="str">
        <f t="shared" si="209"/>
        <v>y</v>
      </c>
      <c r="SVW1" s="154" t="str">
        <f t="shared" si="209"/>
        <v>y</v>
      </c>
      <c r="SVX1" s="154" t="str">
        <f t="shared" si="209"/>
        <v>y</v>
      </c>
      <c r="SVY1" s="154" t="str">
        <f t="shared" si="209"/>
        <v>y</v>
      </c>
      <c r="SVZ1" s="154" t="str">
        <f t="shared" si="209"/>
        <v>y</v>
      </c>
      <c r="SWA1" s="154" t="str">
        <f t="shared" si="209"/>
        <v>y</v>
      </c>
      <c r="SWB1" s="154" t="str">
        <f t="shared" ref="SWB1:SYM1" si="210">SWB2&amp;"y"</f>
        <v>y</v>
      </c>
      <c r="SWC1" s="154" t="str">
        <f t="shared" si="210"/>
        <v>y</v>
      </c>
      <c r="SWD1" s="154" t="str">
        <f t="shared" si="210"/>
        <v>y</v>
      </c>
      <c r="SWE1" s="154" t="str">
        <f t="shared" si="210"/>
        <v>y</v>
      </c>
      <c r="SWF1" s="154" t="str">
        <f t="shared" si="210"/>
        <v>y</v>
      </c>
      <c r="SWG1" s="154" t="str">
        <f t="shared" si="210"/>
        <v>y</v>
      </c>
      <c r="SWH1" s="154" t="str">
        <f t="shared" si="210"/>
        <v>y</v>
      </c>
      <c r="SWI1" s="154" t="str">
        <f t="shared" si="210"/>
        <v>y</v>
      </c>
      <c r="SWJ1" s="154" t="str">
        <f t="shared" si="210"/>
        <v>y</v>
      </c>
      <c r="SWK1" s="154" t="str">
        <f t="shared" si="210"/>
        <v>y</v>
      </c>
      <c r="SWL1" s="154" t="str">
        <f t="shared" si="210"/>
        <v>y</v>
      </c>
      <c r="SWM1" s="154" t="str">
        <f t="shared" si="210"/>
        <v>y</v>
      </c>
      <c r="SWN1" s="154" t="str">
        <f t="shared" si="210"/>
        <v>y</v>
      </c>
      <c r="SWO1" s="154" t="str">
        <f t="shared" si="210"/>
        <v>y</v>
      </c>
      <c r="SWP1" s="154" t="str">
        <f t="shared" si="210"/>
        <v>y</v>
      </c>
      <c r="SWQ1" s="154" t="str">
        <f t="shared" si="210"/>
        <v>y</v>
      </c>
      <c r="SWR1" s="154" t="str">
        <f t="shared" si="210"/>
        <v>y</v>
      </c>
      <c r="SWS1" s="154" t="str">
        <f t="shared" si="210"/>
        <v>y</v>
      </c>
      <c r="SWT1" s="154" t="str">
        <f t="shared" si="210"/>
        <v>y</v>
      </c>
      <c r="SWU1" s="154" t="str">
        <f t="shared" si="210"/>
        <v>y</v>
      </c>
      <c r="SWV1" s="154" t="str">
        <f t="shared" si="210"/>
        <v>y</v>
      </c>
      <c r="SWW1" s="154" t="str">
        <f t="shared" si="210"/>
        <v>y</v>
      </c>
      <c r="SWX1" s="154" t="str">
        <f t="shared" si="210"/>
        <v>y</v>
      </c>
      <c r="SWY1" s="154" t="str">
        <f t="shared" si="210"/>
        <v>y</v>
      </c>
      <c r="SWZ1" s="154" t="str">
        <f t="shared" si="210"/>
        <v>y</v>
      </c>
      <c r="SXA1" s="154" t="str">
        <f t="shared" si="210"/>
        <v>y</v>
      </c>
      <c r="SXB1" s="154" t="str">
        <f t="shared" si="210"/>
        <v>y</v>
      </c>
      <c r="SXC1" s="154" t="str">
        <f t="shared" si="210"/>
        <v>y</v>
      </c>
      <c r="SXD1" s="154" t="str">
        <f t="shared" si="210"/>
        <v>y</v>
      </c>
      <c r="SXE1" s="154" t="str">
        <f t="shared" si="210"/>
        <v>y</v>
      </c>
      <c r="SXF1" s="154" t="str">
        <f t="shared" si="210"/>
        <v>y</v>
      </c>
      <c r="SXG1" s="154" t="str">
        <f t="shared" si="210"/>
        <v>y</v>
      </c>
      <c r="SXH1" s="154" t="str">
        <f t="shared" si="210"/>
        <v>y</v>
      </c>
      <c r="SXI1" s="154" t="str">
        <f t="shared" si="210"/>
        <v>y</v>
      </c>
      <c r="SXJ1" s="154" t="str">
        <f t="shared" si="210"/>
        <v>y</v>
      </c>
      <c r="SXK1" s="154" t="str">
        <f t="shared" si="210"/>
        <v>y</v>
      </c>
      <c r="SXL1" s="154" t="str">
        <f t="shared" si="210"/>
        <v>y</v>
      </c>
      <c r="SXM1" s="154" t="str">
        <f t="shared" si="210"/>
        <v>y</v>
      </c>
      <c r="SXN1" s="154" t="str">
        <f t="shared" si="210"/>
        <v>y</v>
      </c>
      <c r="SXO1" s="154" t="str">
        <f t="shared" si="210"/>
        <v>y</v>
      </c>
      <c r="SXP1" s="154" t="str">
        <f t="shared" si="210"/>
        <v>y</v>
      </c>
      <c r="SXQ1" s="154" t="str">
        <f t="shared" si="210"/>
        <v>y</v>
      </c>
      <c r="SXR1" s="154" t="str">
        <f t="shared" si="210"/>
        <v>y</v>
      </c>
      <c r="SXS1" s="154" t="str">
        <f t="shared" si="210"/>
        <v>y</v>
      </c>
      <c r="SXT1" s="154" t="str">
        <f t="shared" si="210"/>
        <v>y</v>
      </c>
      <c r="SXU1" s="154" t="str">
        <f t="shared" si="210"/>
        <v>y</v>
      </c>
      <c r="SXV1" s="154" t="str">
        <f t="shared" si="210"/>
        <v>y</v>
      </c>
      <c r="SXW1" s="154" t="str">
        <f t="shared" si="210"/>
        <v>y</v>
      </c>
      <c r="SXX1" s="154" t="str">
        <f t="shared" si="210"/>
        <v>y</v>
      </c>
      <c r="SXY1" s="154" t="str">
        <f t="shared" si="210"/>
        <v>y</v>
      </c>
      <c r="SXZ1" s="154" t="str">
        <f t="shared" si="210"/>
        <v>y</v>
      </c>
      <c r="SYA1" s="154" t="str">
        <f t="shared" si="210"/>
        <v>y</v>
      </c>
      <c r="SYB1" s="154" t="str">
        <f t="shared" si="210"/>
        <v>y</v>
      </c>
      <c r="SYC1" s="154" t="str">
        <f t="shared" si="210"/>
        <v>y</v>
      </c>
      <c r="SYD1" s="154" t="str">
        <f t="shared" si="210"/>
        <v>y</v>
      </c>
      <c r="SYE1" s="154" t="str">
        <f t="shared" si="210"/>
        <v>y</v>
      </c>
      <c r="SYF1" s="154" t="str">
        <f t="shared" si="210"/>
        <v>y</v>
      </c>
      <c r="SYG1" s="154" t="str">
        <f t="shared" si="210"/>
        <v>y</v>
      </c>
      <c r="SYH1" s="154" t="str">
        <f t="shared" si="210"/>
        <v>y</v>
      </c>
      <c r="SYI1" s="154" t="str">
        <f t="shared" si="210"/>
        <v>y</v>
      </c>
      <c r="SYJ1" s="154" t="str">
        <f t="shared" si="210"/>
        <v>y</v>
      </c>
      <c r="SYK1" s="154" t="str">
        <f t="shared" si="210"/>
        <v>y</v>
      </c>
      <c r="SYL1" s="154" t="str">
        <f t="shared" si="210"/>
        <v>y</v>
      </c>
      <c r="SYM1" s="154" t="str">
        <f t="shared" si="210"/>
        <v>y</v>
      </c>
      <c r="SYN1" s="154" t="str">
        <f t="shared" ref="SYN1:TAY1" si="211">SYN2&amp;"y"</f>
        <v>y</v>
      </c>
      <c r="SYO1" s="154" t="str">
        <f t="shared" si="211"/>
        <v>y</v>
      </c>
      <c r="SYP1" s="154" t="str">
        <f t="shared" si="211"/>
        <v>y</v>
      </c>
      <c r="SYQ1" s="154" t="str">
        <f t="shared" si="211"/>
        <v>y</v>
      </c>
      <c r="SYR1" s="154" t="str">
        <f t="shared" si="211"/>
        <v>y</v>
      </c>
      <c r="SYS1" s="154" t="str">
        <f t="shared" si="211"/>
        <v>y</v>
      </c>
      <c r="SYT1" s="154" t="str">
        <f t="shared" si="211"/>
        <v>y</v>
      </c>
      <c r="SYU1" s="154" t="str">
        <f t="shared" si="211"/>
        <v>y</v>
      </c>
      <c r="SYV1" s="154" t="str">
        <f t="shared" si="211"/>
        <v>y</v>
      </c>
      <c r="SYW1" s="154" t="str">
        <f t="shared" si="211"/>
        <v>y</v>
      </c>
      <c r="SYX1" s="154" t="str">
        <f t="shared" si="211"/>
        <v>y</v>
      </c>
      <c r="SYY1" s="154" t="str">
        <f t="shared" si="211"/>
        <v>y</v>
      </c>
      <c r="SYZ1" s="154" t="str">
        <f t="shared" si="211"/>
        <v>y</v>
      </c>
      <c r="SZA1" s="154" t="str">
        <f t="shared" si="211"/>
        <v>y</v>
      </c>
      <c r="SZB1" s="154" t="str">
        <f t="shared" si="211"/>
        <v>y</v>
      </c>
      <c r="SZC1" s="154" t="str">
        <f t="shared" si="211"/>
        <v>y</v>
      </c>
      <c r="SZD1" s="154" t="str">
        <f t="shared" si="211"/>
        <v>y</v>
      </c>
      <c r="SZE1" s="154" t="str">
        <f t="shared" si="211"/>
        <v>y</v>
      </c>
      <c r="SZF1" s="154" t="str">
        <f t="shared" si="211"/>
        <v>y</v>
      </c>
      <c r="SZG1" s="154" t="str">
        <f t="shared" si="211"/>
        <v>y</v>
      </c>
      <c r="SZH1" s="154" t="str">
        <f t="shared" si="211"/>
        <v>y</v>
      </c>
      <c r="SZI1" s="154" t="str">
        <f t="shared" si="211"/>
        <v>y</v>
      </c>
      <c r="SZJ1" s="154" t="str">
        <f t="shared" si="211"/>
        <v>y</v>
      </c>
      <c r="SZK1" s="154" t="str">
        <f t="shared" si="211"/>
        <v>y</v>
      </c>
      <c r="SZL1" s="154" t="str">
        <f t="shared" si="211"/>
        <v>y</v>
      </c>
      <c r="SZM1" s="154" t="str">
        <f t="shared" si="211"/>
        <v>y</v>
      </c>
      <c r="SZN1" s="154" t="str">
        <f t="shared" si="211"/>
        <v>y</v>
      </c>
      <c r="SZO1" s="154" t="str">
        <f t="shared" si="211"/>
        <v>y</v>
      </c>
      <c r="SZP1" s="154" t="str">
        <f t="shared" si="211"/>
        <v>y</v>
      </c>
      <c r="SZQ1" s="154" t="str">
        <f t="shared" si="211"/>
        <v>y</v>
      </c>
      <c r="SZR1" s="154" t="str">
        <f t="shared" si="211"/>
        <v>y</v>
      </c>
      <c r="SZS1" s="154" t="str">
        <f t="shared" si="211"/>
        <v>y</v>
      </c>
      <c r="SZT1" s="154" t="str">
        <f t="shared" si="211"/>
        <v>y</v>
      </c>
      <c r="SZU1" s="154" t="str">
        <f t="shared" si="211"/>
        <v>y</v>
      </c>
      <c r="SZV1" s="154" t="str">
        <f t="shared" si="211"/>
        <v>y</v>
      </c>
      <c r="SZW1" s="154" t="str">
        <f t="shared" si="211"/>
        <v>y</v>
      </c>
      <c r="SZX1" s="154" t="str">
        <f t="shared" si="211"/>
        <v>y</v>
      </c>
      <c r="SZY1" s="154" t="str">
        <f t="shared" si="211"/>
        <v>y</v>
      </c>
      <c r="SZZ1" s="154" t="str">
        <f t="shared" si="211"/>
        <v>y</v>
      </c>
      <c r="TAA1" s="154" t="str">
        <f t="shared" si="211"/>
        <v>y</v>
      </c>
      <c r="TAB1" s="154" t="str">
        <f t="shared" si="211"/>
        <v>y</v>
      </c>
      <c r="TAC1" s="154" t="str">
        <f t="shared" si="211"/>
        <v>y</v>
      </c>
      <c r="TAD1" s="154" t="str">
        <f t="shared" si="211"/>
        <v>y</v>
      </c>
      <c r="TAE1" s="154" t="str">
        <f t="shared" si="211"/>
        <v>y</v>
      </c>
      <c r="TAF1" s="154" t="str">
        <f t="shared" si="211"/>
        <v>y</v>
      </c>
      <c r="TAG1" s="154" t="str">
        <f t="shared" si="211"/>
        <v>y</v>
      </c>
      <c r="TAH1" s="154" t="str">
        <f t="shared" si="211"/>
        <v>y</v>
      </c>
      <c r="TAI1" s="154" t="str">
        <f t="shared" si="211"/>
        <v>y</v>
      </c>
      <c r="TAJ1" s="154" t="str">
        <f t="shared" si="211"/>
        <v>y</v>
      </c>
      <c r="TAK1" s="154" t="str">
        <f t="shared" si="211"/>
        <v>y</v>
      </c>
      <c r="TAL1" s="154" t="str">
        <f t="shared" si="211"/>
        <v>y</v>
      </c>
      <c r="TAM1" s="154" t="str">
        <f t="shared" si="211"/>
        <v>y</v>
      </c>
      <c r="TAN1" s="154" t="str">
        <f t="shared" si="211"/>
        <v>y</v>
      </c>
      <c r="TAO1" s="154" t="str">
        <f t="shared" si="211"/>
        <v>y</v>
      </c>
      <c r="TAP1" s="154" t="str">
        <f t="shared" si="211"/>
        <v>y</v>
      </c>
      <c r="TAQ1" s="154" t="str">
        <f t="shared" si="211"/>
        <v>y</v>
      </c>
      <c r="TAR1" s="154" t="str">
        <f t="shared" si="211"/>
        <v>y</v>
      </c>
      <c r="TAS1" s="154" t="str">
        <f t="shared" si="211"/>
        <v>y</v>
      </c>
      <c r="TAT1" s="154" t="str">
        <f t="shared" si="211"/>
        <v>y</v>
      </c>
      <c r="TAU1" s="154" t="str">
        <f t="shared" si="211"/>
        <v>y</v>
      </c>
      <c r="TAV1" s="154" t="str">
        <f t="shared" si="211"/>
        <v>y</v>
      </c>
      <c r="TAW1" s="154" t="str">
        <f t="shared" si="211"/>
        <v>y</v>
      </c>
      <c r="TAX1" s="154" t="str">
        <f t="shared" si="211"/>
        <v>y</v>
      </c>
      <c r="TAY1" s="154" t="str">
        <f t="shared" si="211"/>
        <v>y</v>
      </c>
      <c r="TAZ1" s="154" t="str">
        <f t="shared" ref="TAZ1:TDK1" si="212">TAZ2&amp;"y"</f>
        <v>y</v>
      </c>
      <c r="TBA1" s="154" t="str">
        <f t="shared" si="212"/>
        <v>y</v>
      </c>
      <c r="TBB1" s="154" t="str">
        <f t="shared" si="212"/>
        <v>y</v>
      </c>
      <c r="TBC1" s="154" t="str">
        <f t="shared" si="212"/>
        <v>y</v>
      </c>
      <c r="TBD1" s="154" t="str">
        <f t="shared" si="212"/>
        <v>y</v>
      </c>
      <c r="TBE1" s="154" t="str">
        <f t="shared" si="212"/>
        <v>y</v>
      </c>
      <c r="TBF1" s="154" t="str">
        <f t="shared" si="212"/>
        <v>y</v>
      </c>
      <c r="TBG1" s="154" t="str">
        <f t="shared" si="212"/>
        <v>y</v>
      </c>
      <c r="TBH1" s="154" t="str">
        <f t="shared" si="212"/>
        <v>y</v>
      </c>
      <c r="TBI1" s="154" t="str">
        <f t="shared" si="212"/>
        <v>y</v>
      </c>
      <c r="TBJ1" s="154" t="str">
        <f t="shared" si="212"/>
        <v>y</v>
      </c>
      <c r="TBK1" s="154" t="str">
        <f t="shared" si="212"/>
        <v>y</v>
      </c>
      <c r="TBL1" s="154" t="str">
        <f t="shared" si="212"/>
        <v>y</v>
      </c>
      <c r="TBM1" s="154" t="str">
        <f t="shared" si="212"/>
        <v>y</v>
      </c>
      <c r="TBN1" s="154" t="str">
        <f t="shared" si="212"/>
        <v>y</v>
      </c>
      <c r="TBO1" s="154" t="str">
        <f t="shared" si="212"/>
        <v>y</v>
      </c>
      <c r="TBP1" s="154" t="str">
        <f t="shared" si="212"/>
        <v>y</v>
      </c>
      <c r="TBQ1" s="154" t="str">
        <f t="shared" si="212"/>
        <v>y</v>
      </c>
      <c r="TBR1" s="154" t="str">
        <f t="shared" si="212"/>
        <v>y</v>
      </c>
      <c r="TBS1" s="154" t="str">
        <f t="shared" si="212"/>
        <v>y</v>
      </c>
      <c r="TBT1" s="154" t="str">
        <f t="shared" si="212"/>
        <v>y</v>
      </c>
      <c r="TBU1" s="154" t="str">
        <f t="shared" si="212"/>
        <v>y</v>
      </c>
      <c r="TBV1" s="154" t="str">
        <f t="shared" si="212"/>
        <v>y</v>
      </c>
      <c r="TBW1" s="154" t="str">
        <f t="shared" si="212"/>
        <v>y</v>
      </c>
      <c r="TBX1" s="154" t="str">
        <f t="shared" si="212"/>
        <v>y</v>
      </c>
      <c r="TBY1" s="154" t="str">
        <f t="shared" si="212"/>
        <v>y</v>
      </c>
      <c r="TBZ1" s="154" t="str">
        <f t="shared" si="212"/>
        <v>y</v>
      </c>
      <c r="TCA1" s="154" t="str">
        <f t="shared" si="212"/>
        <v>y</v>
      </c>
      <c r="TCB1" s="154" t="str">
        <f t="shared" si="212"/>
        <v>y</v>
      </c>
      <c r="TCC1" s="154" t="str">
        <f t="shared" si="212"/>
        <v>y</v>
      </c>
      <c r="TCD1" s="154" t="str">
        <f t="shared" si="212"/>
        <v>y</v>
      </c>
      <c r="TCE1" s="154" t="str">
        <f t="shared" si="212"/>
        <v>y</v>
      </c>
      <c r="TCF1" s="154" t="str">
        <f t="shared" si="212"/>
        <v>y</v>
      </c>
      <c r="TCG1" s="154" t="str">
        <f t="shared" si="212"/>
        <v>y</v>
      </c>
      <c r="TCH1" s="154" t="str">
        <f t="shared" si="212"/>
        <v>y</v>
      </c>
      <c r="TCI1" s="154" t="str">
        <f t="shared" si="212"/>
        <v>y</v>
      </c>
      <c r="TCJ1" s="154" t="str">
        <f t="shared" si="212"/>
        <v>y</v>
      </c>
      <c r="TCK1" s="154" t="str">
        <f t="shared" si="212"/>
        <v>y</v>
      </c>
      <c r="TCL1" s="154" t="str">
        <f t="shared" si="212"/>
        <v>y</v>
      </c>
      <c r="TCM1" s="154" t="str">
        <f t="shared" si="212"/>
        <v>y</v>
      </c>
      <c r="TCN1" s="154" t="str">
        <f t="shared" si="212"/>
        <v>y</v>
      </c>
      <c r="TCO1" s="154" t="str">
        <f t="shared" si="212"/>
        <v>y</v>
      </c>
      <c r="TCP1" s="154" t="str">
        <f t="shared" si="212"/>
        <v>y</v>
      </c>
      <c r="TCQ1" s="154" t="str">
        <f t="shared" si="212"/>
        <v>y</v>
      </c>
      <c r="TCR1" s="154" t="str">
        <f t="shared" si="212"/>
        <v>y</v>
      </c>
      <c r="TCS1" s="154" t="str">
        <f t="shared" si="212"/>
        <v>y</v>
      </c>
      <c r="TCT1" s="154" t="str">
        <f t="shared" si="212"/>
        <v>y</v>
      </c>
      <c r="TCU1" s="154" t="str">
        <f t="shared" si="212"/>
        <v>y</v>
      </c>
      <c r="TCV1" s="154" t="str">
        <f t="shared" si="212"/>
        <v>y</v>
      </c>
      <c r="TCW1" s="154" t="str">
        <f t="shared" si="212"/>
        <v>y</v>
      </c>
      <c r="TCX1" s="154" t="str">
        <f t="shared" si="212"/>
        <v>y</v>
      </c>
      <c r="TCY1" s="154" t="str">
        <f t="shared" si="212"/>
        <v>y</v>
      </c>
      <c r="TCZ1" s="154" t="str">
        <f t="shared" si="212"/>
        <v>y</v>
      </c>
      <c r="TDA1" s="154" t="str">
        <f t="shared" si="212"/>
        <v>y</v>
      </c>
      <c r="TDB1" s="154" t="str">
        <f t="shared" si="212"/>
        <v>y</v>
      </c>
      <c r="TDC1" s="154" t="str">
        <f t="shared" si="212"/>
        <v>y</v>
      </c>
      <c r="TDD1" s="154" t="str">
        <f t="shared" si="212"/>
        <v>y</v>
      </c>
      <c r="TDE1" s="154" t="str">
        <f t="shared" si="212"/>
        <v>y</v>
      </c>
      <c r="TDF1" s="154" t="str">
        <f t="shared" si="212"/>
        <v>y</v>
      </c>
      <c r="TDG1" s="154" t="str">
        <f t="shared" si="212"/>
        <v>y</v>
      </c>
      <c r="TDH1" s="154" t="str">
        <f t="shared" si="212"/>
        <v>y</v>
      </c>
      <c r="TDI1" s="154" t="str">
        <f t="shared" si="212"/>
        <v>y</v>
      </c>
      <c r="TDJ1" s="154" t="str">
        <f t="shared" si="212"/>
        <v>y</v>
      </c>
      <c r="TDK1" s="154" t="str">
        <f t="shared" si="212"/>
        <v>y</v>
      </c>
      <c r="TDL1" s="154" t="str">
        <f t="shared" ref="TDL1:TFW1" si="213">TDL2&amp;"y"</f>
        <v>y</v>
      </c>
      <c r="TDM1" s="154" t="str">
        <f t="shared" si="213"/>
        <v>y</v>
      </c>
      <c r="TDN1" s="154" t="str">
        <f t="shared" si="213"/>
        <v>y</v>
      </c>
      <c r="TDO1" s="154" t="str">
        <f t="shared" si="213"/>
        <v>y</v>
      </c>
      <c r="TDP1" s="154" t="str">
        <f t="shared" si="213"/>
        <v>y</v>
      </c>
      <c r="TDQ1" s="154" t="str">
        <f t="shared" si="213"/>
        <v>y</v>
      </c>
      <c r="TDR1" s="154" t="str">
        <f t="shared" si="213"/>
        <v>y</v>
      </c>
      <c r="TDS1" s="154" t="str">
        <f t="shared" si="213"/>
        <v>y</v>
      </c>
      <c r="TDT1" s="154" t="str">
        <f t="shared" si="213"/>
        <v>y</v>
      </c>
      <c r="TDU1" s="154" t="str">
        <f t="shared" si="213"/>
        <v>y</v>
      </c>
      <c r="TDV1" s="154" t="str">
        <f t="shared" si="213"/>
        <v>y</v>
      </c>
      <c r="TDW1" s="154" t="str">
        <f t="shared" si="213"/>
        <v>y</v>
      </c>
      <c r="TDX1" s="154" t="str">
        <f t="shared" si="213"/>
        <v>y</v>
      </c>
      <c r="TDY1" s="154" t="str">
        <f t="shared" si="213"/>
        <v>y</v>
      </c>
      <c r="TDZ1" s="154" t="str">
        <f t="shared" si="213"/>
        <v>y</v>
      </c>
      <c r="TEA1" s="154" t="str">
        <f t="shared" si="213"/>
        <v>y</v>
      </c>
      <c r="TEB1" s="154" t="str">
        <f t="shared" si="213"/>
        <v>y</v>
      </c>
      <c r="TEC1" s="154" t="str">
        <f t="shared" si="213"/>
        <v>y</v>
      </c>
      <c r="TED1" s="154" t="str">
        <f t="shared" si="213"/>
        <v>y</v>
      </c>
      <c r="TEE1" s="154" t="str">
        <f t="shared" si="213"/>
        <v>y</v>
      </c>
      <c r="TEF1" s="154" t="str">
        <f t="shared" si="213"/>
        <v>y</v>
      </c>
      <c r="TEG1" s="154" t="str">
        <f t="shared" si="213"/>
        <v>y</v>
      </c>
      <c r="TEH1" s="154" t="str">
        <f t="shared" si="213"/>
        <v>y</v>
      </c>
      <c r="TEI1" s="154" t="str">
        <f t="shared" si="213"/>
        <v>y</v>
      </c>
      <c r="TEJ1" s="154" t="str">
        <f t="shared" si="213"/>
        <v>y</v>
      </c>
      <c r="TEK1" s="154" t="str">
        <f t="shared" si="213"/>
        <v>y</v>
      </c>
      <c r="TEL1" s="154" t="str">
        <f t="shared" si="213"/>
        <v>y</v>
      </c>
      <c r="TEM1" s="154" t="str">
        <f t="shared" si="213"/>
        <v>y</v>
      </c>
      <c r="TEN1" s="154" t="str">
        <f t="shared" si="213"/>
        <v>y</v>
      </c>
      <c r="TEO1" s="154" t="str">
        <f t="shared" si="213"/>
        <v>y</v>
      </c>
      <c r="TEP1" s="154" t="str">
        <f t="shared" si="213"/>
        <v>y</v>
      </c>
      <c r="TEQ1" s="154" t="str">
        <f t="shared" si="213"/>
        <v>y</v>
      </c>
      <c r="TER1" s="154" t="str">
        <f t="shared" si="213"/>
        <v>y</v>
      </c>
      <c r="TES1" s="154" t="str">
        <f t="shared" si="213"/>
        <v>y</v>
      </c>
      <c r="TET1" s="154" t="str">
        <f t="shared" si="213"/>
        <v>y</v>
      </c>
      <c r="TEU1" s="154" t="str">
        <f t="shared" si="213"/>
        <v>y</v>
      </c>
      <c r="TEV1" s="154" t="str">
        <f t="shared" si="213"/>
        <v>y</v>
      </c>
      <c r="TEW1" s="154" t="str">
        <f t="shared" si="213"/>
        <v>y</v>
      </c>
      <c r="TEX1" s="154" t="str">
        <f t="shared" si="213"/>
        <v>y</v>
      </c>
      <c r="TEY1" s="154" t="str">
        <f t="shared" si="213"/>
        <v>y</v>
      </c>
      <c r="TEZ1" s="154" t="str">
        <f t="shared" si="213"/>
        <v>y</v>
      </c>
      <c r="TFA1" s="154" t="str">
        <f t="shared" si="213"/>
        <v>y</v>
      </c>
      <c r="TFB1" s="154" t="str">
        <f t="shared" si="213"/>
        <v>y</v>
      </c>
      <c r="TFC1" s="154" t="str">
        <f t="shared" si="213"/>
        <v>y</v>
      </c>
      <c r="TFD1" s="154" t="str">
        <f t="shared" si="213"/>
        <v>y</v>
      </c>
      <c r="TFE1" s="154" t="str">
        <f t="shared" si="213"/>
        <v>y</v>
      </c>
      <c r="TFF1" s="154" t="str">
        <f t="shared" si="213"/>
        <v>y</v>
      </c>
      <c r="TFG1" s="154" t="str">
        <f t="shared" si="213"/>
        <v>y</v>
      </c>
      <c r="TFH1" s="154" t="str">
        <f t="shared" si="213"/>
        <v>y</v>
      </c>
      <c r="TFI1" s="154" t="str">
        <f t="shared" si="213"/>
        <v>y</v>
      </c>
      <c r="TFJ1" s="154" t="str">
        <f t="shared" si="213"/>
        <v>y</v>
      </c>
      <c r="TFK1" s="154" t="str">
        <f t="shared" si="213"/>
        <v>y</v>
      </c>
      <c r="TFL1" s="154" t="str">
        <f t="shared" si="213"/>
        <v>y</v>
      </c>
      <c r="TFM1" s="154" t="str">
        <f t="shared" si="213"/>
        <v>y</v>
      </c>
      <c r="TFN1" s="154" t="str">
        <f t="shared" si="213"/>
        <v>y</v>
      </c>
      <c r="TFO1" s="154" t="str">
        <f t="shared" si="213"/>
        <v>y</v>
      </c>
      <c r="TFP1" s="154" t="str">
        <f t="shared" si="213"/>
        <v>y</v>
      </c>
      <c r="TFQ1" s="154" t="str">
        <f t="shared" si="213"/>
        <v>y</v>
      </c>
      <c r="TFR1" s="154" t="str">
        <f t="shared" si="213"/>
        <v>y</v>
      </c>
      <c r="TFS1" s="154" t="str">
        <f t="shared" si="213"/>
        <v>y</v>
      </c>
      <c r="TFT1" s="154" t="str">
        <f t="shared" si="213"/>
        <v>y</v>
      </c>
      <c r="TFU1" s="154" t="str">
        <f t="shared" si="213"/>
        <v>y</v>
      </c>
      <c r="TFV1" s="154" t="str">
        <f t="shared" si="213"/>
        <v>y</v>
      </c>
      <c r="TFW1" s="154" t="str">
        <f t="shared" si="213"/>
        <v>y</v>
      </c>
      <c r="TFX1" s="154" t="str">
        <f t="shared" ref="TFX1:TII1" si="214">TFX2&amp;"y"</f>
        <v>y</v>
      </c>
      <c r="TFY1" s="154" t="str">
        <f t="shared" si="214"/>
        <v>y</v>
      </c>
      <c r="TFZ1" s="154" t="str">
        <f t="shared" si="214"/>
        <v>y</v>
      </c>
      <c r="TGA1" s="154" t="str">
        <f t="shared" si="214"/>
        <v>y</v>
      </c>
      <c r="TGB1" s="154" t="str">
        <f t="shared" si="214"/>
        <v>y</v>
      </c>
      <c r="TGC1" s="154" t="str">
        <f t="shared" si="214"/>
        <v>y</v>
      </c>
      <c r="TGD1" s="154" t="str">
        <f t="shared" si="214"/>
        <v>y</v>
      </c>
      <c r="TGE1" s="154" t="str">
        <f t="shared" si="214"/>
        <v>y</v>
      </c>
      <c r="TGF1" s="154" t="str">
        <f t="shared" si="214"/>
        <v>y</v>
      </c>
      <c r="TGG1" s="154" t="str">
        <f t="shared" si="214"/>
        <v>y</v>
      </c>
      <c r="TGH1" s="154" t="str">
        <f t="shared" si="214"/>
        <v>y</v>
      </c>
      <c r="TGI1" s="154" t="str">
        <f t="shared" si="214"/>
        <v>y</v>
      </c>
      <c r="TGJ1" s="154" t="str">
        <f t="shared" si="214"/>
        <v>y</v>
      </c>
      <c r="TGK1" s="154" t="str">
        <f t="shared" si="214"/>
        <v>y</v>
      </c>
      <c r="TGL1" s="154" t="str">
        <f t="shared" si="214"/>
        <v>y</v>
      </c>
      <c r="TGM1" s="154" t="str">
        <f t="shared" si="214"/>
        <v>y</v>
      </c>
      <c r="TGN1" s="154" t="str">
        <f t="shared" si="214"/>
        <v>y</v>
      </c>
      <c r="TGO1" s="154" t="str">
        <f t="shared" si="214"/>
        <v>y</v>
      </c>
      <c r="TGP1" s="154" t="str">
        <f t="shared" si="214"/>
        <v>y</v>
      </c>
      <c r="TGQ1" s="154" t="str">
        <f t="shared" si="214"/>
        <v>y</v>
      </c>
      <c r="TGR1" s="154" t="str">
        <f t="shared" si="214"/>
        <v>y</v>
      </c>
      <c r="TGS1" s="154" t="str">
        <f t="shared" si="214"/>
        <v>y</v>
      </c>
      <c r="TGT1" s="154" t="str">
        <f t="shared" si="214"/>
        <v>y</v>
      </c>
      <c r="TGU1" s="154" t="str">
        <f t="shared" si="214"/>
        <v>y</v>
      </c>
      <c r="TGV1" s="154" t="str">
        <f t="shared" si="214"/>
        <v>y</v>
      </c>
      <c r="TGW1" s="154" t="str">
        <f t="shared" si="214"/>
        <v>y</v>
      </c>
      <c r="TGX1" s="154" t="str">
        <f t="shared" si="214"/>
        <v>y</v>
      </c>
      <c r="TGY1" s="154" t="str">
        <f t="shared" si="214"/>
        <v>y</v>
      </c>
      <c r="TGZ1" s="154" t="str">
        <f t="shared" si="214"/>
        <v>y</v>
      </c>
      <c r="THA1" s="154" t="str">
        <f t="shared" si="214"/>
        <v>y</v>
      </c>
      <c r="THB1" s="154" t="str">
        <f t="shared" si="214"/>
        <v>y</v>
      </c>
      <c r="THC1" s="154" t="str">
        <f t="shared" si="214"/>
        <v>y</v>
      </c>
      <c r="THD1" s="154" t="str">
        <f t="shared" si="214"/>
        <v>y</v>
      </c>
      <c r="THE1" s="154" t="str">
        <f t="shared" si="214"/>
        <v>y</v>
      </c>
      <c r="THF1" s="154" t="str">
        <f t="shared" si="214"/>
        <v>y</v>
      </c>
      <c r="THG1" s="154" t="str">
        <f t="shared" si="214"/>
        <v>y</v>
      </c>
      <c r="THH1" s="154" t="str">
        <f t="shared" si="214"/>
        <v>y</v>
      </c>
      <c r="THI1" s="154" t="str">
        <f t="shared" si="214"/>
        <v>y</v>
      </c>
      <c r="THJ1" s="154" t="str">
        <f t="shared" si="214"/>
        <v>y</v>
      </c>
      <c r="THK1" s="154" t="str">
        <f t="shared" si="214"/>
        <v>y</v>
      </c>
      <c r="THL1" s="154" t="str">
        <f t="shared" si="214"/>
        <v>y</v>
      </c>
      <c r="THM1" s="154" t="str">
        <f t="shared" si="214"/>
        <v>y</v>
      </c>
      <c r="THN1" s="154" t="str">
        <f t="shared" si="214"/>
        <v>y</v>
      </c>
      <c r="THO1" s="154" t="str">
        <f t="shared" si="214"/>
        <v>y</v>
      </c>
      <c r="THP1" s="154" t="str">
        <f t="shared" si="214"/>
        <v>y</v>
      </c>
      <c r="THQ1" s="154" t="str">
        <f t="shared" si="214"/>
        <v>y</v>
      </c>
      <c r="THR1" s="154" t="str">
        <f t="shared" si="214"/>
        <v>y</v>
      </c>
      <c r="THS1" s="154" t="str">
        <f t="shared" si="214"/>
        <v>y</v>
      </c>
      <c r="THT1" s="154" t="str">
        <f t="shared" si="214"/>
        <v>y</v>
      </c>
      <c r="THU1" s="154" t="str">
        <f t="shared" si="214"/>
        <v>y</v>
      </c>
      <c r="THV1" s="154" t="str">
        <f t="shared" si="214"/>
        <v>y</v>
      </c>
      <c r="THW1" s="154" t="str">
        <f t="shared" si="214"/>
        <v>y</v>
      </c>
      <c r="THX1" s="154" t="str">
        <f t="shared" si="214"/>
        <v>y</v>
      </c>
      <c r="THY1" s="154" t="str">
        <f t="shared" si="214"/>
        <v>y</v>
      </c>
      <c r="THZ1" s="154" t="str">
        <f t="shared" si="214"/>
        <v>y</v>
      </c>
      <c r="TIA1" s="154" t="str">
        <f t="shared" si="214"/>
        <v>y</v>
      </c>
      <c r="TIB1" s="154" t="str">
        <f t="shared" si="214"/>
        <v>y</v>
      </c>
      <c r="TIC1" s="154" t="str">
        <f t="shared" si="214"/>
        <v>y</v>
      </c>
      <c r="TID1" s="154" t="str">
        <f t="shared" si="214"/>
        <v>y</v>
      </c>
      <c r="TIE1" s="154" t="str">
        <f t="shared" si="214"/>
        <v>y</v>
      </c>
      <c r="TIF1" s="154" t="str">
        <f t="shared" si="214"/>
        <v>y</v>
      </c>
      <c r="TIG1" s="154" t="str">
        <f t="shared" si="214"/>
        <v>y</v>
      </c>
      <c r="TIH1" s="154" t="str">
        <f t="shared" si="214"/>
        <v>y</v>
      </c>
      <c r="TII1" s="154" t="str">
        <f t="shared" si="214"/>
        <v>y</v>
      </c>
      <c r="TIJ1" s="154" t="str">
        <f t="shared" ref="TIJ1:TKU1" si="215">TIJ2&amp;"y"</f>
        <v>y</v>
      </c>
      <c r="TIK1" s="154" t="str">
        <f t="shared" si="215"/>
        <v>y</v>
      </c>
      <c r="TIL1" s="154" t="str">
        <f t="shared" si="215"/>
        <v>y</v>
      </c>
      <c r="TIM1" s="154" t="str">
        <f t="shared" si="215"/>
        <v>y</v>
      </c>
      <c r="TIN1" s="154" t="str">
        <f t="shared" si="215"/>
        <v>y</v>
      </c>
      <c r="TIO1" s="154" t="str">
        <f t="shared" si="215"/>
        <v>y</v>
      </c>
      <c r="TIP1" s="154" t="str">
        <f t="shared" si="215"/>
        <v>y</v>
      </c>
      <c r="TIQ1" s="154" t="str">
        <f t="shared" si="215"/>
        <v>y</v>
      </c>
      <c r="TIR1" s="154" t="str">
        <f t="shared" si="215"/>
        <v>y</v>
      </c>
      <c r="TIS1" s="154" t="str">
        <f t="shared" si="215"/>
        <v>y</v>
      </c>
      <c r="TIT1" s="154" t="str">
        <f t="shared" si="215"/>
        <v>y</v>
      </c>
      <c r="TIU1" s="154" t="str">
        <f t="shared" si="215"/>
        <v>y</v>
      </c>
      <c r="TIV1" s="154" t="str">
        <f t="shared" si="215"/>
        <v>y</v>
      </c>
      <c r="TIW1" s="154" t="str">
        <f t="shared" si="215"/>
        <v>y</v>
      </c>
      <c r="TIX1" s="154" t="str">
        <f t="shared" si="215"/>
        <v>y</v>
      </c>
      <c r="TIY1" s="154" t="str">
        <f t="shared" si="215"/>
        <v>y</v>
      </c>
      <c r="TIZ1" s="154" t="str">
        <f t="shared" si="215"/>
        <v>y</v>
      </c>
      <c r="TJA1" s="154" t="str">
        <f t="shared" si="215"/>
        <v>y</v>
      </c>
      <c r="TJB1" s="154" t="str">
        <f t="shared" si="215"/>
        <v>y</v>
      </c>
      <c r="TJC1" s="154" t="str">
        <f t="shared" si="215"/>
        <v>y</v>
      </c>
      <c r="TJD1" s="154" t="str">
        <f t="shared" si="215"/>
        <v>y</v>
      </c>
      <c r="TJE1" s="154" t="str">
        <f t="shared" si="215"/>
        <v>y</v>
      </c>
      <c r="TJF1" s="154" t="str">
        <f t="shared" si="215"/>
        <v>y</v>
      </c>
      <c r="TJG1" s="154" t="str">
        <f t="shared" si="215"/>
        <v>y</v>
      </c>
      <c r="TJH1" s="154" t="str">
        <f t="shared" si="215"/>
        <v>y</v>
      </c>
      <c r="TJI1" s="154" t="str">
        <f t="shared" si="215"/>
        <v>y</v>
      </c>
      <c r="TJJ1" s="154" t="str">
        <f t="shared" si="215"/>
        <v>y</v>
      </c>
      <c r="TJK1" s="154" t="str">
        <f t="shared" si="215"/>
        <v>y</v>
      </c>
      <c r="TJL1" s="154" t="str">
        <f t="shared" si="215"/>
        <v>y</v>
      </c>
      <c r="TJM1" s="154" t="str">
        <f t="shared" si="215"/>
        <v>y</v>
      </c>
      <c r="TJN1" s="154" t="str">
        <f t="shared" si="215"/>
        <v>y</v>
      </c>
      <c r="TJO1" s="154" t="str">
        <f t="shared" si="215"/>
        <v>y</v>
      </c>
      <c r="TJP1" s="154" t="str">
        <f t="shared" si="215"/>
        <v>y</v>
      </c>
      <c r="TJQ1" s="154" t="str">
        <f t="shared" si="215"/>
        <v>y</v>
      </c>
      <c r="TJR1" s="154" t="str">
        <f t="shared" si="215"/>
        <v>y</v>
      </c>
      <c r="TJS1" s="154" t="str">
        <f t="shared" si="215"/>
        <v>y</v>
      </c>
      <c r="TJT1" s="154" t="str">
        <f t="shared" si="215"/>
        <v>y</v>
      </c>
      <c r="TJU1" s="154" t="str">
        <f t="shared" si="215"/>
        <v>y</v>
      </c>
      <c r="TJV1" s="154" t="str">
        <f t="shared" si="215"/>
        <v>y</v>
      </c>
      <c r="TJW1" s="154" t="str">
        <f t="shared" si="215"/>
        <v>y</v>
      </c>
      <c r="TJX1" s="154" t="str">
        <f t="shared" si="215"/>
        <v>y</v>
      </c>
      <c r="TJY1" s="154" t="str">
        <f t="shared" si="215"/>
        <v>y</v>
      </c>
      <c r="TJZ1" s="154" t="str">
        <f t="shared" si="215"/>
        <v>y</v>
      </c>
      <c r="TKA1" s="154" t="str">
        <f t="shared" si="215"/>
        <v>y</v>
      </c>
      <c r="TKB1" s="154" t="str">
        <f t="shared" si="215"/>
        <v>y</v>
      </c>
      <c r="TKC1" s="154" t="str">
        <f t="shared" si="215"/>
        <v>y</v>
      </c>
      <c r="TKD1" s="154" t="str">
        <f t="shared" si="215"/>
        <v>y</v>
      </c>
      <c r="TKE1" s="154" t="str">
        <f t="shared" si="215"/>
        <v>y</v>
      </c>
      <c r="TKF1" s="154" t="str">
        <f t="shared" si="215"/>
        <v>y</v>
      </c>
      <c r="TKG1" s="154" t="str">
        <f t="shared" si="215"/>
        <v>y</v>
      </c>
      <c r="TKH1" s="154" t="str">
        <f t="shared" si="215"/>
        <v>y</v>
      </c>
      <c r="TKI1" s="154" t="str">
        <f t="shared" si="215"/>
        <v>y</v>
      </c>
      <c r="TKJ1" s="154" t="str">
        <f t="shared" si="215"/>
        <v>y</v>
      </c>
      <c r="TKK1" s="154" t="str">
        <f t="shared" si="215"/>
        <v>y</v>
      </c>
      <c r="TKL1" s="154" t="str">
        <f t="shared" si="215"/>
        <v>y</v>
      </c>
      <c r="TKM1" s="154" t="str">
        <f t="shared" si="215"/>
        <v>y</v>
      </c>
      <c r="TKN1" s="154" t="str">
        <f t="shared" si="215"/>
        <v>y</v>
      </c>
      <c r="TKO1" s="154" t="str">
        <f t="shared" si="215"/>
        <v>y</v>
      </c>
      <c r="TKP1" s="154" t="str">
        <f t="shared" si="215"/>
        <v>y</v>
      </c>
      <c r="TKQ1" s="154" t="str">
        <f t="shared" si="215"/>
        <v>y</v>
      </c>
      <c r="TKR1" s="154" t="str">
        <f t="shared" si="215"/>
        <v>y</v>
      </c>
      <c r="TKS1" s="154" t="str">
        <f t="shared" si="215"/>
        <v>y</v>
      </c>
      <c r="TKT1" s="154" t="str">
        <f t="shared" si="215"/>
        <v>y</v>
      </c>
      <c r="TKU1" s="154" t="str">
        <f t="shared" si="215"/>
        <v>y</v>
      </c>
      <c r="TKV1" s="154" t="str">
        <f t="shared" ref="TKV1:TNG1" si="216">TKV2&amp;"y"</f>
        <v>y</v>
      </c>
      <c r="TKW1" s="154" t="str">
        <f t="shared" si="216"/>
        <v>y</v>
      </c>
      <c r="TKX1" s="154" t="str">
        <f t="shared" si="216"/>
        <v>y</v>
      </c>
      <c r="TKY1" s="154" t="str">
        <f t="shared" si="216"/>
        <v>y</v>
      </c>
      <c r="TKZ1" s="154" t="str">
        <f t="shared" si="216"/>
        <v>y</v>
      </c>
      <c r="TLA1" s="154" t="str">
        <f t="shared" si="216"/>
        <v>y</v>
      </c>
      <c r="TLB1" s="154" t="str">
        <f t="shared" si="216"/>
        <v>y</v>
      </c>
      <c r="TLC1" s="154" t="str">
        <f t="shared" si="216"/>
        <v>y</v>
      </c>
      <c r="TLD1" s="154" t="str">
        <f t="shared" si="216"/>
        <v>y</v>
      </c>
      <c r="TLE1" s="154" t="str">
        <f t="shared" si="216"/>
        <v>y</v>
      </c>
      <c r="TLF1" s="154" t="str">
        <f t="shared" si="216"/>
        <v>y</v>
      </c>
      <c r="TLG1" s="154" t="str">
        <f t="shared" si="216"/>
        <v>y</v>
      </c>
      <c r="TLH1" s="154" t="str">
        <f t="shared" si="216"/>
        <v>y</v>
      </c>
      <c r="TLI1" s="154" t="str">
        <f t="shared" si="216"/>
        <v>y</v>
      </c>
      <c r="TLJ1" s="154" t="str">
        <f t="shared" si="216"/>
        <v>y</v>
      </c>
      <c r="TLK1" s="154" t="str">
        <f t="shared" si="216"/>
        <v>y</v>
      </c>
      <c r="TLL1" s="154" t="str">
        <f t="shared" si="216"/>
        <v>y</v>
      </c>
      <c r="TLM1" s="154" t="str">
        <f t="shared" si="216"/>
        <v>y</v>
      </c>
      <c r="TLN1" s="154" t="str">
        <f t="shared" si="216"/>
        <v>y</v>
      </c>
      <c r="TLO1" s="154" t="str">
        <f t="shared" si="216"/>
        <v>y</v>
      </c>
      <c r="TLP1" s="154" t="str">
        <f t="shared" si="216"/>
        <v>y</v>
      </c>
      <c r="TLQ1" s="154" t="str">
        <f t="shared" si="216"/>
        <v>y</v>
      </c>
      <c r="TLR1" s="154" t="str">
        <f t="shared" si="216"/>
        <v>y</v>
      </c>
      <c r="TLS1" s="154" t="str">
        <f t="shared" si="216"/>
        <v>y</v>
      </c>
      <c r="TLT1" s="154" t="str">
        <f t="shared" si="216"/>
        <v>y</v>
      </c>
      <c r="TLU1" s="154" t="str">
        <f t="shared" si="216"/>
        <v>y</v>
      </c>
      <c r="TLV1" s="154" t="str">
        <f t="shared" si="216"/>
        <v>y</v>
      </c>
      <c r="TLW1" s="154" t="str">
        <f t="shared" si="216"/>
        <v>y</v>
      </c>
      <c r="TLX1" s="154" t="str">
        <f t="shared" si="216"/>
        <v>y</v>
      </c>
      <c r="TLY1" s="154" t="str">
        <f t="shared" si="216"/>
        <v>y</v>
      </c>
      <c r="TLZ1" s="154" t="str">
        <f t="shared" si="216"/>
        <v>y</v>
      </c>
      <c r="TMA1" s="154" t="str">
        <f t="shared" si="216"/>
        <v>y</v>
      </c>
      <c r="TMB1" s="154" t="str">
        <f t="shared" si="216"/>
        <v>y</v>
      </c>
      <c r="TMC1" s="154" t="str">
        <f t="shared" si="216"/>
        <v>y</v>
      </c>
      <c r="TMD1" s="154" t="str">
        <f t="shared" si="216"/>
        <v>y</v>
      </c>
      <c r="TME1" s="154" t="str">
        <f t="shared" si="216"/>
        <v>y</v>
      </c>
      <c r="TMF1" s="154" t="str">
        <f t="shared" si="216"/>
        <v>y</v>
      </c>
      <c r="TMG1" s="154" t="str">
        <f t="shared" si="216"/>
        <v>y</v>
      </c>
      <c r="TMH1" s="154" t="str">
        <f t="shared" si="216"/>
        <v>y</v>
      </c>
      <c r="TMI1" s="154" t="str">
        <f t="shared" si="216"/>
        <v>y</v>
      </c>
      <c r="TMJ1" s="154" t="str">
        <f t="shared" si="216"/>
        <v>y</v>
      </c>
      <c r="TMK1" s="154" t="str">
        <f t="shared" si="216"/>
        <v>y</v>
      </c>
      <c r="TML1" s="154" t="str">
        <f t="shared" si="216"/>
        <v>y</v>
      </c>
      <c r="TMM1" s="154" t="str">
        <f t="shared" si="216"/>
        <v>y</v>
      </c>
      <c r="TMN1" s="154" t="str">
        <f t="shared" si="216"/>
        <v>y</v>
      </c>
      <c r="TMO1" s="154" t="str">
        <f t="shared" si="216"/>
        <v>y</v>
      </c>
      <c r="TMP1" s="154" t="str">
        <f t="shared" si="216"/>
        <v>y</v>
      </c>
      <c r="TMQ1" s="154" t="str">
        <f t="shared" si="216"/>
        <v>y</v>
      </c>
      <c r="TMR1" s="154" t="str">
        <f t="shared" si="216"/>
        <v>y</v>
      </c>
      <c r="TMS1" s="154" t="str">
        <f t="shared" si="216"/>
        <v>y</v>
      </c>
      <c r="TMT1" s="154" t="str">
        <f t="shared" si="216"/>
        <v>y</v>
      </c>
      <c r="TMU1" s="154" t="str">
        <f t="shared" si="216"/>
        <v>y</v>
      </c>
      <c r="TMV1" s="154" t="str">
        <f t="shared" si="216"/>
        <v>y</v>
      </c>
      <c r="TMW1" s="154" t="str">
        <f t="shared" si="216"/>
        <v>y</v>
      </c>
      <c r="TMX1" s="154" t="str">
        <f t="shared" si="216"/>
        <v>y</v>
      </c>
      <c r="TMY1" s="154" t="str">
        <f t="shared" si="216"/>
        <v>y</v>
      </c>
      <c r="TMZ1" s="154" t="str">
        <f t="shared" si="216"/>
        <v>y</v>
      </c>
      <c r="TNA1" s="154" t="str">
        <f t="shared" si="216"/>
        <v>y</v>
      </c>
      <c r="TNB1" s="154" t="str">
        <f t="shared" si="216"/>
        <v>y</v>
      </c>
      <c r="TNC1" s="154" t="str">
        <f t="shared" si="216"/>
        <v>y</v>
      </c>
      <c r="TND1" s="154" t="str">
        <f t="shared" si="216"/>
        <v>y</v>
      </c>
      <c r="TNE1" s="154" t="str">
        <f t="shared" si="216"/>
        <v>y</v>
      </c>
      <c r="TNF1" s="154" t="str">
        <f t="shared" si="216"/>
        <v>y</v>
      </c>
      <c r="TNG1" s="154" t="str">
        <f t="shared" si="216"/>
        <v>y</v>
      </c>
      <c r="TNH1" s="154" t="str">
        <f t="shared" ref="TNH1:TPS1" si="217">TNH2&amp;"y"</f>
        <v>y</v>
      </c>
      <c r="TNI1" s="154" t="str">
        <f t="shared" si="217"/>
        <v>y</v>
      </c>
      <c r="TNJ1" s="154" t="str">
        <f t="shared" si="217"/>
        <v>y</v>
      </c>
      <c r="TNK1" s="154" t="str">
        <f t="shared" si="217"/>
        <v>y</v>
      </c>
      <c r="TNL1" s="154" t="str">
        <f t="shared" si="217"/>
        <v>y</v>
      </c>
      <c r="TNM1" s="154" t="str">
        <f t="shared" si="217"/>
        <v>y</v>
      </c>
      <c r="TNN1" s="154" t="str">
        <f t="shared" si="217"/>
        <v>y</v>
      </c>
      <c r="TNO1" s="154" t="str">
        <f t="shared" si="217"/>
        <v>y</v>
      </c>
      <c r="TNP1" s="154" t="str">
        <f t="shared" si="217"/>
        <v>y</v>
      </c>
      <c r="TNQ1" s="154" t="str">
        <f t="shared" si="217"/>
        <v>y</v>
      </c>
      <c r="TNR1" s="154" t="str">
        <f t="shared" si="217"/>
        <v>y</v>
      </c>
      <c r="TNS1" s="154" t="str">
        <f t="shared" si="217"/>
        <v>y</v>
      </c>
      <c r="TNT1" s="154" t="str">
        <f t="shared" si="217"/>
        <v>y</v>
      </c>
      <c r="TNU1" s="154" t="str">
        <f t="shared" si="217"/>
        <v>y</v>
      </c>
      <c r="TNV1" s="154" t="str">
        <f t="shared" si="217"/>
        <v>y</v>
      </c>
      <c r="TNW1" s="154" t="str">
        <f t="shared" si="217"/>
        <v>y</v>
      </c>
      <c r="TNX1" s="154" t="str">
        <f t="shared" si="217"/>
        <v>y</v>
      </c>
      <c r="TNY1" s="154" t="str">
        <f t="shared" si="217"/>
        <v>y</v>
      </c>
      <c r="TNZ1" s="154" t="str">
        <f t="shared" si="217"/>
        <v>y</v>
      </c>
      <c r="TOA1" s="154" t="str">
        <f t="shared" si="217"/>
        <v>y</v>
      </c>
      <c r="TOB1" s="154" t="str">
        <f t="shared" si="217"/>
        <v>y</v>
      </c>
      <c r="TOC1" s="154" t="str">
        <f t="shared" si="217"/>
        <v>y</v>
      </c>
      <c r="TOD1" s="154" t="str">
        <f t="shared" si="217"/>
        <v>y</v>
      </c>
      <c r="TOE1" s="154" t="str">
        <f t="shared" si="217"/>
        <v>y</v>
      </c>
      <c r="TOF1" s="154" t="str">
        <f t="shared" si="217"/>
        <v>y</v>
      </c>
      <c r="TOG1" s="154" t="str">
        <f t="shared" si="217"/>
        <v>y</v>
      </c>
      <c r="TOH1" s="154" t="str">
        <f t="shared" si="217"/>
        <v>y</v>
      </c>
      <c r="TOI1" s="154" t="str">
        <f t="shared" si="217"/>
        <v>y</v>
      </c>
      <c r="TOJ1" s="154" t="str">
        <f t="shared" si="217"/>
        <v>y</v>
      </c>
      <c r="TOK1" s="154" t="str">
        <f t="shared" si="217"/>
        <v>y</v>
      </c>
      <c r="TOL1" s="154" t="str">
        <f t="shared" si="217"/>
        <v>y</v>
      </c>
      <c r="TOM1" s="154" t="str">
        <f t="shared" si="217"/>
        <v>y</v>
      </c>
      <c r="TON1" s="154" t="str">
        <f t="shared" si="217"/>
        <v>y</v>
      </c>
      <c r="TOO1" s="154" t="str">
        <f t="shared" si="217"/>
        <v>y</v>
      </c>
      <c r="TOP1" s="154" t="str">
        <f t="shared" si="217"/>
        <v>y</v>
      </c>
      <c r="TOQ1" s="154" t="str">
        <f t="shared" si="217"/>
        <v>y</v>
      </c>
      <c r="TOR1" s="154" t="str">
        <f t="shared" si="217"/>
        <v>y</v>
      </c>
      <c r="TOS1" s="154" t="str">
        <f t="shared" si="217"/>
        <v>y</v>
      </c>
      <c r="TOT1" s="154" t="str">
        <f t="shared" si="217"/>
        <v>y</v>
      </c>
      <c r="TOU1" s="154" t="str">
        <f t="shared" si="217"/>
        <v>y</v>
      </c>
      <c r="TOV1" s="154" t="str">
        <f t="shared" si="217"/>
        <v>y</v>
      </c>
      <c r="TOW1" s="154" t="str">
        <f t="shared" si="217"/>
        <v>y</v>
      </c>
      <c r="TOX1" s="154" t="str">
        <f t="shared" si="217"/>
        <v>y</v>
      </c>
      <c r="TOY1" s="154" t="str">
        <f t="shared" si="217"/>
        <v>y</v>
      </c>
      <c r="TOZ1" s="154" t="str">
        <f t="shared" si="217"/>
        <v>y</v>
      </c>
      <c r="TPA1" s="154" t="str">
        <f t="shared" si="217"/>
        <v>y</v>
      </c>
      <c r="TPB1" s="154" t="str">
        <f t="shared" si="217"/>
        <v>y</v>
      </c>
      <c r="TPC1" s="154" t="str">
        <f t="shared" si="217"/>
        <v>y</v>
      </c>
      <c r="TPD1" s="154" t="str">
        <f t="shared" si="217"/>
        <v>y</v>
      </c>
      <c r="TPE1" s="154" t="str">
        <f t="shared" si="217"/>
        <v>y</v>
      </c>
      <c r="TPF1" s="154" t="str">
        <f t="shared" si="217"/>
        <v>y</v>
      </c>
      <c r="TPG1" s="154" t="str">
        <f t="shared" si="217"/>
        <v>y</v>
      </c>
      <c r="TPH1" s="154" t="str">
        <f t="shared" si="217"/>
        <v>y</v>
      </c>
      <c r="TPI1" s="154" t="str">
        <f t="shared" si="217"/>
        <v>y</v>
      </c>
      <c r="TPJ1" s="154" t="str">
        <f t="shared" si="217"/>
        <v>y</v>
      </c>
      <c r="TPK1" s="154" t="str">
        <f t="shared" si="217"/>
        <v>y</v>
      </c>
      <c r="TPL1" s="154" t="str">
        <f t="shared" si="217"/>
        <v>y</v>
      </c>
      <c r="TPM1" s="154" t="str">
        <f t="shared" si="217"/>
        <v>y</v>
      </c>
      <c r="TPN1" s="154" t="str">
        <f t="shared" si="217"/>
        <v>y</v>
      </c>
      <c r="TPO1" s="154" t="str">
        <f t="shared" si="217"/>
        <v>y</v>
      </c>
      <c r="TPP1" s="154" t="str">
        <f t="shared" si="217"/>
        <v>y</v>
      </c>
      <c r="TPQ1" s="154" t="str">
        <f t="shared" si="217"/>
        <v>y</v>
      </c>
      <c r="TPR1" s="154" t="str">
        <f t="shared" si="217"/>
        <v>y</v>
      </c>
      <c r="TPS1" s="154" t="str">
        <f t="shared" si="217"/>
        <v>y</v>
      </c>
      <c r="TPT1" s="154" t="str">
        <f t="shared" ref="TPT1:TSE1" si="218">TPT2&amp;"y"</f>
        <v>y</v>
      </c>
      <c r="TPU1" s="154" t="str">
        <f t="shared" si="218"/>
        <v>y</v>
      </c>
      <c r="TPV1" s="154" t="str">
        <f t="shared" si="218"/>
        <v>y</v>
      </c>
      <c r="TPW1" s="154" t="str">
        <f t="shared" si="218"/>
        <v>y</v>
      </c>
      <c r="TPX1" s="154" t="str">
        <f t="shared" si="218"/>
        <v>y</v>
      </c>
      <c r="TPY1" s="154" t="str">
        <f t="shared" si="218"/>
        <v>y</v>
      </c>
      <c r="TPZ1" s="154" t="str">
        <f t="shared" si="218"/>
        <v>y</v>
      </c>
      <c r="TQA1" s="154" t="str">
        <f t="shared" si="218"/>
        <v>y</v>
      </c>
      <c r="TQB1" s="154" t="str">
        <f t="shared" si="218"/>
        <v>y</v>
      </c>
      <c r="TQC1" s="154" t="str">
        <f t="shared" si="218"/>
        <v>y</v>
      </c>
      <c r="TQD1" s="154" t="str">
        <f t="shared" si="218"/>
        <v>y</v>
      </c>
      <c r="TQE1" s="154" t="str">
        <f t="shared" si="218"/>
        <v>y</v>
      </c>
      <c r="TQF1" s="154" t="str">
        <f t="shared" si="218"/>
        <v>y</v>
      </c>
      <c r="TQG1" s="154" t="str">
        <f t="shared" si="218"/>
        <v>y</v>
      </c>
      <c r="TQH1" s="154" t="str">
        <f t="shared" si="218"/>
        <v>y</v>
      </c>
      <c r="TQI1" s="154" t="str">
        <f t="shared" si="218"/>
        <v>y</v>
      </c>
      <c r="TQJ1" s="154" t="str">
        <f t="shared" si="218"/>
        <v>y</v>
      </c>
      <c r="TQK1" s="154" t="str">
        <f t="shared" si="218"/>
        <v>y</v>
      </c>
      <c r="TQL1" s="154" t="str">
        <f t="shared" si="218"/>
        <v>y</v>
      </c>
      <c r="TQM1" s="154" t="str">
        <f t="shared" si="218"/>
        <v>y</v>
      </c>
      <c r="TQN1" s="154" t="str">
        <f t="shared" si="218"/>
        <v>y</v>
      </c>
      <c r="TQO1" s="154" t="str">
        <f t="shared" si="218"/>
        <v>y</v>
      </c>
      <c r="TQP1" s="154" t="str">
        <f t="shared" si="218"/>
        <v>y</v>
      </c>
      <c r="TQQ1" s="154" t="str">
        <f t="shared" si="218"/>
        <v>y</v>
      </c>
      <c r="TQR1" s="154" t="str">
        <f t="shared" si="218"/>
        <v>y</v>
      </c>
      <c r="TQS1" s="154" t="str">
        <f t="shared" si="218"/>
        <v>y</v>
      </c>
      <c r="TQT1" s="154" t="str">
        <f t="shared" si="218"/>
        <v>y</v>
      </c>
      <c r="TQU1" s="154" t="str">
        <f t="shared" si="218"/>
        <v>y</v>
      </c>
      <c r="TQV1" s="154" t="str">
        <f t="shared" si="218"/>
        <v>y</v>
      </c>
      <c r="TQW1" s="154" t="str">
        <f t="shared" si="218"/>
        <v>y</v>
      </c>
      <c r="TQX1" s="154" t="str">
        <f t="shared" si="218"/>
        <v>y</v>
      </c>
      <c r="TQY1" s="154" t="str">
        <f t="shared" si="218"/>
        <v>y</v>
      </c>
      <c r="TQZ1" s="154" t="str">
        <f t="shared" si="218"/>
        <v>y</v>
      </c>
      <c r="TRA1" s="154" t="str">
        <f t="shared" si="218"/>
        <v>y</v>
      </c>
      <c r="TRB1" s="154" t="str">
        <f t="shared" si="218"/>
        <v>y</v>
      </c>
      <c r="TRC1" s="154" t="str">
        <f t="shared" si="218"/>
        <v>y</v>
      </c>
      <c r="TRD1" s="154" t="str">
        <f t="shared" si="218"/>
        <v>y</v>
      </c>
      <c r="TRE1" s="154" t="str">
        <f t="shared" si="218"/>
        <v>y</v>
      </c>
      <c r="TRF1" s="154" t="str">
        <f t="shared" si="218"/>
        <v>y</v>
      </c>
      <c r="TRG1" s="154" t="str">
        <f t="shared" si="218"/>
        <v>y</v>
      </c>
      <c r="TRH1" s="154" t="str">
        <f t="shared" si="218"/>
        <v>y</v>
      </c>
      <c r="TRI1" s="154" t="str">
        <f t="shared" si="218"/>
        <v>y</v>
      </c>
      <c r="TRJ1" s="154" t="str">
        <f t="shared" si="218"/>
        <v>y</v>
      </c>
      <c r="TRK1" s="154" t="str">
        <f t="shared" si="218"/>
        <v>y</v>
      </c>
      <c r="TRL1" s="154" t="str">
        <f t="shared" si="218"/>
        <v>y</v>
      </c>
      <c r="TRM1" s="154" t="str">
        <f t="shared" si="218"/>
        <v>y</v>
      </c>
      <c r="TRN1" s="154" t="str">
        <f t="shared" si="218"/>
        <v>y</v>
      </c>
      <c r="TRO1" s="154" t="str">
        <f t="shared" si="218"/>
        <v>y</v>
      </c>
      <c r="TRP1" s="154" t="str">
        <f t="shared" si="218"/>
        <v>y</v>
      </c>
      <c r="TRQ1" s="154" t="str">
        <f t="shared" si="218"/>
        <v>y</v>
      </c>
      <c r="TRR1" s="154" t="str">
        <f t="shared" si="218"/>
        <v>y</v>
      </c>
      <c r="TRS1" s="154" t="str">
        <f t="shared" si="218"/>
        <v>y</v>
      </c>
      <c r="TRT1" s="154" t="str">
        <f t="shared" si="218"/>
        <v>y</v>
      </c>
      <c r="TRU1" s="154" t="str">
        <f t="shared" si="218"/>
        <v>y</v>
      </c>
      <c r="TRV1" s="154" t="str">
        <f t="shared" si="218"/>
        <v>y</v>
      </c>
      <c r="TRW1" s="154" t="str">
        <f t="shared" si="218"/>
        <v>y</v>
      </c>
      <c r="TRX1" s="154" t="str">
        <f t="shared" si="218"/>
        <v>y</v>
      </c>
      <c r="TRY1" s="154" t="str">
        <f t="shared" si="218"/>
        <v>y</v>
      </c>
      <c r="TRZ1" s="154" t="str">
        <f t="shared" si="218"/>
        <v>y</v>
      </c>
      <c r="TSA1" s="154" t="str">
        <f t="shared" si="218"/>
        <v>y</v>
      </c>
      <c r="TSB1" s="154" t="str">
        <f t="shared" si="218"/>
        <v>y</v>
      </c>
      <c r="TSC1" s="154" t="str">
        <f t="shared" si="218"/>
        <v>y</v>
      </c>
      <c r="TSD1" s="154" t="str">
        <f t="shared" si="218"/>
        <v>y</v>
      </c>
      <c r="TSE1" s="154" t="str">
        <f t="shared" si="218"/>
        <v>y</v>
      </c>
      <c r="TSF1" s="154" t="str">
        <f t="shared" ref="TSF1:TUQ1" si="219">TSF2&amp;"y"</f>
        <v>y</v>
      </c>
      <c r="TSG1" s="154" t="str">
        <f t="shared" si="219"/>
        <v>y</v>
      </c>
      <c r="TSH1" s="154" t="str">
        <f t="shared" si="219"/>
        <v>y</v>
      </c>
      <c r="TSI1" s="154" t="str">
        <f t="shared" si="219"/>
        <v>y</v>
      </c>
      <c r="TSJ1" s="154" t="str">
        <f t="shared" si="219"/>
        <v>y</v>
      </c>
      <c r="TSK1" s="154" t="str">
        <f t="shared" si="219"/>
        <v>y</v>
      </c>
      <c r="TSL1" s="154" t="str">
        <f t="shared" si="219"/>
        <v>y</v>
      </c>
      <c r="TSM1" s="154" t="str">
        <f t="shared" si="219"/>
        <v>y</v>
      </c>
      <c r="TSN1" s="154" t="str">
        <f t="shared" si="219"/>
        <v>y</v>
      </c>
      <c r="TSO1" s="154" t="str">
        <f t="shared" si="219"/>
        <v>y</v>
      </c>
      <c r="TSP1" s="154" t="str">
        <f t="shared" si="219"/>
        <v>y</v>
      </c>
      <c r="TSQ1" s="154" t="str">
        <f t="shared" si="219"/>
        <v>y</v>
      </c>
      <c r="TSR1" s="154" t="str">
        <f t="shared" si="219"/>
        <v>y</v>
      </c>
      <c r="TSS1" s="154" t="str">
        <f t="shared" si="219"/>
        <v>y</v>
      </c>
      <c r="TST1" s="154" t="str">
        <f t="shared" si="219"/>
        <v>y</v>
      </c>
      <c r="TSU1" s="154" t="str">
        <f t="shared" si="219"/>
        <v>y</v>
      </c>
      <c r="TSV1" s="154" t="str">
        <f t="shared" si="219"/>
        <v>y</v>
      </c>
      <c r="TSW1" s="154" t="str">
        <f t="shared" si="219"/>
        <v>y</v>
      </c>
      <c r="TSX1" s="154" t="str">
        <f t="shared" si="219"/>
        <v>y</v>
      </c>
      <c r="TSY1" s="154" t="str">
        <f t="shared" si="219"/>
        <v>y</v>
      </c>
      <c r="TSZ1" s="154" t="str">
        <f t="shared" si="219"/>
        <v>y</v>
      </c>
      <c r="TTA1" s="154" t="str">
        <f t="shared" si="219"/>
        <v>y</v>
      </c>
      <c r="TTB1" s="154" t="str">
        <f t="shared" si="219"/>
        <v>y</v>
      </c>
      <c r="TTC1" s="154" t="str">
        <f t="shared" si="219"/>
        <v>y</v>
      </c>
      <c r="TTD1" s="154" t="str">
        <f t="shared" si="219"/>
        <v>y</v>
      </c>
      <c r="TTE1" s="154" t="str">
        <f t="shared" si="219"/>
        <v>y</v>
      </c>
      <c r="TTF1" s="154" t="str">
        <f t="shared" si="219"/>
        <v>y</v>
      </c>
      <c r="TTG1" s="154" t="str">
        <f t="shared" si="219"/>
        <v>y</v>
      </c>
      <c r="TTH1" s="154" t="str">
        <f t="shared" si="219"/>
        <v>y</v>
      </c>
      <c r="TTI1" s="154" t="str">
        <f t="shared" si="219"/>
        <v>y</v>
      </c>
      <c r="TTJ1" s="154" t="str">
        <f t="shared" si="219"/>
        <v>y</v>
      </c>
      <c r="TTK1" s="154" t="str">
        <f t="shared" si="219"/>
        <v>y</v>
      </c>
      <c r="TTL1" s="154" t="str">
        <f t="shared" si="219"/>
        <v>y</v>
      </c>
      <c r="TTM1" s="154" t="str">
        <f t="shared" si="219"/>
        <v>y</v>
      </c>
      <c r="TTN1" s="154" t="str">
        <f t="shared" si="219"/>
        <v>y</v>
      </c>
      <c r="TTO1" s="154" t="str">
        <f t="shared" si="219"/>
        <v>y</v>
      </c>
      <c r="TTP1" s="154" t="str">
        <f t="shared" si="219"/>
        <v>y</v>
      </c>
      <c r="TTQ1" s="154" t="str">
        <f t="shared" si="219"/>
        <v>y</v>
      </c>
      <c r="TTR1" s="154" t="str">
        <f t="shared" si="219"/>
        <v>y</v>
      </c>
      <c r="TTS1" s="154" t="str">
        <f t="shared" si="219"/>
        <v>y</v>
      </c>
      <c r="TTT1" s="154" t="str">
        <f t="shared" si="219"/>
        <v>y</v>
      </c>
      <c r="TTU1" s="154" t="str">
        <f t="shared" si="219"/>
        <v>y</v>
      </c>
      <c r="TTV1" s="154" t="str">
        <f t="shared" si="219"/>
        <v>y</v>
      </c>
      <c r="TTW1" s="154" t="str">
        <f t="shared" si="219"/>
        <v>y</v>
      </c>
      <c r="TTX1" s="154" t="str">
        <f t="shared" si="219"/>
        <v>y</v>
      </c>
      <c r="TTY1" s="154" t="str">
        <f t="shared" si="219"/>
        <v>y</v>
      </c>
      <c r="TTZ1" s="154" t="str">
        <f t="shared" si="219"/>
        <v>y</v>
      </c>
      <c r="TUA1" s="154" t="str">
        <f t="shared" si="219"/>
        <v>y</v>
      </c>
      <c r="TUB1" s="154" t="str">
        <f t="shared" si="219"/>
        <v>y</v>
      </c>
      <c r="TUC1" s="154" t="str">
        <f t="shared" si="219"/>
        <v>y</v>
      </c>
      <c r="TUD1" s="154" t="str">
        <f t="shared" si="219"/>
        <v>y</v>
      </c>
      <c r="TUE1" s="154" t="str">
        <f t="shared" si="219"/>
        <v>y</v>
      </c>
      <c r="TUF1" s="154" t="str">
        <f t="shared" si="219"/>
        <v>y</v>
      </c>
      <c r="TUG1" s="154" t="str">
        <f t="shared" si="219"/>
        <v>y</v>
      </c>
      <c r="TUH1" s="154" t="str">
        <f t="shared" si="219"/>
        <v>y</v>
      </c>
      <c r="TUI1" s="154" t="str">
        <f t="shared" si="219"/>
        <v>y</v>
      </c>
      <c r="TUJ1" s="154" t="str">
        <f t="shared" si="219"/>
        <v>y</v>
      </c>
      <c r="TUK1" s="154" t="str">
        <f t="shared" si="219"/>
        <v>y</v>
      </c>
      <c r="TUL1" s="154" t="str">
        <f t="shared" si="219"/>
        <v>y</v>
      </c>
      <c r="TUM1" s="154" t="str">
        <f t="shared" si="219"/>
        <v>y</v>
      </c>
      <c r="TUN1" s="154" t="str">
        <f t="shared" si="219"/>
        <v>y</v>
      </c>
      <c r="TUO1" s="154" t="str">
        <f t="shared" si="219"/>
        <v>y</v>
      </c>
      <c r="TUP1" s="154" t="str">
        <f t="shared" si="219"/>
        <v>y</v>
      </c>
      <c r="TUQ1" s="154" t="str">
        <f t="shared" si="219"/>
        <v>y</v>
      </c>
      <c r="TUR1" s="154" t="str">
        <f t="shared" ref="TUR1:TXC1" si="220">TUR2&amp;"y"</f>
        <v>y</v>
      </c>
      <c r="TUS1" s="154" t="str">
        <f t="shared" si="220"/>
        <v>y</v>
      </c>
      <c r="TUT1" s="154" t="str">
        <f t="shared" si="220"/>
        <v>y</v>
      </c>
      <c r="TUU1" s="154" t="str">
        <f t="shared" si="220"/>
        <v>y</v>
      </c>
      <c r="TUV1" s="154" t="str">
        <f t="shared" si="220"/>
        <v>y</v>
      </c>
      <c r="TUW1" s="154" t="str">
        <f t="shared" si="220"/>
        <v>y</v>
      </c>
      <c r="TUX1" s="154" t="str">
        <f t="shared" si="220"/>
        <v>y</v>
      </c>
      <c r="TUY1" s="154" t="str">
        <f t="shared" si="220"/>
        <v>y</v>
      </c>
      <c r="TUZ1" s="154" t="str">
        <f t="shared" si="220"/>
        <v>y</v>
      </c>
      <c r="TVA1" s="154" t="str">
        <f t="shared" si="220"/>
        <v>y</v>
      </c>
      <c r="TVB1" s="154" t="str">
        <f t="shared" si="220"/>
        <v>y</v>
      </c>
      <c r="TVC1" s="154" t="str">
        <f t="shared" si="220"/>
        <v>y</v>
      </c>
      <c r="TVD1" s="154" t="str">
        <f t="shared" si="220"/>
        <v>y</v>
      </c>
      <c r="TVE1" s="154" t="str">
        <f t="shared" si="220"/>
        <v>y</v>
      </c>
      <c r="TVF1" s="154" t="str">
        <f t="shared" si="220"/>
        <v>y</v>
      </c>
      <c r="TVG1" s="154" t="str">
        <f t="shared" si="220"/>
        <v>y</v>
      </c>
      <c r="TVH1" s="154" t="str">
        <f t="shared" si="220"/>
        <v>y</v>
      </c>
      <c r="TVI1" s="154" t="str">
        <f t="shared" si="220"/>
        <v>y</v>
      </c>
      <c r="TVJ1" s="154" t="str">
        <f t="shared" si="220"/>
        <v>y</v>
      </c>
      <c r="TVK1" s="154" t="str">
        <f t="shared" si="220"/>
        <v>y</v>
      </c>
      <c r="TVL1" s="154" t="str">
        <f t="shared" si="220"/>
        <v>y</v>
      </c>
      <c r="TVM1" s="154" t="str">
        <f t="shared" si="220"/>
        <v>y</v>
      </c>
      <c r="TVN1" s="154" t="str">
        <f t="shared" si="220"/>
        <v>y</v>
      </c>
      <c r="TVO1" s="154" t="str">
        <f t="shared" si="220"/>
        <v>y</v>
      </c>
      <c r="TVP1" s="154" t="str">
        <f t="shared" si="220"/>
        <v>y</v>
      </c>
      <c r="TVQ1" s="154" t="str">
        <f t="shared" si="220"/>
        <v>y</v>
      </c>
      <c r="TVR1" s="154" t="str">
        <f t="shared" si="220"/>
        <v>y</v>
      </c>
      <c r="TVS1" s="154" t="str">
        <f t="shared" si="220"/>
        <v>y</v>
      </c>
      <c r="TVT1" s="154" t="str">
        <f t="shared" si="220"/>
        <v>y</v>
      </c>
      <c r="TVU1" s="154" t="str">
        <f t="shared" si="220"/>
        <v>y</v>
      </c>
      <c r="TVV1" s="154" t="str">
        <f t="shared" si="220"/>
        <v>y</v>
      </c>
      <c r="TVW1" s="154" t="str">
        <f t="shared" si="220"/>
        <v>y</v>
      </c>
      <c r="TVX1" s="154" t="str">
        <f t="shared" si="220"/>
        <v>y</v>
      </c>
      <c r="TVY1" s="154" t="str">
        <f t="shared" si="220"/>
        <v>y</v>
      </c>
      <c r="TVZ1" s="154" t="str">
        <f t="shared" si="220"/>
        <v>y</v>
      </c>
      <c r="TWA1" s="154" t="str">
        <f t="shared" si="220"/>
        <v>y</v>
      </c>
      <c r="TWB1" s="154" t="str">
        <f t="shared" si="220"/>
        <v>y</v>
      </c>
      <c r="TWC1" s="154" t="str">
        <f t="shared" si="220"/>
        <v>y</v>
      </c>
      <c r="TWD1" s="154" t="str">
        <f t="shared" si="220"/>
        <v>y</v>
      </c>
      <c r="TWE1" s="154" t="str">
        <f t="shared" si="220"/>
        <v>y</v>
      </c>
      <c r="TWF1" s="154" t="str">
        <f t="shared" si="220"/>
        <v>y</v>
      </c>
      <c r="TWG1" s="154" t="str">
        <f t="shared" si="220"/>
        <v>y</v>
      </c>
      <c r="TWH1" s="154" t="str">
        <f t="shared" si="220"/>
        <v>y</v>
      </c>
      <c r="TWI1" s="154" t="str">
        <f t="shared" si="220"/>
        <v>y</v>
      </c>
      <c r="TWJ1" s="154" t="str">
        <f t="shared" si="220"/>
        <v>y</v>
      </c>
      <c r="TWK1" s="154" t="str">
        <f t="shared" si="220"/>
        <v>y</v>
      </c>
      <c r="TWL1" s="154" t="str">
        <f t="shared" si="220"/>
        <v>y</v>
      </c>
      <c r="TWM1" s="154" t="str">
        <f t="shared" si="220"/>
        <v>y</v>
      </c>
      <c r="TWN1" s="154" t="str">
        <f t="shared" si="220"/>
        <v>y</v>
      </c>
      <c r="TWO1" s="154" t="str">
        <f t="shared" si="220"/>
        <v>y</v>
      </c>
      <c r="TWP1" s="154" t="str">
        <f t="shared" si="220"/>
        <v>y</v>
      </c>
      <c r="TWQ1" s="154" t="str">
        <f t="shared" si="220"/>
        <v>y</v>
      </c>
      <c r="TWR1" s="154" t="str">
        <f t="shared" si="220"/>
        <v>y</v>
      </c>
      <c r="TWS1" s="154" t="str">
        <f t="shared" si="220"/>
        <v>y</v>
      </c>
      <c r="TWT1" s="154" t="str">
        <f t="shared" si="220"/>
        <v>y</v>
      </c>
      <c r="TWU1" s="154" t="str">
        <f t="shared" si="220"/>
        <v>y</v>
      </c>
      <c r="TWV1" s="154" t="str">
        <f t="shared" si="220"/>
        <v>y</v>
      </c>
      <c r="TWW1" s="154" t="str">
        <f t="shared" si="220"/>
        <v>y</v>
      </c>
      <c r="TWX1" s="154" t="str">
        <f t="shared" si="220"/>
        <v>y</v>
      </c>
      <c r="TWY1" s="154" t="str">
        <f t="shared" si="220"/>
        <v>y</v>
      </c>
      <c r="TWZ1" s="154" t="str">
        <f t="shared" si="220"/>
        <v>y</v>
      </c>
      <c r="TXA1" s="154" t="str">
        <f t="shared" si="220"/>
        <v>y</v>
      </c>
      <c r="TXB1" s="154" t="str">
        <f t="shared" si="220"/>
        <v>y</v>
      </c>
      <c r="TXC1" s="154" t="str">
        <f t="shared" si="220"/>
        <v>y</v>
      </c>
      <c r="TXD1" s="154" t="str">
        <f t="shared" ref="TXD1:TZO1" si="221">TXD2&amp;"y"</f>
        <v>y</v>
      </c>
      <c r="TXE1" s="154" t="str">
        <f t="shared" si="221"/>
        <v>y</v>
      </c>
      <c r="TXF1" s="154" t="str">
        <f t="shared" si="221"/>
        <v>y</v>
      </c>
      <c r="TXG1" s="154" t="str">
        <f t="shared" si="221"/>
        <v>y</v>
      </c>
      <c r="TXH1" s="154" t="str">
        <f t="shared" si="221"/>
        <v>y</v>
      </c>
      <c r="TXI1" s="154" t="str">
        <f t="shared" si="221"/>
        <v>y</v>
      </c>
      <c r="TXJ1" s="154" t="str">
        <f t="shared" si="221"/>
        <v>y</v>
      </c>
      <c r="TXK1" s="154" t="str">
        <f t="shared" si="221"/>
        <v>y</v>
      </c>
      <c r="TXL1" s="154" t="str">
        <f t="shared" si="221"/>
        <v>y</v>
      </c>
      <c r="TXM1" s="154" t="str">
        <f t="shared" si="221"/>
        <v>y</v>
      </c>
      <c r="TXN1" s="154" t="str">
        <f t="shared" si="221"/>
        <v>y</v>
      </c>
      <c r="TXO1" s="154" t="str">
        <f t="shared" si="221"/>
        <v>y</v>
      </c>
      <c r="TXP1" s="154" t="str">
        <f t="shared" si="221"/>
        <v>y</v>
      </c>
      <c r="TXQ1" s="154" t="str">
        <f t="shared" si="221"/>
        <v>y</v>
      </c>
      <c r="TXR1" s="154" t="str">
        <f t="shared" si="221"/>
        <v>y</v>
      </c>
      <c r="TXS1" s="154" t="str">
        <f t="shared" si="221"/>
        <v>y</v>
      </c>
      <c r="TXT1" s="154" t="str">
        <f t="shared" si="221"/>
        <v>y</v>
      </c>
      <c r="TXU1" s="154" t="str">
        <f t="shared" si="221"/>
        <v>y</v>
      </c>
      <c r="TXV1" s="154" t="str">
        <f t="shared" si="221"/>
        <v>y</v>
      </c>
      <c r="TXW1" s="154" t="str">
        <f t="shared" si="221"/>
        <v>y</v>
      </c>
      <c r="TXX1" s="154" t="str">
        <f t="shared" si="221"/>
        <v>y</v>
      </c>
      <c r="TXY1" s="154" t="str">
        <f t="shared" si="221"/>
        <v>y</v>
      </c>
      <c r="TXZ1" s="154" t="str">
        <f t="shared" si="221"/>
        <v>y</v>
      </c>
      <c r="TYA1" s="154" t="str">
        <f t="shared" si="221"/>
        <v>y</v>
      </c>
      <c r="TYB1" s="154" t="str">
        <f t="shared" si="221"/>
        <v>y</v>
      </c>
      <c r="TYC1" s="154" t="str">
        <f t="shared" si="221"/>
        <v>y</v>
      </c>
      <c r="TYD1" s="154" t="str">
        <f t="shared" si="221"/>
        <v>y</v>
      </c>
      <c r="TYE1" s="154" t="str">
        <f t="shared" si="221"/>
        <v>y</v>
      </c>
      <c r="TYF1" s="154" t="str">
        <f t="shared" si="221"/>
        <v>y</v>
      </c>
      <c r="TYG1" s="154" t="str">
        <f t="shared" si="221"/>
        <v>y</v>
      </c>
      <c r="TYH1" s="154" t="str">
        <f t="shared" si="221"/>
        <v>y</v>
      </c>
      <c r="TYI1" s="154" t="str">
        <f t="shared" si="221"/>
        <v>y</v>
      </c>
      <c r="TYJ1" s="154" t="str">
        <f t="shared" si="221"/>
        <v>y</v>
      </c>
      <c r="TYK1" s="154" t="str">
        <f t="shared" si="221"/>
        <v>y</v>
      </c>
      <c r="TYL1" s="154" t="str">
        <f t="shared" si="221"/>
        <v>y</v>
      </c>
      <c r="TYM1" s="154" t="str">
        <f t="shared" si="221"/>
        <v>y</v>
      </c>
      <c r="TYN1" s="154" t="str">
        <f t="shared" si="221"/>
        <v>y</v>
      </c>
      <c r="TYO1" s="154" t="str">
        <f t="shared" si="221"/>
        <v>y</v>
      </c>
      <c r="TYP1" s="154" t="str">
        <f t="shared" si="221"/>
        <v>y</v>
      </c>
      <c r="TYQ1" s="154" t="str">
        <f t="shared" si="221"/>
        <v>y</v>
      </c>
      <c r="TYR1" s="154" t="str">
        <f t="shared" si="221"/>
        <v>y</v>
      </c>
      <c r="TYS1" s="154" t="str">
        <f t="shared" si="221"/>
        <v>y</v>
      </c>
      <c r="TYT1" s="154" t="str">
        <f t="shared" si="221"/>
        <v>y</v>
      </c>
      <c r="TYU1" s="154" t="str">
        <f t="shared" si="221"/>
        <v>y</v>
      </c>
      <c r="TYV1" s="154" t="str">
        <f t="shared" si="221"/>
        <v>y</v>
      </c>
      <c r="TYW1" s="154" t="str">
        <f t="shared" si="221"/>
        <v>y</v>
      </c>
      <c r="TYX1" s="154" t="str">
        <f t="shared" si="221"/>
        <v>y</v>
      </c>
      <c r="TYY1" s="154" t="str">
        <f t="shared" si="221"/>
        <v>y</v>
      </c>
      <c r="TYZ1" s="154" t="str">
        <f t="shared" si="221"/>
        <v>y</v>
      </c>
      <c r="TZA1" s="154" t="str">
        <f t="shared" si="221"/>
        <v>y</v>
      </c>
      <c r="TZB1" s="154" t="str">
        <f t="shared" si="221"/>
        <v>y</v>
      </c>
      <c r="TZC1" s="154" t="str">
        <f t="shared" si="221"/>
        <v>y</v>
      </c>
      <c r="TZD1" s="154" t="str">
        <f t="shared" si="221"/>
        <v>y</v>
      </c>
      <c r="TZE1" s="154" t="str">
        <f t="shared" si="221"/>
        <v>y</v>
      </c>
      <c r="TZF1" s="154" t="str">
        <f t="shared" si="221"/>
        <v>y</v>
      </c>
      <c r="TZG1" s="154" t="str">
        <f t="shared" si="221"/>
        <v>y</v>
      </c>
      <c r="TZH1" s="154" t="str">
        <f t="shared" si="221"/>
        <v>y</v>
      </c>
      <c r="TZI1" s="154" t="str">
        <f t="shared" si="221"/>
        <v>y</v>
      </c>
      <c r="TZJ1" s="154" t="str">
        <f t="shared" si="221"/>
        <v>y</v>
      </c>
      <c r="TZK1" s="154" t="str">
        <f t="shared" si="221"/>
        <v>y</v>
      </c>
      <c r="TZL1" s="154" t="str">
        <f t="shared" si="221"/>
        <v>y</v>
      </c>
      <c r="TZM1" s="154" t="str">
        <f t="shared" si="221"/>
        <v>y</v>
      </c>
      <c r="TZN1" s="154" t="str">
        <f t="shared" si="221"/>
        <v>y</v>
      </c>
      <c r="TZO1" s="154" t="str">
        <f t="shared" si="221"/>
        <v>y</v>
      </c>
      <c r="TZP1" s="154" t="str">
        <f t="shared" ref="TZP1:UCA1" si="222">TZP2&amp;"y"</f>
        <v>y</v>
      </c>
      <c r="TZQ1" s="154" t="str">
        <f t="shared" si="222"/>
        <v>y</v>
      </c>
      <c r="TZR1" s="154" t="str">
        <f t="shared" si="222"/>
        <v>y</v>
      </c>
      <c r="TZS1" s="154" t="str">
        <f t="shared" si="222"/>
        <v>y</v>
      </c>
      <c r="TZT1" s="154" t="str">
        <f t="shared" si="222"/>
        <v>y</v>
      </c>
      <c r="TZU1" s="154" t="str">
        <f t="shared" si="222"/>
        <v>y</v>
      </c>
      <c r="TZV1" s="154" t="str">
        <f t="shared" si="222"/>
        <v>y</v>
      </c>
      <c r="TZW1" s="154" t="str">
        <f t="shared" si="222"/>
        <v>y</v>
      </c>
      <c r="TZX1" s="154" t="str">
        <f t="shared" si="222"/>
        <v>y</v>
      </c>
      <c r="TZY1" s="154" t="str">
        <f t="shared" si="222"/>
        <v>y</v>
      </c>
      <c r="TZZ1" s="154" t="str">
        <f t="shared" si="222"/>
        <v>y</v>
      </c>
      <c r="UAA1" s="154" t="str">
        <f t="shared" si="222"/>
        <v>y</v>
      </c>
      <c r="UAB1" s="154" t="str">
        <f t="shared" si="222"/>
        <v>y</v>
      </c>
      <c r="UAC1" s="154" t="str">
        <f t="shared" si="222"/>
        <v>y</v>
      </c>
      <c r="UAD1" s="154" t="str">
        <f t="shared" si="222"/>
        <v>y</v>
      </c>
      <c r="UAE1" s="154" t="str">
        <f t="shared" si="222"/>
        <v>y</v>
      </c>
      <c r="UAF1" s="154" t="str">
        <f t="shared" si="222"/>
        <v>y</v>
      </c>
      <c r="UAG1" s="154" t="str">
        <f t="shared" si="222"/>
        <v>y</v>
      </c>
      <c r="UAH1" s="154" t="str">
        <f t="shared" si="222"/>
        <v>y</v>
      </c>
      <c r="UAI1" s="154" t="str">
        <f t="shared" si="222"/>
        <v>y</v>
      </c>
      <c r="UAJ1" s="154" t="str">
        <f t="shared" si="222"/>
        <v>y</v>
      </c>
      <c r="UAK1" s="154" t="str">
        <f t="shared" si="222"/>
        <v>y</v>
      </c>
      <c r="UAL1" s="154" t="str">
        <f t="shared" si="222"/>
        <v>y</v>
      </c>
      <c r="UAM1" s="154" t="str">
        <f t="shared" si="222"/>
        <v>y</v>
      </c>
      <c r="UAN1" s="154" t="str">
        <f t="shared" si="222"/>
        <v>y</v>
      </c>
      <c r="UAO1" s="154" t="str">
        <f t="shared" si="222"/>
        <v>y</v>
      </c>
      <c r="UAP1" s="154" t="str">
        <f t="shared" si="222"/>
        <v>y</v>
      </c>
      <c r="UAQ1" s="154" t="str">
        <f t="shared" si="222"/>
        <v>y</v>
      </c>
      <c r="UAR1" s="154" t="str">
        <f t="shared" si="222"/>
        <v>y</v>
      </c>
      <c r="UAS1" s="154" t="str">
        <f t="shared" si="222"/>
        <v>y</v>
      </c>
      <c r="UAT1" s="154" t="str">
        <f t="shared" si="222"/>
        <v>y</v>
      </c>
      <c r="UAU1" s="154" t="str">
        <f t="shared" si="222"/>
        <v>y</v>
      </c>
      <c r="UAV1" s="154" t="str">
        <f t="shared" si="222"/>
        <v>y</v>
      </c>
      <c r="UAW1" s="154" t="str">
        <f t="shared" si="222"/>
        <v>y</v>
      </c>
      <c r="UAX1" s="154" t="str">
        <f t="shared" si="222"/>
        <v>y</v>
      </c>
      <c r="UAY1" s="154" t="str">
        <f t="shared" si="222"/>
        <v>y</v>
      </c>
      <c r="UAZ1" s="154" t="str">
        <f t="shared" si="222"/>
        <v>y</v>
      </c>
      <c r="UBA1" s="154" t="str">
        <f t="shared" si="222"/>
        <v>y</v>
      </c>
      <c r="UBB1" s="154" t="str">
        <f t="shared" si="222"/>
        <v>y</v>
      </c>
      <c r="UBC1" s="154" t="str">
        <f t="shared" si="222"/>
        <v>y</v>
      </c>
      <c r="UBD1" s="154" t="str">
        <f t="shared" si="222"/>
        <v>y</v>
      </c>
      <c r="UBE1" s="154" t="str">
        <f t="shared" si="222"/>
        <v>y</v>
      </c>
      <c r="UBF1" s="154" t="str">
        <f t="shared" si="222"/>
        <v>y</v>
      </c>
      <c r="UBG1" s="154" t="str">
        <f t="shared" si="222"/>
        <v>y</v>
      </c>
      <c r="UBH1" s="154" t="str">
        <f t="shared" si="222"/>
        <v>y</v>
      </c>
      <c r="UBI1" s="154" t="str">
        <f t="shared" si="222"/>
        <v>y</v>
      </c>
      <c r="UBJ1" s="154" t="str">
        <f t="shared" si="222"/>
        <v>y</v>
      </c>
      <c r="UBK1" s="154" t="str">
        <f t="shared" si="222"/>
        <v>y</v>
      </c>
      <c r="UBL1" s="154" t="str">
        <f t="shared" si="222"/>
        <v>y</v>
      </c>
      <c r="UBM1" s="154" t="str">
        <f t="shared" si="222"/>
        <v>y</v>
      </c>
      <c r="UBN1" s="154" t="str">
        <f t="shared" si="222"/>
        <v>y</v>
      </c>
      <c r="UBO1" s="154" t="str">
        <f t="shared" si="222"/>
        <v>y</v>
      </c>
      <c r="UBP1" s="154" t="str">
        <f t="shared" si="222"/>
        <v>y</v>
      </c>
      <c r="UBQ1" s="154" t="str">
        <f t="shared" si="222"/>
        <v>y</v>
      </c>
      <c r="UBR1" s="154" t="str">
        <f t="shared" si="222"/>
        <v>y</v>
      </c>
      <c r="UBS1" s="154" t="str">
        <f t="shared" si="222"/>
        <v>y</v>
      </c>
      <c r="UBT1" s="154" t="str">
        <f t="shared" si="222"/>
        <v>y</v>
      </c>
      <c r="UBU1" s="154" t="str">
        <f t="shared" si="222"/>
        <v>y</v>
      </c>
      <c r="UBV1" s="154" t="str">
        <f t="shared" si="222"/>
        <v>y</v>
      </c>
      <c r="UBW1" s="154" t="str">
        <f t="shared" si="222"/>
        <v>y</v>
      </c>
      <c r="UBX1" s="154" t="str">
        <f t="shared" si="222"/>
        <v>y</v>
      </c>
      <c r="UBY1" s="154" t="str">
        <f t="shared" si="222"/>
        <v>y</v>
      </c>
      <c r="UBZ1" s="154" t="str">
        <f t="shared" si="222"/>
        <v>y</v>
      </c>
      <c r="UCA1" s="154" t="str">
        <f t="shared" si="222"/>
        <v>y</v>
      </c>
      <c r="UCB1" s="154" t="str">
        <f t="shared" ref="UCB1:UEM1" si="223">UCB2&amp;"y"</f>
        <v>y</v>
      </c>
      <c r="UCC1" s="154" t="str">
        <f t="shared" si="223"/>
        <v>y</v>
      </c>
      <c r="UCD1" s="154" t="str">
        <f t="shared" si="223"/>
        <v>y</v>
      </c>
      <c r="UCE1" s="154" t="str">
        <f t="shared" si="223"/>
        <v>y</v>
      </c>
      <c r="UCF1" s="154" t="str">
        <f t="shared" si="223"/>
        <v>y</v>
      </c>
      <c r="UCG1" s="154" t="str">
        <f t="shared" si="223"/>
        <v>y</v>
      </c>
      <c r="UCH1" s="154" t="str">
        <f t="shared" si="223"/>
        <v>y</v>
      </c>
      <c r="UCI1" s="154" t="str">
        <f t="shared" si="223"/>
        <v>y</v>
      </c>
      <c r="UCJ1" s="154" t="str">
        <f t="shared" si="223"/>
        <v>y</v>
      </c>
      <c r="UCK1" s="154" t="str">
        <f t="shared" si="223"/>
        <v>y</v>
      </c>
      <c r="UCL1" s="154" t="str">
        <f t="shared" si="223"/>
        <v>y</v>
      </c>
      <c r="UCM1" s="154" t="str">
        <f t="shared" si="223"/>
        <v>y</v>
      </c>
      <c r="UCN1" s="154" t="str">
        <f t="shared" si="223"/>
        <v>y</v>
      </c>
      <c r="UCO1" s="154" t="str">
        <f t="shared" si="223"/>
        <v>y</v>
      </c>
      <c r="UCP1" s="154" t="str">
        <f t="shared" si="223"/>
        <v>y</v>
      </c>
      <c r="UCQ1" s="154" t="str">
        <f t="shared" si="223"/>
        <v>y</v>
      </c>
      <c r="UCR1" s="154" t="str">
        <f t="shared" si="223"/>
        <v>y</v>
      </c>
      <c r="UCS1" s="154" t="str">
        <f t="shared" si="223"/>
        <v>y</v>
      </c>
      <c r="UCT1" s="154" t="str">
        <f t="shared" si="223"/>
        <v>y</v>
      </c>
      <c r="UCU1" s="154" t="str">
        <f t="shared" si="223"/>
        <v>y</v>
      </c>
      <c r="UCV1" s="154" t="str">
        <f t="shared" si="223"/>
        <v>y</v>
      </c>
      <c r="UCW1" s="154" t="str">
        <f t="shared" si="223"/>
        <v>y</v>
      </c>
      <c r="UCX1" s="154" t="str">
        <f t="shared" si="223"/>
        <v>y</v>
      </c>
      <c r="UCY1" s="154" t="str">
        <f t="shared" si="223"/>
        <v>y</v>
      </c>
      <c r="UCZ1" s="154" t="str">
        <f t="shared" si="223"/>
        <v>y</v>
      </c>
      <c r="UDA1" s="154" t="str">
        <f t="shared" si="223"/>
        <v>y</v>
      </c>
      <c r="UDB1" s="154" t="str">
        <f t="shared" si="223"/>
        <v>y</v>
      </c>
      <c r="UDC1" s="154" t="str">
        <f t="shared" si="223"/>
        <v>y</v>
      </c>
      <c r="UDD1" s="154" t="str">
        <f t="shared" si="223"/>
        <v>y</v>
      </c>
      <c r="UDE1" s="154" t="str">
        <f t="shared" si="223"/>
        <v>y</v>
      </c>
      <c r="UDF1" s="154" t="str">
        <f t="shared" si="223"/>
        <v>y</v>
      </c>
      <c r="UDG1" s="154" t="str">
        <f t="shared" si="223"/>
        <v>y</v>
      </c>
      <c r="UDH1" s="154" t="str">
        <f t="shared" si="223"/>
        <v>y</v>
      </c>
      <c r="UDI1" s="154" t="str">
        <f t="shared" si="223"/>
        <v>y</v>
      </c>
      <c r="UDJ1" s="154" t="str">
        <f t="shared" si="223"/>
        <v>y</v>
      </c>
      <c r="UDK1" s="154" t="str">
        <f t="shared" si="223"/>
        <v>y</v>
      </c>
      <c r="UDL1" s="154" t="str">
        <f t="shared" si="223"/>
        <v>y</v>
      </c>
      <c r="UDM1" s="154" t="str">
        <f t="shared" si="223"/>
        <v>y</v>
      </c>
      <c r="UDN1" s="154" t="str">
        <f t="shared" si="223"/>
        <v>y</v>
      </c>
      <c r="UDO1" s="154" t="str">
        <f t="shared" si="223"/>
        <v>y</v>
      </c>
      <c r="UDP1" s="154" t="str">
        <f t="shared" si="223"/>
        <v>y</v>
      </c>
      <c r="UDQ1" s="154" t="str">
        <f t="shared" si="223"/>
        <v>y</v>
      </c>
      <c r="UDR1" s="154" t="str">
        <f t="shared" si="223"/>
        <v>y</v>
      </c>
      <c r="UDS1" s="154" t="str">
        <f t="shared" si="223"/>
        <v>y</v>
      </c>
      <c r="UDT1" s="154" t="str">
        <f t="shared" si="223"/>
        <v>y</v>
      </c>
      <c r="UDU1" s="154" t="str">
        <f t="shared" si="223"/>
        <v>y</v>
      </c>
      <c r="UDV1" s="154" t="str">
        <f t="shared" si="223"/>
        <v>y</v>
      </c>
      <c r="UDW1" s="154" t="str">
        <f t="shared" si="223"/>
        <v>y</v>
      </c>
      <c r="UDX1" s="154" t="str">
        <f t="shared" si="223"/>
        <v>y</v>
      </c>
      <c r="UDY1" s="154" t="str">
        <f t="shared" si="223"/>
        <v>y</v>
      </c>
      <c r="UDZ1" s="154" t="str">
        <f t="shared" si="223"/>
        <v>y</v>
      </c>
      <c r="UEA1" s="154" t="str">
        <f t="shared" si="223"/>
        <v>y</v>
      </c>
      <c r="UEB1" s="154" t="str">
        <f t="shared" si="223"/>
        <v>y</v>
      </c>
      <c r="UEC1" s="154" t="str">
        <f t="shared" si="223"/>
        <v>y</v>
      </c>
      <c r="UED1" s="154" t="str">
        <f t="shared" si="223"/>
        <v>y</v>
      </c>
      <c r="UEE1" s="154" t="str">
        <f t="shared" si="223"/>
        <v>y</v>
      </c>
      <c r="UEF1" s="154" t="str">
        <f t="shared" si="223"/>
        <v>y</v>
      </c>
      <c r="UEG1" s="154" t="str">
        <f t="shared" si="223"/>
        <v>y</v>
      </c>
      <c r="UEH1" s="154" t="str">
        <f t="shared" si="223"/>
        <v>y</v>
      </c>
      <c r="UEI1" s="154" t="str">
        <f t="shared" si="223"/>
        <v>y</v>
      </c>
      <c r="UEJ1" s="154" t="str">
        <f t="shared" si="223"/>
        <v>y</v>
      </c>
      <c r="UEK1" s="154" t="str">
        <f t="shared" si="223"/>
        <v>y</v>
      </c>
      <c r="UEL1" s="154" t="str">
        <f t="shared" si="223"/>
        <v>y</v>
      </c>
      <c r="UEM1" s="154" t="str">
        <f t="shared" si="223"/>
        <v>y</v>
      </c>
      <c r="UEN1" s="154" t="str">
        <f t="shared" ref="UEN1:UGY1" si="224">UEN2&amp;"y"</f>
        <v>y</v>
      </c>
      <c r="UEO1" s="154" t="str">
        <f t="shared" si="224"/>
        <v>y</v>
      </c>
      <c r="UEP1" s="154" t="str">
        <f t="shared" si="224"/>
        <v>y</v>
      </c>
      <c r="UEQ1" s="154" t="str">
        <f t="shared" si="224"/>
        <v>y</v>
      </c>
      <c r="UER1" s="154" t="str">
        <f t="shared" si="224"/>
        <v>y</v>
      </c>
      <c r="UES1" s="154" t="str">
        <f t="shared" si="224"/>
        <v>y</v>
      </c>
      <c r="UET1" s="154" t="str">
        <f t="shared" si="224"/>
        <v>y</v>
      </c>
      <c r="UEU1" s="154" t="str">
        <f t="shared" si="224"/>
        <v>y</v>
      </c>
      <c r="UEV1" s="154" t="str">
        <f t="shared" si="224"/>
        <v>y</v>
      </c>
      <c r="UEW1" s="154" t="str">
        <f t="shared" si="224"/>
        <v>y</v>
      </c>
      <c r="UEX1" s="154" t="str">
        <f t="shared" si="224"/>
        <v>y</v>
      </c>
      <c r="UEY1" s="154" t="str">
        <f t="shared" si="224"/>
        <v>y</v>
      </c>
      <c r="UEZ1" s="154" t="str">
        <f t="shared" si="224"/>
        <v>y</v>
      </c>
      <c r="UFA1" s="154" t="str">
        <f t="shared" si="224"/>
        <v>y</v>
      </c>
      <c r="UFB1" s="154" t="str">
        <f t="shared" si="224"/>
        <v>y</v>
      </c>
      <c r="UFC1" s="154" t="str">
        <f t="shared" si="224"/>
        <v>y</v>
      </c>
      <c r="UFD1" s="154" t="str">
        <f t="shared" si="224"/>
        <v>y</v>
      </c>
      <c r="UFE1" s="154" t="str">
        <f t="shared" si="224"/>
        <v>y</v>
      </c>
      <c r="UFF1" s="154" t="str">
        <f t="shared" si="224"/>
        <v>y</v>
      </c>
      <c r="UFG1" s="154" t="str">
        <f t="shared" si="224"/>
        <v>y</v>
      </c>
      <c r="UFH1" s="154" t="str">
        <f t="shared" si="224"/>
        <v>y</v>
      </c>
      <c r="UFI1" s="154" t="str">
        <f t="shared" si="224"/>
        <v>y</v>
      </c>
      <c r="UFJ1" s="154" t="str">
        <f t="shared" si="224"/>
        <v>y</v>
      </c>
      <c r="UFK1" s="154" t="str">
        <f t="shared" si="224"/>
        <v>y</v>
      </c>
      <c r="UFL1" s="154" t="str">
        <f t="shared" si="224"/>
        <v>y</v>
      </c>
      <c r="UFM1" s="154" t="str">
        <f t="shared" si="224"/>
        <v>y</v>
      </c>
      <c r="UFN1" s="154" t="str">
        <f t="shared" si="224"/>
        <v>y</v>
      </c>
      <c r="UFO1" s="154" t="str">
        <f t="shared" si="224"/>
        <v>y</v>
      </c>
      <c r="UFP1" s="154" t="str">
        <f t="shared" si="224"/>
        <v>y</v>
      </c>
      <c r="UFQ1" s="154" t="str">
        <f t="shared" si="224"/>
        <v>y</v>
      </c>
      <c r="UFR1" s="154" t="str">
        <f t="shared" si="224"/>
        <v>y</v>
      </c>
      <c r="UFS1" s="154" t="str">
        <f t="shared" si="224"/>
        <v>y</v>
      </c>
      <c r="UFT1" s="154" t="str">
        <f t="shared" si="224"/>
        <v>y</v>
      </c>
      <c r="UFU1" s="154" t="str">
        <f t="shared" si="224"/>
        <v>y</v>
      </c>
      <c r="UFV1" s="154" t="str">
        <f t="shared" si="224"/>
        <v>y</v>
      </c>
      <c r="UFW1" s="154" t="str">
        <f t="shared" si="224"/>
        <v>y</v>
      </c>
      <c r="UFX1" s="154" t="str">
        <f t="shared" si="224"/>
        <v>y</v>
      </c>
      <c r="UFY1" s="154" t="str">
        <f t="shared" si="224"/>
        <v>y</v>
      </c>
      <c r="UFZ1" s="154" t="str">
        <f t="shared" si="224"/>
        <v>y</v>
      </c>
      <c r="UGA1" s="154" t="str">
        <f t="shared" si="224"/>
        <v>y</v>
      </c>
      <c r="UGB1" s="154" t="str">
        <f t="shared" si="224"/>
        <v>y</v>
      </c>
      <c r="UGC1" s="154" t="str">
        <f t="shared" si="224"/>
        <v>y</v>
      </c>
      <c r="UGD1" s="154" t="str">
        <f t="shared" si="224"/>
        <v>y</v>
      </c>
      <c r="UGE1" s="154" t="str">
        <f t="shared" si="224"/>
        <v>y</v>
      </c>
      <c r="UGF1" s="154" t="str">
        <f t="shared" si="224"/>
        <v>y</v>
      </c>
      <c r="UGG1" s="154" t="str">
        <f t="shared" si="224"/>
        <v>y</v>
      </c>
      <c r="UGH1" s="154" t="str">
        <f t="shared" si="224"/>
        <v>y</v>
      </c>
      <c r="UGI1" s="154" t="str">
        <f t="shared" si="224"/>
        <v>y</v>
      </c>
      <c r="UGJ1" s="154" t="str">
        <f t="shared" si="224"/>
        <v>y</v>
      </c>
      <c r="UGK1" s="154" t="str">
        <f t="shared" si="224"/>
        <v>y</v>
      </c>
      <c r="UGL1" s="154" t="str">
        <f t="shared" si="224"/>
        <v>y</v>
      </c>
      <c r="UGM1" s="154" t="str">
        <f t="shared" si="224"/>
        <v>y</v>
      </c>
      <c r="UGN1" s="154" t="str">
        <f t="shared" si="224"/>
        <v>y</v>
      </c>
      <c r="UGO1" s="154" t="str">
        <f t="shared" si="224"/>
        <v>y</v>
      </c>
      <c r="UGP1" s="154" t="str">
        <f t="shared" si="224"/>
        <v>y</v>
      </c>
      <c r="UGQ1" s="154" t="str">
        <f t="shared" si="224"/>
        <v>y</v>
      </c>
      <c r="UGR1" s="154" t="str">
        <f t="shared" si="224"/>
        <v>y</v>
      </c>
      <c r="UGS1" s="154" t="str">
        <f t="shared" si="224"/>
        <v>y</v>
      </c>
      <c r="UGT1" s="154" t="str">
        <f t="shared" si="224"/>
        <v>y</v>
      </c>
      <c r="UGU1" s="154" t="str">
        <f t="shared" si="224"/>
        <v>y</v>
      </c>
      <c r="UGV1" s="154" t="str">
        <f t="shared" si="224"/>
        <v>y</v>
      </c>
      <c r="UGW1" s="154" t="str">
        <f t="shared" si="224"/>
        <v>y</v>
      </c>
      <c r="UGX1" s="154" t="str">
        <f t="shared" si="224"/>
        <v>y</v>
      </c>
      <c r="UGY1" s="154" t="str">
        <f t="shared" si="224"/>
        <v>y</v>
      </c>
      <c r="UGZ1" s="154" t="str">
        <f t="shared" ref="UGZ1:UJK1" si="225">UGZ2&amp;"y"</f>
        <v>y</v>
      </c>
      <c r="UHA1" s="154" t="str">
        <f t="shared" si="225"/>
        <v>y</v>
      </c>
      <c r="UHB1" s="154" t="str">
        <f t="shared" si="225"/>
        <v>y</v>
      </c>
      <c r="UHC1" s="154" t="str">
        <f t="shared" si="225"/>
        <v>y</v>
      </c>
      <c r="UHD1" s="154" t="str">
        <f t="shared" si="225"/>
        <v>y</v>
      </c>
      <c r="UHE1" s="154" t="str">
        <f t="shared" si="225"/>
        <v>y</v>
      </c>
      <c r="UHF1" s="154" t="str">
        <f t="shared" si="225"/>
        <v>y</v>
      </c>
      <c r="UHG1" s="154" t="str">
        <f t="shared" si="225"/>
        <v>y</v>
      </c>
      <c r="UHH1" s="154" t="str">
        <f t="shared" si="225"/>
        <v>y</v>
      </c>
      <c r="UHI1" s="154" t="str">
        <f t="shared" si="225"/>
        <v>y</v>
      </c>
      <c r="UHJ1" s="154" t="str">
        <f t="shared" si="225"/>
        <v>y</v>
      </c>
      <c r="UHK1" s="154" t="str">
        <f t="shared" si="225"/>
        <v>y</v>
      </c>
      <c r="UHL1" s="154" t="str">
        <f t="shared" si="225"/>
        <v>y</v>
      </c>
      <c r="UHM1" s="154" t="str">
        <f t="shared" si="225"/>
        <v>y</v>
      </c>
      <c r="UHN1" s="154" t="str">
        <f t="shared" si="225"/>
        <v>y</v>
      </c>
      <c r="UHO1" s="154" t="str">
        <f t="shared" si="225"/>
        <v>y</v>
      </c>
      <c r="UHP1" s="154" t="str">
        <f t="shared" si="225"/>
        <v>y</v>
      </c>
      <c r="UHQ1" s="154" t="str">
        <f t="shared" si="225"/>
        <v>y</v>
      </c>
      <c r="UHR1" s="154" t="str">
        <f t="shared" si="225"/>
        <v>y</v>
      </c>
      <c r="UHS1" s="154" t="str">
        <f t="shared" si="225"/>
        <v>y</v>
      </c>
      <c r="UHT1" s="154" t="str">
        <f t="shared" si="225"/>
        <v>y</v>
      </c>
      <c r="UHU1" s="154" t="str">
        <f t="shared" si="225"/>
        <v>y</v>
      </c>
      <c r="UHV1" s="154" t="str">
        <f t="shared" si="225"/>
        <v>y</v>
      </c>
      <c r="UHW1" s="154" t="str">
        <f t="shared" si="225"/>
        <v>y</v>
      </c>
      <c r="UHX1" s="154" t="str">
        <f t="shared" si="225"/>
        <v>y</v>
      </c>
      <c r="UHY1" s="154" t="str">
        <f t="shared" si="225"/>
        <v>y</v>
      </c>
      <c r="UHZ1" s="154" t="str">
        <f t="shared" si="225"/>
        <v>y</v>
      </c>
      <c r="UIA1" s="154" t="str">
        <f t="shared" si="225"/>
        <v>y</v>
      </c>
      <c r="UIB1" s="154" t="str">
        <f t="shared" si="225"/>
        <v>y</v>
      </c>
      <c r="UIC1" s="154" t="str">
        <f t="shared" si="225"/>
        <v>y</v>
      </c>
      <c r="UID1" s="154" t="str">
        <f t="shared" si="225"/>
        <v>y</v>
      </c>
      <c r="UIE1" s="154" t="str">
        <f t="shared" si="225"/>
        <v>y</v>
      </c>
      <c r="UIF1" s="154" t="str">
        <f t="shared" si="225"/>
        <v>y</v>
      </c>
      <c r="UIG1" s="154" t="str">
        <f t="shared" si="225"/>
        <v>y</v>
      </c>
      <c r="UIH1" s="154" t="str">
        <f t="shared" si="225"/>
        <v>y</v>
      </c>
      <c r="UII1" s="154" t="str">
        <f t="shared" si="225"/>
        <v>y</v>
      </c>
      <c r="UIJ1" s="154" t="str">
        <f t="shared" si="225"/>
        <v>y</v>
      </c>
      <c r="UIK1" s="154" t="str">
        <f t="shared" si="225"/>
        <v>y</v>
      </c>
      <c r="UIL1" s="154" t="str">
        <f t="shared" si="225"/>
        <v>y</v>
      </c>
      <c r="UIM1" s="154" t="str">
        <f t="shared" si="225"/>
        <v>y</v>
      </c>
      <c r="UIN1" s="154" t="str">
        <f t="shared" si="225"/>
        <v>y</v>
      </c>
      <c r="UIO1" s="154" t="str">
        <f t="shared" si="225"/>
        <v>y</v>
      </c>
      <c r="UIP1" s="154" t="str">
        <f t="shared" si="225"/>
        <v>y</v>
      </c>
      <c r="UIQ1" s="154" t="str">
        <f t="shared" si="225"/>
        <v>y</v>
      </c>
      <c r="UIR1" s="154" t="str">
        <f t="shared" si="225"/>
        <v>y</v>
      </c>
      <c r="UIS1" s="154" t="str">
        <f t="shared" si="225"/>
        <v>y</v>
      </c>
      <c r="UIT1" s="154" t="str">
        <f t="shared" si="225"/>
        <v>y</v>
      </c>
      <c r="UIU1" s="154" t="str">
        <f t="shared" si="225"/>
        <v>y</v>
      </c>
      <c r="UIV1" s="154" t="str">
        <f t="shared" si="225"/>
        <v>y</v>
      </c>
      <c r="UIW1" s="154" t="str">
        <f t="shared" si="225"/>
        <v>y</v>
      </c>
      <c r="UIX1" s="154" t="str">
        <f t="shared" si="225"/>
        <v>y</v>
      </c>
      <c r="UIY1" s="154" t="str">
        <f t="shared" si="225"/>
        <v>y</v>
      </c>
      <c r="UIZ1" s="154" t="str">
        <f t="shared" si="225"/>
        <v>y</v>
      </c>
      <c r="UJA1" s="154" t="str">
        <f t="shared" si="225"/>
        <v>y</v>
      </c>
      <c r="UJB1" s="154" t="str">
        <f t="shared" si="225"/>
        <v>y</v>
      </c>
      <c r="UJC1" s="154" t="str">
        <f t="shared" si="225"/>
        <v>y</v>
      </c>
      <c r="UJD1" s="154" t="str">
        <f t="shared" si="225"/>
        <v>y</v>
      </c>
      <c r="UJE1" s="154" t="str">
        <f t="shared" si="225"/>
        <v>y</v>
      </c>
      <c r="UJF1" s="154" t="str">
        <f t="shared" si="225"/>
        <v>y</v>
      </c>
      <c r="UJG1" s="154" t="str">
        <f t="shared" si="225"/>
        <v>y</v>
      </c>
      <c r="UJH1" s="154" t="str">
        <f t="shared" si="225"/>
        <v>y</v>
      </c>
      <c r="UJI1" s="154" t="str">
        <f t="shared" si="225"/>
        <v>y</v>
      </c>
      <c r="UJJ1" s="154" t="str">
        <f t="shared" si="225"/>
        <v>y</v>
      </c>
      <c r="UJK1" s="154" t="str">
        <f t="shared" si="225"/>
        <v>y</v>
      </c>
      <c r="UJL1" s="154" t="str">
        <f t="shared" ref="UJL1:ULW1" si="226">UJL2&amp;"y"</f>
        <v>y</v>
      </c>
      <c r="UJM1" s="154" t="str">
        <f t="shared" si="226"/>
        <v>y</v>
      </c>
      <c r="UJN1" s="154" t="str">
        <f t="shared" si="226"/>
        <v>y</v>
      </c>
      <c r="UJO1" s="154" t="str">
        <f t="shared" si="226"/>
        <v>y</v>
      </c>
      <c r="UJP1" s="154" t="str">
        <f t="shared" si="226"/>
        <v>y</v>
      </c>
      <c r="UJQ1" s="154" t="str">
        <f t="shared" si="226"/>
        <v>y</v>
      </c>
      <c r="UJR1" s="154" t="str">
        <f t="shared" si="226"/>
        <v>y</v>
      </c>
      <c r="UJS1" s="154" t="str">
        <f t="shared" si="226"/>
        <v>y</v>
      </c>
      <c r="UJT1" s="154" t="str">
        <f t="shared" si="226"/>
        <v>y</v>
      </c>
      <c r="UJU1" s="154" t="str">
        <f t="shared" si="226"/>
        <v>y</v>
      </c>
      <c r="UJV1" s="154" t="str">
        <f t="shared" si="226"/>
        <v>y</v>
      </c>
      <c r="UJW1" s="154" t="str">
        <f t="shared" si="226"/>
        <v>y</v>
      </c>
      <c r="UJX1" s="154" t="str">
        <f t="shared" si="226"/>
        <v>y</v>
      </c>
      <c r="UJY1" s="154" t="str">
        <f t="shared" si="226"/>
        <v>y</v>
      </c>
      <c r="UJZ1" s="154" t="str">
        <f t="shared" si="226"/>
        <v>y</v>
      </c>
      <c r="UKA1" s="154" t="str">
        <f t="shared" si="226"/>
        <v>y</v>
      </c>
      <c r="UKB1" s="154" t="str">
        <f t="shared" si="226"/>
        <v>y</v>
      </c>
      <c r="UKC1" s="154" t="str">
        <f t="shared" si="226"/>
        <v>y</v>
      </c>
      <c r="UKD1" s="154" t="str">
        <f t="shared" si="226"/>
        <v>y</v>
      </c>
      <c r="UKE1" s="154" t="str">
        <f t="shared" si="226"/>
        <v>y</v>
      </c>
      <c r="UKF1" s="154" t="str">
        <f t="shared" si="226"/>
        <v>y</v>
      </c>
      <c r="UKG1" s="154" t="str">
        <f t="shared" si="226"/>
        <v>y</v>
      </c>
      <c r="UKH1" s="154" t="str">
        <f t="shared" si="226"/>
        <v>y</v>
      </c>
      <c r="UKI1" s="154" t="str">
        <f t="shared" si="226"/>
        <v>y</v>
      </c>
      <c r="UKJ1" s="154" t="str">
        <f t="shared" si="226"/>
        <v>y</v>
      </c>
      <c r="UKK1" s="154" t="str">
        <f t="shared" si="226"/>
        <v>y</v>
      </c>
      <c r="UKL1" s="154" t="str">
        <f t="shared" si="226"/>
        <v>y</v>
      </c>
      <c r="UKM1" s="154" t="str">
        <f t="shared" si="226"/>
        <v>y</v>
      </c>
      <c r="UKN1" s="154" t="str">
        <f t="shared" si="226"/>
        <v>y</v>
      </c>
      <c r="UKO1" s="154" t="str">
        <f t="shared" si="226"/>
        <v>y</v>
      </c>
      <c r="UKP1" s="154" t="str">
        <f t="shared" si="226"/>
        <v>y</v>
      </c>
      <c r="UKQ1" s="154" t="str">
        <f t="shared" si="226"/>
        <v>y</v>
      </c>
      <c r="UKR1" s="154" t="str">
        <f t="shared" si="226"/>
        <v>y</v>
      </c>
      <c r="UKS1" s="154" t="str">
        <f t="shared" si="226"/>
        <v>y</v>
      </c>
      <c r="UKT1" s="154" t="str">
        <f t="shared" si="226"/>
        <v>y</v>
      </c>
      <c r="UKU1" s="154" t="str">
        <f t="shared" si="226"/>
        <v>y</v>
      </c>
      <c r="UKV1" s="154" t="str">
        <f t="shared" si="226"/>
        <v>y</v>
      </c>
      <c r="UKW1" s="154" t="str">
        <f t="shared" si="226"/>
        <v>y</v>
      </c>
      <c r="UKX1" s="154" t="str">
        <f t="shared" si="226"/>
        <v>y</v>
      </c>
      <c r="UKY1" s="154" t="str">
        <f t="shared" si="226"/>
        <v>y</v>
      </c>
      <c r="UKZ1" s="154" t="str">
        <f t="shared" si="226"/>
        <v>y</v>
      </c>
      <c r="ULA1" s="154" t="str">
        <f t="shared" si="226"/>
        <v>y</v>
      </c>
      <c r="ULB1" s="154" t="str">
        <f t="shared" si="226"/>
        <v>y</v>
      </c>
      <c r="ULC1" s="154" t="str">
        <f t="shared" si="226"/>
        <v>y</v>
      </c>
      <c r="ULD1" s="154" t="str">
        <f t="shared" si="226"/>
        <v>y</v>
      </c>
      <c r="ULE1" s="154" t="str">
        <f t="shared" si="226"/>
        <v>y</v>
      </c>
      <c r="ULF1" s="154" t="str">
        <f t="shared" si="226"/>
        <v>y</v>
      </c>
      <c r="ULG1" s="154" t="str">
        <f t="shared" si="226"/>
        <v>y</v>
      </c>
      <c r="ULH1" s="154" t="str">
        <f t="shared" si="226"/>
        <v>y</v>
      </c>
      <c r="ULI1" s="154" t="str">
        <f t="shared" si="226"/>
        <v>y</v>
      </c>
      <c r="ULJ1" s="154" t="str">
        <f t="shared" si="226"/>
        <v>y</v>
      </c>
      <c r="ULK1" s="154" t="str">
        <f t="shared" si="226"/>
        <v>y</v>
      </c>
      <c r="ULL1" s="154" t="str">
        <f t="shared" si="226"/>
        <v>y</v>
      </c>
      <c r="ULM1" s="154" t="str">
        <f t="shared" si="226"/>
        <v>y</v>
      </c>
      <c r="ULN1" s="154" t="str">
        <f t="shared" si="226"/>
        <v>y</v>
      </c>
      <c r="ULO1" s="154" t="str">
        <f t="shared" si="226"/>
        <v>y</v>
      </c>
      <c r="ULP1" s="154" t="str">
        <f t="shared" si="226"/>
        <v>y</v>
      </c>
      <c r="ULQ1" s="154" t="str">
        <f t="shared" si="226"/>
        <v>y</v>
      </c>
      <c r="ULR1" s="154" t="str">
        <f t="shared" si="226"/>
        <v>y</v>
      </c>
      <c r="ULS1" s="154" t="str">
        <f t="shared" si="226"/>
        <v>y</v>
      </c>
      <c r="ULT1" s="154" t="str">
        <f t="shared" si="226"/>
        <v>y</v>
      </c>
      <c r="ULU1" s="154" t="str">
        <f t="shared" si="226"/>
        <v>y</v>
      </c>
      <c r="ULV1" s="154" t="str">
        <f t="shared" si="226"/>
        <v>y</v>
      </c>
      <c r="ULW1" s="154" t="str">
        <f t="shared" si="226"/>
        <v>y</v>
      </c>
      <c r="ULX1" s="154" t="str">
        <f t="shared" ref="ULX1:UOI1" si="227">ULX2&amp;"y"</f>
        <v>y</v>
      </c>
      <c r="ULY1" s="154" t="str">
        <f t="shared" si="227"/>
        <v>y</v>
      </c>
      <c r="ULZ1" s="154" t="str">
        <f t="shared" si="227"/>
        <v>y</v>
      </c>
      <c r="UMA1" s="154" t="str">
        <f t="shared" si="227"/>
        <v>y</v>
      </c>
      <c r="UMB1" s="154" t="str">
        <f t="shared" si="227"/>
        <v>y</v>
      </c>
      <c r="UMC1" s="154" t="str">
        <f t="shared" si="227"/>
        <v>y</v>
      </c>
      <c r="UMD1" s="154" t="str">
        <f t="shared" si="227"/>
        <v>y</v>
      </c>
      <c r="UME1" s="154" t="str">
        <f t="shared" si="227"/>
        <v>y</v>
      </c>
      <c r="UMF1" s="154" t="str">
        <f t="shared" si="227"/>
        <v>y</v>
      </c>
      <c r="UMG1" s="154" t="str">
        <f t="shared" si="227"/>
        <v>y</v>
      </c>
      <c r="UMH1" s="154" t="str">
        <f t="shared" si="227"/>
        <v>y</v>
      </c>
      <c r="UMI1" s="154" t="str">
        <f t="shared" si="227"/>
        <v>y</v>
      </c>
      <c r="UMJ1" s="154" t="str">
        <f t="shared" si="227"/>
        <v>y</v>
      </c>
      <c r="UMK1" s="154" t="str">
        <f t="shared" si="227"/>
        <v>y</v>
      </c>
      <c r="UML1" s="154" t="str">
        <f t="shared" si="227"/>
        <v>y</v>
      </c>
      <c r="UMM1" s="154" t="str">
        <f t="shared" si="227"/>
        <v>y</v>
      </c>
      <c r="UMN1" s="154" t="str">
        <f t="shared" si="227"/>
        <v>y</v>
      </c>
      <c r="UMO1" s="154" t="str">
        <f t="shared" si="227"/>
        <v>y</v>
      </c>
      <c r="UMP1" s="154" t="str">
        <f t="shared" si="227"/>
        <v>y</v>
      </c>
      <c r="UMQ1" s="154" t="str">
        <f t="shared" si="227"/>
        <v>y</v>
      </c>
      <c r="UMR1" s="154" t="str">
        <f t="shared" si="227"/>
        <v>y</v>
      </c>
      <c r="UMS1" s="154" t="str">
        <f t="shared" si="227"/>
        <v>y</v>
      </c>
      <c r="UMT1" s="154" t="str">
        <f t="shared" si="227"/>
        <v>y</v>
      </c>
      <c r="UMU1" s="154" t="str">
        <f t="shared" si="227"/>
        <v>y</v>
      </c>
      <c r="UMV1" s="154" t="str">
        <f t="shared" si="227"/>
        <v>y</v>
      </c>
      <c r="UMW1" s="154" t="str">
        <f t="shared" si="227"/>
        <v>y</v>
      </c>
      <c r="UMX1" s="154" t="str">
        <f t="shared" si="227"/>
        <v>y</v>
      </c>
      <c r="UMY1" s="154" t="str">
        <f t="shared" si="227"/>
        <v>y</v>
      </c>
      <c r="UMZ1" s="154" t="str">
        <f t="shared" si="227"/>
        <v>y</v>
      </c>
      <c r="UNA1" s="154" t="str">
        <f t="shared" si="227"/>
        <v>y</v>
      </c>
      <c r="UNB1" s="154" t="str">
        <f t="shared" si="227"/>
        <v>y</v>
      </c>
      <c r="UNC1" s="154" t="str">
        <f t="shared" si="227"/>
        <v>y</v>
      </c>
      <c r="UND1" s="154" t="str">
        <f t="shared" si="227"/>
        <v>y</v>
      </c>
      <c r="UNE1" s="154" t="str">
        <f t="shared" si="227"/>
        <v>y</v>
      </c>
      <c r="UNF1" s="154" t="str">
        <f t="shared" si="227"/>
        <v>y</v>
      </c>
      <c r="UNG1" s="154" t="str">
        <f t="shared" si="227"/>
        <v>y</v>
      </c>
      <c r="UNH1" s="154" t="str">
        <f t="shared" si="227"/>
        <v>y</v>
      </c>
      <c r="UNI1" s="154" t="str">
        <f t="shared" si="227"/>
        <v>y</v>
      </c>
      <c r="UNJ1" s="154" t="str">
        <f t="shared" si="227"/>
        <v>y</v>
      </c>
      <c r="UNK1" s="154" t="str">
        <f t="shared" si="227"/>
        <v>y</v>
      </c>
      <c r="UNL1" s="154" t="str">
        <f t="shared" si="227"/>
        <v>y</v>
      </c>
      <c r="UNM1" s="154" t="str">
        <f t="shared" si="227"/>
        <v>y</v>
      </c>
      <c r="UNN1" s="154" t="str">
        <f t="shared" si="227"/>
        <v>y</v>
      </c>
      <c r="UNO1" s="154" t="str">
        <f t="shared" si="227"/>
        <v>y</v>
      </c>
      <c r="UNP1" s="154" t="str">
        <f t="shared" si="227"/>
        <v>y</v>
      </c>
      <c r="UNQ1" s="154" t="str">
        <f t="shared" si="227"/>
        <v>y</v>
      </c>
      <c r="UNR1" s="154" t="str">
        <f t="shared" si="227"/>
        <v>y</v>
      </c>
      <c r="UNS1" s="154" t="str">
        <f t="shared" si="227"/>
        <v>y</v>
      </c>
      <c r="UNT1" s="154" t="str">
        <f t="shared" si="227"/>
        <v>y</v>
      </c>
      <c r="UNU1" s="154" t="str">
        <f t="shared" si="227"/>
        <v>y</v>
      </c>
      <c r="UNV1" s="154" t="str">
        <f t="shared" si="227"/>
        <v>y</v>
      </c>
      <c r="UNW1" s="154" t="str">
        <f t="shared" si="227"/>
        <v>y</v>
      </c>
      <c r="UNX1" s="154" t="str">
        <f t="shared" si="227"/>
        <v>y</v>
      </c>
      <c r="UNY1" s="154" t="str">
        <f t="shared" si="227"/>
        <v>y</v>
      </c>
      <c r="UNZ1" s="154" t="str">
        <f t="shared" si="227"/>
        <v>y</v>
      </c>
      <c r="UOA1" s="154" t="str">
        <f t="shared" si="227"/>
        <v>y</v>
      </c>
      <c r="UOB1" s="154" t="str">
        <f t="shared" si="227"/>
        <v>y</v>
      </c>
      <c r="UOC1" s="154" t="str">
        <f t="shared" si="227"/>
        <v>y</v>
      </c>
      <c r="UOD1" s="154" t="str">
        <f t="shared" si="227"/>
        <v>y</v>
      </c>
      <c r="UOE1" s="154" t="str">
        <f t="shared" si="227"/>
        <v>y</v>
      </c>
      <c r="UOF1" s="154" t="str">
        <f t="shared" si="227"/>
        <v>y</v>
      </c>
      <c r="UOG1" s="154" t="str">
        <f t="shared" si="227"/>
        <v>y</v>
      </c>
      <c r="UOH1" s="154" t="str">
        <f t="shared" si="227"/>
        <v>y</v>
      </c>
      <c r="UOI1" s="154" t="str">
        <f t="shared" si="227"/>
        <v>y</v>
      </c>
      <c r="UOJ1" s="154" t="str">
        <f t="shared" ref="UOJ1:UQU1" si="228">UOJ2&amp;"y"</f>
        <v>y</v>
      </c>
      <c r="UOK1" s="154" t="str">
        <f t="shared" si="228"/>
        <v>y</v>
      </c>
      <c r="UOL1" s="154" t="str">
        <f t="shared" si="228"/>
        <v>y</v>
      </c>
      <c r="UOM1" s="154" t="str">
        <f t="shared" si="228"/>
        <v>y</v>
      </c>
      <c r="UON1" s="154" t="str">
        <f t="shared" si="228"/>
        <v>y</v>
      </c>
      <c r="UOO1" s="154" t="str">
        <f t="shared" si="228"/>
        <v>y</v>
      </c>
      <c r="UOP1" s="154" t="str">
        <f t="shared" si="228"/>
        <v>y</v>
      </c>
      <c r="UOQ1" s="154" t="str">
        <f t="shared" si="228"/>
        <v>y</v>
      </c>
      <c r="UOR1" s="154" t="str">
        <f t="shared" si="228"/>
        <v>y</v>
      </c>
      <c r="UOS1" s="154" t="str">
        <f t="shared" si="228"/>
        <v>y</v>
      </c>
      <c r="UOT1" s="154" t="str">
        <f t="shared" si="228"/>
        <v>y</v>
      </c>
      <c r="UOU1" s="154" t="str">
        <f t="shared" si="228"/>
        <v>y</v>
      </c>
      <c r="UOV1" s="154" t="str">
        <f t="shared" si="228"/>
        <v>y</v>
      </c>
      <c r="UOW1" s="154" t="str">
        <f t="shared" si="228"/>
        <v>y</v>
      </c>
      <c r="UOX1" s="154" t="str">
        <f t="shared" si="228"/>
        <v>y</v>
      </c>
      <c r="UOY1" s="154" t="str">
        <f t="shared" si="228"/>
        <v>y</v>
      </c>
      <c r="UOZ1" s="154" t="str">
        <f t="shared" si="228"/>
        <v>y</v>
      </c>
      <c r="UPA1" s="154" t="str">
        <f t="shared" si="228"/>
        <v>y</v>
      </c>
      <c r="UPB1" s="154" t="str">
        <f t="shared" si="228"/>
        <v>y</v>
      </c>
      <c r="UPC1" s="154" t="str">
        <f t="shared" si="228"/>
        <v>y</v>
      </c>
      <c r="UPD1" s="154" t="str">
        <f t="shared" si="228"/>
        <v>y</v>
      </c>
      <c r="UPE1" s="154" t="str">
        <f t="shared" si="228"/>
        <v>y</v>
      </c>
      <c r="UPF1" s="154" t="str">
        <f t="shared" si="228"/>
        <v>y</v>
      </c>
      <c r="UPG1" s="154" t="str">
        <f t="shared" si="228"/>
        <v>y</v>
      </c>
      <c r="UPH1" s="154" t="str">
        <f t="shared" si="228"/>
        <v>y</v>
      </c>
      <c r="UPI1" s="154" t="str">
        <f t="shared" si="228"/>
        <v>y</v>
      </c>
      <c r="UPJ1" s="154" t="str">
        <f t="shared" si="228"/>
        <v>y</v>
      </c>
      <c r="UPK1" s="154" t="str">
        <f t="shared" si="228"/>
        <v>y</v>
      </c>
      <c r="UPL1" s="154" t="str">
        <f t="shared" si="228"/>
        <v>y</v>
      </c>
      <c r="UPM1" s="154" t="str">
        <f t="shared" si="228"/>
        <v>y</v>
      </c>
      <c r="UPN1" s="154" t="str">
        <f t="shared" si="228"/>
        <v>y</v>
      </c>
      <c r="UPO1" s="154" t="str">
        <f t="shared" si="228"/>
        <v>y</v>
      </c>
      <c r="UPP1" s="154" t="str">
        <f t="shared" si="228"/>
        <v>y</v>
      </c>
      <c r="UPQ1" s="154" t="str">
        <f t="shared" si="228"/>
        <v>y</v>
      </c>
      <c r="UPR1" s="154" t="str">
        <f t="shared" si="228"/>
        <v>y</v>
      </c>
      <c r="UPS1" s="154" t="str">
        <f t="shared" si="228"/>
        <v>y</v>
      </c>
      <c r="UPT1" s="154" t="str">
        <f t="shared" si="228"/>
        <v>y</v>
      </c>
      <c r="UPU1" s="154" t="str">
        <f t="shared" si="228"/>
        <v>y</v>
      </c>
      <c r="UPV1" s="154" t="str">
        <f t="shared" si="228"/>
        <v>y</v>
      </c>
      <c r="UPW1" s="154" t="str">
        <f t="shared" si="228"/>
        <v>y</v>
      </c>
      <c r="UPX1" s="154" t="str">
        <f t="shared" si="228"/>
        <v>y</v>
      </c>
      <c r="UPY1" s="154" t="str">
        <f t="shared" si="228"/>
        <v>y</v>
      </c>
      <c r="UPZ1" s="154" t="str">
        <f t="shared" si="228"/>
        <v>y</v>
      </c>
      <c r="UQA1" s="154" t="str">
        <f t="shared" si="228"/>
        <v>y</v>
      </c>
      <c r="UQB1" s="154" t="str">
        <f t="shared" si="228"/>
        <v>y</v>
      </c>
      <c r="UQC1" s="154" t="str">
        <f t="shared" si="228"/>
        <v>y</v>
      </c>
      <c r="UQD1" s="154" t="str">
        <f t="shared" si="228"/>
        <v>y</v>
      </c>
      <c r="UQE1" s="154" t="str">
        <f t="shared" si="228"/>
        <v>y</v>
      </c>
      <c r="UQF1" s="154" t="str">
        <f t="shared" si="228"/>
        <v>y</v>
      </c>
      <c r="UQG1" s="154" t="str">
        <f t="shared" si="228"/>
        <v>y</v>
      </c>
      <c r="UQH1" s="154" t="str">
        <f t="shared" si="228"/>
        <v>y</v>
      </c>
      <c r="UQI1" s="154" t="str">
        <f t="shared" si="228"/>
        <v>y</v>
      </c>
      <c r="UQJ1" s="154" t="str">
        <f t="shared" si="228"/>
        <v>y</v>
      </c>
      <c r="UQK1" s="154" t="str">
        <f t="shared" si="228"/>
        <v>y</v>
      </c>
      <c r="UQL1" s="154" t="str">
        <f t="shared" si="228"/>
        <v>y</v>
      </c>
      <c r="UQM1" s="154" t="str">
        <f t="shared" si="228"/>
        <v>y</v>
      </c>
      <c r="UQN1" s="154" t="str">
        <f t="shared" si="228"/>
        <v>y</v>
      </c>
      <c r="UQO1" s="154" t="str">
        <f t="shared" si="228"/>
        <v>y</v>
      </c>
      <c r="UQP1" s="154" t="str">
        <f t="shared" si="228"/>
        <v>y</v>
      </c>
      <c r="UQQ1" s="154" t="str">
        <f t="shared" si="228"/>
        <v>y</v>
      </c>
      <c r="UQR1" s="154" t="str">
        <f t="shared" si="228"/>
        <v>y</v>
      </c>
      <c r="UQS1" s="154" t="str">
        <f t="shared" si="228"/>
        <v>y</v>
      </c>
      <c r="UQT1" s="154" t="str">
        <f t="shared" si="228"/>
        <v>y</v>
      </c>
      <c r="UQU1" s="154" t="str">
        <f t="shared" si="228"/>
        <v>y</v>
      </c>
      <c r="UQV1" s="154" t="str">
        <f t="shared" ref="UQV1:UTG1" si="229">UQV2&amp;"y"</f>
        <v>y</v>
      </c>
      <c r="UQW1" s="154" t="str">
        <f t="shared" si="229"/>
        <v>y</v>
      </c>
      <c r="UQX1" s="154" t="str">
        <f t="shared" si="229"/>
        <v>y</v>
      </c>
      <c r="UQY1" s="154" t="str">
        <f t="shared" si="229"/>
        <v>y</v>
      </c>
      <c r="UQZ1" s="154" t="str">
        <f t="shared" si="229"/>
        <v>y</v>
      </c>
      <c r="URA1" s="154" t="str">
        <f t="shared" si="229"/>
        <v>y</v>
      </c>
      <c r="URB1" s="154" t="str">
        <f t="shared" si="229"/>
        <v>y</v>
      </c>
      <c r="URC1" s="154" t="str">
        <f t="shared" si="229"/>
        <v>y</v>
      </c>
      <c r="URD1" s="154" t="str">
        <f t="shared" si="229"/>
        <v>y</v>
      </c>
      <c r="URE1" s="154" t="str">
        <f t="shared" si="229"/>
        <v>y</v>
      </c>
      <c r="URF1" s="154" t="str">
        <f t="shared" si="229"/>
        <v>y</v>
      </c>
      <c r="URG1" s="154" t="str">
        <f t="shared" si="229"/>
        <v>y</v>
      </c>
      <c r="URH1" s="154" t="str">
        <f t="shared" si="229"/>
        <v>y</v>
      </c>
      <c r="URI1" s="154" t="str">
        <f t="shared" si="229"/>
        <v>y</v>
      </c>
      <c r="URJ1" s="154" t="str">
        <f t="shared" si="229"/>
        <v>y</v>
      </c>
      <c r="URK1" s="154" t="str">
        <f t="shared" si="229"/>
        <v>y</v>
      </c>
      <c r="URL1" s="154" t="str">
        <f t="shared" si="229"/>
        <v>y</v>
      </c>
      <c r="URM1" s="154" t="str">
        <f t="shared" si="229"/>
        <v>y</v>
      </c>
      <c r="URN1" s="154" t="str">
        <f t="shared" si="229"/>
        <v>y</v>
      </c>
      <c r="URO1" s="154" t="str">
        <f t="shared" si="229"/>
        <v>y</v>
      </c>
      <c r="URP1" s="154" t="str">
        <f t="shared" si="229"/>
        <v>y</v>
      </c>
      <c r="URQ1" s="154" t="str">
        <f t="shared" si="229"/>
        <v>y</v>
      </c>
      <c r="URR1" s="154" t="str">
        <f t="shared" si="229"/>
        <v>y</v>
      </c>
      <c r="URS1" s="154" t="str">
        <f t="shared" si="229"/>
        <v>y</v>
      </c>
      <c r="URT1" s="154" t="str">
        <f t="shared" si="229"/>
        <v>y</v>
      </c>
      <c r="URU1" s="154" t="str">
        <f t="shared" si="229"/>
        <v>y</v>
      </c>
      <c r="URV1" s="154" t="str">
        <f t="shared" si="229"/>
        <v>y</v>
      </c>
      <c r="URW1" s="154" t="str">
        <f t="shared" si="229"/>
        <v>y</v>
      </c>
      <c r="URX1" s="154" t="str">
        <f t="shared" si="229"/>
        <v>y</v>
      </c>
      <c r="URY1" s="154" t="str">
        <f t="shared" si="229"/>
        <v>y</v>
      </c>
      <c r="URZ1" s="154" t="str">
        <f t="shared" si="229"/>
        <v>y</v>
      </c>
      <c r="USA1" s="154" t="str">
        <f t="shared" si="229"/>
        <v>y</v>
      </c>
      <c r="USB1" s="154" t="str">
        <f t="shared" si="229"/>
        <v>y</v>
      </c>
      <c r="USC1" s="154" t="str">
        <f t="shared" si="229"/>
        <v>y</v>
      </c>
      <c r="USD1" s="154" t="str">
        <f t="shared" si="229"/>
        <v>y</v>
      </c>
      <c r="USE1" s="154" t="str">
        <f t="shared" si="229"/>
        <v>y</v>
      </c>
      <c r="USF1" s="154" t="str">
        <f t="shared" si="229"/>
        <v>y</v>
      </c>
      <c r="USG1" s="154" t="str">
        <f t="shared" si="229"/>
        <v>y</v>
      </c>
      <c r="USH1" s="154" t="str">
        <f t="shared" si="229"/>
        <v>y</v>
      </c>
      <c r="USI1" s="154" t="str">
        <f t="shared" si="229"/>
        <v>y</v>
      </c>
      <c r="USJ1" s="154" t="str">
        <f t="shared" si="229"/>
        <v>y</v>
      </c>
      <c r="USK1" s="154" t="str">
        <f t="shared" si="229"/>
        <v>y</v>
      </c>
      <c r="USL1" s="154" t="str">
        <f t="shared" si="229"/>
        <v>y</v>
      </c>
      <c r="USM1" s="154" t="str">
        <f t="shared" si="229"/>
        <v>y</v>
      </c>
      <c r="USN1" s="154" t="str">
        <f t="shared" si="229"/>
        <v>y</v>
      </c>
      <c r="USO1" s="154" t="str">
        <f t="shared" si="229"/>
        <v>y</v>
      </c>
      <c r="USP1" s="154" t="str">
        <f t="shared" si="229"/>
        <v>y</v>
      </c>
      <c r="USQ1" s="154" t="str">
        <f t="shared" si="229"/>
        <v>y</v>
      </c>
      <c r="USR1" s="154" t="str">
        <f t="shared" si="229"/>
        <v>y</v>
      </c>
      <c r="USS1" s="154" t="str">
        <f t="shared" si="229"/>
        <v>y</v>
      </c>
      <c r="UST1" s="154" t="str">
        <f t="shared" si="229"/>
        <v>y</v>
      </c>
      <c r="USU1" s="154" t="str">
        <f t="shared" si="229"/>
        <v>y</v>
      </c>
      <c r="USV1" s="154" t="str">
        <f t="shared" si="229"/>
        <v>y</v>
      </c>
      <c r="USW1" s="154" t="str">
        <f t="shared" si="229"/>
        <v>y</v>
      </c>
      <c r="USX1" s="154" t="str">
        <f t="shared" si="229"/>
        <v>y</v>
      </c>
      <c r="USY1" s="154" t="str">
        <f t="shared" si="229"/>
        <v>y</v>
      </c>
      <c r="USZ1" s="154" t="str">
        <f t="shared" si="229"/>
        <v>y</v>
      </c>
      <c r="UTA1" s="154" t="str">
        <f t="shared" si="229"/>
        <v>y</v>
      </c>
      <c r="UTB1" s="154" t="str">
        <f t="shared" si="229"/>
        <v>y</v>
      </c>
      <c r="UTC1" s="154" t="str">
        <f t="shared" si="229"/>
        <v>y</v>
      </c>
      <c r="UTD1" s="154" t="str">
        <f t="shared" si="229"/>
        <v>y</v>
      </c>
      <c r="UTE1" s="154" t="str">
        <f t="shared" si="229"/>
        <v>y</v>
      </c>
      <c r="UTF1" s="154" t="str">
        <f t="shared" si="229"/>
        <v>y</v>
      </c>
      <c r="UTG1" s="154" t="str">
        <f t="shared" si="229"/>
        <v>y</v>
      </c>
      <c r="UTH1" s="154" t="str">
        <f t="shared" ref="UTH1:UVS1" si="230">UTH2&amp;"y"</f>
        <v>y</v>
      </c>
      <c r="UTI1" s="154" t="str">
        <f t="shared" si="230"/>
        <v>y</v>
      </c>
      <c r="UTJ1" s="154" t="str">
        <f t="shared" si="230"/>
        <v>y</v>
      </c>
      <c r="UTK1" s="154" t="str">
        <f t="shared" si="230"/>
        <v>y</v>
      </c>
      <c r="UTL1" s="154" t="str">
        <f t="shared" si="230"/>
        <v>y</v>
      </c>
      <c r="UTM1" s="154" t="str">
        <f t="shared" si="230"/>
        <v>y</v>
      </c>
      <c r="UTN1" s="154" t="str">
        <f t="shared" si="230"/>
        <v>y</v>
      </c>
      <c r="UTO1" s="154" t="str">
        <f t="shared" si="230"/>
        <v>y</v>
      </c>
      <c r="UTP1" s="154" t="str">
        <f t="shared" si="230"/>
        <v>y</v>
      </c>
      <c r="UTQ1" s="154" t="str">
        <f t="shared" si="230"/>
        <v>y</v>
      </c>
      <c r="UTR1" s="154" t="str">
        <f t="shared" si="230"/>
        <v>y</v>
      </c>
      <c r="UTS1" s="154" t="str">
        <f t="shared" si="230"/>
        <v>y</v>
      </c>
      <c r="UTT1" s="154" t="str">
        <f t="shared" si="230"/>
        <v>y</v>
      </c>
      <c r="UTU1" s="154" t="str">
        <f t="shared" si="230"/>
        <v>y</v>
      </c>
      <c r="UTV1" s="154" t="str">
        <f t="shared" si="230"/>
        <v>y</v>
      </c>
      <c r="UTW1" s="154" t="str">
        <f t="shared" si="230"/>
        <v>y</v>
      </c>
      <c r="UTX1" s="154" t="str">
        <f t="shared" si="230"/>
        <v>y</v>
      </c>
      <c r="UTY1" s="154" t="str">
        <f t="shared" si="230"/>
        <v>y</v>
      </c>
      <c r="UTZ1" s="154" t="str">
        <f t="shared" si="230"/>
        <v>y</v>
      </c>
      <c r="UUA1" s="154" t="str">
        <f t="shared" si="230"/>
        <v>y</v>
      </c>
      <c r="UUB1" s="154" t="str">
        <f t="shared" si="230"/>
        <v>y</v>
      </c>
      <c r="UUC1" s="154" t="str">
        <f t="shared" si="230"/>
        <v>y</v>
      </c>
      <c r="UUD1" s="154" t="str">
        <f t="shared" si="230"/>
        <v>y</v>
      </c>
      <c r="UUE1" s="154" t="str">
        <f t="shared" si="230"/>
        <v>y</v>
      </c>
      <c r="UUF1" s="154" t="str">
        <f t="shared" si="230"/>
        <v>y</v>
      </c>
      <c r="UUG1" s="154" t="str">
        <f t="shared" si="230"/>
        <v>y</v>
      </c>
      <c r="UUH1" s="154" t="str">
        <f t="shared" si="230"/>
        <v>y</v>
      </c>
      <c r="UUI1" s="154" t="str">
        <f t="shared" si="230"/>
        <v>y</v>
      </c>
      <c r="UUJ1" s="154" t="str">
        <f t="shared" si="230"/>
        <v>y</v>
      </c>
      <c r="UUK1" s="154" t="str">
        <f t="shared" si="230"/>
        <v>y</v>
      </c>
      <c r="UUL1" s="154" t="str">
        <f t="shared" si="230"/>
        <v>y</v>
      </c>
      <c r="UUM1" s="154" t="str">
        <f t="shared" si="230"/>
        <v>y</v>
      </c>
      <c r="UUN1" s="154" t="str">
        <f t="shared" si="230"/>
        <v>y</v>
      </c>
      <c r="UUO1" s="154" t="str">
        <f t="shared" si="230"/>
        <v>y</v>
      </c>
      <c r="UUP1" s="154" t="str">
        <f t="shared" si="230"/>
        <v>y</v>
      </c>
      <c r="UUQ1" s="154" t="str">
        <f t="shared" si="230"/>
        <v>y</v>
      </c>
      <c r="UUR1" s="154" t="str">
        <f t="shared" si="230"/>
        <v>y</v>
      </c>
      <c r="UUS1" s="154" t="str">
        <f t="shared" si="230"/>
        <v>y</v>
      </c>
      <c r="UUT1" s="154" t="str">
        <f t="shared" si="230"/>
        <v>y</v>
      </c>
      <c r="UUU1" s="154" t="str">
        <f t="shared" si="230"/>
        <v>y</v>
      </c>
      <c r="UUV1" s="154" t="str">
        <f t="shared" si="230"/>
        <v>y</v>
      </c>
      <c r="UUW1" s="154" t="str">
        <f t="shared" si="230"/>
        <v>y</v>
      </c>
      <c r="UUX1" s="154" t="str">
        <f t="shared" si="230"/>
        <v>y</v>
      </c>
      <c r="UUY1" s="154" t="str">
        <f t="shared" si="230"/>
        <v>y</v>
      </c>
      <c r="UUZ1" s="154" t="str">
        <f t="shared" si="230"/>
        <v>y</v>
      </c>
      <c r="UVA1" s="154" t="str">
        <f t="shared" si="230"/>
        <v>y</v>
      </c>
      <c r="UVB1" s="154" t="str">
        <f t="shared" si="230"/>
        <v>y</v>
      </c>
      <c r="UVC1" s="154" t="str">
        <f t="shared" si="230"/>
        <v>y</v>
      </c>
      <c r="UVD1" s="154" t="str">
        <f t="shared" si="230"/>
        <v>y</v>
      </c>
      <c r="UVE1" s="154" t="str">
        <f t="shared" si="230"/>
        <v>y</v>
      </c>
      <c r="UVF1" s="154" t="str">
        <f t="shared" si="230"/>
        <v>y</v>
      </c>
      <c r="UVG1" s="154" t="str">
        <f t="shared" si="230"/>
        <v>y</v>
      </c>
      <c r="UVH1" s="154" t="str">
        <f t="shared" si="230"/>
        <v>y</v>
      </c>
      <c r="UVI1" s="154" t="str">
        <f t="shared" si="230"/>
        <v>y</v>
      </c>
      <c r="UVJ1" s="154" t="str">
        <f t="shared" si="230"/>
        <v>y</v>
      </c>
      <c r="UVK1" s="154" t="str">
        <f t="shared" si="230"/>
        <v>y</v>
      </c>
      <c r="UVL1" s="154" t="str">
        <f t="shared" si="230"/>
        <v>y</v>
      </c>
      <c r="UVM1" s="154" t="str">
        <f t="shared" si="230"/>
        <v>y</v>
      </c>
      <c r="UVN1" s="154" t="str">
        <f t="shared" si="230"/>
        <v>y</v>
      </c>
      <c r="UVO1" s="154" t="str">
        <f t="shared" si="230"/>
        <v>y</v>
      </c>
      <c r="UVP1" s="154" t="str">
        <f t="shared" si="230"/>
        <v>y</v>
      </c>
      <c r="UVQ1" s="154" t="str">
        <f t="shared" si="230"/>
        <v>y</v>
      </c>
      <c r="UVR1" s="154" t="str">
        <f t="shared" si="230"/>
        <v>y</v>
      </c>
      <c r="UVS1" s="154" t="str">
        <f t="shared" si="230"/>
        <v>y</v>
      </c>
      <c r="UVT1" s="154" t="str">
        <f t="shared" ref="UVT1:UYE1" si="231">UVT2&amp;"y"</f>
        <v>y</v>
      </c>
      <c r="UVU1" s="154" t="str">
        <f t="shared" si="231"/>
        <v>y</v>
      </c>
      <c r="UVV1" s="154" t="str">
        <f t="shared" si="231"/>
        <v>y</v>
      </c>
      <c r="UVW1" s="154" t="str">
        <f t="shared" si="231"/>
        <v>y</v>
      </c>
      <c r="UVX1" s="154" t="str">
        <f t="shared" si="231"/>
        <v>y</v>
      </c>
      <c r="UVY1" s="154" t="str">
        <f t="shared" si="231"/>
        <v>y</v>
      </c>
      <c r="UVZ1" s="154" t="str">
        <f t="shared" si="231"/>
        <v>y</v>
      </c>
      <c r="UWA1" s="154" t="str">
        <f t="shared" si="231"/>
        <v>y</v>
      </c>
      <c r="UWB1" s="154" t="str">
        <f t="shared" si="231"/>
        <v>y</v>
      </c>
      <c r="UWC1" s="154" t="str">
        <f t="shared" si="231"/>
        <v>y</v>
      </c>
      <c r="UWD1" s="154" t="str">
        <f t="shared" si="231"/>
        <v>y</v>
      </c>
      <c r="UWE1" s="154" t="str">
        <f t="shared" si="231"/>
        <v>y</v>
      </c>
      <c r="UWF1" s="154" t="str">
        <f t="shared" si="231"/>
        <v>y</v>
      </c>
      <c r="UWG1" s="154" t="str">
        <f t="shared" si="231"/>
        <v>y</v>
      </c>
      <c r="UWH1" s="154" t="str">
        <f t="shared" si="231"/>
        <v>y</v>
      </c>
      <c r="UWI1" s="154" t="str">
        <f t="shared" si="231"/>
        <v>y</v>
      </c>
      <c r="UWJ1" s="154" t="str">
        <f t="shared" si="231"/>
        <v>y</v>
      </c>
      <c r="UWK1" s="154" t="str">
        <f t="shared" si="231"/>
        <v>y</v>
      </c>
      <c r="UWL1" s="154" t="str">
        <f t="shared" si="231"/>
        <v>y</v>
      </c>
      <c r="UWM1" s="154" t="str">
        <f t="shared" si="231"/>
        <v>y</v>
      </c>
      <c r="UWN1" s="154" t="str">
        <f t="shared" si="231"/>
        <v>y</v>
      </c>
      <c r="UWO1" s="154" t="str">
        <f t="shared" si="231"/>
        <v>y</v>
      </c>
      <c r="UWP1" s="154" t="str">
        <f t="shared" si="231"/>
        <v>y</v>
      </c>
      <c r="UWQ1" s="154" t="str">
        <f t="shared" si="231"/>
        <v>y</v>
      </c>
      <c r="UWR1" s="154" t="str">
        <f t="shared" si="231"/>
        <v>y</v>
      </c>
      <c r="UWS1" s="154" t="str">
        <f t="shared" si="231"/>
        <v>y</v>
      </c>
      <c r="UWT1" s="154" t="str">
        <f t="shared" si="231"/>
        <v>y</v>
      </c>
      <c r="UWU1" s="154" t="str">
        <f t="shared" si="231"/>
        <v>y</v>
      </c>
      <c r="UWV1" s="154" t="str">
        <f t="shared" si="231"/>
        <v>y</v>
      </c>
      <c r="UWW1" s="154" t="str">
        <f t="shared" si="231"/>
        <v>y</v>
      </c>
      <c r="UWX1" s="154" t="str">
        <f t="shared" si="231"/>
        <v>y</v>
      </c>
      <c r="UWY1" s="154" t="str">
        <f t="shared" si="231"/>
        <v>y</v>
      </c>
      <c r="UWZ1" s="154" t="str">
        <f t="shared" si="231"/>
        <v>y</v>
      </c>
      <c r="UXA1" s="154" t="str">
        <f t="shared" si="231"/>
        <v>y</v>
      </c>
      <c r="UXB1" s="154" t="str">
        <f t="shared" si="231"/>
        <v>y</v>
      </c>
      <c r="UXC1" s="154" t="str">
        <f t="shared" si="231"/>
        <v>y</v>
      </c>
      <c r="UXD1" s="154" t="str">
        <f t="shared" si="231"/>
        <v>y</v>
      </c>
      <c r="UXE1" s="154" t="str">
        <f t="shared" si="231"/>
        <v>y</v>
      </c>
      <c r="UXF1" s="154" t="str">
        <f t="shared" si="231"/>
        <v>y</v>
      </c>
      <c r="UXG1" s="154" t="str">
        <f t="shared" si="231"/>
        <v>y</v>
      </c>
      <c r="UXH1" s="154" t="str">
        <f t="shared" si="231"/>
        <v>y</v>
      </c>
      <c r="UXI1" s="154" t="str">
        <f t="shared" si="231"/>
        <v>y</v>
      </c>
      <c r="UXJ1" s="154" t="str">
        <f t="shared" si="231"/>
        <v>y</v>
      </c>
      <c r="UXK1" s="154" t="str">
        <f t="shared" si="231"/>
        <v>y</v>
      </c>
      <c r="UXL1" s="154" t="str">
        <f t="shared" si="231"/>
        <v>y</v>
      </c>
      <c r="UXM1" s="154" t="str">
        <f t="shared" si="231"/>
        <v>y</v>
      </c>
      <c r="UXN1" s="154" t="str">
        <f t="shared" si="231"/>
        <v>y</v>
      </c>
      <c r="UXO1" s="154" t="str">
        <f t="shared" si="231"/>
        <v>y</v>
      </c>
      <c r="UXP1" s="154" t="str">
        <f t="shared" si="231"/>
        <v>y</v>
      </c>
      <c r="UXQ1" s="154" t="str">
        <f t="shared" si="231"/>
        <v>y</v>
      </c>
      <c r="UXR1" s="154" t="str">
        <f t="shared" si="231"/>
        <v>y</v>
      </c>
      <c r="UXS1" s="154" t="str">
        <f t="shared" si="231"/>
        <v>y</v>
      </c>
      <c r="UXT1" s="154" t="str">
        <f t="shared" si="231"/>
        <v>y</v>
      </c>
      <c r="UXU1" s="154" t="str">
        <f t="shared" si="231"/>
        <v>y</v>
      </c>
      <c r="UXV1" s="154" t="str">
        <f t="shared" si="231"/>
        <v>y</v>
      </c>
      <c r="UXW1" s="154" t="str">
        <f t="shared" si="231"/>
        <v>y</v>
      </c>
      <c r="UXX1" s="154" t="str">
        <f t="shared" si="231"/>
        <v>y</v>
      </c>
      <c r="UXY1" s="154" t="str">
        <f t="shared" si="231"/>
        <v>y</v>
      </c>
      <c r="UXZ1" s="154" t="str">
        <f t="shared" si="231"/>
        <v>y</v>
      </c>
      <c r="UYA1" s="154" t="str">
        <f t="shared" si="231"/>
        <v>y</v>
      </c>
      <c r="UYB1" s="154" t="str">
        <f t="shared" si="231"/>
        <v>y</v>
      </c>
      <c r="UYC1" s="154" t="str">
        <f t="shared" si="231"/>
        <v>y</v>
      </c>
      <c r="UYD1" s="154" t="str">
        <f t="shared" si="231"/>
        <v>y</v>
      </c>
      <c r="UYE1" s="154" t="str">
        <f t="shared" si="231"/>
        <v>y</v>
      </c>
      <c r="UYF1" s="154" t="str">
        <f t="shared" ref="UYF1:VAQ1" si="232">UYF2&amp;"y"</f>
        <v>y</v>
      </c>
      <c r="UYG1" s="154" t="str">
        <f t="shared" si="232"/>
        <v>y</v>
      </c>
      <c r="UYH1" s="154" t="str">
        <f t="shared" si="232"/>
        <v>y</v>
      </c>
      <c r="UYI1" s="154" t="str">
        <f t="shared" si="232"/>
        <v>y</v>
      </c>
      <c r="UYJ1" s="154" t="str">
        <f t="shared" si="232"/>
        <v>y</v>
      </c>
      <c r="UYK1" s="154" t="str">
        <f t="shared" si="232"/>
        <v>y</v>
      </c>
      <c r="UYL1" s="154" t="str">
        <f t="shared" si="232"/>
        <v>y</v>
      </c>
      <c r="UYM1" s="154" t="str">
        <f t="shared" si="232"/>
        <v>y</v>
      </c>
      <c r="UYN1" s="154" t="str">
        <f t="shared" si="232"/>
        <v>y</v>
      </c>
      <c r="UYO1" s="154" t="str">
        <f t="shared" si="232"/>
        <v>y</v>
      </c>
      <c r="UYP1" s="154" t="str">
        <f t="shared" si="232"/>
        <v>y</v>
      </c>
      <c r="UYQ1" s="154" t="str">
        <f t="shared" si="232"/>
        <v>y</v>
      </c>
      <c r="UYR1" s="154" t="str">
        <f t="shared" si="232"/>
        <v>y</v>
      </c>
      <c r="UYS1" s="154" t="str">
        <f t="shared" si="232"/>
        <v>y</v>
      </c>
      <c r="UYT1" s="154" t="str">
        <f t="shared" si="232"/>
        <v>y</v>
      </c>
      <c r="UYU1" s="154" t="str">
        <f t="shared" si="232"/>
        <v>y</v>
      </c>
      <c r="UYV1" s="154" t="str">
        <f t="shared" si="232"/>
        <v>y</v>
      </c>
      <c r="UYW1" s="154" t="str">
        <f t="shared" si="232"/>
        <v>y</v>
      </c>
      <c r="UYX1" s="154" t="str">
        <f t="shared" si="232"/>
        <v>y</v>
      </c>
      <c r="UYY1" s="154" t="str">
        <f t="shared" si="232"/>
        <v>y</v>
      </c>
      <c r="UYZ1" s="154" t="str">
        <f t="shared" si="232"/>
        <v>y</v>
      </c>
      <c r="UZA1" s="154" t="str">
        <f t="shared" si="232"/>
        <v>y</v>
      </c>
      <c r="UZB1" s="154" t="str">
        <f t="shared" si="232"/>
        <v>y</v>
      </c>
      <c r="UZC1" s="154" t="str">
        <f t="shared" si="232"/>
        <v>y</v>
      </c>
      <c r="UZD1" s="154" t="str">
        <f t="shared" si="232"/>
        <v>y</v>
      </c>
      <c r="UZE1" s="154" t="str">
        <f t="shared" si="232"/>
        <v>y</v>
      </c>
      <c r="UZF1" s="154" t="str">
        <f t="shared" si="232"/>
        <v>y</v>
      </c>
      <c r="UZG1" s="154" t="str">
        <f t="shared" si="232"/>
        <v>y</v>
      </c>
      <c r="UZH1" s="154" t="str">
        <f t="shared" si="232"/>
        <v>y</v>
      </c>
      <c r="UZI1" s="154" t="str">
        <f t="shared" si="232"/>
        <v>y</v>
      </c>
      <c r="UZJ1" s="154" t="str">
        <f t="shared" si="232"/>
        <v>y</v>
      </c>
      <c r="UZK1" s="154" t="str">
        <f t="shared" si="232"/>
        <v>y</v>
      </c>
      <c r="UZL1" s="154" t="str">
        <f t="shared" si="232"/>
        <v>y</v>
      </c>
      <c r="UZM1" s="154" t="str">
        <f t="shared" si="232"/>
        <v>y</v>
      </c>
      <c r="UZN1" s="154" t="str">
        <f t="shared" si="232"/>
        <v>y</v>
      </c>
      <c r="UZO1" s="154" t="str">
        <f t="shared" si="232"/>
        <v>y</v>
      </c>
      <c r="UZP1" s="154" t="str">
        <f t="shared" si="232"/>
        <v>y</v>
      </c>
      <c r="UZQ1" s="154" t="str">
        <f t="shared" si="232"/>
        <v>y</v>
      </c>
      <c r="UZR1" s="154" t="str">
        <f t="shared" si="232"/>
        <v>y</v>
      </c>
      <c r="UZS1" s="154" t="str">
        <f t="shared" si="232"/>
        <v>y</v>
      </c>
      <c r="UZT1" s="154" t="str">
        <f t="shared" si="232"/>
        <v>y</v>
      </c>
      <c r="UZU1" s="154" t="str">
        <f t="shared" si="232"/>
        <v>y</v>
      </c>
      <c r="UZV1" s="154" t="str">
        <f t="shared" si="232"/>
        <v>y</v>
      </c>
      <c r="UZW1" s="154" t="str">
        <f t="shared" si="232"/>
        <v>y</v>
      </c>
      <c r="UZX1" s="154" t="str">
        <f t="shared" si="232"/>
        <v>y</v>
      </c>
      <c r="UZY1" s="154" t="str">
        <f t="shared" si="232"/>
        <v>y</v>
      </c>
      <c r="UZZ1" s="154" t="str">
        <f t="shared" si="232"/>
        <v>y</v>
      </c>
      <c r="VAA1" s="154" t="str">
        <f t="shared" si="232"/>
        <v>y</v>
      </c>
      <c r="VAB1" s="154" t="str">
        <f t="shared" si="232"/>
        <v>y</v>
      </c>
      <c r="VAC1" s="154" t="str">
        <f t="shared" si="232"/>
        <v>y</v>
      </c>
      <c r="VAD1" s="154" t="str">
        <f t="shared" si="232"/>
        <v>y</v>
      </c>
      <c r="VAE1" s="154" t="str">
        <f t="shared" si="232"/>
        <v>y</v>
      </c>
      <c r="VAF1" s="154" t="str">
        <f t="shared" si="232"/>
        <v>y</v>
      </c>
      <c r="VAG1" s="154" t="str">
        <f t="shared" si="232"/>
        <v>y</v>
      </c>
      <c r="VAH1" s="154" t="str">
        <f t="shared" si="232"/>
        <v>y</v>
      </c>
      <c r="VAI1" s="154" t="str">
        <f t="shared" si="232"/>
        <v>y</v>
      </c>
      <c r="VAJ1" s="154" t="str">
        <f t="shared" si="232"/>
        <v>y</v>
      </c>
      <c r="VAK1" s="154" t="str">
        <f t="shared" si="232"/>
        <v>y</v>
      </c>
      <c r="VAL1" s="154" t="str">
        <f t="shared" si="232"/>
        <v>y</v>
      </c>
      <c r="VAM1" s="154" t="str">
        <f t="shared" si="232"/>
        <v>y</v>
      </c>
      <c r="VAN1" s="154" t="str">
        <f t="shared" si="232"/>
        <v>y</v>
      </c>
      <c r="VAO1" s="154" t="str">
        <f t="shared" si="232"/>
        <v>y</v>
      </c>
      <c r="VAP1" s="154" t="str">
        <f t="shared" si="232"/>
        <v>y</v>
      </c>
      <c r="VAQ1" s="154" t="str">
        <f t="shared" si="232"/>
        <v>y</v>
      </c>
      <c r="VAR1" s="154" t="str">
        <f t="shared" ref="VAR1:VDC1" si="233">VAR2&amp;"y"</f>
        <v>y</v>
      </c>
      <c r="VAS1" s="154" t="str">
        <f t="shared" si="233"/>
        <v>y</v>
      </c>
      <c r="VAT1" s="154" t="str">
        <f t="shared" si="233"/>
        <v>y</v>
      </c>
      <c r="VAU1" s="154" t="str">
        <f t="shared" si="233"/>
        <v>y</v>
      </c>
      <c r="VAV1" s="154" t="str">
        <f t="shared" si="233"/>
        <v>y</v>
      </c>
      <c r="VAW1" s="154" t="str">
        <f t="shared" si="233"/>
        <v>y</v>
      </c>
      <c r="VAX1" s="154" t="str">
        <f t="shared" si="233"/>
        <v>y</v>
      </c>
      <c r="VAY1" s="154" t="str">
        <f t="shared" si="233"/>
        <v>y</v>
      </c>
      <c r="VAZ1" s="154" t="str">
        <f t="shared" si="233"/>
        <v>y</v>
      </c>
      <c r="VBA1" s="154" t="str">
        <f t="shared" si="233"/>
        <v>y</v>
      </c>
      <c r="VBB1" s="154" t="str">
        <f t="shared" si="233"/>
        <v>y</v>
      </c>
      <c r="VBC1" s="154" t="str">
        <f t="shared" si="233"/>
        <v>y</v>
      </c>
      <c r="VBD1" s="154" t="str">
        <f t="shared" si="233"/>
        <v>y</v>
      </c>
      <c r="VBE1" s="154" t="str">
        <f t="shared" si="233"/>
        <v>y</v>
      </c>
      <c r="VBF1" s="154" t="str">
        <f t="shared" si="233"/>
        <v>y</v>
      </c>
      <c r="VBG1" s="154" t="str">
        <f t="shared" si="233"/>
        <v>y</v>
      </c>
      <c r="VBH1" s="154" t="str">
        <f t="shared" si="233"/>
        <v>y</v>
      </c>
      <c r="VBI1" s="154" t="str">
        <f t="shared" si="233"/>
        <v>y</v>
      </c>
      <c r="VBJ1" s="154" t="str">
        <f t="shared" si="233"/>
        <v>y</v>
      </c>
      <c r="VBK1" s="154" t="str">
        <f t="shared" si="233"/>
        <v>y</v>
      </c>
      <c r="VBL1" s="154" t="str">
        <f t="shared" si="233"/>
        <v>y</v>
      </c>
      <c r="VBM1" s="154" t="str">
        <f t="shared" si="233"/>
        <v>y</v>
      </c>
      <c r="VBN1" s="154" t="str">
        <f t="shared" si="233"/>
        <v>y</v>
      </c>
      <c r="VBO1" s="154" t="str">
        <f t="shared" si="233"/>
        <v>y</v>
      </c>
      <c r="VBP1" s="154" t="str">
        <f t="shared" si="233"/>
        <v>y</v>
      </c>
      <c r="VBQ1" s="154" t="str">
        <f t="shared" si="233"/>
        <v>y</v>
      </c>
      <c r="VBR1" s="154" t="str">
        <f t="shared" si="233"/>
        <v>y</v>
      </c>
      <c r="VBS1" s="154" t="str">
        <f t="shared" si="233"/>
        <v>y</v>
      </c>
      <c r="VBT1" s="154" t="str">
        <f t="shared" si="233"/>
        <v>y</v>
      </c>
      <c r="VBU1" s="154" t="str">
        <f t="shared" si="233"/>
        <v>y</v>
      </c>
      <c r="VBV1" s="154" t="str">
        <f t="shared" si="233"/>
        <v>y</v>
      </c>
      <c r="VBW1" s="154" t="str">
        <f t="shared" si="233"/>
        <v>y</v>
      </c>
      <c r="VBX1" s="154" t="str">
        <f t="shared" si="233"/>
        <v>y</v>
      </c>
      <c r="VBY1" s="154" t="str">
        <f t="shared" si="233"/>
        <v>y</v>
      </c>
      <c r="VBZ1" s="154" t="str">
        <f t="shared" si="233"/>
        <v>y</v>
      </c>
      <c r="VCA1" s="154" t="str">
        <f t="shared" si="233"/>
        <v>y</v>
      </c>
      <c r="VCB1" s="154" t="str">
        <f t="shared" si="233"/>
        <v>y</v>
      </c>
      <c r="VCC1" s="154" t="str">
        <f t="shared" si="233"/>
        <v>y</v>
      </c>
      <c r="VCD1" s="154" t="str">
        <f t="shared" si="233"/>
        <v>y</v>
      </c>
      <c r="VCE1" s="154" t="str">
        <f t="shared" si="233"/>
        <v>y</v>
      </c>
      <c r="VCF1" s="154" t="str">
        <f t="shared" si="233"/>
        <v>y</v>
      </c>
      <c r="VCG1" s="154" t="str">
        <f t="shared" si="233"/>
        <v>y</v>
      </c>
      <c r="VCH1" s="154" t="str">
        <f t="shared" si="233"/>
        <v>y</v>
      </c>
      <c r="VCI1" s="154" t="str">
        <f t="shared" si="233"/>
        <v>y</v>
      </c>
      <c r="VCJ1" s="154" t="str">
        <f t="shared" si="233"/>
        <v>y</v>
      </c>
      <c r="VCK1" s="154" t="str">
        <f t="shared" si="233"/>
        <v>y</v>
      </c>
      <c r="VCL1" s="154" t="str">
        <f t="shared" si="233"/>
        <v>y</v>
      </c>
      <c r="VCM1" s="154" t="str">
        <f t="shared" si="233"/>
        <v>y</v>
      </c>
      <c r="VCN1" s="154" t="str">
        <f t="shared" si="233"/>
        <v>y</v>
      </c>
      <c r="VCO1" s="154" t="str">
        <f t="shared" si="233"/>
        <v>y</v>
      </c>
      <c r="VCP1" s="154" t="str">
        <f t="shared" si="233"/>
        <v>y</v>
      </c>
      <c r="VCQ1" s="154" t="str">
        <f t="shared" si="233"/>
        <v>y</v>
      </c>
      <c r="VCR1" s="154" t="str">
        <f t="shared" si="233"/>
        <v>y</v>
      </c>
      <c r="VCS1" s="154" t="str">
        <f t="shared" si="233"/>
        <v>y</v>
      </c>
      <c r="VCT1" s="154" t="str">
        <f t="shared" si="233"/>
        <v>y</v>
      </c>
      <c r="VCU1" s="154" t="str">
        <f t="shared" si="233"/>
        <v>y</v>
      </c>
      <c r="VCV1" s="154" t="str">
        <f t="shared" si="233"/>
        <v>y</v>
      </c>
      <c r="VCW1" s="154" t="str">
        <f t="shared" si="233"/>
        <v>y</v>
      </c>
      <c r="VCX1" s="154" t="str">
        <f t="shared" si="233"/>
        <v>y</v>
      </c>
      <c r="VCY1" s="154" t="str">
        <f t="shared" si="233"/>
        <v>y</v>
      </c>
      <c r="VCZ1" s="154" t="str">
        <f t="shared" si="233"/>
        <v>y</v>
      </c>
      <c r="VDA1" s="154" t="str">
        <f t="shared" si="233"/>
        <v>y</v>
      </c>
      <c r="VDB1" s="154" t="str">
        <f t="shared" si="233"/>
        <v>y</v>
      </c>
      <c r="VDC1" s="154" t="str">
        <f t="shared" si="233"/>
        <v>y</v>
      </c>
      <c r="VDD1" s="154" t="str">
        <f t="shared" ref="VDD1:VFO1" si="234">VDD2&amp;"y"</f>
        <v>y</v>
      </c>
      <c r="VDE1" s="154" t="str">
        <f t="shared" si="234"/>
        <v>y</v>
      </c>
      <c r="VDF1" s="154" t="str">
        <f t="shared" si="234"/>
        <v>y</v>
      </c>
      <c r="VDG1" s="154" t="str">
        <f t="shared" si="234"/>
        <v>y</v>
      </c>
      <c r="VDH1" s="154" t="str">
        <f t="shared" si="234"/>
        <v>y</v>
      </c>
      <c r="VDI1" s="154" t="str">
        <f t="shared" si="234"/>
        <v>y</v>
      </c>
      <c r="VDJ1" s="154" t="str">
        <f t="shared" si="234"/>
        <v>y</v>
      </c>
      <c r="VDK1" s="154" t="str">
        <f t="shared" si="234"/>
        <v>y</v>
      </c>
      <c r="VDL1" s="154" t="str">
        <f t="shared" si="234"/>
        <v>y</v>
      </c>
      <c r="VDM1" s="154" t="str">
        <f t="shared" si="234"/>
        <v>y</v>
      </c>
      <c r="VDN1" s="154" t="str">
        <f t="shared" si="234"/>
        <v>y</v>
      </c>
      <c r="VDO1" s="154" t="str">
        <f t="shared" si="234"/>
        <v>y</v>
      </c>
      <c r="VDP1" s="154" t="str">
        <f t="shared" si="234"/>
        <v>y</v>
      </c>
      <c r="VDQ1" s="154" t="str">
        <f t="shared" si="234"/>
        <v>y</v>
      </c>
      <c r="VDR1" s="154" t="str">
        <f t="shared" si="234"/>
        <v>y</v>
      </c>
      <c r="VDS1" s="154" t="str">
        <f t="shared" si="234"/>
        <v>y</v>
      </c>
      <c r="VDT1" s="154" t="str">
        <f t="shared" si="234"/>
        <v>y</v>
      </c>
      <c r="VDU1" s="154" t="str">
        <f t="shared" si="234"/>
        <v>y</v>
      </c>
      <c r="VDV1" s="154" t="str">
        <f t="shared" si="234"/>
        <v>y</v>
      </c>
      <c r="VDW1" s="154" t="str">
        <f t="shared" si="234"/>
        <v>y</v>
      </c>
      <c r="VDX1" s="154" t="str">
        <f t="shared" si="234"/>
        <v>y</v>
      </c>
      <c r="VDY1" s="154" t="str">
        <f t="shared" si="234"/>
        <v>y</v>
      </c>
      <c r="VDZ1" s="154" t="str">
        <f t="shared" si="234"/>
        <v>y</v>
      </c>
      <c r="VEA1" s="154" t="str">
        <f t="shared" si="234"/>
        <v>y</v>
      </c>
      <c r="VEB1" s="154" t="str">
        <f t="shared" si="234"/>
        <v>y</v>
      </c>
      <c r="VEC1" s="154" t="str">
        <f t="shared" si="234"/>
        <v>y</v>
      </c>
      <c r="VED1" s="154" t="str">
        <f t="shared" si="234"/>
        <v>y</v>
      </c>
      <c r="VEE1" s="154" t="str">
        <f t="shared" si="234"/>
        <v>y</v>
      </c>
      <c r="VEF1" s="154" t="str">
        <f t="shared" si="234"/>
        <v>y</v>
      </c>
      <c r="VEG1" s="154" t="str">
        <f t="shared" si="234"/>
        <v>y</v>
      </c>
      <c r="VEH1" s="154" t="str">
        <f t="shared" si="234"/>
        <v>y</v>
      </c>
      <c r="VEI1" s="154" t="str">
        <f t="shared" si="234"/>
        <v>y</v>
      </c>
      <c r="VEJ1" s="154" t="str">
        <f t="shared" si="234"/>
        <v>y</v>
      </c>
      <c r="VEK1" s="154" t="str">
        <f t="shared" si="234"/>
        <v>y</v>
      </c>
      <c r="VEL1" s="154" t="str">
        <f t="shared" si="234"/>
        <v>y</v>
      </c>
      <c r="VEM1" s="154" t="str">
        <f t="shared" si="234"/>
        <v>y</v>
      </c>
      <c r="VEN1" s="154" t="str">
        <f t="shared" si="234"/>
        <v>y</v>
      </c>
      <c r="VEO1" s="154" t="str">
        <f t="shared" si="234"/>
        <v>y</v>
      </c>
      <c r="VEP1" s="154" t="str">
        <f t="shared" si="234"/>
        <v>y</v>
      </c>
      <c r="VEQ1" s="154" t="str">
        <f t="shared" si="234"/>
        <v>y</v>
      </c>
      <c r="VER1" s="154" t="str">
        <f t="shared" si="234"/>
        <v>y</v>
      </c>
      <c r="VES1" s="154" t="str">
        <f t="shared" si="234"/>
        <v>y</v>
      </c>
      <c r="VET1" s="154" t="str">
        <f t="shared" si="234"/>
        <v>y</v>
      </c>
      <c r="VEU1" s="154" t="str">
        <f t="shared" si="234"/>
        <v>y</v>
      </c>
      <c r="VEV1" s="154" t="str">
        <f t="shared" si="234"/>
        <v>y</v>
      </c>
      <c r="VEW1" s="154" t="str">
        <f t="shared" si="234"/>
        <v>y</v>
      </c>
      <c r="VEX1" s="154" t="str">
        <f t="shared" si="234"/>
        <v>y</v>
      </c>
      <c r="VEY1" s="154" t="str">
        <f t="shared" si="234"/>
        <v>y</v>
      </c>
      <c r="VEZ1" s="154" t="str">
        <f t="shared" si="234"/>
        <v>y</v>
      </c>
      <c r="VFA1" s="154" t="str">
        <f t="shared" si="234"/>
        <v>y</v>
      </c>
      <c r="VFB1" s="154" t="str">
        <f t="shared" si="234"/>
        <v>y</v>
      </c>
      <c r="VFC1" s="154" t="str">
        <f t="shared" si="234"/>
        <v>y</v>
      </c>
      <c r="VFD1" s="154" t="str">
        <f t="shared" si="234"/>
        <v>y</v>
      </c>
      <c r="VFE1" s="154" t="str">
        <f t="shared" si="234"/>
        <v>y</v>
      </c>
      <c r="VFF1" s="154" t="str">
        <f t="shared" si="234"/>
        <v>y</v>
      </c>
      <c r="VFG1" s="154" t="str">
        <f t="shared" si="234"/>
        <v>y</v>
      </c>
      <c r="VFH1" s="154" t="str">
        <f t="shared" si="234"/>
        <v>y</v>
      </c>
      <c r="VFI1" s="154" t="str">
        <f t="shared" si="234"/>
        <v>y</v>
      </c>
      <c r="VFJ1" s="154" t="str">
        <f t="shared" si="234"/>
        <v>y</v>
      </c>
      <c r="VFK1" s="154" t="str">
        <f t="shared" si="234"/>
        <v>y</v>
      </c>
      <c r="VFL1" s="154" t="str">
        <f t="shared" si="234"/>
        <v>y</v>
      </c>
      <c r="VFM1" s="154" t="str">
        <f t="shared" si="234"/>
        <v>y</v>
      </c>
      <c r="VFN1" s="154" t="str">
        <f t="shared" si="234"/>
        <v>y</v>
      </c>
      <c r="VFO1" s="154" t="str">
        <f t="shared" si="234"/>
        <v>y</v>
      </c>
      <c r="VFP1" s="154" t="str">
        <f t="shared" ref="VFP1:VIA1" si="235">VFP2&amp;"y"</f>
        <v>y</v>
      </c>
      <c r="VFQ1" s="154" t="str">
        <f t="shared" si="235"/>
        <v>y</v>
      </c>
      <c r="VFR1" s="154" t="str">
        <f t="shared" si="235"/>
        <v>y</v>
      </c>
      <c r="VFS1" s="154" t="str">
        <f t="shared" si="235"/>
        <v>y</v>
      </c>
      <c r="VFT1" s="154" t="str">
        <f t="shared" si="235"/>
        <v>y</v>
      </c>
      <c r="VFU1" s="154" t="str">
        <f t="shared" si="235"/>
        <v>y</v>
      </c>
      <c r="VFV1" s="154" t="str">
        <f t="shared" si="235"/>
        <v>y</v>
      </c>
      <c r="VFW1" s="154" t="str">
        <f t="shared" si="235"/>
        <v>y</v>
      </c>
      <c r="VFX1" s="154" t="str">
        <f t="shared" si="235"/>
        <v>y</v>
      </c>
      <c r="VFY1" s="154" t="str">
        <f t="shared" si="235"/>
        <v>y</v>
      </c>
      <c r="VFZ1" s="154" t="str">
        <f t="shared" si="235"/>
        <v>y</v>
      </c>
      <c r="VGA1" s="154" t="str">
        <f t="shared" si="235"/>
        <v>y</v>
      </c>
      <c r="VGB1" s="154" t="str">
        <f t="shared" si="235"/>
        <v>y</v>
      </c>
      <c r="VGC1" s="154" t="str">
        <f t="shared" si="235"/>
        <v>y</v>
      </c>
      <c r="VGD1" s="154" t="str">
        <f t="shared" si="235"/>
        <v>y</v>
      </c>
      <c r="VGE1" s="154" t="str">
        <f t="shared" si="235"/>
        <v>y</v>
      </c>
      <c r="VGF1" s="154" t="str">
        <f t="shared" si="235"/>
        <v>y</v>
      </c>
      <c r="VGG1" s="154" t="str">
        <f t="shared" si="235"/>
        <v>y</v>
      </c>
      <c r="VGH1" s="154" t="str">
        <f t="shared" si="235"/>
        <v>y</v>
      </c>
      <c r="VGI1" s="154" t="str">
        <f t="shared" si="235"/>
        <v>y</v>
      </c>
      <c r="VGJ1" s="154" t="str">
        <f t="shared" si="235"/>
        <v>y</v>
      </c>
      <c r="VGK1" s="154" t="str">
        <f t="shared" si="235"/>
        <v>y</v>
      </c>
      <c r="VGL1" s="154" t="str">
        <f t="shared" si="235"/>
        <v>y</v>
      </c>
      <c r="VGM1" s="154" t="str">
        <f t="shared" si="235"/>
        <v>y</v>
      </c>
      <c r="VGN1" s="154" t="str">
        <f t="shared" si="235"/>
        <v>y</v>
      </c>
      <c r="VGO1" s="154" t="str">
        <f t="shared" si="235"/>
        <v>y</v>
      </c>
      <c r="VGP1" s="154" t="str">
        <f t="shared" si="235"/>
        <v>y</v>
      </c>
      <c r="VGQ1" s="154" t="str">
        <f t="shared" si="235"/>
        <v>y</v>
      </c>
      <c r="VGR1" s="154" t="str">
        <f t="shared" si="235"/>
        <v>y</v>
      </c>
      <c r="VGS1" s="154" t="str">
        <f t="shared" si="235"/>
        <v>y</v>
      </c>
      <c r="VGT1" s="154" t="str">
        <f t="shared" si="235"/>
        <v>y</v>
      </c>
      <c r="VGU1" s="154" t="str">
        <f t="shared" si="235"/>
        <v>y</v>
      </c>
      <c r="VGV1" s="154" t="str">
        <f t="shared" si="235"/>
        <v>y</v>
      </c>
      <c r="VGW1" s="154" t="str">
        <f t="shared" si="235"/>
        <v>y</v>
      </c>
      <c r="VGX1" s="154" t="str">
        <f t="shared" si="235"/>
        <v>y</v>
      </c>
      <c r="VGY1" s="154" t="str">
        <f t="shared" si="235"/>
        <v>y</v>
      </c>
      <c r="VGZ1" s="154" t="str">
        <f t="shared" si="235"/>
        <v>y</v>
      </c>
      <c r="VHA1" s="154" t="str">
        <f t="shared" si="235"/>
        <v>y</v>
      </c>
      <c r="VHB1" s="154" t="str">
        <f t="shared" si="235"/>
        <v>y</v>
      </c>
      <c r="VHC1" s="154" t="str">
        <f t="shared" si="235"/>
        <v>y</v>
      </c>
      <c r="VHD1" s="154" t="str">
        <f t="shared" si="235"/>
        <v>y</v>
      </c>
      <c r="VHE1" s="154" t="str">
        <f t="shared" si="235"/>
        <v>y</v>
      </c>
      <c r="VHF1" s="154" t="str">
        <f t="shared" si="235"/>
        <v>y</v>
      </c>
      <c r="VHG1" s="154" t="str">
        <f t="shared" si="235"/>
        <v>y</v>
      </c>
      <c r="VHH1" s="154" t="str">
        <f t="shared" si="235"/>
        <v>y</v>
      </c>
      <c r="VHI1" s="154" t="str">
        <f t="shared" si="235"/>
        <v>y</v>
      </c>
      <c r="VHJ1" s="154" t="str">
        <f t="shared" si="235"/>
        <v>y</v>
      </c>
      <c r="VHK1" s="154" t="str">
        <f t="shared" si="235"/>
        <v>y</v>
      </c>
      <c r="VHL1" s="154" t="str">
        <f t="shared" si="235"/>
        <v>y</v>
      </c>
      <c r="VHM1" s="154" t="str">
        <f t="shared" si="235"/>
        <v>y</v>
      </c>
      <c r="VHN1" s="154" t="str">
        <f t="shared" si="235"/>
        <v>y</v>
      </c>
      <c r="VHO1" s="154" t="str">
        <f t="shared" si="235"/>
        <v>y</v>
      </c>
      <c r="VHP1" s="154" t="str">
        <f t="shared" si="235"/>
        <v>y</v>
      </c>
      <c r="VHQ1" s="154" t="str">
        <f t="shared" si="235"/>
        <v>y</v>
      </c>
      <c r="VHR1" s="154" t="str">
        <f t="shared" si="235"/>
        <v>y</v>
      </c>
      <c r="VHS1" s="154" t="str">
        <f t="shared" si="235"/>
        <v>y</v>
      </c>
      <c r="VHT1" s="154" t="str">
        <f t="shared" si="235"/>
        <v>y</v>
      </c>
      <c r="VHU1" s="154" t="str">
        <f t="shared" si="235"/>
        <v>y</v>
      </c>
      <c r="VHV1" s="154" t="str">
        <f t="shared" si="235"/>
        <v>y</v>
      </c>
      <c r="VHW1" s="154" t="str">
        <f t="shared" si="235"/>
        <v>y</v>
      </c>
      <c r="VHX1" s="154" t="str">
        <f t="shared" si="235"/>
        <v>y</v>
      </c>
      <c r="VHY1" s="154" t="str">
        <f t="shared" si="235"/>
        <v>y</v>
      </c>
      <c r="VHZ1" s="154" t="str">
        <f t="shared" si="235"/>
        <v>y</v>
      </c>
      <c r="VIA1" s="154" t="str">
        <f t="shared" si="235"/>
        <v>y</v>
      </c>
      <c r="VIB1" s="154" t="str">
        <f t="shared" ref="VIB1:VKM1" si="236">VIB2&amp;"y"</f>
        <v>y</v>
      </c>
      <c r="VIC1" s="154" t="str">
        <f t="shared" si="236"/>
        <v>y</v>
      </c>
      <c r="VID1" s="154" t="str">
        <f t="shared" si="236"/>
        <v>y</v>
      </c>
      <c r="VIE1" s="154" t="str">
        <f t="shared" si="236"/>
        <v>y</v>
      </c>
      <c r="VIF1" s="154" t="str">
        <f t="shared" si="236"/>
        <v>y</v>
      </c>
      <c r="VIG1" s="154" t="str">
        <f t="shared" si="236"/>
        <v>y</v>
      </c>
      <c r="VIH1" s="154" t="str">
        <f t="shared" si="236"/>
        <v>y</v>
      </c>
      <c r="VII1" s="154" t="str">
        <f t="shared" si="236"/>
        <v>y</v>
      </c>
      <c r="VIJ1" s="154" t="str">
        <f t="shared" si="236"/>
        <v>y</v>
      </c>
      <c r="VIK1" s="154" t="str">
        <f t="shared" si="236"/>
        <v>y</v>
      </c>
      <c r="VIL1" s="154" t="str">
        <f t="shared" si="236"/>
        <v>y</v>
      </c>
      <c r="VIM1" s="154" t="str">
        <f t="shared" si="236"/>
        <v>y</v>
      </c>
      <c r="VIN1" s="154" t="str">
        <f t="shared" si="236"/>
        <v>y</v>
      </c>
      <c r="VIO1" s="154" t="str">
        <f t="shared" si="236"/>
        <v>y</v>
      </c>
      <c r="VIP1" s="154" t="str">
        <f t="shared" si="236"/>
        <v>y</v>
      </c>
      <c r="VIQ1" s="154" t="str">
        <f t="shared" si="236"/>
        <v>y</v>
      </c>
      <c r="VIR1" s="154" t="str">
        <f t="shared" si="236"/>
        <v>y</v>
      </c>
      <c r="VIS1" s="154" t="str">
        <f t="shared" si="236"/>
        <v>y</v>
      </c>
      <c r="VIT1" s="154" t="str">
        <f t="shared" si="236"/>
        <v>y</v>
      </c>
      <c r="VIU1" s="154" t="str">
        <f t="shared" si="236"/>
        <v>y</v>
      </c>
      <c r="VIV1" s="154" t="str">
        <f t="shared" si="236"/>
        <v>y</v>
      </c>
      <c r="VIW1" s="154" t="str">
        <f t="shared" si="236"/>
        <v>y</v>
      </c>
      <c r="VIX1" s="154" t="str">
        <f t="shared" si="236"/>
        <v>y</v>
      </c>
      <c r="VIY1" s="154" t="str">
        <f t="shared" si="236"/>
        <v>y</v>
      </c>
      <c r="VIZ1" s="154" t="str">
        <f t="shared" si="236"/>
        <v>y</v>
      </c>
      <c r="VJA1" s="154" t="str">
        <f t="shared" si="236"/>
        <v>y</v>
      </c>
      <c r="VJB1" s="154" t="str">
        <f t="shared" si="236"/>
        <v>y</v>
      </c>
      <c r="VJC1" s="154" t="str">
        <f t="shared" si="236"/>
        <v>y</v>
      </c>
      <c r="VJD1" s="154" t="str">
        <f t="shared" si="236"/>
        <v>y</v>
      </c>
      <c r="VJE1" s="154" t="str">
        <f t="shared" si="236"/>
        <v>y</v>
      </c>
      <c r="VJF1" s="154" t="str">
        <f t="shared" si="236"/>
        <v>y</v>
      </c>
      <c r="VJG1" s="154" t="str">
        <f t="shared" si="236"/>
        <v>y</v>
      </c>
      <c r="VJH1" s="154" t="str">
        <f t="shared" si="236"/>
        <v>y</v>
      </c>
      <c r="VJI1" s="154" t="str">
        <f t="shared" si="236"/>
        <v>y</v>
      </c>
      <c r="VJJ1" s="154" t="str">
        <f t="shared" si="236"/>
        <v>y</v>
      </c>
      <c r="VJK1" s="154" t="str">
        <f t="shared" si="236"/>
        <v>y</v>
      </c>
      <c r="VJL1" s="154" t="str">
        <f t="shared" si="236"/>
        <v>y</v>
      </c>
      <c r="VJM1" s="154" t="str">
        <f t="shared" si="236"/>
        <v>y</v>
      </c>
      <c r="VJN1" s="154" t="str">
        <f t="shared" si="236"/>
        <v>y</v>
      </c>
      <c r="VJO1" s="154" t="str">
        <f t="shared" si="236"/>
        <v>y</v>
      </c>
      <c r="VJP1" s="154" t="str">
        <f t="shared" si="236"/>
        <v>y</v>
      </c>
      <c r="VJQ1" s="154" t="str">
        <f t="shared" si="236"/>
        <v>y</v>
      </c>
      <c r="VJR1" s="154" t="str">
        <f t="shared" si="236"/>
        <v>y</v>
      </c>
      <c r="VJS1" s="154" t="str">
        <f t="shared" si="236"/>
        <v>y</v>
      </c>
      <c r="VJT1" s="154" t="str">
        <f t="shared" si="236"/>
        <v>y</v>
      </c>
      <c r="VJU1" s="154" t="str">
        <f t="shared" si="236"/>
        <v>y</v>
      </c>
      <c r="VJV1" s="154" t="str">
        <f t="shared" si="236"/>
        <v>y</v>
      </c>
      <c r="VJW1" s="154" t="str">
        <f t="shared" si="236"/>
        <v>y</v>
      </c>
      <c r="VJX1" s="154" t="str">
        <f t="shared" si="236"/>
        <v>y</v>
      </c>
      <c r="VJY1" s="154" t="str">
        <f t="shared" si="236"/>
        <v>y</v>
      </c>
      <c r="VJZ1" s="154" t="str">
        <f t="shared" si="236"/>
        <v>y</v>
      </c>
      <c r="VKA1" s="154" t="str">
        <f t="shared" si="236"/>
        <v>y</v>
      </c>
      <c r="VKB1" s="154" t="str">
        <f t="shared" si="236"/>
        <v>y</v>
      </c>
      <c r="VKC1" s="154" t="str">
        <f t="shared" si="236"/>
        <v>y</v>
      </c>
      <c r="VKD1" s="154" t="str">
        <f t="shared" si="236"/>
        <v>y</v>
      </c>
      <c r="VKE1" s="154" t="str">
        <f t="shared" si="236"/>
        <v>y</v>
      </c>
      <c r="VKF1" s="154" t="str">
        <f t="shared" si="236"/>
        <v>y</v>
      </c>
      <c r="VKG1" s="154" t="str">
        <f t="shared" si="236"/>
        <v>y</v>
      </c>
      <c r="VKH1" s="154" t="str">
        <f t="shared" si="236"/>
        <v>y</v>
      </c>
      <c r="VKI1" s="154" t="str">
        <f t="shared" si="236"/>
        <v>y</v>
      </c>
      <c r="VKJ1" s="154" t="str">
        <f t="shared" si="236"/>
        <v>y</v>
      </c>
      <c r="VKK1" s="154" t="str">
        <f t="shared" si="236"/>
        <v>y</v>
      </c>
      <c r="VKL1" s="154" t="str">
        <f t="shared" si="236"/>
        <v>y</v>
      </c>
      <c r="VKM1" s="154" t="str">
        <f t="shared" si="236"/>
        <v>y</v>
      </c>
      <c r="VKN1" s="154" t="str">
        <f t="shared" ref="VKN1:VMY1" si="237">VKN2&amp;"y"</f>
        <v>y</v>
      </c>
      <c r="VKO1" s="154" t="str">
        <f t="shared" si="237"/>
        <v>y</v>
      </c>
      <c r="VKP1" s="154" t="str">
        <f t="shared" si="237"/>
        <v>y</v>
      </c>
      <c r="VKQ1" s="154" t="str">
        <f t="shared" si="237"/>
        <v>y</v>
      </c>
      <c r="VKR1" s="154" t="str">
        <f t="shared" si="237"/>
        <v>y</v>
      </c>
      <c r="VKS1" s="154" t="str">
        <f t="shared" si="237"/>
        <v>y</v>
      </c>
      <c r="VKT1" s="154" t="str">
        <f t="shared" si="237"/>
        <v>y</v>
      </c>
      <c r="VKU1" s="154" t="str">
        <f t="shared" si="237"/>
        <v>y</v>
      </c>
      <c r="VKV1" s="154" t="str">
        <f t="shared" si="237"/>
        <v>y</v>
      </c>
      <c r="VKW1" s="154" t="str">
        <f t="shared" si="237"/>
        <v>y</v>
      </c>
      <c r="VKX1" s="154" t="str">
        <f t="shared" si="237"/>
        <v>y</v>
      </c>
      <c r="VKY1" s="154" t="str">
        <f t="shared" si="237"/>
        <v>y</v>
      </c>
      <c r="VKZ1" s="154" t="str">
        <f t="shared" si="237"/>
        <v>y</v>
      </c>
      <c r="VLA1" s="154" t="str">
        <f t="shared" si="237"/>
        <v>y</v>
      </c>
      <c r="VLB1" s="154" t="str">
        <f t="shared" si="237"/>
        <v>y</v>
      </c>
      <c r="VLC1" s="154" t="str">
        <f t="shared" si="237"/>
        <v>y</v>
      </c>
      <c r="VLD1" s="154" t="str">
        <f t="shared" si="237"/>
        <v>y</v>
      </c>
      <c r="VLE1" s="154" t="str">
        <f t="shared" si="237"/>
        <v>y</v>
      </c>
      <c r="VLF1" s="154" t="str">
        <f t="shared" si="237"/>
        <v>y</v>
      </c>
      <c r="VLG1" s="154" t="str">
        <f t="shared" si="237"/>
        <v>y</v>
      </c>
      <c r="VLH1" s="154" t="str">
        <f t="shared" si="237"/>
        <v>y</v>
      </c>
      <c r="VLI1" s="154" t="str">
        <f t="shared" si="237"/>
        <v>y</v>
      </c>
      <c r="VLJ1" s="154" t="str">
        <f t="shared" si="237"/>
        <v>y</v>
      </c>
      <c r="VLK1" s="154" t="str">
        <f t="shared" si="237"/>
        <v>y</v>
      </c>
      <c r="VLL1" s="154" t="str">
        <f t="shared" si="237"/>
        <v>y</v>
      </c>
      <c r="VLM1" s="154" t="str">
        <f t="shared" si="237"/>
        <v>y</v>
      </c>
      <c r="VLN1" s="154" t="str">
        <f t="shared" si="237"/>
        <v>y</v>
      </c>
      <c r="VLO1" s="154" t="str">
        <f t="shared" si="237"/>
        <v>y</v>
      </c>
      <c r="VLP1" s="154" t="str">
        <f t="shared" si="237"/>
        <v>y</v>
      </c>
      <c r="VLQ1" s="154" t="str">
        <f t="shared" si="237"/>
        <v>y</v>
      </c>
      <c r="VLR1" s="154" t="str">
        <f t="shared" si="237"/>
        <v>y</v>
      </c>
      <c r="VLS1" s="154" t="str">
        <f t="shared" si="237"/>
        <v>y</v>
      </c>
      <c r="VLT1" s="154" t="str">
        <f t="shared" si="237"/>
        <v>y</v>
      </c>
      <c r="VLU1" s="154" t="str">
        <f t="shared" si="237"/>
        <v>y</v>
      </c>
      <c r="VLV1" s="154" t="str">
        <f t="shared" si="237"/>
        <v>y</v>
      </c>
      <c r="VLW1" s="154" t="str">
        <f t="shared" si="237"/>
        <v>y</v>
      </c>
      <c r="VLX1" s="154" t="str">
        <f t="shared" si="237"/>
        <v>y</v>
      </c>
      <c r="VLY1" s="154" t="str">
        <f t="shared" si="237"/>
        <v>y</v>
      </c>
      <c r="VLZ1" s="154" t="str">
        <f t="shared" si="237"/>
        <v>y</v>
      </c>
      <c r="VMA1" s="154" t="str">
        <f t="shared" si="237"/>
        <v>y</v>
      </c>
      <c r="VMB1" s="154" t="str">
        <f t="shared" si="237"/>
        <v>y</v>
      </c>
      <c r="VMC1" s="154" t="str">
        <f t="shared" si="237"/>
        <v>y</v>
      </c>
      <c r="VMD1" s="154" t="str">
        <f t="shared" si="237"/>
        <v>y</v>
      </c>
      <c r="VME1" s="154" t="str">
        <f t="shared" si="237"/>
        <v>y</v>
      </c>
      <c r="VMF1" s="154" t="str">
        <f t="shared" si="237"/>
        <v>y</v>
      </c>
      <c r="VMG1" s="154" t="str">
        <f t="shared" si="237"/>
        <v>y</v>
      </c>
      <c r="VMH1" s="154" t="str">
        <f t="shared" si="237"/>
        <v>y</v>
      </c>
      <c r="VMI1" s="154" t="str">
        <f t="shared" si="237"/>
        <v>y</v>
      </c>
      <c r="VMJ1" s="154" t="str">
        <f t="shared" si="237"/>
        <v>y</v>
      </c>
      <c r="VMK1" s="154" t="str">
        <f t="shared" si="237"/>
        <v>y</v>
      </c>
      <c r="VML1" s="154" t="str">
        <f t="shared" si="237"/>
        <v>y</v>
      </c>
      <c r="VMM1" s="154" t="str">
        <f t="shared" si="237"/>
        <v>y</v>
      </c>
      <c r="VMN1" s="154" t="str">
        <f t="shared" si="237"/>
        <v>y</v>
      </c>
      <c r="VMO1" s="154" t="str">
        <f t="shared" si="237"/>
        <v>y</v>
      </c>
      <c r="VMP1" s="154" t="str">
        <f t="shared" si="237"/>
        <v>y</v>
      </c>
      <c r="VMQ1" s="154" t="str">
        <f t="shared" si="237"/>
        <v>y</v>
      </c>
      <c r="VMR1" s="154" t="str">
        <f t="shared" si="237"/>
        <v>y</v>
      </c>
      <c r="VMS1" s="154" t="str">
        <f t="shared" si="237"/>
        <v>y</v>
      </c>
      <c r="VMT1" s="154" t="str">
        <f t="shared" si="237"/>
        <v>y</v>
      </c>
      <c r="VMU1" s="154" t="str">
        <f t="shared" si="237"/>
        <v>y</v>
      </c>
      <c r="VMV1" s="154" t="str">
        <f t="shared" si="237"/>
        <v>y</v>
      </c>
      <c r="VMW1" s="154" t="str">
        <f t="shared" si="237"/>
        <v>y</v>
      </c>
      <c r="VMX1" s="154" t="str">
        <f t="shared" si="237"/>
        <v>y</v>
      </c>
      <c r="VMY1" s="154" t="str">
        <f t="shared" si="237"/>
        <v>y</v>
      </c>
      <c r="VMZ1" s="154" t="str">
        <f t="shared" ref="VMZ1:VPK1" si="238">VMZ2&amp;"y"</f>
        <v>y</v>
      </c>
      <c r="VNA1" s="154" t="str">
        <f t="shared" si="238"/>
        <v>y</v>
      </c>
      <c r="VNB1" s="154" t="str">
        <f t="shared" si="238"/>
        <v>y</v>
      </c>
      <c r="VNC1" s="154" t="str">
        <f t="shared" si="238"/>
        <v>y</v>
      </c>
      <c r="VND1" s="154" t="str">
        <f t="shared" si="238"/>
        <v>y</v>
      </c>
      <c r="VNE1" s="154" t="str">
        <f t="shared" si="238"/>
        <v>y</v>
      </c>
      <c r="VNF1" s="154" t="str">
        <f t="shared" si="238"/>
        <v>y</v>
      </c>
      <c r="VNG1" s="154" t="str">
        <f t="shared" si="238"/>
        <v>y</v>
      </c>
      <c r="VNH1" s="154" t="str">
        <f t="shared" si="238"/>
        <v>y</v>
      </c>
      <c r="VNI1" s="154" t="str">
        <f t="shared" si="238"/>
        <v>y</v>
      </c>
      <c r="VNJ1" s="154" t="str">
        <f t="shared" si="238"/>
        <v>y</v>
      </c>
      <c r="VNK1" s="154" t="str">
        <f t="shared" si="238"/>
        <v>y</v>
      </c>
      <c r="VNL1" s="154" t="str">
        <f t="shared" si="238"/>
        <v>y</v>
      </c>
      <c r="VNM1" s="154" t="str">
        <f t="shared" si="238"/>
        <v>y</v>
      </c>
      <c r="VNN1" s="154" t="str">
        <f t="shared" si="238"/>
        <v>y</v>
      </c>
      <c r="VNO1" s="154" t="str">
        <f t="shared" si="238"/>
        <v>y</v>
      </c>
      <c r="VNP1" s="154" t="str">
        <f t="shared" si="238"/>
        <v>y</v>
      </c>
      <c r="VNQ1" s="154" t="str">
        <f t="shared" si="238"/>
        <v>y</v>
      </c>
      <c r="VNR1" s="154" t="str">
        <f t="shared" si="238"/>
        <v>y</v>
      </c>
      <c r="VNS1" s="154" t="str">
        <f t="shared" si="238"/>
        <v>y</v>
      </c>
      <c r="VNT1" s="154" t="str">
        <f t="shared" si="238"/>
        <v>y</v>
      </c>
      <c r="VNU1" s="154" t="str">
        <f t="shared" si="238"/>
        <v>y</v>
      </c>
      <c r="VNV1" s="154" t="str">
        <f t="shared" si="238"/>
        <v>y</v>
      </c>
      <c r="VNW1" s="154" t="str">
        <f t="shared" si="238"/>
        <v>y</v>
      </c>
      <c r="VNX1" s="154" t="str">
        <f t="shared" si="238"/>
        <v>y</v>
      </c>
      <c r="VNY1" s="154" t="str">
        <f t="shared" si="238"/>
        <v>y</v>
      </c>
      <c r="VNZ1" s="154" t="str">
        <f t="shared" si="238"/>
        <v>y</v>
      </c>
      <c r="VOA1" s="154" t="str">
        <f t="shared" si="238"/>
        <v>y</v>
      </c>
      <c r="VOB1" s="154" t="str">
        <f t="shared" si="238"/>
        <v>y</v>
      </c>
      <c r="VOC1" s="154" t="str">
        <f t="shared" si="238"/>
        <v>y</v>
      </c>
      <c r="VOD1" s="154" t="str">
        <f t="shared" si="238"/>
        <v>y</v>
      </c>
      <c r="VOE1" s="154" t="str">
        <f t="shared" si="238"/>
        <v>y</v>
      </c>
      <c r="VOF1" s="154" t="str">
        <f t="shared" si="238"/>
        <v>y</v>
      </c>
      <c r="VOG1" s="154" t="str">
        <f t="shared" si="238"/>
        <v>y</v>
      </c>
      <c r="VOH1" s="154" t="str">
        <f t="shared" si="238"/>
        <v>y</v>
      </c>
      <c r="VOI1" s="154" t="str">
        <f t="shared" si="238"/>
        <v>y</v>
      </c>
      <c r="VOJ1" s="154" t="str">
        <f t="shared" si="238"/>
        <v>y</v>
      </c>
      <c r="VOK1" s="154" t="str">
        <f t="shared" si="238"/>
        <v>y</v>
      </c>
      <c r="VOL1" s="154" t="str">
        <f t="shared" si="238"/>
        <v>y</v>
      </c>
      <c r="VOM1" s="154" t="str">
        <f t="shared" si="238"/>
        <v>y</v>
      </c>
      <c r="VON1" s="154" t="str">
        <f t="shared" si="238"/>
        <v>y</v>
      </c>
      <c r="VOO1" s="154" t="str">
        <f t="shared" si="238"/>
        <v>y</v>
      </c>
      <c r="VOP1" s="154" t="str">
        <f t="shared" si="238"/>
        <v>y</v>
      </c>
      <c r="VOQ1" s="154" t="str">
        <f t="shared" si="238"/>
        <v>y</v>
      </c>
      <c r="VOR1" s="154" t="str">
        <f t="shared" si="238"/>
        <v>y</v>
      </c>
      <c r="VOS1" s="154" t="str">
        <f t="shared" si="238"/>
        <v>y</v>
      </c>
      <c r="VOT1" s="154" t="str">
        <f t="shared" si="238"/>
        <v>y</v>
      </c>
      <c r="VOU1" s="154" t="str">
        <f t="shared" si="238"/>
        <v>y</v>
      </c>
      <c r="VOV1" s="154" t="str">
        <f t="shared" si="238"/>
        <v>y</v>
      </c>
      <c r="VOW1" s="154" t="str">
        <f t="shared" si="238"/>
        <v>y</v>
      </c>
      <c r="VOX1" s="154" t="str">
        <f t="shared" si="238"/>
        <v>y</v>
      </c>
      <c r="VOY1" s="154" t="str">
        <f t="shared" si="238"/>
        <v>y</v>
      </c>
      <c r="VOZ1" s="154" t="str">
        <f t="shared" si="238"/>
        <v>y</v>
      </c>
      <c r="VPA1" s="154" t="str">
        <f t="shared" si="238"/>
        <v>y</v>
      </c>
      <c r="VPB1" s="154" t="str">
        <f t="shared" si="238"/>
        <v>y</v>
      </c>
      <c r="VPC1" s="154" t="str">
        <f t="shared" si="238"/>
        <v>y</v>
      </c>
      <c r="VPD1" s="154" t="str">
        <f t="shared" si="238"/>
        <v>y</v>
      </c>
      <c r="VPE1" s="154" t="str">
        <f t="shared" si="238"/>
        <v>y</v>
      </c>
      <c r="VPF1" s="154" t="str">
        <f t="shared" si="238"/>
        <v>y</v>
      </c>
      <c r="VPG1" s="154" t="str">
        <f t="shared" si="238"/>
        <v>y</v>
      </c>
      <c r="VPH1" s="154" t="str">
        <f t="shared" si="238"/>
        <v>y</v>
      </c>
      <c r="VPI1" s="154" t="str">
        <f t="shared" si="238"/>
        <v>y</v>
      </c>
      <c r="VPJ1" s="154" t="str">
        <f t="shared" si="238"/>
        <v>y</v>
      </c>
      <c r="VPK1" s="154" t="str">
        <f t="shared" si="238"/>
        <v>y</v>
      </c>
      <c r="VPL1" s="154" t="str">
        <f t="shared" ref="VPL1:VRW1" si="239">VPL2&amp;"y"</f>
        <v>y</v>
      </c>
      <c r="VPM1" s="154" t="str">
        <f t="shared" si="239"/>
        <v>y</v>
      </c>
      <c r="VPN1" s="154" t="str">
        <f t="shared" si="239"/>
        <v>y</v>
      </c>
      <c r="VPO1" s="154" t="str">
        <f t="shared" si="239"/>
        <v>y</v>
      </c>
      <c r="VPP1" s="154" t="str">
        <f t="shared" si="239"/>
        <v>y</v>
      </c>
      <c r="VPQ1" s="154" t="str">
        <f t="shared" si="239"/>
        <v>y</v>
      </c>
      <c r="VPR1" s="154" t="str">
        <f t="shared" si="239"/>
        <v>y</v>
      </c>
      <c r="VPS1" s="154" t="str">
        <f t="shared" si="239"/>
        <v>y</v>
      </c>
      <c r="VPT1" s="154" t="str">
        <f t="shared" si="239"/>
        <v>y</v>
      </c>
      <c r="VPU1" s="154" t="str">
        <f t="shared" si="239"/>
        <v>y</v>
      </c>
      <c r="VPV1" s="154" t="str">
        <f t="shared" si="239"/>
        <v>y</v>
      </c>
      <c r="VPW1" s="154" t="str">
        <f t="shared" si="239"/>
        <v>y</v>
      </c>
      <c r="VPX1" s="154" t="str">
        <f t="shared" si="239"/>
        <v>y</v>
      </c>
      <c r="VPY1" s="154" t="str">
        <f t="shared" si="239"/>
        <v>y</v>
      </c>
      <c r="VPZ1" s="154" t="str">
        <f t="shared" si="239"/>
        <v>y</v>
      </c>
      <c r="VQA1" s="154" t="str">
        <f t="shared" si="239"/>
        <v>y</v>
      </c>
      <c r="VQB1" s="154" t="str">
        <f t="shared" si="239"/>
        <v>y</v>
      </c>
      <c r="VQC1" s="154" t="str">
        <f t="shared" si="239"/>
        <v>y</v>
      </c>
      <c r="VQD1" s="154" t="str">
        <f t="shared" si="239"/>
        <v>y</v>
      </c>
      <c r="VQE1" s="154" t="str">
        <f t="shared" si="239"/>
        <v>y</v>
      </c>
      <c r="VQF1" s="154" t="str">
        <f t="shared" si="239"/>
        <v>y</v>
      </c>
      <c r="VQG1" s="154" t="str">
        <f t="shared" si="239"/>
        <v>y</v>
      </c>
      <c r="VQH1" s="154" t="str">
        <f t="shared" si="239"/>
        <v>y</v>
      </c>
      <c r="VQI1" s="154" t="str">
        <f t="shared" si="239"/>
        <v>y</v>
      </c>
      <c r="VQJ1" s="154" t="str">
        <f t="shared" si="239"/>
        <v>y</v>
      </c>
      <c r="VQK1" s="154" t="str">
        <f t="shared" si="239"/>
        <v>y</v>
      </c>
      <c r="VQL1" s="154" t="str">
        <f t="shared" si="239"/>
        <v>y</v>
      </c>
      <c r="VQM1" s="154" t="str">
        <f t="shared" si="239"/>
        <v>y</v>
      </c>
      <c r="VQN1" s="154" t="str">
        <f t="shared" si="239"/>
        <v>y</v>
      </c>
      <c r="VQO1" s="154" t="str">
        <f t="shared" si="239"/>
        <v>y</v>
      </c>
      <c r="VQP1" s="154" t="str">
        <f t="shared" si="239"/>
        <v>y</v>
      </c>
      <c r="VQQ1" s="154" t="str">
        <f t="shared" si="239"/>
        <v>y</v>
      </c>
      <c r="VQR1" s="154" t="str">
        <f t="shared" si="239"/>
        <v>y</v>
      </c>
      <c r="VQS1" s="154" t="str">
        <f t="shared" si="239"/>
        <v>y</v>
      </c>
      <c r="VQT1" s="154" t="str">
        <f t="shared" si="239"/>
        <v>y</v>
      </c>
      <c r="VQU1" s="154" t="str">
        <f t="shared" si="239"/>
        <v>y</v>
      </c>
      <c r="VQV1" s="154" t="str">
        <f t="shared" si="239"/>
        <v>y</v>
      </c>
      <c r="VQW1" s="154" t="str">
        <f t="shared" si="239"/>
        <v>y</v>
      </c>
      <c r="VQX1" s="154" t="str">
        <f t="shared" si="239"/>
        <v>y</v>
      </c>
      <c r="VQY1" s="154" t="str">
        <f t="shared" si="239"/>
        <v>y</v>
      </c>
      <c r="VQZ1" s="154" t="str">
        <f t="shared" si="239"/>
        <v>y</v>
      </c>
      <c r="VRA1" s="154" t="str">
        <f t="shared" si="239"/>
        <v>y</v>
      </c>
      <c r="VRB1" s="154" t="str">
        <f t="shared" si="239"/>
        <v>y</v>
      </c>
      <c r="VRC1" s="154" t="str">
        <f t="shared" si="239"/>
        <v>y</v>
      </c>
      <c r="VRD1" s="154" t="str">
        <f t="shared" si="239"/>
        <v>y</v>
      </c>
      <c r="VRE1" s="154" t="str">
        <f t="shared" si="239"/>
        <v>y</v>
      </c>
      <c r="VRF1" s="154" t="str">
        <f t="shared" si="239"/>
        <v>y</v>
      </c>
      <c r="VRG1" s="154" t="str">
        <f t="shared" si="239"/>
        <v>y</v>
      </c>
      <c r="VRH1" s="154" t="str">
        <f t="shared" si="239"/>
        <v>y</v>
      </c>
      <c r="VRI1" s="154" t="str">
        <f t="shared" si="239"/>
        <v>y</v>
      </c>
      <c r="VRJ1" s="154" t="str">
        <f t="shared" si="239"/>
        <v>y</v>
      </c>
      <c r="VRK1" s="154" t="str">
        <f t="shared" si="239"/>
        <v>y</v>
      </c>
      <c r="VRL1" s="154" t="str">
        <f t="shared" si="239"/>
        <v>y</v>
      </c>
      <c r="VRM1" s="154" t="str">
        <f t="shared" si="239"/>
        <v>y</v>
      </c>
      <c r="VRN1" s="154" t="str">
        <f t="shared" si="239"/>
        <v>y</v>
      </c>
      <c r="VRO1" s="154" t="str">
        <f t="shared" si="239"/>
        <v>y</v>
      </c>
      <c r="VRP1" s="154" t="str">
        <f t="shared" si="239"/>
        <v>y</v>
      </c>
      <c r="VRQ1" s="154" t="str">
        <f t="shared" si="239"/>
        <v>y</v>
      </c>
      <c r="VRR1" s="154" t="str">
        <f t="shared" si="239"/>
        <v>y</v>
      </c>
      <c r="VRS1" s="154" t="str">
        <f t="shared" si="239"/>
        <v>y</v>
      </c>
      <c r="VRT1" s="154" t="str">
        <f t="shared" si="239"/>
        <v>y</v>
      </c>
      <c r="VRU1" s="154" t="str">
        <f t="shared" si="239"/>
        <v>y</v>
      </c>
      <c r="VRV1" s="154" t="str">
        <f t="shared" si="239"/>
        <v>y</v>
      </c>
      <c r="VRW1" s="154" t="str">
        <f t="shared" si="239"/>
        <v>y</v>
      </c>
      <c r="VRX1" s="154" t="str">
        <f t="shared" ref="VRX1:VUI1" si="240">VRX2&amp;"y"</f>
        <v>y</v>
      </c>
      <c r="VRY1" s="154" t="str">
        <f t="shared" si="240"/>
        <v>y</v>
      </c>
      <c r="VRZ1" s="154" t="str">
        <f t="shared" si="240"/>
        <v>y</v>
      </c>
      <c r="VSA1" s="154" t="str">
        <f t="shared" si="240"/>
        <v>y</v>
      </c>
      <c r="VSB1" s="154" t="str">
        <f t="shared" si="240"/>
        <v>y</v>
      </c>
      <c r="VSC1" s="154" t="str">
        <f t="shared" si="240"/>
        <v>y</v>
      </c>
      <c r="VSD1" s="154" t="str">
        <f t="shared" si="240"/>
        <v>y</v>
      </c>
      <c r="VSE1" s="154" t="str">
        <f t="shared" si="240"/>
        <v>y</v>
      </c>
      <c r="VSF1" s="154" t="str">
        <f t="shared" si="240"/>
        <v>y</v>
      </c>
      <c r="VSG1" s="154" t="str">
        <f t="shared" si="240"/>
        <v>y</v>
      </c>
      <c r="VSH1" s="154" t="str">
        <f t="shared" si="240"/>
        <v>y</v>
      </c>
      <c r="VSI1" s="154" t="str">
        <f t="shared" si="240"/>
        <v>y</v>
      </c>
      <c r="VSJ1" s="154" t="str">
        <f t="shared" si="240"/>
        <v>y</v>
      </c>
      <c r="VSK1" s="154" t="str">
        <f t="shared" si="240"/>
        <v>y</v>
      </c>
      <c r="VSL1" s="154" t="str">
        <f t="shared" si="240"/>
        <v>y</v>
      </c>
      <c r="VSM1" s="154" t="str">
        <f t="shared" si="240"/>
        <v>y</v>
      </c>
      <c r="VSN1" s="154" t="str">
        <f t="shared" si="240"/>
        <v>y</v>
      </c>
      <c r="VSO1" s="154" t="str">
        <f t="shared" si="240"/>
        <v>y</v>
      </c>
      <c r="VSP1" s="154" t="str">
        <f t="shared" si="240"/>
        <v>y</v>
      </c>
      <c r="VSQ1" s="154" t="str">
        <f t="shared" si="240"/>
        <v>y</v>
      </c>
      <c r="VSR1" s="154" t="str">
        <f t="shared" si="240"/>
        <v>y</v>
      </c>
      <c r="VSS1" s="154" t="str">
        <f t="shared" si="240"/>
        <v>y</v>
      </c>
      <c r="VST1" s="154" t="str">
        <f t="shared" si="240"/>
        <v>y</v>
      </c>
      <c r="VSU1" s="154" t="str">
        <f t="shared" si="240"/>
        <v>y</v>
      </c>
      <c r="VSV1" s="154" t="str">
        <f t="shared" si="240"/>
        <v>y</v>
      </c>
      <c r="VSW1" s="154" t="str">
        <f t="shared" si="240"/>
        <v>y</v>
      </c>
      <c r="VSX1" s="154" t="str">
        <f t="shared" si="240"/>
        <v>y</v>
      </c>
      <c r="VSY1" s="154" t="str">
        <f t="shared" si="240"/>
        <v>y</v>
      </c>
      <c r="VSZ1" s="154" t="str">
        <f t="shared" si="240"/>
        <v>y</v>
      </c>
      <c r="VTA1" s="154" t="str">
        <f t="shared" si="240"/>
        <v>y</v>
      </c>
      <c r="VTB1" s="154" t="str">
        <f t="shared" si="240"/>
        <v>y</v>
      </c>
      <c r="VTC1" s="154" t="str">
        <f t="shared" si="240"/>
        <v>y</v>
      </c>
      <c r="VTD1" s="154" t="str">
        <f t="shared" si="240"/>
        <v>y</v>
      </c>
      <c r="VTE1" s="154" t="str">
        <f t="shared" si="240"/>
        <v>y</v>
      </c>
      <c r="VTF1" s="154" t="str">
        <f t="shared" si="240"/>
        <v>y</v>
      </c>
      <c r="VTG1" s="154" t="str">
        <f t="shared" si="240"/>
        <v>y</v>
      </c>
      <c r="VTH1" s="154" t="str">
        <f t="shared" si="240"/>
        <v>y</v>
      </c>
      <c r="VTI1" s="154" t="str">
        <f t="shared" si="240"/>
        <v>y</v>
      </c>
      <c r="VTJ1" s="154" t="str">
        <f t="shared" si="240"/>
        <v>y</v>
      </c>
      <c r="VTK1" s="154" t="str">
        <f t="shared" si="240"/>
        <v>y</v>
      </c>
      <c r="VTL1" s="154" t="str">
        <f t="shared" si="240"/>
        <v>y</v>
      </c>
      <c r="VTM1" s="154" t="str">
        <f t="shared" si="240"/>
        <v>y</v>
      </c>
      <c r="VTN1" s="154" t="str">
        <f t="shared" si="240"/>
        <v>y</v>
      </c>
      <c r="VTO1" s="154" t="str">
        <f t="shared" si="240"/>
        <v>y</v>
      </c>
      <c r="VTP1" s="154" t="str">
        <f t="shared" si="240"/>
        <v>y</v>
      </c>
      <c r="VTQ1" s="154" t="str">
        <f t="shared" si="240"/>
        <v>y</v>
      </c>
      <c r="VTR1" s="154" t="str">
        <f t="shared" si="240"/>
        <v>y</v>
      </c>
      <c r="VTS1" s="154" t="str">
        <f t="shared" si="240"/>
        <v>y</v>
      </c>
      <c r="VTT1" s="154" t="str">
        <f t="shared" si="240"/>
        <v>y</v>
      </c>
      <c r="VTU1" s="154" t="str">
        <f t="shared" si="240"/>
        <v>y</v>
      </c>
      <c r="VTV1" s="154" t="str">
        <f t="shared" si="240"/>
        <v>y</v>
      </c>
      <c r="VTW1" s="154" t="str">
        <f t="shared" si="240"/>
        <v>y</v>
      </c>
      <c r="VTX1" s="154" t="str">
        <f t="shared" si="240"/>
        <v>y</v>
      </c>
      <c r="VTY1" s="154" t="str">
        <f t="shared" si="240"/>
        <v>y</v>
      </c>
      <c r="VTZ1" s="154" t="str">
        <f t="shared" si="240"/>
        <v>y</v>
      </c>
      <c r="VUA1" s="154" t="str">
        <f t="shared" si="240"/>
        <v>y</v>
      </c>
      <c r="VUB1" s="154" t="str">
        <f t="shared" si="240"/>
        <v>y</v>
      </c>
      <c r="VUC1" s="154" t="str">
        <f t="shared" si="240"/>
        <v>y</v>
      </c>
      <c r="VUD1" s="154" t="str">
        <f t="shared" si="240"/>
        <v>y</v>
      </c>
      <c r="VUE1" s="154" t="str">
        <f t="shared" si="240"/>
        <v>y</v>
      </c>
      <c r="VUF1" s="154" t="str">
        <f t="shared" si="240"/>
        <v>y</v>
      </c>
      <c r="VUG1" s="154" t="str">
        <f t="shared" si="240"/>
        <v>y</v>
      </c>
      <c r="VUH1" s="154" t="str">
        <f t="shared" si="240"/>
        <v>y</v>
      </c>
      <c r="VUI1" s="154" t="str">
        <f t="shared" si="240"/>
        <v>y</v>
      </c>
      <c r="VUJ1" s="154" t="str">
        <f t="shared" ref="VUJ1:VWU1" si="241">VUJ2&amp;"y"</f>
        <v>y</v>
      </c>
      <c r="VUK1" s="154" t="str">
        <f t="shared" si="241"/>
        <v>y</v>
      </c>
      <c r="VUL1" s="154" t="str">
        <f t="shared" si="241"/>
        <v>y</v>
      </c>
      <c r="VUM1" s="154" t="str">
        <f t="shared" si="241"/>
        <v>y</v>
      </c>
      <c r="VUN1" s="154" t="str">
        <f t="shared" si="241"/>
        <v>y</v>
      </c>
      <c r="VUO1" s="154" t="str">
        <f t="shared" si="241"/>
        <v>y</v>
      </c>
      <c r="VUP1" s="154" t="str">
        <f t="shared" si="241"/>
        <v>y</v>
      </c>
      <c r="VUQ1" s="154" t="str">
        <f t="shared" si="241"/>
        <v>y</v>
      </c>
      <c r="VUR1" s="154" t="str">
        <f t="shared" si="241"/>
        <v>y</v>
      </c>
      <c r="VUS1" s="154" t="str">
        <f t="shared" si="241"/>
        <v>y</v>
      </c>
      <c r="VUT1" s="154" t="str">
        <f t="shared" si="241"/>
        <v>y</v>
      </c>
      <c r="VUU1" s="154" t="str">
        <f t="shared" si="241"/>
        <v>y</v>
      </c>
      <c r="VUV1" s="154" t="str">
        <f t="shared" si="241"/>
        <v>y</v>
      </c>
      <c r="VUW1" s="154" t="str">
        <f t="shared" si="241"/>
        <v>y</v>
      </c>
      <c r="VUX1" s="154" t="str">
        <f t="shared" si="241"/>
        <v>y</v>
      </c>
      <c r="VUY1" s="154" t="str">
        <f t="shared" si="241"/>
        <v>y</v>
      </c>
      <c r="VUZ1" s="154" t="str">
        <f t="shared" si="241"/>
        <v>y</v>
      </c>
      <c r="VVA1" s="154" t="str">
        <f t="shared" si="241"/>
        <v>y</v>
      </c>
      <c r="VVB1" s="154" t="str">
        <f t="shared" si="241"/>
        <v>y</v>
      </c>
      <c r="VVC1" s="154" t="str">
        <f t="shared" si="241"/>
        <v>y</v>
      </c>
      <c r="VVD1" s="154" t="str">
        <f t="shared" si="241"/>
        <v>y</v>
      </c>
      <c r="VVE1" s="154" t="str">
        <f t="shared" si="241"/>
        <v>y</v>
      </c>
      <c r="VVF1" s="154" t="str">
        <f t="shared" si="241"/>
        <v>y</v>
      </c>
      <c r="VVG1" s="154" t="str">
        <f t="shared" si="241"/>
        <v>y</v>
      </c>
      <c r="VVH1" s="154" t="str">
        <f t="shared" si="241"/>
        <v>y</v>
      </c>
      <c r="VVI1" s="154" t="str">
        <f t="shared" si="241"/>
        <v>y</v>
      </c>
      <c r="VVJ1" s="154" t="str">
        <f t="shared" si="241"/>
        <v>y</v>
      </c>
      <c r="VVK1" s="154" t="str">
        <f t="shared" si="241"/>
        <v>y</v>
      </c>
      <c r="VVL1" s="154" t="str">
        <f t="shared" si="241"/>
        <v>y</v>
      </c>
      <c r="VVM1" s="154" t="str">
        <f t="shared" si="241"/>
        <v>y</v>
      </c>
      <c r="VVN1" s="154" t="str">
        <f t="shared" si="241"/>
        <v>y</v>
      </c>
      <c r="VVO1" s="154" t="str">
        <f t="shared" si="241"/>
        <v>y</v>
      </c>
      <c r="VVP1" s="154" t="str">
        <f t="shared" si="241"/>
        <v>y</v>
      </c>
      <c r="VVQ1" s="154" t="str">
        <f t="shared" si="241"/>
        <v>y</v>
      </c>
      <c r="VVR1" s="154" t="str">
        <f t="shared" si="241"/>
        <v>y</v>
      </c>
      <c r="VVS1" s="154" t="str">
        <f t="shared" si="241"/>
        <v>y</v>
      </c>
      <c r="VVT1" s="154" t="str">
        <f t="shared" si="241"/>
        <v>y</v>
      </c>
      <c r="VVU1" s="154" t="str">
        <f t="shared" si="241"/>
        <v>y</v>
      </c>
      <c r="VVV1" s="154" t="str">
        <f t="shared" si="241"/>
        <v>y</v>
      </c>
      <c r="VVW1" s="154" t="str">
        <f t="shared" si="241"/>
        <v>y</v>
      </c>
      <c r="VVX1" s="154" t="str">
        <f t="shared" si="241"/>
        <v>y</v>
      </c>
      <c r="VVY1" s="154" t="str">
        <f t="shared" si="241"/>
        <v>y</v>
      </c>
      <c r="VVZ1" s="154" t="str">
        <f t="shared" si="241"/>
        <v>y</v>
      </c>
      <c r="VWA1" s="154" t="str">
        <f t="shared" si="241"/>
        <v>y</v>
      </c>
      <c r="VWB1" s="154" t="str">
        <f t="shared" si="241"/>
        <v>y</v>
      </c>
      <c r="VWC1" s="154" t="str">
        <f t="shared" si="241"/>
        <v>y</v>
      </c>
      <c r="VWD1" s="154" t="str">
        <f t="shared" si="241"/>
        <v>y</v>
      </c>
      <c r="VWE1" s="154" t="str">
        <f t="shared" si="241"/>
        <v>y</v>
      </c>
      <c r="VWF1" s="154" t="str">
        <f t="shared" si="241"/>
        <v>y</v>
      </c>
      <c r="VWG1" s="154" t="str">
        <f t="shared" si="241"/>
        <v>y</v>
      </c>
      <c r="VWH1" s="154" t="str">
        <f t="shared" si="241"/>
        <v>y</v>
      </c>
      <c r="VWI1" s="154" t="str">
        <f t="shared" si="241"/>
        <v>y</v>
      </c>
      <c r="VWJ1" s="154" t="str">
        <f t="shared" si="241"/>
        <v>y</v>
      </c>
      <c r="VWK1" s="154" t="str">
        <f t="shared" si="241"/>
        <v>y</v>
      </c>
      <c r="VWL1" s="154" t="str">
        <f t="shared" si="241"/>
        <v>y</v>
      </c>
      <c r="VWM1" s="154" t="str">
        <f t="shared" si="241"/>
        <v>y</v>
      </c>
      <c r="VWN1" s="154" t="str">
        <f t="shared" si="241"/>
        <v>y</v>
      </c>
      <c r="VWO1" s="154" t="str">
        <f t="shared" si="241"/>
        <v>y</v>
      </c>
      <c r="VWP1" s="154" t="str">
        <f t="shared" si="241"/>
        <v>y</v>
      </c>
      <c r="VWQ1" s="154" t="str">
        <f t="shared" si="241"/>
        <v>y</v>
      </c>
      <c r="VWR1" s="154" t="str">
        <f t="shared" si="241"/>
        <v>y</v>
      </c>
      <c r="VWS1" s="154" t="str">
        <f t="shared" si="241"/>
        <v>y</v>
      </c>
      <c r="VWT1" s="154" t="str">
        <f t="shared" si="241"/>
        <v>y</v>
      </c>
      <c r="VWU1" s="154" t="str">
        <f t="shared" si="241"/>
        <v>y</v>
      </c>
      <c r="VWV1" s="154" t="str">
        <f t="shared" ref="VWV1:VZG1" si="242">VWV2&amp;"y"</f>
        <v>y</v>
      </c>
      <c r="VWW1" s="154" t="str">
        <f t="shared" si="242"/>
        <v>y</v>
      </c>
      <c r="VWX1" s="154" t="str">
        <f t="shared" si="242"/>
        <v>y</v>
      </c>
      <c r="VWY1" s="154" t="str">
        <f t="shared" si="242"/>
        <v>y</v>
      </c>
      <c r="VWZ1" s="154" t="str">
        <f t="shared" si="242"/>
        <v>y</v>
      </c>
      <c r="VXA1" s="154" t="str">
        <f t="shared" si="242"/>
        <v>y</v>
      </c>
      <c r="VXB1" s="154" t="str">
        <f t="shared" si="242"/>
        <v>y</v>
      </c>
      <c r="VXC1" s="154" t="str">
        <f t="shared" si="242"/>
        <v>y</v>
      </c>
      <c r="VXD1" s="154" t="str">
        <f t="shared" si="242"/>
        <v>y</v>
      </c>
      <c r="VXE1" s="154" t="str">
        <f t="shared" si="242"/>
        <v>y</v>
      </c>
      <c r="VXF1" s="154" t="str">
        <f t="shared" si="242"/>
        <v>y</v>
      </c>
      <c r="VXG1" s="154" t="str">
        <f t="shared" si="242"/>
        <v>y</v>
      </c>
      <c r="VXH1" s="154" t="str">
        <f t="shared" si="242"/>
        <v>y</v>
      </c>
      <c r="VXI1" s="154" t="str">
        <f t="shared" si="242"/>
        <v>y</v>
      </c>
      <c r="VXJ1" s="154" t="str">
        <f t="shared" si="242"/>
        <v>y</v>
      </c>
      <c r="VXK1" s="154" t="str">
        <f t="shared" si="242"/>
        <v>y</v>
      </c>
      <c r="VXL1" s="154" t="str">
        <f t="shared" si="242"/>
        <v>y</v>
      </c>
      <c r="VXM1" s="154" t="str">
        <f t="shared" si="242"/>
        <v>y</v>
      </c>
      <c r="VXN1" s="154" t="str">
        <f t="shared" si="242"/>
        <v>y</v>
      </c>
      <c r="VXO1" s="154" t="str">
        <f t="shared" si="242"/>
        <v>y</v>
      </c>
      <c r="VXP1" s="154" t="str">
        <f t="shared" si="242"/>
        <v>y</v>
      </c>
      <c r="VXQ1" s="154" t="str">
        <f t="shared" si="242"/>
        <v>y</v>
      </c>
      <c r="VXR1" s="154" t="str">
        <f t="shared" si="242"/>
        <v>y</v>
      </c>
      <c r="VXS1" s="154" t="str">
        <f t="shared" si="242"/>
        <v>y</v>
      </c>
      <c r="VXT1" s="154" t="str">
        <f t="shared" si="242"/>
        <v>y</v>
      </c>
      <c r="VXU1" s="154" t="str">
        <f t="shared" si="242"/>
        <v>y</v>
      </c>
      <c r="VXV1" s="154" t="str">
        <f t="shared" si="242"/>
        <v>y</v>
      </c>
      <c r="VXW1" s="154" t="str">
        <f t="shared" si="242"/>
        <v>y</v>
      </c>
      <c r="VXX1" s="154" t="str">
        <f t="shared" si="242"/>
        <v>y</v>
      </c>
      <c r="VXY1" s="154" t="str">
        <f t="shared" si="242"/>
        <v>y</v>
      </c>
      <c r="VXZ1" s="154" t="str">
        <f t="shared" si="242"/>
        <v>y</v>
      </c>
      <c r="VYA1" s="154" t="str">
        <f t="shared" si="242"/>
        <v>y</v>
      </c>
      <c r="VYB1" s="154" t="str">
        <f t="shared" si="242"/>
        <v>y</v>
      </c>
      <c r="VYC1" s="154" t="str">
        <f t="shared" si="242"/>
        <v>y</v>
      </c>
      <c r="VYD1" s="154" t="str">
        <f t="shared" si="242"/>
        <v>y</v>
      </c>
      <c r="VYE1" s="154" t="str">
        <f t="shared" si="242"/>
        <v>y</v>
      </c>
      <c r="VYF1" s="154" t="str">
        <f t="shared" si="242"/>
        <v>y</v>
      </c>
      <c r="VYG1" s="154" t="str">
        <f t="shared" si="242"/>
        <v>y</v>
      </c>
      <c r="VYH1" s="154" t="str">
        <f t="shared" si="242"/>
        <v>y</v>
      </c>
      <c r="VYI1" s="154" t="str">
        <f t="shared" si="242"/>
        <v>y</v>
      </c>
      <c r="VYJ1" s="154" t="str">
        <f t="shared" si="242"/>
        <v>y</v>
      </c>
      <c r="VYK1" s="154" t="str">
        <f t="shared" si="242"/>
        <v>y</v>
      </c>
      <c r="VYL1" s="154" t="str">
        <f t="shared" si="242"/>
        <v>y</v>
      </c>
      <c r="VYM1" s="154" t="str">
        <f t="shared" si="242"/>
        <v>y</v>
      </c>
      <c r="VYN1" s="154" t="str">
        <f t="shared" si="242"/>
        <v>y</v>
      </c>
      <c r="VYO1" s="154" t="str">
        <f t="shared" si="242"/>
        <v>y</v>
      </c>
      <c r="VYP1" s="154" t="str">
        <f t="shared" si="242"/>
        <v>y</v>
      </c>
      <c r="VYQ1" s="154" t="str">
        <f t="shared" si="242"/>
        <v>y</v>
      </c>
      <c r="VYR1" s="154" t="str">
        <f t="shared" si="242"/>
        <v>y</v>
      </c>
      <c r="VYS1" s="154" t="str">
        <f t="shared" si="242"/>
        <v>y</v>
      </c>
      <c r="VYT1" s="154" t="str">
        <f t="shared" si="242"/>
        <v>y</v>
      </c>
      <c r="VYU1" s="154" t="str">
        <f t="shared" si="242"/>
        <v>y</v>
      </c>
      <c r="VYV1" s="154" t="str">
        <f t="shared" si="242"/>
        <v>y</v>
      </c>
      <c r="VYW1" s="154" t="str">
        <f t="shared" si="242"/>
        <v>y</v>
      </c>
      <c r="VYX1" s="154" t="str">
        <f t="shared" si="242"/>
        <v>y</v>
      </c>
      <c r="VYY1" s="154" t="str">
        <f t="shared" si="242"/>
        <v>y</v>
      </c>
      <c r="VYZ1" s="154" t="str">
        <f t="shared" si="242"/>
        <v>y</v>
      </c>
      <c r="VZA1" s="154" t="str">
        <f t="shared" si="242"/>
        <v>y</v>
      </c>
      <c r="VZB1" s="154" t="str">
        <f t="shared" si="242"/>
        <v>y</v>
      </c>
      <c r="VZC1" s="154" t="str">
        <f t="shared" si="242"/>
        <v>y</v>
      </c>
      <c r="VZD1" s="154" t="str">
        <f t="shared" si="242"/>
        <v>y</v>
      </c>
      <c r="VZE1" s="154" t="str">
        <f t="shared" si="242"/>
        <v>y</v>
      </c>
      <c r="VZF1" s="154" t="str">
        <f t="shared" si="242"/>
        <v>y</v>
      </c>
      <c r="VZG1" s="154" t="str">
        <f t="shared" si="242"/>
        <v>y</v>
      </c>
      <c r="VZH1" s="154" t="str">
        <f t="shared" ref="VZH1:WBS1" si="243">VZH2&amp;"y"</f>
        <v>y</v>
      </c>
      <c r="VZI1" s="154" t="str">
        <f t="shared" si="243"/>
        <v>y</v>
      </c>
      <c r="VZJ1" s="154" t="str">
        <f t="shared" si="243"/>
        <v>y</v>
      </c>
      <c r="VZK1" s="154" t="str">
        <f t="shared" si="243"/>
        <v>y</v>
      </c>
      <c r="VZL1" s="154" t="str">
        <f t="shared" si="243"/>
        <v>y</v>
      </c>
      <c r="VZM1" s="154" t="str">
        <f t="shared" si="243"/>
        <v>y</v>
      </c>
      <c r="VZN1" s="154" t="str">
        <f t="shared" si="243"/>
        <v>y</v>
      </c>
      <c r="VZO1" s="154" t="str">
        <f t="shared" si="243"/>
        <v>y</v>
      </c>
      <c r="VZP1" s="154" t="str">
        <f t="shared" si="243"/>
        <v>y</v>
      </c>
      <c r="VZQ1" s="154" t="str">
        <f t="shared" si="243"/>
        <v>y</v>
      </c>
      <c r="VZR1" s="154" t="str">
        <f t="shared" si="243"/>
        <v>y</v>
      </c>
      <c r="VZS1" s="154" t="str">
        <f t="shared" si="243"/>
        <v>y</v>
      </c>
      <c r="VZT1" s="154" t="str">
        <f t="shared" si="243"/>
        <v>y</v>
      </c>
      <c r="VZU1" s="154" t="str">
        <f t="shared" si="243"/>
        <v>y</v>
      </c>
      <c r="VZV1" s="154" t="str">
        <f t="shared" si="243"/>
        <v>y</v>
      </c>
      <c r="VZW1" s="154" t="str">
        <f t="shared" si="243"/>
        <v>y</v>
      </c>
      <c r="VZX1" s="154" t="str">
        <f t="shared" si="243"/>
        <v>y</v>
      </c>
      <c r="VZY1" s="154" t="str">
        <f t="shared" si="243"/>
        <v>y</v>
      </c>
      <c r="VZZ1" s="154" t="str">
        <f t="shared" si="243"/>
        <v>y</v>
      </c>
      <c r="WAA1" s="154" t="str">
        <f t="shared" si="243"/>
        <v>y</v>
      </c>
      <c r="WAB1" s="154" t="str">
        <f t="shared" si="243"/>
        <v>y</v>
      </c>
      <c r="WAC1" s="154" t="str">
        <f t="shared" si="243"/>
        <v>y</v>
      </c>
      <c r="WAD1" s="154" t="str">
        <f t="shared" si="243"/>
        <v>y</v>
      </c>
      <c r="WAE1" s="154" t="str">
        <f t="shared" si="243"/>
        <v>y</v>
      </c>
      <c r="WAF1" s="154" t="str">
        <f t="shared" si="243"/>
        <v>y</v>
      </c>
      <c r="WAG1" s="154" t="str">
        <f t="shared" si="243"/>
        <v>y</v>
      </c>
      <c r="WAH1" s="154" t="str">
        <f t="shared" si="243"/>
        <v>y</v>
      </c>
      <c r="WAI1" s="154" t="str">
        <f t="shared" si="243"/>
        <v>y</v>
      </c>
      <c r="WAJ1" s="154" t="str">
        <f t="shared" si="243"/>
        <v>y</v>
      </c>
      <c r="WAK1" s="154" t="str">
        <f t="shared" si="243"/>
        <v>y</v>
      </c>
      <c r="WAL1" s="154" t="str">
        <f t="shared" si="243"/>
        <v>y</v>
      </c>
      <c r="WAM1" s="154" t="str">
        <f t="shared" si="243"/>
        <v>y</v>
      </c>
      <c r="WAN1" s="154" t="str">
        <f t="shared" si="243"/>
        <v>y</v>
      </c>
      <c r="WAO1" s="154" t="str">
        <f t="shared" si="243"/>
        <v>y</v>
      </c>
      <c r="WAP1" s="154" t="str">
        <f t="shared" si="243"/>
        <v>y</v>
      </c>
      <c r="WAQ1" s="154" t="str">
        <f t="shared" si="243"/>
        <v>y</v>
      </c>
      <c r="WAR1" s="154" t="str">
        <f t="shared" si="243"/>
        <v>y</v>
      </c>
      <c r="WAS1" s="154" t="str">
        <f t="shared" si="243"/>
        <v>y</v>
      </c>
      <c r="WAT1" s="154" t="str">
        <f t="shared" si="243"/>
        <v>y</v>
      </c>
      <c r="WAU1" s="154" t="str">
        <f t="shared" si="243"/>
        <v>y</v>
      </c>
      <c r="WAV1" s="154" t="str">
        <f t="shared" si="243"/>
        <v>y</v>
      </c>
      <c r="WAW1" s="154" t="str">
        <f t="shared" si="243"/>
        <v>y</v>
      </c>
      <c r="WAX1" s="154" t="str">
        <f t="shared" si="243"/>
        <v>y</v>
      </c>
      <c r="WAY1" s="154" t="str">
        <f t="shared" si="243"/>
        <v>y</v>
      </c>
      <c r="WAZ1" s="154" t="str">
        <f t="shared" si="243"/>
        <v>y</v>
      </c>
      <c r="WBA1" s="154" t="str">
        <f t="shared" si="243"/>
        <v>y</v>
      </c>
      <c r="WBB1" s="154" t="str">
        <f t="shared" si="243"/>
        <v>y</v>
      </c>
      <c r="WBC1" s="154" t="str">
        <f t="shared" si="243"/>
        <v>y</v>
      </c>
      <c r="WBD1" s="154" t="str">
        <f t="shared" si="243"/>
        <v>y</v>
      </c>
      <c r="WBE1" s="154" t="str">
        <f t="shared" si="243"/>
        <v>y</v>
      </c>
      <c r="WBF1" s="154" t="str">
        <f t="shared" si="243"/>
        <v>y</v>
      </c>
      <c r="WBG1" s="154" t="str">
        <f t="shared" si="243"/>
        <v>y</v>
      </c>
      <c r="WBH1" s="154" t="str">
        <f t="shared" si="243"/>
        <v>y</v>
      </c>
      <c r="WBI1" s="154" t="str">
        <f t="shared" si="243"/>
        <v>y</v>
      </c>
      <c r="WBJ1" s="154" t="str">
        <f t="shared" si="243"/>
        <v>y</v>
      </c>
      <c r="WBK1" s="154" t="str">
        <f t="shared" si="243"/>
        <v>y</v>
      </c>
      <c r="WBL1" s="154" t="str">
        <f t="shared" si="243"/>
        <v>y</v>
      </c>
      <c r="WBM1" s="154" t="str">
        <f t="shared" si="243"/>
        <v>y</v>
      </c>
      <c r="WBN1" s="154" t="str">
        <f t="shared" si="243"/>
        <v>y</v>
      </c>
      <c r="WBO1" s="154" t="str">
        <f t="shared" si="243"/>
        <v>y</v>
      </c>
      <c r="WBP1" s="154" t="str">
        <f t="shared" si="243"/>
        <v>y</v>
      </c>
      <c r="WBQ1" s="154" t="str">
        <f t="shared" si="243"/>
        <v>y</v>
      </c>
      <c r="WBR1" s="154" t="str">
        <f t="shared" si="243"/>
        <v>y</v>
      </c>
      <c r="WBS1" s="154" t="str">
        <f t="shared" si="243"/>
        <v>y</v>
      </c>
      <c r="WBT1" s="154" t="str">
        <f t="shared" ref="WBT1:WEE1" si="244">WBT2&amp;"y"</f>
        <v>y</v>
      </c>
      <c r="WBU1" s="154" t="str">
        <f t="shared" si="244"/>
        <v>y</v>
      </c>
      <c r="WBV1" s="154" t="str">
        <f t="shared" si="244"/>
        <v>y</v>
      </c>
      <c r="WBW1" s="154" t="str">
        <f t="shared" si="244"/>
        <v>y</v>
      </c>
      <c r="WBX1" s="154" t="str">
        <f t="shared" si="244"/>
        <v>y</v>
      </c>
      <c r="WBY1" s="154" t="str">
        <f t="shared" si="244"/>
        <v>y</v>
      </c>
      <c r="WBZ1" s="154" t="str">
        <f t="shared" si="244"/>
        <v>y</v>
      </c>
      <c r="WCA1" s="154" t="str">
        <f t="shared" si="244"/>
        <v>y</v>
      </c>
      <c r="WCB1" s="154" t="str">
        <f t="shared" si="244"/>
        <v>y</v>
      </c>
      <c r="WCC1" s="154" t="str">
        <f t="shared" si="244"/>
        <v>y</v>
      </c>
      <c r="WCD1" s="154" t="str">
        <f t="shared" si="244"/>
        <v>y</v>
      </c>
      <c r="WCE1" s="154" t="str">
        <f t="shared" si="244"/>
        <v>y</v>
      </c>
      <c r="WCF1" s="154" t="str">
        <f t="shared" si="244"/>
        <v>y</v>
      </c>
      <c r="WCG1" s="154" t="str">
        <f t="shared" si="244"/>
        <v>y</v>
      </c>
      <c r="WCH1" s="154" t="str">
        <f t="shared" si="244"/>
        <v>y</v>
      </c>
      <c r="WCI1" s="154" t="str">
        <f t="shared" si="244"/>
        <v>y</v>
      </c>
      <c r="WCJ1" s="154" t="str">
        <f t="shared" si="244"/>
        <v>y</v>
      </c>
      <c r="WCK1" s="154" t="str">
        <f t="shared" si="244"/>
        <v>y</v>
      </c>
      <c r="WCL1" s="154" t="str">
        <f t="shared" si="244"/>
        <v>y</v>
      </c>
      <c r="WCM1" s="154" t="str">
        <f t="shared" si="244"/>
        <v>y</v>
      </c>
      <c r="WCN1" s="154" t="str">
        <f t="shared" si="244"/>
        <v>y</v>
      </c>
      <c r="WCO1" s="154" t="str">
        <f t="shared" si="244"/>
        <v>y</v>
      </c>
      <c r="WCP1" s="154" t="str">
        <f t="shared" si="244"/>
        <v>y</v>
      </c>
      <c r="WCQ1" s="154" t="str">
        <f t="shared" si="244"/>
        <v>y</v>
      </c>
      <c r="WCR1" s="154" t="str">
        <f t="shared" si="244"/>
        <v>y</v>
      </c>
      <c r="WCS1" s="154" t="str">
        <f t="shared" si="244"/>
        <v>y</v>
      </c>
      <c r="WCT1" s="154" t="str">
        <f t="shared" si="244"/>
        <v>y</v>
      </c>
      <c r="WCU1" s="154" t="str">
        <f t="shared" si="244"/>
        <v>y</v>
      </c>
      <c r="WCV1" s="154" t="str">
        <f t="shared" si="244"/>
        <v>y</v>
      </c>
      <c r="WCW1" s="154" t="str">
        <f t="shared" si="244"/>
        <v>y</v>
      </c>
      <c r="WCX1" s="154" t="str">
        <f t="shared" si="244"/>
        <v>y</v>
      </c>
      <c r="WCY1" s="154" t="str">
        <f t="shared" si="244"/>
        <v>y</v>
      </c>
      <c r="WCZ1" s="154" t="str">
        <f t="shared" si="244"/>
        <v>y</v>
      </c>
      <c r="WDA1" s="154" t="str">
        <f t="shared" si="244"/>
        <v>y</v>
      </c>
      <c r="WDB1" s="154" t="str">
        <f t="shared" si="244"/>
        <v>y</v>
      </c>
      <c r="WDC1" s="154" t="str">
        <f t="shared" si="244"/>
        <v>y</v>
      </c>
      <c r="WDD1" s="154" t="str">
        <f t="shared" si="244"/>
        <v>y</v>
      </c>
      <c r="WDE1" s="154" t="str">
        <f t="shared" si="244"/>
        <v>y</v>
      </c>
      <c r="WDF1" s="154" t="str">
        <f t="shared" si="244"/>
        <v>y</v>
      </c>
      <c r="WDG1" s="154" t="str">
        <f t="shared" si="244"/>
        <v>y</v>
      </c>
      <c r="WDH1" s="154" t="str">
        <f t="shared" si="244"/>
        <v>y</v>
      </c>
      <c r="WDI1" s="154" t="str">
        <f t="shared" si="244"/>
        <v>y</v>
      </c>
      <c r="WDJ1" s="154" t="str">
        <f t="shared" si="244"/>
        <v>y</v>
      </c>
      <c r="WDK1" s="154" t="str">
        <f t="shared" si="244"/>
        <v>y</v>
      </c>
      <c r="WDL1" s="154" t="str">
        <f t="shared" si="244"/>
        <v>y</v>
      </c>
      <c r="WDM1" s="154" t="str">
        <f t="shared" si="244"/>
        <v>y</v>
      </c>
      <c r="WDN1" s="154" t="str">
        <f t="shared" si="244"/>
        <v>y</v>
      </c>
      <c r="WDO1" s="154" t="str">
        <f t="shared" si="244"/>
        <v>y</v>
      </c>
      <c r="WDP1" s="154" t="str">
        <f t="shared" si="244"/>
        <v>y</v>
      </c>
      <c r="WDQ1" s="154" t="str">
        <f t="shared" si="244"/>
        <v>y</v>
      </c>
      <c r="WDR1" s="154" t="str">
        <f t="shared" si="244"/>
        <v>y</v>
      </c>
      <c r="WDS1" s="154" t="str">
        <f t="shared" si="244"/>
        <v>y</v>
      </c>
      <c r="WDT1" s="154" t="str">
        <f t="shared" si="244"/>
        <v>y</v>
      </c>
      <c r="WDU1" s="154" t="str">
        <f t="shared" si="244"/>
        <v>y</v>
      </c>
      <c r="WDV1" s="154" t="str">
        <f t="shared" si="244"/>
        <v>y</v>
      </c>
      <c r="WDW1" s="154" t="str">
        <f t="shared" si="244"/>
        <v>y</v>
      </c>
      <c r="WDX1" s="154" t="str">
        <f t="shared" si="244"/>
        <v>y</v>
      </c>
      <c r="WDY1" s="154" t="str">
        <f t="shared" si="244"/>
        <v>y</v>
      </c>
      <c r="WDZ1" s="154" t="str">
        <f t="shared" si="244"/>
        <v>y</v>
      </c>
      <c r="WEA1" s="154" t="str">
        <f t="shared" si="244"/>
        <v>y</v>
      </c>
      <c r="WEB1" s="154" t="str">
        <f t="shared" si="244"/>
        <v>y</v>
      </c>
      <c r="WEC1" s="154" t="str">
        <f t="shared" si="244"/>
        <v>y</v>
      </c>
      <c r="WED1" s="154" t="str">
        <f t="shared" si="244"/>
        <v>y</v>
      </c>
      <c r="WEE1" s="154" t="str">
        <f t="shared" si="244"/>
        <v>y</v>
      </c>
      <c r="WEF1" s="154" t="str">
        <f t="shared" ref="WEF1:WGQ1" si="245">WEF2&amp;"y"</f>
        <v>y</v>
      </c>
      <c r="WEG1" s="154" t="str">
        <f t="shared" si="245"/>
        <v>y</v>
      </c>
      <c r="WEH1" s="154" t="str">
        <f t="shared" si="245"/>
        <v>y</v>
      </c>
      <c r="WEI1" s="154" t="str">
        <f t="shared" si="245"/>
        <v>y</v>
      </c>
      <c r="WEJ1" s="154" t="str">
        <f t="shared" si="245"/>
        <v>y</v>
      </c>
      <c r="WEK1" s="154" t="str">
        <f t="shared" si="245"/>
        <v>y</v>
      </c>
      <c r="WEL1" s="154" t="str">
        <f t="shared" si="245"/>
        <v>y</v>
      </c>
      <c r="WEM1" s="154" t="str">
        <f t="shared" si="245"/>
        <v>y</v>
      </c>
      <c r="WEN1" s="154" t="str">
        <f t="shared" si="245"/>
        <v>y</v>
      </c>
      <c r="WEO1" s="154" t="str">
        <f t="shared" si="245"/>
        <v>y</v>
      </c>
      <c r="WEP1" s="154" t="str">
        <f t="shared" si="245"/>
        <v>y</v>
      </c>
      <c r="WEQ1" s="154" t="str">
        <f t="shared" si="245"/>
        <v>y</v>
      </c>
      <c r="WER1" s="154" t="str">
        <f t="shared" si="245"/>
        <v>y</v>
      </c>
      <c r="WES1" s="154" t="str">
        <f t="shared" si="245"/>
        <v>y</v>
      </c>
      <c r="WET1" s="154" t="str">
        <f t="shared" si="245"/>
        <v>y</v>
      </c>
      <c r="WEU1" s="154" t="str">
        <f t="shared" si="245"/>
        <v>y</v>
      </c>
      <c r="WEV1" s="154" t="str">
        <f t="shared" si="245"/>
        <v>y</v>
      </c>
      <c r="WEW1" s="154" t="str">
        <f t="shared" si="245"/>
        <v>y</v>
      </c>
      <c r="WEX1" s="154" t="str">
        <f t="shared" si="245"/>
        <v>y</v>
      </c>
      <c r="WEY1" s="154" t="str">
        <f t="shared" si="245"/>
        <v>y</v>
      </c>
      <c r="WEZ1" s="154" t="str">
        <f t="shared" si="245"/>
        <v>y</v>
      </c>
      <c r="WFA1" s="154" t="str">
        <f t="shared" si="245"/>
        <v>y</v>
      </c>
      <c r="WFB1" s="154" t="str">
        <f t="shared" si="245"/>
        <v>y</v>
      </c>
      <c r="WFC1" s="154" t="str">
        <f t="shared" si="245"/>
        <v>y</v>
      </c>
      <c r="WFD1" s="154" t="str">
        <f t="shared" si="245"/>
        <v>y</v>
      </c>
      <c r="WFE1" s="154" t="str">
        <f t="shared" si="245"/>
        <v>y</v>
      </c>
      <c r="WFF1" s="154" t="str">
        <f t="shared" si="245"/>
        <v>y</v>
      </c>
      <c r="WFG1" s="154" t="str">
        <f t="shared" si="245"/>
        <v>y</v>
      </c>
      <c r="WFH1" s="154" t="str">
        <f t="shared" si="245"/>
        <v>y</v>
      </c>
      <c r="WFI1" s="154" t="str">
        <f t="shared" si="245"/>
        <v>y</v>
      </c>
      <c r="WFJ1" s="154" t="str">
        <f t="shared" si="245"/>
        <v>y</v>
      </c>
      <c r="WFK1" s="154" t="str">
        <f t="shared" si="245"/>
        <v>y</v>
      </c>
      <c r="WFL1" s="154" t="str">
        <f t="shared" si="245"/>
        <v>y</v>
      </c>
      <c r="WFM1" s="154" t="str">
        <f t="shared" si="245"/>
        <v>y</v>
      </c>
      <c r="WFN1" s="154" t="str">
        <f t="shared" si="245"/>
        <v>y</v>
      </c>
      <c r="WFO1" s="154" t="str">
        <f t="shared" si="245"/>
        <v>y</v>
      </c>
      <c r="WFP1" s="154" t="str">
        <f t="shared" si="245"/>
        <v>y</v>
      </c>
      <c r="WFQ1" s="154" t="str">
        <f t="shared" si="245"/>
        <v>y</v>
      </c>
      <c r="WFR1" s="154" t="str">
        <f t="shared" si="245"/>
        <v>y</v>
      </c>
      <c r="WFS1" s="154" t="str">
        <f t="shared" si="245"/>
        <v>y</v>
      </c>
      <c r="WFT1" s="154" t="str">
        <f t="shared" si="245"/>
        <v>y</v>
      </c>
      <c r="WFU1" s="154" t="str">
        <f t="shared" si="245"/>
        <v>y</v>
      </c>
      <c r="WFV1" s="154" t="str">
        <f t="shared" si="245"/>
        <v>y</v>
      </c>
      <c r="WFW1" s="154" t="str">
        <f t="shared" si="245"/>
        <v>y</v>
      </c>
      <c r="WFX1" s="154" t="str">
        <f t="shared" si="245"/>
        <v>y</v>
      </c>
      <c r="WFY1" s="154" t="str">
        <f t="shared" si="245"/>
        <v>y</v>
      </c>
      <c r="WFZ1" s="154" t="str">
        <f t="shared" si="245"/>
        <v>y</v>
      </c>
      <c r="WGA1" s="154" t="str">
        <f t="shared" si="245"/>
        <v>y</v>
      </c>
      <c r="WGB1" s="154" t="str">
        <f t="shared" si="245"/>
        <v>y</v>
      </c>
      <c r="WGC1" s="154" t="str">
        <f t="shared" si="245"/>
        <v>y</v>
      </c>
      <c r="WGD1" s="154" t="str">
        <f t="shared" si="245"/>
        <v>y</v>
      </c>
      <c r="WGE1" s="154" t="str">
        <f t="shared" si="245"/>
        <v>y</v>
      </c>
      <c r="WGF1" s="154" t="str">
        <f t="shared" si="245"/>
        <v>y</v>
      </c>
      <c r="WGG1" s="154" t="str">
        <f t="shared" si="245"/>
        <v>y</v>
      </c>
      <c r="WGH1" s="154" t="str">
        <f t="shared" si="245"/>
        <v>y</v>
      </c>
      <c r="WGI1" s="154" t="str">
        <f t="shared" si="245"/>
        <v>y</v>
      </c>
      <c r="WGJ1" s="154" t="str">
        <f t="shared" si="245"/>
        <v>y</v>
      </c>
      <c r="WGK1" s="154" t="str">
        <f t="shared" si="245"/>
        <v>y</v>
      </c>
      <c r="WGL1" s="154" t="str">
        <f t="shared" si="245"/>
        <v>y</v>
      </c>
      <c r="WGM1" s="154" t="str">
        <f t="shared" si="245"/>
        <v>y</v>
      </c>
      <c r="WGN1" s="154" t="str">
        <f t="shared" si="245"/>
        <v>y</v>
      </c>
      <c r="WGO1" s="154" t="str">
        <f t="shared" si="245"/>
        <v>y</v>
      </c>
      <c r="WGP1" s="154" t="str">
        <f t="shared" si="245"/>
        <v>y</v>
      </c>
      <c r="WGQ1" s="154" t="str">
        <f t="shared" si="245"/>
        <v>y</v>
      </c>
      <c r="WGR1" s="154" t="str">
        <f t="shared" ref="WGR1:WJC1" si="246">WGR2&amp;"y"</f>
        <v>y</v>
      </c>
      <c r="WGS1" s="154" t="str">
        <f t="shared" si="246"/>
        <v>y</v>
      </c>
      <c r="WGT1" s="154" t="str">
        <f t="shared" si="246"/>
        <v>y</v>
      </c>
      <c r="WGU1" s="154" t="str">
        <f t="shared" si="246"/>
        <v>y</v>
      </c>
      <c r="WGV1" s="154" t="str">
        <f t="shared" si="246"/>
        <v>y</v>
      </c>
      <c r="WGW1" s="154" t="str">
        <f t="shared" si="246"/>
        <v>y</v>
      </c>
      <c r="WGX1" s="154" t="str">
        <f t="shared" si="246"/>
        <v>y</v>
      </c>
      <c r="WGY1" s="154" t="str">
        <f t="shared" si="246"/>
        <v>y</v>
      </c>
      <c r="WGZ1" s="154" t="str">
        <f t="shared" si="246"/>
        <v>y</v>
      </c>
      <c r="WHA1" s="154" t="str">
        <f t="shared" si="246"/>
        <v>y</v>
      </c>
      <c r="WHB1" s="154" t="str">
        <f t="shared" si="246"/>
        <v>y</v>
      </c>
      <c r="WHC1" s="154" t="str">
        <f t="shared" si="246"/>
        <v>y</v>
      </c>
      <c r="WHD1" s="154" t="str">
        <f t="shared" si="246"/>
        <v>y</v>
      </c>
      <c r="WHE1" s="154" t="str">
        <f t="shared" si="246"/>
        <v>y</v>
      </c>
      <c r="WHF1" s="154" t="str">
        <f t="shared" si="246"/>
        <v>y</v>
      </c>
      <c r="WHG1" s="154" t="str">
        <f t="shared" si="246"/>
        <v>y</v>
      </c>
      <c r="WHH1" s="154" t="str">
        <f t="shared" si="246"/>
        <v>y</v>
      </c>
      <c r="WHI1" s="154" t="str">
        <f t="shared" si="246"/>
        <v>y</v>
      </c>
      <c r="WHJ1" s="154" t="str">
        <f t="shared" si="246"/>
        <v>y</v>
      </c>
      <c r="WHK1" s="154" t="str">
        <f t="shared" si="246"/>
        <v>y</v>
      </c>
      <c r="WHL1" s="154" t="str">
        <f t="shared" si="246"/>
        <v>y</v>
      </c>
      <c r="WHM1" s="154" t="str">
        <f t="shared" si="246"/>
        <v>y</v>
      </c>
      <c r="WHN1" s="154" t="str">
        <f t="shared" si="246"/>
        <v>y</v>
      </c>
      <c r="WHO1" s="154" t="str">
        <f t="shared" si="246"/>
        <v>y</v>
      </c>
      <c r="WHP1" s="154" t="str">
        <f t="shared" si="246"/>
        <v>y</v>
      </c>
      <c r="WHQ1" s="154" t="str">
        <f t="shared" si="246"/>
        <v>y</v>
      </c>
      <c r="WHR1" s="154" t="str">
        <f t="shared" si="246"/>
        <v>y</v>
      </c>
      <c r="WHS1" s="154" t="str">
        <f t="shared" si="246"/>
        <v>y</v>
      </c>
      <c r="WHT1" s="154" t="str">
        <f t="shared" si="246"/>
        <v>y</v>
      </c>
      <c r="WHU1" s="154" t="str">
        <f t="shared" si="246"/>
        <v>y</v>
      </c>
      <c r="WHV1" s="154" t="str">
        <f t="shared" si="246"/>
        <v>y</v>
      </c>
      <c r="WHW1" s="154" t="str">
        <f t="shared" si="246"/>
        <v>y</v>
      </c>
      <c r="WHX1" s="154" t="str">
        <f t="shared" si="246"/>
        <v>y</v>
      </c>
      <c r="WHY1" s="154" t="str">
        <f t="shared" si="246"/>
        <v>y</v>
      </c>
      <c r="WHZ1" s="154" t="str">
        <f t="shared" si="246"/>
        <v>y</v>
      </c>
      <c r="WIA1" s="154" t="str">
        <f t="shared" si="246"/>
        <v>y</v>
      </c>
      <c r="WIB1" s="154" t="str">
        <f t="shared" si="246"/>
        <v>y</v>
      </c>
      <c r="WIC1" s="154" t="str">
        <f t="shared" si="246"/>
        <v>y</v>
      </c>
      <c r="WID1" s="154" t="str">
        <f t="shared" si="246"/>
        <v>y</v>
      </c>
      <c r="WIE1" s="154" t="str">
        <f t="shared" si="246"/>
        <v>y</v>
      </c>
      <c r="WIF1" s="154" t="str">
        <f t="shared" si="246"/>
        <v>y</v>
      </c>
      <c r="WIG1" s="154" t="str">
        <f t="shared" si="246"/>
        <v>y</v>
      </c>
      <c r="WIH1" s="154" t="str">
        <f t="shared" si="246"/>
        <v>y</v>
      </c>
      <c r="WII1" s="154" t="str">
        <f t="shared" si="246"/>
        <v>y</v>
      </c>
      <c r="WIJ1" s="154" t="str">
        <f t="shared" si="246"/>
        <v>y</v>
      </c>
      <c r="WIK1" s="154" t="str">
        <f t="shared" si="246"/>
        <v>y</v>
      </c>
      <c r="WIL1" s="154" t="str">
        <f t="shared" si="246"/>
        <v>y</v>
      </c>
      <c r="WIM1" s="154" t="str">
        <f t="shared" si="246"/>
        <v>y</v>
      </c>
      <c r="WIN1" s="154" t="str">
        <f t="shared" si="246"/>
        <v>y</v>
      </c>
      <c r="WIO1" s="154" t="str">
        <f t="shared" si="246"/>
        <v>y</v>
      </c>
      <c r="WIP1" s="154" t="str">
        <f t="shared" si="246"/>
        <v>y</v>
      </c>
      <c r="WIQ1" s="154" t="str">
        <f t="shared" si="246"/>
        <v>y</v>
      </c>
      <c r="WIR1" s="154" t="str">
        <f t="shared" si="246"/>
        <v>y</v>
      </c>
      <c r="WIS1" s="154" t="str">
        <f t="shared" si="246"/>
        <v>y</v>
      </c>
      <c r="WIT1" s="154" t="str">
        <f t="shared" si="246"/>
        <v>y</v>
      </c>
      <c r="WIU1" s="154" t="str">
        <f t="shared" si="246"/>
        <v>y</v>
      </c>
      <c r="WIV1" s="154" t="str">
        <f t="shared" si="246"/>
        <v>y</v>
      </c>
      <c r="WIW1" s="154" t="str">
        <f t="shared" si="246"/>
        <v>y</v>
      </c>
      <c r="WIX1" s="154" t="str">
        <f t="shared" si="246"/>
        <v>y</v>
      </c>
      <c r="WIY1" s="154" t="str">
        <f t="shared" si="246"/>
        <v>y</v>
      </c>
      <c r="WIZ1" s="154" t="str">
        <f t="shared" si="246"/>
        <v>y</v>
      </c>
      <c r="WJA1" s="154" t="str">
        <f t="shared" si="246"/>
        <v>y</v>
      </c>
      <c r="WJB1" s="154" t="str">
        <f t="shared" si="246"/>
        <v>y</v>
      </c>
      <c r="WJC1" s="154" t="str">
        <f t="shared" si="246"/>
        <v>y</v>
      </c>
      <c r="WJD1" s="154" t="str">
        <f t="shared" ref="WJD1:WLO1" si="247">WJD2&amp;"y"</f>
        <v>y</v>
      </c>
      <c r="WJE1" s="154" t="str">
        <f t="shared" si="247"/>
        <v>y</v>
      </c>
      <c r="WJF1" s="154" t="str">
        <f t="shared" si="247"/>
        <v>y</v>
      </c>
      <c r="WJG1" s="154" t="str">
        <f t="shared" si="247"/>
        <v>y</v>
      </c>
      <c r="WJH1" s="154" t="str">
        <f t="shared" si="247"/>
        <v>y</v>
      </c>
      <c r="WJI1" s="154" t="str">
        <f t="shared" si="247"/>
        <v>y</v>
      </c>
      <c r="WJJ1" s="154" t="str">
        <f t="shared" si="247"/>
        <v>y</v>
      </c>
      <c r="WJK1" s="154" t="str">
        <f t="shared" si="247"/>
        <v>y</v>
      </c>
      <c r="WJL1" s="154" t="str">
        <f t="shared" si="247"/>
        <v>y</v>
      </c>
      <c r="WJM1" s="154" t="str">
        <f t="shared" si="247"/>
        <v>y</v>
      </c>
      <c r="WJN1" s="154" t="str">
        <f t="shared" si="247"/>
        <v>y</v>
      </c>
      <c r="WJO1" s="154" t="str">
        <f t="shared" si="247"/>
        <v>y</v>
      </c>
      <c r="WJP1" s="154" t="str">
        <f t="shared" si="247"/>
        <v>y</v>
      </c>
      <c r="WJQ1" s="154" t="str">
        <f t="shared" si="247"/>
        <v>y</v>
      </c>
      <c r="WJR1" s="154" t="str">
        <f t="shared" si="247"/>
        <v>y</v>
      </c>
      <c r="WJS1" s="154" t="str">
        <f t="shared" si="247"/>
        <v>y</v>
      </c>
      <c r="WJT1" s="154" t="str">
        <f t="shared" si="247"/>
        <v>y</v>
      </c>
      <c r="WJU1" s="154" t="str">
        <f t="shared" si="247"/>
        <v>y</v>
      </c>
      <c r="WJV1" s="154" t="str">
        <f t="shared" si="247"/>
        <v>y</v>
      </c>
      <c r="WJW1" s="154" t="str">
        <f t="shared" si="247"/>
        <v>y</v>
      </c>
      <c r="WJX1" s="154" t="str">
        <f t="shared" si="247"/>
        <v>y</v>
      </c>
      <c r="WJY1" s="154" t="str">
        <f t="shared" si="247"/>
        <v>y</v>
      </c>
      <c r="WJZ1" s="154" t="str">
        <f t="shared" si="247"/>
        <v>y</v>
      </c>
      <c r="WKA1" s="154" t="str">
        <f t="shared" si="247"/>
        <v>y</v>
      </c>
      <c r="WKB1" s="154" t="str">
        <f t="shared" si="247"/>
        <v>y</v>
      </c>
      <c r="WKC1" s="154" t="str">
        <f t="shared" si="247"/>
        <v>y</v>
      </c>
      <c r="WKD1" s="154" t="str">
        <f t="shared" si="247"/>
        <v>y</v>
      </c>
      <c r="WKE1" s="154" t="str">
        <f t="shared" si="247"/>
        <v>y</v>
      </c>
      <c r="WKF1" s="154" t="str">
        <f t="shared" si="247"/>
        <v>y</v>
      </c>
      <c r="WKG1" s="154" t="str">
        <f t="shared" si="247"/>
        <v>y</v>
      </c>
      <c r="WKH1" s="154" t="str">
        <f t="shared" si="247"/>
        <v>y</v>
      </c>
      <c r="WKI1" s="154" t="str">
        <f t="shared" si="247"/>
        <v>y</v>
      </c>
      <c r="WKJ1" s="154" t="str">
        <f t="shared" si="247"/>
        <v>y</v>
      </c>
      <c r="WKK1" s="154" t="str">
        <f t="shared" si="247"/>
        <v>y</v>
      </c>
      <c r="WKL1" s="154" t="str">
        <f t="shared" si="247"/>
        <v>y</v>
      </c>
      <c r="WKM1" s="154" t="str">
        <f t="shared" si="247"/>
        <v>y</v>
      </c>
      <c r="WKN1" s="154" t="str">
        <f t="shared" si="247"/>
        <v>y</v>
      </c>
      <c r="WKO1" s="154" t="str">
        <f t="shared" si="247"/>
        <v>y</v>
      </c>
      <c r="WKP1" s="154" t="str">
        <f t="shared" si="247"/>
        <v>y</v>
      </c>
      <c r="WKQ1" s="154" t="str">
        <f t="shared" si="247"/>
        <v>y</v>
      </c>
      <c r="WKR1" s="154" t="str">
        <f t="shared" si="247"/>
        <v>y</v>
      </c>
      <c r="WKS1" s="154" t="str">
        <f t="shared" si="247"/>
        <v>y</v>
      </c>
      <c r="WKT1" s="154" t="str">
        <f t="shared" si="247"/>
        <v>y</v>
      </c>
      <c r="WKU1" s="154" t="str">
        <f t="shared" si="247"/>
        <v>y</v>
      </c>
      <c r="WKV1" s="154" t="str">
        <f t="shared" si="247"/>
        <v>y</v>
      </c>
      <c r="WKW1" s="154" t="str">
        <f t="shared" si="247"/>
        <v>y</v>
      </c>
      <c r="WKX1" s="154" t="str">
        <f t="shared" si="247"/>
        <v>y</v>
      </c>
      <c r="WKY1" s="154" t="str">
        <f t="shared" si="247"/>
        <v>y</v>
      </c>
      <c r="WKZ1" s="154" t="str">
        <f t="shared" si="247"/>
        <v>y</v>
      </c>
      <c r="WLA1" s="154" t="str">
        <f t="shared" si="247"/>
        <v>y</v>
      </c>
      <c r="WLB1" s="154" t="str">
        <f t="shared" si="247"/>
        <v>y</v>
      </c>
      <c r="WLC1" s="154" t="str">
        <f t="shared" si="247"/>
        <v>y</v>
      </c>
      <c r="WLD1" s="154" t="str">
        <f t="shared" si="247"/>
        <v>y</v>
      </c>
      <c r="WLE1" s="154" t="str">
        <f t="shared" si="247"/>
        <v>y</v>
      </c>
      <c r="WLF1" s="154" t="str">
        <f t="shared" si="247"/>
        <v>y</v>
      </c>
      <c r="WLG1" s="154" t="str">
        <f t="shared" si="247"/>
        <v>y</v>
      </c>
      <c r="WLH1" s="154" t="str">
        <f t="shared" si="247"/>
        <v>y</v>
      </c>
      <c r="WLI1" s="154" t="str">
        <f t="shared" si="247"/>
        <v>y</v>
      </c>
      <c r="WLJ1" s="154" t="str">
        <f t="shared" si="247"/>
        <v>y</v>
      </c>
      <c r="WLK1" s="154" t="str">
        <f t="shared" si="247"/>
        <v>y</v>
      </c>
      <c r="WLL1" s="154" t="str">
        <f t="shared" si="247"/>
        <v>y</v>
      </c>
      <c r="WLM1" s="154" t="str">
        <f t="shared" si="247"/>
        <v>y</v>
      </c>
      <c r="WLN1" s="154" t="str">
        <f t="shared" si="247"/>
        <v>y</v>
      </c>
      <c r="WLO1" s="154" t="str">
        <f t="shared" si="247"/>
        <v>y</v>
      </c>
      <c r="WLP1" s="154" t="str">
        <f t="shared" ref="WLP1:WOA1" si="248">WLP2&amp;"y"</f>
        <v>y</v>
      </c>
      <c r="WLQ1" s="154" t="str">
        <f t="shared" si="248"/>
        <v>y</v>
      </c>
      <c r="WLR1" s="154" t="str">
        <f t="shared" si="248"/>
        <v>y</v>
      </c>
      <c r="WLS1" s="154" t="str">
        <f t="shared" si="248"/>
        <v>y</v>
      </c>
      <c r="WLT1" s="154" t="str">
        <f t="shared" si="248"/>
        <v>y</v>
      </c>
      <c r="WLU1" s="154" t="str">
        <f t="shared" si="248"/>
        <v>y</v>
      </c>
      <c r="WLV1" s="154" t="str">
        <f t="shared" si="248"/>
        <v>y</v>
      </c>
      <c r="WLW1" s="154" t="str">
        <f t="shared" si="248"/>
        <v>y</v>
      </c>
      <c r="WLX1" s="154" t="str">
        <f t="shared" si="248"/>
        <v>y</v>
      </c>
      <c r="WLY1" s="154" t="str">
        <f t="shared" si="248"/>
        <v>y</v>
      </c>
      <c r="WLZ1" s="154" t="str">
        <f t="shared" si="248"/>
        <v>y</v>
      </c>
      <c r="WMA1" s="154" t="str">
        <f t="shared" si="248"/>
        <v>y</v>
      </c>
      <c r="WMB1" s="154" t="str">
        <f t="shared" si="248"/>
        <v>y</v>
      </c>
      <c r="WMC1" s="154" t="str">
        <f t="shared" si="248"/>
        <v>y</v>
      </c>
      <c r="WMD1" s="154" t="str">
        <f t="shared" si="248"/>
        <v>y</v>
      </c>
      <c r="WME1" s="154" t="str">
        <f t="shared" si="248"/>
        <v>y</v>
      </c>
      <c r="WMF1" s="154" t="str">
        <f t="shared" si="248"/>
        <v>y</v>
      </c>
      <c r="WMG1" s="154" t="str">
        <f t="shared" si="248"/>
        <v>y</v>
      </c>
      <c r="WMH1" s="154" t="str">
        <f t="shared" si="248"/>
        <v>y</v>
      </c>
      <c r="WMI1" s="154" t="str">
        <f t="shared" si="248"/>
        <v>y</v>
      </c>
      <c r="WMJ1" s="154" t="str">
        <f t="shared" si="248"/>
        <v>y</v>
      </c>
      <c r="WMK1" s="154" t="str">
        <f t="shared" si="248"/>
        <v>y</v>
      </c>
      <c r="WML1" s="154" t="str">
        <f t="shared" si="248"/>
        <v>y</v>
      </c>
      <c r="WMM1" s="154" t="str">
        <f t="shared" si="248"/>
        <v>y</v>
      </c>
      <c r="WMN1" s="154" t="str">
        <f t="shared" si="248"/>
        <v>y</v>
      </c>
      <c r="WMO1" s="154" t="str">
        <f t="shared" si="248"/>
        <v>y</v>
      </c>
      <c r="WMP1" s="154" t="str">
        <f t="shared" si="248"/>
        <v>y</v>
      </c>
      <c r="WMQ1" s="154" t="str">
        <f t="shared" si="248"/>
        <v>y</v>
      </c>
      <c r="WMR1" s="154" t="str">
        <f t="shared" si="248"/>
        <v>y</v>
      </c>
      <c r="WMS1" s="154" t="str">
        <f t="shared" si="248"/>
        <v>y</v>
      </c>
      <c r="WMT1" s="154" t="str">
        <f t="shared" si="248"/>
        <v>y</v>
      </c>
      <c r="WMU1" s="154" t="str">
        <f t="shared" si="248"/>
        <v>y</v>
      </c>
      <c r="WMV1" s="154" t="str">
        <f t="shared" si="248"/>
        <v>y</v>
      </c>
      <c r="WMW1" s="154" t="str">
        <f t="shared" si="248"/>
        <v>y</v>
      </c>
      <c r="WMX1" s="154" t="str">
        <f t="shared" si="248"/>
        <v>y</v>
      </c>
      <c r="WMY1" s="154" t="str">
        <f t="shared" si="248"/>
        <v>y</v>
      </c>
      <c r="WMZ1" s="154" t="str">
        <f t="shared" si="248"/>
        <v>y</v>
      </c>
      <c r="WNA1" s="154" t="str">
        <f t="shared" si="248"/>
        <v>y</v>
      </c>
      <c r="WNB1" s="154" t="str">
        <f t="shared" si="248"/>
        <v>y</v>
      </c>
      <c r="WNC1" s="154" t="str">
        <f t="shared" si="248"/>
        <v>y</v>
      </c>
      <c r="WND1" s="154" t="str">
        <f t="shared" si="248"/>
        <v>y</v>
      </c>
      <c r="WNE1" s="154" t="str">
        <f t="shared" si="248"/>
        <v>y</v>
      </c>
      <c r="WNF1" s="154" t="str">
        <f t="shared" si="248"/>
        <v>y</v>
      </c>
      <c r="WNG1" s="154" t="str">
        <f t="shared" si="248"/>
        <v>y</v>
      </c>
      <c r="WNH1" s="154" t="str">
        <f t="shared" si="248"/>
        <v>y</v>
      </c>
      <c r="WNI1" s="154" t="str">
        <f t="shared" si="248"/>
        <v>y</v>
      </c>
      <c r="WNJ1" s="154" t="str">
        <f t="shared" si="248"/>
        <v>y</v>
      </c>
      <c r="WNK1" s="154" t="str">
        <f t="shared" si="248"/>
        <v>y</v>
      </c>
      <c r="WNL1" s="154" t="str">
        <f t="shared" si="248"/>
        <v>y</v>
      </c>
      <c r="WNM1" s="154" t="str">
        <f t="shared" si="248"/>
        <v>y</v>
      </c>
      <c r="WNN1" s="154" t="str">
        <f t="shared" si="248"/>
        <v>y</v>
      </c>
      <c r="WNO1" s="154" t="str">
        <f t="shared" si="248"/>
        <v>y</v>
      </c>
      <c r="WNP1" s="154" t="str">
        <f t="shared" si="248"/>
        <v>y</v>
      </c>
      <c r="WNQ1" s="154" t="str">
        <f t="shared" si="248"/>
        <v>y</v>
      </c>
      <c r="WNR1" s="154" t="str">
        <f t="shared" si="248"/>
        <v>y</v>
      </c>
      <c r="WNS1" s="154" t="str">
        <f t="shared" si="248"/>
        <v>y</v>
      </c>
      <c r="WNT1" s="154" t="str">
        <f t="shared" si="248"/>
        <v>y</v>
      </c>
      <c r="WNU1" s="154" t="str">
        <f t="shared" si="248"/>
        <v>y</v>
      </c>
      <c r="WNV1" s="154" t="str">
        <f t="shared" si="248"/>
        <v>y</v>
      </c>
      <c r="WNW1" s="154" t="str">
        <f t="shared" si="248"/>
        <v>y</v>
      </c>
      <c r="WNX1" s="154" t="str">
        <f t="shared" si="248"/>
        <v>y</v>
      </c>
      <c r="WNY1" s="154" t="str">
        <f t="shared" si="248"/>
        <v>y</v>
      </c>
      <c r="WNZ1" s="154" t="str">
        <f t="shared" si="248"/>
        <v>y</v>
      </c>
      <c r="WOA1" s="154" t="str">
        <f t="shared" si="248"/>
        <v>y</v>
      </c>
      <c r="WOB1" s="154" t="str">
        <f t="shared" ref="WOB1:WQM1" si="249">WOB2&amp;"y"</f>
        <v>y</v>
      </c>
      <c r="WOC1" s="154" t="str">
        <f t="shared" si="249"/>
        <v>y</v>
      </c>
      <c r="WOD1" s="154" t="str">
        <f t="shared" si="249"/>
        <v>y</v>
      </c>
      <c r="WOE1" s="154" t="str">
        <f t="shared" si="249"/>
        <v>y</v>
      </c>
      <c r="WOF1" s="154" t="str">
        <f t="shared" si="249"/>
        <v>y</v>
      </c>
      <c r="WOG1" s="154" t="str">
        <f t="shared" si="249"/>
        <v>y</v>
      </c>
      <c r="WOH1" s="154" t="str">
        <f t="shared" si="249"/>
        <v>y</v>
      </c>
      <c r="WOI1" s="154" t="str">
        <f t="shared" si="249"/>
        <v>y</v>
      </c>
      <c r="WOJ1" s="154" t="str">
        <f t="shared" si="249"/>
        <v>y</v>
      </c>
      <c r="WOK1" s="154" t="str">
        <f t="shared" si="249"/>
        <v>y</v>
      </c>
      <c r="WOL1" s="154" t="str">
        <f t="shared" si="249"/>
        <v>y</v>
      </c>
      <c r="WOM1" s="154" t="str">
        <f t="shared" si="249"/>
        <v>y</v>
      </c>
      <c r="WON1" s="154" t="str">
        <f t="shared" si="249"/>
        <v>y</v>
      </c>
      <c r="WOO1" s="154" t="str">
        <f t="shared" si="249"/>
        <v>y</v>
      </c>
      <c r="WOP1" s="154" t="str">
        <f t="shared" si="249"/>
        <v>y</v>
      </c>
      <c r="WOQ1" s="154" t="str">
        <f t="shared" si="249"/>
        <v>y</v>
      </c>
      <c r="WOR1" s="154" t="str">
        <f t="shared" si="249"/>
        <v>y</v>
      </c>
      <c r="WOS1" s="154" t="str">
        <f t="shared" si="249"/>
        <v>y</v>
      </c>
      <c r="WOT1" s="154" t="str">
        <f t="shared" si="249"/>
        <v>y</v>
      </c>
      <c r="WOU1" s="154" t="str">
        <f t="shared" si="249"/>
        <v>y</v>
      </c>
      <c r="WOV1" s="154" t="str">
        <f t="shared" si="249"/>
        <v>y</v>
      </c>
      <c r="WOW1" s="154" t="str">
        <f t="shared" si="249"/>
        <v>y</v>
      </c>
      <c r="WOX1" s="154" t="str">
        <f t="shared" si="249"/>
        <v>y</v>
      </c>
      <c r="WOY1" s="154" t="str">
        <f t="shared" si="249"/>
        <v>y</v>
      </c>
      <c r="WOZ1" s="154" t="str">
        <f t="shared" si="249"/>
        <v>y</v>
      </c>
      <c r="WPA1" s="154" t="str">
        <f t="shared" si="249"/>
        <v>y</v>
      </c>
      <c r="WPB1" s="154" t="str">
        <f t="shared" si="249"/>
        <v>y</v>
      </c>
      <c r="WPC1" s="154" t="str">
        <f t="shared" si="249"/>
        <v>y</v>
      </c>
      <c r="WPD1" s="154" t="str">
        <f t="shared" si="249"/>
        <v>y</v>
      </c>
      <c r="WPE1" s="154" t="str">
        <f t="shared" si="249"/>
        <v>y</v>
      </c>
      <c r="WPF1" s="154" t="str">
        <f t="shared" si="249"/>
        <v>y</v>
      </c>
      <c r="WPG1" s="154" t="str">
        <f t="shared" si="249"/>
        <v>y</v>
      </c>
      <c r="WPH1" s="154" t="str">
        <f t="shared" si="249"/>
        <v>y</v>
      </c>
      <c r="WPI1" s="154" t="str">
        <f t="shared" si="249"/>
        <v>y</v>
      </c>
      <c r="WPJ1" s="154" t="str">
        <f t="shared" si="249"/>
        <v>y</v>
      </c>
      <c r="WPK1" s="154" t="str">
        <f t="shared" si="249"/>
        <v>y</v>
      </c>
      <c r="WPL1" s="154" t="str">
        <f t="shared" si="249"/>
        <v>y</v>
      </c>
      <c r="WPM1" s="154" t="str">
        <f t="shared" si="249"/>
        <v>y</v>
      </c>
      <c r="WPN1" s="154" t="str">
        <f t="shared" si="249"/>
        <v>y</v>
      </c>
      <c r="WPO1" s="154" t="str">
        <f t="shared" si="249"/>
        <v>y</v>
      </c>
      <c r="WPP1" s="154" t="str">
        <f t="shared" si="249"/>
        <v>y</v>
      </c>
      <c r="WPQ1" s="154" t="str">
        <f t="shared" si="249"/>
        <v>y</v>
      </c>
      <c r="WPR1" s="154" t="str">
        <f t="shared" si="249"/>
        <v>y</v>
      </c>
      <c r="WPS1" s="154" t="str">
        <f t="shared" si="249"/>
        <v>y</v>
      </c>
      <c r="WPT1" s="154" t="str">
        <f t="shared" si="249"/>
        <v>y</v>
      </c>
      <c r="WPU1" s="154" t="str">
        <f t="shared" si="249"/>
        <v>y</v>
      </c>
      <c r="WPV1" s="154" t="str">
        <f t="shared" si="249"/>
        <v>y</v>
      </c>
      <c r="WPW1" s="154" t="str">
        <f t="shared" si="249"/>
        <v>y</v>
      </c>
      <c r="WPX1" s="154" t="str">
        <f t="shared" si="249"/>
        <v>y</v>
      </c>
      <c r="WPY1" s="154" t="str">
        <f t="shared" si="249"/>
        <v>y</v>
      </c>
      <c r="WPZ1" s="154" t="str">
        <f t="shared" si="249"/>
        <v>y</v>
      </c>
      <c r="WQA1" s="154" t="str">
        <f t="shared" si="249"/>
        <v>y</v>
      </c>
      <c r="WQB1" s="154" t="str">
        <f t="shared" si="249"/>
        <v>y</v>
      </c>
      <c r="WQC1" s="154" t="str">
        <f t="shared" si="249"/>
        <v>y</v>
      </c>
      <c r="WQD1" s="154" t="str">
        <f t="shared" si="249"/>
        <v>y</v>
      </c>
      <c r="WQE1" s="154" t="str">
        <f t="shared" si="249"/>
        <v>y</v>
      </c>
      <c r="WQF1" s="154" t="str">
        <f t="shared" si="249"/>
        <v>y</v>
      </c>
      <c r="WQG1" s="154" t="str">
        <f t="shared" si="249"/>
        <v>y</v>
      </c>
      <c r="WQH1" s="154" t="str">
        <f t="shared" si="249"/>
        <v>y</v>
      </c>
      <c r="WQI1" s="154" t="str">
        <f t="shared" si="249"/>
        <v>y</v>
      </c>
      <c r="WQJ1" s="154" t="str">
        <f t="shared" si="249"/>
        <v>y</v>
      </c>
      <c r="WQK1" s="154" t="str">
        <f t="shared" si="249"/>
        <v>y</v>
      </c>
      <c r="WQL1" s="154" t="str">
        <f t="shared" si="249"/>
        <v>y</v>
      </c>
      <c r="WQM1" s="154" t="str">
        <f t="shared" si="249"/>
        <v>y</v>
      </c>
      <c r="WQN1" s="154" t="str">
        <f t="shared" ref="WQN1:WSY1" si="250">WQN2&amp;"y"</f>
        <v>y</v>
      </c>
      <c r="WQO1" s="154" t="str">
        <f t="shared" si="250"/>
        <v>y</v>
      </c>
      <c r="WQP1" s="154" t="str">
        <f t="shared" si="250"/>
        <v>y</v>
      </c>
      <c r="WQQ1" s="154" t="str">
        <f t="shared" si="250"/>
        <v>y</v>
      </c>
      <c r="WQR1" s="154" t="str">
        <f t="shared" si="250"/>
        <v>y</v>
      </c>
      <c r="WQS1" s="154" t="str">
        <f t="shared" si="250"/>
        <v>y</v>
      </c>
      <c r="WQT1" s="154" t="str">
        <f t="shared" si="250"/>
        <v>y</v>
      </c>
      <c r="WQU1" s="154" t="str">
        <f t="shared" si="250"/>
        <v>y</v>
      </c>
      <c r="WQV1" s="154" t="str">
        <f t="shared" si="250"/>
        <v>y</v>
      </c>
      <c r="WQW1" s="154" t="str">
        <f t="shared" si="250"/>
        <v>y</v>
      </c>
      <c r="WQX1" s="154" t="str">
        <f t="shared" si="250"/>
        <v>y</v>
      </c>
      <c r="WQY1" s="154" t="str">
        <f t="shared" si="250"/>
        <v>y</v>
      </c>
      <c r="WQZ1" s="154" t="str">
        <f t="shared" si="250"/>
        <v>y</v>
      </c>
      <c r="WRA1" s="154" t="str">
        <f t="shared" si="250"/>
        <v>y</v>
      </c>
      <c r="WRB1" s="154" t="str">
        <f t="shared" si="250"/>
        <v>y</v>
      </c>
      <c r="WRC1" s="154" t="str">
        <f t="shared" si="250"/>
        <v>y</v>
      </c>
      <c r="WRD1" s="154" t="str">
        <f t="shared" si="250"/>
        <v>y</v>
      </c>
      <c r="WRE1" s="154" t="str">
        <f t="shared" si="250"/>
        <v>y</v>
      </c>
      <c r="WRF1" s="154" t="str">
        <f t="shared" si="250"/>
        <v>y</v>
      </c>
      <c r="WRG1" s="154" t="str">
        <f t="shared" si="250"/>
        <v>y</v>
      </c>
      <c r="WRH1" s="154" t="str">
        <f t="shared" si="250"/>
        <v>y</v>
      </c>
      <c r="WRI1" s="154" t="str">
        <f t="shared" si="250"/>
        <v>y</v>
      </c>
      <c r="WRJ1" s="154" t="str">
        <f t="shared" si="250"/>
        <v>y</v>
      </c>
      <c r="WRK1" s="154" t="str">
        <f t="shared" si="250"/>
        <v>y</v>
      </c>
      <c r="WRL1" s="154" t="str">
        <f t="shared" si="250"/>
        <v>y</v>
      </c>
      <c r="WRM1" s="154" t="str">
        <f t="shared" si="250"/>
        <v>y</v>
      </c>
      <c r="WRN1" s="154" t="str">
        <f t="shared" si="250"/>
        <v>y</v>
      </c>
      <c r="WRO1" s="154" t="str">
        <f t="shared" si="250"/>
        <v>y</v>
      </c>
      <c r="WRP1" s="154" t="str">
        <f t="shared" si="250"/>
        <v>y</v>
      </c>
      <c r="WRQ1" s="154" t="str">
        <f t="shared" si="250"/>
        <v>y</v>
      </c>
      <c r="WRR1" s="154" t="str">
        <f t="shared" si="250"/>
        <v>y</v>
      </c>
      <c r="WRS1" s="154" t="str">
        <f t="shared" si="250"/>
        <v>y</v>
      </c>
      <c r="WRT1" s="154" t="str">
        <f t="shared" si="250"/>
        <v>y</v>
      </c>
      <c r="WRU1" s="154" t="str">
        <f t="shared" si="250"/>
        <v>y</v>
      </c>
      <c r="WRV1" s="154" t="str">
        <f t="shared" si="250"/>
        <v>y</v>
      </c>
      <c r="WRW1" s="154" t="str">
        <f t="shared" si="250"/>
        <v>y</v>
      </c>
      <c r="WRX1" s="154" t="str">
        <f t="shared" si="250"/>
        <v>y</v>
      </c>
      <c r="WRY1" s="154" t="str">
        <f t="shared" si="250"/>
        <v>y</v>
      </c>
      <c r="WRZ1" s="154" t="str">
        <f t="shared" si="250"/>
        <v>y</v>
      </c>
      <c r="WSA1" s="154" t="str">
        <f t="shared" si="250"/>
        <v>y</v>
      </c>
      <c r="WSB1" s="154" t="str">
        <f t="shared" si="250"/>
        <v>y</v>
      </c>
      <c r="WSC1" s="154" t="str">
        <f t="shared" si="250"/>
        <v>y</v>
      </c>
      <c r="WSD1" s="154" t="str">
        <f t="shared" si="250"/>
        <v>y</v>
      </c>
      <c r="WSE1" s="154" t="str">
        <f t="shared" si="250"/>
        <v>y</v>
      </c>
      <c r="WSF1" s="154" t="str">
        <f t="shared" si="250"/>
        <v>y</v>
      </c>
      <c r="WSG1" s="154" t="str">
        <f t="shared" si="250"/>
        <v>y</v>
      </c>
      <c r="WSH1" s="154" t="str">
        <f t="shared" si="250"/>
        <v>y</v>
      </c>
      <c r="WSI1" s="154" t="str">
        <f t="shared" si="250"/>
        <v>y</v>
      </c>
      <c r="WSJ1" s="154" t="str">
        <f t="shared" si="250"/>
        <v>y</v>
      </c>
      <c r="WSK1" s="154" t="str">
        <f t="shared" si="250"/>
        <v>y</v>
      </c>
      <c r="WSL1" s="154" t="str">
        <f t="shared" si="250"/>
        <v>y</v>
      </c>
      <c r="WSM1" s="154" t="str">
        <f t="shared" si="250"/>
        <v>y</v>
      </c>
      <c r="WSN1" s="154" t="str">
        <f t="shared" si="250"/>
        <v>y</v>
      </c>
      <c r="WSO1" s="154" t="str">
        <f t="shared" si="250"/>
        <v>y</v>
      </c>
      <c r="WSP1" s="154" t="str">
        <f t="shared" si="250"/>
        <v>y</v>
      </c>
      <c r="WSQ1" s="154" t="str">
        <f t="shared" si="250"/>
        <v>y</v>
      </c>
      <c r="WSR1" s="154" t="str">
        <f t="shared" si="250"/>
        <v>y</v>
      </c>
      <c r="WSS1" s="154" t="str">
        <f t="shared" si="250"/>
        <v>y</v>
      </c>
      <c r="WST1" s="154" t="str">
        <f t="shared" si="250"/>
        <v>y</v>
      </c>
      <c r="WSU1" s="154" t="str">
        <f t="shared" si="250"/>
        <v>y</v>
      </c>
      <c r="WSV1" s="154" t="str">
        <f t="shared" si="250"/>
        <v>y</v>
      </c>
      <c r="WSW1" s="154" t="str">
        <f t="shared" si="250"/>
        <v>y</v>
      </c>
      <c r="WSX1" s="154" t="str">
        <f t="shared" si="250"/>
        <v>y</v>
      </c>
      <c r="WSY1" s="154" t="str">
        <f t="shared" si="250"/>
        <v>y</v>
      </c>
      <c r="WSZ1" s="154" t="str">
        <f t="shared" ref="WSZ1:WVK1" si="251">WSZ2&amp;"y"</f>
        <v>y</v>
      </c>
      <c r="WTA1" s="154" t="str">
        <f t="shared" si="251"/>
        <v>y</v>
      </c>
      <c r="WTB1" s="154" t="str">
        <f t="shared" si="251"/>
        <v>y</v>
      </c>
      <c r="WTC1" s="154" t="str">
        <f t="shared" si="251"/>
        <v>y</v>
      </c>
      <c r="WTD1" s="154" t="str">
        <f t="shared" si="251"/>
        <v>y</v>
      </c>
      <c r="WTE1" s="154" t="str">
        <f t="shared" si="251"/>
        <v>y</v>
      </c>
      <c r="WTF1" s="154" t="str">
        <f t="shared" si="251"/>
        <v>y</v>
      </c>
      <c r="WTG1" s="154" t="str">
        <f t="shared" si="251"/>
        <v>y</v>
      </c>
      <c r="WTH1" s="154" t="str">
        <f t="shared" si="251"/>
        <v>y</v>
      </c>
      <c r="WTI1" s="154" t="str">
        <f t="shared" si="251"/>
        <v>y</v>
      </c>
      <c r="WTJ1" s="154" t="str">
        <f t="shared" si="251"/>
        <v>y</v>
      </c>
      <c r="WTK1" s="154" t="str">
        <f t="shared" si="251"/>
        <v>y</v>
      </c>
      <c r="WTL1" s="154" t="str">
        <f t="shared" si="251"/>
        <v>y</v>
      </c>
      <c r="WTM1" s="154" t="str">
        <f t="shared" si="251"/>
        <v>y</v>
      </c>
      <c r="WTN1" s="154" t="str">
        <f t="shared" si="251"/>
        <v>y</v>
      </c>
      <c r="WTO1" s="154" t="str">
        <f t="shared" si="251"/>
        <v>y</v>
      </c>
      <c r="WTP1" s="154" t="str">
        <f t="shared" si="251"/>
        <v>y</v>
      </c>
      <c r="WTQ1" s="154" t="str">
        <f t="shared" si="251"/>
        <v>y</v>
      </c>
      <c r="WTR1" s="154" t="str">
        <f t="shared" si="251"/>
        <v>y</v>
      </c>
      <c r="WTS1" s="154" t="str">
        <f t="shared" si="251"/>
        <v>y</v>
      </c>
      <c r="WTT1" s="154" t="str">
        <f t="shared" si="251"/>
        <v>y</v>
      </c>
      <c r="WTU1" s="154" t="str">
        <f t="shared" si="251"/>
        <v>y</v>
      </c>
      <c r="WTV1" s="154" t="str">
        <f t="shared" si="251"/>
        <v>y</v>
      </c>
      <c r="WTW1" s="154" t="str">
        <f t="shared" si="251"/>
        <v>y</v>
      </c>
      <c r="WTX1" s="154" t="str">
        <f t="shared" si="251"/>
        <v>y</v>
      </c>
      <c r="WTY1" s="154" t="str">
        <f t="shared" si="251"/>
        <v>y</v>
      </c>
      <c r="WTZ1" s="154" t="str">
        <f t="shared" si="251"/>
        <v>y</v>
      </c>
      <c r="WUA1" s="154" t="str">
        <f t="shared" si="251"/>
        <v>y</v>
      </c>
      <c r="WUB1" s="154" t="str">
        <f t="shared" si="251"/>
        <v>y</v>
      </c>
      <c r="WUC1" s="154" t="str">
        <f t="shared" si="251"/>
        <v>y</v>
      </c>
      <c r="WUD1" s="154" t="str">
        <f t="shared" si="251"/>
        <v>y</v>
      </c>
      <c r="WUE1" s="154" t="str">
        <f t="shared" si="251"/>
        <v>y</v>
      </c>
      <c r="WUF1" s="154" t="str">
        <f t="shared" si="251"/>
        <v>y</v>
      </c>
      <c r="WUG1" s="154" t="str">
        <f t="shared" si="251"/>
        <v>y</v>
      </c>
      <c r="WUH1" s="154" t="str">
        <f t="shared" si="251"/>
        <v>y</v>
      </c>
      <c r="WUI1" s="154" t="str">
        <f t="shared" si="251"/>
        <v>y</v>
      </c>
      <c r="WUJ1" s="154" t="str">
        <f t="shared" si="251"/>
        <v>y</v>
      </c>
      <c r="WUK1" s="154" t="str">
        <f t="shared" si="251"/>
        <v>y</v>
      </c>
      <c r="WUL1" s="154" t="str">
        <f t="shared" si="251"/>
        <v>y</v>
      </c>
      <c r="WUM1" s="154" t="str">
        <f t="shared" si="251"/>
        <v>y</v>
      </c>
      <c r="WUN1" s="154" t="str">
        <f t="shared" si="251"/>
        <v>y</v>
      </c>
      <c r="WUO1" s="154" t="str">
        <f t="shared" si="251"/>
        <v>y</v>
      </c>
      <c r="WUP1" s="154" t="str">
        <f t="shared" si="251"/>
        <v>y</v>
      </c>
      <c r="WUQ1" s="154" t="str">
        <f t="shared" si="251"/>
        <v>y</v>
      </c>
      <c r="WUR1" s="154" t="str">
        <f t="shared" si="251"/>
        <v>y</v>
      </c>
      <c r="WUS1" s="154" t="str">
        <f t="shared" si="251"/>
        <v>y</v>
      </c>
      <c r="WUT1" s="154" t="str">
        <f t="shared" si="251"/>
        <v>y</v>
      </c>
      <c r="WUU1" s="154" t="str">
        <f t="shared" si="251"/>
        <v>y</v>
      </c>
      <c r="WUV1" s="154" t="str">
        <f t="shared" si="251"/>
        <v>y</v>
      </c>
      <c r="WUW1" s="154" t="str">
        <f t="shared" si="251"/>
        <v>y</v>
      </c>
      <c r="WUX1" s="154" t="str">
        <f t="shared" si="251"/>
        <v>y</v>
      </c>
      <c r="WUY1" s="154" t="str">
        <f t="shared" si="251"/>
        <v>y</v>
      </c>
      <c r="WUZ1" s="154" t="str">
        <f t="shared" si="251"/>
        <v>y</v>
      </c>
      <c r="WVA1" s="154" t="str">
        <f t="shared" si="251"/>
        <v>y</v>
      </c>
      <c r="WVB1" s="154" t="str">
        <f t="shared" si="251"/>
        <v>y</v>
      </c>
      <c r="WVC1" s="154" t="str">
        <f t="shared" si="251"/>
        <v>y</v>
      </c>
      <c r="WVD1" s="154" t="str">
        <f t="shared" si="251"/>
        <v>y</v>
      </c>
      <c r="WVE1" s="154" t="str">
        <f t="shared" si="251"/>
        <v>y</v>
      </c>
      <c r="WVF1" s="154" t="str">
        <f t="shared" si="251"/>
        <v>y</v>
      </c>
      <c r="WVG1" s="154" t="str">
        <f t="shared" si="251"/>
        <v>y</v>
      </c>
      <c r="WVH1" s="154" t="str">
        <f t="shared" si="251"/>
        <v>y</v>
      </c>
      <c r="WVI1" s="154" t="str">
        <f t="shared" si="251"/>
        <v>y</v>
      </c>
      <c r="WVJ1" s="154" t="str">
        <f t="shared" si="251"/>
        <v>y</v>
      </c>
      <c r="WVK1" s="154" t="str">
        <f t="shared" si="251"/>
        <v>y</v>
      </c>
      <c r="WVL1" s="154" t="str">
        <f t="shared" ref="WVL1:WXW1" si="252">WVL2&amp;"y"</f>
        <v>y</v>
      </c>
      <c r="WVM1" s="154" t="str">
        <f t="shared" si="252"/>
        <v>y</v>
      </c>
      <c r="WVN1" s="154" t="str">
        <f t="shared" si="252"/>
        <v>y</v>
      </c>
      <c r="WVO1" s="154" t="str">
        <f t="shared" si="252"/>
        <v>y</v>
      </c>
      <c r="WVP1" s="154" t="str">
        <f t="shared" si="252"/>
        <v>y</v>
      </c>
      <c r="WVQ1" s="154" t="str">
        <f t="shared" si="252"/>
        <v>y</v>
      </c>
      <c r="WVR1" s="154" t="str">
        <f t="shared" si="252"/>
        <v>y</v>
      </c>
      <c r="WVS1" s="154" t="str">
        <f t="shared" si="252"/>
        <v>y</v>
      </c>
      <c r="WVT1" s="154" t="str">
        <f t="shared" si="252"/>
        <v>y</v>
      </c>
      <c r="WVU1" s="154" t="str">
        <f t="shared" si="252"/>
        <v>y</v>
      </c>
      <c r="WVV1" s="154" t="str">
        <f t="shared" si="252"/>
        <v>y</v>
      </c>
      <c r="WVW1" s="154" t="str">
        <f t="shared" si="252"/>
        <v>y</v>
      </c>
      <c r="WVX1" s="154" t="str">
        <f t="shared" si="252"/>
        <v>y</v>
      </c>
      <c r="WVY1" s="154" t="str">
        <f t="shared" si="252"/>
        <v>y</v>
      </c>
      <c r="WVZ1" s="154" t="str">
        <f t="shared" si="252"/>
        <v>y</v>
      </c>
      <c r="WWA1" s="154" t="str">
        <f t="shared" si="252"/>
        <v>y</v>
      </c>
      <c r="WWB1" s="154" t="str">
        <f t="shared" si="252"/>
        <v>y</v>
      </c>
      <c r="WWC1" s="154" t="str">
        <f t="shared" si="252"/>
        <v>y</v>
      </c>
      <c r="WWD1" s="154" t="str">
        <f t="shared" si="252"/>
        <v>y</v>
      </c>
      <c r="WWE1" s="154" t="str">
        <f t="shared" si="252"/>
        <v>y</v>
      </c>
      <c r="WWF1" s="154" t="str">
        <f t="shared" si="252"/>
        <v>y</v>
      </c>
      <c r="WWG1" s="154" t="str">
        <f t="shared" si="252"/>
        <v>y</v>
      </c>
      <c r="WWH1" s="154" t="str">
        <f t="shared" si="252"/>
        <v>y</v>
      </c>
      <c r="WWI1" s="154" t="str">
        <f t="shared" si="252"/>
        <v>y</v>
      </c>
      <c r="WWJ1" s="154" t="str">
        <f t="shared" si="252"/>
        <v>y</v>
      </c>
      <c r="WWK1" s="154" t="str">
        <f t="shared" si="252"/>
        <v>y</v>
      </c>
      <c r="WWL1" s="154" t="str">
        <f t="shared" si="252"/>
        <v>y</v>
      </c>
      <c r="WWM1" s="154" t="str">
        <f t="shared" si="252"/>
        <v>y</v>
      </c>
      <c r="WWN1" s="154" t="str">
        <f t="shared" si="252"/>
        <v>y</v>
      </c>
      <c r="WWO1" s="154" t="str">
        <f t="shared" si="252"/>
        <v>y</v>
      </c>
      <c r="WWP1" s="154" t="str">
        <f t="shared" si="252"/>
        <v>y</v>
      </c>
      <c r="WWQ1" s="154" t="str">
        <f t="shared" si="252"/>
        <v>y</v>
      </c>
      <c r="WWR1" s="154" t="str">
        <f t="shared" si="252"/>
        <v>y</v>
      </c>
      <c r="WWS1" s="154" t="str">
        <f t="shared" si="252"/>
        <v>y</v>
      </c>
      <c r="WWT1" s="154" t="str">
        <f t="shared" si="252"/>
        <v>y</v>
      </c>
      <c r="WWU1" s="154" t="str">
        <f t="shared" si="252"/>
        <v>y</v>
      </c>
      <c r="WWV1" s="154" t="str">
        <f t="shared" si="252"/>
        <v>y</v>
      </c>
      <c r="WWW1" s="154" t="str">
        <f t="shared" si="252"/>
        <v>y</v>
      </c>
      <c r="WWX1" s="154" t="str">
        <f t="shared" si="252"/>
        <v>y</v>
      </c>
      <c r="WWY1" s="154" t="str">
        <f t="shared" si="252"/>
        <v>y</v>
      </c>
      <c r="WWZ1" s="154" t="str">
        <f t="shared" si="252"/>
        <v>y</v>
      </c>
      <c r="WXA1" s="154" t="str">
        <f t="shared" si="252"/>
        <v>y</v>
      </c>
      <c r="WXB1" s="154" t="str">
        <f t="shared" si="252"/>
        <v>y</v>
      </c>
      <c r="WXC1" s="154" t="str">
        <f t="shared" si="252"/>
        <v>y</v>
      </c>
      <c r="WXD1" s="154" t="str">
        <f t="shared" si="252"/>
        <v>y</v>
      </c>
      <c r="WXE1" s="154" t="str">
        <f t="shared" si="252"/>
        <v>y</v>
      </c>
      <c r="WXF1" s="154" t="str">
        <f t="shared" si="252"/>
        <v>y</v>
      </c>
      <c r="WXG1" s="154" t="str">
        <f t="shared" si="252"/>
        <v>y</v>
      </c>
      <c r="WXH1" s="154" t="str">
        <f t="shared" si="252"/>
        <v>y</v>
      </c>
      <c r="WXI1" s="154" t="str">
        <f t="shared" si="252"/>
        <v>y</v>
      </c>
      <c r="WXJ1" s="154" t="str">
        <f t="shared" si="252"/>
        <v>y</v>
      </c>
      <c r="WXK1" s="154" t="str">
        <f t="shared" si="252"/>
        <v>y</v>
      </c>
      <c r="WXL1" s="154" t="str">
        <f t="shared" si="252"/>
        <v>y</v>
      </c>
      <c r="WXM1" s="154" t="str">
        <f t="shared" si="252"/>
        <v>y</v>
      </c>
      <c r="WXN1" s="154" t="str">
        <f t="shared" si="252"/>
        <v>y</v>
      </c>
      <c r="WXO1" s="154" t="str">
        <f t="shared" si="252"/>
        <v>y</v>
      </c>
      <c r="WXP1" s="154" t="str">
        <f t="shared" si="252"/>
        <v>y</v>
      </c>
      <c r="WXQ1" s="154" t="str">
        <f t="shared" si="252"/>
        <v>y</v>
      </c>
      <c r="WXR1" s="154" t="str">
        <f t="shared" si="252"/>
        <v>y</v>
      </c>
      <c r="WXS1" s="154" t="str">
        <f t="shared" si="252"/>
        <v>y</v>
      </c>
      <c r="WXT1" s="154" t="str">
        <f t="shared" si="252"/>
        <v>y</v>
      </c>
      <c r="WXU1" s="154" t="str">
        <f t="shared" si="252"/>
        <v>y</v>
      </c>
      <c r="WXV1" s="154" t="str">
        <f t="shared" si="252"/>
        <v>y</v>
      </c>
      <c r="WXW1" s="154" t="str">
        <f t="shared" si="252"/>
        <v>y</v>
      </c>
      <c r="WXX1" s="154" t="str">
        <f t="shared" ref="WXX1:XAI1" si="253">WXX2&amp;"y"</f>
        <v>y</v>
      </c>
      <c r="WXY1" s="154" t="str">
        <f t="shared" si="253"/>
        <v>y</v>
      </c>
      <c r="WXZ1" s="154" t="str">
        <f t="shared" si="253"/>
        <v>y</v>
      </c>
      <c r="WYA1" s="154" t="str">
        <f t="shared" si="253"/>
        <v>y</v>
      </c>
      <c r="WYB1" s="154" t="str">
        <f t="shared" si="253"/>
        <v>y</v>
      </c>
      <c r="WYC1" s="154" t="str">
        <f t="shared" si="253"/>
        <v>y</v>
      </c>
      <c r="WYD1" s="154" t="str">
        <f t="shared" si="253"/>
        <v>y</v>
      </c>
      <c r="WYE1" s="154" t="str">
        <f t="shared" si="253"/>
        <v>y</v>
      </c>
      <c r="WYF1" s="154" t="str">
        <f t="shared" si="253"/>
        <v>y</v>
      </c>
      <c r="WYG1" s="154" t="str">
        <f t="shared" si="253"/>
        <v>y</v>
      </c>
      <c r="WYH1" s="154" t="str">
        <f t="shared" si="253"/>
        <v>y</v>
      </c>
      <c r="WYI1" s="154" t="str">
        <f t="shared" si="253"/>
        <v>y</v>
      </c>
      <c r="WYJ1" s="154" t="str">
        <f t="shared" si="253"/>
        <v>y</v>
      </c>
      <c r="WYK1" s="154" t="str">
        <f t="shared" si="253"/>
        <v>y</v>
      </c>
      <c r="WYL1" s="154" t="str">
        <f t="shared" si="253"/>
        <v>y</v>
      </c>
      <c r="WYM1" s="154" t="str">
        <f t="shared" si="253"/>
        <v>y</v>
      </c>
      <c r="WYN1" s="154" t="str">
        <f t="shared" si="253"/>
        <v>y</v>
      </c>
      <c r="WYO1" s="154" t="str">
        <f t="shared" si="253"/>
        <v>y</v>
      </c>
      <c r="WYP1" s="154" t="str">
        <f t="shared" si="253"/>
        <v>y</v>
      </c>
      <c r="WYQ1" s="154" t="str">
        <f t="shared" si="253"/>
        <v>y</v>
      </c>
      <c r="WYR1" s="154" t="str">
        <f t="shared" si="253"/>
        <v>y</v>
      </c>
      <c r="WYS1" s="154" t="str">
        <f t="shared" si="253"/>
        <v>y</v>
      </c>
      <c r="WYT1" s="154" t="str">
        <f t="shared" si="253"/>
        <v>y</v>
      </c>
      <c r="WYU1" s="154" t="str">
        <f t="shared" si="253"/>
        <v>y</v>
      </c>
      <c r="WYV1" s="154" t="str">
        <f t="shared" si="253"/>
        <v>y</v>
      </c>
      <c r="WYW1" s="154" t="str">
        <f t="shared" si="253"/>
        <v>y</v>
      </c>
      <c r="WYX1" s="154" t="str">
        <f t="shared" si="253"/>
        <v>y</v>
      </c>
      <c r="WYY1" s="154" t="str">
        <f t="shared" si="253"/>
        <v>y</v>
      </c>
      <c r="WYZ1" s="154" t="str">
        <f t="shared" si="253"/>
        <v>y</v>
      </c>
      <c r="WZA1" s="154" t="str">
        <f t="shared" si="253"/>
        <v>y</v>
      </c>
      <c r="WZB1" s="154" t="str">
        <f t="shared" si="253"/>
        <v>y</v>
      </c>
      <c r="WZC1" s="154" t="str">
        <f t="shared" si="253"/>
        <v>y</v>
      </c>
      <c r="WZD1" s="154" t="str">
        <f t="shared" si="253"/>
        <v>y</v>
      </c>
      <c r="WZE1" s="154" t="str">
        <f t="shared" si="253"/>
        <v>y</v>
      </c>
      <c r="WZF1" s="154" t="str">
        <f t="shared" si="253"/>
        <v>y</v>
      </c>
      <c r="WZG1" s="154" t="str">
        <f t="shared" si="253"/>
        <v>y</v>
      </c>
      <c r="WZH1" s="154" t="str">
        <f t="shared" si="253"/>
        <v>y</v>
      </c>
      <c r="WZI1" s="154" t="str">
        <f t="shared" si="253"/>
        <v>y</v>
      </c>
      <c r="WZJ1" s="154" t="str">
        <f t="shared" si="253"/>
        <v>y</v>
      </c>
      <c r="WZK1" s="154" t="str">
        <f t="shared" si="253"/>
        <v>y</v>
      </c>
      <c r="WZL1" s="154" t="str">
        <f t="shared" si="253"/>
        <v>y</v>
      </c>
      <c r="WZM1" s="154" t="str">
        <f t="shared" si="253"/>
        <v>y</v>
      </c>
      <c r="WZN1" s="154" t="str">
        <f t="shared" si="253"/>
        <v>y</v>
      </c>
      <c r="WZO1" s="154" t="str">
        <f t="shared" si="253"/>
        <v>y</v>
      </c>
      <c r="WZP1" s="154" t="str">
        <f t="shared" si="253"/>
        <v>y</v>
      </c>
      <c r="WZQ1" s="154" t="str">
        <f t="shared" si="253"/>
        <v>y</v>
      </c>
      <c r="WZR1" s="154" t="str">
        <f t="shared" si="253"/>
        <v>y</v>
      </c>
      <c r="WZS1" s="154" t="str">
        <f t="shared" si="253"/>
        <v>y</v>
      </c>
      <c r="WZT1" s="154" t="str">
        <f t="shared" si="253"/>
        <v>y</v>
      </c>
      <c r="WZU1" s="154" t="str">
        <f t="shared" si="253"/>
        <v>y</v>
      </c>
      <c r="WZV1" s="154" t="str">
        <f t="shared" si="253"/>
        <v>y</v>
      </c>
      <c r="WZW1" s="154" t="str">
        <f t="shared" si="253"/>
        <v>y</v>
      </c>
      <c r="WZX1" s="154" t="str">
        <f t="shared" si="253"/>
        <v>y</v>
      </c>
      <c r="WZY1" s="154" t="str">
        <f t="shared" si="253"/>
        <v>y</v>
      </c>
      <c r="WZZ1" s="154" t="str">
        <f t="shared" si="253"/>
        <v>y</v>
      </c>
      <c r="XAA1" s="154" t="str">
        <f t="shared" si="253"/>
        <v>y</v>
      </c>
      <c r="XAB1" s="154" t="str">
        <f t="shared" si="253"/>
        <v>y</v>
      </c>
      <c r="XAC1" s="154" t="str">
        <f t="shared" si="253"/>
        <v>y</v>
      </c>
      <c r="XAD1" s="154" t="str">
        <f t="shared" si="253"/>
        <v>y</v>
      </c>
      <c r="XAE1" s="154" t="str">
        <f t="shared" si="253"/>
        <v>y</v>
      </c>
      <c r="XAF1" s="154" t="str">
        <f t="shared" si="253"/>
        <v>y</v>
      </c>
      <c r="XAG1" s="154" t="str">
        <f t="shared" si="253"/>
        <v>y</v>
      </c>
      <c r="XAH1" s="154" t="str">
        <f t="shared" si="253"/>
        <v>y</v>
      </c>
      <c r="XAI1" s="154" t="str">
        <f t="shared" si="253"/>
        <v>y</v>
      </c>
      <c r="XAJ1" s="154" t="str">
        <f t="shared" ref="XAJ1:XCU1" si="254">XAJ2&amp;"y"</f>
        <v>y</v>
      </c>
      <c r="XAK1" s="154" t="str">
        <f t="shared" si="254"/>
        <v>y</v>
      </c>
      <c r="XAL1" s="154" t="str">
        <f t="shared" si="254"/>
        <v>y</v>
      </c>
      <c r="XAM1" s="154" t="str">
        <f t="shared" si="254"/>
        <v>y</v>
      </c>
      <c r="XAN1" s="154" t="str">
        <f t="shared" si="254"/>
        <v>y</v>
      </c>
      <c r="XAO1" s="154" t="str">
        <f t="shared" si="254"/>
        <v>y</v>
      </c>
      <c r="XAP1" s="154" t="str">
        <f t="shared" si="254"/>
        <v>y</v>
      </c>
      <c r="XAQ1" s="154" t="str">
        <f t="shared" si="254"/>
        <v>y</v>
      </c>
      <c r="XAR1" s="154" t="str">
        <f t="shared" si="254"/>
        <v>y</v>
      </c>
      <c r="XAS1" s="154" t="str">
        <f t="shared" si="254"/>
        <v>y</v>
      </c>
      <c r="XAT1" s="154" t="str">
        <f t="shared" si="254"/>
        <v>y</v>
      </c>
      <c r="XAU1" s="154" t="str">
        <f t="shared" si="254"/>
        <v>y</v>
      </c>
      <c r="XAV1" s="154" t="str">
        <f t="shared" si="254"/>
        <v>y</v>
      </c>
      <c r="XAW1" s="154" t="str">
        <f t="shared" si="254"/>
        <v>y</v>
      </c>
      <c r="XAX1" s="154" t="str">
        <f t="shared" si="254"/>
        <v>y</v>
      </c>
      <c r="XAY1" s="154" t="str">
        <f t="shared" si="254"/>
        <v>y</v>
      </c>
      <c r="XAZ1" s="154" t="str">
        <f t="shared" si="254"/>
        <v>y</v>
      </c>
      <c r="XBA1" s="154" t="str">
        <f t="shared" si="254"/>
        <v>y</v>
      </c>
      <c r="XBB1" s="154" t="str">
        <f t="shared" si="254"/>
        <v>y</v>
      </c>
      <c r="XBC1" s="154" t="str">
        <f t="shared" si="254"/>
        <v>y</v>
      </c>
      <c r="XBD1" s="154" t="str">
        <f t="shared" si="254"/>
        <v>y</v>
      </c>
      <c r="XBE1" s="154" t="str">
        <f t="shared" si="254"/>
        <v>y</v>
      </c>
      <c r="XBF1" s="154" t="str">
        <f t="shared" si="254"/>
        <v>y</v>
      </c>
      <c r="XBG1" s="154" t="str">
        <f t="shared" si="254"/>
        <v>y</v>
      </c>
      <c r="XBH1" s="154" t="str">
        <f t="shared" si="254"/>
        <v>y</v>
      </c>
      <c r="XBI1" s="154" t="str">
        <f t="shared" si="254"/>
        <v>y</v>
      </c>
      <c r="XBJ1" s="154" t="str">
        <f t="shared" si="254"/>
        <v>y</v>
      </c>
      <c r="XBK1" s="154" t="str">
        <f t="shared" si="254"/>
        <v>y</v>
      </c>
      <c r="XBL1" s="154" t="str">
        <f t="shared" si="254"/>
        <v>y</v>
      </c>
      <c r="XBM1" s="154" t="str">
        <f t="shared" si="254"/>
        <v>y</v>
      </c>
      <c r="XBN1" s="154" t="str">
        <f t="shared" si="254"/>
        <v>y</v>
      </c>
      <c r="XBO1" s="154" t="str">
        <f t="shared" si="254"/>
        <v>y</v>
      </c>
      <c r="XBP1" s="154" t="str">
        <f t="shared" si="254"/>
        <v>y</v>
      </c>
      <c r="XBQ1" s="154" t="str">
        <f t="shared" si="254"/>
        <v>y</v>
      </c>
      <c r="XBR1" s="154" t="str">
        <f t="shared" si="254"/>
        <v>y</v>
      </c>
      <c r="XBS1" s="154" t="str">
        <f t="shared" si="254"/>
        <v>y</v>
      </c>
      <c r="XBT1" s="154" t="str">
        <f t="shared" si="254"/>
        <v>y</v>
      </c>
      <c r="XBU1" s="154" t="str">
        <f t="shared" si="254"/>
        <v>y</v>
      </c>
      <c r="XBV1" s="154" t="str">
        <f t="shared" si="254"/>
        <v>y</v>
      </c>
      <c r="XBW1" s="154" t="str">
        <f t="shared" si="254"/>
        <v>y</v>
      </c>
      <c r="XBX1" s="154" t="str">
        <f t="shared" si="254"/>
        <v>y</v>
      </c>
      <c r="XBY1" s="154" t="str">
        <f t="shared" si="254"/>
        <v>y</v>
      </c>
      <c r="XBZ1" s="154" t="str">
        <f t="shared" si="254"/>
        <v>y</v>
      </c>
      <c r="XCA1" s="154" t="str">
        <f t="shared" si="254"/>
        <v>y</v>
      </c>
      <c r="XCB1" s="154" t="str">
        <f t="shared" si="254"/>
        <v>y</v>
      </c>
      <c r="XCC1" s="154" t="str">
        <f t="shared" si="254"/>
        <v>y</v>
      </c>
      <c r="XCD1" s="154" t="str">
        <f t="shared" si="254"/>
        <v>y</v>
      </c>
      <c r="XCE1" s="154" t="str">
        <f t="shared" si="254"/>
        <v>y</v>
      </c>
      <c r="XCF1" s="154" t="str">
        <f t="shared" si="254"/>
        <v>y</v>
      </c>
      <c r="XCG1" s="154" t="str">
        <f t="shared" si="254"/>
        <v>y</v>
      </c>
      <c r="XCH1" s="154" t="str">
        <f t="shared" si="254"/>
        <v>y</v>
      </c>
      <c r="XCI1" s="154" t="str">
        <f t="shared" si="254"/>
        <v>y</v>
      </c>
      <c r="XCJ1" s="154" t="str">
        <f t="shared" si="254"/>
        <v>y</v>
      </c>
      <c r="XCK1" s="154" t="str">
        <f t="shared" si="254"/>
        <v>y</v>
      </c>
      <c r="XCL1" s="154" t="str">
        <f t="shared" si="254"/>
        <v>y</v>
      </c>
      <c r="XCM1" s="154" t="str">
        <f t="shared" si="254"/>
        <v>y</v>
      </c>
      <c r="XCN1" s="154" t="str">
        <f t="shared" si="254"/>
        <v>y</v>
      </c>
      <c r="XCO1" s="154" t="str">
        <f t="shared" si="254"/>
        <v>y</v>
      </c>
      <c r="XCP1" s="154" t="str">
        <f t="shared" si="254"/>
        <v>y</v>
      </c>
      <c r="XCQ1" s="154" t="str">
        <f t="shared" si="254"/>
        <v>y</v>
      </c>
      <c r="XCR1" s="154" t="str">
        <f t="shared" si="254"/>
        <v>y</v>
      </c>
      <c r="XCS1" s="154" t="str">
        <f t="shared" si="254"/>
        <v>y</v>
      </c>
      <c r="XCT1" s="154" t="str">
        <f t="shared" si="254"/>
        <v>y</v>
      </c>
      <c r="XCU1" s="154" t="str">
        <f t="shared" si="254"/>
        <v>y</v>
      </c>
      <c r="XCV1" s="154" t="str">
        <f t="shared" ref="XCV1:XFD1" si="255">XCV2&amp;"y"</f>
        <v>y</v>
      </c>
      <c r="XCW1" s="154" t="str">
        <f t="shared" si="255"/>
        <v>y</v>
      </c>
      <c r="XCX1" s="154" t="str">
        <f t="shared" si="255"/>
        <v>y</v>
      </c>
      <c r="XCY1" s="154" t="str">
        <f t="shared" si="255"/>
        <v>y</v>
      </c>
      <c r="XCZ1" s="154" t="str">
        <f t="shared" si="255"/>
        <v>y</v>
      </c>
      <c r="XDA1" s="154" t="str">
        <f t="shared" si="255"/>
        <v>y</v>
      </c>
      <c r="XDB1" s="154" t="str">
        <f t="shared" si="255"/>
        <v>y</v>
      </c>
      <c r="XDC1" s="154" t="str">
        <f t="shared" si="255"/>
        <v>y</v>
      </c>
      <c r="XDD1" s="154" t="str">
        <f t="shared" si="255"/>
        <v>y</v>
      </c>
      <c r="XDE1" s="154" t="str">
        <f t="shared" si="255"/>
        <v>y</v>
      </c>
      <c r="XDF1" s="154" t="str">
        <f t="shared" si="255"/>
        <v>y</v>
      </c>
      <c r="XDG1" s="154" t="str">
        <f t="shared" si="255"/>
        <v>y</v>
      </c>
      <c r="XDH1" s="154" t="str">
        <f t="shared" si="255"/>
        <v>y</v>
      </c>
      <c r="XDI1" s="154" t="str">
        <f t="shared" si="255"/>
        <v>y</v>
      </c>
      <c r="XDJ1" s="154" t="str">
        <f t="shared" si="255"/>
        <v>y</v>
      </c>
      <c r="XDK1" s="154" t="str">
        <f t="shared" si="255"/>
        <v>y</v>
      </c>
      <c r="XDL1" s="154" t="str">
        <f t="shared" si="255"/>
        <v>y</v>
      </c>
      <c r="XDM1" s="154" t="str">
        <f t="shared" si="255"/>
        <v>y</v>
      </c>
      <c r="XDN1" s="154" t="str">
        <f t="shared" si="255"/>
        <v>y</v>
      </c>
      <c r="XDO1" s="154" t="str">
        <f t="shared" si="255"/>
        <v>y</v>
      </c>
      <c r="XDP1" s="154" t="str">
        <f t="shared" si="255"/>
        <v>y</v>
      </c>
      <c r="XDQ1" s="154" t="str">
        <f t="shared" si="255"/>
        <v>y</v>
      </c>
      <c r="XDR1" s="154" t="str">
        <f t="shared" si="255"/>
        <v>y</v>
      </c>
      <c r="XDS1" s="154" t="str">
        <f t="shared" si="255"/>
        <v>y</v>
      </c>
      <c r="XDT1" s="154" t="str">
        <f t="shared" si="255"/>
        <v>y</v>
      </c>
      <c r="XDU1" s="154" t="str">
        <f t="shared" si="255"/>
        <v>y</v>
      </c>
      <c r="XDV1" s="154" t="str">
        <f t="shared" si="255"/>
        <v>y</v>
      </c>
      <c r="XDW1" s="154" t="str">
        <f t="shared" si="255"/>
        <v>y</v>
      </c>
      <c r="XDX1" s="154" t="str">
        <f t="shared" si="255"/>
        <v>y</v>
      </c>
      <c r="XDY1" s="154" t="str">
        <f t="shared" si="255"/>
        <v>y</v>
      </c>
      <c r="XDZ1" s="154" t="str">
        <f t="shared" si="255"/>
        <v>y</v>
      </c>
      <c r="XEA1" s="154" t="str">
        <f t="shared" si="255"/>
        <v>y</v>
      </c>
      <c r="XEB1" s="154" t="str">
        <f t="shared" si="255"/>
        <v>y</v>
      </c>
      <c r="XEC1" s="154" t="str">
        <f t="shared" si="255"/>
        <v>y</v>
      </c>
      <c r="XED1" s="154" t="str">
        <f t="shared" si="255"/>
        <v>y</v>
      </c>
      <c r="XEE1" s="154" t="str">
        <f t="shared" si="255"/>
        <v>y</v>
      </c>
      <c r="XEF1" s="154" t="str">
        <f t="shared" si="255"/>
        <v>y</v>
      </c>
      <c r="XEG1" s="154" t="str">
        <f t="shared" si="255"/>
        <v>y</v>
      </c>
      <c r="XEH1" s="154" t="str">
        <f t="shared" si="255"/>
        <v>y</v>
      </c>
      <c r="XEI1" s="154" t="str">
        <f t="shared" si="255"/>
        <v>y</v>
      </c>
      <c r="XEJ1" s="154" t="str">
        <f t="shared" si="255"/>
        <v>y</v>
      </c>
      <c r="XEK1" s="154" t="str">
        <f t="shared" si="255"/>
        <v>y</v>
      </c>
      <c r="XEL1" s="154" t="str">
        <f t="shared" si="255"/>
        <v>y</v>
      </c>
      <c r="XEM1" s="154" t="str">
        <f t="shared" si="255"/>
        <v>y</v>
      </c>
      <c r="XEN1" s="154" t="str">
        <f t="shared" si="255"/>
        <v>y</v>
      </c>
      <c r="XEO1" s="154" t="str">
        <f t="shared" si="255"/>
        <v>y</v>
      </c>
      <c r="XEP1" s="154" t="str">
        <f t="shared" si="255"/>
        <v>y</v>
      </c>
      <c r="XEQ1" s="154" t="str">
        <f t="shared" si="255"/>
        <v>y</v>
      </c>
      <c r="XER1" s="154" t="str">
        <f t="shared" si="255"/>
        <v>y</v>
      </c>
      <c r="XES1" s="154" t="str">
        <f t="shared" si="255"/>
        <v>y</v>
      </c>
      <c r="XET1" s="154" t="str">
        <f t="shared" si="255"/>
        <v>y</v>
      </c>
      <c r="XEU1" s="154" t="str">
        <f t="shared" si="255"/>
        <v>y</v>
      </c>
      <c r="XEV1" s="154" t="str">
        <f t="shared" si="255"/>
        <v>y</v>
      </c>
      <c r="XEW1" s="154" t="str">
        <f t="shared" si="255"/>
        <v>y</v>
      </c>
      <c r="XEX1" s="154" t="str">
        <f t="shared" si="255"/>
        <v>y</v>
      </c>
      <c r="XEY1" s="154" t="str">
        <f t="shared" si="255"/>
        <v>y</v>
      </c>
      <c r="XEZ1" s="154" t="str">
        <f t="shared" si="255"/>
        <v>y</v>
      </c>
      <c r="XFA1" s="154" t="str">
        <f t="shared" si="255"/>
        <v>y</v>
      </c>
      <c r="XFB1" s="154" t="str">
        <f t="shared" si="255"/>
        <v>y</v>
      </c>
      <c r="XFC1" s="154" t="str">
        <f t="shared" si="255"/>
        <v>y</v>
      </c>
      <c r="XFD1" s="154" t="str">
        <f t="shared" si="255"/>
        <v>y</v>
      </c>
    </row>
    <row r="2" spans="1:16384" s="157" customFormat="1" collapsed="1">
      <c r="A2" s="157" t="s">
        <v>97</v>
      </c>
      <c r="B2" s="157" t="s">
        <v>98</v>
      </c>
      <c r="C2" s="157" t="s">
        <v>535</v>
      </c>
      <c r="D2" s="157" t="s">
        <v>536</v>
      </c>
      <c r="E2" s="157" t="s">
        <v>537</v>
      </c>
      <c r="F2" s="157" t="s">
        <v>538</v>
      </c>
      <c r="G2" s="157" t="s">
        <v>539</v>
      </c>
      <c r="H2" s="157" t="s">
        <v>540</v>
      </c>
      <c r="I2" s="157" t="s">
        <v>541</v>
      </c>
      <c r="J2" s="157" t="s">
        <v>542</v>
      </c>
      <c r="K2" s="157" t="s">
        <v>543</v>
      </c>
      <c r="L2" s="157" t="s">
        <v>544</v>
      </c>
      <c r="M2" s="157" t="s">
        <v>545</v>
      </c>
      <c r="N2" s="157" t="s">
        <v>546</v>
      </c>
      <c r="O2" s="157" t="s">
        <v>547</v>
      </c>
      <c r="P2" s="157" t="s">
        <v>548</v>
      </c>
      <c r="Q2" s="157" t="s">
        <v>549</v>
      </c>
      <c r="R2" s="157" t="s">
        <v>550</v>
      </c>
      <c r="S2" s="157" t="s">
        <v>551</v>
      </c>
      <c r="T2" s="157" t="s">
        <v>552</v>
      </c>
      <c r="U2" s="157" t="s">
        <v>553</v>
      </c>
      <c r="V2" s="157" t="s">
        <v>554</v>
      </c>
      <c r="W2" s="157" t="s">
        <v>555</v>
      </c>
      <c r="X2" s="157" t="s">
        <v>556</v>
      </c>
      <c r="Y2" s="157" t="s">
        <v>557</v>
      </c>
      <c r="Z2" s="157" t="s">
        <v>558</v>
      </c>
      <c r="AA2" s="157" t="s">
        <v>559</v>
      </c>
      <c r="AB2" s="157" t="s">
        <v>560</v>
      </c>
      <c r="AC2" s="157" t="s">
        <v>561</v>
      </c>
      <c r="AD2" s="157" t="s">
        <v>562</v>
      </c>
      <c r="AE2" s="157" t="s">
        <v>563</v>
      </c>
      <c r="AF2" s="157" t="s">
        <v>564</v>
      </c>
      <c r="AG2" s="159" t="s">
        <v>99</v>
      </c>
      <c r="AH2" s="159" t="s">
        <v>100</v>
      </c>
      <c r="AI2" s="159" t="s">
        <v>101</v>
      </c>
      <c r="AJ2" s="159" t="s">
        <v>102</v>
      </c>
      <c r="AK2" s="159" t="s">
        <v>103</v>
      </c>
      <c r="AL2" s="159" t="s">
        <v>104</v>
      </c>
      <c r="AM2" s="159" t="s">
        <v>105</v>
      </c>
      <c r="AN2" s="159" t="s">
        <v>106</v>
      </c>
      <c r="AO2" s="159" t="s">
        <v>107</v>
      </c>
      <c r="AP2" s="159" t="s">
        <v>108</v>
      </c>
      <c r="AQ2" s="159" t="s">
        <v>109</v>
      </c>
      <c r="AR2" s="159" t="s">
        <v>110</v>
      </c>
      <c r="AS2" s="159" t="s">
        <v>111</v>
      </c>
      <c r="AT2" s="159" t="s">
        <v>112</v>
      </c>
      <c r="AU2" s="159" t="s">
        <v>113</v>
      </c>
      <c r="AV2" s="159" t="s">
        <v>114</v>
      </c>
      <c r="AW2" s="159" t="s">
        <v>115</v>
      </c>
      <c r="AX2" s="159" t="s">
        <v>116</v>
      </c>
      <c r="AY2" s="159" t="s">
        <v>117</v>
      </c>
      <c r="AZ2" s="159" t="s">
        <v>118</v>
      </c>
      <c r="BA2" s="159" t="s">
        <v>119</v>
      </c>
      <c r="BB2" s="159" t="s">
        <v>120</v>
      </c>
      <c r="BC2" s="159" t="s">
        <v>121</v>
      </c>
      <c r="BD2" s="159">
        <v>2013</v>
      </c>
    </row>
    <row r="3" spans="1:16384" hidden="1">
      <c r="A3" s="163" t="s">
        <v>576</v>
      </c>
      <c r="B3" s="163" t="s">
        <v>577</v>
      </c>
    </row>
    <row r="4" spans="1:16384" hidden="1">
      <c r="A4" s="163" t="s">
        <v>578</v>
      </c>
      <c r="B4" s="163" t="s">
        <v>579</v>
      </c>
    </row>
    <row r="5" spans="1:16384" hidden="1">
      <c r="A5" s="163" t="s">
        <v>580</v>
      </c>
      <c r="B5" s="163" t="s">
        <v>581</v>
      </c>
    </row>
    <row r="6" spans="1:16384" hidden="1">
      <c r="A6" s="163" t="s">
        <v>582</v>
      </c>
      <c r="B6" s="163" t="s">
        <v>583</v>
      </c>
    </row>
    <row r="7" spans="1:16384" hidden="1">
      <c r="A7" s="163" t="s">
        <v>584</v>
      </c>
      <c r="B7" s="163" t="s">
        <v>585</v>
      </c>
    </row>
    <row r="8" spans="1:16384" hidden="1">
      <c r="A8" s="163" t="s">
        <v>586</v>
      </c>
      <c r="B8" s="163" t="s">
        <v>587</v>
      </c>
    </row>
    <row r="9" spans="1:16384" hidden="1">
      <c r="A9" s="163" t="s">
        <v>588</v>
      </c>
      <c r="B9" s="163" t="s">
        <v>589</v>
      </c>
    </row>
    <row r="10" spans="1:16384" hidden="1">
      <c r="A10" s="163" t="s">
        <v>590</v>
      </c>
      <c r="B10" s="163" t="s">
        <v>591</v>
      </c>
    </row>
    <row r="11" spans="1:16384" hidden="1">
      <c r="A11" s="163" t="s">
        <v>592</v>
      </c>
      <c r="B11" s="163" t="s">
        <v>593</v>
      </c>
    </row>
    <row r="12" spans="1:16384" hidden="1">
      <c r="A12" s="163" t="s">
        <v>594</v>
      </c>
      <c r="B12" s="163" t="s">
        <v>595</v>
      </c>
    </row>
    <row r="13" spans="1:16384" hidden="1">
      <c r="A13" s="163" t="s">
        <v>596</v>
      </c>
      <c r="B13" s="163" t="s">
        <v>597</v>
      </c>
    </row>
    <row r="14" spans="1:16384" hidden="1">
      <c r="A14" s="163" t="s">
        <v>598</v>
      </c>
      <c r="B14" s="163" t="s">
        <v>599</v>
      </c>
    </row>
    <row r="15" spans="1:16384" hidden="1">
      <c r="A15" s="163" t="s">
        <v>600</v>
      </c>
      <c r="B15" s="163" t="s">
        <v>601</v>
      </c>
    </row>
    <row r="16" spans="1:16384" hidden="1">
      <c r="A16" s="163" t="s">
        <v>602</v>
      </c>
      <c r="B16" s="163" t="s">
        <v>603</v>
      </c>
    </row>
    <row r="17" spans="1:2" hidden="1">
      <c r="A17" s="163" t="s">
        <v>604</v>
      </c>
      <c r="B17" s="163" t="s">
        <v>605</v>
      </c>
    </row>
    <row r="18" spans="1:2" hidden="1">
      <c r="A18" s="163" t="s">
        <v>606</v>
      </c>
      <c r="B18" s="163" t="s">
        <v>607</v>
      </c>
    </row>
    <row r="19" spans="1:2" hidden="1">
      <c r="A19" s="163" t="s">
        <v>608</v>
      </c>
      <c r="B19" s="163" t="s">
        <v>609</v>
      </c>
    </row>
    <row r="20" spans="1:2" hidden="1">
      <c r="A20" s="163" t="s">
        <v>610</v>
      </c>
      <c r="B20" s="163" t="s">
        <v>611</v>
      </c>
    </row>
    <row r="21" spans="1:2" hidden="1">
      <c r="A21" s="163" t="s">
        <v>612</v>
      </c>
      <c r="B21" s="163" t="s">
        <v>613</v>
      </c>
    </row>
    <row r="22" spans="1:2" hidden="1">
      <c r="A22" s="163" t="s">
        <v>614</v>
      </c>
      <c r="B22" s="163" t="s">
        <v>615</v>
      </c>
    </row>
    <row r="23" spans="1:2" hidden="1">
      <c r="A23" s="163" t="s">
        <v>616</v>
      </c>
      <c r="B23" s="163" t="s">
        <v>617</v>
      </c>
    </row>
    <row r="24" spans="1:2" hidden="1">
      <c r="A24" s="163" t="s">
        <v>618</v>
      </c>
      <c r="B24" s="163" t="s">
        <v>619</v>
      </c>
    </row>
    <row r="25" spans="1:2" hidden="1">
      <c r="A25" s="163" t="s">
        <v>620</v>
      </c>
      <c r="B25" s="163" t="s">
        <v>621</v>
      </c>
    </row>
    <row r="26" spans="1:2" hidden="1">
      <c r="A26" s="163" t="s">
        <v>622</v>
      </c>
      <c r="B26" s="163" t="s">
        <v>623</v>
      </c>
    </row>
    <row r="27" spans="1:2" hidden="1">
      <c r="A27" s="163" t="s">
        <v>624</v>
      </c>
      <c r="B27" s="163" t="s">
        <v>625</v>
      </c>
    </row>
    <row r="28" spans="1:2" hidden="1">
      <c r="A28" s="163" t="s">
        <v>626</v>
      </c>
      <c r="B28" s="163" t="s">
        <v>627</v>
      </c>
    </row>
    <row r="29" spans="1:2" hidden="1">
      <c r="A29" s="163" t="s">
        <v>628</v>
      </c>
      <c r="B29" s="163" t="s">
        <v>629</v>
      </c>
    </row>
    <row r="30" spans="1:2" hidden="1">
      <c r="A30" s="163" t="s">
        <v>84</v>
      </c>
      <c r="B30" s="163" t="s">
        <v>630</v>
      </c>
    </row>
    <row r="31" spans="1:2" hidden="1">
      <c r="A31" s="163" t="s">
        <v>631</v>
      </c>
      <c r="B31" s="163" t="s">
        <v>632</v>
      </c>
    </row>
    <row r="32" spans="1:2" hidden="1">
      <c r="A32" s="163" t="s">
        <v>633</v>
      </c>
      <c r="B32" s="163" t="s">
        <v>634</v>
      </c>
    </row>
    <row r="33" spans="1:56" hidden="1">
      <c r="A33" s="163" t="s">
        <v>635</v>
      </c>
      <c r="B33" s="163" t="s">
        <v>636</v>
      </c>
    </row>
    <row r="34" spans="1:56" hidden="1">
      <c r="A34" s="163" t="s">
        <v>637</v>
      </c>
      <c r="B34" s="163" t="s">
        <v>638</v>
      </c>
    </row>
    <row r="35" spans="1:56">
      <c r="A35" s="163" t="s">
        <v>71</v>
      </c>
      <c r="B35" s="163" t="s">
        <v>124</v>
      </c>
      <c r="W35" s="161" t="s">
        <v>125</v>
      </c>
      <c r="X35" s="161" t="s">
        <v>125</v>
      </c>
      <c r="Y35" s="161" t="s">
        <v>125</v>
      </c>
      <c r="Z35" s="161" t="s">
        <v>125</v>
      </c>
      <c r="AA35" s="161" t="s">
        <v>125</v>
      </c>
      <c r="AB35" s="161" t="s">
        <v>125</v>
      </c>
      <c r="AC35" s="161" t="s">
        <v>125</v>
      </c>
      <c r="AD35" s="161" t="s">
        <v>125</v>
      </c>
      <c r="AE35" s="161" t="s">
        <v>125</v>
      </c>
      <c r="AF35" s="161" t="s">
        <v>125</v>
      </c>
      <c r="AG35" s="168" t="s">
        <v>125</v>
      </c>
      <c r="AH35" s="168" t="s">
        <v>125</v>
      </c>
      <c r="AI35" s="168" t="s">
        <v>125</v>
      </c>
      <c r="AJ35" s="168" t="s">
        <v>125</v>
      </c>
      <c r="AK35" s="168" t="s">
        <v>125</v>
      </c>
      <c r="AL35" s="168" t="s">
        <v>125</v>
      </c>
      <c r="AM35" s="168" t="s">
        <v>125</v>
      </c>
      <c r="AN35" s="168" t="s">
        <v>125</v>
      </c>
      <c r="AO35" s="168" t="s">
        <v>125</v>
      </c>
      <c r="AP35" s="168" t="s">
        <v>125</v>
      </c>
      <c r="AQ35" s="168" t="s">
        <v>125</v>
      </c>
      <c r="AR35" s="168" t="s">
        <v>125</v>
      </c>
      <c r="AS35" s="168">
        <v>9.6257433709570002</v>
      </c>
      <c r="AT35" s="168">
        <v>10.542778447684301</v>
      </c>
      <c r="AU35" s="168">
        <v>11.415158388489001</v>
      </c>
      <c r="AV35" s="168">
        <v>12.2660215297671</v>
      </c>
      <c r="AW35" s="168">
        <v>12.7535883213347</v>
      </c>
      <c r="AX35" s="168">
        <v>15.2045867770775</v>
      </c>
      <c r="AY35" s="168">
        <v>15.238234280959601</v>
      </c>
      <c r="AZ35" s="168">
        <v>14.8032139313932</v>
      </c>
      <c r="BA35" s="168">
        <v>16.006556535147201</v>
      </c>
      <c r="BB35" s="168">
        <v>17.356169999999999</v>
      </c>
      <c r="BC35" s="168">
        <v>18.474570232525501</v>
      </c>
      <c r="BD35" s="168">
        <v>18.884920836994102</v>
      </c>
    </row>
    <row r="36" spans="1:56">
      <c r="A36" s="163" t="s">
        <v>126</v>
      </c>
      <c r="B36" s="163" t="s">
        <v>127</v>
      </c>
      <c r="W36" s="161" t="s">
        <v>125</v>
      </c>
      <c r="X36" s="161" t="s">
        <v>125</v>
      </c>
      <c r="Y36" s="161" t="s">
        <v>125</v>
      </c>
      <c r="Z36" s="161" t="s">
        <v>125</v>
      </c>
      <c r="AA36" s="161" t="s">
        <v>125</v>
      </c>
      <c r="AB36" s="161" t="s">
        <v>125</v>
      </c>
      <c r="AC36" s="161" t="s">
        <v>125</v>
      </c>
      <c r="AD36" s="161" t="s">
        <v>125</v>
      </c>
      <c r="AE36" s="161" t="s">
        <v>125</v>
      </c>
      <c r="AF36" s="161" t="s">
        <v>125</v>
      </c>
      <c r="AG36" s="168">
        <v>1.79880428001486</v>
      </c>
      <c r="AH36" s="168">
        <v>2.41233576920555</v>
      </c>
      <c r="AI36" s="168">
        <v>8.2474614030989493</v>
      </c>
      <c r="AJ36" s="168">
        <v>17.3066252552251</v>
      </c>
      <c r="AK36" s="168">
        <v>23.455897360451299</v>
      </c>
      <c r="AL36" s="168">
        <v>24.257164092532999</v>
      </c>
      <c r="AM36" s="168">
        <v>30.591963732713001</v>
      </c>
      <c r="AN36" s="168">
        <v>34.271068015836697</v>
      </c>
      <c r="AO36" s="168">
        <v>38.499233598118003</v>
      </c>
      <c r="AP36" s="168">
        <v>39.656147709659599</v>
      </c>
      <c r="AQ36" s="168">
        <v>40.4507665607468</v>
      </c>
      <c r="AR36" s="168">
        <v>40.9123145149726</v>
      </c>
      <c r="AS36" s="168">
        <v>41.6229028924201</v>
      </c>
      <c r="AT36" s="168">
        <v>42.188126125385097</v>
      </c>
      <c r="AU36" s="168">
        <v>43.529437640775299</v>
      </c>
      <c r="AV36" s="168">
        <v>43.639880429048702</v>
      </c>
      <c r="AW36" s="168">
        <v>41.6712090272298</v>
      </c>
      <c r="AX36" s="168">
        <v>42.577128502792497</v>
      </c>
      <c r="AY36" s="168">
        <v>41.813078119990898</v>
      </c>
      <c r="AZ36" s="168">
        <v>41.657304845398698</v>
      </c>
      <c r="BA36" s="168">
        <v>45.765694913183601</v>
      </c>
      <c r="BB36" s="168">
        <v>45.443754001431103</v>
      </c>
      <c r="BC36" s="168">
        <v>46.94220646686</v>
      </c>
      <c r="BD36" s="168">
        <v>46.869696057779102</v>
      </c>
    </row>
    <row r="37" spans="1:56">
      <c r="A37" s="163" t="s">
        <v>128</v>
      </c>
      <c r="B37" s="163" t="s">
        <v>129</v>
      </c>
      <c r="W37" s="161" t="s">
        <v>125</v>
      </c>
      <c r="X37" s="161" t="s">
        <v>125</v>
      </c>
      <c r="Y37" s="161" t="s">
        <v>125</v>
      </c>
      <c r="Z37" s="161" t="s">
        <v>125</v>
      </c>
      <c r="AA37" s="161" t="s">
        <v>125</v>
      </c>
      <c r="AB37" s="161" t="s">
        <v>125</v>
      </c>
      <c r="AC37" s="161" t="s">
        <v>125</v>
      </c>
      <c r="AD37" s="161" t="s">
        <v>125</v>
      </c>
      <c r="AE37" s="161" t="s">
        <v>125</v>
      </c>
      <c r="AF37" s="161" t="s">
        <v>125</v>
      </c>
      <c r="AG37" s="168">
        <v>3.23361175005676</v>
      </c>
      <c r="AH37" s="168">
        <v>4.8128447356553998</v>
      </c>
      <c r="AI37" s="168">
        <v>5.7372801779940596</v>
      </c>
      <c r="AJ37" s="168">
        <v>6.3674201739865799</v>
      </c>
      <c r="AK37" s="168">
        <v>8.0475996949980608</v>
      </c>
      <c r="AL37" s="168">
        <v>10.1359305614536</v>
      </c>
      <c r="AM37" s="168">
        <v>12.3453047210565</v>
      </c>
      <c r="AN37" s="168">
        <v>12.9875074233926</v>
      </c>
      <c r="AO37" s="168">
        <v>12.445849800051301</v>
      </c>
      <c r="AP37" s="168">
        <v>13.602758075507101</v>
      </c>
      <c r="AQ37" s="168">
        <v>16.572222412579499</v>
      </c>
      <c r="AR37" s="168">
        <v>15.875849854272399</v>
      </c>
      <c r="AS37" s="168">
        <v>15.842043005781001</v>
      </c>
      <c r="AT37" s="168">
        <v>16.8255608349154</v>
      </c>
      <c r="AU37" s="168">
        <v>18.3823881940564</v>
      </c>
      <c r="AV37" s="168">
        <v>20.683222312792399</v>
      </c>
      <c r="AW37" s="168">
        <v>22.182694497020499</v>
      </c>
      <c r="AX37" s="168">
        <v>22.9911951432126</v>
      </c>
      <c r="AY37" s="168">
        <v>26.1052822077252</v>
      </c>
      <c r="AZ37" s="168">
        <v>23.014379071713101</v>
      </c>
      <c r="BA37" s="168">
        <v>26.404628202901801</v>
      </c>
      <c r="BB37" s="168">
        <v>30.501793368355202</v>
      </c>
      <c r="BC37" s="168">
        <v>31.664645947777</v>
      </c>
      <c r="BD37" s="168">
        <v>31.980598898337099</v>
      </c>
    </row>
    <row r="38" spans="1:56">
      <c r="A38" s="163" t="s">
        <v>130</v>
      </c>
      <c r="B38" s="163" t="s">
        <v>131</v>
      </c>
      <c r="W38" s="161" t="s">
        <v>125</v>
      </c>
      <c r="X38" s="161" t="s">
        <v>125</v>
      </c>
      <c r="Y38" s="161" t="s">
        <v>125</v>
      </c>
      <c r="Z38" s="161" t="s">
        <v>125</v>
      </c>
      <c r="AA38" s="161" t="s">
        <v>125</v>
      </c>
      <c r="AB38" s="161" t="s">
        <v>125</v>
      </c>
      <c r="AC38" s="161" t="s">
        <v>125</v>
      </c>
      <c r="AD38" s="161" t="s">
        <v>125</v>
      </c>
      <c r="AE38" s="161" t="s">
        <v>125</v>
      </c>
      <c r="AF38" s="161" t="s">
        <v>125</v>
      </c>
      <c r="AG38" s="168" t="s">
        <v>125</v>
      </c>
      <c r="AH38" s="168" t="s">
        <v>125</v>
      </c>
      <c r="AI38" s="168" t="s">
        <v>125</v>
      </c>
      <c r="AJ38" s="168" t="s">
        <v>125</v>
      </c>
      <c r="AK38" s="168" t="s">
        <v>125</v>
      </c>
      <c r="AL38" s="168" t="s">
        <v>125</v>
      </c>
      <c r="AM38" s="168" t="s">
        <v>125</v>
      </c>
      <c r="AN38" s="168" t="s">
        <v>125</v>
      </c>
      <c r="AO38" s="168" t="s">
        <v>125</v>
      </c>
      <c r="AP38" s="168" t="s">
        <v>125</v>
      </c>
      <c r="AQ38" s="168" t="s">
        <v>125</v>
      </c>
      <c r="AR38" s="168" t="s">
        <v>125</v>
      </c>
      <c r="AS38" s="168" t="s">
        <v>125</v>
      </c>
      <c r="AT38" s="168" t="s">
        <v>125</v>
      </c>
      <c r="AU38" s="168" t="s">
        <v>125</v>
      </c>
      <c r="AV38" s="168" t="s">
        <v>125</v>
      </c>
      <c r="AW38" s="168" t="s">
        <v>125</v>
      </c>
      <c r="AX38" s="168" t="s">
        <v>125</v>
      </c>
      <c r="AY38" s="168" t="s">
        <v>125</v>
      </c>
      <c r="AZ38" s="168" t="s">
        <v>125</v>
      </c>
      <c r="BA38" s="168" t="s">
        <v>125</v>
      </c>
      <c r="BB38" s="168" t="s">
        <v>125</v>
      </c>
      <c r="BC38" s="168" t="s">
        <v>125</v>
      </c>
      <c r="BD38" s="168" t="s">
        <v>125</v>
      </c>
    </row>
    <row r="39" spans="1:56">
      <c r="A39" s="163" t="s">
        <v>132</v>
      </c>
      <c r="B39" s="163" t="s">
        <v>565</v>
      </c>
      <c r="W39" s="161" t="s">
        <v>125</v>
      </c>
      <c r="X39" s="161" t="s">
        <v>125</v>
      </c>
      <c r="Y39" s="161" t="s">
        <v>125</v>
      </c>
      <c r="Z39" s="161" t="s">
        <v>125</v>
      </c>
      <c r="AA39" s="161" t="s">
        <v>125</v>
      </c>
      <c r="AB39" s="161" t="s">
        <v>125</v>
      </c>
      <c r="AC39" s="161" t="s">
        <v>125</v>
      </c>
      <c r="AD39" s="161" t="s">
        <v>125</v>
      </c>
      <c r="AE39" s="161" t="s">
        <v>125</v>
      </c>
      <c r="AF39" s="161" t="s">
        <v>125</v>
      </c>
      <c r="AG39" s="168" t="s">
        <v>125</v>
      </c>
      <c r="AH39" s="168" t="s">
        <v>125</v>
      </c>
      <c r="AI39" s="168" t="s">
        <v>125</v>
      </c>
      <c r="AJ39" s="168" t="s">
        <v>125</v>
      </c>
      <c r="AK39" s="168" t="s">
        <v>125</v>
      </c>
      <c r="AL39" s="168" t="s">
        <v>125</v>
      </c>
      <c r="AM39" s="168" t="s">
        <v>125</v>
      </c>
      <c r="AN39" s="168" t="s">
        <v>125</v>
      </c>
      <c r="AO39" s="168" t="s">
        <v>125</v>
      </c>
      <c r="AP39" s="168" t="s">
        <v>125</v>
      </c>
      <c r="AQ39" s="168" t="s">
        <v>125</v>
      </c>
      <c r="AR39" s="168" t="s">
        <v>125</v>
      </c>
      <c r="AS39" s="168" t="s">
        <v>125</v>
      </c>
      <c r="AT39" s="168" t="s">
        <v>125</v>
      </c>
      <c r="AU39" s="168" t="s">
        <v>125</v>
      </c>
      <c r="AV39" s="168" t="s">
        <v>125</v>
      </c>
      <c r="AW39" s="168" t="s">
        <v>125</v>
      </c>
      <c r="AX39" s="168" t="s">
        <v>125</v>
      </c>
      <c r="AY39" s="168" t="s">
        <v>125</v>
      </c>
      <c r="AZ39" s="168" t="s">
        <v>125</v>
      </c>
      <c r="BA39" s="168" t="s">
        <v>125</v>
      </c>
      <c r="BB39" s="168" t="s">
        <v>125</v>
      </c>
      <c r="BC39" s="168" t="s">
        <v>125</v>
      </c>
      <c r="BD39" s="168" t="s">
        <v>125</v>
      </c>
    </row>
    <row r="40" spans="1:56">
      <c r="A40" s="163" t="s">
        <v>134</v>
      </c>
      <c r="B40" s="163" t="s">
        <v>135</v>
      </c>
      <c r="W40" s="161" t="s">
        <v>125</v>
      </c>
      <c r="X40" s="161" t="s">
        <v>125</v>
      </c>
      <c r="Y40" s="161" t="s">
        <v>125</v>
      </c>
      <c r="Z40" s="161" t="s">
        <v>125</v>
      </c>
      <c r="AA40" s="161" t="s">
        <v>125</v>
      </c>
      <c r="AB40" s="161" t="s">
        <v>125</v>
      </c>
      <c r="AC40" s="161" t="s">
        <v>125</v>
      </c>
      <c r="AD40" s="161" t="s">
        <v>125</v>
      </c>
      <c r="AE40" s="161" t="s">
        <v>125</v>
      </c>
      <c r="AF40" s="161" t="s">
        <v>125</v>
      </c>
      <c r="AG40" s="168">
        <v>1.08379327288476E-8</v>
      </c>
      <c r="AH40" s="168">
        <v>2.7837902242111702E-8</v>
      </c>
      <c r="AI40" s="168">
        <v>9.6006204538695595E-8</v>
      </c>
      <c r="AJ40" s="168">
        <v>1.2690329529346199E-6</v>
      </c>
      <c r="AK40" s="168">
        <v>2.76425472542708E-5</v>
      </c>
      <c r="AL40" s="168">
        <v>5.4025619578098596E-4</v>
      </c>
      <c r="AM40" s="168">
        <v>2.9178624981433601E-2</v>
      </c>
      <c r="AN40" s="168">
        <v>5.57459876923386E-2</v>
      </c>
      <c r="AO40" s="168">
        <v>7.4624209272778796E-2</v>
      </c>
      <c r="AP40" s="168">
        <v>0.483333141396875</v>
      </c>
      <c r="AQ40" s="168">
        <v>2.4491419893044499</v>
      </c>
      <c r="AR40" s="168">
        <v>4.93995024716535</v>
      </c>
      <c r="AS40" s="168">
        <v>11.797023086414701</v>
      </c>
      <c r="AT40" s="168">
        <v>21.383769713746499</v>
      </c>
      <c r="AU40" s="168">
        <v>29.0954273806373</v>
      </c>
      <c r="AV40" s="168">
        <v>35.751064956080498</v>
      </c>
      <c r="AW40" s="168">
        <v>39.208117952018803</v>
      </c>
      <c r="AX40" s="168">
        <v>43.013262716503398</v>
      </c>
      <c r="AY40" s="168">
        <v>50.492601079403499</v>
      </c>
      <c r="AZ40" s="168">
        <v>46.389582733451498</v>
      </c>
      <c r="BA40" s="168">
        <v>56.098969986384603</v>
      </c>
      <c r="BB40" s="168">
        <v>68.314855561122599</v>
      </c>
      <c r="BC40" s="168">
        <v>71.859474210175406</v>
      </c>
      <c r="BD40" s="168">
        <v>72.565220188069205</v>
      </c>
    </row>
    <row r="41" spans="1:56">
      <c r="A41" s="163" t="s">
        <v>136</v>
      </c>
      <c r="B41" s="163" t="s">
        <v>137</v>
      </c>
      <c r="W41" s="161" t="s">
        <v>125</v>
      </c>
      <c r="X41" s="161" t="s">
        <v>125</v>
      </c>
      <c r="Y41" s="161" t="s">
        <v>125</v>
      </c>
      <c r="Z41" s="161" t="s">
        <v>125</v>
      </c>
      <c r="AA41" s="161" t="s">
        <v>125</v>
      </c>
      <c r="AB41" s="161" t="s">
        <v>125</v>
      </c>
      <c r="AC41" s="161" t="s">
        <v>125</v>
      </c>
      <c r="AD41" s="161" t="s">
        <v>125</v>
      </c>
      <c r="AE41" s="161" t="s">
        <v>125</v>
      </c>
      <c r="AF41" s="161" t="s">
        <v>125</v>
      </c>
      <c r="AG41" s="168">
        <v>1.53696952920842</v>
      </c>
      <c r="AH41" s="168">
        <v>1.52786709036968</v>
      </c>
      <c r="AI41" s="168">
        <v>1.5295101128828801</v>
      </c>
      <c r="AJ41" s="168">
        <v>1.52718374786428</v>
      </c>
      <c r="AK41" s="168">
        <v>1.54052301636434</v>
      </c>
      <c r="AL41" s="168">
        <v>1.5562307672619</v>
      </c>
      <c r="AM41" s="168">
        <v>1.56767265427264</v>
      </c>
      <c r="AN41" s="168">
        <v>1.57482046363122</v>
      </c>
      <c r="AO41" s="168">
        <v>1.5955615148423301</v>
      </c>
      <c r="AP41" s="168">
        <v>1.58834775842955</v>
      </c>
      <c r="AQ41" s="168">
        <v>1.7856402496997701</v>
      </c>
      <c r="AR41" s="168">
        <v>1.7804027566482501</v>
      </c>
      <c r="AS41" s="168">
        <v>1.7658552952837001</v>
      </c>
      <c r="AT41" s="168">
        <v>1.7103662672608999</v>
      </c>
      <c r="AU41" s="168">
        <v>1.69118884736591</v>
      </c>
      <c r="AV41" s="168">
        <v>1.7094521534315901</v>
      </c>
      <c r="AW41" s="168">
        <v>1.66401019770152</v>
      </c>
      <c r="AX41" s="168">
        <v>1.68136762149358</v>
      </c>
      <c r="AY41" s="168">
        <v>1.7225052308524</v>
      </c>
      <c r="AZ41" s="168">
        <v>1.73962608609017</v>
      </c>
      <c r="BA41" s="168">
        <v>1.74312249753357</v>
      </c>
      <c r="BB41" s="168">
        <v>1.7314540523261199</v>
      </c>
      <c r="BC41" s="168">
        <v>1.74511944552599</v>
      </c>
      <c r="BD41" s="168">
        <v>1.7594041212316001</v>
      </c>
    </row>
    <row r="42" spans="1:56">
      <c r="A42" s="163" t="s">
        <v>138</v>
      </c>
      <c r="B42" s="163" t="s">
        <v>139</v>
      </c>
      <c r="W42" s="161" t="s">
        <v>125</v>
      </c>
      <c r="X42" s="161" t="s">
        <v>125</v>
      </c>
      <c r="Y42" s="161" t="s">
        <v>125</v>
      </c>
      <c r="Z42" s="161" t="s">
        <v>125</v>
      </c>
      <c r="AA42" s="161" t="s">
        <v>125</v>
      </c>
      <c r="AB42" s="161" t="s">
        <v>125</v>
      </c>
      <c r="AC42" s="161" t="s">
        <v>125</v>
      </c>
      <c r="AD42" s="161" t="s">
        <v>125</v>
      </c>
      <c r="AE42" s="161" t="s">
        <v>125</v>
      </c>
      <c r="AF42" s="161" t="s">
        <v>125</v>
      </c>
      <c r="AG42" s="168" t="s">
        <v>125</v>
      </c>
      <c r="AH42" s="168" t="s">
        <v>125</v>
      </c>
      <c r="AI42" s="168" t="s">
        <v>125</v>
      </c>
      <c r="AJ42" s="168" t="s">
        <v>125</v>
      </c>
      <c r="AK42" s="168" t="s">
        <v>125</v>
      </c>
      <c r="AL42" s="168" t="s">
        <v>125</v>
      </c>
      <c r="AM42" s="168" t="s">
        <v>125</v>
      </c>
      <c r="AN42" s="168" t="s">
        <v>125</v>
      </c>
      <c r="AO42" s="168" t="s">
        <v>125</v>
      </c>
      <c r="AP42" s="168" t="s">
        <v>125</v>
      </c>
      <c r="AQ42" s="168" t="s">
        <v>125</v>
      </c>
      <c r="AR42" s="168" t="s">
        <v>125</v>
      </c>
      <c r="AS42" s="168" t="s">
        <v>125</v>
      </c>
      <c r="AT42" s="168" t="s">
        <v>125</v>
      </c>
      <c r="AU42" s="168" t="s">
        <v>125</v>
      </c>
      <c r="AV42" s="168" t="s">
        <v>125</v>
      </c>
      <c r="AW42" s="168" t="s">
        <v>125</v>
      </c>
      <c r="AX42" s="168" t="s">
        <v>125</v>
      </c>
      <c r="AY42" s="168" t="s">
        <v>125</v>
      </c>
      <c r="AZ42" s="168" t="s">
        <v>125</v>
      </c>
      <c r="BA42" s="168" t="s">
        <v>125</v>
      </c>
      <c r="BB42" s="168">
        <v>2.6648290000000001</v>
      </c>
      <c r="BC42" s="168" t="s">
        <v>125</v>
      </c>
      <c r="BD42" s="168" t="s">
        <v>125</v>
      </c>
    </row>
    <row r="43" spans="1:56">
      <c r="A43" s="163" t="s">
        <v>140</v>
      </c>
      <c r="B43" s="163" t="s">
        <v>141</v>
      </c>
      <c r="W43" s="161" t="s">
        <v>125</v>
      </c>
      <c r="X43" s="161" t="s">
        <v>125</v>
      </c>
      <c r="Y43" s="161" t="s">
        <v>125</v>
      </c>
      <c r="Z43" s="161" t="s">
        <v>125</v>
      </c>
      <c r="AA43" s="161" t="s">
        <v>125</v>
      </c>
      <c r="AB43" s="161" t="s">
        <v>125</v>
      </c>
      <c r="AC43" s="161" t="s">
        <v>125</v>
      </c>
      <c r="AD43" s="161" t="s">
        <v>125</v>
      </c>
      <c r="AE43" s="161" t="s">
        <v>125</v>
      </c>
      <c r="AF43" s="161" t="s">
        <v>125</v>
      </c>
      <c r="AG43" s="168">
        <v>5.8657194116307002E-3</v>
      </c>
      <c r="AH43" s="168">
        <v>1.01835665241134E-2</v>
      </c>
      <c r="AI43" s="168">
        <v>6.6589906104802005E-2</v>
      </c>
      <c r="AJ43" s="168">
        <v>0.96988508851414801</v>
      </c>
      <c r="AK43" s="168">
        <v>39.955378240044404</v>
      </c>
      <c r="AL43" s="168">
        <v>102.216796727409</v>
      </c>
      <c r="AM43" s="168">
        <v>120.050328987543</v>
      </c>
      <c r="AN43" s="168">
        <v>138.96481719258799</v>
      </c>
      <c r="AO43" s="168">
        <v>152.181168906294</v>
      </c>
      <c r="AP43" s="168">
        <v>150.11916454099099</v>
      </c>
      <c r="AQ43" s="168">
        <v>144.76759127708101</v>
      </c>
      <c r="AR43" s="168">
        <v>147.28392495787</v>
      </c>
      <c r="AS43" s="168">
        <v>148.4924332002</v>
      </c>
      <c r="AT43" s="168">
        <v>152.22330887951401</v>
      </c>
      <c r="AU43" s="168">
        <v>157.510167399274</v>
      </c>
      <c r="AV43" s="168">
        <v>157.559678231627</v>
      </c>
      <c r="AW43" s="168">
        <v>159.92248951522501</v>
      </c>
      <c r="AX43" s="168">
        <v>162.382210078546</v>
      </c>
      <c r="AY43" s="168">
        <v>168.81051108157001</v>
      </c>
      <c r="AZ43" s="168">
        <v>171.804531812319</v>
      </c>
      <c r="BA43" s="168">
        <v>182.93714038383999</v>
      </c>
      <c r="BB43" s="168">
        <v>187.09528412281699</v>
      </c>
      <c r="BC43" s="168">
        <v>181.64507664760501</v>
      </c>
      <c r="BD43" s="168">
        <v>184.64630943761199</v>
      </c>
    </row>
    <row r="44" spans="1:56">
      <c r="A44" s="163" t="s">
        <v>142</v>
      </c>
      <c r="B44" s="163" t="s">
        <v>143</v>
      </c>
      <c r="W44" s="161" t="s">
        <v>125</v>
      </c>
      <c r="X44" s="161" t="s">
        <v>125</v>
      </c>
      <c r="Y44" s="161" t="s">
        <v>125</v>
      </c>
      <c r="Z44" s="161" t="s">
        <v>125</v>
      </c>
      <c r="AA44" s="161" t="s">
        <v>125</v>
      </c>
      <c r="AB44" s="161" t="s">
        <v>125</v>
      </c>
      <c r="AC44" s="161" t="s">
        <v>125</v>
      </c>
      <c r="AD44" s="161" t="s">
        <v>125</v>
      </c>
      <c r="AE44" s="161" t="s">
        <v>125</v>
      </c>
      <c r="AF44" s="161" t="s">
        <v>125</v>
      </c>
      <c r="AG44" s="168" t="s">
        <v>125</v>
      </c>
      <c r="AH44" s="168" t="s">
        <v>125</v>
      </c>
      <c r="AI44" s="168" t="s">
        <v>125</v>
      </c>
      <c r="AJ44" s="168" t="s">
        <v>125</v>
      </c>
      <c r="AK44" s="168" t="s">
        <v>125</v>
      </c>
      <c r="AL44" s="168" t="s">
        <v>125</v>
      </c>
      <c r="AM44" s="168" t="s">
        <v>125</v>
      </c>
      <c r="AN44" s="168" t="s">
        <v>125</v>
      </c>
      <c r="AO44" s="168" t="s">
        <v>125</v>
      </c>
      <c r="AP44" s="168" t="s">
        <v>125</v>
      </c>
      <c r="AQ44" s="168" t="s">
        <v>125</v>
      </c>
      <c r="AR44" s="168" t="s">
        <v>125</v>
      </c>
      <c r="AS44" s="168" t="s">
        <v>125</v>
      </c>
      <c r="AT44" s="168" t="s">
        <v>125</v>
      </c>
      <c r="AU44" s="168" t="s">
        <v>125</v>
      </c>
      <c r="AV44" s="168" t="s">
        <v>125</v>
      </c>
      <c r="AW44" s="168" t="s">
        <v>125</v>
      </c>
      <c r="AX44" s="168" t="s">
        <v>125</v>
      </c>
      <c r="AY44" s="168" t="s">
        <v>125</v>
      </c>
      <c r="AZ44" s="168" t="s">
        <v>125</v>
      </c>
      <c r="BA44" s="168" t="s">
        <v>125</v>
      </c>
      <c r="BB44" s="168">
        <v>1.2601191425092699</v>
      </c>
      <c r="BC44" s="168" t="s">
        <v>125</v>
      </c>
      <c r="BD44" s="168" t="s">
        <v>125</v>
      </c>
    </row>
    <row r="45" spans="1:56">
      <c r="A45" s="163" t="s">
        <v>144</v>
      </c>
      <c r="B45" s="163" t="s">
        <v>145</v>
      </c>
      <c r="W45" s="161" t="s">
        <v>125</v>
      </c>
      <c r="X45" s="161" t="s">
        <v>125</v>
      </c>
      <c r="Y45" s="161" t="s">
        <v>125</v>
      </c>
      <c r="Z45" s="161" t="s">
        <v>125</v>
      </c>
      <c r="AA45" s="161" t="s">
        <v>125</v>
      </c>
      <c r="AB45" s="161" t="s">
        <v>125</v>
      </c>
      <c r="AC45" s="161" t="s">
        <v>125</v>
      </c>
      <c r="AD45" s="161" t="s">
        <v>125</v>
      </c>
      <c r="AE45" s="161" t="s">
        <v>125</v>
      </c>
      <c r="AF45" s="161" t="s">
        <v>125</v>
      </c>
      <c r="AG45" s="168">
        <v>1.3614025270000001</v>
      </c>
      <c r="AH45" s="168">
        <v>1.347977821</v>
      </c>
      <c r="AI45" s="168">
        <v>1.3240092590000001</v>
      </c>
      <c r="AJ45" s="168">
        <v>1.3071771059999999</v>
      </c>
      <c r="AK45" s="168">
        <v>1.301418545</v>
      </c>
      <c r="AL45" s="168">
        <v>1.3038751289999999</v>
      </c>
      <c r="AM45" s="168">
        <v>1.3092755469999999</v>
      </c>
      <c r="AN45" s="168">
        <v>1.3128847939999999</v>
      </c>
      <c r="AO45" s="168">
        <v>1.295609403</v>
      </c>
      <c r="AP45" s="168">
        <v>1.29695</v>
      </c>
      <c r="AQ45" s="168">
        <v>1.31052963</v>
      </c>
      <c r="AR45" s="168">
        <v>1.324261151</v>
      </c>
      <c r="AS45" s="168">
        <v>1.3364898540000001</v>
      </c>
      <c r="AT45" s="168">
        <v>1.3516922499999999</v>
      </c>
      <c r="AU45" s="168">
        <v>1.3670627559999999</v>
      </c>
      <c r="AV45" s="168">
        <v>1.3883557870000001</v>
      </c>
      <c r="AW45" s="168">
        <v>1.406828795</v>
      </c>
      <c r="AX45" s="168">
        <v>1.426873115</v>
      </c>
      <c r="AY45" s="168">
        <v>1.479072714</v>
      </c>
      <c r="AZ45" s="168">
        <v>1.4424146179999999</v>
      </c>
      <c r="BA45" s="168">
        <v>1.5061319689999999</v>
      </c>
      <c r="BB45" s="168">
        <v>1.511051726</v>
      </c>
      <c r="BC45" s="168">
        <v>1.527404363</v>
      </c>
      <c r="BD45" s="168">
        <v>1.510060148</v>
      </c>
    </row>
    <row r="46" spans="1:56">
      <c r="A46" s="163" t="s">
        <v>146</v>
      </c>
      <c r="B46" s="163" t="s">
        <v>147</v>
      </c>
      <c r="W46" s="161" t="s">
        <v>125</v>
      </c>
      <c r="X46" s="161" t="s">
        <v>125</v>
      </c>
      <c r="Y46" s="161" t="s">
        <v>125</v>
      </c>
      <c r="Z46" s="161" t="s">
        <v>125</v>
      </c>
      <c r="AA46" s="161" t="s">
        <v>125</v>
      </c>
      <c r="AB46" s="161" t="s">
        <v>125</v>
      </c>
      <c r="AC46" s="161" t="s">
        <v>125</v>
      </c>
      <c r="AD46" s="161" t="s">
        <v>125</v>
      </c>
      <c r="AE46" s="161" t="s">
        <v>125</v>
      </c>
      <c r="AF46" s="161" t="s">
        <v>125</v>
      </c>
      <c r="AG46" s="168">
        <v>0.917627941</v>
      </c>
      <c r="AH46" s="168">
        <v>0.92043197499999996</v>
      </c>
      <c r="AI46" s="168">
        <v>0.93121890600000001</v>
      </c>
      <c r="AJ46" s="168">
        <v>0.93465064899999994</v>
      </c>
      <c r="AK46" s="168">
        <v>0.93827612000000005</v>
      </c>
      <c r="AL46" s="168">
        <v>0.93577547699999997</v>
      </c>
      <c r="AM46" s="168">
        <v>0.93075824699999998</v>
      </c>
      <c r="AN46" s="168">
        <v>0.92450095499999996</v>
      </c>
      <c r="AO46" s="168">
        <v>0.91743375800000004</v>
      </c>
      <c r="AP46" s="168">
        <v>0.91708873000000002</v>
      </c>
      <c r="AQ46" s="168">
        <v>0.89919539699999995</v>
      </c>
      <c r="AR46" s="168">
        <v>0.91650459200000001</v>
      </c>
      <c r="AS46" s="168">
        <v>0.89570046299999995</v>
      </c>
      <c r="AT46" s="168">
        <v>0.88439944599999998</v>
      </c>
      <c r="AU46" s="168">
        <v>0.87481986099999998</v>
      </c>
      <c r="AV46" s="168">
        <v>0.88640437599999999</v>
      </c>
      <c r="AW46" s="168">
        <v>0.85557947700000003</v>
      </c>
      <c r="AX46" s="168">
        <v>0.86820305099999995</v>
      </c>
      <c r="AY46" s="168">
        <v>0.85249365899999996</v>
      </c>
      <c r="AZ46" s="168">
        <v>0.841006539</v>
      </c>
      <c r="BA46" s="168">
        <v>0.84139983399999996</v>
      </c>
      <c r="BB46" s="168">
        <v>0.83002010000000004</v>
      </c>
      <c r="BC46" s="168">
        <v>0.84196132099999998</v>
      </c>
      <c r="BD46" s="168">
        <v>0.83682889500000002</v>
      </c>
    </row>
    <row r="47" spans="1:56">
      <c r="A47" s="163" t="s">
        <v>148</v>
      </c>
      <c r="B47" s="163" t="s">
        <v>149</v>
      </c>
      <c r="W47" s="161" t="s">
        <v>125</v>
      </c>
      <c r="X47" s="161" t="s">
        <v>125</v>
      </c>
      <c r="Y47" s="161" t="s">
        <v>125</v>
      </c>
      <c r="Z47" s="161" t="s">
        <v>125</v>
      </c>
      <c r="AA47" s="161" t="s">
        <v>125</v>
      </c>
      <c r="AB47" s="161" t="s">
        <v>125</v>
      </c>
      <c r="AC47" s="161" t="s">
        <v>125</v>
      </c>
      <c r="AD47" s="161" t="s">
        <v>125</v>
      </c>
      <c r="AE47" s="161" t="s">
        <v>125</v>
      </c>
      <c r="AF47" s="161" t="s">
        <v>125</v>
      </c>
      <c r="AG47" s="168">
        <v>7.4269878173997999E-6</v>
      </c>
      <c r="AH47" s="168">
        <v>1.31933707952822E-5</v>
      </c>
      <c r="AI47" s="168">
        <v>1.5031830849859801E-4</v>
      </c>
      <c r="AJ47" s="168">
        <v>1.2444334107118401E-3</v>
      </c>
      <c r="AK47" s="168">
        <v>1.8097101106088701E-2</v>
      </c>
      <c r="AL47" s="168">
        <v>0.114464413294349</v>
      </c>
      <c r="AM47" s="168">
        <v>0.14211160504110901</v>
      </c>
      <c r="AN47" s="168">
        <v>0.15263155718839999</v>
      </c>
      <c r="AO47" s="168">
        <v>0.149538168480045</v>
      </c>
      <c r="AP47" s="168">
        <v>0.150618682225094</v>
      </c>
      <c r="AQ47" s="168">
        <v>0.16567162419537801</v>
      </c>
      <c r="AR47" s="168">
        <v>0.16603422679929999</v>
      </c>
      <c r="AS47" s="168">
        <v>0.16862223027550099</v>
      </c>
      <c r="AT47" s="168">
        <v>0.17525187941875101</v>
      </c>
      <c r="AU47" s="168">
        <v>0.18475968895227901</v>
      </c>
      <c r="AV47" s="168">
        <v>0.207910330573049</v>
      </c>
      <c r="AW47" s="168">
        <v>0.224505516644011</v>
      </c>
      <c r="AX47" s="168">
        <v>0.26458874198372001</v>
      </c>
      <c r="AY47" s="168">
        <v>0.33156665052593098</v>
      </c>
      <c r="AZ47" s="168">
        <v>0.26674884720904801</v>
      </c>
      <c r="BA47" s="168">
        <v>0.29981512518522702</v>
      </c>
      <c r="BB47" s="168">
        <v>0.36039382081759402</v>
      </c>
      <c r="BC47" s="168">
        <v>0.35930663237598498</v>
      </c>
      <c r="BD47" s="168">
        <v>0.35756148141939298</v>
      </c>
    </row>
    <row r="48" spans="1:56">
      <c r="A48" s="163" t="s">
        <v>150</v>
      </c>
      <c r="B48" s="163" t="s">
        <v>151</v>
      </c>
      <c r="W48" s="161" t="s">
        <v>125</v>
      </c>
      <c r="X48" s="161" t="s">
        <v>125</v>
      </c>
      <c r="Y48" s="161" t="s">
        <v>125</v>
      </c>
      <c r="Z48" s="161" t="s">
        <v>125</v>
      </c>
      <c r="AA48" s="161" t="s">
        <v>125</v>
      </c>
      <c r="AB48" s="161" t="s">
        <v>125</v>
      </c>
      <c r="AC48" s="161" t="s">
        <v>125</v>
      </c>
      <c r="AD48" s="161" t="s">
        <v>125</v>
      </c>
      <c r="AE48" s="161" t="s">
        <v>125</v>
      </c>
      <c r="AF48" s="161" t="s">
        <v>125</v>
      </c>
      <c r="AG48" s="168">
        <v>0.79088790323946601</v>
      </c>
      <c r="AH48" s="168">
        <v>0.78499719993628003</v>
      </c>
      <c r="AI48" s="168">
        <v>0.79747007141819704</v>
      </c>
      <c r="AJ48" s="168">
        <v>0.77229669447121296</v>
      </c>
      <c r="AK48" s="168">
        <v>0.77270940267149102</v>
      </c>
      <c r="AL48" s="168">
        <v>0.76299391074150502</v>
      </c>
      <c r="AM48" s="168">
        <v>0.756683880737265</v>
      </c>
      <c r="AN48" s="168">
        <v>1.00201540293855</v>
      </c>
      <c r="AO48" s="168">
        <v>1.02148930865322</v>
      </c>
      <c r="AP48" s="168">
        <v>1.0569678516315899</v>
      </c>
      <c r="AQ48" s="168">
        <v>1.04301189457688</v>
      </c>
      <c r="AR48" s="168">
        <v>1.02325579409839</v>
      </c>
      <c r="AS48" s="168">
        <v>1.04768584289112</v>
      </c>
      <c r="AT48" s="168">
        <v>1.03901894734801</v>
      </c>
      <c r="AU48" s="168">
        <v>1.0233767531252</v>
      </c>
      <c r="AV48" s="168">
        <v>1.04171523170554</v>
      </c>
      <c r="AW48" s="168">
        <v>1.01901448655081</v>
      </c>
      <c r="AX48" s="168">
        <v>1.02192940509785</v>
      </c>
      <c r="AY48" s="168">
        <v>1.0172725735035499</v>
      </c>
      <c r="AZ48" s="168">
        <v>0.99903866008478104</v>
      </c>
      <c r="BA48" s="168">
        <v>0.98589067861121404</v>
      </c>
      <c r="BB48" s="168">
        <v>0.94924948597658998</v>
      </c>
      <c r="BC48" s="168">
        <v>0.94832127476371997</v>
      </c>
      <c r="BD48" s="168" t="s">
        <v>125</v>
      </c>
    </row>
    <row r="49" spans="1:56">
      <c r="A49" s="163" t="s">
        <v>152</v>
      </c>
      <c r="B49" s="163" t="s">
        <v>153</v>
      </c>
      <c r="W49" s="161" t="s">
        <v>125</v>
      </c>
      <c r="X49" s="161" t="s">
        <v>125</v>
      </c>
      <c r="Y49" s="161" t="s">
        <v>125</v>
      </c>
      <c r="Z49" s="161" t="s">
        <v>125</v>
      </c>
      <c r="AA49" s="161" t="s">
        <v>125</v>
      </c>
      <c r="AB49" s="161" t="s">
        <v>125</v>
      </c>
      <c r="AC49" s="161" t="s">
        <v>125</v>
      </c>
      <c r="AD49" s="161" t="s">
        <v>125</v>
      </c>
      <c r="AE49" s="161" t="s">
        <v>125</v>
      </c>
      <c r="AF49" s="161" t="s">
        <v>125</v>
      </c>
      <c r="AG49" s="168">
        <v>0.139858434322675</v>
      </c>
      <c r="AH49" s="168">
        <v>0.132808183357572</v>
      </c>
      <c r="AI49" s="168">
        <v>0.125260073872828</v>
      </c>
      <c r="AJ49" s="168">
        <v>0.118646394697491</v>
      </c>
      <c r="AK49" s="168">
        <v>0.12469019415994</v>
      </c>
      <c r="AL49" s="168">
        <v>0.123474486108011</v>
      </c>
      <c r="AM49" s="168">
        <v>0.121498391990294</v>
      </c>
      <c r="AN49" s="168">
        <v>0.120567549314895</v>
      </c>
      <c r="AO49" s="168">
        <v>0.110856085213139</v>
      </c>
      <c r="AP49" s="168">
        <v>0.112198568415038</v>
      </c>
      <c r="AQ49" s="168">
        <v>0.142608228933533</v>
      </c>
      <c r="AR49" s="168">
        <v>0.13472435744177999</v>
      </c>
      <c r="AS49" s="168">
        <v>0.13741520869850901</v>
      </c>
      <c r="AT49" s="168">
        <v>0.14610019853287301</v>
      </c>
      <c r="AU49" s="168">
        <v>0.157831651619217</v>
      </c>
      <c r="AV49" s="168">
        <v>0.17393115613278501</v>
      </c>
      <c r="AW49" s="168">
        <v>0.183664681518308</v>
      </c>
      <c r="AX49" s="168">
        <v>0.194009258478302</v>
      </c>
      <c r="AY49" s="168">
        <v>0.21193531984064301</v>
      </c>
      <c r="AZ49" s="168">
        <v>0.18297812139230099</v>
      </c>
      <c r="BA49" s="168">
        <v>0.194237920501492</v>
      </c>
      <c r="BB49" s="168">
        <v>0.210747166621404</v>
      </c>
      <c r="BC49" s="168">
        <v>0.20940584394694101</v>
      </c>
      <c r="BD49" s="168">
        <v>0.211170171536506</v>
      </c>
    </row>
    <row r="50" spans="1:56">
      <c r="A50" s="163" t="s">
        <v>154</v>
      </c>
      <c r="B50" s="163" t="s">
        <v>155</v>
      </c>
      <c r="W50" s="161" t="s">
        <v>125</v>
      </c>
      <c r="X50" s="161" t="s">
        <v>125</v>
      </c>
      <c r="Y50" s="161" t="s">
        <v>125</v>
      </c>
      <c r="Z50" s="161" t="s">
        <v>125</v>
      </c>
      <c r="AA50" s="161" t="s">
        <v>125</v>
      </c>
      <c r="AB50" s="161" t="s">
        <v>125</v>
      </c>
      <c r="AC50" s="161" t="s">
        <v>125</v>
      </c>
      <c r="AD50" s="161" t="s">
        <v>125</v>
      </c>
      <c r="AE50" s="161" t="s">
        <v>125</v>
      </c>
      <c r="AF50" s="161" t="s">
        <v>125</v>
      </c>
      <c r="AG50" s="168">
        <v>13.510993769287699</v>
      </c>
      <c r="AH50" s="168">
        <v>13.938594433799199</v>
      </c>
      <c r="AI50" s="168">
        <v>14.033436467689899</v>
      </c>
      <c r="AJ50" s="168">
        <v>13.746568341252001</v>
      </c>
      <c r="AK50" s="168">
        <v>13.967721750068501</v>
      </c>
      <c r="AL50" s="168">
        <v>14.687320949863899</v>
      </c>
      <c r="AM50" s="168">
        <v>15.034669328419</v>
      </c>
      <c r="AN50" s="168">
        <v>15.238530161963901</v>
      </c>
      <c r="AO50" s="168">
        <v>15.870113866465299</v>
      </c>
      <c r="AP50" s="168">
        <v>16.375126921091098</v>
      </c>
      <c r="AQ50" s="168">
        <v>16.3090725243548</v>
      </c>
      <c r="AR50" s="168">
        <v>16.196552057950701</v>
      </c>
      <c r="AS50" s="168">
        <v>16.461142586949201</v>
      </c>
      <c r="AT50" s="168">
        <v>16.8693277537987</v>
      </c>
      <c r="AU50" s="168">
        <v>17.115484248697499</v>
      </c>
      <c r="AV50" s="168">
        <v>17.425152862236398</v>
      </c>
      <c r="AW50" s="168">
        <v>17.779870912079801</v>
      </c>
      <c r="AX50" s="168">
        <v>18.495640654531801</v>
      </c>
      <c r="AY50" s="168">
        <v>19.735707760618901</v>
      </c>
      <c r="AZ50" s="168">
        <v>20.862091775019302</v>
      </c>
      <c r="BA50" s="168">
        <v>21.946963772688001</v>
      </c>
      <c r="BB50" s="168">
        <v>23.145431921679101</v>
      </c>
      <c r="BC50" s="168">
        <v>24.676770752409698</v>
      </c>
      <c r="BD50" s="168">
        <v>25.918766821444901</v>
      </c>
    </row>
    <row r="51" spans="1:56">
      <c r="A51" s="163" t="s">
        <v>156</v>
      </c>
      <c r="B51" s="163" t="s">
        <v>157</v>
      </c>
      <c r="W51" s="161" t="s">
        <v>125</v>
      </c>
      <c r="X51" s="161" t="s">
        <v>125</v>
      </c>
      <c r="Y51" s="161" t="s">
        <v>125</v>
      </c>
      <c r="Z51" s="161" t="s">
        <v>125</v>
      </c>
      <c r="AA51" s="161" t="s">
        <v>125</v>
      </c>
      <c r="AB51" s="161" t="s">
        <v>125</v>
      </c>
      <c r="AC51" s="161" t="s">
        <v>125</v>
      </c>
      <c r="AD51" s="161" t="s">
        <v>125</v>
      </c>
      <c r="AE51" s="161" t="s">
        <v>125</v>
      </c>
      <c r="AF51" s="161" t="s">
        <v>125</v>
      </c>
      <c r="AG51" s="168">
        <v>1.8599517391468201</v>
      </c>
      <c r="AH51" s="168">
        <v>1.8392176219805101</v>
      </c>
      <c r="AI51" s="168">
        <v>1.82909841787091</v>
      </c>
      <c r="AJ51" s="168">
        <v>1.8659880419622299</v>
      </c>
      <c r="AK51" s="168">
        <v>1.8475098493052</v>
      </c>
      <c r="AL51" s="168">
        <v>1.87492369537329</v>
      </c>
      <c r="AM51" s="168">
        <v>1.9279604771110099</v>
      </c>
      <c r="AN51" s="168">
        <v>1.8831121929844501</v>
      </c>
      <c r="AO51" s="168">
        <v>2.0175487461436998</v>
      </c>
      <c r="AP51" s="168">
        <v>2.0316682772477002</v>
      </c>
      <c r="AQ51" s="168">
        <v>1.9998530136218799</v>
      </c>
      <c r="AR51" s="168">
        <v>2.0016241396030199</v>
      </c>
      <c r="AS51" s="168">
        <v>1.99355080916197</v>
      </c>
      <c r="AT51" s="168">
        <v>1.97873760953333</v>
      </c>
      <c r="AU51" s="168">
        <v>2.0371639651899098</v>
      </c>
      <c r="AV51" s="168">
        <v>2.1044681512252201</v>
      </c>
      <c r="AW51" s="168">
        <v>2.1412089311076001</v>
      </c>
      <c r="AX51" s="168">
        <v>2.14630284600078</v>
      </c>
      <c r="AY51" s="168">
        <v>2.1111346542969298</v>
      </c>
      <c r="AZ51" s="168">
        <v>2.2100716658841502</v>
      </c>
      <c r="BA51" s="168">
        <v>2.10273452983665</v>
      </c>
      <c r="BB51" s="168">
        <v>2.0167963152556601</v>
      </c>
      <c r="BC51" s="168">
        <v>1.9166100910835899</v>
      </c>
      <c r="BD51" s="168" t="s">
        <v>125</v>
      </c>
    </row>
    <row r="52" spans="1:56">
      <c r="A52" s="163" t="s">
        <v>158</v>
      </c>
      <c r="B52" s="163" t="s">
        <v>159</v>
      </c>
      <c r="W52" s="161" t="s">
        <v>125</v>
      </c>
      <c r="X52" s="161" t="s">
        <v>125</v>
      </c>
      <c r="Y52" s="161" t="s">
        <v>125</v>
      </c>
      <c r="Z52" s="161" t="s">
        <v>125</v>
      </c>
      <c r="AA52" s="161" t="s">
        <v>125</v>
      </c>
      <c r="AB52" s="161" t="s">
        <v>125</v>
      </c>
      <c r="AC52" s="161" t="s">
        <v>125</v>
      </c>
      <c r="AD52" s="161" t="s">
        <v>125</v>
      </c>
      <c r="AE52" s="161" t="s">
        <v>125</v>
      </c>
      <c r="AF52" s="161" t="s">
        <v>125</v>
      </c>
      <c r="AG52" s="168">
        <v>8.1231883279765906E-5</v>
      </c>
      <c r="AH52" s="168">
        <v>1.60062522872284E-4</v>
      </c>
      <c r="AI52" s="168">
        <v>1.83745817134831E-3</v>
      </c>
      <c r="AJ52" s="168">
        <v>2.07014909823845E-2</v>
      </c>
      <c r="AK52" s="168">
        <v>0.41454291765124901</v>
      </c>
      <c r="AL52" s="168">
        <v>3.0922120170059402</v>
      </c>
      <c r="AM52" s="168">
        <v>4.6679404678320502</v>
      </c>
      <c r="AN52" s="168">
        <v>7.8777097724050398</v>
      </c>
      <c r="AO52" s="168">
        <v>13.761216384742101</v>
      </c>
      <c r="AP52" s="168">
        <v>56.5482543982042</v>
      </c>
      <c r="AQ52" s="168">
        <v>157.742721943638</v>
      </c>
      <c r="AR52" s="168">
        <v>276.85951756906201</v>
      </c>
      <c r="AS52" s="168">
        <v>395.08109529482601</v>
      </c>
      <c r="AT52" s="168">
        <v>506.19722123398498</v>
      </c>
      <c r="AU52" s="168">
        <v>604.40978059305098</v>
      </c>
      <c r="AV52" s="168">
        <v>696.47202205103599</v>
      </c>
      <c r="AW52" s="168">
        <v>748.34220885584102</v>
      </c>
      <c r="AX52" s="168">
        <v>822.47866279160996</v>
      </c>
      <c r="AY52" s="168">
        <v>977.42535977221905</v>
      </c>
      <c r="AZ52" s="168">
        <v>1025.46358980843</v>
      </c>
      <c r="BA52" s="168">
        <v>1125.3753295516799</v>
      </c>
      <c r="BB52" s="168">
        <v>1889.3076975127401</v>
      </c>
      <c r="BC52" s="168">
        <v>3257.6220824615998</v>
      </c>
      <c r="BD52" s="168">
        <v>3818.8427825597601</v>
      </c>
    </row>
    <row r="53" spans="1:56">
      <c r="A53" s="163" t="s">
        <v>160</v>
      </c>
      <c r="B53" s="163" t="s">
        <v>161</v>
      </c>
      <c r="W53" s="161" t="s">
        <v>125</v>
      </c>
      <c r="X53" s="161" t="s">
        <v>125</v>
      </c>
      <c r="Y53" s="161" t="s">
        <v>125</v>
      </c>
      <c r="Z53" s="161" t="s">
        <v>125</v>
      </c>
      <c r="AA53" s="161" t="s">
        <v>125</v>
      </c>
      <c r="AB53" s="161" t="s">
        <v>125</v>
      </c>
      <c r="AC53" s="161" t="s">
        <v>125</v>
      </c>
      <c r="AD53" s="161" t="s">
        <v>125</v>
      </c>
      <c r="AE53" s="161" t="s">
        <v>125</v>
      </c>
      <c r="AF53" s="161" t="s">
        <v>125</v>
      </c>
      <c r="AG53" s="168">
        <v>0.90116414700000003</v>
      </c>
      <c r="AH53" s="168">
        <v>0.89724373099999999</v>
      </c>
      <c r="AI53" s="168">
        <v>0.90728021299999995</v>
      </c>
      <c r="AJ53" s="168">
        <v>0.92157835799999999</v>
      </c>
      <c r="AK53" s="168">
        <v>0.92126718100000005</v>
      </c>
      <c r="AL53" s="168">
        <v>0.91345904499999997</v>
      </c>
      <c r="AM53" s="168">
        <v>0.913085221</v>
      </c>
      <c r="AN53" s="168">
        <v>0.91212618199999995</v>
      </c>
      <c r="AO53" s="168">
        <v>0.92446497999999999</v>
      </c>
      <c r="AP53" s="168">
        <v>0.92126834899999999</v>
      </c>
      <c r="AQ53" s="168">
        <v>0.88992109500000005</v>
      </c>
      <c r="AR53" s="168">
        <v>0.88481962599999997</v>
      </c>
      <c r="AS53" s="168">
        <v>0.86522440499999997</v>
      </c>
      <c r="AT53" s="168">
        <v>0.87833048899999999</v>
      </c>
      <c r="AU53" s="168">
        <v>0.89693742600000004</v>
      </c>
      <c r="AV53" s="168">
        <v>0.89960007200000003</v>
      </c>
      <c r="AW53" s="168">
        <v>0.88206438300000001</v>
      </c>
      <c r="AX53" s="168">
        <v>0.88758001600000003</v>
      </c>
      <c r="AY53" s="168">
        <v>0.87350447600000003</v>
      </c>
      <c r="AZ53" s="168">
        <v>0.85501321900000005</v>
      </c>
      <c r="BA53" s="168">
        <v>0.85405767099999996</v>
      </c>
      <c r="BB53" s="168">
        <v>0.83896207700000003</v>
      </c>
      <c r="BC53" s="168">
        <v>0.849369806</v>
      </c>
      <c r="BD53" s="168">
        <v>0.84743031899999999</v>
      </c>
    </row>
    <row r="54" spans="1:56">
      <c r="A54" s="163" t="s">
        <v>162</v>
      </c>
      <c r="B54" s="163" t="s">
        <v>163</v>
      </c>
      <c r="W54" s="161" t="s">
        <v>125</v>
      </c>
      <c r="X54" s="161" t="s">
        <v>125</v>
      </c>
      <c r="Y54" s="161" t="s">
        <v>125</v>
      </c>
      <c r="Z54" s="161" t="s">
        <v>125</v>
      </c>
      <c r="AA54" s="161" t="s">
        <v>125</v>
      </c>
      <c r="AB54" s="161" t="s">
        <v>125</v>
      </c>
      <c r="AC54" s="161" t="s">
        <v>125</v>
      </c>
      <c r="AD54" s="161" t="s">
        <v>125</v>
      </c>
      <c r="AE54" s="161" t="s">
        <v>125</v>
      </c>
      <c r="AF54" s="161" t="s">
        <v>125</v>
      </c>
      <c r="AG54" s="168">
        <v>1.32172615709178</v>
      </c>
      <c r="AH54" s="168">
        <v>1.24642285231313</v>
      </c>
      <c r="AI54" s="168">
        <v>1.26729889338004</v>
      </c>
      <c r="AJ54" s="168">
        <v>1.25828403070096</v>
      </c>
      <c r="AK54" s="168">
        <v>1.2762636168124899</v>
      </c>
      <c r="AL54" s="168">
        <v>1.32618336288664</v>
      </c>
      <c r="AM54" s="168">
        <v>1.3280373636796601</v>
      </c>
      <c r="AN54" s="168">
        <v>1.28641206970985</v>
      </c>
      <c r="AO54" s="168">
        <v>1.29173590148395</v>
      </c>
      <c r="AP54" s="168">
        <v>1.24508111635272</v>
      </c>
      <c r="AQ54" s="168">
        <v>1.22273896729446</v>
      </c>
      <c r="AR54" s="168">
        <v>1.19312532840003</v>
      </c>
      <c r="AS54" s="168">
        <v>1.19585261873646</v>
      </c>
      <c r="AT54" s="168">
        <v>1.1386905741704201</v>
      </c>
      <c r="AU54" s="168">
        <v>1.1312667601247901</v>
      </c>
      <c r="AV54" s="168">
        <v>1.12118421676155</v>
      </c>
      <c r="AW54" s="168">
        <v>1.1352178823647601</v>
      </c>
      <c r="AX54" s="168">
        <v>1.15838070719094</v>
      </c>
      <c r="AY54" s="168">
        <v>1.1606882255764801</v>
      </c>
      <c r="AZ54" s="168">
        <v>1.12245159768416</v>
      </c>
      <c r="BA54" s="168">
        <v>1.1157725361025701</v>
      </c>
      <c r="BB54" s="168">
        <v>1.1498014778188299</v>
      </c>
      <c r="BC54" s="168">
        <v>1.1473219443788201</v>
      </c>
      <c r="BD54" s="168">
        <v>1.1453250152091701</v>
      </c>
    </row>
    <row r="55" spans="1:56">
      <c r="A55" s="163" t="s">
        <v>164</v>
      </c>
      <c r="B55" s="163" t="s">
        <v>165</v>
      </c>
      <c r="W55" s="161" t="s">
        <v>125</v>
      </c>
      <c r="X55" s="161" t="s">
        <v>125</v>
      </c>
      <c r="Y55" s="161" t="s">
        <v>125</v>
      </c>
      <c r="Z55" s="161" t="s">
        <v>125</v>
      </c>
      <c r="AA55" s="161" t="s">
        <v>125</v>
      </c>
      <c r="AB55" s="161" t="s">
        <v>125</v>
      </c>
      <c r="AC55" s="161" t="s">
        <v>125</v>
      </c>
      <c r="AD55" s="161" t="s">
        <v>125</v>
      </c>
      <c r="AE55" s="161" t="s">
        <v>125</v>
      </c>
      <c r="AF55" s="161" t="s">
        <v>125</v>
      </c>
      <c r="AG55" s="168">
        <v>121.125207306577</v>
      </c>
      <c r="AH55" s="168">
        <v>118.11306674044801</v>
      </c>
      <c r="AI55" s="168">
        <v>118.973053891135</v>
      </c>
      <c r="AJ55" s="168">
        <v>118.97134425573201</v>
      </c>
      <c r="AK55" s="168">
        <v>157.29858449017101</v>
      </c>
      <c r="AL55" s="168">
        <v>177.35029536864701</v>
      </c>
      <c r="AM55" s="168">
        <v>186.199729021118</v>
      </c>
      <c r="AN55" s="168">
        <v>189.78153621483</v>
      </c>
      <c r="AO55" s="168">
        <v>197.567033521855</v>
      </c>
      <c r="AP55" s="168">
        <v>195.63523245320101</v>
      </c>
      <c r="AQ55" s="168">
        <v>199.946581861559</v>
      </c>
      <c r="AR55" s="168">
        <v>200.66769355658101</v>
      </c>
      <c r="AS55" s="168">
        <v>202.16035232225099</v>
      </c>
      <c r="AT55" s="168">
        <v>201.57119362342999</v>
      </c>
      <c r="AU55" s="168">
        <v>196.933711679282</v>
      </c>
      <c r="AV55" s="168">
        <v>199.255010152778</v>
      </c>
      <c r="AW55" s="168">
        <v>199.413947571753</v>
      </c>
      <c r="AX55" s="168">
        <v>199.15722353571101</v>
      </c>
      <c r="AY55" s="168">
        <v>209.37708276491699</v>
      </c>
      <c r="AZ55" s="168">
        <v>211.842204809717</v>
      </c>
      <c r="BA55" s="168">
        <v>213.21049540759699</v>
      </c>
      <c r="BB55" s="168">
        <v>214.03456356771599</v>
      </c>
      <c r="BC55" s="168">
        <v>223.28094876109699</v>
      </c>
      <c r="BD55" s="168">
        <v>221.97042757743901</v>
      </c>
    </row>
    <row r="56" spans="1:56">
      <c r="A56" s="163" t="s">
        <v>166</v>
      </c>
      <c r="B56" s="163" t="s">
        <v>167</v>
      </c>
      <c r="W56" s="161" t="s">
        <v>125</v>
      </c>
      <c r="X56" s="161" t="s">
        <v>125</v>
      </c>
      <c r="Y56" s="161" t="s">
        <v>125</v>
      </c>
      <c r="Z56" s="161" t="s">
        <v>125</v>
      </c>
      <c r="AA56" s="161" t="s">
        <v>125</v>
      </c>
      <c r="AB56" s="161" t="s">
        <v>125</v>
      </c>
      <c r="AC56" s="161" t="s">
        <v>125</v>
      </c>
      <c r="AD56" s="161" t="s">
        <v>125</v>
      </c>
      <c r="AE56" s="161" t="s">
        <v>125</v>
      </c>
      <c r="AF56" s="161" t="s">
        <v>125</v>
      </c>
      <c r="AG56" s="168">
        <v>1.0218353803186799</v>
      </c>
      <c r="AH56" s="168">
        <v>1.0525366551984501</v>
      </c>
      <c r="AI56" s="168">
        <v>1.0580263127495</v>
      </c>
      <c r="AJ56" s="168">
        <v>1.08713306340232</v>
      </c>
      <c r="AK56" s="168">
        <v>1.08533170577534</v>
      </c>
      <c r="AL56" s="168">
        <v>1.1075779070687</v>
      </c>
      <c r="AM56" s="168">
        <v>1.4071158741087799</v>
      </c>
      <c r="AN56" s="168">
        <v>1.4391142059575801</v>
      </c>
      <c r="AO56" s="168">
        <v>1.46270149950536</v>
      </c>
      <c r="AP56" s="168">
        <v>1.48121855084309</v>
      </c>
      <c r="AQ56" s="168">
        <v>1.3869543657005801</v>
      </c>
      <c r="AR56" s="168">
        <v>1.33732443453159</v>
      </c>
      <c r="AS56" s="168">
        <v>1.4300972008284401</v>
      </c>
      <c r="AT56" s="168">
        <v>1.4416833210661399</v>
      </c>
      <c r="AU56" s="168">
        <v>1.4690588410682801</v>
      </c>
      <c r="AV56" s="168">
        <v>1.51966057719197</v>
      </c>
      <c r="AW56" s="168">
        <v>1.5536152099718801</v>
      </c>
      <c r="AX56" s="168">
        <v>1.60223516188707</v>
      </c>
      <c r="AY56" s="168">
        <v>1.6043073222215201</v>
      </c>
      <c r="AZ56" s="168">
        <v>1.59736564322623</v>
      </c>
      <c r="BA56" s="168">
        <v>1.5948157871936</v>
      </c>
      <c r="BB56" s="168">
        <v>1.56358868705359</v>
      </c>
      <c r="BC56" s="168">
        <v>1.59289152674014</v>
      </c>
      <c r="BD56" s="168" t="s">
        <v>125</v>
      </c>
    </row>
    <row r="57" spans="1:56">
      <c r="A57" s="163" t="s">
        <v>168</v>
      </c>
      <c r="B57" s="163" t="s">
        <v>169</v>
      </c>
      <c r="W57" s="161" t="s">
        <v>125</v>
      </c>
      <c r="X57" s="161" t="s">
        <v>125</v>
      </c>
      <c r="Y57" s="161" t="s">
        <v>125</v>
      </c>
      <c r="Z57" s="161" t="s">
        <v>125</v>
      </c>
      <c r="AA57" s="161" t="s">
        <v>125</v>
      </c>
      <c r="AB57" s="161" t="s">
        <v>125</v>
      </c>
      <c r="AC57" s="161" t="s">
        <v>125</v>
      </c>
      <c r="AD57" s="161" t="s">
        <v>125</v>
      </c>
      <c r="AE57" s="161" t="s">
        <v>125</v>
      </c>
      <c r="AF57" s="161" t="s">
        <v>125</v>
      </c>
      <c r="AG57" s="168">
        <v>6.45353330397388</v>
      </c>
      <c r="AH57" s="168">
        <v>6.7931802521146301</v>
      </c>
      <c r="AI57" s="168">
        <v>7.2591854172758596</v>
      </c>
      <c r="AJ57" s="168">
        <v>7.6709042362311397</v>
      </c>
      <c r="AK57" s="168">
        <v>8.4763250397291507</v>
      </c>
      <c r="AL57" s="168">
        <v>8.9713428547322103</v>
      </c>
      <c r="AM57" s="168">
        <v>9.5202125712863097</v>
      </c>
      <c r="AN57" s="168">
        <v>10.5287070711505</v>
      </c>
      <c r="AO57" s="168">
        <v>11.510375643842799</v>
      </c>
      <c r="AP57" s="168">
        <v>12.192089701056499</v>
      </c>
      <c r="AQ57" s="168">
        <v>12.1937586981962</v>
      </c>
      <c r="AR57" s="168">
        <v>12.548419400929101</v>
      </c>
      <c r="AS57" s="168">
        <v>12.961758209758401</v>
      </c>
      <c r="AT57" s="168">
        <v>13.099852401681501</v>
      </c>
      <c r="AU57" s="168">
        <v>13.233692628222499</v>
      </c>
      <c r="AV57" s="168">
        <v>13.573556095189</v>
      </c>
      <c r="AW57" s="168">
        <v>13.881318229727199</v>
      </c>
      <c r="AX57" s="168">
        <v>13.9430859393247</v>
      </c>
      <c r="AY57" s="168">
        <v>14.449039326727799</v>
      </c>
      <c r="AZ57" s="168">
        <v>15.0342818394648</v>
      </c>
      <c r="BA57" s="168">
        <v>15.743589169329599</v>
      </c>
      <c r="BB57" s="168">
        <v>16.855757192237501</v>
      </c>
      <c r="BC57" s="168">
        <v>18.330501132120801</v>
      </c>
      <c r="BD57" s="168">
        <v>19.0892655821572</v>
      </c>
    </row>
    <row r="58" spans="1:56">
      <c r="A58" s="163" t="s">
        <v>170</v>
      </c>
      <c r="B58" s="163" t="s">
        <v>171</v>
      </c>
      <c r="W58" s="161" t="s">
        <v>125</v>
      </c>
      <c r="X58" s="161" t="s">
        <v>125</v>
      </c>
      <c r="Y58" s="161" t="s">
        <v>125</v>
      </c>
      <c r="Z58" s="161" t="s">
        <v>125</v>
      </c>
      <c r="AA58" s="161" t="s">
        <v>125</v>
      </c>
      <c r="AB58" s="161" t="s">
        <v>125</v>
      </c>
      <c r="AC58" s="161" t="s">
        <v>125</v>
      </c>
      <c r="AD58" s="161" t="s">
        <v>125</v>
      </c>
      <c r="AE58" s="161" t="s">
        <v>125</v>
      </c>
      <c r="AF58" s="161" t="s">
        <v>125</v>
      </c>
      <c r="AG58" s="168">
        <v>0.938287057275631</v>
      </c>
      <c r="AH58" s="168">
        <v>1.0687178293972901</v>
      </c>
      <c r="AI58" s="168">
        <v>1.1828070426080699</v>
      </c>
      <c r="AJ58" s="168">
        <v>1.2310686792507</v>
      </c>
      <c r="AK58" s="168">
        <v>1.3012646385000799</v>
      </c>
      <c r="AL58" s="168">
        <v>1.4203357178754401</v>
      </c>
      <c r="AM58" s="168">
        <v>1.55638835078196</v>
      </c>
      <c r="AN58" s="168">
        <v>1.61750609579504</v>
      </c>
      <c r="AO58" s="168">
        <v>1.7129768789394799</v>
      </c>
      <c r="AP58" s="168">
        <v>1.72958585493225</v>
      </c>
      <c r="AQ58" s="168">
        <v>1.7790217409976301</v>
      </c>
      <c r="AR58" s="168">
        <v>1.77169924745083</v>
      </c>
      <c r="AS58" s="168">
        <v>1.79410547304898</v>
      </c>
      <c r="AT58" s="168">
        <v>1.8702964518337599</v>
      </c>
      <c r="AU58" s="168">
        <v>1.96543895995105</v>
      </c>
      <c r="AV58" s="168">
        <v>2.0174927495661499</v>
      </c>
      <c r="AW58" s="168">
        <v>2.2247644005896201</v>
      </c>
      <c r="AX58" s="168">
        <v>2.3270470774077099</v>
      </c>
      <c r="AY58" s="168">
        <v>2.5194059332905301</v>
      </c>
      <c r="AZ58" s="168">
        <v>2.4396612589423698</v>
      </c>
      <c r="BA58" s="168">
        <v>2.6220634686886899</v>
      </c>
      <c r="BB58" s="168">
        <v>2.94613074289785</v>
      </c>
      <c r="BC58" s="168">
        <v>3.0957217651287099</v>
      </c>
      <c r="BD58" s="168">
        <v>3.2327577023907499</v>
      </c>
    </row>
    <row r="59" spans="1:56">
      <c r="A59" s="163" t="s">
        <v>172</v>
      </c>
      <c r="B59" s="163" t="s">
        <v>173</v>
      </c>
      <c r="W59" s="161" t="s">
        <v>125</v>
      </c>
      <c r="X59" s="161" t="s">
        <v>125</v>
      </c>
      <c r="Y59" s="161" t="s">
        <v>125</v>
      </c>
      <c r="Z59" s="161" t="s">
        <v>125</v>
      </c>
      <c r="AA59" s="161" t="s">
        <v>125</v>
      </c>
      <c r="AB59" s="161" t="s">
        <v>125</v>
      </c>
      <c r="AC59" s="161" t="s">
        <v>125</v>
      </c>
      <c r="AD59" s="161" t="s">
        <v>125</v>
      </c>
      <c r="AE59" s="161" t="s">
        <v>125</v>
      </c>
      <c r="AF59" s="161" t="s">
        <v>125</v>
      </c>
      <c r="AG59" s="168" t="s">
        <v>125</v>
      </c>
      <c r="AH59" s="168" t="s">
        <v>125</v>
      </c>
      <c r="AI59" s="168" t="s">
        <v>125</v>
      </c>
      <c r="AJ59" s="168" t="s">
        <v>125</v>
      </c>
      <c r="AK59" s="168">
        <v>0.55191180802484996</v>
      </c>
      <c r="AL59" s="168">
        <v>0.58846646054572105</v>
      </c>
      <c r="AM59" s="168">
        <v>0.47933869276987401</v>
      </c>
      <c r="AN59" s="168">
        <v>0.53259526835937898</v>
      </c>
      <c r="AO59" s="168">
        <v>0.51854505655510097</v>
      </c>
      <c r="AP59" s="168">
        <v>0.55396162578571695</v>
      </c>
      <c r="AQ59" s="168">
        <v>0.69759706825238299</v>
      </c>
      <c r="AR59" s="168">
        <v>0.70217197785713603</v>
      </c>
      <c r="AS59" s="168">
        <v>0.722399219687196</v>
      </c>
      <c r="AT59" s="168">
        <v>0.71470765758092802</v>
      </c>
      <c r="AU59" s="168">
        <v>0.71353386801325502</v>
      </c>
      <c r="AV59" s="168">
        <v>0.71816758354475996</v>
      </c>
      <c r="AW59" s="168">
        <v>0.71214640773855498</v>
      </c>
      <c r="AX59" s="168">
        <v>0.73208789600760904</v>
      </c>
      <c r="AY59" s="168">
        <v>0.75510778541436996</v>
      </c>
      <c r="AZ59" s="168">
        <v>0.74030057820808004</v>
      </c>
      <c r="BA59" s="168">
        <v>0.73954537818975896</v>
      </c>
      <c r="BB59" s="168">
        <v>0.72447030467367202</v>
      </c>
      <c r="BC59" s="168">
        <v>0.72671608121173104</v>
      </c>
      <c r="BD59" s="168">
        <v>0.71198991874811901</v>
      </c>
    </row>
    <row r="60" spans="1:56">
      <c r="A60" s="163" t="s">
        <v>174</v>
      </c>
      <c r="B60" s="163" t="s">
        <v>175</v>
      </c>
      <c r="W60" s="161" t="s">
        <v>125</v>
      </c>
      <c r="X60" s="161" t="s">
        <v>125</v>
      </c>
      <c r="Y60" s="161" t="s">
        <v>125</v>
      </c>
      <c r="Z60" s="161" t="s">
        <v>125</v>
      </c>
      <c r="AA60" s="161" t="s">
        <v>125</v>
      </c>
      <c r="AB60" s="161" t="s">
        <v>125</v>
      </c>
      <c r="AC60" s="161" t="s">
        <v>125</v>
      </c>
      <c r="AD60" s="161" t="s">
        <v>125</v>
      </c>
      <c r="AE60" s="161" t="s">
        <v>125</v>
      </c>
      <c r="AF60" s="161" t="s">
        <v>125</v>
      </c>
      <c r="AG60" s="168">
        <v>0.97658945969359301</v>
      </c>
      <c r="AH60" s="168">
        <v>0.99408968356008398</v>
      </c>
      <c r="AI60" s="168">
        <v>1.0364545140736501</v>
      </c>
      <c r="AJ60" s="168">
        <v>1.1446244956708</v>
      </c>
      <c r="AK60" s="168">
        <v>1.2268328350329201</v>
      </c>
      <c r="AL60" s="168">
        <v>1.28775389631625</v>
      </c>
      <c r="AM60" s="168">
        <v>1.4684207133923699</v>
      </c>
      <c r="AN60" s="168">
        <v>1.5199698413320499</v>
      </c>
      <c r="AO60" s="168">
        <v>1.64896325908682</v>
      </c>
      <c r="AP60" s="168">
        <v>1.8571739166455801</v>
      </c>
      <c r="AQ60" s="168">
        <v>2.07324495760705</v>
      </c>
      <c r="AR60" s="168">
        <v>2.1952932225276802</v>
      </c>
      <c r="AS60" s="168">
        <v>2.18774157079759</v>
      </c>
      <c r="AT60" s="168">
        <v>2.2147820072107001</v>
      </c>
      <c r="AU60" s="168">
        <v>2.3729569244521298</v>
      </c>
      <c r="AV60" s="168">
        <v>2.6549394690388302</v>
      </c>
      <c r="AW60" s="168">
        <v>2.7786150091741799</v>
      </c>
      <c r="AX60" s="168">
        <v>2.8295632963042099</v>
      </c>
      <c r="AY60" s="168">
        <v>3.0177679316198902</v>
      </c>
      <c r="AZ60" s="168">
        <v>3.09740298150132</v>
      </c>
      <c r="BA60" s="168">
        <v>3.6394253460776702</v>
      </c>
      <c r="BB60" s="168">
        <v>3.7640210598185799</v>
      </c>
      <c r="BC60" s="168">
        <v>3.7583359236970399</v>
      </c>
      <c r="BD60" s="168">
        <v>3.92095238738069</v>
      </c>
    </row>
    <row r="61" spans="1:56">
      <c r="A61" s="163" t="s">
        <v>176</v>
      </c>
      <c r="B61" s="163" t="s">
        <v>177</v>
      </c>
      <c r="W61" s="161" t="s">
        <v>125</v>
      </c>
      <c r="X61" s="161" t="s">
        <v>125</v>
      </c>
      <c r="Y61" s="161" t="s">
        <v>125</v>
      </c>
      <c r="Z61" s="161" t="s">
        <v>125</v>
      </c>
      <c r="AA61" s="161" t="s">
        <v>125</v>
      </c>
      <c r="AB61" s="161" t="s">
        <v>125</v>
      </c>
      <c r="AC61" s="161" t="s">
        <v>125</v>
      </c>
      <c r="AD61" s="161" t="s">
        <v>125</v>
      </c>
      <c r="AE61" s="161" t="s">
        <v>125</v>
      </c>
      <c r="AF61" s="161" t="s">
        <v>125</v>
      </c>
      <c r="AG61" s="168">
        <v>1.1917954954919701E-5</v>
      </c>
      <c r="AH61" s="168">
        <v>5.9313519814525502E-5</v>
      </c>
      <c r="AI61" s="168">
        <v>6.1945153529181795E-4</v>
      </c>
      <c r="AJ61" s="168">
        <v>1.2714260554291999E-2</v>
      </c>
      <c r="AK61" s="168">
        <v>0.29276933454068799</v>
      </c>
      <c r="AL61" s="168">
        <v>0.55499591308962204</v>
      </c>
      <c r="AM61" s="168">
        <v>0.63816331734750797</v>
      </c>
      <c r="AN61" s="168">
        <v>0.67539518404368903</v>
      </c>
      <c r="AO61" s="168">
        <v>0.69644948684430197</v>
      </c>
      <c r="AP61" s="168">
        <v>0.74484636330618104</v>
      </c>
      <c r="AQ61" s="168">
        <v>0.77329099019209502</v>
      </c>
      <c r="AR61" s="168">
        <v>0.82375243305906298</v>
      </c>
      <c r="AS61" s="168">
        <v>0.896923564648195</v>
      </c>
      <c r="AT61" s="168">
        <v>1.00005460126836</v>
      </c>
      <c r="AU61" s="168">
        <v>1.05159450471407</v>
      </c>
      <c r="AV61" s="168">
        <v>1.0924081552739799</v>
      </c>
      <c r="AW61" s="168">
        <v>1.1250223649892701</v>
      </c>
      <c r="AX61" s="168">
        <v>1.1602090683775299</v>
      </c>
      <c r="AY61" s="168">
        <v>1.2328288231985001</v>
      </c>
      <c r="AZ61" s="168">
        <v>1.3113163692001999</v>
      </c>
      <c r="BA61" s="168">
        <v>1.40224476344765</v>
      </c>
      <c r="BB61" s="168">
        <v>1.4710748541493599</v>
      </c>
      <c r="BC61" s="168">
        <v>1.5170667420289801</v>
      </c>
      <c r="BD61" s="168">
        <v>1.6083989691812799</v>
      </c>
    </row>
    <row r="62" spans="1:56">
      <c r="A62" s="163" t="s">
        <v>178</v>
      </c>
      <c r="B62" s="163" t="s">
        <v>179</v>
      </c>
      <c r="W62" s="161" t="s">
        <v>125</v>
      </c>
      <c r="X62" s="161" t="s">
        <v>125</v>
      </c>
      <c r="Y62" s="161" t="s">
        <v>125</v>
      </c>
      <c r="Z62" s="161" t="s">
        <v>125</v>
      </c>
      <c r="AA62" s="161" t="s">
        <v>125</v>
      </c>
      <c r="AB62" s="161" t="s">
        <v>125</v>
      </c>
      <c r="AC62" s="161" t="s">
        <v>125</v>
      </c>
      <c r="AD62" s="161" t="s">
        <v>125</v>
      </c>
      <c r="AE62" s="161" t="s">
        <v>125</v>
      </c>
      <c r="AF62" s="161" t="s">
        <v>125</v>
      </c>
      <c r="AG62" s="168">
        <v>0.497455401752814</v>
      </c>
      <c r="AH62" s="168">
        <v>0.46778213719460698</v>
      </c>
      <c r="AI62" s="168">
        <v>0.46525046446276702</v>
      </c>
      <c r="AJ62" s="168">
        <v>0.44102320151660002</v>
      </c>
      <c r="AK62" s="168">
        <v>0.39398643585530502</v>
      </c>
      <c r="AL62" s="168">
        <v>0.39702377262834498</v>
      </c>
      <c r="AM62" s="168">
        <v>0.40740453622450401</v>
      </c>
      <c r="AN62" s="168">
        <v>0.43493800651174302</v>
      </c>
      <c r="AO62" s="168">
        <v>0.38015022431206902</v>
      </c>
      <c r="AP62" s="168">
        <v>0.418251615145045</v>
      </c>
      <c r="AQ62" s="168">
        <v>0.52762162206223195</v>
      </c>
      <c r="AR62" s="168">
        <v>0.48696066493102902</v>
      </c>
      <c r="AS62" s="168">
        <v>0.481385705269055</v>
      </c>
      <c r="AT62" s="168">
        <v>0.500765206503753</v>
      </c>
      <c r="AU62" s="168">
        <v>0.56483417207240505</v>
      </c>
      <c r="AV62" s="168">
        <v>0.64998516824173902</v>
      </c>
      <c r="AW62" s="168">
        <v>0.69396062768959099</v>
      </c>
      <c r="AX62" s="168">
        <v>0.68359431391524506</v>
      </c>
      <c r="AY62" s="168">
        <v>0.75560057294483596</v>
      </c>
      <c r="AZ62" s="168">
        <v>0.58418134604371097</v>
      </c>
      <c r="BA62" s="168">
        <v>0.60783634767100303</v>
      </c>
      <c r="BB62" s="168">
        <v>0.71744771659298601</v>
      </c>
      <c r="BC62" s="168">
        <v>0.70477758890203102</v>
      </c>
      <c r="BD62" s="168">
        <v>0.67237598976137702</v>
      </c>
    </row>
    <row r="63" spans="1:56">
      <c r="A63" s="163" t="s">
        <v>180</v>
      </c>
      <c r="B63" s="163" t="s">
        <v>181</v>
      </c>
      <c r="W63" s="161" t="s">
        <v>125</v>
      </c>
      <c r="X63" s="161" t="s">
        <v>125</v>
      </c>
      <c r="Y63" s="161" t="s">
        <v>125</v>
      </c>
      <c r="Z63" s="161" t="s">
        <v>125</v>
      </c>
      <c r="AA63" s="161" t="s">
        <v>125</v>
      </c>
      <c r="AB63" s="161" t="s">
        <v>125</v>
      </c>
      <c r="AC63" s="161" t="s">
        <v>125</v>
      </c>
      <c r="AD63" s="161" t="s">
        <v>125</v>
      </c>
      <c r="AE63" s="161" t="s">
        <v>125</v>
      </c>
      <c r="AF63" s="161" t="s">
        <v>125</v>
      </c>
      <c r="AG63" s="168">
        <v>9.6440015626115497E-4</v>
      </c>
      <c r="AH63" s="168">
        <v>3.0477592327333301E-3</v>
      </c>
      <c r="AI63" s="168">
        <v>4.7551356833765296E-3</v>
      </c>
      <c r="AJ63" s="168">
        <v>7.0175807184176897E-3</v>
      </c>
      <c r="AK63" s="168">
        <v>1.1867085322789E-2</v>
      </c>
      <c r="AL63" s="168">
        <v>1.8875631254779E-2</v>
      </c>
      <c r="AM63" s="168">
        <v>4.07422706645744E-2</v>
      </c>
      <c r="AN63" s="168">
        <v>0.41863458692918898</v>
      </c>
      <c r="AO63" s="168">
        <v>0.509119720421081</v>
      </c>
      <c r="AP63" s="168">
        <v>0.52266092118128604</v>
      </c>
      <c r="AQ63" s="168">
        <v>0.53808051417900704</v>
      </c>
      <c r="AR63" s="168">
        <v>0.55833912349777404</v>
      </c>
      <c r="AS63" s="168">
        <v>0.55648811914180996</v>
      </c>
      <c r="AT63" s="168">
        <v>0.55724928415166697</v>
      </c>
      <c r="AU63" s="168">
        <v>0.57726207733540102</v>
      </c>
      <c r="AV63" s="168">
        <v>0.599071399264823</v>
      </c>
      <c r="AW63" s="168">
        <v>0.60660852445145896</v>
      </c>
      <c r="AX63" s="168">
        <v>0.63704037915924905</v>
      </c>
      <c r="AY63" s="168">
        <v>0.65321323293690803</v>
      </c>
      <c r="AZ63" s="168">
        <v>0.65532723877518895</v>
      </c>
      <c r="BA63" s="168">
        <v>0.66174885084678503</v>
      </c>
      <c r="BB63" s="168">
        <v>0.66025157232704401</v>
      </c>
      <c r="BC63" s="168">
        <v>0.67529656400104299</v>
      </c>
      <c r="BD63" s="168">
        <v>0.67451324104724697</v>
      </c>
    </row>
    <row r="64" spans="1:56">
      <c r="A64" s="163" t="s">
        <v>77</v>
      </c>
      <c r="B64" s="163" t="s">
        <v>182</v>
      </c>
      <c r="W64" s="161" t="s">
        <v>125</v>
      </c>
      <c r="X64" s="161" t="s">
        <v>125</v>
      </c>
      <c r="Y64" s="161" t="s">
        <v>125</v>
      </c>
      <c r="Z64" s="161" t="s">
        <v>125</v>
      </c>
      <c r="AA64" s="161" t="s">
        <v>125</v>
      </c>
      <c r="AB64" s="161" t="s">
        <v>125</v>
      </c>
      <c r="AC64" s="161" t="s">
        <v>125</v>
      </c>
      <c r="AD64" s="161" t="s">
        <v>125</v>
      </c>
      <c r="AE64" s="161" t="s">
        <v>125</v>
      </c>
      <c r="AF64" s="161" t="s">
        <v>125</v>
      </c>
      <c r="AG64" s="168">
        <v>177.166634462893</v>
      </c>
      <c r="AH64" s="168">
        <v>164.66023172047201</v>
      </c>
      <c r="AI64" s="168">
        <v>161.354538418494</v>
      </c>
      <c r="AJ64" s="168">
        <v>155.33149643079099</v>
      </c>
      <c r="AK64" s="168">
        <v>174.35868549926701</v>
      </c>
      <c r="AL64" s="168">
        <v>182.35804261402899</v>
      </c>
      <c r="AM64" s="168">
        <v>179.711755995353</v>
      </c>
      <c r="AN64" s="168">
        <v>179.438313451944</v>
      </c>
      <c r="AO64" s="168">
        <v>191.607803259891</v>
      </c>
      <c r="AP64" s="168">
        <v>197.29089892520199</v>
      </c>
      <c r="AQ64" s="168">
        <v>189.696359913192</v>
      </c>
      <c r="AR64" s="168">
        <v>192.988080336053</v>
      </c>
      <c r="AS64" s="168">
        <v>195.87774469519201</v>
      </c>
      <c r="AT64" s="168">
        <v>194.89131593012601</v>
      </c>
      <c r="AU64" s="168">
        <v>189.86338409522801</v>
      </c>
      <c r="AV64" s="168">
        <v>190.84205007838901</v>
      </c>
      <c r="AW64" s="168">
        <v>183.928983259776</v>
      </c>
      <c r="AX64" s="168">
        <v>183.22058770107199</v>
      </c>
      <c r="AY64" s="168">
        <v>196.174916919601</v>
      </c>
      <c r="AZ64" s="168">
        <v>199.30281837465799</v>
      </c>
      <c r="BA64" s="168">
        <v>211.09459082305901</v>
      </c>
      <c r="BB64" s="168">
        <v>213.65917158750099</v>
      </c>
      <c r="BC64" s="168">
        <v>214.00602204957599</v>
      </c>
      <c r="BD64" s="168">
        <v>206.78928618254099</v>
      </c>
    </row>
    <row r="65" spans="1:56">
      <c r="A65" s="163" t="s">
        <v>183</v>
      </c>
      <c r="B65" s="163" t="s">
        <v>184</v>
      </c>
      <c r="W65" s="161" t="s">
        <v>125</v>
      </c>
      <c r="X65" s="161" t="s">
        <v>125</v>
      </c>
      <c r="Y65" s="161" t="s">
        <v>125</v>
      </c>
      <c r="Z65" s="161" t="s">
        <v>125</v>
      </c>
      <c r="AA65" s="161" t="s">
        <v>125</v>
      </c>
      <c r="AB65" s="161" t="s">
        <v>125</v>
      </c>
      <c r="AC65" s="161" t="s">
        <v>125</v>
      </c>
      <c r="AD65" s="161" t="s">
        <v>125</v>
      </c>
      <c r="AE65" s="161" t="s">
        <v>125</v>
      </c>
      <c r="AF65" s="161" t="s">
        <v>125</v>
      </c>
      <c r="AG65" s="168">
        <v>50.824324324271103</v>
      </c>
      <c r="AH65" s="168">
        <v>51.201601841770298</v>
      </c>
      <c r="AI65" s="168">
        <v>52.764142835017402</v>
      </c>
      <c r="AJ65" s="168">
        <v>55.5280312579645</v>
      </c>
      <c r="AK65" s="168">
        <v>57.979958044739199</v>
      </c>
      <c r="AL65" s="168">
        <v>65.940783968632104</v>
      </c>
      <c r="AM65" s="168">
        <v>74.117626366259501</v>
      </c>
      <c r="AN65" s="168">
        <v>96.479375828738696</v>
      </c>
      <c r="AO65" s="168">
        <v>106.372912997154</v>
      </c>
      <c r="AP65" s="168">
        <v>120.558347942566</v>
      </c>
      <c r="AQ65" s="168">
        <v>163.788060627215</v>
      </c>
      <c r="AR65" s="168">
        <v>182.08216317150101</v>
      </c>
      <c r="AS65" s="168">
        <v>181.16976595419999</v>
      </c>
      <c r="AT65" s="168">
        <v>198.838292867707</v>
      </c>
      <c r="AU65" s="168">
        <v>218.97526897779801</v>
      </c>
      <c r="AV65" s="168">
        <v>252.17891670785301</v>
      </c>
      <c r="AW65" s="168">
        <v>251.618650898651</v>
      </c>
      <c r="AX65" s="168">
        <v>262.03106285149198</v>
      </c>
      <c r="AY65" s="168">
        <v>318.66963297231598</v>
      </c>
      <c r="AZ65" s="168">
        <v>342.316680630208</v>
      </c>
      <c r="BA65" s="168">
        <v>379.835129958138</v>
      </c>
      <c r="BB65" s="168">
        <v>425.76830071685998</v>
      </c>
      <c r="BC65" s="168">
        <v>482.96328968635402</v>
      </c>
      <c r="BD65" s="168">
        <v>539.76058946198395</v>
      </c>
    </row>
    <row r="66" spans="1:56">
      <c r="A66" s="163" t="s">
        <v>185</v>
      </c>
      <c r="B66" s="163" t="s">
        <v>186</v>
      </c>
      <c r="W66" s="161" t="s">
        <v>125</v>
      </c>
      <c r="X66" s="161" t="s">
        <v>125</v>
      </c>
      <c r="Y66" s="161" t="s">
        <v>125</v>
      </c>
      <c r="Z66" s="161" t="s">
        <v>125</v>
      </c>
      <c r="AA66" s="161" t="s">
        <v>125</v>
      </c>
      <c r="AB66" s="161" t="s">
        <v>125</v>
      </c>
      <c r="AC66" s="161" t="s">
        <v>125</v>
      </c>
      <c r="AD66" s="161" t="s">
        <v>125</v>
      </c>
      <c r="AE66" s="161" t="s">
        <v>125</v>
      </c>
      <c r="AF66" s="161" t="s">
        <v>125</v>
      </c>
      <c r="AG66" s="168">
        <v>58.573409835342403</v>
      </c>
      <c r="AH66" s="168">
        <v>59.404616101406901</v>
      </c>
      <c r="AI66" s="168">
        <v>55.689653331357</v>
      </c>
      <c r="AJ66" s="168">
        <v>81.241395758031601</v>
      </c>
      <c r="AK66" s="168">
        <v>56.341880341034397</v>
      </c>
      <c r="AL66" s="168">
        <v>54.336865348340602</v>
      </c>
      <c r="AM66" s="168">
        <v>53.070848980679003</v>
      </c>
      <c r="AN66" s="168">
        <v>51.742263677369898</v>
      </c>
      <c r="AO66" s="168">
        <v>51.015025307612902</v>
      </c>
      <c r="AP66" s="168">
        <v>54.125353182811097</v>
      </c>
      <c r="AQ66" s="168">
        <v>48.7413476898356</v>
      </c>
      <c r="AR66" s="168">
        <v>50.106132218295798</v>
      </c>
      <c r="AS66" s="168">
        <v>49.168593313717402</v>
      </c>
      <c r="AT66" s="168">
        <v>50.577494964545899</v>
      </c>
      <c r="AU66" s="168">
        <v>46.110650864234898</v>
      </c>
      <c r="AV66" s="168">
        <v>43.875750090557702</v>
      </c>
      <c r="AW66" s="168">
        <v>44.5422002774013</v>
      </c>
      <c r="AX66" s="168">
        <v>47.187962303852103</v>
      </c>
      <c r="AY66" s="168">
        <v>47.925009278319202</v>
      </c>
      <c r="AZ66" s="168">
        <v>48.593171066006299</v>
      </c>
      <c r="BA66" s="168">
        <v>48.254444455019197</v>
      </c>
      <c r="BB66" s="168">
        <v>48.5916789257967</v>
      </c>
      <c r="BC66" s="168">
        <v>48.0664968257352</v>
      </c>
      <c r="BD66" s="168">
        <v>48.998548724265603</v>
      </c>
    </row>
    <row r="67" spans="1:56">
      <c r="A67" s="163" t="s">
        <v>187</v>
      </c>
      <c r="B67" s="163" t="s">
        <v>188</v>
      </c>
      <c r="W67" s="161" t="s">
        <v>125</v>
      </c>
      <c r="X67" s="161" t="s">
        <v>125</v>
      </c>
      <c r="Y67" s="161" t="s">
        <v>125</v>
      </c>
      <c r="Z67" s="161" t="s">
        <v>125</v>
      </c>
      <c r="AA67" s="161" t="s">
        <v>125</v>
      </c>
      <c r="AB67" s="161" t="s">
        <v>125</v>
      </c>
      <c r="AC67" s="161" t="s">
        <v>125</v>
      </c>
      <c r="AD67" s="161" t="s">
        <v>125</v>
      </c>
      <c r="AE67" s="161" t="s">
        <v>125</v>
      </c>
      <c r="AF67" s="161" t="s">
        <v>125</v>
      </c>
      <c r="AG67" s="168" t="s">
        <v>125</v>
      </c>
      <c r="AH67" s="168" t="s">
        <v>125</v>
      </c>
      <c r="AI67" s="168" t="s">
        <v>125</v>
      </c>
      <c r="AJ67" s="168">
        <v>960.80231845227604</v>
      </c>
      <c r="AK67" s="168">
        <v>899.24711901299702</v>
      </c>
      <c r="AL67" s="168">
        <v>982.30907541634599</v>
      </c>
      <c r="AM67" s="168">
        <v>998.51932490964202</v>
      </c>
      <c r="AN67" s="168">
        <v>1024.7809900555701</v>
      </c>
      <c r="AO67" s="168">
        <v>1115.3007724347899</v>
      </c>
      <c r="AP67" s="168">
        <v>1121.3853991907099</v>
      </c>
      <c r="AQ67" s="168">
        <v>1061.3444547613001</v>
      </c>
      <c r="AR67" s="168">
        <v>1064.99360478673</v>
      </c>
      <c r="AS67" s="168">
        <v>1056.3875189522801</v>
      </c>
      <c r="AT67" s="168">
        <v>1054.30718788332</v>
      </c>
      <c r="AU67" s="168">
        <v>1075.6773835931201</v>
      </c>
      <c r="AV67" s="168">
        <v>1105.58246279931</v>
      </c>
      <c r="AW67" s="168">
        <v>1122.2700195923801</v>
      </c>
      <c r="AX67" s="168">
        <v>1164.52834245032</v>
      </c>
      <c r="AY67" s="168">
        <v>1282.1800065114601</v>
      </c>
      <c r="AZ67" s="168">
        <v>1304.25208802932</v>
      </c>
      <c r="BA67" s="168">
        <v>1328.8669679736299</v>
      </c>
      <c r="BB67" s="168">
        <v>1347.1146807728201</v>
      </c>
      <c r="BC67" s="168">
        <v>1343.03994299228</v>
      </c>
      <c r="BD67" s="168">
        <v>1333.9653594890401</v>
      </c>
    </row>
    <row r="68" spans="1:56">
      <c r="A68" s="163" t="s">
        <v>189</v>
      </c>
      <c r="B68" s="163" t="s">
        <v>190</v>
      </c>
      <c r="W68" s="161" t="s">
        <v>125</v>
      </c>
      <c r="X68" s="161" t="s">
        <v>125</v>
      </c>
      <c r="Y68" s="161" t="s">
        <v>125</v>
      </c>
      <c r="Z68" s="161" t="s">
        <v>125</v>
      </c>
      <c r="AA68" s="161" t="s">
        <v>125</v>
      </c>
      <c r="AB68" s="161" t="s">
        <v>125</v>
      </c>
      <c r="AC68" s="161" t="s">
        <v>125</v>
      </c>
      <c r="AD68" s="161" t="s">
        <v>125</v>
      </c>
      <c r="AE68" s="161" t="s">
        <v>125</v>
      </c>
      <c r="AF68" s="161" t="s">
        <v>125</v>
      </c>
      <c r="AG68" s="168">
        <v>162.06025399005901</v>
      </c>
      <c r="AH68" s="168">
        <v>162.44072483307099</v>
      </c>
      <c r="AI68" s="168">
        <v>156.789792205043</v>
      </c>
      <c r="AJ68" s="168">
        <v>177.79957999221801</v>
      </c>
      <c r="AK68" s="168">
        <v>199.13361190211899</v>
      </c>
      <c r="AL68" s="168">
        <v>213.565100567413</v>
      </c>
      <c r="AM68" s="168">
        <v>215.381448482438</v>
      </c>
      <c r="AN68" s="168">
        <v>219.67333032900899</v>
      </c>
      <c r="AO68" s="168">
        <v>225.27459549092501</v>
      </c>
      <c r="AP68" s="168">
        <v>226.430520638346</v>
      </c>
      <c r="AQ68" s="168">
        <v>227.68775858426099</v>
      </c>
      <c r="AR68" s="168">
        <v>227.4370640068</v>
      </c>
      <c r="AS68" s="168">
        <v>231.27010867219701</v>
      </c>
      <c r="AT68" s="168">
        <v>227.550936391786</v>
      </c>
      <c r="AU68" s="168">
        <v>224.819510904487</v>
      </c>
      <c r="AV68" s="168">
        <v>223.56439592903101</v>
      </c>
      <c r="AW68" s="168">
        <v>225.44563801569001</v>
      </c>
      <c r="AX68" s="168">
        <v>222.76026755004199</v>
      </c>
      <c r="AY68" s="168">
        <v>228.85829214711001</v>
      </c>
      <c r="AZ68" s="168">
        <v>219.528064476434</v>
      </c>
      <c r="BA68" s="168">
        <v>223.40960325750001</v>
      </c>
      <c r="BB68" s="168">
        <v>227.21165560877699</v>
      </c>
      <c r="BC68" s="168">
        <v>239.91183606176099</v>
      </c>
      <c r="BD68" s="168">
        <v>239.725976094207</v>
      </c>
    </row>
    <row r="69" spans="1:56">
      <c r="A69" s="163" t="s">
        <v>191</v>
      </c>
      <c r="B69" s="163" t="s">
        <v>192</v>
      </c>
      <c r="W69" s="161" t="s">
        <v>125</v>
      </c>
      <c r="X69" s="161" t="s">
        <v>125</v>
      </c>
      <c r="Y69" s="161" t="s">
        <v>125</v>
      </c>
      <c r="Z69" s="161" t="s">
        <v>125</v>
      </c>
      <c r="AA69" s="161" t="s">
        <v>125</v>
      </c>
      <c r="AB69" s="161" t="s">
        <v>125</v>
      </c>
      <c r="AC69" s="161" t="s">
        <v>125</v>
      </c>
      <c r="AD69" s="161" t="s">
        <v>125</v>
      </c>
      <c r="AE69" s="161" t="s">
        <v>125</v>
      </c>
      <c r="AF69" s="161" t="s">
        <v>125</v>
      </c>
      <c r="AG69" s="168">
        <v>1.250890397</v>
      </c>
      <c r="AH69" s="168">
        <v>1.2463968990000001</v>
      </c>
      <c r="AI69" s="168">
        <v>1.234673162</v>
      </c>
      <c r="AJ69" s="168">
        <v>1.2233398049999999</v>
      </c>
      <c r="AK69" s="168">
        <v>1.211598462</v>
      </c>
      <c r="AL69" s="168">
        <v>1.213652535</v>
      </c>
      <c r="AM69" s="168">
        <v>1.2111602779999999</v>
      </c>
      <c r="AN69" s="168">
        <v>1.20512646</v>
      </c>
      <c r="AO69" s="168">
        <v>1.1870960180000001</v>
      </c>
      <c r="AP69" s="168">
        <v>1.1908099999999999</v>
      </c>
      <c r="AQ69" s="168">
        <v>1.230622855</v>
      </c>
      <c r="AR69" s="168">
        <v>1.216527197</v>
      </c>
      <c r="AS69" s="168">
        <v>1.229333499</v>
      </c>
      <c r="AT69" s="168">
        <v>1.2258939950000001</v>
      </c>
      <c r="AU69" s="168">
        <v>1.231222386</v>
      </c>
      <c r="AV69" s="168">
        <v>1.2136440340000001</v>
      </c>
      <c r="AW69" s="168">
        <v>1.2057395479999999</v>
      </c>
      <c r="AX69" s="168">
        <v>1.212027875</v>
      </c>
      <c r="AY69" s="168">
        <v>1.2343900329999999</v>
      </c>
      <c r="AZ69" s="168">
        <v>1.2026677020000001</v>
      </c>
      <c r="BA69" s="168">
        <v>1.2232718309999999</v>
      </c>
      <c r="BB69" s="168">
        <v>1.239903666</v>
      </c>
      <c r="BC69" s="168">
        <v>1.249076963</v>
      </c>
      <c r="BD69" s="168">
        <v>1.2372305109999999</v>
      </c>
    </row>
    <row r="70" spans="1:56">
      <c r="A70" s="163" t="s">
        <v>193</v>
      </c>
      <c r="B70" s="163" t="s">
        <v>194</v>
      </c>
      <c r="W70" s="161" t="s">
        <v>125</v>
      </c>
      <c r="X70" s="161" t="s">
        <v>125</v>
      </c>
      <c r="Y70" s="161" t="s">
        <v>125</v>
      </c>
      <c r="Z70" s="161" t="s">
        <v>125</v>
      </c>
      <c r="AA70" s="161" t="s">
        <v>125</v>
      </c>
      <c r="AB70" s="161" t="s">
        <v>125</v>
      </c>
      <c r="AC70" s="161" t="s">
        <v>125</v>
      </c>
      <c r="AD70" s="161" t="s">
        <v>125</v>
      </c>
      <c r="AE70" s="161" t="s">
        <v>125</v>
      </c>
      <c r="AF70" s="161" t="s">
        <v>125</v>
      </c>
      <c r="AG70" s="168" t="s">
        <v>125</v>
      </c>
      <c r="AH70" s="168" t="s">
        <v>125</v>
      </c>
      <c r="AI70" s="168" t="s">
        <v>125</v>
      </c>
      <c r="AJ70" s="168" t="s">
        <v>125</v>
      </c>
      <c r="AK70" s="168" t="s">
        <v>125</v>
      </c>
      <c r="AL70" s="168" t="s">
        <v>125</v>
      </c>
      <c r="AM70" s="168" t="s">
        <v>125</v>
      </c>
      <c r="AN70" s="168" t="s">
        <v>125</v>
      </c>
      <c r="AO70" s="168" t="s">
        <v>125</v>
      </c>
      <c r="AP70" s="168" t="s">
        <v>125</v>
      </c>
      <c r="AQ70" s="168" t="s">
        <v>125</v>
      </c>
      <c r="AR70" s="168" t="s">
        <v>125</v>
      </c>
      <c r="AS70" s="168" t="s">
        <v>125</v>
      </c>
      <c r="AT70" s="168" t="s">
        <v>125</v>
      </c>
      <c r="AU70" s="168" t="s">
        <v>125</v>
      </c>
      <c r="AV70" s="168" t="s">
        <v>125</v>
      </c>
      <c r="AW70" s="168" t="s">
        <v>125</v>
      </c>
      <c r="AX70" s="168" t="s">
        <v>125</v>
      </c>
      <c r="AY70" s="168" t="s">
        <v>125</v>
      </c>
      <c r="AZ70" s="168" t="s">
        <v>125</v>
      </c>
      <c r="BA70" s="168" t="s">
        <v>125</v>
      </c>
      <c r="BB70" s="168">
        <v>0.95879944836229103</v>
      </c>
      <c r="BC70" s="168" t="s">
        <v>125</v>
      </c>
      <c r="BD70" s="168" t="s">
        <v>125</v>
      </c>
    </row>
    <row r="71" spans="1:56">
      <c r="A71" s="163" t="s">
        <v>195</v>
      </c>
      <c r="B71" s="163" t="s">
        <v>196</v>
      </c>
      <c r="W71" s="161" t="s">
        <v>125</v>
      </c>
      <c r="X71" s="161" t="s">
        <v>125</v>
      </c>
      <c r="Y71" s="161" t="s">
        <v>125</v>
      </c>
      <c r="Z71" s="161" t="s">
        <v>125</v>
      </c>
      <c r="AA71" s="161" t="s">
        <v>125</v>
      </c>
      <c r="AB71" s="161" t="s">
        <v>125</v>
      </c>
      <c r="AC71" s="161" t="s">
        <v>125</v>
      </c>
      <c r="AD71" s="161" t="s">
        <v>125</v>
      </c>
      <c r="AE71" s="161" t="s">
        <v>125</v>
      </c>
      <c r="AF71" s="161" t="s">
        <v>125</v>
      </c>
      <c r="AG71" s="168">
        <v>266.63977848232901</v>
      </c>
      <c r="AH71" s="168">
        <v>257.05023113922698</v>
      </c>
      <c r="AI71" s="168">
        <v>258.312454135964</v>
      </c>
      <c r="AJ71" s="168">
        <v>243.64657389854401</v>
      </c>
      <c r="AK71" s="168">
        <v>296.80839389322102</v>
      </c>
      <c r="AL71" s="168">
        <v>319.52135817092898</v>
      </c>
      <c r="AM71" s="168">
        <v>302.67239724201897</v>
      </c>
      <c r="AN71" s="168">
        <v>300.03094366516598</v>
      </c>
      <c r="AO71" s="168">
        <v>295.582425538076</v>
      </c>
      <c r="AP71" s="168">
        <v>303.32420525694499</v>
      </c>
      <c r="AQ71" s="168">
        <v>321.81454572772498</v>
      </c>
      <c r="AR71" s="168">
        <v>315.94640899506601</v>
      </c>
      <c r="AS71" s="168">
        <v>303.78459075966299</v>
      </c>
      <c r="AT71" s="168">
        <v>301.81298217990201</v>
      </c>
      <c r="AU71" s="168">
        <v>280.71771230342898</v>
      </c>
      <c r="AV71" s="168">
        <v>286.12813309155501</v>
      </c>
      <c r="AW71" s="168">
        <v>279.12343550494103</v>
      </c>
      <c r="AX71" s="168">
        <v>265.59808280008201</v>
      </c>
      <c r="AY71" s="168">
        <v>273.92013741652602</v>
      </c>
      <c r="AZ71" s="168">
        <v>262.702677301579</v>
      </c>
      <c r="BA71" s="168">
        <v>255.86494556818101</v>
      </c>
      <c r="BB71" s="168">
        <v>255.861753417491</v>
      </c>
      <c r="BC71" s="168">
        <v>258.27094047797499</v>
      </c>
      <c r="BD71" s="168">
        <v>272.64282254033299</v>
      </c>
    </row>
    <row r="72" spans="1:56">
      <c r="A72" s="163" t="s">
        <v>197</v>
      </c>
      <c r="B72" s="163" t="s">
        <v>198</v>
      </c>
      <c r="W72" s="161" t="s">
        <v>125</v>
      </c>
      <c r="X72" s="161" t="s">
        <v>125</v>
      </c>
      <c r="Y72" s="161" t="s">
        <v>125</v>
      </c>
      <c r="Z72" s="161" t="s">
        <v>125</v>
      </c>
      <c r="AA72" s="161" t="s">
        <v>125</v>
      </c>
      <c r="AB72" s="161" t="s">
        <v>125</v>
      </c>
      <c r="AC72" s="161" t="s">
        <v>125</v>
      </c>
      <c r="AD72" s="161" t="s">
        <v>125</v>
      </c>
      <c r="AE72" s="161" t="s">
        <v>125</v>
      </c>
      <c r="AF72" s="161" t="s">
        <v>125</v>
      </c>
      <c r="AG72" s="168">
        <v>110.479195770362</v>
      </c>
      <c r="AH72" s="168">
        <v>110.209071847502</v>
      </c>
      <c r="AI72" s="168">
        <v>93.844817428115206</v>
      </c>
      <c r="AJ72" s="168">
        <v>90.458407132107197</v>
      </c>
      <c r="AK72" s="168">
        <v>127.141904174952</v>
      </c>
      <c r="AL72" s="168">
        <v>135.54505124835001</v>
      </c>
      <c r="AM72" s="168">
        <v>148.36671378948199</v>
      </c>
      <c r="AN72" s="168">
        <v>151.388905623482</v>
      </c>
      <c r="AO72" s="168">
        <v>159.872533036509</v>
      </c>
      <c r="AP72" s="168">
        <v>145.68504052462399</v>
      </c>
      <c r="AQ72" s="168">
        <v>149.98355494145</v>
      </c>
      <c r="AR72" s="168">
        <v>166.854906743133</v>
      </c>
      <c r="AS72" s="168">
        <v>167.464849279421</v>
      </c>
      <c r="AT72" s="168">
        <v>164.31353460361601</v>
      </c>
      <c r="AU72" s="168">
        <v>175.49744141758401</v>
      </c>
      <c r="AV72" s="168">
        <v>217.84598530020401</v>
      </c>
      <c r="AW72" s="168">
        <v>232.450825404032</v>
      </c>
      <c r="AX72" s="168">
        <v>233.918285079687</v>
      </c>
      <c r="AY72" s="168">
        <v>249.27981991796401</v>
      </c>
      <c r="AZ72" s="168">
        <v>223.729758684388</v>
      </c>
      <c r="BA72" s="168">
        <v>235.181960110256</v>
      </c>
      <c r="BB72" s="168">
        <v>250.443010609873</v>
      </c>
      <c r="BC72" s="168">
        <v>259.28265081638602</v>
      </c>
      <c r="BD72" s="168">
        <v>248.33113112707201</v>
      </c>
    </row>
    <row r="73" spans="1:56">
      <c r="A73" s="163" t="s">
        <v>199</v>
      </c>
      <c r="B73" s="163" t="s">
        <v>200</v>
      </c>
      <c r="W73" s="161" t="s">
        <v>125</v>
      </c>
      <c r="X73" s="161" t="s">
        <v>125</v>
      </c>
      <c r="Y73" s="161" t="s">
        <v>125</v>
      </c>
      <c r="Z73" s="161" t="s">
        <v>125</v>
      </c>
      <c r="AA73" s="161" t="s">
        <v>125</v>
      </c>
      <c r="AB73" s="161" t="s">
        <v>125</v>
      </c>
      <c r="AC73" s="161" t="s">
        <v>125</v>
      </c>
      <c r="AD73" s="161" t="s">
        <v>125</v>
      </c>
      <c r="AE73" s="161" t="s">
        <v>125</v>
      </c>
      <c r="AF73" s="161" t="s">
        <v>125</v>
      </c>
      <c r="AG73" s="168" t="s">
        <v>125</v>
      </c>
      <c r="AH73" s="168" t="s">
        <v>125</v>
      </c>
      <c r="AI73" s="168" t="s">
        <v>125</v>
      </c>
      <c r="AJ73" s="168" t="s">
        <v>125</v>
      </c>
      <c r="AK73" s="168" t="s">
        <v>125</v>
      </c>
      <c r="AL73" s="168" t="s">
        <v>125</v>
      </c>
      <c r="AM73" s="168" t="s">
        <v>125</v>
      </c>
      <c r="AN73" s="168" t="s">
        <v>125</v>
      </c>
      <c r="AO73" s="168" t="s">
        <v>125</v>
      </c>
      <c r="AP73" s="168" t="s">
        <v>125</v>
      </c>
      <c r="AQ73" s="168" t="s">
        <v>125</v>
      </c>
      <c r="AR73" s="168" t="s">
        <v>125</v>
      </c>
      <c r="AS73" s="168" t="s">
        <v>125</v>
      </c>
      <c r="AT73" s="168" t="s">
        <v>125</v>
      </c>
      <c r="AU73" s="168" t="s">
        <v>125</v>
      </c>
      <c r="AV73" s="168" t="s">
        <v>125</v>
      </c>
      <c r="AW73" s="168" t="s">
        <v>125</v>
      </c>
      <c r="AX73" s="168" t="s">
        <v>125</v>
      </c>
      <c r="AY73" s="168" t="s">
        <v>125</v>
      </c>
      <c r="AZ73" s="168" t="s">
        <v>125</v>
      </c>
      <c r="BA73" s="168" t="s">
        <v>125</v>
      </c>
      <c r="BB73" s="168" t="s">
        <v>125</v>
      </c>
      <c r="BC73" s="168" t="s">
        <v>125</v>
      </c>
      <c r="BD73" s="168" t="s">
        <v>125</v>
      </c>
    </row>
    <row r="74" spans="1:56">
      <c r="A74" s="163" t="s">
        <v>78</v>
      </c>
      <c r="B74" s="163" t="s">
        <v>201</v>
      </c>
      <c r="W74" s="161" t="s">
        <v>125</v>
      </c>
      <c r="X74" s="161" t="s">
        <v>125</v>
      </c>
      <c r="Y74" s="161" t="s">
        <v>125</v>
      </c>
      <c r="Z74" s="161" t="s">
        <v>125</v>
      </c>
      <c r="AA74" s="161" t="s">
        <v>125</v>
      </c>
      <c r="AB74" s="161" t="s">
        <v>125</v>
      </c>
      <c r="AC74" s="161" t="s">
        <v>125</v>
      </c>
      <c r="AD74" s="161" t="s">
        <v>125</v>
      </c>
      <c r="AE74" s="161" t="s">
        <v>125</v>
      </c>
      <c r="AF74" s="161" t="s">
        <v>125</v>
      </c>
      <c r="AG74" s="168">
        <v>165.96896219999999</v>
      </c>
      <c r="AH74" s="168">
        <v>194.7089106</v>
      </c>
      <c r="AI74" s="168">
        <v>212.7763947</v>
      </c>
      <c r="AJ74" s="168">
        <v>229.9432932</v>
      </c>
      <c r="AK74" s="168">
        <v>253.52066740000001</v>
      </c>
      <c r="AL74" s="168">
        <v>271.49405780000001</v>
      </c>
      <c r="AM74" s="168">
        <v>271.17480890000002</v>
      </c>
      <c r="AN74" s="168">
        <v>276.38316079999998</v>
      </c>
      <c r="AO74" s="168">
        <v>277.04308140000001</v>
      </c>
      <c r="AP74" s="168">
        <v>280.23010620000002</v>
      </c>
      <c r="AQ74" s="168">
        <v>286.43559019999998</v>
      </c>
      <c r="AR74" s="168">
        <v>291.72656719999998</v>
      </c>
      <c r="AS74" s="168">
        <v>298.5718723</v>
      </c>
      <c r="AT74" s="168">
        <v>307.26370400000002</v>
      </c>
      <c r="AU74" s="168">
        <v>321.41187400000001</v>
      </c>
      <c r="AV74" s="168">
        <v>333.69</v>
      </c>
      <c r="AW74" s="168">
        <v>326.78968909999998</v>
      </c>
      <c r="AX74" s="168">
        <v>330.11121209999999</v>
      </c>
      <c r="AY74" s="168">
        <v>346.1919881</v>
      </c>
      <c r="AZ74" s="168">
        <v>357.73976820000001</v>
      </c>
      <c r="BA74" s="168">
        <v>354.94827279999998</v>
      </c>
      <c r="BB74" s="168">
        <v>348.01684710000001</v>
      </c>
      <c r="BC74" s="168">
        <v>352.61709306699998</v>
      </c>
      <c r="BD74" s="168">
        <v>355.40654623500001</v>
      </c>
    </row>
    <row r="75" spans="1:56">
      <c r="A75" s="163" t="s">
        <v>73</v>
      </c>
      <c r="B75" s="163" t="s">
        <v>202</v>
      </c>
      <c r="W75" s="161" t="s">
        <v>125</v>
      </c>
      <c r="X75" s="161" t="s">
        <v>125</v>
      </c>
      <c r="Y75" s="161" t="s">
        <v>125</v>
      </c>
      <c r="Z75" s="161" t="s">
        <v>125</v>
      </c>
      <c r="AA75" s="161" t="s">
        <v>125</v>
      </c>
      <c r="AB75" s="161" t="s">
        <v>125</v>
      </c>
      <c r="AC75" s="161" t="s">
        <v>125</v>
      </c>
      <c r="AD75" s="161" t="s">
        <v>125</v>
      </c>
      <c r="AE75" s="161" t="s">
        <v>125</v>
      </c>
      <c r="AF75" s="161" t="s">
        <v>125</v>
      </c>
      <c r="AG75" s="168">
        <v>1.6337059195472201</v>
      </c>
      <c r="AH75" s="168">
        <v>1.7766309175577</v>
      </c>
      <c r="AI75" s="168">
        <v>1.9665690121938799</v>
      </c>
      <c r="AJ75" s="168">
        <v>2.2066568805234001</v>
      </c>
      <c r="AK75" s="168">
        <v>2.58614924488701</v>
      </c>
      <c r="AL75" s="168">
        <v>2.8257261579344402</v>
      </c>
      <c r="AM75" s="168">
        <v>2.9289968772976902</v>
      </c>
      <c r="AN75" s="168">
        <v>2.9044671249911298</v>
      </c>
      <c r="AO75" s="168">
        <v>2.8096211612033701</v>
      </c>
      <c r="AP75" s="168">
        <v>2.7293765550169602</v>
      </c>
      <c r="AQ75" s="168">
        <v>2.74351629161385</v>
      </c>
      <c r="AR75" s="168">
        <v>2.7371183476552301</v>
      </c>
      <c r="AS75" s="168">
        <v>2.7118888936852601</v>
      </c>
      <c r="AT75" s="168">
        <v>2.7275620112783701</v>
      </c>
      <c r="AU75" s="168">
        <v>2.8386943936442099</v>
      </c>
      <c r="AV75" s="168">
        <v>2.85830491470987</v>
      </c>
      <c r="AW75" s="168">
        <v>2.8786324507688601</v>
      </c>
      <c r="AX75" s="168">
        <v>3.0183813076354502</v>
      </c>
      <c r="AY75" s="168">
        <v>3.1903974661608898</v>
      </c>
      <c r="AZ75" s="168">
        <v>3.14683445275569</v>
      </c>
      <c r="BA75" s="168">
        <v>3.3156095761927098</v>
      </c>
      <c r="BB75" s="168">
        <v>3.5055360071813499</v>
      </c>
      <c r="BC75" s="168">
        <v>3.5140415301510801</v>
      </c>
      <c r="BD75" s="168">
        <v>3.5205820329717401</v>
      </c>
    </row>
    <row r="76" spans="1:56">
      <c r="A76" s="163" t="s">
        <v>72</v>
      </c>
      <c r="B76" s="163" t="s">
        <v>203</v>
      </c>
      <c r="W76" s="161" t="s">
        <v>125</v>
      </c>
      <c r="X76" s="161" t="s">
        <v>125</v>
      </c>
      <c r="Y76" s="161" t="s">
        <v>125</v>
      </c>
      <c r="Z76" s="161" t="s">
        <v>125</v>
      </c>
      <c r="AA76" s="161" t="s">
        <v>125</v>
      </c>
      <c r="AB76" s="161" t="s">
        <v>125</v>
      </c>
      <c r="AC76" s="161" t="s">
        <v>125</v>
      </c>
      <c r="AD76" s="161" t="s">
        <v>125</v>
      </c>
      <c r="AE76" s="161" t="s">
        <v>125</v>
      </c>
      <c r="AF76" s="161" t="s">
        <v>125</v>
      </c>
      <c r="AG76" s="168">
        <v>120.954871806566</v>
      </c>
      <c r="AH76" s="168">
        <v>147.717042725921</v>
      </c>
      <c r="AI76" s="168">
        <v>176.52308789368101</v>
      </c>
      <c r="AJ76" s="168">
        <v>220.61730472327301</v>
      </c>
      <c r="AK76" s="168">
        <v>313.99846471048699</v>
      </c>
      <c r="AL76" s="168">
        <v>365.56453358963802</v>
      </c>
      <c r="AM76" s="168">
        <v>419.56655997143099</v>
      </c>
      <c r="AN76" s="168">
        <v>481.97456272348899</v>
      </c>
      <c r="AO76" s="168">
        <v>547.24065158845497</v>
      </c>
      <c r="AP76" s="168">
        <v>607.64066832720903</v>
      </c>
      <c r="AQ76" s="168">
        <v>782.84759899302003</v>
      </c>
      <c r="AR76" s="168">
        <v>815.19984875151601</v>
      </c>
      <c r="AS76" s="168">
        <v>850.779037287905</v>
      </c>
      <c r="AT76" s="168">
        <v>891.07180387386995</v>
      </c>
      <c r="AU76" s="168">
        <v>930.46270861859296</v>
      </c>
      <c r="AV76" s="168">
        <v>951.65037409416095</v>
      </c>
      <c r="AW76" s="168">
        <v>976.58750259873102</v>
      </c>
      <c r="AX76" s="168">
        <v>999.28529662941003</v>
      </c>
      <c r="AY76" s="168">
        <v>1054.19478680307</v>
      </c>
      <c r="AZ76" s="168">
        <v>1081.7943508421999</v>
      </c>
      <c r="BA76" s="168">
        <v>1110.07404370824</v>
      </c>
      <c r="BB76" s="168">
        <v>1161.9098945148301</v>
      </c>
      <c r="BC76" s="168">
        <v>1178.14692976525</v>
      </c>
      <c r="BD76" s="168">
        <v>1182.1663533829201</v>
      </c>
    </row>
    <row r="77" spans="1:56">
      <c r="A77" s="163" t="s">
        <v>204</v>
      </c>
      <c r="B77" s="163" t="s">
        <v>205</v>
      </c>
      <c r="W77" s="161" t="s">
        <v>125</v>
      </c>
      <c r="X77" s="161" t="s">
        <v>125</v>
      </c>
      <c r="Y77" s="161" t="s">
        <v>125</v>
      </c>
      <c r="Z77" s="161" t="s">
        <v>125</v>
      </c>
      <c r="AA77" s="161" t="s">
        <v>125</v>
      </c>
      <c r="AB77" s="161" t="s">
        <v>125</v>
      </c>
      <c r="AC77" s="161" t="s">
        <v>125</v>
      </c>
      <c r="AD77" s="161" t="s">
        <v>125</v>
      </c>
      <c r="AE77" s="161" t="s">
        <v>125</v>
      </c>
      <c r="AF77" s="161" t="s">
        <v>125</v>
      </c>
      <c r="AG77" s="168">
        <v>141.01011761564601</v>
      </c>
      <c r="AH77" s="168">
        <v>147.55158558245199</v>
      </c>
      <c r="AI77" s="168">
        <v>134.50293839348399</v>
      </c>
      <c r="AJ77" s="168">
        <v>135.09834686228299</v>
      </c>
      <c r="AK77" s="168">
        <v>144.73907762888101</v>
      </c>
      <c r="AL77" s="168">
        <v>153.57879628695099</v>
      </c>
      <c r="AM77" s="168">
        <v>155.64921204131201</v>
      </c>
      <c r="AN77" s="168">
        <v>154.44466319770399</v>
      </c>
      <c r="AO77" s="168">
        <v>154.84439810704299</v>
      </c>
      <c r="AP77" s="168">
        <v>161.53648273775599</v>
      </c>
      <c r="AQ77" s="168">
        <v>163.35957124107799</v>
      </c>
      <c r="AR77" s="168">
        <v>173.484088221083</v>
      </c>
      <c r="AS77" s="168">
        <v>177.98456968637601</v>
      </c>
      <c r="AT77" s="168">
        <v>183.440070061245</v>
      </c>
      <c r="AU77" s="168">
        <v>181.707148253263</v>
      </c>
      <c r="AV77" s="168">
        <v>180.10916945883</v>
      </c>
      <c r="AW77" s="168">
        <v>178.23208608614101</v>
      </c>
      <c r="AX77" s="168">
        <v>182.62367578875899</v>
      </c>
      <c r="AY77" s="168">
        <v>188.98707805006501</v>
      </c>
      <c r="AZ77" s="168">
        <v>196.095165337835</v>
      </c>
      <c r="BA77" s="168">
        <v>202.18213661817001</v>
      </c>
      <c r="BB77" s="168">
        <v>207.584476413723</v>
      </c>
      <c r="BC77" s="168">
        <v>209.301269248978</v>
      </c>
      <c r="BD77" s="168">
        <v>212.600123374482</v>
      </c>
    </row>
    <row r="78" spans="1:56">
      <c r="A78" s="163" t="s">
        <v>206</v>
      </c>
      <c r="B78" s="163" t="s">
        <v>566</v>
      </c>
      <c r="W78" s="161" t="s">
        <v>125</v>
      </c>
      <c r="X78" s="161" t="s">
        <v>125</v>
      </c>
      <c r="Y78" s="161" t="s">
        <v>125</v>
      </c>
      <c r="Z78" s="161" t="s">
        <v>125</v>
      </c>
      <c r="AA78" s="161" t="s">
        <v>125</v>
      </c>
      <c r="AB78" s="161" t="s">
        <v>125</v>
      </c>
      <c r="AC78" s="161" t="s">
        <v>125</v>
      </c>
      <c r="AD78" s="161" t="s">
        <v>125</v>
      </c>
      <c r="AE78" s="161" t="s">
        <v>125</v>
      </c>
      <c r="AF78" s="161" t="s">
        <v>125</v>
      </c>
      <c r="AG78" s="168">
        <v>7.8046495019782204E-10</v>
      </c>
      <c r="AH78" s="168">
        <v>1.73901461233118E-8</v>
      </c>
      <c r="AI78" s="168">
        <v>7.1044202870440403E-7</v>
      </c>
      <c r="AJ78" s="168">
        <v>1.2229902470111101E-5</v>
      </c>
      <c r="AK78" s="168">
        <v>3.2167214138924699E-3</v>
      </c>
      <c r="AL78" s="168">
        <v>1.78474467778608E-2</v>
      </c>
      <c r="AM78" s="168">
        <v>0.12938482984042801</v>
      </c>
      <c r="AN78" s="168">
        <v>0.37226611390778303</v>
      </c>
      <c r="AO78" s="168">
        <v>0.46746651807767398</v>
      </c>
      <c r="AP78" s="168">
        <v>2.4975447361171002</v>
      </c>
      <c r="AQ78" s="168">
        <v>66.671127734522997</v>
      </c>
      <c r="AR78" s="168">
        <v>112.79654871320599</v>
      </c>
      <c r="AS78" s="168">
        <v>146.326481083354</v>
      </c>
      <c r="AT78" s="168">
        <v>162.70535992043099</v>
      </c>
      <c r="AU78" s="168">
        <v>168.444835980552</v>
      </c>
      <c r="AV78" s="168">
        <v>211.96014642390099</v>
      </c>
      <c r="AW78" s="168">
        <v>230.53456179897799</v>
      </c>
      <c r="AX78" s="168">
        <v>266.94953103736998</v>
      </c>
      <c r="AY78" s="168">
        <v>313.11465177533898</v>
      </c>
      <c r="AZ78" s="168">
        <v>415.91773355553403</v>
      </c>
      <c r="BA78" s="168">
        <v>482.47500492449302</v>
      </c>
      <c r="BB78" s="168">
        <v>521.86969639897302</v>
      </c>
      <c r="BC78" s="168">
        <v>551.529132560736</v>
      </c>
      <c r="BD78" s="168">
        <v>558.79725555814503</v>
      </c>
    </row>
    <row r="79" spans="1:56">
      <c r="A79" s="163" t="s">
        <v>208</v>
      </c>
      <c r="B79" s="163" t="s">
        <v>209</v>
      </c>
      <c r="W79" s="161" t="s">
        <v>125</v>
      </c>
      <c r="X79" s="161" t="s">
        <v>125</v>
      </c>
      <c r="Y79" s="161" t="s">
        <v>125</v>
      </c>
      <c r="Z79" s="161" t="s">
        <v>125</v>
      </c>
      <c r="AA79" s="161" t="s">
        <v>125</v>
      </c>
      <c r="AB79" s="161" t="s">
        <v>125</v>
      </c>
      <c r="AC79" s="161" t="s">
        <v>125</v>
      </c>
      <c r="AD79" s="161" t="s">
        <v>125</v>
      </c>
      <c r="AE79" s="161" t="s">
        <v>125</v>
      </c>
      <c r="AF79" s="161" t="s">
        <v>125</v>
      </c>
      <c r="AG79" s="168">
        <v>93.774556498410703</v>
      </c>
      <c r="AH79" s="168">
        <v>89.412130130143694</v>
      </c>
      <c r="AI79" s="168">
        <v>86.046781002178705</v>
      </c>
      <c r="AJ79" s="168">
        <v>83.096221326993103</v>
      </c>
      <c r="AK79" s="168">
        <v>111.267773917911</v>
      </c>
      <c r="AL79" s="168">
        <v>112.69552919546101</v>
      </c>
      <c r="AM79" s="168">
        <v>130.58664467273999</v>
      </c>
      <c r="AN79" s="168">
        <v>134.76388639944699</v>
      </c>
      <c r="AO79" s="168">
        <v>109.024439773654</v>
      </c>
      <c r="AP79" s="168">
        <v>139.043230606576</v>
      </c>
      <c r="AQ79" s="168">
        <v>199.906977339598</v>
      </c>
      <c r="AR79" s="168">
        <v>168.215483749383</v>
      </c>
      <c r="AS79" s="168">
        <v>162.78884434692901</v>
      </c>
      <c r="AT79" s="168">
        <v>152.814001887442</v>
      </c>
      <c r="AU79" s="168">
        <v>173.73532498838301</v>
      </c>
      <c r="AV79" s="168">
        <v>204.24129662039201</v>
      </c>
      <c r="AW79" s="168">
        <v>234.846037176989</v>
      </c>
      <c r="AX79" s="168">
        <v>231.342517426901</v>
      </c>
      <c r="AY79" s="168">
        <v>283.70007506611802</v>
      </c>
      <c r="AZ79" s="168">
        <v>223.46069120952399</v>
      </c>
      <c r="BA79" s="168">
        <v>266.53989910017998</v>
      </c>
      <c r="BB79" s="168">
        <v>289.29899420572099</v>
      </c>
      <c r="BC79" s="168">
        <v>281.00159763870101</v>
      </c>
      <c r="BD79" s="168">
        <v>267.105925900231</v>
      </c>
    </row>
    <row r="80" spans="1:56">
      <c r="A80" s="163" t="s">
        <v>210</v>
      </c>
      <c r="B80" s="163" t="s">
        <v>211</v>
      </c>
      <c r="W80" s="161" t="s">
        <v>125</v>
      </c>
      <c r="X80" s="161" t="s">
        <v>125</v>
      </c>
      <c r="Y80" s="161" t="s">
        <v>125</v>
      </c>
      <c r="Z80" s="161" t="s">
        <v>125</v>
      </c>
      <c r="AA80" s="161" t="s">
        <v>125</v>
      </c>
      <c r="AB80" s="161" t="s">
        <v>125</v>
      </c>
      <c r="AC80" s="161" t="s">
        <v>125</v>
      </c>
      <c r="AD80" s="161" t="s">
        <v>125</v>
      </c>
      <c r="AE80" s="161" t="s">
        <v>125</v>
      </c>
      <c r="AF80" s="161" t="s">
        <v>125</v>
      </c>
      <c r="AG80" s="168">
        <v>46.346103645203399</v>
      </c>
      <c r="AH80" s="168">
        <v>56.582795495364401</v>
      </c>
      <c r="AI80" s="168">
        <v>66.651694565920096</v>
      </c>
      <c r="AJ80" s="168">
        <v>72.018515297704496</v>
      </c>
      <c r="AK80" s="168">
        <v>81.481643735403196</v>
      </c>
      <c r="AL80" s="168">
        <v>97.529976017985405</v>
      </c>
      <c r="AM80" s="168">
        <v>110.911914317145</v>
      </c>
      <c r="AN80" s="168">
        <v>125.28827730037401</v>
      </c>
      <c r="AO80" s="168">
        <v>138.97273510689701</v>
      </c>
      <c r="AP80" s="168">
        <v>157.532518845776</v>
      </c>
      <c r="AQ80" s="168">
        <v>164.77871061389899</v>
      </c>
      <c r="AR80" s="168">
        <v>174.942175196037</v>
      </c>
      <c r="AS80" s="168">
        <v>188.11519744751899</v>
      </c>
      <c r="AT80" s="168">
        <v>199.7144832084</v>
      </c>
      <c r="AU80" s="168">
        <v>217.41214728631601</v>
      </c>
      <c r="AV80" s="168">
        <v>233.03487250740301</v>
      </c>
      <c r="AW80" s="168">
        <v>250.95288549174001</v>
      </c>
      <c r="AX80" s="168">
        <v>267.40572782575799</v>
      </c>
      <c r="AY80" s="168">
        <v>294.79827858983998</v>
      </c>
      <c r="AZ80" s="168">
        <v>317.06251820575699</v>
      </c>
      <c r="BA80" s="168">
        <v>338.20966961198502</v>
      </c>
      <c r="BB80" s="168">
        <v>346.73829785888199</v>
      </c>
      <c r="BC80" s="168">
        <v>354.71315333426799</v>
      </c>
      <c r="BD80" s="168">
        <v>366.90870960149601</v>
      </c>
    </row>
    <row r="81" spans="1:56">
      <c r="A81" s="163" t="s">
        <v>212</v>
      </c>
      <c r="B81" s="163" t="s">
        <v>213</v>
      </c>
      <c r="W81" s="161" t="s">
        <v>125</v>
      </c>
      <c r="X81" s="161" t="s">
        <v>125</v>
      </c>
      <c r="Y81" s="161" t="s">
        <v>125</v>
      </c>
      <c r="Z81" s="161" t="s">
        <v>125</v>
      </c>
      <c r="AA81" s="161" t="s">
        <v>125</v>
      </c>
      <c r="AB81" s="161" t="s">
        <v>125</v>
      </c>
      <c r="AC81" s="161" t="s">
        <v>125</v>
      </c>
      <c r="AD81" s="161" t="s">
        <v>125</v>
      </c>
      <c r="AE81" s="161" t="s">
        <v>125</v>
      </c>
      <c r="AF81" s="161" t="s">
        <v>125</v>
      </c>
      <c r="AG81" s="168">
        <v>121.10698379105401</v>
      </c>
      <c r="AH81" s="168">
        <v>117.98613913877099</v>
      </c>
      <c r="AI81" s="168">
        <v>115.32804438290199</v>
      </c>
      <c r="AJ81" s="168">
        <v>119.57980449187301</v>
      </c>
      <c r="AK81" s="168">
        <v>171.39944220432301</v>
      </c>
      <c r="AL81" s="168">
        <v>186.43932668940499</v>
      </c>
      <c r="AM81" s="168">
        <v>192.21914786981901</v>
      </c>
      <c r="AN81" s="168">
        <v>196.95667249192201</v>
      </c>
      <c r="AO81" s="168">
        <v>205.01181963964299</v>
      </c>
      <c r="AP81" s="168">
        <v>203.97912199003301</v>
      </c>
      <c r="AQ81" s="168">
        <v>198.69079914503101</v>
      </c>
      <c r="AR81" s="168">
        <v>202.49131654207301</v>
      </c>
      <c r="AS81" s="168">
        <v>209.54467207911799</v>
      </c>
      <c r="AT81" s="168">
        <v>208.11572571929599</v>
      </c>
      <c r="AU81" s="168">
        <v>203.833379506234</v>
      </c>
      <c r="AV81" s="168">
        <v>205.847168230671</v>
      </c>
      <c r="AW81" s="168">
        <v>208.69254677534701</v>
      </c>
      <c r="AX81" s="168">
        <v>208.811573700857</v>
      </c>
      <c r="AY81" s="168">
        <v>221.44491555149099</v>
      </c>
      <c r="AZ81" s="168">
        <v>220.003706710931</v>
      </c>
      <c r="BA81" s="168">
        <v>221.57195034589199</v>
      </c>
      <c r="BB81" s="168">
        <v>228.228480037503</v>
      </c>
      <c r="BC81" s="168">
        <v>227.21552125716499</v>
      </c>
      <c r="BD81" s="168">
        <v>249.52266422127701</v>
      </c>
    </row>
    <row r="82" spans="1:56">
      <c r="A82" s="163" t="s">
        <v>214</v>
      </c>
      <c r="B82" s="163" t="s">
        <v>215</v>
      </c>
      <c r="W82" s="161" t="s">
        <v>125</v>
      </c>
      <c r="X82" s="161" t="s">
        <v>125</v>
      </c>
      <c r="Y82" s="161" t="s">
        <v>125</v>
      </c>
      <c r="Z82" s="161" t="s">
        <v>125</v>
      </c>
      <c r="AA82" s="161" t="s">
        <v>125</v>
      </c>
      <c r="AB82" s="161" t="s">
        <v>125</v>
      </c>
      <c r="AC82" s="161" t="s">
        <v>125</v>
      </c>
      <c r="AD82" s="161" t="s">
        <v>125</v>
      </c>
      <c r="AE82" s="161" t="s">
        <v>125</v>
      </c>
      <c r="AF82" s="161" t="s">
        <v>125</v>
      </c>
      <c r="AG82" s="168" t="s">
        <v>125</v>
      </c>
      <c r="AH82" s="168" t="s">
        <v>125</v>
      </c>
      <c r="AI82" s="168" t="s">
        <v>125</v>
      </c>
      <c r="AJ82" s="168" t="s">
        <v>125</v>
      </c>
      <c r="AK82" s="168" t="s">
        <v>125</v>
      </c>
      <c r="AL82" s="168">
        <v>3.09537093833239</v>
      </c>
      <c r="AM82" s="168">
        <v>3.1352305017176301</v>
      </c>
      <c r="AN82" s="168">
        <v>3.3008458992276601</v>
      </c>
      <c r="AO82" s="168">
        <v>3.51824029739522</v>
      </c>
      <c r="AP82" s="168">
        <v>3.6152341890991502</v>
      </c>
      <c r="AQ82" s="168">
        <v>3.6804099535328101</v>
      </c>
      <c r="AR82" s="168">
        <v>3.7096940219768899</v>
      </c>
      <c r="AS82" s="168">
        <v>3.7403727026495899</v>
      </c>
      <c r="AT82" s="168">
        <v>3.8407564764213502</v>
      </c>
      <c r="AU82" s="168">
        <v>3.8616795334254799</v>
      </c>
      <c r="AV82" s="168">
        <v>3.91533740276487</v>
      </c>
      <c r="AW82" s="168">
        <v>3.89447350651252</v>
      </c>
      <c r="AX82" s="168">
        <v>3.8429952279914499</v>
      </c>
      <c r="AY82" s="168">
        <v>3.8312339221067599</v>
      </c>
      <c r="AZ82" s="168">
        <v>3.8375542773148998</v>
      </c>
      <c r="BA82" s="168">
        <v>3.9141227494158799</v>
      </c>
      <c r="BB82" s="168">
        <v>3.8001958347456002</v>
      </c>
      <c r="BC82" s="168">
        <v>3.7658487178306701</v>
      </c>
      <c r="BD82" s="168">
        <v>3.6924164911224802</v>
      </c>
    </row>
    <row r="83" spans="1:56">
      <c r="A83" s="163" t="s">
        <v>216</v>
      </c>
      <c r="B83" s="163" t="s">
        <v>217</v>
      </c>
      <c r="W83" s="161" t="s">
        <v>125</v>
      </c>
      <c r="X83" s="161" t="s">
        <v>125</v>
      </c>
      <c r="Y83" s="161" t="s">
        <v>125</v>
      </c>
      <c r="Z83" s="161" t="s">
        <v>125</v>
      </c>
      <c r="AA83" s="161" t="s">
        <v>125</v>
      </c>
      <c r="AB83" s="161" t="s">
        <v>125</v>
      </c>
      <c r="AC83" s="161" t="s">
        <v>125</v>
      </c>
      <c r="AD83" s="161" t="s">
        <v>125</v>
      </c>
      <c r="AE83" s="161" t="s">
        <v>125</v>
      </c>
      <c r="AF83" s="161" t="s">
        <v>125</v>
      </c>
      <c r="AG83" s="168">
        <v>0.23182130381117</v>
      </c>
      <c r="AH83" s="168">
        <v>0.207783551520385</v>
      </c>
      <c r="AI83" s="168">
        <v>0.21076031144297599</v>
      </c>
      <c r="AJ83" s="168">
        <v>0.24492442229907499</v>
      </c>
      <c r="AK83" s="168">
        <v>0.302848530245652</v>
      </c>
      <c r="AL83" s="168">
        <v>0.32783525737028102</v>
      </c>
      <c r="AM83" s="168">
        <v>0.31335293369906497</v>
      </c>
      <c r="AN83" s="168">
        <v>0.30391436835399799</v>
      </c>
      <c r="AO83" s="168">
        <v>0.30456890378992801</v>
      </c>
      <c r="AP83" s="168">
        <v>0.31165553462002898</v>
      </c>
      <c r="AQ83" s="168">
        <v>0.31002452266732899</v>
      </c>
      <c r="AR83" s="168">
        <v>0.30447829565807299</v>
      </c>
      <c r="AS83" s="168">
        <v>0.313442502218372</v>
      </c>
      <c r="AT83" s="168">
        <v>0.31644685220595498</v>
      </c>
      <c r="AU83" s="168">
        <v>0.309864978030362</v>
      </c>
      <c r="AV83" s="168">
        <v>0.30138038110756599</v>
      </c>
      <c r="AW83" s="168">
        <v>0.32269306846691098</v>
      </c>
      <c r="AX83" s="168">
        <v>0.32563715619649097</v>
      </c>
      <c r="AY83" s="168">
        <v>0.31829899821132801</v>
      </c>
      <c r="AZ83" s="168">
        <v>0.31787122763270298</v>
      </c>
      <c r="BA83" s="168">
        <v>0.317859523905833</v>
      </c>
      <c r="BB83" s="168">
        <v>0.32193871145563202</v>
      </c>
      <c r="BC83" s="168" t="s">
        <v>125</v>
      </c>
      <c r="BD83" s="168" t="s">
        <v>125</v>
      </c>
    </row>
    <row r="84" spans="1:56">
      <c r="A84" s="163" t="s">
        <v>218</v>
      </c>
      <c r="B84" s="163" t="s">
        <v>219</v>
      </c>
      <c r="W84" s="161" t="s">
        <v>125</v>
      </c>
      <c r="X84" s="161" t="s">
        <v>125</v>
      </c>
      <c r="Y84" s="161" t="s">
        <v>125</v>
      </c>
      <c r="Z84" s="161" t="s">
        <v>125</v>
      </c>
      <c r="AA84" s="161" t="s">
        <v>125</v>
      </c>
      <c r="AB84" s="161" t="s">
        <v>125</v>
      </c>
      <c r="AC84" s="161" t="s">
        <v>125</v>
      </c>
      <c r="AD84" s="161" t="s">
        <v>125</v>
      </c>
      <c r="AE84" s="161" t="s">
        <v>125</v>
      </c>
      <c r="AF84" s="161" t="s">
        <v>125</v>
      </c>
      <c r="AG84" s="168" t="s">
        <v>125</v>
      </c>
      <c r="AH84" s="168" t="s">
        <v>125</v>
      </c>
      <c r="AI84" s="168" t="s">
        <v>125</v>
      </c>
      <c r="AJ84" s="168" t="s">
        <v>125</v>
      </c>
      <c r="AK84" s="168" t="s">
        <v>125</v>
      </c>
      <c r="AL84" s="168" t="s">
        <v>125</v>
      </c>
      <c r="AM84" s="168" t="s">
        <v>125</v>
      </c>
      <c r="AN84" s="168" t="s">
        <v>125</v>
      </c>
      <c r="AO84" s="168" t="s">
        <v>125</v>
      </c>
      <c r="AP84" s="168" t="s">
        <v>125</v>
      </c>
      <c r="AQ84" s="168" t="s">
        <v>125</v>
      </c>
      <c r="AR84" s="168" t="s">
        <v>125</v>
      </c>
      <c r="AS84" s="168" t="s">
        <v>125</v>
      </c>
      <c r="AT84" s="168" t="s">
        <v>125</v>
      </c>
      <c r="AU84" s="168" t="s">
        <v>125</v>
      </c>
      <c r="AV84" s="168" t="s">
        <v>125</v>
      </c>
      <c r="AW84" s="168" t="s">
        <v>125</v>
      </c>
      <c r="AX84" s="168" t="s">
        <v>125</v>
      </c>
      <c r="AY84" s="168" t="s">
        <v>125</v>
      </c>
      <c r="AZ84" s="168" t="s">
        <v>125</v>
      </c>
      <c r="BA84" s="168" t="s">
        <v>125</v>
      </c>
      <c r="BB84" s="168">
        <v>1.2921816255018299</v>
      </c>
      <c r="BC84" s="168" t="s">
        <v>125</v>
      </c>
      <c r="BD84" s="168" t="s">
        <v>125</v>
      </c>
    </row>
    <row r="85" spans="1:56">
      <c r="A85" s="163" t="s">
        <v>220</v>
      </c>
      <c r="B85" s="163" t="s">
        <v>221</v>
      </c>
      <c r="W85" s="161" t="s">
        <v>125</v>
      </c>
      <c r="X85" s="161" t="s">
        <v>125</v>
      </c>
      <c r="Y85" s="161" t="s">
        <v>125</v>
      </c>
      <c r="Z85" s="161" t="s">
        <v>125</v>
      </c>
      <c r="AA85" s="161" t="s">
        <v>125</v>
      </c>
      <c r="AB85" s="161" t="s">
        <v>125</v>
      </c>
      <c r="AC85" s="161" t="s">
        <v>125</v>
      </c>
      <c r="AD85" s="161" t="s">
        <v>125</v>
      </c>
      <c r="AE85" s="161" t="s">
        <v>125</v>
      </c>
      <c r="AF85" s="161" t="s">
        <v>125</v>
      </c>
      <c r="AG85" s="168">
        <v>0.61240455931057702</v>
      </c>
      <c r="AH85" s="168">
        <v>0.61573473077862395</v>
      </c>
      <c r="AI85" s="168">
        <v>0.63837593077035304</v>
      </c>
      <c r="AJ85" s="168">
        <v>0.65348635951088696</v>
      </c>
      <c r="AK85" s="168">
        <v>0.67359213576912502</v>
      </c>
      <c r="AL85" s="168">
        <v>0.71289650362577595</v>
      </c>
      <c r="AM85" s="168">
        <v>0.71293269434666495</v>
      </c>
      <c r="AN85" s="168">
        <v>0.71557087506521699</v>
      </c>
      <c r="AO85" s="168">
        <v>0.72390639588169303</v>
      </c>
      <c r="AP85" s="168">
        <v>0.73384644671148802</v>
      </c>
      <c r="AQ85" s="168">
        <v>0.73170452077995396</v>
      </c>
      <c r="AR85" s="168">
        <v>0.72311776765571301</v>
      </c>
      <c r="AS85" s="168">
        <v>0.72311662123943699</v>
      </c>
      <c r="AT85" s="168">
        <v>0.74612850638984396</v>
      </c>
      <c r="AU85" s="168">
        <v>0.73735714526514495</v>
      </c>
      <c r="AV85" s="168">
        <v>0.72783373943915497</v>
      </c>
      <c r="AW85" s="168">
        <v>0.70912241593921099</v>
      </c>
      <c r="AX85" s="168">
        <v>0.71162028794641097</v>
      </c>
      <c r="AY85" s="168">
        <v>0.68511724644820304</v>
      </c>
      <c r="AZ85" s="168">
        <v>0.66614295463578899</v>
      </c>
      <c r="BA85" s="168">
        <v>0.67719484446344802</v>
      </c>
      <c r="BB85" s="168">
        <v>0.67284600610100598</v>
      </c>
      <c r="BC85" s="168">
        <v>0.67272915611620099</v>
      </c>
      <c r="BD85" s="168">
        <v>0.645754589226603</v>
      </c>
    </row>
    <row r="86" spans="1:56">
      <c r="A86" s="163" t="s">
        <v>222</v>
      </c>
      <c r="B86" s="163" t="s">
        <v>223</v>
      </c>
      <c r="W86" s="161" t="s">
        <v>125</v>
      </c>
      <c r="X86" s="161" t="s">
        <v>125</v>
      </c>
      <c r="Y86" s="161" t="s">
        <v>125</v>
      </c>
      <c r="Z86" s="161" t="s">
        <v>125</v>
      </c>
      <c r="AA86" s="161" t="s">
        <v>125</v>
      </c>
      <c r="AB86" s="161" t="s">
        <v>125</v>
      </c>
      <c r="AC86" s="161" t="s">
        <v>125</v>
      </c>
      <c r="AD86" s="161" t="s">
        <v>125</v>
      </c>
      <c r="AE86" s="161" t="s">
        <v>125</v>
      </c>
      <c r="AF86" s="161" t="s">
        <v>125</v>
      </c>
      <c r="AG86" s="168">
        <v>5.5124145990000004</v>
      </c>
      <c r="AH86" s="168">
        <v>7.2658182880000002</v>
      </c>
      <c r="AI86" s="168">
        <v>7.981658747</v>
      </c>
      <c r="AJ86" s="168">
        <v>9.43400003</v>
      </c>
      <c r="AK86" s="168">
        <v>10.37742757</v>
      </c>
      <c r="AL86" s="168">
        <v>11.09117687</v>
      </c>
      <c r="AM86" s="168">
        <v>11.95971147</v>
      </c>
      <c r="AN86" s="168">
        <v>12.713398639999999</v>
      </c>
      <c r="AO86" s="168">
        <v>13.88806836</v>
      </c>
      <c r="AP86" s="168">
        <v>14.138505540000001</v>
      </c>
      <c r="AQ86" s="168">
        <v>14.195799279999999</v>
      </c>
      <c r="AR86" s="168">
        <v>14.209509479999999</v>
      </c>
      <c r="AS86" s="168">
        <v>14.318879969999999</v>
      </c>
      <c r="AT86" s="168">
        <v>14.03109555</v>
      </c>
      <c r="AU86" s="168">
        <v>14.297337990000001</v>
      </c>
      <c r="AV86" s="168">
        <v>14.31623626</v>
      </c>
      <c r="AW86" s="168">
        <v>14.02228012</v>
      </c>
      <c r="AX86" s="168">
        <v>13.956283040000001</v>
      </c>
      <c r="AY86" s="168">
        <v>14.26194544</v>
      </c>
      <c r="AZ86" s="168">
        <v>13.84679747</v>
      </c>
      <c r="BA86" s="168">
        <v>13.95203487</v>
      </c>
      <c r="BB86" s="168">
        <v>13.46799521</v>
      </c>
      <c r="BC86" s="168">
        <v>13.561283701000001</v>
      </c>
      <c r="BD86" s="168">
        <v>13.499321568999999</v>
      </c>
    </row>
    <row r="87" spans="1:56">
      <c r="A87" s="163" t="s">
        <v>224</v>
      </c>
      <c r="B87" s="163" t="s">
        <v>225</v>
      </c>
      <c r="W87" s="161" t="s">
        <v>125</v>
      </c>
      <c r="X87" s="161" t="s">
        <v>125</v>
      </c>
      <c r="Y87" s="161" t="s">
        <v>125</v>
      </c>
      <c r="Z87" s="161" t="s">
        <v>125</v>
      </c>
      <c r="AA87" s="161" t="s">
        <v>125</v>
      </c>
      <c r="AB87" s="161" t="s">
        <v>125</v>
      </c>
      <c r="AC87" s="161" t="s">
        <v>125</v>
      </c>
      <c r="AD87" s="161" t="s">
        <v>125</v>
      </c>
      <c r="AE87" s="161" t="s">
        <v>125</v>
      </c>
      <c r="AF87" s="161" t="s">
        <v>125</v>
      </c>
      <c r="AG87" s="168">
        <v>8.8617381309999992</v>
      </c>
      <c r="AH87" s="168">
        <v>8.8059262779999994</v>
      </c>
      <c r="AI87" s="168">
        <v>8.7540372780000002</v>
      </c>
      <c r="AJ87" s="168">
        <v>8.6074403910000008</v>
      </c>
      <c r="AK87" s="168">
        <v>8.5572670370000008</v>
      </c>
      <c r="AL87" s="168">
        <v>8.4877634709999992</v>
      </c>
      <c r="AM87" s="168">
        <v>8.4499661380000006</v>
      </c>
      <c r="AN87" s="168">
        <v>8.4338440749999997</v>
      </c>
      <c r="AO87" s="168">
        <v>8.3933820990000001</v>
      </c>
      <c r="AP87" s="168">
        <v>8.4697094600000007</v>
      </c>
      <c r="AQ87" s="168">
        <v>8.3992645580000005</v>
      </c>
      <c r="AR87" s="168">
        <v>8.4605006469999999</v>
      </c>
      <c r="AS87" s="168">
        <v>8.3022065479999991</v>
      </c>
      <c r="AT87" s="168">
        <v>8.5348007520000007</v>
      </c>
      <c r="AU87" s="168">
        <v>8.4078636959999997</v>
      </c>
      <c r="AV87" s="168">
        <v>8.5900825550000004</v>
      </c>
      <c r="AW87" s="168">
        <v>8.3176261270000005</v>
      </c>
      <c r="AX87" s="168">
        <v>8.2418607010000002</v>
      </c>
      <c r="AY87" s="168">
        <v>8.0122614070000004</v>
      </c>
      <c r="AZ87" s="168">
        <v>7.8034177969999998</v>
      </c>
      <c r="BA87" s="168">
        <v>7.7542166190000001</v>
      </c>
      <c r="BB87" s="168">
        <v>7.6892785889999997</v>
      </c>
      <c r="BC87" s="168">
        <v>7.7858548540000001</v>
      </c>
      <c r="BD87" s="168">
        <v>7.7347523320000002</v>
      </c>
    </row>
    <row r="88" spans="1:56">
      <c r="A88" s="163" t="s">
        <v>226</v>
      </c>
      <c r="B88" s="163" t="s">
        <v>227</v>
      </c>
      <c r="W88" s="161" t="s">
        <v>125</v>
      </c>
      <c r="X88" s="161" t="s">
        <v>125</v>
      </c>
      <c r="Y88" s="161" t="s">
        <v>125</v>
      </c>
      <c r="Z88" s="161" t="s">
        <v>125</v>
      </c>
      <c r="AA88" s="161" t="s">
        <v>125</v>
      </c>
      <c r="AB88" s="161" t="s">
        <v>125</v>
      </c>
      <c r="AC88" s="161" t="s">
        <v>125</v>
      </c>
      <c r="AD88" s="161" t="s">
        <v>125</v>
      </c>
      <c r="AE88" s="161" t="s">
        <v>125</v>
      </c>
      <c r="AF88" s="161" t="s">
        <v>125</v>
      </c>
      <c r="AG88" s="168">
        <v>68.982085330962406</v>
      </c>
      <c r="AH88" s="168">
        <v>71.301319625790299</v>
      </c>
      <c r="AI88" s="168">
        <v>72.081772738675994</v>
      </c>
      <c r="AJ88" s="168">
        <v>73.504116111597895</v>
      </c>
      <c r="AK88" s="168">
        <v>76.650166388255997</v>
      </c>
      <c r="AL88" s="168">
        <v>78.752557955786202</v>
      </c>
      <c r="AM88" s="168">
        <v>80.056856840739897</v>
      </c>
      <c r="AN88" s="168">
        <v>80.6935694846469</v>
      </c>
      <c r="AO88" s="168">
        <v>81.587478225241995</v>
      </c>
      <c r="AP88" s="168">
        <v>82.062319292557206</v>
      </c>
      <c r="AQ88" s="168">
        <v>82.164857612118496</v>
      </c>
      <c r="AR88" s="168">
        <v>81.737995037001696</v>
      </c>
      <c r="AS88" s="168">
        <v>81.010165641364495</v>
      </c>
      <c r="AT88" s="168">
        <v>80.986216391752393</v>
      </c>
      <c r="AU88" s="168">
        <v>81.293888035487299</v>
      </c>
      <c r="AV88" s="168">
        <v>81.226095433047803</v>
      </c>
      <c r="AW88" s="168">
        <v>81.586573030904006</v>
      </c>
      <c r="AX88" s="168">
        <v>83.394936214364094</v>
      </c>
      <c r="AY88" s="168">
        <v>91.098044298756605</v>
      </c>
      <c r="AZ88" s="168">
        <v>103.323434515458</v>
      </c>
      <c r="BA88" s="168">
        <v>92.000564681805002</v>
      </c>
      <c r="BB88" s="168">
        <v>94.003066899695298</v>
      </c>
      <c r="BC88" s="168">
        <v>97.981011282650101</v>
      </c>
      <c r="BD88" s="168">
        <v>98.898510467149904</v>
      </c>
    </row>
    <row r="89" spans="1:56">
      <c r="A89" s="163" t="s">
        <v>228</v>
      </c>
      <c r="B89" s="163" t="s">
        <v>229</v>
      </c>
      <c r="W89" s="161" t="s">
        <v>125</v>
      </c>
      <c r="X89" s="161" t="s">
        <v>125</v>
      </c>
      <c r="Y89" s="161" t="s">
        <v>125</v>
      </c>
      <c r="Z89" s="161" t="s">
        <v>125</v>
      </c>
      <c r="AA89" s="161" t="s">
        <v>125</v>
      </c>
      <c r="AB89" s="161" t="s">
        <v>125</v>
      </c>
      <c r="AC89" s="161" t="s">
        <v>125</v>
      </c>
      <c r="AD89" s="161" t="s">
        <v>125</v>
      </c>
      <c r="AE89" s="161" t="s">
        <v>125</v>
      </c>
      <c r="AF89" s="161" t="s">
        <v>125</v>
      </c>
      <c r="AG89" s="168">
        <v>1.46869584765366</v>
      </c>
      <c r="AH89" s="168">
        <v>1.5327273720958099</v>
      </c>
      <c r="AI89" s="168">
        <v>1.5606347466905299</v>
      </c>
      <c r="AJ89" s="168">
        <v>1.5668553723841401</v>
      </c>
      <c r="AK89" s="168">
        <v>1.62605792295565</v>
      </c>
      <c r="AL89" s="168">
        <v>1.62417175639865</v>
      </c>
      <c r="AM89" s="168">
        <v>1.6400491642106101</v>
      </c>
      <c r="AN89" s="168">
        <v>1.65151450384127</v>
      </c>
      <c r="AO89" s="168">
        <v>1.63647693976261</v>
      </c>
      <c r="AP89" s="168">
        <v>1.66015092326638</v>
      </c>
      <c r="AQ89" s="168">
        <v>2.08400622561253</v>
      </c>
      <c r="AR89" s="168">
        <v>2.0794231778181</v>
      </c>
      <c r="AS89" s="168">
        <v>2.0675698291674198</v>
      </c>
      <c r="AT89" s="168">
        <v>1.96722045820102</v>
      </c>
      <c r="AU89" s="168">
        <v>2.00115289079009</v>
      </c>
      <c r="AV89" s="168">
        <v>1.92638503398934</v>
      </c>
      <c r="AW89" s="168">
        <v>1.80420384676408</v>
      </c>
      <c r="AX89" s="168">
        <v>1.7913285948499</v>
      </c>
      <c r="AY89" s="168">
        <v>1.7852951547453799</v>
      </c>
      <c r="AZ89" s="168">
        <v>1.9133602845575399</v>
      </c>
      <c r="BA89" s="168">
        <v>1.8393555212850601</v>
      </c>
      <c r="BB89" s="168">
        <v>1.8610573329704101</v>
      </c>
      <c r="BC89" s="168">
        <v>1.8663473656357099</v>
      </c>
      <c r="BD89" s="168">
        <v>1.8874053073397701</v>
      </c>
    </row>
    <row r="90" spans="1:56">
      <c r="A90" s="163" t="s">
        <v>230</v>
      </c>
      <c r="B90" s="163" t="s">
        <v>231</v>
      </c>
      <c r="W90" s="161" t="s">
        <v>125</v>
      </c>
      <c r="X90" s="161" t="s">
        <v>125</v>
      </c>
      <c r="Y90" s="161" t="s">
        <v>125</v>
      </c>
      <c r="Z90" s="161" t="s">
        <v>125</v>
      </c>
      <c r="AA90" s="161" t="s">
        <v>125</v>
      </c>
      <c r="AB90" s="161" t="s">
        <v>125</v>
      </c>
      <c r="AC90" s="161" t="s">
        <v>125</v>
      </c>
      <c r="AD90" s="161" t="s">
        <v>125</v>
      </c>
      <c r="AE90" s="161" t="s">
        <v>125</v>
      </c>
      <c r="AF90" s="161" t="s">
        <v>125</v>
      </c>
      <c r="AG90" s="168">
        <v>2.6948751432309801</v>
      </c>
      <c r="AH90" s="168">
        <v>5.2880951576931601</v>
      </c>
      <c r="AI90" s="168">
        <v>5.4605873115859396</v>
      </c>
      <c r="AJ90" s="168">
        <v>5.60079702746284</v>
      </c>
      <c r="AK90" s="168">
        <v>6.0425410828545898</v>
      </c>
      <c r="AL90" s="168">
        <v>6.4757248088926298</v>
      </c>
      <c r="AM90" s="168">
        <v>6.57786267672794</v>
      </c>
      <c r="AN90" s="168">
        <v>7.02735157432185</v>
      </c>
      <c r="AO90" s="168">
        <v>7.3690654162798097</v>
      </c>
      <c r="AP90" s="168">
        <v>7.5181115359956996</v>
      </c>
      <c r="AQ90" s="168">
        <v>7.8593607440839204</v>
      </c>
      <c r="AR90" s="168">
        <v>8.0757983332770706</v>
      </c>
      <c r="AS90" s="168">
        <v>8.3887779107087503</v>
      </c>
      <c r="AT90" s="168">
        <v>10.990604952517</v>
      </c>
      <c r="AU90" s="168">
        <v>15.5316252851668</v>
      </c>
      <c r="AV90" s="168">
        <v>15.454448818202399</v>
      </c>
      <c r="AW90" s="168">
        <v>15.8031275485069</v>
      </c>
      <c r="AX90" s="168">
        <v>16.272196501728502</v>
      </c>
      <c r="AY90" s="168">
        <v>17.519368664190701</v>
      </c>
      <c r="AZ90" s="168">
        <v>17.899019669877401</v>
      </c>
      <c r="BA90" s="168">
        <v>18.594274995126799</v>
      </c>
      <c r="BB90" s="168">
        <v>19.448823261062</v>
      </c>
      <c r="BC90" s="168">
        <v>20.1138336642437</v>
      </c>
      <c r="BD90" s="168">
        <v>20.825650121541901</v>
      </c>
    </row>
    <row r="91" spans="1:56">
      <c r="A91" s="163" t="s">
        <v>232</v>
      </c>
      <c r="B91" s="163" t="s">
        <v>233</v>
      </c>
      <c r="W91" s="161" t="s">
        <v>125</v>
      </c>
      <c r="X91" s="161" t="s">
        <v>125</v>
      </c>
      <c r="Y91" s="161" t="s">
        <v>125</v>
      </c>
      <c r="Z91" s="161" t="s">
        <v>125</v>
      </c>
      <c r="AA91" s="161" t="s">
        <v>125</v>
      </c>
      <c r="AB91" s="161" t="s">
        <v>125</v>
      </c>
      <c r="AC91" s="161" t="s">
        <v>125</v>
      </c>
      <c r="AD91" s="161" t="s">
        <v>125</v>
      </c>
      <c r="AE91" s="161" t="s">
        <v>125</v>
      </c>
      <c r="AF91" s="161" t="s">
        <v>125</v>
      </c>
      <c r="AG91" s="168">
        <v>0.316199318330881</v>
      </c>
      <c r="AH91" s="168">
        <v>0.32710340644830899</v>
      </c>
      <c r="AI91" s="168">
        <v>0.333572542859081</v>
      </c>
      <c r="AJ91" s="168">
        <v>0.33442611589692101</v>
      </c>
      <c r="AK91" s="168">
        <v>0.37660212633540302</v>
      </c>
      <c r="AL91" s="168">
        <v>0.38817311217303502</v>
      </c>
      <c r="AM91" s="168">
        <v>0.38689147242497801</v>
      </c>
      <c r="AN91" s="168">
        <v>0.407033579333683</v>
      </c>
      <c r="AO91" s="168">
        <v>0.38743408566661403</v>
      </c>
      <c r="AP91" s="168">
        <v>0.28151852240643999</v>
      </c>
      <c r="AQ91" s="168">
        <v>0.25402990510262102</v>
      </c>
      <c r="AR91" s="168">
        <v>0.31890416925718401</v>
      </c>
      <c r="AS91" s="168">
        <v>0.35203506807069201</v>
      </c>
      <c r="AT91" s="168">
        <v>0.38169864638140799</v>
      </c>
      <c r="AU91" s="168">
        <v>0.38734793147721103</v>
      </c>
      <c r="AV91" s="168">
        <v>0.40433190770146399</v>
      </c>
      <c r="AW91" s="168">
        <v>0.42365834442702699</v>
      </c>
      <c r="AX91" s="168">
        <v>0.44015262380680598</v>
      </c>
      <c r="AY91" s="168">
        <v>0.49150058641039002</v>
      </c>
      <c r="AZ91" s="168">
        <v>0.49094383434071898</v>
      </c>
      <c r="BA91" s="168">
        <v>0.50879419852414598</v>
      </c>
      <c r="BB91" s="168">
        <v>0.52618138115240398</v>
      </c>
      <c r="BC91" s="168">
        <v>0.53852369592694704</v>
      </c>
      <c r="BD91" s="168">
        <v>0.54640616036840395</v>
      </c>
    </row>
    <row r="92" spans="1:56">
      <c r="A92" s="163" t="s">
        <v>234</v>
      </c>
      <c r="B92" s="163" t="s">
        <v>235</v>
      </c>
      <c r="W92" s="161" t="s">
        <v>125</v>
      </c>
      <c r="X92" s="161" t="s">
        <v>125</v>
      </c>
      <c r="Y92" s="161" t="s">
        <v>125</v>
      </c>
      <c r="Z92" s="161" t="s">
        <v>125</v>
      </c>
      <c r="AA92" s="161" t="s">
        <v>125</v>
      </c>
      <c r="AB92" s="161" t="s">
        <v>125</v>
      </c>
      <c r="AC92" s="161" t="s">
        <v>125</v>
      </c>
      <c r="AD92" s="161" t="s">
        <v>125</v>
      </c>
      <c r="AE92" s="161" t="s">
        <v>125</v>
      </c>
      <c r="AF92" s="161" t="s">
        <v>125</v>
      </c>
      <c r="AG92" s="168">
        <v>0.43739616710899798</v>
      </c>
      <c r="AH92" s="168">
        <v>0.48460623542763298</v>
      </c>
      <c r="AI92" s="168">
        <v>0.56729878544344503</v>
      </c>
      <c r="AJ92" s="168">
        <v>0.60081875526565398</v>
      </c>
      <c r="AK92" s="168">
        <v>0.63799949366177799</v>
      </c>
      <c r="AL92" s="168">
        <v>0.696206964027412</v>
      </c>
      <c r="AM92" s="168">
        <v>0.73231632815093695</v>
      </c>
      <c r="AN92" s="168">
        <v>0.79111558460017295</v>
      </c>
      <c r="AO92" s="168">
        <v>0.813087933640672</v>
      </c>
      <c r="AP92" s="168">
        <v>0.80861346160343395</v>
      </c>
      <c r="AQ92" s="168">
        <v>0.82964990868975996</v>
      </c>
      <c r="AR92" s="168">
        <v>0.82621583692877398</v>
      </c>
      <c r="AS92" s="168">
        <v>0.83963230667691302</v>
      </c>
      <c r="AT92" s="168">
        <v>0.878972508328147</v>
      </c>
      <c r="AU92" s="168">
        <v>0.95535917749378696</v>
      </c>
      <c r="AV92" s="168">
        <v>0.98317863110369597</v>
      </c>
      <c r="AW92" s="168">
        <v>1.0240594652700801</v>
      </c>
      <c r="AX92" s="168">
        <v>1.1232379314377501</v>
      </c>
      <c r="AY92" s="168">
        <v>1.2361693695260101</v>
      </c>
      <c r="AZ92" s="168">
        <v>1.36378029375368</v>
      </c>
      <c r="BA92" s="168">
        <v>1.4836652180629399</v>
      </c>
      <c r="BB92" s="168">
        <v>1.6248293549431201</v>
      </c>
      <c r="BC92" s="168">
        <v>1.7952970980159499</v>
      </c>
      <c r="BD92" s="168">
        <v>1.92760499035565</v>
      </c>
    </row>
    <row r="93" spans="1:56">
      <c r="A93" s="163" t="s">
        <v>236</v>
      </c>
      <c r="B93" s="163" t="s">
        <v>237</v>
      </c>
      <c r="W93" s="161" t="s">
        <v>125</v>
      </c>
      <c r="X93" s="161" t="s">
        <v>125</v>
      </c>
      <c r="Y93" s="161" t="s">
        <v>125</v>
      </c>
      <c r="Z93" s="161" t="s">
        <v>125</v>
      </c>
      <c r="AA93" s="161" t="s">
        <v>125</v>
      </c>
      <c r="AB93" s="161" t="s">
        <v>125</v>
      </c>
      <c r="AC93" s="161" t="s">
        <v>125</v>
      </c>
      <c r="AD93" s="161" t="s">
        <v>125</v>
      </c>
      <c r="AE93" s="161" t="s">
        <v>125</v>
      </c>
      <c r="AF93" s="161" t="s">
        <v>125</v>
      </c>
      <c r="AG93" s="168">
        <v>0.31136757162703599</v>
      </c>
      <c r="AH93" s="168">
        <v>0.32185182581266703</v>
      </c>
      <c r="AI93" s="168">
        <v>0.32806773898559199</v>
      </c>
      <c r="AJ93" s="168">
        <v>0.34773040176129799</v>
      </c>
      <c r="AK93" s="168">
        <v>0.37416249867651002</v>
      </c>
      <c r="AL93" s="168">
        <v>0.40476288369591101</v>
      </c>
      <c r="AM93" s="168">
        <v>0.42436491984607499</v>
      </c>
      <c r="AN93" s="168">
        <v>0.43201530758395401</v>
      </c>
      <c r="AO93" s="168">
        <v>0.44426010574636099</v>
      </c>
      <c r="AP93" s="168">
        <v>0.43948990912063302</v>
      </c>
      <c r="AQ93" s="168">
        <v>0.44326160165474598</v>
      </c>
      <c r="AR93" s="168">
        <v>0.448065282477913</v>
      </c>
      <c r="AS93" s="168">
        <v>0.44661206701143003</v>
      </c>
      <c r="AT93" s="168">
        <v>0.45015610677098</v>
      </c>
      <c r="AU93" s="168">
        <v>0.45167301991262199</v>
      </c>
      <c r="AV93" s="168">
        <v>0.45723319403379098</v>
      </c>
      <c r="AW93" s="168">
        <v>0.46328077451734301</v>
      </c>
      <c r="AX93" s="168">
        <v>0.47102810495080999</v>
      </c>
      <c r="AY93" s="168">
        <v>0.48627992331461301</v>
      </c>
      <c r="AZ93" s="168">
        <v>0.48027468521155198</v>
      </c>
      <c r="BA93" s="168">
        <v>0.48530059306916101</v>
      </c>
      <c r="BB93" s="168">
        <v>0.50303876740717901</v>
      </c>
      <c r="BC93" s="168">
        <v>0.49941526903872302</v>
      </c>
      <c r="BD93" s="168">
        <v>0.49290930065462102</v>
      </c>
    </row>
    <row r="94" spans="1:56">
      <c r="A94" s="163" t="s">
        <v>238</v>
      </c>
      <c r="B94" s="163" t="s">
        <v>239</v>
      </c>
      <c r="W94" s="161" t="s">
        <v>125</v>
      </c>
      <c r="X94" s="161" t="s">
        <v>125</v>
      </c>
      <c r="Y94" s="161" t="s">
        <v>125</v>
      </c>
      <c r="Z94" s="161" t="s">
        <v>125</v>
      </c>
      <c r="AA94" s="161" t="s">
        <v>125</v>
      </c>
      <c r="AB94" s="161" t="s">
        <v>125</v>
      </c>
      <c r="AC94" s="161" t="s">
        <v>125</v>
      </c>
      <c r="AD94" s="161" t="s">
        <v>125</v>
      </c>
      <c r="AE94" s="161" t="s">
        <v>125</v>
      </c>
      <c r="AF94" s="161" t="s">
        <v>125</v>
      </c>
      <c r="AG94" s="168">
        <v>120.09293551654299</v>
      </c>
      <c r="AH94" s="168">
        <v>120.35558413314099</v>
      </c>
      <c r="AI94" s="168">
        <v>99.522756871695094</v>
      </c>
      <c r="AJ94" s="168">
        <v>94.591414353960502</v>
      </c>
      <c r="AK94" s="168">
        <v>115.335972527327</v>
      </c>
      <c r="AL94" s="168">
        <v>121.656982100416</v>
      </c>
      <c r="AM94" s="168">
        <v>120.456066789101</v>
      </c>
      <c r="AN94" s="168">
        <v>102.859612319428</v>
      </c>
      <c r="AO94" s="168">
        <v>69.635656793107003</v>
      </c>
      <c r="AP94" s="168">
        <v>95.538914826015002</v>
      </c>
      <c r="AQ94" s="168">
        <v>153.88936456044101</v>
      </c>
      <c r="AR94" s="168">
        <v>132.432265302747</v>
      </c>
      <c r="AS94" s="168">
        <v>128.36351059070799</v>
      </c>
      <c r="AT94" s="168">
        <v>126.648490621542</v>
      </c>
      <c r="AU94" s="168">
        <v>144.12997645047099</v>
      </c>
      <c r="AV94" s="168">
        <v>199.20663046529799</v>
      </c>
      <c r="AW94" s="168">
        <v>221.10769633037199</v>
      </c>
      <c r="AX94" s="168">
        <v>220.18494076410801</v>
      </c>
      <c r="AY94" s="168">
        <v>271.751843899329</v>
      </c>
      <c r="AZ94" s="168">
        <v>188.16519469482299</v>
      </c>
      <c r="BA94" s="168">
        <v>244.03914521946899</v>
      </c>
      <c r="BB94" s="168">
        <v>294.57185994247402</v>
      </c>
      <c r="BC94" s="168">
        <v>318.35335530607301</v>
      </c>
      <c r="BD94" s="168">
        <v>301.40837231560499</v>
      </c>
    </row>
    <row r="95" spans="1:56">
      <c r="A95" s="163" t="s">
        <v>240</v>
      </c>
      <c r="B95" s="163" t="s">
        <v>241</v>
      </c>
      <c r="W95" s="161" t="s">
        <v>125</v>
      </c>
      <c r="X95" s="161" t="s">
        <v>125</v>
      </c>
      <c r="Y95" s="161" t="s">
        <v>125</v>
      </c>
      <c r="Z95" s="161" t="s">
        <v>125</v>
      </c>
      <c r="AA95" s="161" t="s">
        <v>125</v>
      </c>
      <c r="AB95" s="161" t="s">
        <v>125</v>
      </c>
      <c r="AC95" s="161" t="s">
        <v>125</v>
      </c>
      <c r="AD95" s="161" t="s">
        <v>125</v>
      </c>
      <c r="AE95" s="161" t="s">
        <v>125</v>
      </c>
      <c r="AF95" s="161" t="s">
        <v>125</v>
      </c>
      <c r="AG95" s="168" t="s">
        <v>125</v>
      </c>
      <c r="AH95" s="168" t="s">
        <v>125</v>
      </c>
      <c r="AI95" s="168">
        <v>0.921973769338575</v>
      </c>
      <c r="AJ95" s="168">
        <v>0.88808667997634505</v>
      </c>
      <c r="AK95" s="168">
        <v>0.96029062898450901</v>
      </c>
      <c r="AL95" s="168">
        <v>1.0329483090621401</v>
      </c>
      <c r="AM95" s="168">
        <v>1.10647840146888</v>
      </c>
      <c r="AN95" s="168">
        <v>1.13026123522574</v>
      </c>
      <c r="AO95" s="168">
        <v>1.2199848102908</v>
      </c>
      <c r="AP95" s="168">
        <v>1.2306950886221799</v>
      </c>
      <c r="AQ95" s="168">
        <v>1.50392089970363</v>
      </c>
      <c r="AR95" s="168">
        <v>1.6919073501750601</v>
      </c>
      <c r="AS95" s="168">
        <v>1.9353877202999099</v>
      </c>
      <c r="AT95" s="168">
        <v>2.3124993262090099</v>
      </c>
      <c r="AU95" s="168">
        <v>2.8089819273407701</v>
      </c>
      <c r="AV95" s="168">
        <v>2.9291796374562602</v>
      </c>
      <c r="AW95" s="168">
        <v>3.1656153982106199</v>
      </c>
      <c r="AX95" s="168">
        <v>3.3085276641026198</v>
      </c>
      <c r="AY95" s="168">
        <v>3.7668295034694799</v>
      </c>
      <c r="AZ95" s="168">
        <v>4.8409538478164</v>
      </c>
      <c r="BA95" s="168">
        <v>5.3366358395149902</v>
      </c>
      <c r="BB95" s="168">
        <v>5.9320870000000001</v>
      </c>
      <c r="BC95" s="168">
        <v>6.4594844174890902</v>
      </c>
      <c r="BD95" s="168">
        <v>6.9946217245486801</v>
      </c>
    </row>
    <row r="96" spans="1:56">
      <c r="A96" s="163" t="s">
        <v>242</v>
      </c>
      <c r="B96" s="163" t="s">
        <v>243</v>
      </c>
      <c r="W96" s="161" t="s">
        <v>125</v>
      </c>
      <c r="X96" s="161" t="s">
        <v>125</v>
      </c>
      <c r="Y96" s="161" t="s">
        <v>125</v>
      </c>
      <c r="Z96" s="161" t="s">
        <v>125</v>
      </c>
      <c r="AA96" s="161" t="s">
        <v>125</v>
      </c>
      <c r="AB96" s="161" t="s">
        <v>125</v>
      </c>
      <c r="AC96" s="161" t="s">
        <v>125</v>
      </c>
      <c r="AD96" s="161" t="s">
        <v>125</v>
      </c>
      <c r="AE96" s="161" t="s">
        <v>125</v>
      </c>
      <c r="AF96" s="161" t="s">
        <v>125</v>
      </c>
      <c r="AG96" s="168" t="s">
        <v>125</v>
      </c>
      <c r="AH96" s="168" t="s">
        <v>125</v>
      </c>
      <c r="AI96" s="168" t="s">
        <v>125</v>
      </c>
      <c r="AJ96" s="168">
        <v>0.17300225799999999</v>
      </c>
      <c r="AK96" s="168">
        <v>0.23659396099999999</v>
      </c>
      <c r="AL96" s="168">
        <v>0.304803245</v>
      </c>
      <c r="AM96" s="168">
        <v>0.37037281799999999</v>
      </c>
      <c r="AN96" s="168">
        <v>0.40078134700000001</v>
      </c>
      <c r="AO96" s="168">
        <v>0.429093161</v>
      </c>
      <c r="AP96" s="168">
        <v>0.44390864899999999</v>
      </c>
      <c r="AQ96" s="168">
        <v>0.45462543500000002</v>
      </c>
      <c r="AR96" s="168">
        <v>0.47638307800000002</v>
      </c>
      <c r="AS96" s="168">
        <v>0.47739502</v>
      </c>
      <c r="AT96" s="168">
        <v>0.480588403</v>
      </c>
      <c r="AU96" s="168">
        <v>0.48611439699999998</v>
      </c>
      <c r="AV96" s="168">
        <v>0.50198246599999996</v>
      </c>
      <c r="AW96" s="168">
        <v>0.51964732999999996</v>
      </c>
      <c r="AX96" s="168">
        <v>0.555390885</v>
      </c>
      <c r="AY96" s="168">
        <v>0.54881140299999998</v>
      </c>
      <c r="AZ96" s="168">
        <v>0.52245721300000003</v>
      </c>
      <c r="BA96" s="168">
        <v>0.52387661299999999</v>
      </c>
      <c r="BB96" s="168">
        <v>0.52407075999999997</v>
      </c>
      <c r="BC96" s="168">
        <v>0.54658986399999998</v>
      </c>
      <c r="BD96" s="168">
        <v>0.55560113300000002</v>
      </c>
    </row>
    <row r="97" spans="1:56">
      <c r="A97" s="163" t="s">
        <v>244</v>
      </c>
      <c r="B97" s="163" t="s">
        <v>245</v>
      </c>
      <c r="W97" s="161" t="s">
        <v>125</v>
      </c>
      <c r="X97" s="161" t="s">
        <v>125</v>
      </c>
      <c r="Y97" s="161" t="s">
        <v>125</v>
      </c>
      <c r="Z97" s="161" t="s">
        <v>125</v>
      </c>
      <c r="AA97" s="161" t="s">
        <v>125</v>
      </c>
      <c r="AB97" s="161" t="s">
        <v>125</v>
      </c>
      <c r="AC97" s="161" t="s">
        <v>125</v>
      </c>
      <c r="AD97" s="161" t="s">
        <v>125</v>
      </c>
      <c r="AE97" s="161" t="s">
        <v>125</v>
      </c>
      <c r="AF97" s="161" t="s">
        <v>125</v>
      </c>
      <c r="AG97" s="168">
        <v>1.2411047972328799</v>
      </c>
      <c r="AH97" s="168">
        <v>1.43037809390904</v>
      </c>
      <c r="AI97" s="168">
        <v>1.61570648666048</v>
      </c>
      <c r="AJ97" s="168">
        <v>1.78924867133549</v>
      </c>
      <c r="AK97" s="168">
        <v>1.8032998849065001</v>
      </c>
      <c r="AL97" s="168">
        <v>1.9909099300886599</v>
      </c>
      <c r="AM97" s="168">
        <v>1.95987377950566</v>
      </c>
      <c r="AN97" s="168">
        <v>1.93088715935875</v>
      </c>
      <c r="AO97" s="168">
        <v>1.9072891078644101</v>
      </c>
      <c r="AP97" s="168">
        <v>1.92223784572781</v>
      </c>
      <c r="AQ97" s="168">
        <v>2.0574203414557202</v>
      </c>
      <c r="AR97" s="168">
        <v>1.89557804170342</v>
      </c>
      <c r="AS97" s="168">
        <v>1.7992900570297701</v>
      </c>
      <c r="AT97" s="168">
        <v>1.9892595955488299</v>
      </c>
      <c r="AU97" s="168">
        <v>2.0119205577250701</v>
      </c>
      <c r="AV97" s="168">
        <v>2.1419042410632301</v>
      </c>
      <c r="AW97" s="168">
        <v>2.3180782667600699</v>
      </c>
      <c r="AX97" s="168">
        <v>2.6470218740549001</v>
      </c>
      <c r="AY97" s="168">
        <v>3.3833077243635299</v>
      </c>
      <c r="AZ97" s="168">
        <v>4.1681621560748701</v>
      </c>
      <c r="BA97" s="168">
        <v>4.1778036326283798</v>
      </c>
      <c r="BB97" s="168">
        <v>4.9193372030739999</v>
      </c>
      <c r="BC97" s="168">
        <v>6.4955220561583804</v>
      </c>
      <c r="BD97" s="168">
        <v>6.6937785649496702</v>
      </c>
    </row>
    <row r="98" spans="1:56">
      <c r="A98" s="163" t="s">
        <v>246</v>
      </c>
      <c r="B98" s="163" t="s">
        <v>247</v>
      </c>
      <c r="W98" s="161" t="s">
        <v>125</v>
      </c>
      <c r="X98" s="161" t="s">
        <v>125</v>
      </c>
      <c r="Y98" s="161" t="s">
        <v>125</v>
      </c>
      <c r="Z98" s="161" t="s">
        <v>125</v>
      </c>
      <c r="AA98" s="161" t="s">
        <v>125</v>
      </c>
      <c r="AB98" s="161" t="s">
        <v>125</v>
      </c>
      <c r="AC98" s="161" t="s">
        <v>125</v>
      </c>
      <c r="AD98" s="161" t="s">
        <v>125</v>
      </c>
      <c r="AE98" s="161" t="s">
        <v>125</v>
      </c>
      <c r="AF98" s="161" t="s">
        <v>125</v>
      </c>
      <c r="AG98" s="168" t="s">
        <v>125</v>
      </c>
      <c r="AH98" s="168" t="s">
        <v>125</v>
      </c>
      <c r="AI98" s="168" t="s">
        <v>125</v>
      </c>
      <c r="AJ98" s="168" t="s">
        <v>125</v>
      </c>
      <c r="AK98" s="168" t="s">
        <v>125</v>
      </c>
      <c r="AL98" s="168" t="s">
        <v>125</v>
      </c>
      <c r="AM98" s="168" t="s">
        <v>125</v>
      </c>
      <c r="AN98" s="168" t="s">
        <v>125</v>
      </c>
      <c r="AO98" s="168" t="s">
        <v>125</v>
      </c>
      <c r="AP98" s="168" t="s">
        <v>125</v>
      </c>
      <c r="AQ98" s="168" t="s">
        <v>125</v>
      </c>
      <c r="AR98" s="168" t="s">
        <v>125</v>
      </c>
      <c r="AS98" s="168" t="s">
        <v>125</v>
      </c>
      <c r="AT98" s="168" t="s">
        <v>125</v>
      </c>
      <c r="AU98" s="168" t="s">
        <v>125</v>
      </c>
      <c r="AV98" s="168" t="s">
        <v>125</v>
      </c>
      <c r="AW98" s="168" t="s">
        <v>125</v>
      </c>
      <c r="AX98" s="168" t="s">
        <v>125</v>
      </c>
      <c r="AY98" s="168" t="s">
        <v>125</v>
      </c>
      <c r="AZ98" s="168" t="s">
        <v>125</v>
      </c>
      <c r="BA98" s="168" t="s">
        <v>125</v>
      </c>
      <c r="BB98" s="168" t="s">
        <v>125</v>
      </c>
      <c r="BC98" s="168" t="s">
        <v>125</v>
      </c>
      <c r="BD98" s="168" t="s">
        <v>125</v>
      </c>
    </row>
    <row r="99" spans="1:56">
      <c r="A99" s="163" t="s">
        <v>248</v>
      </c>
      <c r="B99" s="163" t="s">
        <v>249</v>
      </c>
      <c r="W99" s="161" t="s">
        <v>125</v>
      </c>
      <c r="X99" s="161" t="s">
        <v>125</v>
      </c>
      <c r="Y99" s="161" t="s">
        <v>125</v>
      </c>
      <c r="Z99" s="161" t="s">
        <v>125</v>
      </c>
      <c r="AA99" s="161" t="s">
        <v>125</v>
      </c>
      <c r="AB99" s="161" t="s">
        <v>125</v>
      </c>
      <c r="AC99" s="161" t="s">
        <v>125</v>
      </c>
      <c r="AD99" s="161" t="s">
        <v>125</v>
      </c>
      <c r="AE99" s="161" t="s">
        <v>125</v>
      </c>
      <c r="AF99" s="161" t="s">
        <v>125</v>
      </c>
      <c r="AG99" s="168">
        <v>0.69144487132350096</v>
      </c>
      <c r="AH99" s="168">
        <v>0.70929204430336801</v>
      </c>
      <c r="AI99" s="168">
        <v>0.73692510846970605</v>
      </c>
      <c r="AJ99" s="168">
        <v>0.77188517171764803</v>
      </c>
      <c r="AK99" s="168">
        <v>0.76215672835474202</v>
      </c>
      <c r="AL99" s="168">
        <v>0.75522030534213103</v>
      </c>
      <c r="AM99" s="168">
        <v>0.76315351504901696</v>
      </c>
      <c r="AN99" s="168">
        <v>0.77620640763618498</v>
      </c>
      <c r="AO99" s="168">
        <v>0.82537220627755803</v>
      </c>
      <c r="AP99" s="168">
        <v>0.86917617982629003</v>
      </c>
      <c r="AQ99" s="168">
        <v>0.810206283553909</v>
      </c>
      <c r="AR99" s="168">
        <v>0.81868082575927403</v>
      </c>
      <c r="AS99" s="168">
        <v>0.83305188422969001</v>
      </c>
      <c r="AT99" s="168">
        <v>0.88103842191929704</v>
      </c>
      <c r="AU99" s="168">
        <v>0.87673258349080296</v>
      </c>
      <c r="AV99" s="168">
        <v>0.90740195314294103</v>
      </c>
      <c r="AW99" s="168">
        <v>0.913132776676717</v>
      </c>
      <c r="AX99" s="168">
        <v>0.91581180766137305</v>
      </c>
      <c r="AY99" s="168">
        <v>0.93803071829046802</v>
      </c>
      <c r="AZ99" s="168">
        <v>0.93249203691801297</v>
      </c>
      <c r="BA99" s="168">
        <v>0.99516260373532694</v>
      </c>
      <c r="BB99" s="168">
        <v>1.0423548039586099</v>
      </c>
      <c r="BC99" s="168">
        <v>1.0756789992493501</v>
      </c>
      <c r="BD99" s="168">
        <v>1.05912695730552</v>
      </c>
    </row>
    <row r="100" spans="1:56">
      <c r="A100" s="163" t="s">
        <v>250</v>
      </c>
      <c r="B100" s="163" t="s">
        <v>251</v>
      </c>
      <c r="W100" s="161" t="s">
        <v>125</v>
      </c>
      <c r="X100" s="161" t="s">
        <v>125</v>
      </c>
      <c r="Y100" s="161" t="s">
        <v>125</v>
      </c>
      <c r="Z100" s="161" t="s">
        <v>125</v>
      </c>
      <c r="AA100" s="161" t="s">
        <v>125</v>
      </c>
      <c r="AB100" s="161" t="s">
        <v>125</v>
      </c>
      <c r="AC100" s="161" t="s">
        <v>125</v>
      </c>
      <c r="AD100" s="161" t="s">
        <v>125</v>
      </c>
      <c r="AE100" s="161" t="s">
        <v>125</v>
      </c>
      <c r="AF100" s="161" t="s">
        <v>125</v>
      </c>
      <c r="AG100" s="168">
        <v>1.0184155880000001</v>
      </c>
      <c r="AH100" s="168">
        <v>1.000422935</v>
      </c>
      <c r="AI100" s="168">
        <v>0.98710599700000001</v>
      </c>
      <c r="AJ100" s="168">
        <v>0.98270992199999996</v>
      </c>
      <c r="AK100" s="168">
        <v>0.97797936699999999</v>
      </c>
      <c r="AL100" s="168">
        <v>1.001326634</v>
      </c>
      <c r="AM100" s="168">
        <v>1.0044063990000001</v>
      </c>
      <c r="AN100" s="168">
        <v>0.99751393399999999</v>
      </c>
      <c r="AO100" s="168">
        <v>1.0027973210000001</v>
      </c>
      <c r="AP100" s="168">
        <v>1.002842472</v>
      </c>
      <c r="AQ100" s="168">
        <v>0.99371970799999998</v>
      </c>
      <c r="AR100" s="168">
        <v>1.010709737</v>
      </c>
      <c r="AS100" s="168">
        <v>1.0032581439999999</v>
      </c>
      <c r="AT100" s="168">
        <v>1.010287567</v>
      </c>
      <c r="AU100" s="168">
        <v>0.97570826700000002</v>
      </c>
      <c r="AV100" s="168">
        <v>0.97723212800000003</v>
      </c>
      <c r="AW100" s="168">
        <v>0.94896112300000002</v>
      </c>
      <c r="AX100" s="168">
        <v>0.94141169800000002</v>
      </c>
      <c r="AY100" s="168">
        <v>0.91762873899999997</v>
      </c>
      <c r="AZ100" s="168">
        <v>0.89970167300000004</v>
      </c>
      <c r="BA100" s="168">
        <v>0.91081416500000001</v>
      </c>
      <c r="BB100" s="168">
        <v>0.90705717299999999</v>
      </c>
      <c r="BC100" s="168">
        <v>0.92547610999999996</v>
      </c>
      <c r="BD100" s="168">
        <v>0.92974217800000003</v>
      </c>
    </row>
    <row r="101" spans="1:56">
      <c r="A101" s="163" t="s">
        <v>87</v>
      </c>
      <c r="B101" s="163" t="s">
        <v>252</v>
      </c>
      <c r="W101" s="161" t="s">
        <v>125</v>
      </c>
      <c r="X101" s="161" t="s">
        <v>125</v>
      </c>
      <c r="Y101" s="161" t="s">
        <v>125</v>
      </c>
      <c r="Z101" s="161" t="s">
        <v>125</v>
      </c>
      <c r="AA101" s="161" t="s">
        <v>125</v>
      </c>
      <c r="AB101" s="161" t="s">
        <v>125</v>
      </c>
      <c r="AC101" s="161" t="s">
        <v>125</v>
      </c>
      <c r="AD101" s="161" t="s">
        <v>125</v>
      </c>
      <c r="AE101" s="161" t="s">
        <v>125</v>
      </c>
      <c r="AF101" s="161" t="s">
        <v>125</v>
      </c>
      <c r="AG101" s="168">
        <v>1.030172514</v>
      </c>
      <c r="AH101" s="168">
        <v>1.0234371040000001</v>
      </c>
      <c r="AI101" s="168">
        <v>1.019931623</v>
      </c>
      <c r="AJ101" s="168">
        <v>1.013640879</v>
      </c>
      <c r="AK101" s="168">
        <v>1.003678458</v>
      </c>
      <c r="AL101" s="168">
        <v>0.99531284799999997</v>
      </c>
      <c r="AM101" s="168">
        <v>0.98918318999999999</v>
      </c>
      <c r="AN101" s="168">
        <v>0.97429079200000002</v>
      </c>
      <c r="AO101" s="168">
        <v>0.96695170200000002</v>
      </c>
      <c r="AP101" s="168">
        <v>0.95987202800000004</v>
      </c>
      <c r="AQ101" s="168">
        <v>0.93796933299999996</v>
      </c>
      <c r="AR101" s="168">
        <v>0.91772498300000005</v>
      </c>
      <c r="AS101" s="168">
        <v>0.90497037700000005</v>
      </c>
      <c r="AT101" s="168">
        <v>0.93759612299999995</v>
      </c>
      <c r="AU101" s="168">
        <v>0.94039933099999995</v>
      </c>
      <c r="AV101" s="168">
        <v>0.92333379299999996</v>
      </c>
      <c r="AW101" s="168">
        <v>0.90177648700000002</v>
      </c>
      <c r="AX101" s="168">
        <v>0.89373259800000004</v>
      </c>
      <c r="AY101" s="168">
        <v>0.88223893900000006</v>
      </c>
      <c r="AZ101" s="168">
        <v>0.85765574499999997</v>
      </c>
      <c r="BA101" s="168">
        <v>0.85677111399999994</v>
      </c>
      <c r="BB101" s="168">
        <v>0.84461817900000002</v>
      </c>
      <c r="BC101" s="168">
        <v>0.857840143</v>
      </c>
      <c r="BD101" s="168">
        <v>0.845264982</v>
      </c>
    </row>
    <row r="102" spans="1:56">
      <c r="A102" s="163" t="s">
        <v>253</v>
      </c>
      <c r="B102" s="163" t="s">
        <v>254</v>
      </c>
      <c r="W102" s="161" t="s">
        <v>125</v>
      </c>
      <c r="X102" s="161" t="s">
        <v>125</v>
      </c>
      <c r="Y102" s="161" t="s">
        <v>125</v>
      </c>
      <c r="Z102" s="161" t="s">
        <v>125</v>
      </c>
      <c r="AA102" s="161" t="s">
        <v>125</v>
      </c>
      <c r="AB102" s="161" t="s">
        <v>125</v>
      </c>
      <c r="AC102" s="161" t="s">
        <v>125</v>
      </c>
      <c r="AD102" s="161" t="s">
        <v>125</v>
      </c>
      <c r="AE102" s="161" t="s">
        <v>125</v>
      </c>
      <c r="AF102" s="161" t="s">
        <v>125</v>
      </c>
      <c r="AG102" s="168" t="s">
        <v>125</v>
      </c>
      <c r="AH102" s="168" t="s">
        <v>125</v>
      </c>
      <c r="AI102" s="168" t="s">
        <v>125</v>
      </c>
      <c r="AJ102" s="168" t="s">
        <v>125</v>
      </c>
      <c r="AK102" s="168" t="s">
        <v>125</v>
      </c>
      <c r="AL102" s="168" t="s">
        <v>125</v>
      </c>
      <c r="AM102" s="168" t="s">
        <v>125</v>
      </c>
      <c r="AN102" s="168" t="s">
        <v>125</v>
      </c>
      <c r="AO102" s="168" t="s">
        <v>125</v>
      </c>
      <c r="AP102" s="168" t="s">
        <v>125</v>
      </c>
      <c r="AQ102" s="168" t="s">
        <v>125</v>
      </c>
      <c r="AR102" s="168" t="s">
        <v>125</v>
      </c>
      <c r="AS102" s="168" t="s">
        <v>125</v>
      </c>
      <c r="AT102" s="168" t="s">
        <v>125</v>
      </c>
      <c r="AU102" s="168" t="s">
        <v>125</v>
      </c>
      <c r="AV102" s="168" t="s">
        <v>125</v>
      </c>
      <c r="AW102" s="168" t="s">
        <v>125</v>
      </c>
      <c r="AX102" s="168" t="s">
        <v>125</v>
      </c>
      <c r="AY102" s="168" t="s">
        <v>125</v>
      </c>
      <c r="AZ102" s="168" t="s">
        <v>125</v>
      </c>
      <c r="BA102" s="168" t="s">
        <v>125</v>
      </c>
      <c r="BB102" s="168" t="s">
        <v>125</v>
      </c>
      <c r="BC102" s="168" t="s">
        <v>125</v>
      </c>
      <c r="BD102" s="168" t="s">
        <v>125</v>
      </c>
    </row>
    <row r="103" spans="1:56">
      <c r="A103" s="163" t="s">
        <v>255</v>
      </c>
      <c r="B103" s="163" t="s">
        <v>256</v>
      </c>
      <c r="W103" s="161" t="s">
        <v>125</v>
      </c>
      <c r="X103" s="161" t="s">
        <v>125</v>
      </c>
      <c r="Y103" s="161" t="s">
        <v>125</v>
      </c>
      <c r="Z103" s="161" t="s">
        <v>125</v>
      </c>
      <c r="AA103" s="161" t="s">
        <v>125</v>
      </c>
      <c r="AB103" s="161" t="s">
        <v>125</v>
      </c>
      <c r="AC103" s="161" t="s">
        <v>125</v>
      </c>
      <c r="AD103" s="161" t="s">
        <v>125</v>
      </c>
      <c r="AE103" s="161" t="s">
        <v>125</v>
      </c>
      <c r="AF103" s="161" t="s">
        <v>125</v>
      </c>
      <c r="AG103" s="168">
        <v>138.023855472078</v>
      </c>
      <c r="AH103" s="168">
        <v>118.39785193053901</v>
      </c>
      <c r="AI103" s="168">
        <v>116.00564343267401</v>
      </c>
      <c r="AJ103" s="168">
        <v>112.731832712433</v>
      </c>
      <c r="AK103" s="168">
        <v>161.76646000079</v>
      </c>
      <c r="AL103" s="168">
        <v>160.58295194122101</v>
      </c>
      <c r="AM103" s="168">
        <v>179.09144912758401</v>
      </c>
      <c r="AN103" s="168">
        <v>177.745463028101</v>
      </c>
      <c r="AO103" s="168">
        <v>144.56278619053401</v>
      </c>
      <c r="AP103" s="168">
        <v>169.880220139361</v>
      </c>
      <c r="AQ103" s="168">
        <v>212.76401562324901</v>
      </c>
      <c r="AR103" s="168">
        <v>194.99320422499599</v>
      </c>
      <c r="AS103" s="168">
        <v>191.581204414198</v>
      </c>
      <c r="AT103" s="168">
        <v>187.65824922247899</v>
      </c>
      <c r="AU103" s="168">
        <v>194.20677673007799</v>
      </c>
      <c r="AV103" s="168">
        <v>220.164468435244</v>
      </c>
      <c r="AW103" s="168">
        <v>230.52983805741201</v>
      </c>
      <c r="AX103" s="168">
        <v>236.36962106719801</v>
      </c>
      <c r="AY103" s="168">
        <v>290.74386072086799</v>
      </c>
      <c r="AZ103" s="168">
        <v>240.32652498586501</v>
      </c>
      <c r="BA103" s="168">
        <v>282.670637271663</v>
      </c>
      <c r="BB103" s="168">
        <v>318.15571447837101</v>
      </c>
      <c r="BC103" s="168">
        <v>304.13514284157998</v>
      </c>
      <c r="BD103" s="168">
        <v>296.81665836030299</v>
      </c>
    </row>
    <row r="104" spans="1:56">
      <c r="A104" s="163" t="s">
        <v>257</v>
      </c>
      <c r="B104" s="163" t="s">
        <v>258</v>
      </c>
      <c r="W104" s="161" t="s">
        <v>125</v>
      </c>
      <c r="X104" s="161" t="s">
        <v>125</v>
      </c>
      <c r="Y104" s="161" t="s">
        <v>125</v>
      </c>
      <c r="Z104" s="161" t="s">
        <v>125</v>
      </c>
      <c r="AA104" s="161" t="s">
        <v>125</v>
      </c>
      <c r="AB104" s="161" t="s">
        <v>125</v>
      </c>
      <c r="AC104" s="161" t="s">
        <v>125</v>
      </c>
      <c r="AD104" s="161" t="s">
        <v>125</v>
      </c>
      <c r="AE104" s="161" t="s">
        <v>125</v>
      </c>
      <c r="AF104" s="161" t="s">
        <v>125</v>
      </c>
      <c r="AG104" s="168">
        <v>2.7927222285537701</v>
      </c>
      <c r="AH104" s="168">
        <v>6.3255747831374203</v>
      </c>
      <c r="AI104" s="168">
        <v>6.3051413269938399</v>
      </c>
      <c r="AJ104" s="168">
        <v>6.4752739944946702</v>
      </c>
      <c r="AK104" s="168">
        <v>6.5798006492200498</v>
      </c>
      <c r="AL104" s="168">
        <v>6.7007965012656001</v>
      </c>
      <c r="AM104" s="168">
        <v>7.1313140268395996</v>
      </c>
      <c r="AN104" s="168">
        <v>6.5928366459492196</v>
      </c>
      <c r="AO104" s="168">
        <v>6.8750516346687798</v>
      </c>
      <c r="AP104" s="168">
        <v>6.6131660329074098</v>
      </c>
      <c r="AQ104" s="168">
        <v>6.6095949410575701</v>
      </c>
      <c r="AR104" s="168">
        <v>6.5782118468473998</v>
      </c>
      <c r="AS104" s="168">
        <v>7.15187726191881</v>
      </c>
      <c r="AT104" s="168">
        <v>7.9158468286433701</v>
      </c>
      <c r="AU104" s="168">
        <v>9.0025849850862496</v>
      </c>
      <c r="AV104" s="168">
        <v>9.0362800318124208</v>
      </c>
      <c r="AW104" s="168">
        <v>8.9361319552220309</v>
      </c>
      <c r="AX104" s="168">
        <v>9.0789038966002096</v>
      </c>
      <c r="AY104" s="168">
        <v>9.0840581368840105</v>
      </c>
      <c r="AZ104" s="168">
        <v>9.4815514731551005</v>
      </c>
      <c r="BA104" s="168">
        <v>9.7709651954013594</v>
      </c>
      <c r="BB104" s="168">
        <v>9.9387870969857595</v>
      </c>
      <c r="BC104" s="168">
        <v>10.2047215374375</v>
      </c>
      <c r="BD104" s="168">
        <v>10.523744581444801</v>
      </c>
    </row>
    <row r="105" spans="1:56">
      <c r="A105" s="163" t="s">
        <v>259</v>
      </c>
      <c r="B105" s="163" t="s">
        <v>260</v>
      </c>
      <c r="W105" s="161" t="s">
        <v>125</v>
      </c>
      <c r="X105" s="161" t="s">
        <v>125</v>
      </c>
      <c r="Y105" s="161" t="s">
        <v>125</v>
      </c>
      <c r="Z105" s="161" t="s">
        <v>125</v>
      </c>
      <c r="AA105" s="161" t="s">
        <v>125</v>
      </c>
      <c r="AB105" s="161" t="s">
        <v>125</v>
      </c>
      <c r="AC105" s="161" t="s">
        <v>125</v>
      </c>
      <c r="AD105" s="161" t="s">
        <v>125</v>
      </c>
      <c r="AE105" s="161" t="s">
        <v>125</v>
      </c>
      <c r="AF105" s="161" t="s">
        <v>125</v>
      </c>
      <c r="AG105" s="168">
        <v>5.9884888146850796E-7</v>
      </c>
      <c r="AH105" s="168">
        <v>9.3967363243250597E-7</v>
      </c>
      <c r="AI105" s="168">
        <v>1.29924534753583E-5</v>
      </c>
      <c r="AJ105" s="168">
        <v>1.9723874512702498E-3</v>
      </c>
      <c r="AK105" s="168">
        <v>0.118611073922856</v>
      </c>
      <c r="AL105" s="168">
        <v>0.30525351594514699</v>
      </c>
      <c r="AM105" s="168">
        <v>0.42878106541722399</v>
      </c>
      <c r="AN105" s="168">
        <v>0.44913024560075399</v>
      </c>
      <c r="AO105" s="168">
        <v>0.47512895867117499</v>
      </c>
      <c r="AP105" s="168">
        <v>0.51400233175180299</v>
      </c>
      <c r="AQ105" s="168">
        <v>0.52610163803084298</v>
      </c>
      <c r="AR105" s="168">
        <v>0.54197245286909801</v>
      </c>
      <c r="AS105" s="168">
        <v>0.56536765850694704</v>
      </c>
      <c r="AT105" s="168">
        <v>0.57327284165190495</v>
      </c>
      <c r="AU105" s="168">
        <v>0.60466624341416098</v>
      </c>
      <c r="AV105" s="168">
        <v>0.63231877071117404</v>
      </c>
      <c r="AW105" s="168">
        <v>0.66551145775806397</v>
      </c>
      <c r="AX105" s="168">
        <v>0.71114548117910303</v>
      </c>
      <c r="AY105" s="168">
        <v>0.765230641791661</v>
      </c>
      <c r="AZ105" s="168">
        <v>0.74413447908443997</v>
      </c>
      <c r="BA105" s="168">
        <v>0.79804849480985696</v>
      </c>
      <c r="BB105" s="168">
        <v>0.85881627589707499</v>
      </c>
      <c r="BC105" s="168">
        <v>0.85447157338911695</v>
      </c>
      <c r="BD105" s="168">
        <v>0.83631502759830001</v>
      </c>
    </row>
    <row r="106" spans="1:56">
      <c r="A106" s="163" t="s">
        <v>261</v>
      </c>
      <c r="B106" s="163" t="s">
        <v>262</v>
      </c>
      <c r="W106" s="161" t="s">
        <v>125</v>
      </c>
      <c r="X106" s="161" t="s">
        <v>125</v>
      </c>
      <c r="Y106" s="161" t="s">
        <v>125</v>
      </c>
      <c r="Z106" s="161" t="s">
        <v>125</v>
      </c>
      <c r="AA106" s="161" t="s">
        <v>125</v>
      </c>
      <c r="AB106" s="161" t="s">
        <v>125</v>
      </c>
      <c r="AC106" s="161" t="s">
        <v>125</v>
      </c>
      <c r="AD106" s="161" t="s">
        <v>125</v>
      </c>
      <c r="AE106" s="161" t="s">
        <v>125</v>
      </c>
      <c r="AF106" s="161" t="s">
        <v>125</v>
      </c>
      <c r="AG106" s="168">
        <v>0.96209799200000001</v>
      </c>
      <c r="AH106" s="168">
        <v>0.95985347499999996</v>
      </c>
      <c r="AI106" s="168">
        <v>0.98913366700000005</v>
      </c>
      <c r="AJ106" s="168">
        <v>1.0046351920000001</v>
      </c>
      <c r="AK106" s="168">
        <v>1.0082221469999999</v>
      </c>
      <c r="AL106" s="168">
        <v>1.007465893</v>
      </c>
      <c r="AM106" s="168">
        <v>0.99356754599999997</v>
      </c>
      <c r="AN106" s="168">
        <v>0.99031803100000004</v>
      </c>
      <c r="AO106" s="168">
        <v>0.98790020499999998</v>
      </c>
      <c r="AP106" s="168">
        <v>0.97489884000000004</v>
      </c>
      <c r="AQ106" s="168">
        <v>0.96580783100000001</v>
      </c>
      <c r="AR106" s="168">
        <v>0.95462599100000001</v>
      </c>
      <c r="AS106" s="168">
        <v>0.94187335900000002</v>
      </c>
      <c r="AT106" s="168">
        <v>0.91727974999999995</v>
      </c>
      <c r="AU106" s="168">
        <v>0.89698073899999997</v>
      </c>
      <c r="AV106" s="168">
        <v>0.86687540699999999</v>
      </c>
      <c r="AW106" s="168">
        <v>0.83656410000000003</v>
      </c>
      <c r="AX106" s="168">
        <v>0.831324854</v>
      </c>
      <c r="AY106" s="168">
        <v>0.81165069400000001</v>
      </c>
      <c r="AZ106" s="168">
        <v>0.80610996300000004</v>
      </c>
      <c r="BA106" s="168">
        <v>0.79638335400000004</v>
      </c>
      <c r="BB106" s="168">
        <v>0.77858677600000004</v>
      </c>
      <c r="BC106" s="168">
        <v>0.79201206000000002</v>
      </c>
      <c r="BD106" s="168">
        <v>0.78363148599999999</v>
      </c>
    </row>
    <row r="107" spans="1:56">
      <c r="A107" s="163" t="s">
        <v>263</v>
      </c>
      <c r="B107" s="163" t="s">
        <v>264</v>
      </c>
      <c r="W107" s="161" t="s">
        <v>125</v>
      </c>
      <c r="X107" s="161" t="s">
        <v>125</v>
      </c>
      <c r="Y107" s="161" t="s">
        <v>125</v>
      </c>
      <c r="Z107" s="161" t="s">
        <v>125</v>
      </c>
      <c r="AA107" s="161" t="s">
        <v>125</v>
      </c>
      <c r="AB107" s="161" t="s">
        <v>125</v>
      </c>
      <c r="AC107" s="161" t="s">
        <v>125</v>
      </c>
      <c r="AD107" s="161" t="s">
        <v>125</v>
      </c>
      <c r="AE107" s="161" t="s">
        <v>125</v>
      </c>
      <c r="AF107" s="161" t="s">
        <v>125</v>
      </c>
      <c r="AG107" s="168">
        <v>1.0716042775868E-2</v>
      </c>
      <c r="AH107" s="168">
        <v>1.2449593459837399E-2</v>
      </c>
      <c r="AI107" s="168">
        <v>1.3529207805822299E-2</v>
      </c>
      <c r="AJ107" s="168">
        <v>1.7411352340980801E-2</v>
      </c>
      <c r="AK107" s="168">
        <v>2.21849353292525E-2</v>
      </c>
      <c r="AL107" s="168">
        <v>3.1086061290348001E-2</v>
      </c>
      <c r="AM107" s="168">
        <v>4.2690367932845502E-2</v>
      </c>
      <c r="AN107" s="168">
        <v>5.0139268545771699E-2</v>
      </c>
      <c r="AO107" s="168">
        <v>5.8057461838576699E-2</v>
      </c>
      <c r="AP107" s="168">
        <v>6.5237100785913202E-2</v>
      </c>
      <c r="AQ107" s="168">
        <v>8.1157176931816705E-2</v>
      </c>
      <c r="AR107" s="168">
        <v>0.106963761605976</v>
      </c>
      <c r="AS107" s="168">
        <v>0.12938321112467499</v>
      </c>
      <c r="AT107" s="168">
        <v>0.16325934218226601</v>
      </c>
      <c r="AU107" s="168">
        <v>0.18170631082879499</v>
      </c>
      <c r="AV107" s="168">
        <v>0.20240442284172699</v>
      </c>
      <c r="AW107" s="168">
        <v>0.35493479574825199</v>
      </c>
      <c r="AX107" s="168">
        <v>0.40203652816478402</v>
      </c>
      <c r="AY107" s="168">
        <v>0.47399706931874802</v>
      </c>
      <c r="AZ107" s="168">
        <v>0.54854759291659205</v>
      </c>
      <c r="BA107" s="168">
        <v>0.63128791929949502</v>
      </c>
      <c r="BB107" s="168">
        <v>0.69939227708558005</v>
      </c>
      <c r="BC107" s="168">
        <v>0.79178955606189405</v>
      </c>
      <c r="BD107" s="168">
        <v>0.90776112237235496</v>
      </c>
    </row>
    <row r="108" spans="1:56">
      <c r="A108" s="163" t="s">
        <v>265</v>
      </c>
      <c r="B108" s="163" t="s">
        <v>266</v>
      </c>
      <c r="W108" s="161" t="s">
        <v>125</v>
      </c>
      <c r="X108" s="161" t="s">
        <v>125</v>
      </c>
      <c r="Y108" s="161" t="s">
        <v>125</v>
      </c>
      <c r="Z108" s="161" t="s">
        <v>125</v>
      </c>
      <c r="AA108" s="161" t="s">
        <v>125</v>
      </c>
      <c r="AB108" s="161" t="s">
        <v>125</v>
      </c>
      <c r="AC108" s="161" t="s">
        <v>125</v>
      </c>
      <c r="AD108" s="161" t="s">
        <v>125</v>
      </c>
      <c r="AE108" s="161" t="s">
        <v>125</v>
      </c>
      <c r="AF108" s="161" t="s">
        <v>125</v>
      </c>
      <c r="AG108" s="168">
        <v>0.33729125799999998</v>
      </c>
      <c r="AH108" s="168">
        <v>0.39102748900000001</v>
      </c>
      <c r="AI108" s="168">
        <v>0.43888644199999999</v>
      </c>
      <c r="AJ108" s="168">
        <v>0.49053845699999998</v>
      </c>
      <c r="AK108" s="168">
        <v>0.53402172299999995</v>
      </c>
      <c r="AL108" s="168">
        <v>0.57433173999999998</v>
      </c>
      <c r="AM108" s="168">
        <v>0.60535581299999996</v>
      </c>
      <c r="AN108" s="168">
        <v>0.62996045499999997</v>
      </c>
      <c r="AO108" s="168">
        <v>0.66194276399999996</v>
      </c>
      <c r="AP108" s="168">
        <v>0.68062835600000005</v>
      </c>
      <c r="AQ108" s="168">
        <v>0.67714508299999998</v>
      </c>
      <c r="AR108" s="168">
        <v>0.67030472200000002</v>
      </c>
      <c r="AS108" s="168">
        <v>0.65997207199999997</v>
      </c>
      <c r="AT108" s="168">
        <v>0.68856035400000004</v>
      </c>
      <c r="AU108" s="168">
        <v>0.69585823000000002</v>
      </c>
      <c r="AV108" s="168">
        <v>0.71403664099999997</v>
      </c>
      <c r="AW108" s="168">
        <v>0.69845783400000006</v>
      </c>
      <c r="AX108" s="168">
        <v>0.71924484300000002</v>
      </c>
      <c r="AY108" s="168">
        <v>0.70100999900000005</v>
      </c>
      <c r="AZ108" s="168">
        <v>0.694859958</v>
      </c>
      <c r="BA108" s="168">
        <v>0.70168652099999995</v>
      </c>
      <c r="BB108" s="168">
        <v>0.69317927599999996</v>
      </c>
      <c r="BC108" s="168">
        <v>0.68418975500000001</v>
      </c>
      <c r="BD108" s="168">
        <v>0.64332421299999998</v>
      </c>
    </row>
    <row r="109" spans="1:56">
      <c r="A109" s="163" t="s">
        <v>267</v>
      </c>
      <c r="B109" s="163" t="s">
        <v>268</v>
      </c>
      <c r="W109" s="161" t="s">
        <v>125</v>
      </c>
      <c r="X109" s="161" t="s">
        <v>125</v>
      </c>
      <c r="Y109" s="161" t="s">
        <v>125</v>
      </c>
      <c r="Z109" s="161" t="s">
        <v>125</v>
      </c>
      <c r="AA109" s="161" t="s">
        <v>125</v>
      </c>
      <c r="AB109" s="161" t="s">
        <v>125</v>
      </c>
      <c r="AC109" s="161" t="s">
        <v>125</v>
      </c>
      <c r="AD109" s="161" t="s">
        <v>125</v>
      </c>
      <c r="AE109" s="161" t="s">
        <v>125</v>
      </c>
      <c r="AF109" s="161" t="s">
        <v>125</v>
      </c>
      <c r="AG109" s="168" t="s">
        <v>125</v>
      </c>
      <c r="AH109" s="168" t="s">
        <v>125</v>
      </c>
      <c r="AI109" s="168" t="s">
        <v>125</v>
      </c>
      <c r="AJ109" s="168" t="s">
        <v>125</v>
      </c>
      <c r="AK109" s="168" t="s">
        <v>125</v>
      </c>
      <c r="AL109" s="168" t="s">
        <v>125</v>
      </c>
      <c r="AM109" s="168" t="s">
        <v>125</v>
      </c>
      <c r="AN109" s="168" t="s">
        <v>125</v>
      </c>
      <c r="AO109" s="168" t="s">
        <v>125</v>
      </c>
      <c r="AP109" s="168" t="s">
        <v>125</v>
      </c>
      <c r="AQ109" s="168" t="s">
        <v>125</v>
      </c>
      <c r="AR109" s="168" t="s">
        <v>125</v>
      </c>
      <c r="AS109" s="168" t="s">
        <v>125</v>
      </c>
      <c r="AT109" s="168" t="s">
        <v>125</v>
      </c>
      <c r="AU109" s="168" t="s">
        <v>125</v>
      </c>
      <c r="AV109" s="168" t="s">
        <v>125</v>
      </c>
      <c r="AW109" s="168" t="s">
        <v>125</v>
      </c>
      <c r="AX109" s="168" t="s">
        <v>125</v>
      </c>
      <c r="AY109" s="168" t="s">
        <v>125</v>
      </c>
      <c r="AZ109" s="168" t="s">
        <v>125</v>
      </c>
      <c r="BA109" s="168" t="s">
        <v>125</v>
      </c>
      <c r="BB109" s="168" t="s">
        <v>125</v>
      </c>
      <c r="BC109" s="168" t="s">
        <v>125</v>
      </c>
      <c r="BD109" s="168" t="s">
        <v>125</v>
      </c>
    </row>
    <row r="110" spans="1:56">
      <c r="A110" s="163" t="s">
        <v>269</v>
      </c>
      <c r="B110" s="163" t="s">
        <v>270</v>
      </c>
      <c r="W110" s="161" t="s">
        <v>125</v>
      </c>
      <c r="X110" s="161" t="s">
        <v>125</v>
      </c>
      <c r="Y110" s="161" t="s">
        <v>125</v>
      </c>
      <c r="Z110" s="161" t="s">
        <v>125</v>
      </c>
      <c r="AA110" s="161" t="s">
        <v>125</v>
      </c>
      <c r="AB110" s="161" t="s">
        <v>125</v>
      </c>
      <c r="AC110" s="161" t="s">
        <v>125</v>
      </c>
      <c r="AD110" s="161" t="s">
        <v>125</v>
      </c>
      <c r="AE110" s="161" t="s">
        <v>125</v>
      </c>
      <c r="AF110" s="161" t="s">
        <v>125</v>
      </c>
      <c r="AG110" s="168">
        <v>1.27814017588801</v>
      </c>
      <c r="AH110" s="168">
        <v>1.32135325050982</v>
      </c>
      <c r="AI110" s="168">
        <v>1.3458552057608599</v>
      </c>
      <c r="AJ110" s="168">
        <v>1.3466844674641001</v>
      </c>
      <c r="AK110" s="168">
        <v>1.34234476640598</v>
      </c>
      <c r="AL110" s="168">
        <v>1.35394073929695</v>
      </c>
      <c r="AM110" s="168">
        <v>1.36270096067586</v>
      </c>
      <c r="AN110" s="168">
        <v>1.32547231881825</v>
      </c>
      <c r="AO110" s="168">
        <v>1.37552192116643</v>
      </c>
      <c r="AP110" s="168">
        <v>1.37237150659469</v>
      </c>
      <c r="AQ110" s="168">
        <v>1.8043929383333299</v>
      </c>
      <c r="AR110" s="168">
        <v>1.8018046175028699</v>
      </c>
      <c r="AS110" s="168">
        <v>1.7811310038800501</v>
      </c>
      <c r="AT110" s="168">
        <v>1.74471065273371</v>
      </c>
      <c r="AU110" s="168">
        <v>1.72638290699951</v>
      </c>
      <c r="AV110" s="168">
        <v>1.7201860140932801</v>
      </c>
      <c r="AW110" s="168">
        <v>1.7466411208674</v>
      </c>
      <c r="AX110" s="168">
        <v>1.7416112421530301</v>
      </c>
      <c r="AY110" s="168">
        <v>1.84166155189373</v>
      </c>
      <c r="AZ110" s="168">
        <v>1.8283474863695099</v>
      </c>
      <c r="BA110" s="168">
        <v>1.81426645511919</v>
      </c>
      <c r="BB110" s="168">
        <v>1.7831217206841501</v>
      </c>
      <c r="BC110" s="168">
        <v>1.8371890940134501</v>
      </c>
      <c r="BD110" s="168">
        <v>1.8495373699464699</v>
      </c>
    </row>
    <row r="111" spans="1:56">
      <c r="A111" s="163" t="s">
        <v>271</v>
      </c>
      <c r="B111" s="163" t="s">
        <v>272</v>
      </c>
      <c r="W111" s="161" t="s">
        <v>125</v>
      </c>
      <c r="X111" s="161" t="s">
        <v>125</v>
      </c>
      <c r="Y111" s="161" t="s">
        <v>125</v>
      </c>
      <c r="Z111" s="161" t="s">
        <v>125</v>
      </c>
      <c r="AA111" s="161" t="s">
        <v>125</v>
      </c>
      <c r="AB111" s="161" t="s">
        <v>125</v>
      </c>
      <c r="AC111" s="161" t="s">
        <v>125</v>
      </c>
      <c r="AD111" s="161" t="s">
        <v>125</v>
      </c>
      <c r="AE111" s="161" t="s">
        <v>125</v>
      </c>
      <c r="AF111" s="161" t="s">
        <v>125</v>
      </c>
      <c r="AG111" s="168" t="s">
        <v>125</v>
      </c>
      <c r="AH111" s="168" t="s">
        <v>125</v>
      </c>
      <c r="AI111" s="168" t="s">
        <v>125</v>
      </c>
      <c r="AJ111" s="168" t="s">
        <v>125</v>
      </c>
      <c r="AK111" s="168" t="s">
        <v>125</v>
      </c>
      <c r="AL111" s="168" t="s">
        <v>125</v>
      </c>
      <c r="AM111" s="168" t="s">
        <v>125</v>
      </c>
      <c r="AN111" s="168" t="s">
        <v>125</v>
      </c>
      <c r="AO111" s="168" t="s">
        <v>125</v>
      </c>
      <c r="AP111" s="168" t="s">
        <v>125</v>
      </c>
      <c r="AQ111" s="168" t="s">
        <v>125</v>
      </c>
      <c r="AR111" s="168" t="s">
        <v>125</v>
      </c>
      <c r="AS111" s="168" t="s">
        <v>125</v>
      </c>
      <c r="AT111" s="168" t="s">
        <v>125</v>
      </c>
      <c r="AU111" s="168" t="s">
        <v>125</v>
      </c>
      <c r="AV111" s="168" t="s">
        <v>125</v>
      </c>
      <c r="AW111" s="168" t="s">
        <v>125</v>
      </c>
      <c r="AX111" s="168" t="s">
        <v>125</v>
      </c>
      <c r="AY111" s="168" t="s">
        <v>125</v>
      </c>
      <c r="AZ111" s="168" t="s">
        <v>125</v>
      </c>
      <c r="BA111" s="168" t="s">
        <v>125</v>
      </c>
      <c r="BB111" s="168" t="s">
        <v>125</v>
      </c>
      <c r="BC111" s="168" t="s">
        <v>125</v>
      </c>
      <c r="BD111" s="168" t="s">
        <v>125</v>
      </c>
    </row>
    <row r="112" spans="1:56">
      <c r="A112" s="163" t="s">
        <v>273</v>
      </c>
      <c r="B112" s="163" t="s">
        <v>274</v>
      </c>
      <c r="W112" s="161" t="s">
        <v>125</v>
      </c>
      <c r="X112" s="161" t="s">
        <v>125</v>
      </c>
      <c r="Y112" s="161" t="s">
        <v>125</v>
      </c>
      <c r="Z112" s="161" t="s">
        <v>125</v>
      </c>
      <c r="AA112" s="161" t="s">
        <v>125</v>
      </c>
      <c r="AB112" s="161" t="s">
        <v>125</v>
      </c>
      <c r="AC112" s="161" t="s">
        <v>125</v>
      </c>
      <c r="AD112" s="161" t="s">
        <v>125</v>
      </c>
      <c r="AE112" s="161" t="s">
        <v>125</v>
      </c>
      <c r="AF112" s="161" t="s">
        <v>125</v>
      </c>
      <c r="AG112" s="168">
        <v>1.12119771891751</v>
      </c>
      <c r="AH112" s="168">
        <v>1.44291981105404</v>
      </c>
      <c r="AI112" s="168">
        <v>1.5357606109959401</v>
      </c>
      <c r="AJ112" s="168">
        <v>1.71763653582091</v>
      </c>
      <c r="AK112" s="168">
        <v>1.8789830737465101</v>
      </c>
      <c r="AL112" s="168">
        <v>2.0001274107889602</v>
      </c>
      <c r="AM112" s="168">
        <v>2.1390717500923202</v>
      </c>
      <c r="AN112" s="168">
        <v>2.2767479348912798</v>
      </c>
      <c r="AO112" s="168">
        <v>2.4663406257957901</v>
      </c>
      <c r="AP112" s="168">
        <v>2.5542054605127298</v>
      </c>
      <c r="AQ112" s="168">
        <v>2.66803723876242</v>
      </c>
      <c r="AR112" s="168">
        <v>2.5017579934760699</v>
      </c>
      <c r="AS112" s="168">
        <v>2.6228061154369602</v>
      </c>
      <c r="AT112" s="168">
        <v>2.6860008477921902</v>
      </c>
      <c r="AU112" s="168">
        <v>2.7732095384433402</v>
      </c>
      <c r="AV112" s="168">
        <v>2.8384260630205298</v>
      </c>
      <c r="AW112" s="168">
        <v>2.8912932501058601</v>
      </c>
      <c r="AX112" s="168">
        <v>3.0175332941661801</v>
      </c>
      <c r="AY112" s="168">
        <v>3.2391335838956699</v>
      </c>
      <c r="AZ112" s="168">
        <v>3.3282878224360402</v>
      </c>
      <c r="BA112" s="168">
        <v>3.4575725274743401</v>
      </c>
      <c r="BB112" s="168">
        <v>3.6260744503998001</v>
      </c>
      <c r="BC112" s="168">
        <v>3.6821760978369098</v>
      </c>
      <c r="BD112" s="168">
        <v>3.7458304871474599</v>
      </c>
    </row>
    <row r="113" spans="1:56">
      <c r="A113" s="163" t="s">
        <v>275</v>
      </c>
      <c r="B113" s="163" t="s">
        <v>276</v>
      </c>
      <c r="W113" s="161" t="s">
        <v>125</v>
      </c>
      <c r="X113" s="161" t="s">
        <v>125</v>
      </c>
      <c r="Y113" s="161" t="s">
        <v>125</v>
      </c>
      <c r="Z113" s="161" t="s">
        <v>125</v>
      </c>
      <c r="AA113" s="161" t="s">
        <v>125</v>
      </c>
      <c r="AB113" s="161" t="s">
        <v>125</v>
      </c>
      <c r="AC113" s="161" t="s">
        <v>125</v>
      </c>
      <c r="AD113" s="161" t="s">
        <v>125</v>
      </c>
      <c r="AE113" s="161" t="s">
        <v>125</v>
      </c>
      <c r="AF113" s="161" t="s">
        <v>125</v>
      </c>
      <c r="AG113" s="168">
        <v>400.298773124886</v>
      </c>
      <c r="AH113" s="168">
        <v>487.43776389566301</v>
      </c>
      <c r="AI113" s="168">
        <v>601.52759761165305</v>
      </c>
      <c r="AJ113" s="168">
        <v>591.50386597274905</v>
      </c>
      <c r="AK113" s="168">
        <v>587.44508135382102</v>
      </c>
      <c r="AL113" s="168">
        <v>609.68788404779502</v>
      </c>
      <c r="AM113" s="168">
        <v>608.00904835715096</v>
      </c>
      <c r="AN113" s="168">
        <v>606.35419438282997</v>
      </c>
      <c r="AO113" s="168">
        <v>619.79007396536599</v>
      </c>
      <c r="AP113" s="168">
        <v>636.89712126089705</v>
      </c>
      <c r="AQ113" s="168">
        <v>661.98084072362803</v>
      </c>
      <c r="AR113" s="168">
        <v>658.49461731398401</v>
      </c>
      <c r="AS113" s="168">
        <v>651.33565393542096</v>
      </c>
      <c r="AT113" s="168">
        <v>740.17611263237802</v>
      </c>
      <c r="AU113" s="168">
        <v>839.45354674139401</v>
      </c>
      <c r="AV113" s="168">
        <v>1036.1534398466499</v>
      </c>
      <c r="AW113" s="168">
        <v>1383.06308491098</v>
      </c>
      <c r="AX113" s="168">
        <v>1522.28028746418</v>
      </c>
      <c r="AY113" s="168">
        <v>1703.77901820342</v>
      </c>
      <c r="AZ113" s="168">
        <v>1805.84463345875</v>
      </c>
      <c r="BA113" s="168">
        <v>2144.65723122294</v>
      </c>
      <c r="BB113" s="168">
        <v>2518.38636595046</v>
      </c>
      <c r="BC113" s="168">
        <v>2794.1939366619199</v>
      </c>
      <c r="BD113" s="168">
        <v>2943.0545676706101</v>
      </c>
    </row>
    <row r="114" spans="1:56">
      <c r="A114" s="163" t="s">
        <v>277</v>
      </c>
      <c r="B114" s="163" t="s">
        <v>278</v>
      </c>
      <c r="W114" s="161" t="s">
        <v>125</v>
      </c>
      <c r="X114" s="161" t="s">
        <v>125</v>
      </c>
      <c r="Y114" s="161" t="s">
        <v>125</v>
      </c>
      <c r="Z114" s="161" t="s">
        <v>125</v>
      </c>
      <c r="AA114" s="161" t="s">
        <v>125</v>
      </c>
      <c r="AB114" s="161" t="s">
        <v>125</v>
      </c>
      <c r="AC114" s="161" t="s">
        <v>125</v>
      </c>
      <c r="AD114" s="161" t="s">
        <v>125</v>
      </c>
      <c r="AE114" s="161" t="s">
        <v>125</v>
      </c>
      <c r="AF114" s="161" t="s">
        <v>125</v>
      </c>
      <c r="AG114" s="168">
        <v>8.3235034319201997</v>
      </c>
      <c r="AH114" s="168">
        <v>13.5248391811984</v>
      </c>
      <c r="AI114" s="168">
        <v>21.8159442492469</v>
      </c>
      <c r="AJ114" s="168">
        <v>31.7627164415747</v>
      </c>
      <c r="AK114" s="168">
        <v>38.331388474939502</v>
      </c>
      <c r="AL114" s="168">
        <v>54.343433387802797</v>
      </c>
      <c r="AM114" s="168">
        <v>74.307264350075997</v>
      </c>
      <c r="AN114" s="168">
        <v>97.997721823403097</v>
      </c>
      <c r="AO114" s="168">
        <v>104.774328684602</v>
      </c>
      <c r="AP114" s="168">
        <v>116.011146866441</v>
      </c>
      <c r="AQ114" s="168">
        <v>204.04736509540899</v>
      </c>
      <c r="AR114" s="168">
        <v>203.40251553893</v>
      </c>
      <c r="AS114" s="168">
        <v>197.62396858270401</v>
      </c>
      <c r="AT114" s="168">
        <v>194.50883260159199</v>
      </c>
      <c r="AU114" s="168">
        <v>194.70108184591101</v>
      </c>
      <c r="AV114" s="168">
        <v>196.762759437261</v>
      </c>
      <c r="AW114" s="168">
        <v>194.972633118619</v>
      </c>
      <c r="AX114" s="168">
        <v>196.01397937230001</v>
      </c>
      <c r="AY114" s="168">
        <v>212.37188810012501</v>
      </c>
      <c r="AZ114" s="168">
        <v>213.10789255391001</v>
      </c>
      <c r="BA114" s="168">
        <v>214.178475537873</v>
      </c>
      <c r="BB114" s="168">
        <v>220.08467123208399</v>
      </c>
      <c r="BC114" s="168">
        <v>201.78017142569601</v>
      </c>
      <c r="BD114" s="168">
        <v>200.33868722616799</v>
      </c>
    </row>
    <row r="115" spans="1:56">
      <c r="A115" s="163" t="s">
        <v>279</v>
      </c>
      <c r="B115" s="163" t="s">
        <v>280</v>
      </c>
      <c r="W115" s="161" t="s">
        <v>125</v>
      </c>
      <c r="X115" s="161" t="s">
        <v>125</v>
      </c>
      <c r="Y115" s="161" t="s">
        <v>125</v>
      </c>
      <c r="Z115" s="161" t="s">
        <v>125</v>
      </c>
      <c r="AA115" s="161" t="s">
        <v>125</v>
      </c>
      <c r="AB115" s="161" t="s">
        <v>125</v>
      </c>
      <c r="AC115" s="161" t="s">
        <v>125</v>
      </c>
      <c r="AD115" s="161" t="s">
        <v>125</v>
      </c>
      <c r="AE115" s="161" t="s">
        <v>125</v>
      </c>
      <c r="AF115" s="161" t="s">
        <v>125</v>
      </c>
      <c r="AG115" s="168">
        <v>10.3246194710583</v>
      </c>
      <c r="AH115" s="168">
        <v>22.656168518813299</v>
      </c>
      <c r="AI115" s="168">
        <v>25.1414197549547</v>
      </c>
      <c r="AJ115" s="168">
        <v>28.3633496005559</v>
      </c>
      <c r="AK115" s="168">
        <v>33.243252105043503</v>
      </c>
      <c r="AL115" s="168">
        <v>36.601905179108698</v>
      </c>
      <c r="AM115" s="168">
        <v>37.3832267129036</v>
      </c>
      <c r="AN115" s="168">
        <v>37.268588253592398</v>
      </c>
      <c r="AO115" s="168">
        <v>37.975065666561797</v>
      </c>
      <c r="AP115" s="168">
        <v>41.633692980376701</v>
      </c>
      <c r="AQ115" s="168">
        <v>43.395485037924402</v>
      </c>
      <c r="AR115" s="168">
        <v>41.6227391470686</v>
      </c>
      <c r="AS115" s="168">
        <v>42.843178620516603</v>
      </c>
      <c r="AT115" s="168">
        <v>44.308053897713499</v>
      </c>
      <c r="AU115" s="168">
        <v>45.236414180765699</v>
      </c>
      <c r="AV115" s="168">
        <v>47.292591350653602</v>
      </c>
      <c r="AW115" s="168">
        <v>77.285524245390107</v>
      </c>
      <c r="AX115" s="168">
        <v>94.2384086191027</v>
      </c>
      <c r="AY115" s="168">
        <v>100.77052934501999</v>
      </c>
      <c r="AZ115" s="168">
        <v>102.131009108745</v>
      </c>
      <c r="BA115" s="168">
        <v>107.673486519637</v>
      </c>
      <c r="BB115" s="168">
        <v>114.43470000000001</v>
      </c>
      <c r="BC115" s="168">
        <v>118.932151832287</v>
      </c>
      <c r="BD115" s="168">
        <v>120.596185815026</v>
      </c>
    </row>
    <row r="116" spans="1:56">
      <c r="A116" s="163" t="s">
        <v>281</v>
      </c>
      <c r="B116" s="163" t="s">
        <v>282</v>
      </c>
      <c r="W116" s="161" t="s">
        <v>125</v>
      </c>
      <c r="X116" s="161" t="s">
        <v>125</v>
      </c>
      <c r="Y116" s="161" t="s">
        <v>125</v>
      </c>
      <c r="Z116" s="161" t="s">
        <v>125</v>
      </c>
      <c r="AA116" s="161" t="s">
        <v>125</v>
      </c>
      <c r="AB116" s="161" t="s">
        <v>125</v>
      </c>
      <c r="AC116" s="161" t="s">
        <v>125</v>
      </c>
      <c r="AD116" s="161" t="s">
        <v>125</v>
      </c>
      <c r="AE116" s="161" t="s">
        <v>125</v>
      </c>
      <c r="AF116" s="161" t="s">
        <v>125</v>
      </c>
      <c r="AG116" s="168" t="s">
        <v>125</v>
      </c>
      <c r="AH116" s="168" t="s">
        <v>125</v>
      </c>
      <c r="AI116" s="168" t="s">
        <v>125</v>
      </c>
      <c r="AJ116" s="168" t="s">
        <v>125</v>
      </c>
      <c r="AK116" s="168" t="s">
        <v>125</v>
      </c>
      <c r="AL116" s="168" t="s">
        <v>125</v>
      </c>
      <c r="AM116" s="168" t="s">
        <v>125</v>
      </c>
      <c r="AN116" s="168" t="s">
        <v>125</v>
      </c>
      <c r="AO116" s="168">
        <v>5.7366811461700404</v>
      </c>
      <c r="AP116" s="168">
        <v>6.0544066089872004</v>
      </c>
      <c r="AQ116" s="168">
        <v>6.5740693279751099</v>
      </c>
      <c r="AR116" s="168">
        <v>7.1742996599124398</v>
      </c>
      <c r="AS116" s="168">
        <v>7.7726698405207904</v>
      </c>
      <c r="AT116" s="168">
        <v>9.6705925004744806</v>
      </c>
      <c r="AU116" s="168">
        <v>11.435479032348701</v>
      </c>
      <c r="AV116" s="168">
        <v>13.028790287177801</v>
      </c>
      <c r="AW116" s="168">
        <v>14.5060148997082</v>
      </c>
      <c r="AX116" s="168">
        <v>15.263734776926</v>
      </c>
      <c r="AY116" s="168">
        <v>16.901797232264499</v>
      </c>
      <c r="AZ116" s="168">
        <v>17.393678800124</v>
      </c>
      <c r="BA116" s="168">
        <v>18.122451439226701</v>
      </c>
      <c r="BB116" s="168">
        <v>19.108226960548901</v>
      </c>
      <c r="BC116" s="168">
        <v>19.7725241759398</v>
      </c>
      <c r="BD116" s="168">
        <v>20.7672577024248</v>
      </c>
    </row>
    <row r="117" spans="1:56">
      <c r="A117" s="163" t="s">
        <v>283</v>
      </c>
      <c r="B117" s="163" t="s">
        <v>284</v>
      </c>
      <c r="W117" s="161" t="s">
        <v>125</v>
      </c>
      <c r="X117" s="161" t="s">
        <v>125</v>
      </c>
      <c r="Y117" s="161" t="s">
        <v>125</v>
      </c>
      <c r="Z117" s="161" t="s">
        <v>125</v>
      </c>
      <c r="AA117" s="161" t="s">
        <v>125</v>
      </c>
      <c r="AB117" s="161" t="s">
        <v>125</v>
      </c>
      <c r="AC117" s="161" t="s">
        <v>125</v>
      </c>
      <c r="AD117" s="161" t="s">
        <v>125</v>
      </c>
      <c r="AE117" s="161" t="s">
        <v>125</v>
      </c>
      <c r="AF117" s="161" t="s">
        <v>125</v>
      </c>
      <c r="AG117" s="168">
        <v>1.23149419919272</v>
      </c>
      <c r="AH117" s="168">
        <v>1.50207082033628</v>
      </c>
      <c r="AI117" s="168">
        <v>1.60225430791497</v>
      </c>
      <c r="AJ117" s="168">
        <v>1.7779821406116401</v>
      </c>
      <c r="AK117" s="168">
        <v>2.2438171140111298</v>
      </c>
      <c r="AL117" s="168">
        <v>2.74480164941501</v>
      </c>
      <c r="AM117" s="168">
        <v>3.3135244986796</v>
      </c>
      <c r="AN117" s="168">
        <v>3.98360940619816</v>
      </c>
      <c r="AO117" s="168">
        <v>4.3991300265157403</v>
      </c>
      <c r="AP117" s="168">
        <v>4.8385798418165802</v>
      </c>
      <c r="AQ117" s="168">
        <v>6.1891756229089303</v>
      </c>
      <c r="AR117" s="168">
        <v>6.5397262434522903</v>
      </c>
      <c r="AS117" s="168">
        <v>6.77129388344426</v>
      </c>
      <c r="AT117" s="168">
        <v>7.0209842951454098</v>
      </c>
      <c r="AU117" s="168">
        <v>7.27457663211585</v>
      </c>
      <c r="AV117" s="168">
        <v>7.5615129807903996</v>
      </c>
      <c r="AW117" s="168">
        <v>7.7284073083640497</v>
      </c>
      <c r="AX117" s="168">
        <v>8.0274141597393491</v>
      </c>
      <c r="AY117" s="168">
        <v>8.4869879727433002</v>
      </c>
      <c r="AZ117" s="168">
        <v>9.0667866212177906</v>
      </c>
      <c r="BA117" s="168">
        <v>9.3772399518806697</v>
      </c>
      <c r="BB117" s="168">
        <v>9.9146433584958995</v>
      </c>
      <c r="BC117" s="168">
        <v>10.1383855605199</v>
      </c>
      <c r="BD117" s="168">
        <v>10.1567239121936</v>
      </c>
    </row>
    <row r="118" spans="1:56">
      <c r="A118" s="163" t="s">
        <v>285</v>
      </c>
      <c r="B118" s="163" t="s">
        <v>286</v>
      </c>
      <c r="W118" s="161" t="s">
        <v>125</v>
      </c>
      <c r="X118" s="161" t="s">
        <v>125</v>
      </c>
      <c r="Y118" s="161" t="s">
        <v>125</v>
      </c>
      <c r="Z118" s="161" t="s">
        <v>125</v>
      </c>
      <c r="AA118" s="161" t="s">
        <v>125</v>
      </c>
      <c r="AB118" s="161" t="s">
        <v>125</v>
      </c>
      <c r="AC118" s="161" t="s">
        <v>125</v>
      </c>
      <c r="AD118" s="161" t="s">
        <v>125</v>
      </c>
      <c r="AE118" s="161" t="s">
        <v>125</v>
      </c>
      <c r="AF118" s="161" t="s">
        <v>125</v>
      </c>
      <c r="AG118" s="168">
        <v>6.0106902999100003</v>
      </c>
      <c r="AH118" s="168">
        <v>6.3489248030696404</v>
      </c>
      <c r="AI118" s="168">
        <v>6.8218675374732296</v>
      </c>
      <c r="AJ118" s="168">
        <v>7.2371972691000304</v>
      </c>
      <c r="AK118" s="168">
        <v>7.5342914165601904</v>
      </c>
      <c r="AL118" s="168">
        <v>7.68585926948675</v>
      </c>
      <c r="AM118" s="168">
        <v>7.9921074835195798</v>
      </c>
      <c r="AN118" s="168">
        <v>8.3102834119874807</v>
      </c>
      <c r="AO118" s="168">
        <v>8.32139293511033</v>
      </c>
      <c r="AP118" s="168">
        <v>7.8682114636617202</v>
      </c>
      <c r="AQ118" s="168">
        <v>7.4322742059530604</v>
      </c>
      <c r="AR118" s="168">
        <v>7.1369080007383898</v>
      </c>
      <c r="AS118" s="168">
        <v>6.7897798330502503</v>
      </c>
      <c r="AT118" s="168">
        <v>6.2568333348990404</v>
      </c>
      <c r="AU118" s="168">
        <v>5.8712131915408703</v>
      </c>
      <c r="AV118" s="168">
        <v>5.6802154720690403</v>
      </c>
      <c r="AW118" s="168">
        <v>5.4813297766137401</v>
      </c>
      <c r="AX118" s="168">
        <v>5.5071489592547298</v>
      </c>
      <c r="AY118" s="168">
        <v>5.4708502538793899</v>
      </c>
      <c r="AZ118" s="168">
        <v>5.4086828627406698</v>
      </c>
      <c r="BA118" s="168">
        <v>5.3584601247188504</v>
      </c>
      <c r="BB118" s="168">
        <v>5.4615930242197503</v>
      </c>
      <c r="BC118" s="168">
        <v>5.5663339260962204</v>
      </c>
      <c r="BD118" s="168">
        <v>5.5579891395383196</v>
      </c>
    </row>
    <row r="119" spans="1:56">
      <c r="A119" s="163" t="s">
        <v>287</v>
      </c>
      <c r="B119" s="163" t="s">
        <v>288</v>
      </c>
      <c r="W119" s="161" t="s">
        <v>125</v>
      </c>
      <c r="X119" s="161" t="s">
        <v>125</v>
      </c>
      <c r="Y119" s="161" t="s">
        <v>125</v>
      </c>
      <c r="Z119" s="161" t="s">
        <v>125</v>
      </c>
      <c r="AA119" s="161" t="s">
        <v>125</v>
      </c>
      <c r="AB119" s="161" t="s">
        <v>125</v>
      </c>
      <c r="AC119" s="161" t="s">
        <v>125</v>
      </c>
      <c r="AD119" s="161" t="s">
        <v>125</v>
      </c>
      <c r="AE119" s="161" t="s">
        <v>125</v>
      </c>
      <c r="AF119" s="161" t="s">
        <v>125</v>
      </c>
      <c r="AG119" s="168">
        <v>22.547660173355801</v>
      </c>
      <c r="AH119" s="168">
        <v>30.215858059999999</v>
      </c>
      <c r="AI119" s="168">
        <v>35.896449439999998</v>
      </c>
      <c r="AJ119" s="168">
        <v>42.522706909999997</v>
      </c>
      <c r="AK119" s="168">
        <v>49.751723949999999</v>
      </c>
      <c r="AL119" s="168">
        <v>61.763368300000003</v>
      </c>
      <c r="AM119" s="168">
        <v>73.181602769999998</v>
      </c>
      <c r="AN119" s="168">
        <v>85.041767620000002</v>
      </c>
      <c r="AO119" s="168">
        <v>94.153043420000003</v>
      </c>
      <c r="AP119" s="168">
        <v>101.0722833</v>
      </c>
      <c r="AQ119" s="168">
        <v>107.75837559999999</v>
      </c>
      <c r="AR119" s="168">
        <v>110.5547677</v>
      </c>
      <c r="AS119" s="168">
        <v>114.8796873</v>
      </c>
      <c r="AT119" s="168">
        <v>120.4895147</v>
      </c>
      <c r="AU119" s="168">
        <v>126.3626448</v>
      </c>
      <c r="AV119" s="168">
        <v>128.59382339999999</v>
      </c>
      <c r="AW119" s="168">
        <v>128.35448650000001</v>
      </c>
      <c r="AX119" s="168">
        <v>131.44246390000001</v>
      </c>
      <c r="AY119" s="168">
        <v>129.42930519999999</v>
      </c>
      <c r="AZ119" s="168">
        <v>125.0821263</v>
      </c>
      <c r="BA119" s="168">
        <v>125.4467702</v>
      </c>
      <c r="BB119" s="168">
        <v>123.650109</v>
      </c>
      <c r="BC119" s="168">
        <v>127.415552003</v>
      </c>
      <c r="BD119" s="168">
        <v>128.42173215400001</v>
      </c>
    </row>
    <row r="120" spans="1:56">
      <c r="A120" s="163" t="s">
        <v>289</v>
      </c>
      <c r="B120" s="163" t="s">
        <v>290</v>
      </c>
      <c r="W120" s="161" t="s">
        <v>125</v>
      </c>
      <c r="X120" s="161" t="s">
        <v>125</v>
      </c>
      <c r="Y120" s="161" t="s">
        <v>125</v>
      </c>
      <c r="Z120" s="161" t="s">
        <v>125</v>
      </c>
      <c r="AA120" s="161" t="s">
        <v>125</v>
      </c>
      <c r="AB120" s="161" t="s">
        <v>125</v>
      </c>
      <c r="AC120" s="161" t="s">
        <v>125</v>
      </c>
      <c r="AD120" s="161" t="s">
        <v>125</v>
      </c>
      <c r="AE120" s="161" t="s">
        <v>125</v>
      </c>
      <c r="AF120" s="161" t="s">
        <v>125</v>
      </c>
      <c r="AG120" s="168">
        <v>68.452978830000006</v>
      </c>
      <c r="AH120" s="168">
        <v>71.791426079999994</v>
      </c>
      <c r="AI120" s="168">
        <v>72.611860750000005</v>
      </c>
      <c r="AJ120" s="168">
        <v>72.223235799999998</v>
      </c>
      <c r="AK120" s="168">
        <v>72.558853589999998</v>
      </c>
      <c r="AL120" s="168">
        <v>73.206768370000006</v>
      </c>
      <c r="AM120" s="168">
        <v>75.016704649999994</v>
      </c>
      <c r="AN120" s="168">
        <v>74.465879369999996</v>
      </c>
      <c r="AO120" s="168">
        <v>77.220229419999995</v>
      </c>
      <c r="AP120" s="168">
        <v>79.68467115</v>
      </c>
      <c r="AQ120" s="168">
        <v>84.21223492</v>
      </c>
      <c r="AR120" s="168">
        <v>88.852328709999995</v>
      </c>
      <c r="AS120" s="168">
        <v>91.341641850000002</v>
      </c>
      <c r="AT120" s="168">
        <v>94.463077889999994</v>
      </c>
      <c r="AU120" s="168">
        <v>94.289367159999998</v>
      </c>
      <c r="AV120" s="168">
        <v>99.078462569999999</v>
      </c>
      <c r="AW120" s="168">
        <v>107.07104630000001</v>
      </c>
      <c r="AX120" s="168">
        <v>113.1996305</v>
      </c>
      <c r="AY120" s="168">
        <v>117.4213003</v>
      </c>
      <c r="AZ120" s="168">
        <v>124.52328300000001</v>
      </c>
      <c r="BA120" s="168">
        <v>131.82987120000001</v>
      </c>
      <c r="BB120" s="168">
        <v>133.5632966</v>
      </c>
      <c r="BC120" s="168">
        <v>138.176950382</v>
      </c>
      <c r="BD120" s="168">
        <v>138.266902835</v>
      </c>
    </row>
    <row r="121" spans="1:56">
      <c r="A121" s="163" t="s">
        <v>67</v>
      </c>
      <c r="B121" s="163" t="s">
        <v>291</v>
      </c>
      <c r="W121" s="161" t="s">
        <v>125</v>
      </c>
      <c r="X121" s="161" t="s">
        <v>125</v>
      </c>
      <c r="Y121" s="161" t="s">
        <v>125</v>
      </c>
      <c r="Z121" s="161" t="s">
        <v>125</v>
      </c>
      <c r="AA121" s="161" t="s">
        <v>125</v>
      </c>
      <c r="AB121" s="161" t="s">
        <v>125</v>
      </c>
      <c r="AC121" s="161" t="s">
        <v>125</v>
      </c>
      <c r="AD121" s="161" t="s">
        <v>125</v>
      </c>
      <c r="AE121" s="161" t="s">
        <v>125</v>
      </c>
      <c r="AF121" s="161" t="s">
        <v>125</v>
      </c>
      <c r="AG121" s="168">
        <v>5.7470433704228601</v>
      </c>
      <c r="AH121" s="168">
        <v>6.3269244169582199</v>
      </c>
      <c r="AI121" s="168">
        <v>6.7404322877188099</v>
      </c>
      <c r="AJ121" s="168">
        <v>7.2330279895103997</v>
      </c>
      <c r="AK121" s="168">
        <v>7.7890744189473304</v>
      </c>
      <c r="AL121" s="168">
        <v>8.3213914660992305</v>
      </c>
      <c r="AM121" s="168">
        <v>8.7911800461758904</v>
      </c>
      <c r="AN121" s="168">
        <v>9.2030600948763901</v>
      </c>
      <c r="AO121" s="168">
        <v>9.8335702682952402</v>
      </c>
      <c r="AP121" s="168">
        <v>9.9925966779022897</v>
      </c>
      <c r="AQ121" s="168">
        <v>10.126723515369999</v>
      </c>
      <c r="AR121" s="168">
        <v>10.218247013082699</v>
      </c>
      <c r="AS121" s="168">
        <v>10.4375364065773</v>
      </c>
      <c r="AT121" s="168">
        <v>10.628834037457899</v>
      </c>
      <c r="AU121" s="168">
        <v>10.9375548263505</v>
      </c>
      <c r="AV121" s="168">
        <v>11.046660827210101</v>
      </c>
      <c r="AW121" s="168">
        <v>11.405521632726501</v>
      </c>
      <c r="AX121" s="168">
        <v>11.7502144746112</v>
      </c>
      <c r="AY121" s="168">
        <v>12.5236833523035</v>
      </c>
      <c r="AZ121" s="168">
        <v>13.1816409672722</v>
      </c>
      <c r="BA121" s="168">
        <v>14.194040484058201</v>
      </c>
      <c r="BB121" s="168">
        <v>15.1094346163569</v>
      </c>
      <c r="BC121" s="168">
        <v>15.914928008324701</v>
      </c>
      <c r="BD121" s="168">
        <v>16.761639466907301</v>
      </c>
    </row>
    <row r="122" spans="1:56">
      <c r="A122" s="163" t="s">
        <v>76</v>
      </c>
      <c r="B122" s="163" t="s">
        <v>292</v>
      </c>
      <c r="W122" s="161" t="s">
        <v>125</v>
      </c>
      <c r="X122" s="161" t="s">
        <v>125</v>
      </c>
      <c r="Y122" s="161" t="s">
        <v>125</v>
      </c>
      <c r="Z122" s="161" t="s">
        <v>125</v>
      </c>
      <c r="AA122" s="161" t="s">
        <v>125</v>
      </c>
      <c r="AB122" s="161" t="s">
        <v>125</v>
      </c>
      <c r="AC122" s="161" t="s">
        <v>125</v>
      </c>
      <c r="AD122" s="161" t="s">
        <v>125</v>
      </c>
      <c r="AE122" s="161" t="s">
        <v>125</v>
      </c>
      <c r="AF122" s="161" t="s">
        <v>125</v>
      </c>
      <c r="AG122" s="168">
        <v>424.28277880466698</v>
      </c>
      <c r="AH122" s="168">
        <v>446.87370206110398</v>
      </c>
      <c r="AI122" s="168">
        <v>460.34753738288202</v>
      </c>
      <c r="AJ122" s="168">
        <v>489.57598916549898</v>
      </c>
      <c r="AK122" s="168">
        <v>516.64889955906904</v>
      </c>
      <c r="AL122" s="168">
        <v>555.19935763340004</v>
      </c>
      <c r="AM122" s="168">
        <v>593.51474070913605</v>
      </c>
      <c r="AN122" s="168">
        <v>656.88822176532005</v>
      </c>
      <c r="AO122" s="168">
        <v>1138.98124051114</v>
      </c>
      <c r="AP122" s="168">
        <v>1281.96652777535</v>
      </c>
      <c r="AQ122" s="168">
        <v>1509.7905148749401</v>
      </c>
      <c r="AR122" s="168">
        <v>1686.97512317511</v>
      </c>
      <c r="AS122" s="168">
        <v>1759.4041727241199</v>
      </c>
      <c r="AT122" s="168">
        <v>1819.58779319111</v>
      </c>
      <c r="AU122" s="168">
        <v>1922.4763227306601</v>
      </c>
      <c r="AV122" s="168">
        <v>2129.69382691593</v>
      </c>
      <c r="AW122" s="168">
        <v>2357.2479693792402</v>
      </c>
      <c r="AX122" s="168">
        <v>2554.8382077249498</v>
      </c>
      <c r="AY122" s="168">
        <v>2960.6983136426402</v>
      </c>
      <c r="AZ122" s="168">
        <v>3181.2034779723799</v>
      </c>
      <c r="BA122" s="168">
        <v>3402.69328039219</v>
      </c>
      <c r="BB122" s="168">
        <v>3606.5660840332198</v>
      </c>
      <c r="BC122" s="168">
        <v>3699.9504719781899</v>
      </c>
      <c r="BD122" s="168">
        <v>3803.3510392180101</v>
      </c>
    </row>
    <row r="123" spans="1:56">
      <c r="A123" s="163" t="s">
        <v>293</v>
      </c>
      <c r="B123" s="163" t="s">
        <v>294</v>
      </c>
      <c r="W123" s="161" t="s">
        <v>125</v>
      </c>
      <c r="X123" s="161" t="s">
        <v>125</v>
      </c>
      <c r="Y123" s="161" t="s">
        <v>125</v>
      </c>
      <c r="Z123" s="161" t="s">
        <v>125</v>
      </c>
      <c r="AA123" s="161" t="s">
        <v>125</v>
      </c>
      <c r="AB123" s="161" t="s">
        <v>125</v>
      </c>
      <c r="AC123" s="161" t="s">
        <v>125</v>
      </c>
      <c r="AD123" s="161" t="s">
        <v>125</v>
      </c>
      <c r="AE123" s="161" t="s">
        <v>125</v>
      </c>
      <c r="AF123" s="161" t="s">
        <v>125</v>
      </c>
      <c r="AG123" s="168">
        <v>111.454762514702</v>
      </c>
      <c r="AH123" s="168">
        <v>135.01770705478199</v>
      </c>
      <c r="AI123" s="168">
        <v>169.07037063023799</v>
      </c>
      <c r="AJ123" s="168">
        <v>252.59729398303901</v>
      </c>
      <c r="AK123" s="168">
        <v>323.91130386008399</v>
      </c>
      <c r="AL123" s="168">
        <v>440.15907992276999</v>
      </c>
      <c r="AM123" s="168">
        <v>539.10434566758397</v>
      </c>
      <c r="AN123" s="168">
        <v>604.19561137966696</v>
      </c>
      <c r="AO123" s="168">
        <v>654.23360978604296</v>
      </c>
      <c r="AP123" s="168">
        <v>839.444506825904</v>
      </c>
      <c r="AQ123" s="168">
        <v>1037.8312836206001</v>
      </c>
      <c r="AR123" s="168">
        <v>1132.5402291200801</v>
      </c>
      <c r="AS123" s="168">
        <v>1430.85414637807</v>
      </c>
      <c r="AT123" s="168">
        <v>1568.4051263384199</v>
      </c>
      <c r="AU123" s="168">
        <v>1840.9078423179001</v>
      </c>
      <c r="AV123" s="168">
        <v>2087.04617880252</v>
      </c>
      <c r="AW123" s="168">
        <v>2270.7138416409898</v>
      </c>
      <c r="AX123" s="168">
        <v>2664.6385675564202</v>
      </c>
      <c r="AY123" s="168">
        <v>3285.0994982161601</v>
      </c>
      <c r="AZ123" s="168">
        <v>3342.8999496945398</v>
      </c>
      <c r="BA123" s="168">
        <v>3778.09821802838</v>
      </c>
      <c r="BB123" s="168">
        <v>4657.4631719746403</v>
      </c>
      <c r="BC123" s="168">
        <v>4848.9792673993697</v>
      </c>
      <c r="BD123" s="168">
        <v>5627.5943962725696</v>
      </c>
    </row>
    <row r="124" spans="1:56">
      <c r="A124" s="163" t="s">
        <v>295</v>
      </c>
      <c r="B124" s="163" t="s">
        <v>296</v>
      </c>
      <c r="W124" s="161" t="s">
        <v>125</v>
      </c>
      <c r="X124" s="161" t="s">
        <v>125</v>
      </c>
      <c r="Y124" s="161" t="s">
        <v>125</v>
      </c>
      <c r="Z124" s="161" t="s">
        <v>125</v>
      </c>
      <c r="AA124" s="161" t="s">
        <v>125</v>
      </c>
      <c r="AB124" s="161" t="s">
        <v>125</v>
      </c>
      <c r="AC124" s="161" t="s">
        <v>125</v>
      </c>
      <c r="AD124" s="161" t="s">
        <v>125</v>
      </c>
      <c r="AE124" s="161" t="s">
        <v>125</v>
      </c>
      <c r="AF124" s="161" t="s">
        <v>125</v>
      </c>
      <c r="AG124" s="168" t="s">
        <v>125</v>
      </c>
      <c r="AH124" s="168" t="s">
        <v>125</v>
      </c>
      <c r="AI124" s="168" t="s">
        <v>125</v>
      </c>
      <c r="AJ124" s="168" t="s">
        <v>125</v>
      </c>
      <c r="AK124" s="168" t="s">
        <v>125</v>
      </c>
      <c r="AL124" s="168" t="s">
        <v>125</v>
      </c>
      <c r="AM124" s="168" t="s">
        <v>125</v>
      </c>
      <c r="AN124" s="168" t="s">
        <v>125</v>
      </c>
      <c r="AO124" s="168" t="s">
        <v>125</v>
      </c>
      <c r="AP124" s="168" t="s">
        <v>125</v>
      </c>
      <c r="AQ124" s="168">
        <v>221.33519916271399</v>
      </c>
      <c r="AR124" s="168">
        <v>174.018457270509</v>
      </c>
      <c r="AS124" s="168">
        <v>182.787743918394</v>
      </c>
      <c r="AT124" s="168">
        <v>193.19220255362899</v>
      </c>
      <c r="AU124" s="168">
        <v>219.480743305667</v>
      </c>
      <c r="AV124" s="168">
        <v>281.36377145231103</v>
      </c>
      <c r="AW124" s="168">
        <v>322.12099262838501</v>
      </c>
      <c r="AX124" s="168">
        <v>360.91190878931502</v>
      </c>
      <c r="AY124" s="168">
        <v>467.81575478417</v>
      </c>
      <c r="AZ124" s="168">
        <v>365.03471838439401</v>
      </c>
      <c r="BA124" s="168">
        <v>431.53009881088002</v>
      </c>
      <c r="BB124" s="168">
        <v>516.52125022050802</v>
      </c>
      <c r="BC124" s="168">
        <v>523.25948402995095</v>
      </c>
      <c r="BD124" s="168">
        <v>512.03301707771902</v>
      </c>
    </row>
    <row r="125" spans="1:56">
      <c r="A125" s="163" t="s">
        <v>297</v>
      </c>
      <c r="B125" s="163" t="s">
        <v>298</v>
      </c>
      <c r="W125" s="161" t="s">
        <v>125</v>
      </c>
      <c r="X125" s="161" t="s">
        <v>125</v>
      </c>
      <c r="Y125" s="161" t="s">
        <v>125</v>
      </c>
      <c r="Z125" s="161" t="s">
        <v>125</v>
      </c>
      <c r="AA125" s="161" t="s">
        <v>125</v>
      </c>
      <c r="AB125" s="161" t="s">
        <v>125</v>
      </c>
      <c r="AC125" s="161" t="s">
        <v>125</v>
      </c>
      <c r="AD125" s="161" t="s">
        <v>125</v>
      </c>
      <c r="AE125" s="161" t="s">
        <v>125</v>
      </c>
      <c r="AF125" s="161" t="s">
        <v>125</v>
      </c>
      <c r="AG125" s="168">
        <v>0.80632963999999996</v>
      </c>
      <c r="AH125" s="168">
        <v>0.79443099699999997</v>
      </c>
      <c r="AI125" s="168">
        <v>0.79856153799999996</v>
      </c>
      <c r="AJ125" s="168">
        <v>0.82037000000000004</v>
      </c>
      <c r="AK125" s="168">
        <v>0.816881737</v>
      </c>
      <c r="AL125" s="168">
        <v>0.82446756899999996</v>
      </c>
      <c r="AM125" s="168">
        <v>0.82803502900000003</v>
      </c>
      <c r="AN125" s="168">
        <v>0.85357497000000004</v>
      </c>
      <c r="AO125" s="168">
        <v>0.88187483099999997</v>
      </c>
      <c r="AP125" s="168">
        <v>0.92985509899999996</v>
      </c>
      <c r="AQ125" s="168">
        <v>0.96075379100000002</v>
      </c>
      <c r="AR125" s="168">
        <v>0.99212363400000003</v>
      </c>
      <c r="AS125" s="168">
        <v>1.0038981330000001</v>
      </c>
      <c r="AT125" s="168">
        <v>1.0138854450000001</v>
      </c>
      <c r="AU125" s="168">
        <v>1.006475303</v>
      </c>
      <c r="AV125" s="168">
        <v>1.010233744</v>
      </c>
      <c r="AW125" s="168">
        <v>0.98316089200000001</v>
      </c>
      <c r="AX125" s="168">
        <v>0.95925356699999997</v>
      </c>
      <c r="AY125" s="168">
        <v>0.95153103500000003</v>
      </c>
      <c r="AZ125" s="168">
        <v>0.88868024000000001</v>
      </c>
      <c r="BA125" s="168">
        <v>0.84296502900000003</v>
      </c>
      <c r="BB125" s="168">
        <v>0.82724978699999996</v>
      </c>
      <c r="BC125" s="168">
        <v>0.831730419</v>
      </c>
      <c r="BD125" s="168">
        <v>0.82439169199999995</v>
      </c>
    </row>
    <row r="126" spans="1:56">
      <c r="A126" s="163" t="s">
        <v>299</v>
      </c>
      <c r="B126" s="163" t="s">
        <v>567</v>
      </c>
      <c r="W126" s="161" t="s">
        <v>125</v>
      </c>
      <c r="X126" s="161" t="s">
        <v>125</v>
      </c>
      <c r="Y126" s="161" t="s">
        <v>125</v>
      </c>
      <c r="Z126" s="161" t="s">
        <v>125</v>
      </c>
      <c r="AA126" s="161" t="s">
        <v>125</v>
      </c>
      <c r="AB126" s="161" t="s">
        <v>125</v>
      </c>
      <c r="AC126" s="161" t="s">
        <v>125</v>
      </c>
      <c r="AD126" s="161" t="s">
        <v>125</v>
      </c>
      <c r="AE126" s="161" t="s">
        <v>125</v>
      </c>
      <c r="AF126" s="161" t="s">
        <v>125</v>
      </c>
      <c r="AG126" s="168" t="s">
        <v>125</v>
      </c>
      <c r="AH126" s="168" t="s">
        <v>125</v>
      </c>
      <c r="AI126" s="168" t="s">
        <v>125</v>
      </c>
      <c r="AJ126" s="168" t="s">
        <v>125</v>
      </c>
      <c r="AK126" s="168" t="s">
        <v>125</v>
      </c>
      <c r="AL126" s="168" t="s">
        <v>125</v>
      </c>
      <c r="AM126" s="168" t="s">
        <v>125</v>
      </c>
      <c r="AN126" s="168" t="s">
        <v>125</v>
      </c>
      <c r="AO126" s="168" t="s">
        <v>125</v>
      </c>
      <c r="AP126" s="168" t="s">
        <v>125</v>
      </c>
      <c r="AQ126" s="168" t="s">
        <v>125</v>
      </c>
      <c r="AR126" s="168" t="s">
        <v>125</v>
      </c>
      <c r="AS126" s="168" t="s">
        <v>125</v>
      </c>
      <c r="AT126" s="168" t="s">
        <v>125</v>
      </c>
      <c r="AU126" s="168" t="s">
        <v>125</v>
      </c>
      <c r="AV126" s="168" t="s">
        <v>125</v>
      </c>
      <c r="AW126" s="168" t="s">
        <v>125</v>
      </c>
      <c r="AX126" s="168" t="s">
        <v>125</v>
      </c>
      <c r="AY126" s="168" t="s">
        <v>125</v>
      </c>
      <c r="AZ126" s="168" t="s">
        <v>125</v>
      </c>
      <c r="BA126" s="168" t="s">
        <v>125</v>
      </c>
      <c r="BB126" s="168" t="s">
        <v>125</v>
      </c>
      <c r="BC126" s="168" t="s">
        <v>125</v>
      </c>
      <c r="BD126" s="168" t="s">
        <v>125</v>
      </c>
    </row>
    <row r="127" spans="1:56">
      <c r="A127" s="163" t="s">
        <v>301</v>
      </c>
      <c r="B127" s="163" t="s">
        <v>302</v>
      </c>
      <c r="W127" s="161" t="s">
        <v>125</v>
      </c>
      <c r="X127" s="161" t="s">
        <v>125</v>
      </c>
      <c r="Y127" s="161" t="s">
        <v>125</v>
      </c>
      <c r="Z127" s="161" t="s">
        <v>125</v>
      </c>
      <c r="AA127" s="161" t="s">
        <v>125</v>
      </c>
      <c r="AB127" s="161" t="s">
        <v>125</v>
      </c>
      <c r="AC127" s="161" t="s">
        <v>125</v>
      </c>
      <c r="AD127" s="161" t="s">
        <v>125</v>
      </c>
      <c r="AE127" s="161" t="s">
        <v>125</v>
      </c>
      <c r="AF127" s="161" t="s">
        <v>125</v>
      </c>
      <c r="AG127" s="168">
        <v>1.6930427850000001</v>
      </c>
      <c r="AH127" s="168">
        <v>1.968377534</v>
      </c>
      <c r="AI127" s="168">
        <v>2.1565485280000001</v>
      </c>
      <c r="AJ127" s="168">
        <v>2.3400272919999998</v>
      </c>
      <c r="AK127" s="168">
        <v>2.5785268540000001</v>
      </c>
      <c r="AL127" s="168">
        <v>2.7549123629999999</v>
      </c>
      <c r="AM127" s="168">
        <v>2.9746296569999999</v>
      </c>
      <c r="AN127" s="168">
        <v>3.1571726369999999</v>
      </c>
      <c r="AO127" s="168">
        <v>3.34430103</v>
      </c>
      <c r="AP127" s="168">
        <v>3.504640727</v>
      </c>
      <c r="AQ127" s="168">
        <v>3.439846197</v>
      </c>
      <c r="AR127" s="168">
        <v>3.4227285740000002</v>
      </c>
      <c r="AS127" s="168">
        <v>3.4626764400000001</v>
      </c>
      <c r="AT127" s="168">
        <v>3.6279266510000001</v>
      </c>
      <c r="AU127" s="168">
        <v>3.535861938</v>
      </c>
      <c r="AV127" s="168">
        <v>3.7169374469999998</v>
      </c>
      <c r="AW127" s="168">
        <v>3.8293343709999998</v>
      </c>
      <c r="AX127" s="168">
        <v>3.7220457339999999</v>
      </c>
      <c r="AY127" s="168">
        <v>3.867204675</v>
      </c>
      <c r="AZ127" s="168">
        <v>3.9740724479999998</v>
      </c>
      <c r="BA127" s="168">
        <v>3.974449967</v>
      </c>
      <c r="BB127" s="168">
        <v>3.9447633130000002</v>
      </c>
      <c r="BC127" s="168">
        <v>3.988150605</v>
      </c>
      <c r="BD127" s="168">
        <v>3.984482657</v>
      </c>
    </row>
    <row r="128" spans="1:56">
      <c r="A128" s="163" t="s">
        <v>303</v>
      </c>
      <c r="B128" s="163" t="s">
        <v>304</v>
      </c>
      <c r="W128" s="161" t="s">
        <v>125</v>
      </c>
      <c r="X128" s="161" t="s">
        <v>125</v>
      </c>
      <c r="Y128" s="161" t="s">
        <v>125</v>
      </c>
      <c r="Z128" s="161" t="s">
        <v>125</v>
      </c>
      <c r="AA128" s="161" t="s">
        <v>125</v>
      </c>
      <c r="AB128" s="161" t="s">
        <v>125</v>
      </c>
      <c r="AC128" s="161" t="s">
        <v>125</v>
      </c>
      <c r="AD128" s="161" t="s">
        <v>125</v>
      </c>
      <c r="AE128" s="161" t="s">
        <v>125</v>
      </c>
      <c r="AF128" s="161" t="s">
        <v>125</v>
      </c>
      <c r="AG128" s="168">
        <v>0.70346111899999997</v>
      </c>
      <c r="AH128" s="168">
        <v>0.73243117899999999</v>
      </c>
      <c r="AI128" s="168">
        <v>0.74738114899999997</v>
      </c>
      <c r="AJ128" s="168">
        <v>0.75837623600000004</v>
      </c>
      <c r="AK128" s="168">
        <v>0.76887380800000005</v>
      </c>
      <c r="AL128" s="168">
        <v>0.79025800300000004</v>
      </c>
      <c r="AM128" s="168">
        <v>0.80966502699999998</v>
      </c>
      <c r="AN128" s="168">
        <v>0.81650334700000005</v>
      </c>
      <c r="AO128" s="168">
        <v>0.80822301399999996</v>
      </c>
      <c r="AP128" s="168">
        <v>0.81840991200000002</v>
      </c>
      <c r="AQ128" s="168">
        <v>0.81617246700000001</v>
      </c>
      <c r="AR128" s="168">
        <v>0.80699212899999995</v>
      </c>
      <c r="AS128" s="168">
        <v>0.84542262800000001</v>
      </c>
      <c r="AT128" s="168">
        <v>0.85364027899999995</v>
      </c>
      <c r="AU128" s="168">
        <v>0.87317692099999999</v>
      </c>
      <c r="AV128" s="168">
        <v>0.86664644700000004</v>
      </c>
      <c r="AW128" s="168">
        <v>0.83253756999999995</v>
      </c>
      <c r="AX128" s="168">
        <v>0.81765369200000004</v>
      </c>
      <c r="AY128" s="168">
        <v>0.78886369000000001</v>
      </c>
      <c r="AZ128" s="168">
        <v>0.77638807200000004</v>
      </c>
      <c r="BA128" s="168">
        <v>0.78017901000000001</v>
      </c>
      <c r="BB128" s="168">
        <v>0.768424522</v>
      </c>
      <c r="BC128" s="168">
        <v>0.76868235799999995</v>
      </c>
      <c r="BD128" s="168">
        <v>0.760110803</v>
      </c>
    </row>
    <row r="129" spans="1:56">
      <c r="A129" s="163" t="s">
        <v>305</v>
      </c>
      <c r="B129" s="163" t="s">
        <v>306</v>
      </c>
      <c r="W129" s="161" t="s">
        <v>125</v>
      </c>
      <c r="X129" s="161" t="s">
        <v>125</v>
      </c>
      <c r="Y129" s="161" t="s">
        <v>125</v>
      </c>
      <c r="Z129" s="161" t="s">
        <v>125</v>
      </c>
      <c r="AA129" s="161" t="s">
        <v>125</v>
      </c>
      <c r="AB129" s="161" t="s">
        <v>125</v>
      </c>
      <c r="AC129" s="161" t="s">
        <v>125</v>
      </c>
      <c r="AD129" s="161" t="s">
        <v>125</v>
      </c>
      <c r="AE129" s="161" t="s">
        <v>125</v>
      </c>
      <c r="AF129" s="161" t="s">
        <v>125</v>
      </c>
      <c r="AG129" s="168">
        <v>2.8832940030519998</v>
      </c>
      <c r="AH129" s="168">
        <v>4.0138887539202202</v>
      </c>
      <c r="AI129" s="168">
        <v>6.2804356609597196</v>
      </c>
      <c r="AJ129" s="168">
        <v>8.4280848956033303</v>
      </c>
      <c r="AK129" s="168">
        <v>10.898278671636699</v>
      </c>
      <c r="AL129" s="168">
        <v>13.0425211722248</v>
      </c>
      <c r="AM129" s="168">
        <v>15.207876725040199</v>
      </c>
      <c r="AN129" s="168">
        <v>16.514732692226801</v>
      </c>
      <c r="AO129" s="168">
        <v>20.203418206364798</v>
      </c>
      <c r="AP129" s="168">
        <v>21.271301137744601</v>
      </c>
      <c r="AQ129" s="168">
        <v>23.0024455923567</v>
      </c>
      <c r="AR129" s="168">
        <v>24.155395213745901</v>
      </c>
      <c r="AS129" s="168" t="s">
        <v>125</v>
      </c>
      <c r="AT129" s="168" t="s">
        <v>125</v>
      </c>
      <c r="AU129" s="168" t="s">
        <v>125</v>
      </c>
      <c r="AV129" s="168" t="s">
        <v>125</v>
      </c>
      <c r="AW129" s="168">
        <v>35.926343314859999</v>
      </c>
      <c r="AX129" s="168">
        <v>38.967753728827297</v>
      </c>
      <c r="AY129" s="168">
        <v>43.364213054346202</v>
      </c>
      <c r="AZ129" s="168">
        <v>48.1065932396723</v>
      </c>
      <c r="BA129" s="168">
        <v>52.227253999053701</v>
      </c>
      <c r="BB129" s="168">
        <v>54.1216932566238</v>
      </c>
      <c r="BC129" s="168">
        <v>55.930954218363702</v>
      </c>
      <c r="BD129" s="168">
        <v>59.650060881742398</v>
      </c>
    </row>
    <row r="130" spans="1:56">
      <c r="A130" s="163" t="s">
        <v>307</v>
      </c>
      <c r="B130" s="163" t="s">
        <v>308</v>
      </c>
      <c r="W130" s="161" t="s">
        <v>125</v>
      </c>
      <c r="X130" s="161" t="s">
        <v>125</v>
      </c>
      <c r="Y130" s="161" t="s">
        <v>125</v>
      </c>
      <c r="Z130" s="161" t="s">
        <v>125</v>
      </c>
      <c r="AA130" s="161" t="s">
        <v>125</v>
      </c>
      <c r="AB130" s="161" t="s">
        <v>125</v>
      </c>
      <c r="AC130" s="161" t="s">
        <v>125</v>
      </c>
      <c r="AD130" s="161" t="s">
        <v>125</v>
      </c>
      <c r="AE130" s="161" t="s">
        <v>125</v>
      </c>
      <c r="AF130" s="161" t="s">
        <v>125</v>
      </c>
      <c r="AG130" s="168">
        <v>188.98113230000001</v>
      </c>
      <c r="AH130" s="168">
        <v>187.66353939999999</v>
      </c>
      <c r="AI130" s="168">
        <v>186.39340010000001</v>
      </c>
      <c r="AJ130" s="168">
        <v>182.8570722</v>
      </c>
      <c r="AK130" s="168">
        <v>179.25154380000001</v>
      </c>
      <c r="AL130" s="168">
        <v>174.3152049</v>
      </c>
      <c r="AM130" s="168">
        <v>170.23534050000001</v>
      </c>
      <c r="AN130" s="168">
        <v>168.36763930000001</v>
      </c>
      <c r="AO130" s="168">
        <v>166.47013699999999</v>
      </c>
      <c r="AP130" s="168">
        <v>162.03574</v>
      </c>
      <c r="AQ130" s="168">
        <v>154.98186759999999</v>
      </c>
      <c r="AR130" s="168">
        <v>149.69567169999999</v>
      </c>
      <c r="AS130" s="168">
        <v>143.7742045</v>
      </c>
      <c r="AT130" s="168">
        <v>139.77472259999999</v>
      </c>
      <c r="AU130" s="168">
        <v>134.2054334</v>
      </c>
      <c r="AV130" s="168">
        <v>129.5519548</v>
      </c>
      <c r="AW130" s="168">
        <v>124.64904369999999</v>
      </c>
      <c r="AX130" s="168">
        <v>120.296362</v>
      </c>
      <c r="AY130" s="168">
        <v>116.8458138</v>
      </c>
      <c r="AZ130" s="168">
        <v>115.4436743</v>
      </c>
      <c r="BA130" s="168">
        <v>111.594087</v>
      </c>
      <c r="BB130" s="168">
        <v>107.45428130000001</v>
      </c>
      <c r="BC130" s="168">
        <v>105.172169763</v>
      </c>
      <c r="BD130" s="168">
        <v>103.44524607300001</v>
      </c>
    </row>
    <row r="131" spans="1:56">
      <c r="A131" s="163" t="s">
        <v>309</v>
      </c>
      <c r="B131" s="163" t="s">
        <v>310</v>
      </c>
      <c r="W131" s="161" t="s">
        <v>125</v>
      </c>
      <c r="X131" s="161" t="s">
        <v>125</v>
      </c>
      <c r="Y131" s="161" t="s">
        <v>125</v>
      </c>
      <c r="Z131" s="161" t="s">
        <v>125</v>
      </c>
      <c r="AA131" s="161" t="s">
        <v>125</v>
      </c>
      <c r="AB131" s="161" t="s">
        <v>125</v>
      </c>
      <c r="AC131" s="161" t="s">
        <v>125</v>
      </c>
      <c r="AD131" s="161" t="s">
        <v>125</v>
      </c>
      <c r="AE131" s="161" t="s">
        <v>125</v>
      </c>
      <c r="AF131" s="161" t="s">
        <v>125</v>
      </c>
      <c r="AG131" s="168">
        <v>0.19052783053737801</v>
      </c>
      <c r="AH131" s="168">
        <v>0.19401313493989</v>
      </c>
      <c r="AI131" s="168">
        <v>0.19510793886639699</v>
      </c>
      <c r="AJ131" s="168">
        <v>0.19593902949640701</v>
      </c>
      <c r="AK131" s="168">
        <v>0.205048105214472</v>
      </c>
      <c r="AL131" s="168">
        <v>0.20463139821041401</v>
      </c>
      <c r="AM131" s="168">
        <v>0.20510692195060201</v>
      </c>
      <c r="AN131" s="168">
        <v>0.20414172833630001</v>
      </c>
      <c r="AO131" s="168">
        <v>0.21410818193447401</v>
      </c>
      <c r="AP131" s="168">
        <v>0.210248086693273</v>
      </c>
      <c r="AQ131" s="168">
        <v>0.204729524004435</v>
      </c>
      <c r="AR131" s="168">
        <v>0.20170464915462999</v>
      </c>
      <c r="AS131" s="168">
        <v>0.20048207297415799</v>
      </c>
      <c r="AT131" s="168">
        <v>0.200768611241047</v>
      </c>
      <c r="AU131" s="168">
        <v>0.20144141359225101</v>
      </c>
      <c r="AV131" s="168">
        <v>0.19909054385057301</v>
      </c>
      <c r="AW131" s="168">
        <v>0.213772158897584</v>
      </c>
      <c r="AX131" s="168">
        <v>0.21876348564456799</v>
      </c>
      <c r="AY131" s="168">
        <v>0.25720305796823301</v>
      </c>
      <c r="AZ131" s="168">
        <v>0.26243307345740502</v>
      </c>
      <c r="BA131" s="168">
        <v>0.28110671721588099</v>
      </c>
      <c r="BB131" s="168">
        <v>0.293373076292266</v>
      </c>
      <c r="BC131" s="168">
        <v>0.30130846141456602</v>
      </c>
      <c r="BD131" s="168">
        <v>0.31343471776495702</v>
      </c>
    </row>
    <row r="132" spans="1:56">
      <c r="A132" s="163" t="s">
        <v>311</v>
      </c>
      <c r="B132" s="163" t="s">
        <v>312</v>
      </c>
      <c r="W132" s="161" t="s">
        <v>125</v>
      </c>
      <c r="X132" s="161" t="s">
        <v>125</v>
      </c>
      <c r="Y132" s="161" t="s">
        <v>125</v>
      </c>
      <c r="Z132" s="161" t="s">
        <v>125</v>
      </c>
      <c r="AA132" s="161" t="s">
        <v>125</v>
      </c>
      <c r="AB132" s="161" t="s">
        <v>125</v>
      </c>
      <c r="AC132" s="161" t="s">
        <v>125</v>
      </c>
      <c r="AD132" s="161" t="s">
        <v>125</v>
      </c>
      <c r="AE132" s="161" t="s">
        <v>125</v>
      </c>
      <c r="AF132" s="161" t="s">
        <v>125</v>
      </c>
      <c r="AG132" s="168">
        <v>6.8776059843546897E-4</v>
      </c>
      <c r="AH132" s="168">
        <v>1.30699036839059E-3</v>
      </c>
      <c r="AI132" s="168">
        <v>2.0090565932633898E-2</v>
      </c>
      <c r="AJ132" s="168">
        <v>0.26363508067890701</v>
      </c>
      <c r="AK132" s="168">
        <v>4.2508577541795001</v>
      </c>
      <c r="AL132" s="168">
        <v>10.8633968028303</v>
      </c>
      <c r="AM132" s="168">
        <v>14.8185779319031</v>
      </c>
      <c r="AN132" s="168">
        <v>16.920166481162401</v>
      </c>
      <c r="AO132" s="168">
        <v>17.686473943707501</v>
      </c>
      <c r="AP132" s="168">
        <v>19.753163383756501</v>
      </c>
      <c r="AQ132" s="168">
        <v>22.680090113517799</v>
      </c>
      <c r="AR132" s="168">
        <v>24.423993409992001</v>
      </c>
      <c r="AS132" s="168">
        <v>25.4502907109635</v>
      </c>
      <c r="AT132" s="168">
        <v>27.880616828995901</v>
      </c>
      <c r="AU132" s="168">
        <v>31.514332601249802</v>
      </c>
      <c r="AV132" s="168">
        <v>35.993026704330099</v>
      </c>
      <c r="AW132" s="168">
        <v>42.4453158248769</v>
      </c>
      <c r="AX132" s="168">
        <v>47.768131764980602</v>
      </c>
      <c r="AY132" s="168">
        <v>56.662238369499903</v>
      </c>
      <c r="AZ132" s="168">
        <v>58.867219779512602</v>
      </c>
      <c r="BA132" s="168">
        <v>69.529586050515306</v>
      </c>
      <c r="BB132" s="168">
        <v>80.170698680040999</v>
      </c>
      <c r="BC132" s="168">
        <v>82.593888992423302</v>
      </c>
      <c r="BD132" s="168">
        <v>86.350418342727906</v>
      </c>
    </row>
    <row r="133" spans="1:56">
      <c r="A133" s="163" t="s">
        <v>68</v>
      </c>
      <c r="B133" s="163" t="s">
        <v>313</v>
      </c>
      <c r="W133" s="161" t="s">
        <v>125</v>
      </c>
      <c r="X133" s="161" t="s">
        <v>125</v>
      </c>
      <c r="Y133" s="161" t="s">
        <v>125</v>
      </c>
      <c r="Z133" s="161" t="s">
        <v>125</v>
      </c>
      <c r="AA133" s="161" t="s">
        <v>125</v>
      </c>
      <c r="AB133" s="161" t="s">
        <v>125</v>
      </c>
      <c r="AC133" s="161" t="s">
        <v>125</v>
      </c>
      <c r="AD133" s="161" t="s">
        <v>125</v>
      </c>
      <c r="AE133" s="161" t="s">
        <v>125</v>
      </c>
      <c r="AF133" s="161" t="s">
        <v>125</v>
      </c>
      <c r="AG133" s="168">
        <v>6.4395095793594201</v>
      </c>
      <c r="AH133" s="168">
        <v>7.0132368458847898</v>
      </c>
      <c r="AI133" s="168">
        <v>8.1526299705676095</v>
      </c>
      <c r="AJ133" s="168">
        <v>10.009526241391301</v>
      </c>
      <c r="AK133" s="168">
        <v>11.468645418930199</v>
      </c>
      <c r="AL133" s="168">
        <v>12.494907456979201</v>
      </c>
      <c r="AM133" s="168">
        <v>17.423156829506901</v>
      </c>
      <c r="AN133" s="168">
        <v>19.088928691915299</v>
      </c>
      <c r="AO133" s="168">
        <v>20.193014039177001</v>
      </c>
      <c r="AP133" s="168">
        <v>20.743652186782601</v>
      </c>
      <c r="AQ133" s="168">
        <v>21.515947500756599</v>
      </c>
      <c r="AR133" s="168">
        <v>21.364921687354801</v>
      </c>
      <c r="AS133" s="168">
        <v>21.237947505683199</v>
      </c>
      <c r="AT133" s="168">
        <v>22.112241550749498</v>
      </c>
      <c r="AU133" s="168">
        <v>23.0561238547889</v>
      </c>
      <c r="AV133" s="168">
        <v>23.434166949256301</v>
      </c>
      <c r="AW133" s="168">
        <v>24.505591550156499</v>
      </c>
      <c r="AX133" s="168">
        <v>25.212426661964599</v>
      </c>
      <c r="AY133" s="168">
        <v>27.9966841667813</v>
      </c>
      <c r="AZ133" s="168">
        <v>30.4886963779587</v>
      </c>
      <c r="BA133" s="168">
        <v>30.8009590358845</v>
      </c>
      <c r="BB133" s="168">
        <v>34.298100498250299</v>
      </c>
      <c r="BC133" s="168">
        <v>36.008919937745702</v>
      </c>
      <c r="BD133" s="168">
        <v>37.810565365019599</v>
      </c>
    </row>
    <row r="134" spans="1:56">
      <c r="A134" s="163" t="s">
        <v>314</v>
      </c>
      <c r="B134" s="163" t="s">
        <v>315</v>
      </c>
      <c r="W134" s="161" t="s">
        <v>125</v>
      </c>
      <c r="X134" s="161" t="s">
        <v>125</v>
      </c>
      <c r="Y134" s="161" t="s">
        <v>125</v>
      </c>
      <c r="Z134" s="161" t="s">
        <v>125</v>
      </c>
      <c r="AA134" s="161" t="s">
        <v>125</v>
      </c>
      <c r="AB134" s="161" t="s">
        <v>125</v>
      </c>
      <c r="AC134" s="161" t="s">
        <v>125</v>
      </c>
      <c r="AD134" s="161" t="s">
        <v>125</v>
      </c>
      <c r="AE134" s="161" t="s">
        <v>125</v>
      </c>
      <c r="AF134" s="161" t="s">
        <v>125</v>
      </c>
      <c r="AG134" s="168">
        <v>0.54436018423325905</v>
      </c>
      <c r="AH134" s="168">
        <v>0.92817898090522899</v>
      </c>
      <c r="AI134" s="168">
        <v>0.97039525017990902</v>
      </c>
      <c r="AJ134" s="168">
        <v>0.96722353857777499</v>
      </c>
      <c r="AK134" s="168">
        <v>0.97080351179184499</v>
      </c>
      <c r="AL134" s="168">
        <v>0.97085202726147901</v>
      </c>
      <c r="AM134" s="168">
        <v>1.00264586449757</v>
      </c>
      <c r="AN134" s="168">
        <v>1.00320348119491</v>
      </c>
      <c r="AO134" s="168">
        <v>1.0250448375747401</v>
      </c>
      <c r="AP134" s="168">
        <v>1.0338410444563699</v>
      </c>
      <c r="AQ134" s="168">
        <v>0.98235352507599505</v>
      </c>
      <c r="AR134" s="168">
        <v>0.99912961162928005</v>
      </c>
      <c r="AS134" s="168">
        <v>1.06657034782462</v>
      </c>
      <c r="AT134" s="168">
        <v>1.05050898436804</v>
      </c>
      <c r="AU134" s="168">
        <v>0.99103945386576697</v>
      </c>
      <c r="AV134" s="168">
        <v>0.96191561816249904</v>
      </c>
      <c r="AW134" s="168">
        <v>0.977281665869836</v>
      </c>
      <c r="AX134" s="168">
        <v>0.93642343680886697</v>
      </c>
      <c r="AY134" s="168">
        <v>0.97899161486457298</v>
      </c>
      <c r="AZ134" s="168">
        <v>0.99016714461257305</v>
      </c>
      <c r="BA134" s="168">
        <v>0.98927622620149402</v>
      </c>
      <c r="BB134" s="168">
        <v>0.96162138169192601</v>
      </c>
      <c r="BC134" s="168">
        <v>0.930276150036775</v>
      </c>
      <c r="BD134" s="168">
        <v>0.92154014028322895</v>
      </c>
    </row>
    <row r="135" spans="1:56">
      <c r="A135" s="163" t="s">
        <v>316</v>
      </c>
      <c r="B135" s="163" t="s">
        <v>317</v>
      </c>
      <c r="W135" s="161" t="s">
        <v>125</v>
      </c>
      <c r="X135" s="161" t="s">
        <v>125</v>
      </c>
      <c r="Y135" s="161" t="s">
        <v>125</v>
      </c>
      <c r="Z135" s="161" t="s">
        <v>125</v>
      </c>
      <c r="AA135" s="161" t="s">
        <v>125</v>
      </c>
      <c r="AB135" s="161" t="s">
        <v>125</v>
      </c>
      <c r="AC135" s="161" t="s">
        <v>125</v>
      </c>
      <c r="AD135" s="161" t="s">
        <v>125</v>
      </c>
      <c r="AE135" s="161" t="s">
        <v>125</v>
      </c>
      <c r="AF135" s="161" t="s">
        <v>125</v>
      </c>
      <c r="AG135" s="168" t="s">
        <v>125</v>
      </c>
      <c r="AH135" s="168" t="s">
        <v>125</v>
      </c>
      <c r="AI135" s="168" t="s">
        <v>125</v>
      </c>
      <c r="AJ135" s="168" t="s">
        <v>125</v>
      </c>
      <c r="AK135" s="168" t="s">
        <v>125</v>
      </c>
      <c r="AL135" s="168" t="s">
        <v>125</v>
      </c>
      <c r="AM135" s="168" t="s">
        <v>125</v>
      </c>
      <c r="AN135" s="168" t="s">
        <v>125</v>
      </c>
      <c r="AO135" s="168" t="s">
        <v>125</v>
      </c>
      <c r="AP135" s="168" t="s">
        <v>125</v>
      </c>
      <c r="AQ135" s="168" t="s">
        <v>125</v>
      </c>
      <c r="AR135" s="168" t="s">
        <v>125</v>
      </c>
      <c r="AS135" s="168" t="s">
        <v>125</v>
      </c>
      <c r="AT135" s="168" t="s">
        <v>125</v>
      </c>
      <c r="AU135" s="168" t="s">
        <v>125</v>
      </c>
      <c r="AV135" s="168" t="s">
        <v>125</v>
      </c>
      <c r="AW135" s="168" t="s">
        <v>125</v>
      </c>
      <c r="AX135" s="168" t="s">
        <v>125</v>
      </c>
      <c r="AY135" s="168" t="s">
        <v>125</v>
      </c>
      <c r="AZ135" s="168" t="s">
        <v>125</v>
      </c>
      <c r="BA135" s="168" t="s">
        <v>125</v>
      </c>
      <c r="BB135" s="168" t="s">
        <v>125</v>
      </c>
      <c r="BC135" s="168" t="s">
        <v>125</v>
      </c>
      <c r="BD135" s="168" t="s">
        <v>125</v>
      </c>
    </row>
    <row r="136" spans="1:56">
      <c r="A136" s="163" t="s">
        <v>318</v>
      </c>
      <c r="B136" s="163" t="s">
        <v>319</v>
      </c>
      <c r="W136" s="161" t="s">
        <v>125</v>
      </c>
      <c r="X136" s="161" t="s">
        <v>125</v>
      </c>
      <c r="Y136" s="161" t="s">
        <v>125</v>
      </c>
      <c r="Z136" s="161" t="s">
        <v>125</v>
      </c>
      <c r="AA136" s="161" t="s">
        <v>125</v>
      </c>
      <c r="AB136" s="161" t="s">
        <v>125</v>
      </c>
      <c r="AC136" s="161" t="s">
        <v>125</v>
      </c>
      <c r="AD136" s="161" t="s">
        <v>125</v>
      </c>
      <c r="AE136" s="161" t="s">
        <v>125</v>
      </c>
      <c r="AF136" s="161" t="s">
        <v>125</v>
      </c>
      <c r="AG136" s="168">
        <v>545.42852889999995</v>
      </c>
      <c r="AH136" s="168">
        <v>581.81309469999997</v>
      </c>
      <c r="AI136" s="168">
        <v>613.51417790000005</v>
      </c>
      <c r="AJ136" s="168">
        <v>637.806647</v>
      </c>
      <c r="AK136" s="168">
        <v>672.56397660000005</v>
      </c>
      <c r="AL136" s="168">
        <v>707.94568170000002</v>
      </c>
      <c r="AM136" s="168">
        <v>729.86345089999998</v>
      </c>
      <c r="AN136" s="168">
        <v>745.22613239999998</v>
      </c>
      <c r="AO136" s="168">
        <v>773.74241470000004</v>
      </c>
      <c r="AP136" s="168">
        <v>754.89296999999999</v>
      </c>
      <c r="AQ136" s="168">
        <v>745.57784600000002</v>
      </c>
      <c r="AR136" s="168">
        <v>757.01279280000006</v>
      </c>
      <c r="AS136" s="168">
        <v>769.77178990000004</v>
      </c>
      <c r="AT136" s="168">
        <v>794.00137010000003</v>
      </c>
      <c r="AU136" s="168">
        <v>796.260538</v>
      </c>
      <c r="AV136" s="168">
        <v>788.92013480000003</v>
      </c>
      <c r="AW136" s="168">
        <v>773.48398229999998</v>
      </c>
      <c r="AX136" s="168">
        <v>769.16243610000004</v>
      </c>
      <c r="AY136" s="168">
        <v>785.71788649999996</v>
      </c>
      <c r="AZ136" s="168">
        <v>822.21067370000003</v>
      </c>
      <c r="BA136" s="168">
        <v>841.73780820000002</v>
      </c>
      <c r="BB136" s="168">
        <v>854.58572279999998</v>
      </c>
      <c r="BC136" s="168">
        <v>865.65687513600005</v>
      </c>
      <c r="BD136" s="168">
        <v>858.21668193999994</v>
      </c>
    </row>
    <row r="137" spans="1:56">
      <c r="A137" s="163" t="s">
        <v>320</v>
      </c>
      <c r="B137" s="163" t="s">
        <v>321</v>
      </c>
      <c r="W137" s="161" t="s">
        <v>125</v>
      </c>
      <c r="X137" s="161" t="s">
        <v>125</v>
      </c>
      <c r="Y137" s="161" t="s">
        <v>125</v>
      </c>
      <c r="Z137" s="161" t="s">
        <v>125</v>
      </c>
      <c r="AA137" s="161" t="s">
        <v>125</v>
      </c>
      <c r="AB137" s="161" t="s">
        <v>125</v>
      </c>
      <c r="AC137" s="161" t="s">
        <v>125</v>
      </c>
      <c r="AD137" s="161" t="s">
        <v>125</v>
      </c>
      <c r="AE137" s="161" t="s">
        <v>125</v>
      </c>
      <c r="AF137" s="161" t="s">
        <v>125</v>
      </c>
      <c r="AG137" s="168" t="s">
        <v>125</v>
      </c>
      <c r="AH137" s="168" t="s">
        <v>125</v>
      </c>
      <c r="AI137" s="168" t="s">
        <v>125</v>
      </c>
      <c r="AJ137" s="168" t="s">
        <v>125</v>
      </c>
      <c r="AK137" s="168" t="s">
        <v>125</v>
      </c>
      <c r="AL137" s="168" t="s">
        <v>125</v>
      </c>
      <c r="AM137" s="168" t="s">
        <v>125</v>
      </c>
      <c r="AN137" s="168" t="s">
        <v>125</v>
      </c>
      <c r="AO137" s="168" t="s">
        <v>125</v>
      </c>
      <c r="AP137" s="168" t="s">
        <v>125</v>
      </c>
      <c r="AQ137" s="168">
        <v>0.33511906104124001</v>
      </c>
      <c r="AR137" s="168">
        <v>0.36496397851108697</v>
      </c>
      <c r="AS137" s="168">
        <v>0.36592928391874602</v>
      </c>
      <c r="AT137" s="168">
        <v>0.35097269007332499</v>
      </c>
      <c r="AU137" s="168">
        <v>0.32850251219910998</v>
      </c>
      <c r="AV137" s="168">
        <v>0.30807808919116902</v>
      </c>
      <c r="AW137" s="168">
        <v>0.30020586157597901</v>
      </c>
      <c r="AX137" s="168">
        <v>0.29948711064964401</v>
      </c>
      <c r="AY137" s="168">
        <v>0.31197503701225898</v>
      </c>
      <c r="AZ137" s="168">
        <v>0.308623195666624</v>
      </c>
      <c r="BA137" s="168">
        <v>0.31653591945743798</v>
      </c>
      <c r="BB137" s="168">
        <v>0.32693860000000002</v>
      </c>
      <c r="BC137" s="168">
        <v>0.32905739173631399</v>
      </c>
      <c r="BD137" s="168">
        <v>0.328836831639573</v>
      </c>
    </row>
    <row r="138" spans="1:56">
      <c r="A138" s="163" t="s">
        <v>322</v>
      </c>
      <c r="B138" s="163" t="s">
        <v>323</v>
      </c>
      <c r="W138" s="161" t="s">
        <v>125</v>
      </c>
      <c r="X138" s="161" t="s">
        <v>125</v>
      </c>
      <c r="Y138" s="161" t="s">
        <v>125</v>
      </c>
      <c r="Z138" s="161" t="s">
        <v>125</v>
      </c>
      <c r="AA138" s="161" t="s">
        <v>125</v>
      </c>
      <c r="AB138" s="161" t="s">
        <v>125</v>
      </c>
      <c r="AC138" s="161" t="s">
        <v>125</v>
      </c>
      <c r="AD138" s="161" t="s">
        <v>125</v>
      </c>
      <c r="AE138" s="161" t="s">
        <v>125</v>
      </c>
      <c r="AF138" s="161" t="s">
        <v>125</v>
      </c>
      <c r="AG138" s="168" t="s">
        <v>125</v>
      </c>
      <c r="AH138" s="168" t="s">
        <v>125</v>
      </c>
      <c r="AI138" s="168">
        <v>9.2419611383589395E-2</v>
      </c>
      <c r="AJ138" s="168">
        <v>8.3603518718014705E-2</v>
      </c>
      <c r="AK138" s="168">
        <v>7.7055250949825405E-2</v>
      </c>
      <c r="AL138" s="168">
        <v>7.9142901204658098E-2</v>
      </c>
      <c r="AM138" s="168">
        <v>8.9779274195275496E-2</v>
      </c>
      <c r="AN138" s="168">
        <v>8.4103219467383306E-2</v>
      </c>
      <c r="AO138" s="168">
        <v>6.8933417751297202E-2</v>
      </c>
      <c r="AP138" s="168">
        <v>8.0245524056720405E-2</v>
      </c>
      <c r="AQ138" s="168">
        <v>9.4568307577755695E-2</v>
      </c>
      <c r="AR138" s="168">
        <v>8.4887554174910701E-2</v>
      </c>
      <c r="AS138" s="168">
        <v>8.7910963367812997E-2</v>
      </c>
      <c r="AT138" s="168">
        <v>9.0432993651247295E-2</v>
      </c>
      <c r="AU138" s="168">
        <v>9.7570302540574694E-2</v>
      </c>
      <c r="AV138" s="168">
        <v>0.11567455221044699</v>
      </c>
      <c r="AW138" s="168">
        <v>0.13037516321082299</v>
      </c>
      <c r="AX138" s="168">
        <v>0.13247443166676601</v>
      </c>
      <c r="AY138" s="168">
        <v>0.15418481676222401</v>
      </c>
      <c r="AZ138" s="168">
        <v>0.12666489986757401</v>
      </c>
      <c r="BA138" s="168">
        <v>0.144555028271832</v>
      </c>
      <c r="BB138" s="168">
        <v>0.17198825946888899</v>
      </c>
      <c r="BC138" s="168">
        <v>0.18420605299479501</v>
      </c>
      <c r="BD138" s="168" t="s">
        <v>125</v>
      </c>
    </row>
    <row r="139" spans="1:56">
      <c r="A139" s="163" t="s">
        <v>324</v>
      </c>
      <c r="B139" s="163" t="s">
        <v>325</v>
      </c>
      <c r="W139" s="161" t="s">
        <v>125</v>
      </c>
      <c r="X139" s="161" t="s">
        <v>125</v>
      </c>
      <c r="Y139" s="161" t="s">
        <v>125</v>
      </c>
      <c r="Z139" s="161" t="s">
        <v>125</v>
      </c>
      <c r="AA139" s="161" t="s">
        <v>125</v>
      </c>
      <c r="AB139" s="161" t="s">
        <v>125</v>
      </c>
      <c r="AC139" s="161" t="s">
        <v>125</v>
      </c>
      <c r="AD139" s="161" t="s">
        <v>125</v>
      </c>
      <c r="AE139" s="161" t="s">
        <v>125</v>
      </c>
      <c r="AF139" s="161" t="s">
        <v>125</v>
      </c>
      <c r="AG139" s="168">
        <v>4.3289687188468803E-3</v>
      </c>
      <c r="AH139" s="168">
        <v>9.8351047654562894E-3</v>
      </c>
      <c r="AI139" s="168">
        <v>8.9442498216799796E-2</v>
      </c>
      <c r="AJ139" s="168">
        <v>0.74645756440913202</v>
      </c>
      <c r="AK139" s="168">
        <v>2.0529100265401801</v>
      </c>
      <c r="AL139" s="168">
        <v>2.8561905594999799</v>
      </c>
      <c r="AM139" s="168">
        <v>3.7963170498832399</v>
      </c>
      <c r="AN139" s="168">
        <v>4.4531801488067702</v>
      </c>
      <c r="AO139" s="168">
        <v>4.80529210803686</v>
      </c>
      <c r="AP139" s="168">
        <v>6.5177748355612604</v>
      </c>
      <c r="AQ139" s="168">
        <v>8.1052814853338209</v>
      </c>
      <c r="AR139" s="168">
        <v>8.5047352018106608</v>
      </c>
      <c r="AS139" s="168">
        <v>8.5456767290231692</v>
      </c>
      <c r="AT139" s="168">
        <v>8.7112800833657094</v>
      </c>
      <c r="AU139" s="168">
        <v>8.9119909279788398</v>
      </c>
      <c r="AV139" s="168">
        <v>9.2505901638540795</v>
      </c>
      <c r="AW139" s="168">
        <v>9.8175657264153209</v>
      </c>
      <c r="AX139" s="168">
        <v>10.9865120269187</v>
      </c>
      <c r="AY139" s="168">
        <v>13.1700006840759</v>
      </c>
      <c r="AZ139" s="168">
        <v>13.5967976646756</v>
      </c>
      <c r="BA139" s="168">
        <v>14.7821538931242</v>
      </c>
      <c r="BB139" s="168">
        <v>17.756726536082699</v>
      </c>
      <c r="BC139" s="168">
        <v>18.962401223907399</v>
      </c>
      <c r="BD139" s="168">
        <v>19.052345325759202</v>
      </c>
    </row>
    <row r="140" spans="1:56">
      <c r="A140" s="163" t="s">
        <v>326</v>
      </c>
      <c r="B140" s="163" t="s">
        <v>327</v>
      </c>
      <c r="W140" s="161" t="s">
        <v>125</v>
      </c>
      <c r="X140" s="161" t="s">
        <v>125</v>
      </c>
      <c r="Y140" s="161" t="s">
        <v>125</v>
      </c>
      <c r="Z140" s="161" t="s">
        <v>125</v>
      </c>
      <c r="AA140" s="161" t="s">
        <v>125</v>
      </c>
      <c r="AB140" s="161" t="s">
        <v>125</v>
      </c>
      <c r="AC140" s="161" t="s">
        <v>125</v>
      </c>
      <c r="AD140" s="161" t="s">
        <v>125</v>
      </c>
      <c r="AE140" s="161" t="s">
        <v>125</v>
      </c>
      <c r="AF140" s="161" t="s">
        <v>125</v>
      </c>
      <c r="AG140" s="168">
        <v>137.34013336975099</v>
      </c>
      <c r="AH140" s="168">
        <v>150.161010707884</v>
      </c>
      <c r="AI140" s="168">
        <v>155.612789776217</v>
      </c>
      <c r="AJ140" s="168">
        <v>168.992638471726</v>
      </c>
      <c r="AK140" s="168">
        <v>178.21231290579701</v>
      </c>
      <c r="AL140" s="168">
        <v>208.935674362583</v>
      </c>
      <c r="AM140" s="168">
        <v>233.35072155788501</v>
      </c>
      <c r="AN140" s="168">
        <v>273.82561405416601</v>
      </c>
      <c r="AO140" s="168">
        <v>499.79886358817402</v>
      </c>
      <c r="AP140" s="168">
        <v>1123.3682303082201</v>
      </c>
      <c r="AQ140" s="168">
        <v>1370.7913296716299</v>
      </c>
      <c r="AR140" s="168">
        <v>1458.9282140443499</v>
      </c>
      <c r="AS140" s="168">
        <v>1527.6355948928201</v>
      </c>
      <c r="AT140" s="168">
        <v>1699.1484862326099</v>
      </c>
      <c r="AU140" s="168">
        <v>1830.61336034082</v>
      </c>
      <c r="AV140" s="168">
        <v>1926.97845440213</v>
      </c>
      <c r="AW140" s="168">
        <v>2071.5095767399198</v>
      </c>
      <c r="AX140" s="168">
        <v>2168.0567302231202</v>
      </c>
      <c r="AY140" s="168">
        <v>2314.9982962508798</v>
      </c>
      <c r="AZ140" s="168">
        <v>2229.9571889999102</v>
      </c>
      <c r="BA140" s="168">
        <v>2424.0224634660299</v>
      </c>
      <c r="BB140" s="168">
        <v>2467.7526409859802</v>
      </c>
      <c r="BC140" s="168">
        <v>2533.2270892204001</v>
      </c>
      <c r="BD140" s="168">
        <v>2675.5398909607502</v>
      </c>
    </row>
    <row r="141" spans="1:56">
      <c r="A141" s="163" t="s">
        <v>328</v>
      </c>
      <c r="B141" s="163" t="s">
        <v>329</v>
      </c>
      <c r="W141" s="161" t="s">
        <v>125</v>
      </c>
      <c r="X141" s="161" t="s">
        <v>125</v>
      </c>
      <c r="Y141" s="161" t="s">
        <v>125</v>
      </c>
      <c r="Z141" s="161" t="s">
        <v>125</v>
      </c>
      <c r="AA141" s="161" t="s">
        <v>125</v>
      </c>
      <c r="AB141" s="161" t="s">
        <v>125</v>
      </c>
      <c r="AC141" s="161" t="s">
        <v>125</v>
      </c>
      <c r="AD141" s="161" t="s">
        <v>125</v>
      </c>
      <c r="AE141" s="161" t="s">
        <v>125</v>
      </c>
      <c r="AF141" s="161" t="s">
        <v>125</v>
      </c>
      <c r="AG141" s="168">
        <v>3.0008187677563101E-3</v>
      </c>
      <c r="AH141" s="168">
        <v>7.6269951467025903E-3</v>
      </c>
      <c r="AI141" s="168">
        <v>7.6994629959302494E-2</v>
      </c>
      <c r="AJ141" s="168">
        <v>0.115585265211354</v>
      </c>
      <c r="AK141" s="168">
        <v>0.154197813781877</v>
      </c>
      <c r="AL141" s="168">
        <v>0.19262341765076599</v>
      </c>
      <c r="AM141" s="168">
        <v>0.21692467666991799</v>
      </c>
      <c r="AN141" s="168">
        <v>0.227719869069511</v>
      </c>
      <c r="AO141" s="168">
        <v>0.23373122654971901</v>
      </c>
      <c r="AP141" s="168">
        <v>0.24064236642006101</v>
      </c>
      <c r="AQ141" s="168">
        <v>0.24875361033221899</v>
      </c>
      <c r="AR141" s="168">
        <v>0.24831419298489399</v>
      </c>
      <c r="AS141" s="168">
        <v>0.24953604364090001</v>
      </c>
      <c r="AT141" s="168">
        <v>0.25873642204221597</v>
      </c>
      <c r="AU141" s="168">
        <v>0.274133364157368</v>
      </c>
      <c r="AV141" s="168">
        <v>0.30197321155517598</v>
      </c>
      <c r="AW141" s="168">
        <v>0.32539098478810902</v>
      </c>
      <c r="AX141" s="168">
        <v>0.37899732261541802</v>
      </c>
      <c r="AY141" s="168">
        <v>0.394887011789543</v>
      </c>
      <c r="AZ141" s="168">
        <v>0.36089232856917902</v>
      </c>
      <c r="BA141" s="168">
        <v>0.34510409997709302</v>
      </c>
      <c r="BB141" s="168">
        <v>0.34701202254208602</v>
      </c>
      <c r="BC141" s="168">
        <v>0.35681838919018499</v>
      </c>
      <c r="BD141" s="168">
        <v>0.35320448182064401</v>
      </c>
    </row>
    <row r="142" spans="1:56">
      <c r="A142" s="163" t="s">
        <v>330</v>
      </c>
      <c r="B142" s="163" t="s">
        <v>331</v>
      </c>
      <c r="W142" s="161" t="s">
        <v>125</v>
      </c>
      <c r="X142" s="161" t="s">
        <v>125</v>
      </c>
      <c r="Y142" s="161" t="s">
        <v>125</v>
      </c>
      <c r="Z142" s="161" t="s">
        <v>125</v>
      </c>
      <c r="AA142" s="161" t="s">
        <v>125</v>
      </c>
      <c r="AB142" s="161" t="s">
        <v>125</v>
      </c>
      <c r="AC142" s="161" t="s">
        <v>125</v>
      </c>
      <c r="AD142" s="161" t="s">
        <v>125</v>
      </c>
      <c r="AE142" s="161" t="s">
        <v>125</v>
      </c>
      <c r="AF142" s="161" t="s">
        <v>125</v>
      </c>
      <c r="AG142" s="168">
        <v>145.697965796792</v>
      </c>
      <c r="AH142" s="168">
        <v>213.681180983589</v>
      </c>
      <c r="AI142" s="168">
        <v>459.59498606324001</v>
      </c>
      <c r="AJ142" s="168">
        <v>579.55470839479801</v>
      </c>
      <c r="AK142" s="168">
        <v>645.78791487506498</v>
      </c>
      <c r="AL142" s="168">
        <v>699.58090127576895</v>
      </c>
      <c r="AM142" s="168">
        <v>739.85762218452305</v>
      </c>
      <c r="AN142" s="168">
        <v>839.15416639682201</v>
      </c>
      <c r="AO142" s="168">
        <v>864.11294342920701</v>
      </c>
      <c r="AP142" s="168">
        <v>858.24556076404804</v>
      </c>
      <c r="AQ142" s="168">
        <v>821.63800508193901</v>
      </c>
      <c r="AR142" s="168">
        <v>790.11805980307997</v>
      </c>
      <c r="AS142" s="168">
        <v>816.84436375310804</v>
      </c>
      <c r="AT142" s="168">
        <v>813.42268324990903</v>
      </c>
      <c r="AU142" s="168">
        <v>768.62438890528404</v>
      </c>
      <c r="AV142" s="168">
        <v>736.642256084878</v>
      </c>
      <c r="AW142" s="168">
        <v>720.21020765516801</v>
      </c>
      <c r="AX142" s="168">
        <v>723.098465738203</v>
      </c>
      <c r="AY142" s="168">
        <v>762.58768226941902</v>
      </c>
      <c r="AZ142" s="168">
        <v>836.24903853565297</v>
      </c>
      <c r="BA142" s="168">
        <v>827.56522251793501</v>
      </c>
      <c r="BB142" s="168">
        <v>838.9864</v>
      </c>
      <c r="BC142" s="168">
        <v>869.75250298716003</v>
      </c>
      <c r="BD142" s="168">
        <v>871.68481888515305</v>
      </c>
    </row>
    <row r="143" spans="1:56">
      <c r="A143" s="163" t="s">
        <v>332</v>
      </c>
      <c r="B143" s="163" t="s">
        <v>333</v>
      </c>
      <c r="W143" s="161" t="s">
        <v>125</v>
      </c>
      <c r="X143" s="161" t="s">
        <v>125</v>
      </c>
      <c r="Y143" s="161" t="s">
        <v>125</v>
      </c>
      <c r="Z143" s="161" t="s">
        <v>125</v>
      </c>
      <c r="AA143" s="161" t="s">
        <v>125</v>
      </c>
      <c r="AB143" s="161" t="s">
        <v>125</v>
      </c>
      <c r="AC143" s="161" t="s">
        <v>125</v>
      </c>
      <c r="AD143" s="161" t="s">
        <v>125</v>
      </c>
      <c r="AE143" s="161" t="s">
        <v>125</v>
      </c>
      <c r="AF143" s="161" t="s">
        <v>125</v>
      </c>
      <c r="AG143" s="168">
        <v>1.04195456295161</v>
      </c>
      <c r="AH143" s="168">
        <v>1.1578708499104999</v>
      </c>
      <c r="AI143" s="168">
        <v>1.2903052453577799</v>
      </c>
      <c r="AJ143" s="168">
        <v>1.3995269064271401</v>
      </c>
      <c r="AK143" s="168">
        <v>1.4790052242402401</v>
      </c>
      <c r="AL143" s="168">
        <v>1.65087566863101</v>
      </c>
      <c r="AM143" s="168">
        <v>1.7347787767156599</v>
      </c>
      <c r="AN143" s="168">
        <v>1.85072143414365</v>
      </c>
      <c r="AO143" s="168">
        <v>2.0574550109690199</v>
      </c>
      <c r="AP143" s="168">
        <v>2.1840439022833</v>
      </c>
      <c r="AQ143" s="168">
        <v>2.21983327850627</v>
      </c>
      <c r="AR143" s="168">
        <v>2.36596547764176</v>
      </c>
      <c r="AS143" s="168">
        <v>2.6384834674272599</v>
      </c>
      <c r="AT143" s="168">
        <v>2.6166429739483799</v>
      </c>
      <c r="AU143" s="168">
        <v>2.7074215498604701</v>
      </c>
      <c r="AV143" s="168">
        <v>2.7879502052981899</v>
      </c>
      <c r="AW143" s="168">
        <v>2.8831448549708698</v>
      </c>
      <c r="AX143" s="168">
        <v>3.1194167888478002</v>
      </c>
      <c r="AY143" s="168">
        <v>3.4636057746239501</v>
      </c>
      <c r="AZ143" s="168">
        <v>3.57438221871372</v>
      </c>
      <c r="BA143" s="168">
        <v>3.6278152180957899</v>
      </c>
      <c r="BB143" s="168">
        <v>3.9229388679908102</v>
      </c>
      <c r="BC143" s="168">
        <v>3.8309591316496201</v>
      </c>
      <c r="BD143" s="168">
        <v>4.0156380136346401</v>
      </c>
    </row>
    <row r="144" spans="1:56">
      <c r="A144" s="163" t="s">
        <v>334</v>
      </c>
      <c r="B144" s="163" t="s">
        <v>335</v>
      </c>
      <c r="W144" s="161" t="s">
        <v>125</v>
      </c>
      <c r="X144" s="161" t="s">
        <v>125</v>
      </c>
      <c r="Y144" s="161" t="s">
        <v>125</v>
      </c>
      <c r="Z144" s="161" t="s">
        <v>125</v>
      </c>
      <c r="AA144" s="161" t="s">
        <v>125</v>
      </c>
      <c r="AB144" s="161" t="s">
        <v>125</v>
      </c>
      <c r="AC144" s="161" t="s">
        <v>125</v>
      </c>
      <c r="AD144" s="161" t="s">
        <v>125</v>
      </c>
      <c r="AE144" s="161" t="s">
        <v>125</v>
      </c>
      <c r="AF144" s="161" t="s">
        <v>125</v>
      </c>
      <c r="AG144" s="168">
        <v>0.56157240089721705</v>
      </c>
      <c r="AH144" s="168">
        <v>0.57362990980704498</v>
      </c>
      <c r="AI144" s="168">
        <v>0.55487740476591496</v>
      </c>
      <c r="AJ144" s="168">
        <v>0.58033043000485196</v>
      </c>
      <c r="AK144" s="168">
        <v>0.59860239752990096</v>
      </c>
      <c r="AL144" s="168">
        <v>0.62454752233660105</v>
      </c>
      <c r="AM144" s="168">
        <v>0.64686838109243905</v>
      </c>
      <c r="AN144" s="168">
        <v>0.57233209355624404</v>
      </c>
      <c r="AO144" s="168">
        <v>22.020326816013402</v>
      </c>
      <c r="AP144" s="168">
        <v>21.909521483262701</v>
      </c>
      <c r="AQ144" s="168">
        <v>19.946351939626599</v>
      </c>
      <c r="AR144" s="168">
        <v>18.442932460960002</v>
      </c>
      <c r="AS144" s="168">
        <v>18.218948946166499</v>
      </c>
      <c r="AT144" s="168">
        <v>19.511570773851901</v>
      </c>
      <c r="AU144" s="168">
        <v>21.1303387199683</v>
      </c>
      <c r="AV144" s="168">
        <v>22.569605575877301</v>
      </c>
      <c r="AW144" s="168">
        <v>22.585790273721798</v>
      </c>
      <c r="AX144" s="168">
        <v>24.5759332483054</v>
      </c>
      <c r="AY144" s="168">
        <v>25.876613337211499</v>
      </c>
      <c r="AZ144" s="168">
        <v>33.1395441681154</v>
      </c>
      <c r="BA144" s="168">
        <v>34.535465221799797</v>
      </c>
      <c r="BB144" s="168">
        <v>37.345423131374702</v>
      </c>
      <c r="BC144" s="168">
        <v>38.209623170943303</v>
      </c>
      <c r="BD144" s="168">
        <v>39.083815441947998</v>
      </c>
    </row>
    <row r="145" spans="1:56">
      <c r="A145" s="163" t="s">
        <v>336</v>
      </c>
      <c r="B145" s="163" t="s">
        <v>337</v>
      </c>
      <c r="W145" s="161" t="s">
        <v>125</v>
      </c>
      <c r="X145" s="161" t="s">
        <v>125</v>
      </c>
      <c r="Y145" s="161" t="s">
        <v>125</v>
      </c>
      <c r="Z145" s="161" t="s">
        <v>125</v>
      </c>
      <c r="AA145" s="161" t="s">
        <v>125</v>
      </c>
      <c r="AB145" s="161" t="s">
        <v>125</v>
      </c>
      <c r="AC145" s="161" t="s">
        <v>125</v>
      </c>
      <c r="AD145" s="161" t="s">
        <v>125</v>
      </c>
      <c r="AE145" s="161" t="s">
        <v>125</v>
      </c>
      <c r="AF145" s="161" t="s">
        <v>125</v>
      </c>
      <c r="AG145" s="168" t="s">
        <v>125</v>
      </c>
      <c r="AH145" s="168" t="s">
        <v>125</v>
      </c>
      <c r="AI145" s="168" t="s">
        <v>125</v>
      </c>
      <c r="AJ145" s="168" t="s">
        <v>125</v>
      </c>
      <c r="AK145" s="168" t="s">
        <v>125</v>
      </c>
      <c r="AL145" s="168" t="s">
        <v>125</v>
      </c>
      <c r="AM145" s="168" t="s">
        <v>125</v>
      </c>
      <c r="AN145" s="168" t="s">
        <v>125</v>
      </c>
      <c r="AO145" s="168" t="s">
        <v>125</v>
      </c>
      <c r="AP145" s="168">
        <v>0.15814617294703601</v>
      </c>
      <c r="AQ145" s="168">
        <v>0.18310105376996</v>
      </c>
      <c r="AR145" s="168">
        <v>0.18525977531707399</v>
      </c>
      <c r="AS145" s="168">
        <v>0.27090327548224502</v>
      </c>
      <c r="AT145" s="168">
        <v>0.28727159509946598</v>
      </c>
      <c r="AU145" s="168">
        <v>0.37738655709554098</v>
      </c>
      <c r="AV145" s="168">
        <v>0.45538071457292101</v>
      </c>
      <c r="AW145" s="168">
        <v>0.50778615819753503</v>
      </c>
      <c r="AX145" s="168">
        <v>0.56541252801672004</v>
      </c>
      <c r="AY145" s="168">
        <v>0.69529123803415904</v>
      </c>
      <c r="AZ145" s="168">
        <v>0.46356753499047698</v>
      </c>
      <c r="BA145" s="168">
        <v>0.52823872290307305</v>
      </c>
      <c r="BB145" s="168">
        <v>0.61277309999999996</v>
      </c>
      <c r="BC145" s="168">
        <v>0.71620659276751097</v>
      </c>
      <c r="BD145" s="168">
        <v>0.72388268712519699</v>
      </c>
    </row>
    <row r="146" spans="1:56">
      <c r="A146" s="163" t="s">
        <v>338</v>
      </c>
      <c r="B146" s="163" t="s">
        <v>339</v>
      </c>
      <c r="W146" s="161" t="s">
        <v>125</v>
      </c>
      <c r="X146" s="161" t="s">
        <v>125</v>
      </c>
      <c r="Y146" s="161" t="s">
        <v>125</v>
      </c>
      <c r="Z146" s="161" t="s">
        <v>125</v>
      </c>
      <c r="AA146" s="161" t="s">
        <v>125</v>
      </c>
      <c r="AB146" s="161" t="s">
        <v>125</v>
      </c>
      <c r="AC146" s="161" t="s">
        <v>125</v>
      </c>
      <c r="AD146" s="161" t="s">
        <v>125</v>
      </c>
      <c r="AE146" s="161" t="s">
        <v>125</v>
      </c>
      <c r="AF146" s="161" t="s">
        <v>125</v>
      </c>
      <c r="AG146" s="168" t="s">
        <v>125</v>
      </c>
      <c r="AH146" s="168" t="s">
        <v>125</v>
      </c>
      <c r="AI146" s="168" t="s">
        <v>125</v>
      </c>
      <c r="AJ146" s="168" t="s">
        <v>125</v>
      </c>
      <c r="AK146" s="168" t="s">
        <v>125</v>
      </c>
      <c r="AL146" s="168" t="s">
        <v>125</v>
      </c>
      <c r="AM146" s="168" t="s">
        <v>125</v>
      </c>
      <c r="AN146" s="168" t="s">
        <v>125</v>
      </c>
      <c r="AO146" s="168" t="s">
        <v>125</v>
      </c>
      <c r="AP146" s="168" t="s">
        <v>125</v>
      </c>
      <c r="AQ146" s="168" t="s">
        <v>125</v>
      </c>
      <c r="AR146" s="168" t="s">
        <v>125</v>
      </c>
      <c r="AS146" s="168" t="s">
        <v>125</v>
      </c>
      <c r="AT146" s="168" t="s">
        <v>125</v>
      </c>
      <c r="AU146" s="168" t="s">
        <v>125</v>
      </c>
      <c r="AV146" s="168" t="s">
        <v>125</v>
      </c>
      <c r="AW146" s="168" t="s">
        <v>125</v>
      </c>
      <c r="AX146" s="168" t="s">
        <v>125</v>
      </c>
      <c r="AY146" s="168" t="s">
        <v>125</v>
      </c>
      <c r="AZ146" s="168" t="s">
        <v>125</v>
      </c>
      <c r="BA146" s="168" t="s">
        <v>125</v>
      </c>
      <c r="BB146" s="168" t="s">
        <v>125</v>
      </c>
      <c r="BC146" s="168" t="s">
        <v>125</v>
      </c>
      <c r="BD146" s="168" t="s">
        <v>125</v>
      </c>
    </row>
    <row r="147" spans="1:56">
      <c r="A147" s="163" t="s">
        <v>340</v>
      </c>
      <c r="B147" s="163" t="s">
        <v>341</v>
      </c>
      <c r="W147" s="161" t="s">
        <v>125</v>
      </c>
      <c r="X147" s="161" t="s">
        <v>125</v>
      </c>
      <c r="Y147" s="161" t="s">
        <v>125</v>
      </c>
      <c r="Z147" s="161" t="s">
        <v>125</v>
      </c>
      <c r="AA147" s="161" t="s">
        <v>125</v>
      </c>
      <c r="AB147" s="161" t="s">
        <v>125</v>
      </c>
      <c r="AC147" s="161" t="s">
        <v>125</v>
      </c>
      <c r="AD147" s="161" t="s">
        <v>125</v>
      </c>
      <c r="AE147" s="161" t="s">
        <v>125</v>
      </c>
      <c r="AF147" s="161" t="s">
        <v>125</v>
      </c>
      <c r="AG147" s="168">
        <v>3.8944329444096201E-3</v>
      </c>
      <c r="AH147" s="168">
        <v>1.23752388335788E-2</v>
      </c>
      <c r="AI147" s="168">
        <v>0.12611203141903399</v>
      </c>
      <c r="AJ147" s="168">
        <v>0.500352742874555</v>
      </c>
      <c r="AK147" s="168">
        <v>0.79188877899057997</v>
      </c>
      <c r="AL147" s="168">
        <v>1.19617844028603</v>
      </c>
      <c r="AM147" s="168">
        <v>1.40322320709106</v>
      </c>
      <c r="AN147" s="168">
        <v>1.5486969388540599</v>
      </c>
      <c r="AO147" s="168">
        <v>1.5834925094435</v>
      </c>
      <c r="AP147" s="168">
        <v>1.5535048326108201</v>
      </c>
      <c r="AQ147" s="168">
        <v>1.5154036565770601</v>
      </c>
      <c r="AR147" s="168">
        <v>1.4609485576057</v>
      </c>
      <c r="AS147" s="168">
        <v>1.4204482343190601</v>
      </c>
      <c r="AT147" s="168">
        <v>1.3700956998420499</v>
      </c>
      <c r="AU147" s="168">
        <v>1.4079324410882199</v>
      </c>
      <c r="AV147" s="168">
        <v>1.4865817612432699</v>
      </c>
      <c r="AW147" s="168">
        <v>1.5182114760366701</v>
      </c>
      <c r="AX147" s="168">
        <v>1.61103659081856</v>
      </c>
      <c r="AY147" s="168">
        <v>1.697317288671</v>
      </c>
      <c r="AZ147" s="168">
        <v>1.6021538438463201</v>
      </c>
      <c r="BA147" s="168">
        <v>1.5565337568529201</v>
      </c>
      <c r="BB147" s="168">
        <v>1.5672654690618799</v>
      </c>
      <c r="BC147" s="168">
        <v>1.5943326734496599</v>
      </c>
      <c r="BD147" s="168">
        <v>1.59006169124285</v>
      </c>
    </row>
    <row r="148" spans="1:56">
      <c r="A148" s="163" t="s">
        <v>342</v>
      </c>
      <c r="B148" s="163" t="s">
        <v>343</v>
      </c>
      <c r="W148" s="161" t="s">
        <v>125</v>
      </c>
      <c r="X148" s="161" t="s">
        <v>125</v>
      </c>
      <c r="Y148" s="161" t="s">
        <v>125</v>
      </c>
      <c r="Z148" s="161" t="s">
        <v>125</v>
      </c>
      <c r="AA148" s="161" t="s">
        <v>125</v>
      </c>
      <c r="AB148" s="161" t="s">
        <v>125</v>
      </c>
      <c r="AC148" s="161" t="s">
        <v>125</v>
      </c>
      <c r="AD148" s="161" t="s">
        <v>125</v>
      </c>
      <c r="AE148" s="161" t="s">
        <v>125</v>
      </c>
      <c r="AF148" s="161" t="s">
        <v>125</v>
      </c>
      <c r="AG148" s="168">
        <v>0.90415428099999995</v>
      </c>
      <c r="AH148" s="168">
        <v>0.89099972400000005</v>
      </c>
      <c r="AI148" s="168">
        <v>0.90361940600000001</v>
      </c>
      <c r="AJ148" s="168">
        <v>0.93533156200000001</v>
      </c>
      <c r="AK148" s="168">
        <v>0.94827765200000003</v>
      </c>
      <c r="AL148" s="168">
        <v>0.95056347399999996</v>
      </c>
      <c r="AM148" s="168">
        <v>0.94790695700000005</v>
      </c>
      <c r="AN148" s="168">
        <v>0.95824538100000001</v>
      </c>
      <c r="AO148" s="168">
        <v>0.94785399699999995</v>
      </c>
      <c r="AP148" s="168">
        <v>0.94135914200000004</v>
      </c>
      <c r="AQ148" s="168">
        <v>0.93873065</v>
      </c>
      <c r="AR148" s="168">
        <v>0.94739404400000005</v>
      </c>
      <c r="AS148" s="168">
        <v>0.93438279300000004</v>
      </c>
      <c r="AT148" s="168">
        <v>0.94164149799999997</v>
      </c>
      <c r="AU148" s="168">
        <v>0.92311431700000002</v>
      </c>
      <c r="AV148" s="168">
        <v>0.95289638600000004</v>
      </c>
      <c r="AW148" s="168">
        <v>0.91343490699999996</v>
      </c>
      <c r="AX148" s="168">
        <v>0.92530929200000001</v>
      </c>
      <c r="AY148" s="168">
        <v>0.906229638</v>
      </c>
      <c r="AZ148" s="168">
        <v>0.90358288799999997</v>
      </c>
      <c r="BA148" s="168">
        <v>0.92223754099999999</v>
      </c>
      <c r="BB148" s="168">
        <v>0.90610035700000002</v>
      </c>
      <c r="BC148" s="168">
        <v>0.92118076999999998</v>
      </c>
      <c r="BD148" s="168">
        <v>0.92215851599999998</v>
      </c>
    </row>
    <row r="149" spans="1:56">
      <c r="A149" s="163" t="s">
        <v>344</v>
      </c>
      <c r="B149" s="163" t="s">
        <v>345</v>
      </c>
      <c r="W149" s="161" t="s">
        <v>125</v>
      </c>
      <c r="X149" s="161" t="s">
        <v>125</v>
      </c>
      <c r="Y149" s="161" t="s">
        <v>125</v>
      </c>
      <c r="Z149" s="161" t="s">
        <v>125</v>
      </c>
      <c r="AA149" s="161" t="s">
        <v>125</v>
      </c>
      <c r="AB149" s="161" t="s">
        <v>125</v>
      </c>
      <c r="AC149" s="161" t="s">
        <v>125</v>
      </c>
      <c r="AD149" s="161" t="s">
        <v>125</v>
      </c>
      <c r="AE149" s="161" t="s">
        <v>125</v>
      </c>
      <c r="AF149" s="161" t="s">
        <v>125</v>
      </c>
      <c r="AG149" s="168">
        <v>2.7831073363788899</v>
      </c>
      <c r="AH149" s="168">
        <v>3.0035350966568699</v>
      </c>
      <c r="AI149" s="168">
        <v>3.4131622067272702</v>
      </c>
      <c r="AJ149" s="168">
        <v>3.6503943848563001</v>
      </c>
      <c r="AK149" s="168">
        <v>3.8053067607216602</v>
      </c>
      <c r="AL149" s="168">
        <v>4.0378357878844202</v>
      </c>
      <c r="AM149" s="168">
        <v>4.0218295806554902</v>
      </c>
      <c r="AN149" s="168">
        <v>3.9980705733175501</v>
      </c>
      <c r="AO149" s="168">
        <v>3.8443837344799001</v>
      </c>
      <c r="AP149" s="168">
        <v>3.7203619596437001</v>
      </c>
      <c r="AQ149" s="168">
        <v>3.5641681479542902</v>
      </c>
      <c r="AR149" s="168">
        <v>3.61846307210415</v>
      </c>
      <c r="AS149" s="168">
        <v>3.5203542621277601</v>
      </c>
      <c r="AT149" s="168">
        <v>3.4620107242365199</v>
      </c>
      <c r="AU149" s="168">
        <v>3.43744600006253</v>
      </c>
      <c r="AV149" s="168">
        <v>3.5220135146092701</v>
      </c>
      <c r="AW149" s="168">
        <v>3.6848552795098599</v>
      </c>
      <c r="AX149" s="168">
        <v>3.9077190025240802</v>
      </c>
      <c r="AY149" s="168">
        <v>4.2483253656274798</v>
      </c>
      <c r="AZ149" s="168">
        <v>4.2422725204346996</v>
      </c>
      <c r="BA149" s="168">
        <v>4.3842226409393898</v>
      </c>
      <c r="BB149" s="168">
        <v>4.5885452082837501</v>
      </c>
      <c r="BC149" s="168">
        <v>4.8307744780880402</v>
      </c>
      <c r="BD149" s="168">
        <v>5.1207074265727304</v>
      </c>
    </row>
    <row r="150" spans="1:56">
      <c r="A150" s="163" t="s">
        <v>346</v>
      </c>
      <c r="B150" s="163" t="s">
        <v>347</v>
      </c>
      <c r="W150" s="161" t="s">
        <v>125</v>
      </c>
      <c r="X150" s="161" t="s">
        <v>125</v>
      </c>
      <c r="Y150" s="161" t="s">
        <v>125</v>
      </c>
      <c r="Z150" s="161" t="s">
        <v>125</v>
      </c>
      <c r="AA150" s="161" t="s">
        <v>125</v>
      </c>
      <c r="AB150" s="161" t="s">
        <v>125</v>
      </c>
      <c r="AC150" s="161" t="s">
        <v>125</v>
      </c>
      <c r="AD150" s="161" t="s">
        <v>125</v>
      </c>
      <c r="AE150" s="161" t="s">
        <v>125</v>
      </c>
      <c r="AF150" s="161" t="s">
        <v>125</v>
      </c>
      <c r="AG150" s="168">
        <v>4.7644298236626803E-2</v>
      </c>
      <c r="AH150" s="168">
        <v>8.9330258296220599E-2</v>
      </c>
      <c r="AI150" s="168">
        <v>1.19808051926624</v>
      </c>
      <c r="AJ150" s="168">
        <v>6.3444045761468102</v>
      </c>
      <c r="AK150" s="168">
        <v>15.6477554352239</v>
      </c>
      <c r="AL150" s="168">
        <v>17.947740138812101</v>
      </c>
      <c r="AM150" s="168">
        <v>18.130824956976799</v>
      </c>
      <c r="AN150" s="168">
        <v>18.526304985588101</v>
      </c>
      <c r="AO150" s="168">
        <v>18.471395410588698</v>
      </c>
      <c r="AP150" s="168">
        <v>18.797774489698799</v>
      </c>
      <c r="AQ150" s="168">
        <v>19.776349502757601</v>
      </c>
      <c r="AR150" s="168">
        <v>19.8570901635829</v>
      </c>
      <c r="AS150" s="168">
        <v>19.982655057802202</v>
      </c>
      <c r="AT150" s="168">
        <v>19.788919765860602</v>
      </c>
      <c r="AU150" s="168">
        <v>19.0994673498972</v>
      </c>
      <c r="AV150" s="168">
        <v>18.389141483919001</v>
      </c>
      <c r="AW150" s="168">
        <v>17.8446431331712</v>
      </c>
      <c r="AX150" s="168">
        <v>18.809274118154001</v>
      </c>
      <c r="AY150" s="168">
        <v>18.706496837199801</v>
      </c>
      <c r="AZ150" s="168">
        <v>17.740338825435199</v>
      </c>
      <c r="BA150" s="168">
        <v>18.1661652642671</v>
      </c>
      <c r="BB150" s="168">
        <v>18.677286935562801</v>
      </c>
      <c r="BC150" s="168">
        <v>18.845433758421201</v>
      </c>
      <c r="BD150" s="168">
        <v>19.067408967800201</v>
      </c>
    </row>
    <row r="151" spans="1:56">
      <c r="A151" s="163" t="s">
        <v>70</v>
      </c>
      <c r="B151" s="163" t="s">
        <v>348</v>
      </c>
      <c r="W151" s="161" t="s">
        <v>125</v>
      </c>
      <c r="X151" s="161" t="s">
        <v>125</v>
      </c>
      <c r="Y151" s="161" t="s">
        <v>125</v>
      </c>
      <c r="Z151" s="161" t="s">
        <v>125</v>
      </c>
      <c r="AA151" s="161" t="s">
        <v>125</v>
      </c>
      <c r="AB151" s="161" t="s">
        <v>125</v>
      </c>
      <c r="AC151" s="161" t="s">
        <v>125</v>
      </c>
      <c r="AD151" s="161" t="s">
        <v>125</v>
      </c>
      <c r="AE151" s="161" t="s">
        <v>125</v>
      </c>
      <c r="AF151" s="161" t="s">
        <v>125</v>
      </c>
      <c r="AG151" s="168">
        <v>73.650193280607297</v>
      </c>
      <c r="AH151" s="168">
        <v>80.463238903827502</v>
      </c>
      <c r="AI151" s="168">
        <v>90.009435310929405</v>
      </c>
      <c r="AJ151" s="168">
        <v>98.538920154228293</v>
      </c>
      <c r="AK151" s="168">
        <v>136.67397975068101</v>
      </c>
      <c r="AL151" s="168">
        <v>194.293064515574</v>
      </c>
      <c r="AM151" s="168">
        <v>224.84656992114199</v>
      </c>
      <c r="AN151" s="168">
        <v>237.18760515625601</v>
      </c>
      <c r="AO151" s="168">
        <v>254.43833414354199</v>
      </c>
      <c r="AP151" s="168">
        <v>275.22559516631998</v>
      </c>
      <c r="AQ151" s="168">
        <v>288.57607539583501</v>
      </c>
      <c r="AR151" s="168">
        <v>302.61386690102199</v>
      </c>
      <c r="AS151" s="168">
        <v>343.56143301735398</v>
      </c>
      <c r="AT151" s="168">
        <v>346.14225757871401</v>
      </c>
      <c r="AU151" s="168">
        <v>385.09737491772898</v>
      </c>
      <c r="AV151" s="168">
        <v>441.42417682948098</v>
      </c>
      <c r="AW151" s="168">
        <v>477.39071550567297</v>
      </c>
      <c r="AX151" s="168">
        <v>509.76718153725102</v>
      </c>
      <c r="AY151" s="168">
        <v>545.46489618714202</v>
      </c>
      <c r="AZ151" s="168">
        <v>586.56592955151802</v>
      </c>
      <c r="BA151" s="168">
        <v>632.71755827236905</v>
      </c>
      <c r="BB151" s="168">
        <v>673.72976017364601</v>
      </c>
      <c r="BC151" s="168">
        <v>703.04273172863202</v>
      </c>
      <c r="BD151" s="168">
        <v>745.24400065155203</v>
      </c>
    </row>
    <row r="152" spans="1:56">
      <c r="A152" s="163" t="s">
        <v>75</v>
      </c>
      <c r="B152" s="163" t="s">
        <v>349</v>
      </c>
      <c r="W152" s="161" t="s">
        <v>125</v>
      </c>
      <c r="X152" s="161" t="s">
        <v>125</v>
      </c>
      <c r="Y152" s="161" t="s">
        <v>125</v>
      </c>
      <c r="Z152" s="161" t="s">
        <v>125</v>
      </c>
      <c r="AA152" s="161" t="s">
        <v>125</v>
      </c>
      <c r="AB152" s="161" t="s">
        <v>125</v>
      </c>
      <c r="AC152" s="161" t="s">
        <v>125</v>
      </c>
      <c r="AD152" s="161" t="s">
        <v>125</v>
      </c>
      <c r="AE152" s="161" t="s">
        <v>125</v>
      </c>
      <c r="AF152" s="161" t="s">
        <v>125</v>
      </c>
      <c r="AG152" s="168">
        <v>1.3182468187846801</v>
      </c>
      <c r="AH152" s="168">
        <v>1.4122261262760401</v>
      </c>
      <c r="AI152" s="168">
        <v>1.5640521698799801</v>
      </c>
      <c r="AJ152" s="168">
        <v>1.9581194585870301</v>
      </c>
      <c r="AK152" s="168">
        <v>2.4190985813386101</v>
      </c>
      <c r="AL152" s="168">
        <v>4.1995148964449198</v>
      </c>
      <c r="AM152" s="168">
        <v>6.2830260283823796</v>
      </c>
      <c r="AN152" s="168">
        <v>7.4643720887010101</v>
      </c>
      <c r="AO152" s="168">
        <v>8.8277837222159707</v>
      </c>
      <c r="AP152" s="168">
        <v>12.157969212292</v>
      </c>
      <c r="AQ152" s="168">
        <v>15.5176834233303</v>
      </c>
      <c r="AR152" s="168">
        <v>19.0570749393749</v>
      </c>
      <c r="AS152" s="168">
        <v>30.4361430622779</v>
      </c>
      <c r="AT152" s="168">
        <v>32.693031692397597</v>
      </c>
      <c r="AU152" s="168">
        <v>36.723959147271103</v>
      </c>
      <c r="AV152" s="168">
        <v>39.487017661857699</v>
      </c>
      <c r="AW152" s="168">
        <v>48.773637994553503</v>
      </c>
      <c r="AX152" s="168">
        <v>52.259907116549002</v>
      </c>
      <c r="AY152" s="168">
        <v>55.694953732872598</v>
      </c>
      <c r="AZ152" s="168">
        <v>59.897763832515501</v>
      </c>
      <c r="BA152" s="168">
        <v>74.833790033589906</v>
      </c>
      <c r="BB152" s="168">
        <v>76.259177959986502</v>
      </c>
      <c r="BC152" s="168">
        <v>88.216139406230099</v>
      </c>
      <c r="BD152" s="168">
        <v>105.823594081558</v>
      </c>
    </row>
    <row r="153" spans="1:56">
      <c r="A153" s="163" t="s">
        <v>350</v>
      </c>
      <c r="B153" s="163" t="s">
        <v>351</v>
      </c>
      <c r="W153" s="161" t="s">
        <v>125</v>
      </c>
      <c r="X153" s="161" t="s">
        <v>125</v>
      </c>
      <c r="Y153" s="161" t="s">
        <v>125</v>
      </c>
      <c r="Z153" s="161" t="s">
        <v>125</v>
      </c>
      <c r="AA153" s="161" t="s">
        <v>125</v>
      </c>
      <c r="AB153" s="161" t="s">
        <v>125</v>
      </c>
      <c r="AC153" s="161" t="s">
        <v>125</v>
      </c>
      <c r="AD153" s="161" t="s">
        <v>125</v>
      </c>
      <c r="AE153" s="161" t="s">
        <v>125</v>
      </c>
      <c r="AF153" s="161" t="s">
        <v>125</v>
      </c>
      <c r="AG153" s="168">
        <v>0.99409558651079399</v>
      </c>
      <c r="AH153" s="168">
        <v>0.99658424614541197</v>
      </c>
      <c r="AI153" s="168">
        <v>0.99790213700758701</v>
      </c>
      <c r="AJ153" s="168">
        <v>1.0135547578242099</v>
      </c>
      <c r="AK153" s="168">
        <v>1.0315092462453499</v>
      </c>
      <c r="AL153" s="168">
        <v>1.04714026601195</v>
      </c>
      <c r="AM153" s="168">
        <v>1.0662061597763599</v>
      </c>
      <c r="AN153" s="168">
        <v>1.08477511287418</v>
      </c>
      <c r="AO153" s="168">
        <v>1.16434099778844</v>
      </c>
      <c r="AP153" s="168">
        <v>1.14846084527925</v>
      </c>
      <c r="AQ153" s="168">
        <v>1.2223850493314701</v>
      </c>
      <c r="AR153" s="168">
        <v>1.1761057548529801</v>
      </c>
      <c r="AS153" s="168">
        <v>1.1945487032115101</v>
      </c>
      <c r="AT153" s="168">
        <v>1.2097799812972301</v>
      </c>
      <c r="AU153" s="168">
        <v>1.24826395891582</v>
      </c>
      <c r="AV153" s="168">
        <v>1.3166591116403199</v>
      </c>
      <c r="AW153" s="168">
        <v>1.3282402247865901</v>
      </c>
      <c r="AX153" s="168">
        <v>1.3570657215178401</v>
      </c>
      <c r="AY153" s="168">
        <v>1.46933989568598</v>
      </c>
      <c r="AZ153" s="168">
        <v>1.37074759736617</v>
      </c>
      <c r="BA153" s="168">
        <v>1.41013509954685</v>
      </c>
      <c r="BB153" s="168">
        <v>1.45927175813657</v>
      </c>
      <c r="BC153" s="168">
        <v>1.4447896675752001</v>
      </c>
      <c r="BD153" s="168">
        <v>1.42193214782471</v>
      </c>
    </row>
    <row r="154" spans="1:56">
      <c r="A154" s="163" t="s">
        <v>352</v>
      </c>
      <c r="B154" s="163" t="s">
        <v>353</v>
      </c>
      <c r="W154" s="161" t="s">
        <v>125</v>
      </c>
      <c r="X154" s="161" t="s">
        <v>125</v>
      </c>
      <c r="Y154" s="161" t="s">
        <v>125</v>
      </c>
      <c r="Z154" s="161" t="s">
        <v>125</v>
      </c>
      <c r="AA154" s="161" t="s">
        <v>125</v>
      </c>
      <c r="AB154" s="161" t="s">
        <v>125</v>
      </c>
      <c r="AC154" s="161" t="s">
        <v>125</v>
      </c>
      <c r="AD154" s="161" t="s">
        <v>125</v>
      </c>
      <c r="AE154" s="161" t="s">
        <v>125</v>
      </c>
      <c r="AF154" s="161" t="s">
        <v>125</v>
      </c>
      <c r="AG154" s="168" t="s">
        <v>125</v>
      </c>
      <c r="AH154" s="168" t="s">
        <v>125</v>
      </c>
      <c r="AI154" s="168" t="s">
        <v>125</v>
      </c>
      <c r="AJ154" s="168" t="s">
        <v>125</v>
      </c>
      <c r="AK154" s="168" t="s">
        <v>125</v>
      </c>
      <c r="AL154" s="168" t="s">
        <v>125</v>
      </c>
      <c r="AM154" s="168" t="s">
        <v>125</v>
      </c>
      <c r="AN154" s="168" t="s">
        <v>125</v>
      </c>
      <c r="AO154" s="168" t="s">
        <v>125</v>
      </c>
      <c r="AP154" s="168" t="s">
        <v>125</v>
      </c>
      <c r="AQ154" s="168" t="s">
        <v>125</v>
      </c>
      <c r="AR154" s="168">
        <v>6.6225242653299796</v>
      </c>
      <c r="AS154" s="168">
        <v>6.6353660975001301</v>
      </c>
      <c r="AT154" s="168">
        <v>6.5356564937200803</v>
      </c>
      <c r="AU154" s="168">
        <v>6.4040529098747303</v>
      </c>
      <c r="AV154" s="168">
        <v>6.2693214717040204</v>
      </c>
      <c r="AW154" s="168">
        <v>6.6794791149459796</v>
      </c>
      <c r="AX154" s="168">
        <v>6.9629321971043296</v>
      </c>
      <c r="AY154" s="168">
        <v>7.4672626933332298</v>
      </c>
      <c r="AZ154" s="168">
        <v>8.0678357407361503</v>
      </c>
      <c r="BA154" s="168">
        <v>8.0065147947169599</v>
      </c>
      <c r="BB154" s="168">
        <v>8.5267992695503203</v>
      </c>
      <c r="BC154" s="168">
        <v>8.5018941671155108</v>
      </c>
      <c r="BD154" s="168">
        <v>8.7894108826651998</v>
      </c>
    </row>
    <row r="155" spans="1:56">
      <c r="A155" s="163" t="s">
        <v>354</v>
      </c>
      <c r="B155" s="163" t="s">
        <v>355</v>
      </c>
      <c r="W155" s="161" t="s">
        <v>125</v>
      </c>
      <c r="X155" s="161" t="s">
        <v>125</v>
      </c>
      <c r="Y155" s="161" t="s">
        <v>125</v>
      </c>
      <c r="Z155" s="161" t="s">
        <v>125</v>
      </c>
      <c r="AA155" s="161" t="s">
        <v>125</v>
      </c>
      <c r="AB155" s="161" t="s">
        <v>125</v>
      </c>
      <c r="AC155" s="161" t="s">
        <v>125</v>
      </c>
      <c r="AD155" s="161" t="s">
        <v>125</v>
      </c>
      <c r="AE155" s="161" t="s">
        <v>125</v>
      </c>
      <c r="AF155" s="161" t="s">
        <v>125</v>
      </c>
      <c r="AG155" s="168">
        <v>116.143914665379</v>
      </c>
      <c r="AH155" s="168">
        <v>114.69519222611299</v>
      </c>
      <c r="AI155" s="168">
        <v>114.34862786297801</v>
      </c>
      <c r="AJ155" s="168">
        <v>114.622883176066</v>
      </c>
      <c r="AK155" s="168">
        <v>143.53931055233301</v>
      </c>
      <c r="AL155" s="168">
        <v>166.51833777711099</v>
      </c>
      <c r="AM155" s="168">
        <v>172.43828678910401</v>
      </c>
      <c r="AN155" s="168">
        <v>171.23306041241401</v>
      </c>
      <c r="AO155" s="168">
        <v>169.41252526052099</v>
      </c>
      <c r="AP155" s="168">
        <v>161.65738578770399</v>
      </c>
      <c r="AQ155" s="168">
        <v>166.92065890522201</v>
      </c>
      <c r="AR155" s="168">
        <v>162.69710418860501</v>
      </c>
      <c r="AS155" s="168">
        <v>185.94452978757801</v>
      </c>
      <c r="AT155" s="168">
        <v>184.643824988289</v>
      </c>
      <c r="AU155" s="168">
        <v>178.61375600276199</v>
      </c>
      <c r="AV155" s="168">
        <v>177.30030925147099</v>
      </c>
      <c r="AW155" s="168">
        <v>181.24192115918001</v>
      </c>
      <c r="AX155" s="168">
        <v>181.07589262131901</v>
      </c>
      <c r="AY155" s="168">
        <v>193.30374350727899</v>
      </c>
      <c r="AZ155" s="168">
        <v>198.66614999210401</v>
      </c>
      <c r="BA155" s="168">
        <v>204.502484481929</v>
      </c>
      <c r="BB155" s="168">
        <v>210.193369656089</v>
      </c>
      <c r="BC155" s="168">
        <v>217.95819545242799</v>
      </c>
      <c r="BD155" s="168">
        <v>215.241613309402</v>
      </c>
    </row>
    <row r="156" spans="1:56">
      <c r="A156" s="163" t="s">
        <v>356</v>
      </c>
      <c r="B156" s="163" t="s">
        <v>357</v>
      </c>
      <c r="W156" s="161" t="s">
        <v>125</v>
      </c>
      <c r="X156" s="161" t="s">
        <v>125</v>
      </c>
      <c r="Y156" s="161" t="s">
        <v>125</v>
      </c>
      <c r="Z156" s="161" t="s">
        <v>125</v>
      </c>
      <c r="AA156" s="161" t="s">
        <v>125</v>
      </c>
      <c r="AB156" s="161" t="s">
        <v>125</v>
      </c>
      <c r="AC156" s="161" t="s">
        <v>125</v>
      </c>
      <c r="AD156" s="161" t="s">
        <v>125</v>
      </c>
      <c r="AE156" s="161" t="s">
        <v>125</v>
      </c>
      <c r="AF156" s="161" t="s">
        <v>125</v>
      </c>
      <c r="AG156" s="168">
        <v>0.48764992473915503</v>
      </c>
      <c r="AH156" s="168">
        <v>0.48776668852906302</v>
      </c>
      <c r="AI156" s="168">
        <v>0.49384222508773401</v>
      </c>
      <c r="AJ156" s="168">
        <v>0.49613208767947797</v>
      </c>
      <c r="AK156" s="168">
        <v>0.50309324610051198</v>
      </c>
      <c r="AL156" s="168">
        <v>0.51973380164525396</v>
      </c>
      <c r="AM156" s="168">
        <v>0.56452351668857903</v>
      </c>
      <c r="AN156" s="168">
        <v>0.55914965317276399</v>
      </c>
      <c r="AO156" s="168">
        <v>0.56089920940152604</v>
      </c>
      <c r="AP156" s="168">
        <v>0.56208844932464597</v>
      </c>
      <c r="AQ156" s="168">
        <v>0.55555304642376302</v>
      </c>
      <c r="AR156" s="168">
        <v>0.57203393465263297</v>
      </c>
      <c r="AS156" s="168">
        <v>0.566971128788332</v>
      </c>
      <c r="AT156" s="168">
        <v>0.57297683100911401</v>
      </c>
      <c r="AU156" s="168">
        <v>0.56650709638269903</v>
      </c>
      <c r="AV156" s="168">
        <v>0.56752576887973405</v>
      </c>
      <c r="AW156" s="168">
        <v>0.56135603700057801</v>
      </c>
      <c r="AX156" s="168">
        <v>0.56832508190457598</v>
      </c>
      <c r="AY156" s="168">
        <v>0.56024411031096299</v>
      </c>
      <c r="AZ156" s="168">
        <v>0.54503198518107399</v>
      </c>
      <c r="BA156" s="168">
        <v>0.55745995143777805</v>
      </c>
      <c r="BB156" s="168">
        <v>0.55840470003389397</v>
      </c>
      <c r="BC156" s="168">
        <v>0.571386369565551</v>
      </c>
      <c r="BD156" s="168">
        <v>0.56789422208847395</v>
      </c>
    </row>
    <row r="157" spans="1:56">
      <c r="A157" s="163" t="s">
        <v>358</v>
      </c>
      <c r="B157" s="163" t="s">
        <v>359</v>
      </c>
      <c r="W157" s="161" t="s">
        <v>125</v>
      </c>
      <c r="X157" s="161" t="s">
        <v>125</v>
      </c>
      <c r="Y157" s="161" t="s">
        <v>125</v>
      </c>
      <c r="Z157" s="161" t="s">
        <v>125</v>
      </c>
      <c r="AA157" s="161" t="s">
        <v>125</v>
      </c>
      <c r="AB157" s="161" t="s">
        <v>125</v>
      </c>
      <c r="AC157" s="161" t="s">
        <v>125</v>
      </c>
      <c r="AD157" s="161" t="s">
        <v>125</v>
      </c>
      <c r="AE157" s="161" t="s">
        <v>125</v>
      </c>
      <c r="AF157" s="161" t="s">
        <v>125</v>
      </c>
      <c r="AG157" s="168">
        <v>0.87669258466587296</v>
      </c>
      <c r="AH157" s="168">
        <v>0.89127070797770003</v>
      </c>
      <c r="AI157" s="168">
        <v>0.89766348654998795</v>
      </c>
      <c r="AJ157" s="168">
        <v>0.90339700501779197</v>
      </c>
      <c r="AK157" s="168">
        <v>0.90778313415112799</v>
      </c>
      <c r="AL157" s="168">
        <v>0.91419618817680204</v>
      </c>
      <c r="AM157" s="168">
        <v>0.92290102768020799</v>
      </c>
      <c r="AN157" s="168">
        <v>0.92991875442412697</v>
      </c>
      <c r="AO157" s="168">
        <v>0.96836689069627202</v>
      </c>
      <c r="AP157" s="168">
        <v>0.97167294156787298</v>
      </c>
      <c r="AQ157" s="168">
        <v>0.92181793329460404</v>
      </c>
      <c r="AR157" s="168">
        <v>0.887789991149464</v>
      </c>
      <c r="AS157" s="168">
        <v>0.92297365351947502</v>
      </c>
      <c r="AT157" s="168">
        <v>0.91894305058685899</v>
      </c>
      <c r="AU157" s="168">
        <v>0.92467515475155804</v>
      </c>
      <c r="AV157" s="168">
        <v>0.91600186871741895</v>
      </c>
      <c r="AW157" s="168">
        <v>0.90900960986492696</v>
      </c>
      <c r="AX157" s="168">
        <v>0.897590768071028</v>
      </c>
      <c r="AY157" s="168">
        <v>0.91466996659431699</v>
      </c>
      <c r="AZ157" s="168">
        <v>0.91543608421099398</v>
      </c>
      <c r="BA157" s="168">
        <v>0.92229955835380595</v>
      </c>
      <c r="BB157" s="168">
        <v>0.93859516440826896</v>
      </c>
      <c r="BC157" s="168">
        <v>0.90526796593770997</v>
      </c>
      <c r="BD157" s="168">
        <v>0.89610098468835397</v>
      </c>
    </row>
    <row r="158" spans="1:56">
      <c r="A158" s="163" t="s">
        <v>360</v>
      </c>
      <c r="B158" s="163" t="s">
        <v>361</v>
      </c>
      <c r="W158" s="161" t="s">
        <v>125</v>
      </c>
      <c r="X158" s="161" t="s">
        <v>125</v>
      </c>
      <c r="Y158" s="161" t="s">
        <v>125</v>
      </c>
      <c r="Z158" s="161" t="s">
        <v>125</v>
      </c>
      <c r="AA158" s="161" t="s">
        <v>125</v>
      </c>
      <c r="AB158" s="161" t="s">
        <v>125</v>
      </c>
      <c r="AC158" s="161" t="s">
        <v>125</v>
      </c>
      <c r="AD158" s="161" t="s">
        <v>125</v>
      </c>
      <c r="AE158" s="161" t="s">
        <v>125</v>
      </c>
      <c r="AF158" s="161" t="s">
        <v>125</v>
      </c>
      <c r="AG158" s="168">
        <v>28.2573352970191</v>
      </c>
      <c r="AH158" s="168">
        <v>38.673251436808997</v>
      </c>
      <c r="AI158" s="168">
        <v>39.982085285216002</v>
      </c>
      <c r="AJ158" s="168">
        <v>43.705016119038497</v>
      </c>
      <c r="AK158" s="168">
        <v>47.540991675797699</v>
      </c>
      <c r="AL158" s="168">
        <v>47.893023927427599</v>
      </c>
      <c r="AM158" s="168">
        <v>47.907466453302199</v>
      </c>
      <c r="AN158" s="168">
        <v>52.7900649795357</v>
      </c>
      <c r="AO158" s="168">
        <v>60.828685373900697</v>
      </c>
      <c r="AP158" s="168">
        <v>63.267692437861498</v>
      </c>
      <c r="AQ158" s="168">
        <v>65.204864942086203</v>
      </c>
      <c r="AR158" s="168">
        <v>66.955776819784305</v>
      </c>
      <c r="AS158" s="168">
        <v>71.188030192470507</v>
      </c>
      <c r="AT158" s="168">
        <v>75.231545835089506</v>
      </c>
      <c r="AU158" s="168">
        <v>81.830580901310199</v>
      </c>
      <c r="AV158" s="168">
        <v>86.863711695941902</v>
      </c>
      <c r="AW158" s="168">
        <v>99.827449531163495</v>
      </c>
      <c r="AX158" s="168">
        <v>101.70994504663901</v>
      </c>
      <c r="AY158" s="168">
        <v>100.23931144894</v>
      </c>
      <c r="AZ158" s="168">
        <v>88.582873420355696</v>
      </c>
      <c r="BA158" s="168">
        <v>102.815125649675</v>
      </c>
      <c r="BB158" s="168">
        <v>115.854857528878</v>
      </c>
      <c r="BC158" s="168">
        <v>107.467720803579</v>
      </c>
      <c r="BD158" s="168">
        <v>105.71165976653801</v>
      </c>
    </row>
    <row r="159" spans="1:56">
      <c r="A159" s="163" t="s">
        <v>362</v>
      </c>
      <c r="B159" s="163" t="s">
        <v>363</v>
      </c>
      <c r="W159" s="161" t="s">
        <v>125</v>
      </c>
      <c r="X159" s="161" t="s">
        <v>125</v>
      </c>
      <c r="Y159" s="161" t="s">
        <v>125</v>
      </c>
      <c r="Z159" s="161" t="s">
        <v>125</v>
      </c>
      <c r="AA159" s="161" t="s">
        <v>125</v>
      </c>
      <c r="AB159" s="161" t="s">
        <v>125</v>
      </c>
      <c r="AC159" s="161" t="s">
        <v>125</v>
      </c>
      <c r="AD159" s="161" t="s">
        <v>125</v>
      </c>
      <c r="AE159" s="161" t="s">
        <v>125</v>
      </c>
      <c r="AF159" s="161" t="s">
        <v>125</v>
      </c>
      <c r="AG159" s="168">
        <v>7.5940546067969699</v>
      </c>
      <c r="AH159" s="168">
        <v>7.9790372093872701</v>
      </c>
      <c r="AI159" s="168">
        <v>8.2189201426092797</v>
      </c>
      <c r="AJ159" s="168">
        <v>8.7680608037154197</v>
      </c>
      <c r="AK159" s="168">
        <v>9.1481010947388892</v>
      </c>
      <c r="AL159" s="168">
        <v>9.4453619306895291</v>
      </c>
      <c r="AM159" s="168">
        <v>9.9254559299945093</v>
      </c>
      <c r="AN159" s="168">
        <v>10.2582019693651</v>
      </c>
      <c r="AO159" s="168">
        <v>10.8549261505045</v>
      </c>
      <c r="AP159" s="168">
        <v>11.2674864864758</v>
      </c>
      <c r="AQ159" s="168">
        <v>11.246969483319599</v>
      </c>
      <c r="AR159" s="168">
        <v>11.7756886236716</v>
      </c>
      <c r="AS159" s="168">
        <v>12.2763726965869</v>
      </c>
      <c r="AT159" s="168">
        <v>12.723673437884701</v>
      </c>
      <c r="AU159" s="168">
        <v>13.138463524366299</v>
      </c>
      <c r="AV159" s="168">
        <v>13.2723289165877</v>
      </c>
      <c r="AW159" s="168">
        <v>14.265207142101</v>
      </c>
      <c r="AX159" s="168">
        <v>15.002105846284699</v>
      </c>
      <c r="AY159" s="168">
        <v>15.6788128861972</v>
      </c>
      <c r="AZ159" s="168">
        <v>15.547527943697601</v>
      </c>
      <c r="BA159" s="168">
        <v>15.634065870588</v>
      </c>
      <c r="BB159" s="168">
        <v>15.940919392769599</v>
      </c>
      <c r="BC159" s="168">
        <v>16.1555283534503</v>
      </c>
      <c r="BD159" s="168">
        <v>16.438071836334501</v>
      </c>
    </row>
    <row r="160" spans="1:56">
      <c r="A160" s="163" t="s">
        <v>88</v>
      </c>
      <c r="B160" s="163" t="s">
        <v>364</v>
      </c>
      <c r="W160" s="161" t="s">
        <v>125</v>
      </c>
      <c r="X160" s="161" t="s">
        <v>125</v>
      </c>
      <c r="Y160" s="161" t="s">
        <v>125</v>
      </c>
      <c r="Z160" s="161" t="s">
        <v>125</v>
      </c>
      <c r="AA160" s="161" t="s">
        <v>125</v>
      </c>
      <c r="AB160" s="161" t="s">
        <v>125</v>
      </c>
      <c r="AC160" s="161" t="s">
        <v>125</v>
      </c>
      <c r="AD160" s="161" t="s">
        <v>125</v>
      </c>
      <c r="AE160" s="161" t="s">
        <v>125</v>
      </c>
      <c r="AF160" s="161" t="s">
        <v>125</v>
      </c>
      <c r="AG160" s="168">
        <v>1.4324552370000001</v>
      </c>
      <c r="AH160" s="168">
        <v>1.708677072</v>
      </c>
      <c r="AI160" s="168">
        <v>1.9113286700000001</v>
      </c>
      <c r="AJ160" s="168">
        <v>2.044125272</v>
      </c>
      <c r="AK160" s="168">
        <v>2.1670792240000001</v>
      </c>
      <c r="AL160" s="168">
        <v>2.9263721829999998</v>
      </c>
      <c r="AM160" s="168">
        <v>3.7574481369999999</v>
      </c>
      <c r="AN160" s="168">
        <v>4.3486282430000003</v>
      </c>
      <c r="AO160" s="168">
        <v>4.9631328110000004</v>
      </c>
      <c r="AP160" s="168">
        <v>5.6336700000000004</v>
      </c>
      <c r="AQ160" s="168">
        <v>6.094113997</v>
      </c>
      <c r="AR160" s="168">
        <v>6.3046437280000003</v>
      </c>
      <c r="AS160" s="168">
        <v>6.5536969310000002</v>
      </c>
      <c r="AT160" s="168">
        <v>6.8127370369999998</v>
      </c>
      <c r="AU160" s="168">
        <v>7.2195880570000002</v>
      </c>
      <c r="AV160" s="168">
        <v>7.1268617059999997</v>
      </c>
      <c r="AW160" s="168">
        <v>7.1691299869999998</v>
      </c>
      <c r="AX160" s="168">
        <v>7.374892827</v>
      </c>
      <c r="AY160" s="168">
        <v>7.4695318930000001</v>
      </c>
      <c r="AZ160" s="168">
        <v>7.4445926169999996</v>
      </c>
      <c r="BA160" s="168">
        <v>7.6507460810000003</v>
      </c>
      <c r="BB160" s="168">
        <v>7.6730131039999998</v>
      </c>
      <c r="BC160" s="168">
        <v>7.986972422</v>
      </c>
      <c r="BD160" s="168">
        <v>7.9962023350000004</v>
      </c>
    </row>
    <row r="161" spans="1:56">
      <c r="A161" s="163" t="s">
        <v>365</v>
      </c>
      <c r="B161" s="163" t="s">
        <v>366</v>
      </c>
      <c r="W161" s="161" t="s">
        <v>125</v>
      </c>
      <c r="X161" s="161" t="s">
        <v>125</v>
      </c>
      <c r="Y161" s="161" t="s">
        <v>125</v>
      </c>
      <c r="Z161" s="161" t="s">
        <v>125</v>
      </c>
      <c r="AA161" s="161" t="s">
        <v>125</v>
      </c>
      <c r="AB161" s="161" t="s">
        <v>125</v>
      </c>
      <c r="AC161" s="161" t="s">
        <v>125</v>
      </c>
      <c r="AD161" s="161" t="s">
        <v>125</v>
      </c>
      <c r="AE161" s="161" t="s">
        <v>125</v>
      </c>
      <c r="AF161" s="161" t="s">
        <v>125</v>
      </c>
      <c r="AG161" s="168">
        <v>0.85379156089415598</v>
      </c>
      <c r="AH161" s="168">
        <v>0.86846048284066302</v>
      </c>
      <c r="AI161" s="168">
        <v>0.87482991023245704</v>
      </c>
      <c r="AJ161" s="168">
        <v>0.88023397662733904</v>
      </c>
      <c r="AK161" s="168">
        <v>0.88442482740343298</v>
      </c>
      <c r="AL161" s="168">
        <v>0.88736180693544597</v>
      </c>
      <c r="AM161" s="168">
        <v>0.88623924815049104</v>
      </c>
      <c r="AN161" s="168">
        <v>0.87696527103705202</v>
      </c>
      <c r="AO161" s="168">
        <v>0.89455827499752105</v>
      </c>
      <c r="AP161" s="168">
        <v>0.87394256644052604</v>
      </c>
      <c r="AQ161" s="168">
        <v>0.863772216186669</v>
      </c>
      <c r="AR161" s="168">
        <v>0.85421351332100204</v>
      </c>
      <c r="AS161" s="168">
        <v>0.84146491688005898</v>
      </c>
      <c r="AT161" s="168">
        <v>0.82174974696319603</v>
      </c>
      <c r="AU161" s="168">
        <v>0.80822066099239098</v>
      </c>
      <c r="AV161" s="168">
        <v>0.79944258207003405</v>
      </c>
      <c r="AW161" s="168">
        <v>0.786650009121868</v>
      </c>
      <c r="AX161" s="168">
        <v>0.79139628085855396</v>
      </c>
      <c r="AY161" s="168">
        <v>0.813586144368032</v>
      </c>
      <c r="AZ161" s="168">
        <v>0.84916222766757798</v>
      </c>
      <c r="BA161" s="168">
        <v>0.86726592132385405</v>
      </c>
      <c r="BB161" s="168">
        <v>0.87929396015344896</v>
      </c>
      <c r="BC161" s="168">
        <v>0.90447246620133903</v>
      </c>
      <c r="BD161" s="168">
        <v>0.90924741034932799</v>
      </c>
    </row>
    <row r="162" spans="1:56">
      <c r="A162" s="163" t="s">
        <v>367</v>
      </c>
      <c r="B162" s="163" t="s">
        <v>368</v>
      </c>
      <c r="W162" s="161" t="s">
        <v>125</v>
      </c>
      <c r="X162" s="161" t="s">
        <v>125</v>
      </c>
      <c r="Y162" s="161" t="s">
        <v>125</v>
      </c>
      <c r="Z162" s="161" t="s">
        <v>125</v>
      </c>
      <c r="AA162" s="161" t="s">
        <v>125</v>
      </c>
      <c r="AB162" s="161" t="s">
        <v>125</v>
      </c>
      <c r="AC162" s="161" t="s">
        <v>125</v>
      </c>
      <c r="AD162" s="161" t="s">
        <v>125</v>
      </c>
      <c r="AE162" s="161" t="s">
        <v>125</v>
      </c>
      <c r="AF162" s="161" t="s">
        <v>125</v>
      </c>
      <c r="AG162" s="168">
        <v>8.3694091755601499E-4</v>
      </c>
      <c r="AH162" s="168">
        <v>1.9425953571012801E-3</v>
      </c>
      <c r="AI162" s="168">
        <v>1.9848093421376199E-2</v>
      </c>
      <c r="AJ162" s="168">
        <v>0.18620124581986</v>
      </c>
      <c r="AK162" s="168">
        <v>0.68632758865594901</v>
      </c>
      <c r="AL162" s="168">
        <v>0.93273488213015998</v>
      </c>
      <c r="AM162" s="168">
        <v>1.16277514594861</v>
      </c>
      <c r="AN162" s="168">
        <v>1.28673369964067</v>
      </c>
      <c r="AO162" s="168">
        <v>1.3441910789795599</v>
      </c>
      <c r="AP162" s="168">
        <v>1.92002460227368</v>
      </c>
      <c r="AQ162" s="168">
        <v>2.39058721866965</v>
      </c>
      <c r="AR162" s="168">
        <v>2.6195626320868102</v>
      </c>
      <c r="AS162" s="168">
        <v>2.8334892440752601</v>
      </c>
      <c r="AT162" s="168">
        <v>3.1909380301453698</v>
      </c>
      <c r="AU162" s="168">
        <v>3.3535361797327599</v>
      </c>
      <c r="AV162" s="168">
        <v>3.55290512011163</v>
      </c>
      <c r="AW162" s="168">
        <v>3.9100754277375702</v>
      </c>
      <c r="AX162" s="168">
        <v>4.4119686509038898</v>
      </c>
      <c r="AY162" s="168">
        <v>4.7290176202079097</v>
      </c>
      <c r="AZ162" s="168">
        <v>4.7942076044577799</v>
      </c>
      <c r="BA162" s="168">
        <v>5.26157701975312</v>
      </c>
      <c r="BB162" s="168">
        <v>5.5349509828565999</v>
      </c>
      <c r="BC162" s="168">
        <v>5.8692943080551201</v>
      </c>
      <c r="BD162" s="168">
        <v>6.0103691671752104</v>
      </c>
    </row>
    <row r="163" spans="1:56">
      <c r="A163" s="163" t="s">
        <v>369</v>
      </c>
      <c r="B163" s="163" t="s">
        <v>370</v>
      </c>
      <c r="W163" s="161" t="s">
        <v>125</v>
      </c>
      <c r="X163" s="161" t="s">
        <v>125</v>
      </c>
      <c r="Y163" s="161" t="s">
        <v>125</v>
      </c>
      <c r="Z163" s="161" t="s">
        <v>125</v>
      </c>
      <c r="AA163" s="161" t="s">
        <v>125</v>
      </c>
      <c r="AB163" s="161" t="s">
        <v>125</v>
      </c>
      <c r="AC163" s="161" t="s">
        <v>125</v>
      </c>
      <c r="AD163" s="161" t="s">
        <v>125</v>
      </c>
      <c r="AE163" s="161" t="s">
        <v>125</v>
      </c>
      <c r="AF163" s="161" t="s">
        <v>125</v>
      </c>
      <c r="AG163" s="168" t="s">
        <v>125</v>
      </c>
      <c r="AH163" s="168" t="s">
        <v>125</v>
      </c>
      <c r="AI163" s="168" t="s">
        <v>125</v>
      </c>
      <c r="AJ163" s="168" t="s">
        <v>125</v>
      </c>
      <c r="AK163" s="168" t="s">
        <v>125</v>
      </c>
      <c r="AL163" s="168" t="s">
        <v>125</v>
      </c>
      <c r="AM163" s="168" t="s">
        <v>125</v>
      </c>
      <c r="AN163" s="168" t="s">
        <v>125</v>
      </c>
      <c r="AO163" s="168" t="s">
        <v>125</v>
      </c>
      <c r="AP163" s="168" t="s">
        <v>125</v>
      </c>
      <c r="AQ163" s="168" t="s">
        <v>125</v>
      </c>
      <c r="AR163" s="168" t="s">
        <v>125</v>
      </c>
      <c r="AS163" s="168" t="s">
        <v>125</v>
      </c>
      <c r="AT163" s="168" t="s">
        <v>125</v>
      </c>
      <c r="AU163" s="168" t="s">
        <v>125</v>
      </c>
      <c r="AV163" s="168" t="s">
        <v>125</v>
      </c>
      <c r="AW163" s="168" t="s">
        <v>125</v>
      </c>
      <c r="AX163" s="168" t="s">
        <v>125</v>
      </c>
      <c r="AY163" s="168" t="s">
        <v>125</v>
      </c>
      <c r="AZ163" s="168" t="s">
        <v>125</v>
      </c>
      <c r="BA163" s="168" t="s">
        <v>125</v>
      </c>
      <c r="BB163" s="168" t="s">
        <v>125</v>
      </c>
      <c r="BC163" s="168" t="s">
        <v>125</v>
      </c>
      <c r="BD163" s="168" t="s">
        <v>125</v>
      </c>
    </row>
    <row r="164" spans="1:56">
      <c r="A164" s="163" t="s">
        <v>371</v>
      </c>
      <c r="B164" s="163" t="s">
        <v>372</v>
      </c>
      <c r="W164" s="161" t="s">
        <v>125</v>
      </c>
      <c r="X164" s="161" t="s">
        <v>125</v>
      </c>
      <c r="Y164" s="161" t="s">
        <v>125</v>
      </c>
      <c r="Z164" s="161" t="s">
        <v>125</v>
      </c>
      <c r="AA164" s="161" t="s">
        <v>125</v>
      </c>
      <c r="AB164" s="161" t="s">
        <v>125</v>
      </c>
      <c r="AC164" s="161" t="s">
        <v>125</v>
      </c>
      <c r="AD164" s="161" t="s">
        <v>125</v>
      </c>
      <c r="AE164" s="161" t="s">
        <v>125</v>
      </c>
      <c r="AF164" s="161" t="s">
        <v>125</v>
      </c>
      <c r="AG164" s="168">
        <v>2.1031420711625</v>
      </c>
      <c r="AH164" s="168">
        <v>3.9349127617089401</v>
      </c>
      <c r="AI164" s="168">
        <v>10.529375036212</v>
      </c>
      <c r="AJ164" s="168">
        <v>43.081997545394501</v>
      </c>
      <c r="AK164" s="168">
        <v>69.316473013361204</v>
      </c>
      <c r="AL164" s="168">
        <v>108.825109263171</v>
      </c>
      <c r="AM164" s="168">
        <v>118.423623752105</v>
      </c>
      <c r="AN164" s="168">
        <v>141.664724590113</v>
      </c>
      <c r="AO164" s="168">
        <v>137.43718994617899</v>
      </c>
      <c r="AP164" s="168">
        <v>150.24706041799899</v>
      </c>
      <c r="AQ164" s="168">
        <v>164.537605588074</v>
      </c>
      <c r="AR164" s="168">
        <v>177.658997030216</v>
      </c>
      <c r="AS164" s="168">
        <v>186.11537861662501</v>
      </c>
      <c r="AT164" s="168">
        <v>201.147512987738</v>
      </c>
      <c r="AU164" s="168">
        <v>228.45939122014499</v>
      </c>
      <c r="AV164" s="168">
        <v>265.84932509136502</v>
      </c>
      <c r="AW164" s="168">
        <v>314.62891425111297</v>
      </c>
      <c r="AX164" s="168">
        <v>342.13587030265899</v>
      </c>
      <c r="AY164" s="168">
        <v>407.55817554040698</v>
      </c>
      <c r="AZ164" s="168">
        <v>411.83323548046201</v>
      </c>
      <c r="BA164" s="168">
        <v>488.42479316657602</v>
      </c>
      <c r="BB164" s="168">
        <v>537.12667496173196</v>
      </c>
      <c r="BC164" s="168">
        <v>593.55999710546905</v>
      </c>
      <c r="BD164" s="168">
        <v>655.34630279660803</v>
      </c>
    </row>
    <row r="165" spans="1:56">
      <c r="A165" s="163" t="s">
        <v>373</v>
      </c>
      <c r="B165" s="163" t="s">
        <v>374</v>
      </c>
      <c r="W165" s="161" t="s">
        <v>125</v>
      </c>
      <c r="X165" s="161" t="s">
        <v>125</v>
      </c>
      <c r="Y165" s="161" t="s">
        <v>125</v>
      </c>
      <c r="Z165" s="161" t="s">
        <v>125</v>
      </c>
      <c r="AA165" s="161" t="s">
        <v>125</v>
      </c>
      <c r="AB165" s="161" t="s">
        <v>125</v>
      </c>
      <c r="AC165" s="161" t="s">
        <v>125</v>
      </c>
      <c r="AD165" s="161" t="s">
        <v>125</v>
      </c>
      <c r="AE165" s="161" t="s">
        <v>125</v>
      </c>
      <c r="AF165" s="161" t="s">
        <v>125</v>
      </c>
      <c r="AG165" s="168" t="s">
        <v>125</v>
      </c>
      <c r="AH165" s="168" t="s">
        <v>125</v>
      </c>
      <c r="AI165" s="168" t="s">
        <v>125</v>
      </c>
      <c r="AJ165" s="168" t="s">
        <v>125</v>
      </c>
      <c r="AK165" s="168" t="s">
        <v>125</v>
      </c>
      <c r="AL165" s="168" t="s">
        <v>125</v>
      </c>
      <c r="AM165" s="168" t="s">
        <v>125</v>
      </c>
      <c r="AN165" s="168" t="s">
        <v>125</v>
      </c>
      <c r="AO165" s="168" t="s">
        <v>125</v>
      </c>
      <c r="AP165" s="168" t="s">
        <v>125</v>
      </c>
      <c r="AQ165" s="168">
        <v>0.26633742045258602</v>
      </c>
      <c r="AR165" s="168">
        <v>0.31297656084091102</v>
      </c>
      <c r="AS165" s="168">
        <v>0.31767448800121201</v>
      </c>
      <c r="AT165" s="168">
        <v>0.33736501016884102</v>
      </c>
      <c r="AU165" s="168">
        <v>0.34778713588815802</v>
      </c>
      <c r="AV165" s="168">
        <v>0.35151766350992703</v>
      </c>
      <c r="AW165" s="168">
        <v>0.33170025301626299</v>
      </c>
      <c r="AX165" s="168">
        <v>0.34893056605614198</v>
      </c>
      <c r="AY165" s="168">
        <v>0.35928549646970498</v>
      </c>
      <c r="AZ165" s="168">
        <v>0.36576798182131798</v>
      </c>
      <c r="BA165" s="168">
        <v>0.37561122734144697</v>
      </c>
      <c r="BB165" s="168">
        <v>0.36876963055022</v>
      </c>
      <c r="BC165" s="168">
        <v>0.37478323588539503</v>
      </c>
      <c r="BD165" s="168">
        <v>0.37493680409268698</v>
      </c>
    </row>
    <row r="166" spans="1:56">
      <c r="A166" s="163" t="s">
        <v>81</v>
      </c>
      <c r="B166" s="163" t="s">
        <v>375</v>
      </c>
      <c r="W166" s="161" t="s">
        <v>125</v>
      </c>
      <c r="X166" s="161" t="s">
        <v>125</v>
      </c>
      <c r="Y166" s="161" t="s">
        <v>125</v>
      </c>
      <c r="Z166" s="161" t="s">
        <v>125</v>
      </c>
      <c r="AA166" s="161" t="s">
        <v>125</v>
      </c>
      <c r="AB166" s="161" t="s">
        <v>125</v>
      </c>
      <c r="AC166" s="161" t="s">
        <v>125</v>
      </c>
      <c r="AD166" s="161" t="s">
        <v>125</v>
      </c>
      <c r="AE166" s="161" t="s">
        <v>125</v>
      </c>
      <c r="AF166" s="161" t="s">
        <v>125</v>
      </c>
      <c r="AG166" s="168">
        <v>3.2286393986509299</v>
      </c>
      <c r="AH166" s="168">
        <v>3.32875835653503</v>
      </c>
      <c r="AI166" s="168">
        <v>3.3989509841410999</v>
      </c>
      <c r="AJ166" s="168">
        <v>3.4410380931319602</v>
      </c>
      <c r="AK166" s="168">
        <v>3.42180517843682</v>
      </c>
      <c r="AL166" s="168">
        <v>3.6185152317429501</v>
      </c>
      <c r="AM166" s="168">
        <v>3.5898400169473899</v>
      </c>
      <c r="AN166" s="168">
        <v>3.5985945032103399</v>
      </c>
      <c r="AO166" s="168">
        <v>3.9928298016220398</v>
      </c>
      <c r="AP166" s="168">
        <v>3.9686903080514</v>
      </c>
      <c r="AQ166" s="168">
        <v>3.8570620570372398</v>
      </c>
      <c r="AR166" s="168">
        <v>3.8001979362086402</v>
      </c>
      <c r="AS166" s="168">
        <v>3.7841817356429499</v>
      </c>
      <c r="AT166" s="168">
        <v>3.7371285654773798</v>
      </c>
      <c r="AU166" s="168">
        <v>3.6744388723963999</v>
      </c>
      <c r="AV166" s="168">
        <v>3.6124274299600398</v>
      </c>
      <c r="AW166" s="168">
        <v>3.5584209468375798</v>
      </c>
      <c r="AX166" s="168">
        <v>3.6025679438557301</v>
      </c>
      <c r="AY166" s="168">
        <v>3.7407607704236301</v>
      </c>
      <c r="AZ166" s="168">
        <v>3.7678927820032402</v>
      </c>
      <c r="BA166" s="168">
        <v>3.7468544296303699</v>
      </c>
      <c r="BB166" s="168">
        <v>3.6769043405007</v>
      </c>
      <c r="BC166" s="168">
        <v>3.6309760149003698</v>
      </c>
      <c r="BD166" s="168">
        <v>3.6289220081954001</v>
      </c>
    </row>
    <row r="167" spans="1:56">
      <c r="A167" s="163" t="s">
        <v>376</v>
      </c>
      <c r="B167" s="163" t="s">
        <v>377</v>
      </c>
      <c r="W167" s="161" t="s">
        <v>125</v>
      </c>
      <c r="X167" s="161" t="s">
        <v>125</v>
      </c>
      <c r="Y167" s="161" t="s">
        <v>125</v>
      </c>
      <c r="Z167" s="161" t="s">
        <v>125</v>
      </c>
      <c r="AA167" s="161" t="s">
        <v>125</v>
      </c>
      <c r="AB167" s="161" t="s">
        <v>125</v>
      </c>
      <c r="AC167" s="161" t="s">
        <v>125</v>
      </c>
      <c r="AD167" s="161" t="s">
        <v>125</v>
      </c>
      <c r="AE167" s="161" t="s">
        <v>125</v>
      </c>
      <c r="AF167" s="161" t="s">
        <v>125</v>
      </c>
      <c r="AG167" s="168">
        <v>0.61180026873116899</v>
      </c>
      <c r="AH167" s="168">
        <v>0.95364465907701701</v>
      </c>
      <c r="AI167" s="168">
        <v>1.25907979048604</v>
      </c>
      <c r="AJ167" s="168">
        <v>1.79448716576897</v>
      </c>
      <c r="AK167" s="168">
        <v>2.7360758821847901</v>
      </c>
      <c r="AL167" s="168">
        <v>4.0515390344430697</v>
      </c>
      <c r="AM167" s="168">
        <v>6.5593147492398201</v>
      </c>
      <c r="AN167" s="168">
        <v>7.02768227905751</v>
      </c>
      <c r="AO167" s="168">
        <v>7.3272303306987201</v>
      </c>
      <c r="AP167" s="168">
        <v>7.5404480760401604</v>
      </c>
      <c r="AQ167" s="168">
        <v>8.25981920694867</v>
      </c>
      <c r="AR167" s="168">
        <v>9.27637683787556</v>
      </c>
      <c r="AS167" s="168">
        <v>9.8994409539571997</v>
      </c>
      <c r="AT167" s="168">
        <v>10.2117299334467</v>
      </c>
      <c r="AU167" s="168">
        <v>10.5949736524384</v>
      </c>
      <c r="AV167" s="168">
        <v>11.137881089349801</v>
      </c>
      <c r="AW167" s="168">
        <v>12.0748788128375</v>
      </c>
      <c r="AX167" s="168">
        <v>12.6311776444338</v>
      </c>
      <c r="AY167" s="168">
        <v>13.4242403720159</v>
      </c>
      <c r="AZ167" s="168">
        <v>13.8758263864306</v>
      </c>
      <c r="BA167" s="168">
        <v>15.1472513703388</v>
      </c>
      <c r="BB167" s="168">
        <v>16.029552664259601</v>
      </c>
      <c r="BC167" s="168">
        <v>16.428889940064501</v>
      </c>
      <c r="BD167" s="168">
        <v>17.073941753340701</v>
      </c>
    </row>
    <row r="168" spans="1:56">
      <c r="A168" s="163" t="s">
        <v>378</v>
      </c>
      <c r="B168" s="163" t="s">
        <v>379</v>
      </c>
      <c r="W168" s="161" t="s">
        <v>125</v>
      </c>
      <c r="X168" s="161" t="s">
        <v>125</v>
      </c>
      <c r="Y168" s="161" t="s">
        <v>125</v>
      </c>
      <c r="Z168" s="161" t="s">
        <v>125</v>
      </c>
      <c r="AA168" s="161" t="s">
        <v>125</v>
      </c>
      <c r="AB168" s="161" t="s">
        <v>125</v>
      </c>
      <c r="AC168" s="161" t="s">
        <v>125</v>
      </c>
      <c r="AD168" s="161" t="s">
        <v>125</v>
      </c>
      <c r="AE168" s="161" t="s">
        <v>125</v>
      </c>
      <c r="AF168" s="161" t="s">
        <v>125</v>
      </c>
      <c r="AG168" s="168" t="s">
        <v>125</v>
      </c>
      <c r="AH168" s="168" t="s">
        <v>125</v>
      </c>
      <c r="AI168" s="168" t="s">
        <v>125</v>
      </c>
      <c r="AJ168" s="168" t="s">
        <v>125</v>
      </c>
      <c r="AK168" s="168" t="s">
        <v>125</v>
      </c>
      <c r="AL168" s="168" t="s">
        <v>125</v>
      </c>
      <c r="AM168" s="168" t="s">
        <v>125</v>
      </c>
      <c r="AN168" s="168" t="s">
        <v>125</v>
      </c>
      <c r="AO168" s="168" t="s">
        <v>125</v>
      </c>
      <c r="AP168" s="168" t="s">
        <v>125</v>
      </c>
      <c r="AQ168" s="168" t="s">
        <v>125</v>
      </c>
      <c r="AR168" s="168" t="s">
        <v>125</v>
      </c>
      <c r="AS168" s="168" t="s">
        <v>125</v>
      </c>
      <c r="AT168" s="168" t="s">
        <v>125</v>
      </c>
      <c r="AU168" s="168" t="s">
        <v>125</v>
      </c>
      <c r="AV168" s="168" t="s">
        <v>125</v>
      </c>
      <c r="AW168" s="168" t="s">
        <v>125</v>
      </c>
      <c r="AX168" s="168" t="s">
        <v>125</v>
      </c>
      <c r="AY168" s="168" t="s">
        <v>125</v>
      </c>
      <c r="AZ168" s="168" t="s">
        <v>125</v>
      </c>
      <c r="BA168" s="168" t="s">
        <v>125</v>
      </c>
      <c r="BB168" s="168">
        <v>234.973964234991</v>
      </c>
      <c r="BC168" s="168" t="s">
        <v>125</v>
      </c>
      <c r="BD168" s="168" t="s">
        <v>125</v>
      </c>
    </row>
    <row r="169" spans="1:56">
      <c r="A169" s="163" t="s">
        <v>380</v>
      </c>
      <c r="B169" s="163" t="s">
        <v>381</v>
      </c>
      <c r="W169" s="161" t="s">
        <v>125</v>
      </c>
      <c r="X169" s="161" t="s">
        <v>125</v>
      </c>
      <c r="Y169" s="161" t="s">
        <v>125</v>
      </c>
      <c r="Z169" s="161" t="s">
        <v>125</v>
      </c>
      <c r="AA169" s="161" t="s">
        <v>125</v>
      </c>
      <c r="AB169" s="161" t="s">
        <v>125</v>
      </c>
      <c r="AC169" s="161" t="s">
        <v>125</v>
      </c>
      <c r="AD169" s="161" t="s">
        <v>125</v>
      </c>
      <c r="AE169" s="161" t="s">
        <v>125</v>
      </c>
      <c r="AF169" s="161" t="s">
        <v>125</v>
      </c>
      <c r="AG169" s="168">
        <v>1.3744801964333599</v>
      </c>
      <c r="AH169" s="168">
        <v>1.4100387239574701</v>
      </c>
      <c r="AI169" s="168">
        <v>1.52044008104596</v>
      </c>
      <c r="AJ169" s="168">
        <v>1.61363074853646</v>
      </c>
      <c r="AK169" s="168">
        <v>1.90696290592861</v>
      </c>
      <c r="AL169" s="168">
        <v>1.99097705101533</v>
      </c>
      <c r="AM169" s="168">
        <v>2.2475859268042799</v>
      </c>
      <c r="AN169" s="168">
        <v>2.3631516787581099</v>
      </c>
      <c r="AO169" s="168">
        <v>2.5325652013245201</v>
      </c>
      <c r="AP169" s="168">
        <v>2.6641854886419698</v>
      </c>
      <c r="AQ169" s="168">
        <v>2.9263356857656002</v>
      </c>
      <c r="AR169" s="168">
        <v>3.18289851642538</v>
      </c>
      <c r="AS169" s="168">
        <v>3.4710318042239798</v>
      </c>
      <c r="AT169" s="168">
        <v>3.4372848553183699</v>
      </c>
      <c r="AU169" s="168">
        <v>3.40927430733695</v>
      </c>
      <c r="AV169" s="168">
        <v>3.4859851867400402</v>
      </c>
      <c r="AW169" s="168">
        <v>3.6955647436037702</v>
      </c>
      <c r="AX169" s="168">
        <v>3.9365782235903302</v>
      </c>
      <c r="AY169" s="168">
        <v>4.1906298084288798</v>
      </c>
      <c r="AZ169" s="168">
        <v>4.4464178970455599</v>
      </c>
      <c r="BA169" s="168">
        <v>4.5475378541754896</v>
      </c>
      <c r="BB169" s="168">
        <v>4.6632291945466298</v>
      </c>
      <c r="BC169" s="168">
        <v>5.2266810223864404</v>
      </c>
      <c r="BD169" s="168">
        <v>5.4446725802590104</v>
      </c>
    </row>
    <row r="170" spans="1:56">
      <c r="A170" s="163" t="s">
        <v>74</v>
      </c>
      <c r="B170" s="163" t="s">
        <v>382</v>
      </c>
      <c r="W170" s="161" t="s">
        <v>125</v>
      </c>
      <c r="X170" s="161" t="s">
        <v>125</v>
      </c>
      <c r="Y170" s="161" t="s">
        <v>125</v>
      </c>
      <c r="Z170" s="161" t="s">
        <v>125</v>
      </c>
      <c r="AA170" s="161" t="s">
        <v>125</v>
      </c>
      <c r="AB170" s="161" t="s">
        <v>125</v>
      </c>
      <c r="AC170" s="161" t="s">
        <v>125</v>
      </c>
      <c r="AD170" s="161" t="s">
        <v>125</v>
      </c>
      <c r="AE170" s="161" t="s">
        <v>125</v>
      </c>
      <c r="AF170" s="161" t="s">
        <v>125</v>
      </c>
      <c r="AG170" s="168">
        <v>7.1082372917588099</v>
      </c>
      <c r="AH170" s="168">
        <v>7.7424168233881803</v>
      </c>
      <c r="AI170" s="168">
        <v>8.9693795698616992</v>
      </c>
      <c r="AJ170" s="168">
        <v>9.7048663530620907</v>
      </c>
      <c r="AK170" s="168">
        <v>9.9602192688032307</v>
      </c>
      <c r="AL170" s="168">
        <v>10.371451234488299</v>
      </c>
      <c r="AM170" s="168">
        <v>10.9822386519684</v>
      </c>
      <c r="AN170" s="168">
        <v>11.5834577624586</v>
      </c>
      <c r="AO170" s="168">
        <v>11.929878695411199</v>
      </c>
      <c r="AP170" s="168">
        <v>12.807190437251499</v>
      </c>
      <c r="AQ170" s="168">
        <v>13.0827168599813</v>
      </c>
      <c r="AR170" s="168">
        <v>14.198779951275499</v>
      </c>
      <c r="AS170" s="168">
        <v>14.5341100099845</v>
      </c>
      <c r="AT170" s="168">
        <v>14.6868514295046</v>
      </c>
      <c r="AU170" s="168">
        <v>14.890582800879599</v>
      </c>
      <c r="AV170" s="168">
        <v>15.3107204695237</v>
      </c>
      <c r="AW170" s="168">
        <v>15.9473534933417</v>
      </c>
      <c r="AX170" s="168">
        <v>16.716247482213198</v>
      </c>
      <c r="AY170" s="168">
        <v>17.317384309500699</v>
      </c>
      <c r="AZ170" s="168">
        <v>19.918977528101198</v>
      </c>
      <c r="BA170" s="168">
        <v>22.6617778868541</v>
      </c>
      <c r="BB170" s="168">
        <v>24.6281041413949</v>
      </c>
      <c r="BC170" s="168">
        <v>25.793373904352698</v>
      </c>
      <c r="BD170" s="168">
        <v>27.1324440563282</v>
      </c>
    </row>
    <row r="171" spans="1:56">
      <c r="A171" s="163" t="s">
        <v>383</v>
      </c>
      <c r="B171" s="163" t="s">
        <v>384</v>
      </c>
      <c r="W171" s="161" t="s">
        <v>125</v>
      </c>
      <c r="X171" s="161" t="s">
        <v>125</v>
      </c>
      <c r="Y171" s="161" t="s">
        <v>125</v>
      </c>
      <c r="Z171" s="161" t="s">
        <v>125</v>
      </c>
      <c r="AA171" s="161" t="s">
        <v>125</v>
      </c>
      <c r="AB171" s="161" t="s">
        <v>125</v>
      </c>
      <c r="AC171" s="161" t="s">
        <v>125</v>
      </c>
      <c r="AD171" s="161" t="s">
        <v>125</v>
      </c>
      <c r="AE171" s="161" t="s">
        <v>125</v>
      </c>
      <c r="AF171" s="161" t="s">
        <v>125</v>
      </c>
      <c r="AG171" s="168">
        <v>0.92495097800000003</v>
      </c>
      <c r="AH171" s="168">
        <v>0.92308017600000003</v>
      </c>
      <c r="AI171" s="168">
        <v>0.92502333800000003</v>
      </c>
      <c r="AJ171" s="168">
        <v>0.91795464999999998</v>
      </c>
      <c r="AK171" s="168">
        <v>0.91736099800000004</v>
      </c>
      <c r="AL171" s="168">
        <v>0.91716948799999998</v>
      </c>
      <c r="AM171" s="168">
        <v>0.90955061599999998</v>
      </c>
      <c r="AN171" s="168">
        <v>0.91025451999999996</v>
      </c>
      <c r="AO171" s="168">
        <v>0.905826346</v>
      </c>
      <c r="AP171" s="168">
        <v>0.90702039899999998</v>
      </c>
      <c r="AQ171" s="168">
        <v>0.89152719800000002</v>
      </c>
      <c r="AR171" s="168">
        <v>0.90549395399999999</v>
      </c>
      <c r="AS171" s="168">
        <v>0.90194169999999996</v>
      </c>
      <c r="AT171" s="168">
        <v>0.92672194100000005</v>
      </c>
      <c r="AU171" s="168">
        <v>0.90948689000000005</v>
      </c>
      <c r="AV171" s="168">
        <v>0.89615370900000002</v>
      </c>
      <c r="AW171" s="168">
        <v>0.86720479299999997</v>
      </c>
      <c r="AX171" s="168">
        <v>0.85816520799999996</v>
      </c>
      <c r="AY171" s="168">
        <v>0.84232803899999997</v>
      </c>
      <c r="AZ171" s="168">
        <v>0.83822698600000001</v>
      </c>
      <c r="BA171" s="168">
        <v>0.84937127199999995</v>
      </c>
      <c r="BB171" s="168">
        <v>0.83169268600000001</v>
      </c>
      <c r="BC171" s="168">
        <v>0.84193954699999995</v>
      </c>
      <c r="BD171" s="168">
        <v>0.82627676900000002</v>
      </c>
    </row>
    <row r="172" spans="1:56">
      <c r="A172" s="163" t="s">
        <v>385</v>
      </c>
      <c r="B172" s="163" t="s">
        <v>386</v>
      </c>
      <c r="W172" s="161" t="s">
        <v>125</v>
      </c>
      <c r="X172" s="161" t="s">
        <v>125</v>
      </c>
      <c r="Y172" s="161" t="s">
        <v>125</v>
      </c>
      <c r="Z172" s="161" t="s">
        <v>125</v>
      </c>
      <c r="AA172" s="161" t="s">
        <v>125</v>
      </c>
      <c r="AB172" s="161" t="s">
        <v>125</v>
      </c>
      <c r="AC172" s="161" t="s">
        <v>125</v>
      </c>
      <c r="AD172" s="161" t="s">
        <v>125</v>
      </c>
      <c r="AE172" s="161" t="s">
        <v>125</v>
      </c>
      <c r="AF172" s="161" t="s">
        <v>125</v>
      </c>
      <c r="AG172" s="168" t="s">
        <v>125</v>
      </c>
      <c r="AH172" s="168" t="s">
        <v>125</v>
      </c>
      <c r="AI172" s="168" t="s">
        <v>125</v>
      </c>
      <c r="AJ172" s="168" t="s">
        <v>125</v>
      </c>
      <c r="AK172" s="168" t="s">
        <v>125</v>
      </c>
      <c r="AL172" s="168" t="s">
        <v>125</v>
      </c>
      <c r="AM172" s="168" t="s">
        <v>125</v>
      </c>
      <c r="AN172" s="168" t="s">
        <v>125</v>
      </c>
      <c r="AO172" s="168" t="s">
        <v>125</v>
      </c>
      <c r="AP172" s="168" t="s">
        <v>125</v>
      </c>
      <c r="AQ172" s="168" t="s">
        <v>125</v>
      </c>
      <c r="AR172" s="168" t="s">
        <v>125</v>
      </c>
      <c r="AS172" s="168" t="s">
        <v>125</v>
      </c>
      <c r="AT172" s="168" t="s">
        <v>125</v>
      </c>
      <c r="AU172" s="168" t="s">
        <v>125</v>
      </c>
      <c r="AV172" s="168" t="s">
        <v>125</v>
      </c>
      <c r="AW172" s="168" t="s">
        <v>125</v>
      </c>
      <c r="AX172" s="168" t="s">
        <v>125</v>
      </c>
      <c r="AY172" s="168" t="s">
        <v>125</v>
      </c>
      <c r="AZ172" s="168" t="s">
        <v>125</v>
      </c>
      <c r="BA172" s="168" t="s">
        <v>125</v>
      </c>
      <c r="BB172" s="168" t="s">
        <v>125</v>
      </c>
      <c r="BC172" s="168" t="s">
        <v>125</v>
      </c>
      <c r="BD172" s="168" t="s">
        <v>125</v>
      </c>
    </row>
    <row r="173" spans="1:56">
      <c r="A173" s="163" t="s">
        <v>387</v>
      </c>
      <c r="B173" s="163" t="s">
        <v>388</v>
      </c>
      <c r="W173" s="161" t="s">
        <v>125</v>
      </c>
      <c r="X173" s="161" t="s">
        <v>125</v>
      </c>
      <c r="Y173" s="161" t="s">
        <v>125</v>
      </c>
      <c r="Z173" s="161" t="s">
        <v>125</v>
      </c>
      <c r="AA173" s="161" t="s">
        <v>125</v>
      </c>
      <c r="AB173" s="161" t="s">
        <v>125</v>
      </c>
      <c r="AC173" s="161" t="s">
        <v>125</v>
      </c>
      <c r="AD173" s="161" t="s">
        <v>125</v>
      </c>
      <c r="AE173" s="161" t="s">
        <v>125</v>
      </c>
      <c r="AF173" s="161" t="s">
        <v>125</v>
      </c>
      <c r="AG173" s="168">
        <v>1.5284681529999999</v>
      </c>
      <c r="AH173" s="168">
        <v>1.480696781</v>
      </c>
      <c r="AI173" s="168">
        <v>1.4746990790000001</v>
      </c>
      <c r="AJ173" s="168">
        <v>1.474847571</v>
      </c>
      <c r="AK173" s="168">
        <v>1.4657611260000001</v>
      </c>
      <c r="AL173" s="168">
        <v>1.4650093120000001</v>
      </c>
      <c r="AM173" s="168">
        <v>1.4735175190000001</v>
      </c>
      <c r="AN173" s="168">
        <v>1.455479287</v>
      </c>
      <c r="AO173" s="168">
        <v>1.4489197410000001</v>
      </c>
      <c r="AP173" s="168">
        <v>1.43466</v>
      </c>
      <c r="AQ173" s="168">
        <v>1.4403460669999999</v>
      </c>
      <c r="AR173" s="168">
        <v>1.469102905</v>
      </c>
      <c r="AS173" s="168">
        <v>1.468961789</v>
      </c>
      <c r="AT173" s="168">
        <v>1.4990388459999999</v>
      </c>
      <c r="AU173" s="168">
        <v>1.510634789</v>
      </c>
      <c r="AV173" s="168">
        <v>1.5350004930000001</v>
      </c>
      <c r="AW173" s="168">
        <v>1.4847000610000001</v>
      </c>
      <c r="AX173" s="168">
        <v>1.5078904559999999</v>
      </c>
      <c r="AY173" s="168">
        <v>1.4907087080000001</v>
      </c>
      <c r="AZ173" s="168">
        <v>1.4593216339999999</v>
      </c>
      <c r="BA173" s="168">
        <v>1.5026385739999999</v>
      </c>
      <c r="BB173" s="168">
        <v>1.4859147399999999</v>
      </c>
      <c r="BC173" s="168">
        <v>1.4828774810000001</v>
      </c>
      <c r="BD173" s="168">
        <v>1.4550595980000001</v>
      </c>
    </row>
    <row r="174" spans="1:56">
      <c r="A174" s="163" t="s">
        <v>82</v>
      </c>
      <c r="B174" s="163" t="s">
        <v>389</v>
      </c>
      <c r="W174" s="161" t="s">
        <v>125</v>
      </c>
      <c r="X174" s="161" t="s">
        <v>125</v>
      </c>
      <c r="Y174" s="161" t="s">
        <v>125</v>
      </c>
      <c r="Z174" s="161" t="s">
        <v>125</v>
      </c>
      <c r="AA174" s="161" t="s">
        <v>125</v>
      </c>
      <c r="AB174" s="161" t="s">
        <v>125</v>
      </c>
      <c r="AC174" s="161" t="s">
        <v>125</v>
      </c>
      <c r="AD174" s="161" t="s">
        <v>125</v>
      </c>
      <c r="AE174" s="161" t="s">
        <v>125</v>
      </c>
      <c r="AF174" s="161" t="s">
        <v>125</v>
      </c>
      <c r="AG174" s="168">
        <v>1.9237510647588E-2</v>
      </c>
      <c r="AH174" s="168">
        <v>0.86085134027338095</v>
      </c>
      <c r="AI174" s="168">
        <v>1.0408480562304701</v>
      </c>
      <c r="AJ174" s="168">
        <v>1.2239439465250199</v>
      </c>
      <c r="AK174" s="168">
        <v>2.8007958324259299</v>
      </c>
      <c r="AL174" s="168">
        <v>3.1110023001279599</v>
      </c>
      <c r="AM174" s="168">
        <v>3.3487110534309101</v>
      </c>
      <c r="AN174" s="168">
        <v>3.61430843878356</v>
      </c>
      <c r="AO174" s="168">
        <v>4.0771144674686903</v>
      </c>
      <c r="AP174" s="168">
        <v>4.3905757697896304</v>
      </c>
      <c r="AQ174" s="168">
        <v>4.6607798631522801</v>
      </c>
      <c r="AR174" s="168">
        <v>4.8863384371717604</v>
      </c>
      <c r="AS174" s="168">
        <v>4.9687135006456202</v>
      </c>
      <c r="AT174" s="168">
        <v>5.1310610134903296</v>
      </c>
      <c r="AU174" s="168">
        <v>5.4461759557491103</v>
      </c>
      <c r="AV174" s="168">
        <v>5.7976032508859401</v>
      </c>
      <c r="AW174" s="168">
        <v>6.0876247452321097</v>
      </c>
      <c r="AX174" s="168">
        <v>6.4995102200470898</v>
      </c>
      <c r="AY174" s="168">
        <v>7.4100997412412504</v>
      </c>
      <c r="AZ174" s="168">
        <v>7.8364462780775401</v>
      </c>
      <c r="BA174" s="168">
        <v>8.39339050364174</v>
      </c>
      <c r="BB174" s="168">
        <v>8.9186282691809105</v>
      </c>
      <c r="BC174" s="168">
        <v>9.5768973830382507</v>
      </c>
      <c r="BD174" s="168">
        <v>10.012323793838</v>
      </c>
    </row>
    <row r="175" spans="1:56">
      <c r="A175" s="163" t="s">
        <v>390</v>
      </c>
      <c r="B175" s="163" t="s">
        <v>391</v>
      </c>
      <c r="W175" s="161" t="s">
        <v>125</v>
      </c>
      <c r="X175" s="161" t="s">
        <v>125</v>
      </c>
      <c r="Y175" s="161" t="s">
        <v>125</v>
      </c>
      <c r="Z175" s="161" t="s">
        <v>125</v>
      </c>
      <c r="AA175" s="161" t="s">
        <v>125</v>
      </c>
      <c r="AB175" s="161" t="s">
        <v>125</v>
      </c>
      <c r="AC175" s="161" t="s">
        <v>125</v>
      </c>
      <c r="AD175" s="161" t="s">
        <v>125</v>
      </c>
      <c r="AE175" s="161" t="s">
        <v>125</v>
      </c>
      <c r="AF175" s="161" t="s">
        <v>125</v>
      </c>
      <c r="AG175" s="168">
        <v>145.456270890723</v>
      </c>
      <c r="AH175" s="168">
        <v>133.540703270211</v>
      </c>
      <c r="AI175" s="168">
        <v>131.999667950511</v>
      </c>
      <c r="AJ175" s="168">
        <v>128.74799038192501</v>
      </c>
      <c r="AK175" s="168">
        <v>167.30041597334699</v>
      </c>
      <c r="AL175" s="168">
        <v>172.767691812468</v>
      </c>
      <c r="AM175" s="168">
        <v>177.69899757267399</v>
      </c>
      <c r="AN175" s="168">
        <v>180.12193146971799</v>
      </c>
      <c r="AO175" s="168">
        <v>183.53460981022101</v>
      </c>
      <c r="AP175" s="168">
        <v>184.57377205629101</v>
      </c>
      <c r="AQ175" s="168">
        <v>188.621686227922</v>
      </c>
      <c r="AR175" s="168">
        <v>191.743409926863</v>
      </c>
      <c r="AS175" s="168">
        <v>194.50290202475799</v>
      </c>
      <c r="AT175" s="168">
        <v>190.03632791785799</v>
      </c>
      <c r="AU175" s="168">
        <v>187.72605735128499</v>
      </c>
      <c r="AV175" s="168">
        <v>193.84180800477299</v>
      </c>
      <c r="AW175" s="168">
        <v>188.71021141971201</v>
      </c>
      <c r="AX175" s="168">
        <v>192.231286896884</v>
      </c>
      <c r="AY175" s="168">
        <v>202.41426483435799</v>
      </c>
      <c r="AZ175" s="168">
        <v>213.07845752652</v>
      </c>
      <c r="BA175" s="168">
        <v>215.90842101532499</v>
      </c>
      <c r="BB175" s="168">
        <v>221.08716541313601</v>
      </c>
      <c r="BC175" s="168">
        <v>224.07783169755299</v>
      </c>
      <c r="BD175" s="168">
        <v>223.32404302487799</v>
      </c>
    </row>
    <row r="176" spans="1:56">
      <c r="A176" s="163" t="s">
        <v>392</v>
      </c>
      <c r="B176" s="163" t="s">
        <v>393</v>
      </c>
      <c r="W176" s="161" t="s">
        <v>125</v>
      </c>
      <c r="X176" s="161" t="s">
        <v>125</v>
      </c>
      <c r="Y176" s="161" t="s">
        <v>125</v>
      </c>
      <c r="Z176" s="161" t="s">
        <v>125</v>
      </c>
      <c r="AA176" s="161" t="s">
        <v>125</v>
      </c>
      <c r="AB176" s="161" t="s">
        <v>125</v>
      </c>
      <c r="AC176" s="161" t="s">
        <v>125</v>
      </c>
      <c r="AD176" s="161" t="s">
        <v>125</v>
      </c>
      <c r="AE176" s="161" t="s">
        <v>125</v>
      </c>
      <c r="AF176" s="161" t="s">
        <v>125</v>
      </c>
      <c r="AG176" s="168">
        <v>1.4902118776089399</v>
      </c>
      <c r="AH176" s="168">
        <v>1.6961442713855099</v>
      </c>
      <c r="AI176" s="168">
        <v>2.78703787524559</v>
      </c>
      <c r="AJ176" s="168">
        <v>3.4336441312008299</v>
      </c>
      <c r="AK176" s="168">
        <v>4.4046226038309797</v>
      </c>
      <c r="AL176" s="168">
        <v>9.1934364938303705</v>
      </c>
      <c r="AM176" s="168">
        <v>11.983322142924299</v>
      </c>
      <c r="AN176" s="168">
        <v>11.901105960576199</v>
      </c>
      <c r="AO176" s="168">
        <v>11.106349815530599</v>
      </c>
      <c r="AP176" s="168">
        <v>12.8169560784273</v>
      </c>
      <c r="AQ176" s="168">
        <v>16.947233413143898</v>
      </c>
      <c r="AR176" s="168">
        <v>16.514197530110899</v>
      </c>
      <c r="AS176" s="168">
        <v>22.753173973767598</v>
      </c>
      <c r="AT176" s="168">
        <v>24.792638021419702</v>
      </c>
      <c r="AU176" s="168">
        <v>24.093080517668302</v>
      </c>
      <c r="AV176" s="168">
        <v>28.485786153840401</v>
      </c>
      <c r="AW176" s="168">
        <v>32.427719992758398</v>
      </c>
      <c r="AX176" s="168">
        <v>33.096423112817398</v>
      </c>
      <c r="AY176" s="168">
        <v>35.979663062199997</v>
      </c>
      <c r="AZ176" s="168">
        <v>34.162193918103704</v>
      </c>
      <c r="BA176" s="168">
        <v>68.292190965820097</v>
      </c>
      <c r="BB176" s="168">
        <v>74.377738154965698</v>
      </c>
      <c r="BC176" s="168">
        <v>77.128150546605696</v>
      </c>
      <c r="BD176" s="168">
        <v>79.711631480394601</v>
      </c>
    </row>
    <row r="177" spans="1:56">
      <c r="A177" s="163" t="s">
        <v>394</v>
      </c>
      <c r="B177" s="163" t="s">
        <v>395</v>
      </c>
      <c r="W177" s="161" t="s">
        <v>125</v>
      </c>
      <c r="X177" s="161" t="s">
        <v>125</v>
      </c>
      <c r="Y177" s="161" t="s">
        <v>125</v>
      </c>
      <c r="Z177" s="161" t="s">
        <v>125</v>
      </c>
      <c r="AA177" s="161" t="s">
        <v>125</v>
      </c>
      <c r="AB177" s="161" t="s">
        <v>125</v>
      </c>
      <c r="AC177" s="161" t="s">
        <v>125</v>
      </c>
      <c r="AD177" s="161" t="s">
        <v>125</v>
      </c>
      <c r="AE177" s="161" t="s">
        <v>125</v>
      </c>
      <c r="AF177" s="161" t="s">
        <v>125</v>
      </c>
      <c r="AG177" s="168" t="s">
        <v>125</v>
      </c>
      <c r="AH177" s="168" t="s">
        <v>125</v>
      </c>
      <c r="AI177" s="168" t="s">
        <v>125</v>
      </c>
      <c r="AJ177" s="168" t="s">
        <v>125</v>
      </c>
      <c r="AK177" s="168" t="s">
        <v>125</v>
      </c>
      <c r="AL177" s="168" t="s">
        <v>125</v>
      </c>
      <c r="AM177" s="168" t="s">
        <v>125</v>
      </c>
      <c r="AN177" s="168" t="s">
        <v>125</v>
      </c>
      <c r="AO177" s="168" t="s">
        <v>125</v>
      </c>
      <c r="AP177" s="168" t="s">
        <v>125</v>
      </c>
      <c r="AQ177" s="168" t="s">
        <v>125</v>
      </c>
      <c r="AR177" s="168" t="s">
        <v>125</v>
      </c>
      <c r="AS177" s="168" t="s">
        <v>125</v>
      </c>
      <c r="AT177" s="168" t="s">
        <v>125</v>
      </c>
      <c r="AU177" s="168" t="s">
        <v>125</v>
      </c>
      <c r="AV177" s="168" t="s">
        <v>125</v>
      </c>
      <c r="AW177" s="168" t="s">
        <v>125</v>
      </c>
      <c r="AX177" s="168" t="s">
        <v>125</v>
      </c>
      <c r="AY177" s="168" t="s">
        <v>125</v>
      </c>
      <c r="AZ177" s="168" t="s">
        <v>125</v>
      </c>
      <c r="BA177" s="168" t="s">
        <v>125</v>
      </c>
      <c r="BB177" s="168" t="s">
        <v>125</v>
      </c>
      <c r="BC177" s="168" t="s">
        <v>125</v>
      </c>
      <c r="BD177" s="168" t="s">
        <v>125</v>
      </c>
    </row>
    <row r="178" spans="1:56">
      <c r="A178" s="163" t="s">
        <v>396</v>
      </c>
      <c r="B178" s="163" t="s">
        <v>397</v>
      </c>
      <c r="W178" s="161" t="s">
        <v>125</v>
      </c>
      <c r="X178" s="161" t="s">
        <v>125</v>
      </c>
      <c r="Y178" s="161" t="s">
        <v>125</v>
      </c>
      <c r="Z178" s="161" t="s">
        <v>125</v>
      </c>
      <c r="AA178" s="161" t="s">
        <v>125</v>
      </c>
      <c r="AB178" s="161" t="s">
        <v>125</v>
      </c>
      <c r="AC178" s="161" t="s">
        <v>125</v>
      </c>
      <c r="AD178" s="161" t="s">
        <v>125</v>
      </c>
      <c r="AE178" s="161" t="s">
        <v>125</v>
      </c>
      <c r="AF178" s="161" t="s">
        <v>125</v>
      </c>
      <c r="AG178" s="168">
        <v>9.7091809550000008</v>
      </c>
      <c r="AH178" s="168">
        <v>9.6017718710000004</v>
      </c>
      <c r="AI178" s="168">
        <v>9.3205562369999999</v>
      </c>
      <c r="AJ178" s="168">
        <v>9.3123689830000007</v>
      </c>
      <c r="AK178" s="168">
        <v>9.0992398960000003</v>
      </c>
      <c r="AL178" s="168">
        <v>9.1843318959999998</v>
      </c>
      <c r="AM178" s="168">
        <v>9.0536513759999995</v>
      </c>
      <c r="AN178" s="168">
        <v>9.0880988810000005</v>
      </c>
      <c r="AO178" s="168">
        <v>9.3845484189999997</v>
      </c>
      <c r="AP178" s="168">
        <v>9.3287330470000001</v>
      </c>
      <c r="AQ178" s="168">
        <v>9.1178646959999998</v>
      </c>
      <c r="AR178" s="168">
        <v>9.1714642770000001</v>
      </c>
      <c r="AS178" s="168">
        <v>9.1111786929999994</v>
      </c>
      <c r="AT178" s="168">
        <v>9.1100583959999994</v>
      </c>
      <c r="AU178" s="168">
        <v>8.9918573940000002</v>
      </c>
      <c r="AV178" s="168">
        <v>8.896433343</v>
      </c>
      <c r="AW178" s="168">
        <v>8.6816702840000008</v>
      </c>
      <c r="AX178" s="168">
        <v>8.7833720359999994</v>
      </c>
      <c r="AY178" s="168">
        <v>8.752078311</v>
      </c>
      <c r="AZ178" s="168">
        <v>8.9220768580000005</v>
      </c>
      <c r="BA178" s="168">
        <v>9.0126088880000008</v>
      </c>
      <c r="BB178" s="168">
        <v>8.9725260220000003</v>
      </c>
      <c r="BC178" s="168">
        <v>8.9395225549999999</v>
      </c>
      <c r="BD178" s="168">
        <v>9.0482456659999997</v>
      </c>
    </row>
    <row r="179" spans="1:56">
      <c r="A179" s="163" t="s">
        <v>398</v>
      </c>
      <c r="B179" s="163" t="s">
        <v>399</v>
      </c>
      <c r="W179" s="161" t="s">
        <v>125</v>
      </c>
      <c r="X179" s="161" t="s">
        <v>125</v>
      </c>
      <c r="Y179" s="161" t="s">
        <v>125</v>
      </c>
      <c r="Z179" s="161" t="s">
        <v>125</v>
      </c>
      <c r="AA179" s="161" t="s">
        <v>125</v>
      </c>
      <c r="AB179" s="161" t="s">
        <v>125</v>
      </c>
      <c r="AC179" s="161" t="s">
        <v>125</v>
      </c>
      <c r="AD179" s="161" t="s">
        <v>125</v>
      </c>
      <c r="AE179" s="161" t="s">
        <v>125</v>
      </c>
      <c r="AF179" s="161" t="s">
        <v>125</v>
      </c>
      <c r="AG179" s="168">
        <v>0.13074053855921799</v>
      </c>
      <c r="AH179" s="168">
        <v>0.11577911930974499</v>
      </c>
      <c r="AI179" s="168">
        <v>0.114638822382389</v>
      </c>
      <c r="AJ179" s="168">
        <v>0.10593937120841899</v>
      </c>
      <c r="AK179" s="168">
        <v>0.103263890800161</v>
      </c>
      <c r="AL179" s="168">
        <v>0.102930259582654</v>
      </c>
      <c r="AM179" s="168">
        <v>0.108580247611471</v>
      </c>
      <c r="AN179" s="168">
        <v>0.104367538754217</v>
      </c>
      <c r="AO179" s="168">
        <v>8.9461525350127302E-2</v>
      </c>
      <c r="AP179" s="168">
        <v>9.84990881493715E-2</v>
      </c>
      <c r="AQ179" s="168">
        <v>0.115557878649521</v>
      </c>
      <c r="AR179" s="168">
        <v>0.10553664404218401</v>
      </c>
      <c r="AS179" s="168">
        <v>0.101845433969648</v>
      </c>
      <c r="AT179" s="168">
        <v>0.10696382954669501</v>
      </c>
      <c r="AU179" s="168">
        <v>0.11532218692858801</v>
      </c>
      <c r="AV179" s="168">
        <v>0.13458323649856299</v>
      </c>
      <c r="AW179" s="168">
        <v>0.14738384220075201</v>
      </c>
      <c r="AX179" s="168">
        <v>0.153051860527817</v>
      </c>
      <c r="AY179" s="168">
        <v>0.192931624184705</v>
      </c>
      <c r="AZ179" s="168">
        <v>0.15040205214624999</v>
      </c>
      <c r="BA179" s="168">
        <v>0.17155534260939301</v>
      </c>
      <c r="BB179" s="168">
        <v>0.19156874060367901</v>
      </c>
      <c r="BC179" s="168">
        <v>0.200653044174053</v>
      </c>
      <c r="BD179" s="168">
        <v>0.19360159408632799</v>
      </c>
    </row>
    <row r="180" spans="1:56">
      <c r="A180" s="163" t="s">
        <v>79</v>
      </c>
      <c r="B180" s="163" t="s">
        <v>400</v>
      </c>
      <c r="W180" s="161" t="s">
        <v>125</v>
      </c>
      <c r="X180" s="161" t="s">
        <v>125</v>
      </c>
      <c r="Y180" s="161" t="s">
        <v>125</v>
      </c>
      <c r="Z180" s="161" t="s">
        <v>125</v>
      </c>
      <c r="AA180" s="161" t="s">
        <v>125</v>
      </c>
      <c r="AB180" s="161" t="s">
        <v>125</v>
      </c>
      <c r="AC180" s="161" t="s">
        <v>125</v>
      </c>
      <c r="AD180" s="161" t="s">
        <v>125</v>
      </c>
      <c r="AE180" s="161" t="s">
        <v>125</v>
      </c>
      <c r="AF180" s="161" t="s">
        <v>125</v>
      </c>
      <c r="AG180" s="168">
        <v>4.0166941201764601</v>
      </c>
      <c r="AH180" s="168">
        <v>4.3951421463269904</v>
      </c>
      <c r="AI180" s="168">
        <v>4.7293167559954998</v>
      </c>
      <c r="AJ180" s="168">
        <v>5.0211085759059797</v>
      </c>
      <c r="AK180" s="168">
        <v>5.5501450504073997</v>
      </c>
      <c r="AL180" s="168">
        <v>6.1910628132922403</v>
      </c>
      <c r="AM180" s="168">
        <v>6.5891370916366503</v>
      </c>
      <c r="AN180" s="168">
        <v>7.3453197819853102</v>
      </c>
      <c r="AO180" s="168">
        <v>7.8133751132793696</v>
      </c>
      <c r="AP180" s="168">
        <v>8.1549548602974191</v>
      </c>
      <c r="AQ180" s="168">
        <v>9.9585381454849191</v>
      </c>
      <c r="AR180" s="168">
        <v>10.503728068812</v>
      </c>
      <c r="AS180" s="168">
        <v>10.599566460523601</v>
      </c>
      <c r="AT180" s="168">
        <v>10.853129852067999</v>
      </c>
      <c r="AU180" s="168">
        <v>11.3821543278377</v>
      </c>
      <c r="AV180" s="168">
        <v>11.803337981587999</v>
      </c>
      <c r="AW180" s="168">
        <v>13.6330367258303</v>
      </c>
      <c r="AX180" s="168">
        <v>14.246657951130199</v>
      </c>
      <c r="AY180" s="168">
        <v>15.818771237369701</v>
      </c>
      <c r="AZ180" s="168">
        <v>18.942165018165301</v>
      </c>
      <c r="BA180" s="168">
        <v>20.746309321421101</v>
      </c>
      <c r="BB180" s="168">
        <v>24.3460900781247</v>
      </c>
      <c r="BC180" s="168">
        <v>25.2760426743233</v>
      </c>
      <c r="BD180" s="168">
        <v>26.767077055163298</v>
      </c>
    </row>
    <row r="181" spans="1:56">
      <c r="A181" s="163" t="s">
        <v>401</v>
      </c>
      <c r="B181" s="163" t="s">
        <v>402</v>
      </c>
      <c r="W181" s="161" t="s">
        <v>125</v>
      </c>
      <c r="X181" s="161" t="s">
        <v>125</v>
      </c>
      <c r="Y181" s="161" t="s">
        <v>125</v>
      </c>
      <c r="Z181" s="161" t="s">
        <v>125</v>
      </c>
      <c r="AA181" s="161" t="s">
        <v>125</v>
      </c>
      <c r="AB181" s="161" t="s">
        <v>125</v>
      </c>
      <c r="AC181" s="161" t="s">
        <v>125</v>
      </c>
      <c r="AD181" s="161" t="s">
        <v>125</v>
      </c>
      <c r="AE181" s="161" t="s">
        <v>125</v>
      </c>
      <c r="AF181" s="161" t="s">
        <v>125</v>
      </c>
      <c r="AG181" s="168" t="s">
        <v>125</v>
      </c>
      <c r="AH181" s="168">
        <v>0.50231795658482903</v>
      </c>
      <c r="AI181" s="168">
        <v>0.51591397505829195</v>
      </c>
      <c r="AJ181" s="168">
        <v>0.52899230175271394</v>
      </c>
      <c r="AK181" s="168">
        <v>0.53118585438496801</v>
      </c>
      <c r="AL181" s="168">
        <v>0.53496777759877301</v>
      </c>
      <c r="AM181" s="168">
        <v>0.54066958488394801</v>
      </c>
      <c r="AN181" s="168">
        <v>0.54368275670972099</v>
      </c>
      <c r="AO181" s="168">
        <v>0.546431168143521</v>
      </c>
      <c r="AP181" s="168">
        <v>0.55087409805115095</v>
      </c>
      <c r="AQ181" s="168">
        <v>0.745666846710482</v>
      </c>
      <c r="AR181" s="168">
        <v>0.74630617540557398</v>
      </c>
      <c r="AS181" s="168">
        <v>0.70799395234650198</v>
      </c>
      <c r="AT181" s="168">
        <v>0.71453789138896395</v>
      </c>
      <c r="AU181" s="168">
        <v>0.70765766803192598</v>
      </c>
      <c r="AV181" s="168">
        <v>0.73383207635986203</v>
      </c>
      <c r="AW181" s="168">
        <v>0.73138847712398602</v>
      </c>
      <c r="AX181" s="168">
        <v>0.70923990698495798</v>
      </c>
      <c r="AY181" s="168">
        <v>0.74260641290130502</v>
      </c>
      <c r="AZ181" s="168">
        <v>0.76706763131890598</v>
      </c>
      <c r="BA181" s="168">
        <v>0.73129936597143796</v>
      </c>
      <c r="BB181" s="168">
        <v>0.749237503264511</v>
      </c>
      <c r="BC181" s="168">
        <v>0.74506603982055997</v>
      </c>
      <c r="BD181" s="168">
        <v>0.78252385741213204</v>
      </c>
    </row>
    <row r="182" spans="1:56">
      <c r="A182" s="163" t="s">
        <v>403</v>
      </c>
      <c r="B182" s="163" t="s">
        <v>404</v>
      </c>
      <c r="W182" s="161" t="s">
        <v>125</v>
      </c>
      <c r="X182" s="161" t="s">
        <v>125</v>
      </c>
      <c r="Y182" s="161" t="s">
        <v>125</v>
      </c>
      <c r="Z182" s="161" t="s">
        <v>125</v>
      </c>
      <c r="AA182" s="161" t="s">
        <v>125</v>
      </c>
      <c r="AB182" s="161" t="s">
        <v>125</v>
      </c>
      <c r="AC182" s="161" t="s">
        <v>125</v>
      </c>
      <c r="AD182" s="161" t="s">
        <v>125</v>
      </c>
      <c r="AE182" s="161" t="s">
        <v>125</v>
      </c>
      <c r="AF182" s="161" t="s">
        <v>125</v>
      </c>
      <c r="AG182" s="168">
        <v>0.44200305837266501</v>
      </c>
      <c r="AH182" s="168">
        <v>0.42988275002660498</v>
      </c>
      <c r="AI182" s="168">
        <v>0.44156970687586999</v>
      </c>
      <c r="AJ182" s="168">
        <v>0.44663717026109601</v>
      </c>
      <c r="AK182" s="168">
        <v>0.453419921495123</v>
      </c>
      <c r="AL182" s="168">
        <v>0.44622778804213897</v>
      </c>
      <c r="AM182" s="168">
        <v>0.50258558996954705</v>
      </c>
      <c r="AN182" s="168">
        <v>0.50207761473653001</v>
      </c>
      <c r="AO182" s="168">
        <v>0.50165387193196198</v>
      </c>
      <c r="AP182" s="168">
        <v>0.49875035179098098</v>
      </c>
      <c r="AQ182" s="168">
        <v>0.48158235434619001</v>
      </c>
      <c r="AR182" s="168">
        <v>0.47564051253537798</v>
      </c>
      <c r="AS182" s="168">
        <v>0.47627076522005501</v>
      </c>
      <c r="AT182" s="168">
        <v>0.472221084114201</v>
      </c>
      <c r="AU182" s="168">
        <v>0.468653364308733</v>
      </c>
      <c r="AV182" s="168">
        <v>0.46202787708399901</v>
      </c>
      <c r="AW182" s="168">
        <v>0.45768951669887697</v>
      </c>
      <c r="AX182" s="168">
        <v>0.49016140707161798</v>
      </c>
      <c r="AY182" s="168">
        <v>0.51893485236554304</v>
      </c>
      <c r="AZ182" s="168">
        <v>0.51600955491187195</v>
      </c>
      <c r="BA182" s="168">
        <v>0.53532604846875098</v>
      </c>
      <c r="BB182" s="168">
        <v>0.54727196642363496</v>
      </c>
      <c r="BC182" s="168">
        <v>0.55658604021585101</v>
      </c>
      <c r="BD182" s="168">
        <v>0.56857100160463203</v>
      </c>
    </row>
    <row r="183" spans="1:56">
      <c r="A183" s="163" t="s">
        <v>405</v>
      </c>
      <c r="B183" s="163" t="s">
        <v>406</v>
      </c>
      <c r="W183" s="161" t="s">
        <v>125</v>
      </c>
      <c r="X183" s="161" t="s">
        <v>125</v>
      </c>
      <c r="Y183" s="161" t="s">
        <v>125</v>
      </c>
      <c r="Z183" s="161" t="s">
        <v>125</v>
      </c>
      <c r="AA183" s="161" t="s">
        <v>125</v>
      </c>
      <c r="AB183" s="161" t="s">
        <v>125</v>
      </c>
      <c r="AC183" s="161" t="s">
        <v>125</v>
      </c>
      <c r="AD183" s="161" t="s">
        <v>125</v>
      </c>
      <c r="AE183" s="161" t="s">
        <v>125</v>
      </c>
      <c r="AF183" s="161" t="s">
        <v>125</v>
      </c>
      <c r="AG183" s="168">
        <v>0.70922007467676795</v>
      </c>
      <c r="AH183" s="168">
        <v>0.73440179614124901</v>
      </c>
      <c r="AI183" s="168">
        <v>0.73867805814216703</v>
      </c>
      <c r="AJ183" s="168">
        <v>0.70350026670796295</v>
      </c>
      <c r="AK183" s="168">
        <v>0.73879830062019602</v>
      </c>
      <c r="AL183" s="168">
        <v>0.83841832347019596</v>
      </c>
      <c r="AM183" s="168">
        <v>0.838299098031968</v>
      </c>
      <c r="AN183" s="168">
        <v>0.89364727335705296</v>
      </c>
      <c r="AO183" s="168">
        <v>1.01263341706141</v>
      </c>
      <c r="AP183" s="168">
        <v>1.10888452223958</v>
      </c>
      <c r="AQ183" s="168">
        <v>1.2263108580522699</v>
      </c>
      <c r="AR183" s="168">
        <v>1.2817308528886699</v>
      </c>
      <c r="AS183" s="168">
        <v>1.41747941201389</v>
      </c>
      <c r="AT183" s="168">
        <v>1.4666882859044099</v>
      </c>
      <c r="AU183" s="168">
        <v>1.39911343612376</v>
      </c>
      <c r="AV183" s="168">
        <v>1.5715688857191701</v>
      </c>
      <c r="AW183" s="168">
        <v>1.6757625253283099</v>
      </c>
      <c r="AX183" s="168">
        <v>1.6708801567898901</v>
      </c>
      <c r="AY183" s="168">
        <v>1.7671911803998701</v>
      </c>
      <c r="AZ183" s="168">
        <v>1.6788911772587001</v>
      </c>
      <c r="BA183" s="168">
        <v>1.81240546453145</v>
      </c>
      <c r="BB183" s="168">
        <v>1.85903340416986</v>
      </c>
      <c r="BC183" s="168">
        <v>1.87784316623493</v>
      </c>
      <c r="BD183" s="168">
        <v>1.8465151928593</v>
      </c>
    </row>
    <row r="184" spans="1:56">
      <c r="A184" s="163" t="s">
        <v>407</v>
      </c>
      <c r="B184" s="163" t="s">
        <v>408</v>
      </c>
      <c r="W184" s="161" t="s">
        <v>125</v>
      </c>
      <c r="X184" s="161" t="s">
        <v>125</v>
      </c>
      <c r="Y184" s="161" t="s">
        <v>125</v>
      </c>
      <c r="Z184" s="161" t="s">
        <v>125</v>
      </c>
      <c r="AA184" s="161" t="s">
        <v>125</v>
      </c>
      <c r="AB184" s="161" t="s">
        <v>125</v>
      </c>
      <c r="AC184" s="161" t="s">
        <v>125</v>
      </c>
      <c r="AD184" s="161" t="s">
        <v>125</v>
      </c>
      <c r="AE184" s="161" t="s">
        <v>125</v>
      </c>
      <c r="AF184" s="161" t="s">
        <v>125</v>
      </c>
      <c r="AG184" s="168">
        <v>425.100878834583</v>
      </c>
      <c r="AH184" s="168">
        <v>525.33103520719396</v>
      </c>
      <c r="AI184" s="168">
        <v>585.950815607761</v>
      </c>
      <c r="AJ184" s="168">
        <v>642.26952492179396</v>
      </c>
      <c r="AK184" s="168">
        <v>707.95360905657799</v>
      </c>
      <c r="AL184" s="168">
        <v>770.30114089923802</v>
      </c>
      <c r="AM184" s="168">
        <v>842.88654348561397</v>
      </c>
      <c r="AN184" s="168">
        <v>856.97485103666202</v>
      </c>
      <c r="AO184" s="168">
        <v>960.50637097076105</v>
      </c>
      <c r="AP184" s="168">
        <v>1021.4198015727</v>
      </c>
      <c r="AQ184" s="168">
        <v>1116.0110399146999</v>
      </c>
      <c r="AR184" s="168">
        <v>1211.3867684183499</v>
      </c>
      <c r="AS184" s="168">
        <v>1371.35047613647</v>
      </c>
      <c r="AT184" s="168">
        <v>1508.6569143310801</v>
      </c>
      <c r="AU184" s="168">
        <v>1600.3548439158401</v>
      </c>
      <c r="AV184" s="168">
        <v>1706.85020444476</v>
      </c>
      <c r="AW184" s="168">
        <v>1756.67032517693</v>
      </c>
      <c r="AX184" s="168">
        <v>1878.3781030756099</v>
      </c>
      <c r="AY184" s="168">
        <v>2014.3871743054301</v>
      </c>
      <c r="AZ184" s="168">
        <v>2039.8436199882001</v>
      </c>
      <c r="BA184" s="168">
        <v>2138.3948621825298</v>
      </c>
      <c r="BB184" s="168">
        <v>2227.34037426549</v>
      </c>
      <c r="BC184" s="168">
        <v>2292.9918619004402</v>
      </c>
      <c r="BD184" s="168">
        <v>2355.9484566502701</v>
      </c>
    </row>
    <row r="185" spans="1:56">
      <c r="A185" s="163" t="s">
        <v>80</v>
      </c>
      <c r="B185" s="163" t="s">
        <v>409</v>
      </c>
      <c r="W185" s="161" t="s">
        <v>125</v>
      </c>
      <c r="X185" s="161" t="s">
        <v>125</v>
      </c>
      <c r="Y185" s="161" t="s">
        <v>125</v>
      </c>
      <c r="Z185" s="161" t="s">
        <v>125</v>
      </c>
      <c r="AA185" s="161" t="s">
        <v>125</v>
      </c>
      <c r="AB185" s="161" t="s">
        <v>125</v>
      </c>
      <c r="AC185" s="161" t="s">
        <v>125</v>
      </c>
      <c r="AD185" s="161" t="s">
        <v>125</v>
      </c>
      <c r="AE185" s="161" t="s">
        <v>125</v>
      </c>
      <c r="AF185" s="161" t="s">
        <v>125</v>
      </c>
      <c r="AG185" s="168">
        <v>7.0090771126526799E-2</v>
      </c>
      <c r="AH185" s="168">
        <v>0.32549253881533602</v>
      </c>
      <c r="AI185" s="168">
        <v>0.53840206355503795</v>
      </c>
      <c r="AJ185" s="168">
        <v>0.77338784561905705</v>
      </c>
      <c r="AK185" s="168">
        <v>0.95531147845081998</v>
      </c>
      <c r="AL185" s="168">
        <v>1.05696777473598</v>
      </c>
      <c r="AM185" s="168">
        <v>1.1477673599671101</v>
      </c>
      <c r="AN185" s="168">
        <v>1.21352707751089</v>
      </c>
      <c r="AO185" s="168">
        <v>1.2755485181847099</v>
      </c>
      <c r="AP185" s="168">
        <v>1.30720672172143</v>
      </c>
      <c r="AQ185" s="168">
        <v>1.32495353480627</v>
      </c>
      <c r="AR185" s="168">
        <v>1.3138335164288899</v>
      </c>
      <c r="AS185" s="168">
        <v>1.3000590712982201</v>
      </c>
      <c r="AT185" s="168">
        <v>1.2844996711965</v>
      </c>
      <c r="AU185" s="168">
        <v>1.3270231516106299</v>
      </c>
      <c r="AV185" s="168">
        <v>1.3188375434133499</v>
      </c>
      <c r="AW185" s="168">
        <v>1.39397699852009</v>
      </c>
      <c r="AX185" s="168">
        <v>1.3972870858825299</v>
      </c>
      <c r="AY185" s="168">
        <v>1.3949965745561099</v>
      </c>
      <c r="AZ185" s="168">
        <v>1.40819006998452</v>
      </c>
      <c r="BA185" s="168">
        <v>1.47478104588096</v>
      </c>
      <c r="BB185" s="168">
        <v>1.5212295647858201</v>
      </c>
      <c r="BC185" s="168">
        <v>1.5263193393587899</v>
      </c>
      <c r="BD185" s="168">
        <v>1.52861508514388</v>
      </c>
    </row>
    <row r="186" spans="1:56">
      <c r="A186" s="163" t="s">
        <v>69</v>
      </c>
      <c r="B186" s="163" t="s">
        <v>410</v>
      </c>
      <c r="W186" s="161" t="s">
        <v>125</v>
      </c>
      <c r="X186" s="161" t="s">
        <v>125</v>
      </c>
      <c r="Y186" s="161" t="s">
        <v>125</v>
      </c>
      <c r="Z186" s="161" t="s">
        <v>125</v>
      </c>
      <c r="AA186" s="161" t="s">
        <v>125</v>
      </c>
      <c r="AB186" s="161" t="s">
        <v>125</v>
      </c>
      <c r="AC186" s="161" t="s">
        <v>125</v>
      </c>
      <c r="AD186" s="161" t="s">
        <v>125</v>
      </c>
      <c r="AE186" s="161" t="s">
        <v>125</v>
      </c>
      <c r="AF186" s="161" t="s">
        <v>125</v>
      </c>
      <c r="AG186" s="168">
        <v>6.6946185013681303</v>
      </c>
      <c r="AH186" s="168">
        <v>7.5499099761550799</v>
      </c>
      <c r="AI186" s="168">
        <v>7.96713397631585</v>
      </c>
      <c r="AJ186" s="168">
        <v>8.3136143554384692</v>
      </c>
      <c r="AK186" s="168">
        <v>8.9536493678985707</v>
      </c>
      <c r="AL186" s="168">
        <v>9.4329570687970907</v>
      </c>
      <c r="AM186" s="168">
        <v>9.9734683272373204</v>
      </c>
      <c r="AN186" s="168">
        <v>10.4160418508935</v>
      </c>
      <c r="AO186" s="168">
        <v>12.610537774911201</v>
      </c>
      <c r="AP186" s="168">
        <v>13.2516980304943</v>
      </c>
      <c r="AQ186" s="168">
        <v>13.697116357923299</v>
      </c>
      <c r="AR186" s="168">
        <v>14.133420146428801</v>
      </c>
      <c r="AS186" s="168">
        <v>14.498888473955001</v>
      </c>
      <c r="AT186" s="168">
        <v>14.669885570281499</v>
      </c>
      <c r="AU186" s="168">
        <v>15.0662044393288</v>
      </c>
      <c r="AV186" s="168">
        <v>15.448763148841699</v>
      </c>
      <c r="AW186" s="168">
        <v>15.7297738144925</v>
      </c>
      <c r="AX186" s="168">
        <v>15.796650403745399</v>
      </c>
      <c r="AY186" s="168">
        <v>16.663628010450001</v>
      </c>
      <c r="AZ186" s="168">
        <v>16.994943923919902</v>
      </c>
      <c r="BA186" s="168">
        <v>17.5006961082488</v>
      </c>
      <c r="BB186" s="168">
        <v>17.8537229608594</v>
      </c>
      <c r="BC186" s="168">
        <v>17.880673780261102</v>
      </c>
      <c r="BD186" s="168">
        <v>17.963199972985901</v>
      </c>
    </row>
    <row r="187" spans="1:56">
      <c r="A187" s="163" t="s">
        <v>411</v>
      </c>
      <c r="B187" s="163" t="s">
        <v>412</v>
      </c>
      <c r="W187" s="161" t="s">
        <v>125</v>
      </c>
      <c r="X187" s="161" t="s">
        <v>125</v>
      </c>
      <c r="Y187" s="161" t="s">
        <v>125</v>
      </c>
      <c r="Z187" s="161" t="s">
        <v>125</v>
      </c>
      <c r="AA187" s="161" t="s">
        <v>125</v>
      </c>
      <c r="AB187" s="161" t="s">
        <v>125</v>
      </c>
      <c r="AC187" s="161" t="s">
        <v>125</v>
      </c>
      <c r="AD187" s="161" t="s">
        <v>125</v>
      </c>
      <c r="AE187" s="161" t="s">
        <v>125</v>
      </c>
      <c r="AF187" s="161" t="s">
        <v>125</v>
      </c>
      <c r="AG187" s="168">
        <v>0.26925074500000001</v>
      </c>
      <c r="AH187" s="168">
        <v>0.40457133899999997</v>
      </c>
      <c r="AI187" s="168">
        <v>0.54833454699999995</v>
      </c>
      <c r="AJ187" s="168">
        <v>0.69970798400000001</v>
      </c>
      <c r="AK187" s="168">
        <v>0.94022214800000004</v>
      </c>
      <c r="AL187" s="168">
        <v>1.178692971</v>
      </c>
      <c r="AM187" s="168">
        <v>1.3585720210000001</v>
      </c>
      <c r="AN187" s="168">
        <v>1.5174633820000001</v>
      </c>
      <c r="AO187" s="168">
        <v>1.657671667</v>
      </c>
      <c r="AP187" s="168">
        <v>1.740092003</v>
      </c>
      <c r="AQ187" s="168">
        <v>1.838946027</v>
      </c>
      <c r="AR187" s="168">
        <v>1.859152672</v>
      </c>
      <c r="AS187" s="168">
        <v>1.8291043440000001</v>
      </c>
      <c r="AT187" s="168">
        <v>1.8406454619999999</v>
      </c>
      <c r="AU187" s="168">
        <v>1.862138166</v>
      </c>
      <c r="AV187" s="168">
        <v>1.869116126</v>
      </c>
      <c r="AW187" s="168">
        <v>1.8421849130000001</v>
      </c>
      <c r="AX187" s="168">
        <v>1.8446620549999999</v>
      </c>
      <c r="AY187" s="168">
        <v>1.856510023</v>
      </c>
      <c r="AZ187" s="168">
        <v>1.857446806</v>
      </c>
      <c r="BA187" s="168">
        <v>1.819995772</v>
      </c>
      <c r="BB187" s="168">
        <v>1.8234353809999999</v>
      </c>
      <c r="BC187" s="168">
        <v>1.8535115799999999</v>
      </c>
      <c r="BD187" s="168">
        <v>1.823990709</v>
      </c>
    </row>
    <row r="188" spans="1:56">
      <c r="A188" s="163" t="s">
        <v>413</v>
      </c>
      <c r="B188" s="163" t="s">
        <v>414</v>
      </c>
      <c r="W188" s="161" t="s">
        <v>125</v>
      </c>
      <c r="X188" s="161" t="s">
        <v>125</v>
      </c>
      <c r="Y188" s="161" t="s">
        <v>125</v>
      </c>
      <c r="Z188" s="161" t="s">
        <v>125</v>
      </c>
      <c r="AA188" s="161" t="s">
        <v>125</v>
      </c>
      <c r="AB188" s="161" t="s">
        <v>125</v>
      </c>
      <c r="AC188" s="161" t="s">
        <v>125</v>
      </c>
      <c r="AD188" s="161" t="s">
        <v>125</v>
      </c>
      <c r="AE188" s="161" t="s">
        <v>125</v>
      </c>
      <c r="AF188" s="161" t="s">
        <v>125</v>
      </c>
      <c r="AG188" s="168">
        <v>0.50170108599999996</v>
      </c>
      <c r="AH188" s="168">
        <v>0.53452459200000002</v>
      </c>
      <c r="AI188" s="168">
        <v>0.58242468400000003</v>
      </c>
      <c r="AJ188" s="168">
        <v>0.61084987099999999</v>
      </c>
      <c r="AK188" s="168">
        <v>0.64164595400000002</v>
      </c>
      <c r="AL188" s="168">
        <v>0.65008482199999995</v>
      </c>
      <c r="AM188" s="168">
        <v>0.66069995400000003</v>
      </c>
      <c r="AN188" s="168">
        <v>0.67208011300000003</v>
      </c>
      <c r="AO188" s="168">
        <v>0.69286562200000001</v>
      </c>
      <c r="AP188" s="168">
        <v>0.69670374199999996</v>
      </c>
      <c r="AQ188" s="168">
        <v>0.69886369800000003</v>
      </c>
      <c r="AR188" s="168">
        <v>0.70502077799999996</v>
      </c>
      <c r="AS188" s="168">
        <v>0.708096481</v>
      </c>
      <c r="AT188" s="168">
        <v>0.70584985600000005</v>
      </c>
      <c r="AU188" s="168">
        <v>0.71644405300000003</v>
      </c>
      <c r="AV188" s="168">
        <v>0.68433020700000002</v>
      </c>
      <c r="AW188" s="168">
        <v>0.66111728999999997</v>
      </c>
      <c r="AX188" s="168">
        <v>0.66040297400000003</v>
      </c>
      <c r="AY188" s="168">
        <v>0.64920859900000005</v>
      </c>
      <c r="AZ188" s="168">
        <v>0.63085344300000001</v>
      </c>
      <c r="BA188" s="168">
        <v>0.63198367200000005</v>
      </c>
      <c r="BB188" s="168">
        <v>0.62757603699999998</v>
      </c>
      <c r="BC188" s="168">
        <v>0.61704393599999996</v>
      </c>
      <c r="BD188" s="168">
        <v>0.611698776</v>
      </c>
    </row>
    <row r="189" spans="1:56">
      <c r="A189" s="163" t="s">
        <v>415</v>
      </c>
      <c r="B189" s="163" t="s">
        <v>416</v>
      </c>
      <c r="W189" s="161" t="s">
        <v>125</v>
      </c>
      <c r="X189" s="161" t="s">
        <v>125</v>
      </c>
      <c r="Y189" s="161" t="s">
        <v>125</v>
      </c>
      <c r="Z189" s="161" t="s">
        <v>125</v>
      </c>
      <c r="AA189" s="161" t="s">
        <v>125</v>
      </c>
      <c r="AB189" s="161" t="s">
        <v>125</v>
      </c>
      <c r="AC189" s="161" t="s">
        <v>125</v>
      </c>
      <c r="AD189" s="161" t="s">
        <v>125</v>
      </c>
      <c r="AE189" s="161" t="s">
        <v>125</v>
      </c>
      <c r="AF189" s="161" t="s">
        <v>125</v>
      </c>
      <c r="AG189" s="168">
        <v>0.57095916746743502</v>
      </c>
      <c r="AH189" s="168">
        <v>0.56987875496518403</v>
      </c>
      <c r="AI189" s="168">
        <v>0.57152008115699005</v>
      </c>
      <c r="AJ189" s="168">
        <v>0.56876475297819695</v>
      </c>
      <c r="AK189" s="168">
        <v>0.57461340100056402</v>
      </c>
      <c r="AL189" s="168">
        <v>0.57848366540325902</v>
      </c>
      <c r="AM189" s="168">
        <v>0.590314610819895</v>
      </c>
      <c r="AN189" s="168">
        <v>0.58810723370110796</v>
      </c>
      <c r="AO189" s="168">
        <v>0.61965604458666201</v>
      </c>
      <c r="AP189" s="168">
        <v>0.63265178389110599</v>
      </c>
      <c r="AQ189" s="168">
        <v>0.62069336666197295</v>
      </c>
      <c r="AR189" s="168">
        <v>0.67054843728186497</v>
      </c>
      <c r="AS189" s="168">
        <v>0.66893538719369905</v>
      </c>
      <c r="AT189" s="168">
        <v>0.66948498178482296</v>
      </c>
      <c r="AU189" s="168">
        <v>0.67634335091388298</v>
      </c>
      <c r="AV189" s="168">
        <v>0.69899837819767796</v>
      </c>
      <c r="AW189" s="168">
        <v>0.71565688350104595</v>
      </c>
      <c r="AX189" s="168">
        <v>0.72375780449614902</v>
      </c>
      <c r="AY189" s="168">
        <v>0.75759383060888696</v>
      </c>
      <c r="AZ189" s="168">
        <v>0.789664880210452</v>
      </c>
      <c r="BA189" s="168">
        <v>0.79806030388212601</v>
      </c>
      <c r="BB189" s="168">
        <v>0.79772960000000004</v>
      </c>
      <c r="BC189" s="168">
        <v>0.80162899086151496</v>
      </c>
      <c r="BD189" s="168" t="s">
        <v>125</v>
      </c>
    </row>
    <row r="190" spans="1:56">
      <c r="A190" s="163" t="s">
        <v>417</v>
      </c>
      <c r="B190" s="163" t="s">
        <v>418</v>
      </c>
      <c r="W190" s="161" t="s">
        <v>125</v>
      </c>
      <c r="X190" s="161" t="s">
        <v>125</v>
      </c>
      <c r="Y190" s="161" t="s">
        <v>125</v>
      </c>
      <c r="Z190" s="161" t="s">
        <v>125</v>
      </c>
      <c r="AA190" s="161" t="s">
        <v>125</v>
      </c>
      <c r="AB190" s="161" t="s">
        <v>125</v>
      </c>
      <c r="AC190" s="161" t="s">
        <v>125</v>
      </c>
      <c r="AD190" s="161" t="s">
        <v>125</v>
      </c>
      <c r="AE190" s="161" t="s">
        <v>125</v>
      </c>
      <c r="AF190" s="161" t="s">
        <v>125</v>
      </c>
      <c r="AG190" s="168" t="s">
        <v>125</v>
      </c>
      <c r="AH190" s="168" t="s">
        <v>125</v>
      </c>
      <c r="AI190" s="168" t="s">
        <v>125</v>
      </c>
      <c r="AJ190" s="168" t="s">
        <v>125</v>
      </c>
      <c r="AK190" s="168" t="s">
        <v>125</v>
      </c>
      <c r="AL190" s="168" t="s">
        <v>125</v>
      </c>
      <c r="AM190" s="168" t="s">
        <v>125</v>
      </c>
      <c r="AN190" s="168" t="s">
        <v>125</v>
      </c>
      <c r="AO190" s="168" t="s">
        <v>125</v>
      </c>
      <c r="AP190" s="168" t="s">
        <v>125</v>
      </c>
      <c r="AQ190" s="168">
        <v>1.2297735539258301</v>
      </c>
      <c r="AR190" s="168">
        <v>1.1490040211827599</v>
      </c>
      <c r="AS190" s="168">
        <v>1.1661952240393301</v>
      </c>
      <c r="AT190" s="168">
        <v>1.34270931918718</v>
      </c>
      <c r="AU190" s="168">
        <v>1.47818022343851</v>
      </c>
      <c r="AV190" s="168">
        <v>1.86968862576787</v>
      </c>
      <c r="AW190" s="168">
        <v>1.96559731990428</v>
      </c>
      <c r="AX190" s="168">
        <v>2.1248380631708201</v>
      </c>
      <c r="AY190" s="168">
        <v>2.56139198067808</v>
      </c>
      <c r="AZ190" s="168">
        <v>1.92622842102141</v>
      </c>
      <c r="BA190" s="168">
        <v>2.0859643576085398</v>
      </c>
      <c r="BB190" s="168">
        <v>2.4186407326950801</v>
      </c>
      <c r="BC190" s="168">
        <v>2.5926472941419298</v>
      </c>
      <c r="BD190" s="168">
        <v>2.5789895574583199</v>
      </c>
    </row>
    <row r="191" spans="1:56">
      <c r="A191" s="163" t="s">
        <v>419</v>
      </c>
      <c r="B191" s="163" t="s">
        <v>568</v>
      </c>
      <c r="W191" s="161" t="s">
        <v>125</v>
      </c>
      <c r="X191" s="161" t="s">
        <v>125</v>
      </c>
      <c r="Y191" s="161" t="s">
        <v>125</v>
      </c>
      <c r="Z191" s="161" t="s">
        <v>125</v>
      </c>
      <c r="AA191" s="161" t="s">
        <v>125</v>
      </c>
      <c r="AB191" s="161" t="s">
        <v>125</v>
      </c>
      <c r="AC191" s="161" t="s">
        <v>125</v>
      </c>
      <c r="AD191" s="161" t="s">
        <v>125</v>
      </c>
      <c r="AE191" s="161" t="s">
        <v>125</v>
      </c>
      <c r="AF191" s="161" t="s">
        <v>125</v>
      </c>
      <c r="AG191" s="168">
        <v>7.1341848301464202E-4</v>
      </c>
      <c r="AH191" s="168">
        <v>2.0364383187477298E-3</v>
      </c>
      <c r="AI191" s="168">
        <v>5.9750862592351196E-3</v>
      </c>
      <c r="AJ191" s="168">
        <v>1.9105675475611501E-2</v>
      </c>
      <c r="AK191" s="168">
        <v>4.4698618096533499E-2</v>
      </c>
      <c r="AL191" s="168">
        <v>5.9217370114865303E-2</v>
      </c>
      <c r="AM191" s="168">
        <v>8.4088214088807803E-2</v>
      </c>
      <c r="AN191" s="168">
        <v>0.20372400933995899</v>
      </c>
      <c r="AO191" s="168">
        <v>0.31098957574927</v>
      </c>
      <c r="AP191" s="168">
        <v>0.45472488297034702</v>
      </c>
      <c r="AQ191" s="168">
        <v>0.63182003734746195</v>
      </c>
      <c r="AR191" s="168">
        <v>0.82123746536623898</v>
      </c>
      <c r="AS191" s="168">
        <v>0.99061835146150401</v>
      </c>
      <c r="AT191" s="168">
        <v>1.18275882457281</v>
      </c>
      <c r="AU191" s="168">
        <v>1.3018912449853399</v>
      </c>
      <c r="AV191" s="168">
        <v>1.4230115468026501</v>
      </c>
      <c r="AW191" s="168">
        <v>1.43213713318744</v>
      </c>
      <c r="AX191" s="168">
        <v>1.5137185084018201</v>
      </c>
      <c r="AY191" s="168">
        <v>1.59681921606343</v>
      </c>
      <c r="AZ191" s="168">
        <v>1.57845556197176</v>
      </c>
      <c r="BA191" s="168">
        <v>1.5913214116640999</v>
      </c>
      <c r="BB191" s="168">
        <v>1.61441645011863</v>
      </c>
      <c r="BC191" s="168">
        <v>1.6525252060218201</v>
      </c>
      <c r="BD191" s="168">
        <v>1.6964264219079099</v>
      </c>
    </row>
    <row r="192" spans="1:56">
      <c r="A192" s="163" t="s">
        <v>421</v>
      </c>
      <c r="B192" s="163" t="s">
        <v>422</v>
      </c>
      <c r="W192" s="161" t="s">
        <v>125</v>
      </c>
      <c r="X192" s="161" t="s">
        <v>125</v>
      </c>
      <c r="Y192" s="161" t="s">
        <v>125</v>
      </c>
      <c r="Z192" s="161" t="s">
        <v>125</v>
      </c>
      <c r="AA192" s="161" t="s">
        <v>125</v>
      </c>
      <c r="AB192" s="161" t="s">
        <v>125</v>
      </c>
      <c r="AC192" s="161" t="s">
        <v>125</v>
      </c>
      <c r="AD192" s="161" t="s">
        <v>125</v>
      </c>
      <c r="AE192" s="161" t="s">
        <v>125</v>
      </c>
      <c r="AF192" s="161" t="s">
        <v>125</v>
      </c>
      <c r="AG192" s="168">
        <v>5.4160191542571598E-4</v>
      </c>
      <c r="AH192" s="168">
        <v>1.19840274747088E-3</v>
      </c>
      <c r="AI192" s="168">
        <v>1.86346683534847E-2</v>
      </c>
      <c r="AJ192" s="168">
        <v>0.17980193128240601</v>
      </c>
      <c r="AK192" s="168">
        <v>0.71706496823213906</v>
      </c>
      <c r="AL192" s="168">
        <v>1.713908695</v>
      </c>
      <c r="AM192" s="168">
        <v>2.4542813469999998</v>
      </c>
      <c r="AN192" s="168">
        <v>2.7768710890000001</v>
      </c>
      <c r="AO192" s="168">
        <v>3.2578955779999998</v>
      </c>
      <c r="AP192" s="168">
        <v>5.5396405660000001</v>
      </c>
      <c r="AQ192" s="168">
        <v>7.3019613809999999</v>
      </c>
      <c r="AR192" s="168">
        <v>8.3155010340000004</v>
      </c>
      <c r="AS192" s="168">
        <v>9.2735042490000001</v>
      </c>
      <c r="AT192" s="168">
        <v>9.8667279079999997</v>
      </c>
      <c r="AU192" s="168">
        <v>11.551258320000001</v>
      </c>
      <c r="AV192" s="168">
        <v>12.7361313</v>
      </c>
      <c r="AW192" s="168">
        <v>12.61387974</v>
      </c>
      <c r="AX192" s="168">
        <v>13.98403309</v>
      </c>
      <c r="AY192" s="168">
        <v>14.341196070000001</v>
      </c>
      <c r="AZ192" s="168">
        <v>14.03378648</v>
      </c>
      <c r="BA192" s="168">
        <v>15.833110339999999</v>
      </c>
      <c r="BB192" s="168">
        <v>17.345571750000001</v>
      </c>
      <c r="BC192" s="168">
        <v>18.488462800000001</v>
      </c>
      <c r="BD192" s="168">
        <v>19.286423041301401</v>
      </c>
    </row>
    <row r="193" spans="1:56">
      <c r="A193" s="163" t="s">
        <v>423</v>
      </c>
      <c r="B193" s="163" t="s">
        <v>424</v>
      </c>
      <c r="W193" s="161" t="s">
        <v>125</v>
      </c>
      <c r="X193" s="161" t="s">
        <v>125</v>
      </c>
      <c r="Y193" s="161" t="s">
        <v>125</v>
      </c>
      <c r="Z193" s="161" t="s">
        <v>125</v>
      </c>
      <c r="AA193" s="161" t="s">
        <v>125</v>
      </c>
      <c r="AB193" s="161" t="s">
        <v>125</v>
      </c>
      <c r="AC193" s="161" t="s">
        <v>125</v>
      </c>
      <c r="AD193" s="161" t="s">
        <v>125</v>
      </c>
      <c r="AE193" s="161" t="s">
        <v>125</v>
      </c>
      <c r="AF193" s="161" t="s">
        <v>125</v>
      </c>
      <c r="AG193" s="168">
        <v>53.381526949510601</v>
      </c>
      <c r="AH193" s="168">
        <v>59.4017310714122</v>
      </c>
      <c r="AI193" s="168">
        <v>62.307256713440701</v>
      </c>
      <c r="AJ193" s="168">
        <v>69.300380741048798</v>
      </c>
      <c r="AK193" s="168">
        <v>79.521180559514605</v>
      </c>
      <c r="AL193" s="168">
        <v>117.831026617186</v>
      </c>
      <c r="AM193" s="168">
        <v>128.35561106634299</v>
      </c>
      <c r="AN193" s="168">
        <v>145.91022137738801</v>
      </c>
      <c r="AO193" s="168">
        <v>147.560718434395</v>
      </c>
      <c r="AP193" s="168">
        <v>132.11663092817</v>
      </c>
      <c r="AQ193" s="168">
        <v>132.83855523614901</v>
      </c>
      <c r="AR193" s="168">
        <v>131.12920700682301</v>
      </c>
      <c r="AS193" s="168">
        <v>122.28909933851401</v>
      </c>
      <c r="AT193" s="168">
        <v>147.09264590426801</v>
      </c>
      <c r="AU193" s="168">
        <v>162.71997471565899</v>
      </c>
      <c r="AV193" s="168">
        <v>172.600519167008</v>
      </c>
      <c r="AW193" s="168">
        <v>183.840257893764</v>
      </c>
      <c r="AX193" s="168">
        <v>196.65303525524499</v>
      </c>
      <c r="AY193" s="168">
        <v>218.639912889355</v>
      </c>
      <c r="AZ193" s="168">
        <v>236.49261522645401</v>
      </c>
      <c r="BA193" s="168">
        <v>243.660238662067</v>
      </c>
      <c r="BB193" s="168">
        <v>260.75100867123803</v>
      </c>
      <c r="BC193" s="168">
        <v>272.10517577682702</v>
      </c>
      <c r="BD193" s="168">
        <v>281.86940145998898</v>
      </c>
    </row>
    <row r="194" spans="1:56">
      <c r="A194" s="163" t="s">
        <v>425</v>
      </c>
      <c r="B194" s="163" t="s">
        <v>426</v>
      </c>
      <c r="W194" s="161" t="s">
        <v>125</v>
      </c>
      <c r="X194" s="161" t="s">
        <v>125</v>
      </c>
      <c r="Y194" s="161" t="s">
        <v>125</v>
      </c>
      <c r="Z194" s="161" t="s">
        <v>125</v>
      </c>
      <c r="AA194" s="161" t="s">
        <v>125</v>
      </c>
      <c r="AB194" s="161" t="s">
        <v>125</v>
      </c>
      <c r="AC194" s="161" t="s">
        <v>125</v>
      </c>
      <c r="AD194" s="161" t="s">
        <v>125</v>
      </c>
      <c r="AE194" s="161" t="s">
        <v>125</v>
      </c>
      <c r="AF194" s="161" t="s">
        <v>125</v>
      </c>
      <c r="AG194" s="168">
        <v>0.75370545183279503</v>
      </c>
      <c r="AH194" s="168">
        <v>0.77402199690019602</v>
      </c>
      <c r="AI194" s="168">
        <v>0.82158897612238002</v>
      </c>
      <c r="AJ194" s="168">
        <v>0.80774540470231404</v>
      </c>
      <c r="AK194" s="168">
        <v>1.3305292831082001</v>
      </c>
      <c r="AL194" s="168">
        <v>1.2137582848350901</v>
      </c>
      <c r="AM194" s="168">
        <v>1.2455929790378499</v>
      </c>
      <c r="AN194" s="168">
        <v>1.36741865046241</v>
      </c>
      <c r="AO194" s="168">
        <v>1.3961940020852599</v>
      </c>
      <c r="AP194" s="168">
        <v>1.4093727159092899</v>
      </c>
      <c r="AQ194" s="168">
        <v>1.4165015565805901</v>
      </c>
      <c r="AR194" s="168">
        <v>1.41636950689717</v>
      </c>
      <c r="AS194" s="168">
        <v>1.4280070165146901</v>
      </c>
      <c r="AT194" s="168">
        <v>1.4332705136893</v>
      </c>
      <c r="AU194" s="168">
        <v>1.4905131326243</v>
      </c>
      <c r="AV194" s="168">
        <v>1.4567061806986401</v>
      </c>
      <c r="AW194" s="168">
        <v>1.5438913050265901</v>
      </c>
      <c r="AX194" s="168">
        <v>1.5686317966001999</v>
      </c>
      <c r="AY194" s="168">
        <v>1.61605212123591</v>
      </c>
      <c r="AZ194" s="168">
        <v>1.6523818996938</v>
      </c>
      <c r="BA194" s="168">
        <v>1.6556795073972399</v>
      </c>
      <c r="BB194" s="168">
        <v>1.66056811905465</v>
      </c>
      <c r="BC194" s="168">
        <v>1.6550032815973501</v>
      </c>
      <c r="BD194" s="168">
        <v>1.64909934068071</v>
      </c>
    </row>
    <row r="195" spans="1:56">
      <c r="A195" s="163" t="s">
        <v>427</v>
      </c>
      <c r="B195" s="163" t="s">
        <v>428</v>
      </c>
      <c r="W195" s="161" t="s">
        <v>125</v>
      </c>
      <c r="X195" s="161" t="s">
        <v>125</v>
      </c>
      <c r="Y195" s="161" t="s">
        <v>125</v>
      </c>
      <c r="Z195" s="161" t="s">
        <v>125</v>
      </c>
      <c r="AA195" s="161" t="s">
        <v>125</v>
      </c>
      <c r="AB195" s="161" t="s">
        <v>125</v>
      </c>
      <c r="AC195" s="161" t="s">
        <v>125</v>
      </c>
      <c r="AD195" s="161" t="s">
        <v>125</v>
      </c>
      <c r="AE195" s="161" t="s">
        <v>125</v>
      </c>
      <c r="AF195" s="161" t="s">
        <v>125</v>
      </c>
      <c r="AG195" s="168" t="s">
        <v>125</v>
      </c>
      <c r="AH195" s="168" t="s">
        <v>125</v>
      </c>
      <c r="AI195" s="168" t="s">
        <v>125</v>
      </c>
      <c r="AJ195" s="168" t="s">
        <v>125</v>
      </c>
      <c r="AK195" s="168" t="s">
        <v>125</v>
      </c>
      <c r="AL195" s="168" t="s">
        <v>125</v>
      </c>
      <c r="AM195" s="168" t="s">
        <v>125</v>
      </c>
      <c r="AN195" s="168" t="s">
        <v>125</v>
      </c>
      <c r="AO195" s="168" t="s">
        <v>125</v>
      </c>
      <c r="AP195" s="168" t="s">
        <v>125</v>
      </c>
      <c r="AQ195" s="168" t="s">
        <v>125</v>
      </c>
      <c r="AR195" s="168" t="s">
        <v>125</v>
      </c>
      <c r="AS195" s="168" t="s">
        <v>125</v>
      </c>
      <c r="AT195" s="168" t="s">
        <v>125</v>
      </c>
      <c r="AU195" s="168" t="s">
        <v>125</v>
      </c>
      <c r="AV195" s="168" t="s">
        <v>125</v>
      </c>
      <c r="AW195" s="168" t="s">
        <v>125</v>
      </c>
      <c r="AX195" s="168" t="s">
        <v>125</v>
      </c>
      <c r="AY195" s="168" t="s">
        <v>125</v>
      </c>
      <c r="AZ195" s="168" t="s">
        <v>125</v>
      </c>
      <c r="BA195" s="168" t="s">
        <v>125</v>
      </c>
      <c r="BB195" s="168">
        <v>0.71025689999999997</v>
      </c>
      <c r="BC195" s="168" t="s">
        <v>125</v>
      </c>
      <c r="BD195" s="168" t="s">
        <v>125</v>
      </c>
    </row>
    <row r="196" spans="1:56">
      <c r="A196" s="163" t="s">
        <v>429</v>
      </c>
      <c r="B196" s="163" t="s">
        <v>430</v>
      </c>
      <c r="W196" s="161" t="s">
        <v>125</v>
      </c>
      <c r="X196" s="161" t="s">
        <v>125</v>
      </c>
      <c r="Y196" s="161" t="s">
        <v>125</v>
      </c>
      <c r="Z196" s="161" t="s">
        <v>125</v>
      </c>
      <c r="AA196" s="161" t="s">
        <v>125</v>
      </c>
      <c r="AB196" s="161" t="s">
        <v>125</v>
      </c>
      <c r="AC196" s="161" t="s">
        <v>125</v>
      </c>
      <c r="AD196" s="161" t="s">
        <v>125</v>
      </c>
      <c r="AE196" s="161" t="s">
        <v>125</v>
      </c>
      <c r="AF196" s="161" t="s">
        <v>125</v>
      </c>
      <c r="AG196" s="168" t="s">
        <v>125</v>
      </c>
      <c r="AH196" s="168" t="s">
        <v>125</v>
      </c>
      <c r="AI196" s="168" t="s">
        <v>125</v>
      </c>
      <c r="AJ196" s="168" t="s">
        <v>125</v>
      </c>
      <c r="AK196" s="168" t="s">
        <v>125</v>
      </c>
      <c r="AL196" s="168" t="s">
        <v>125</v>
      </c>
      <c r="AM196" s="168" t="s">
        <v>125</v>
      </c>
      <c r="AN196" s="168" t="s">
        <v>125</v>
      </c>
      <c r="AO196" s="168" t="s">
        <v>125</v>
      </c>
      <c r="AP196" s="168" t="s">
        <v>125</v>
      </c>
      <c r="AQ196" s="168">
        <v>2564.89924525573</v>
      </c>
      <c r="AR196" s="168">
        <v>2687.5972851689899</v>
      </c>
      <c r="AS196" s="168">
        <v>2948.5653584862898</v>
      </c>
      <c r="AT196" s="168">
        <v>3335.31844778599</v>
      </c>
      <c r="AU196" s="168">
        <v>3594.8232966884102</v>
      </c>
      <c r="AV196" s="168">
        <v>4067.76345546331</v>
      </c>
      <c r="AW196" s="168">
        <v>4530.4940728542097</v>
      </c>
      <c r="AX196" s="168">
        <v>5021.1826287199101</v>
      </c>
      <c r="AY196" s="168">
        <v>6233.77244692357</v>
      </c>
      <c r="AZ196" s="168">
        <v>7024.4070154398496</v>
      </c>
      <c r="BA196" s="168">
        <v>7755.1667269873797</v>
      </c>
      <c r="BB196" s="168">
        <v>8527.1567518376596</v>
      </c>
      <c r="BC196" s="168">
        <v>9247.5011840027091</v>
      </c>
      <c r="BD196" s="168">
        <v>9999.2436618606898</v>
      </c>
    </row>
    <row r="197" spans="1:56">
      <c r="A197" s="163" t="s">
        <v>431</v>
      </c>
      <c r="B197" s="163" t="s">
        <v>432</v>
      </c>
      <c r="W197" s="161" t="s">
        <v>125</v>
      </c>
      <c r="X197" s="161" t="s">
        <v>125</v>
      </c>
      <c r="Y197" s="161" t="s">
        <v>125</v>
      </c>
      <c r="Z197" s="161" t="s">
        <v>125</v>
      </c>
      <c r="AA197" s="161" t="s">
        <v>125</v>
      </c>
      <c r="AB197" s="161" t="s">
        <v>125</v>
      </c>
      <c r="AC197" s="161" t="s">
        <v>125</v>
      </c>
      <c r="AD197" s="161" t="s">
        <v>125</v>
      </c>
      <c r="AE197" s="161" t="s">
        <v>125</v>
      </c>
      <c r="AF197" s="161" t="s">
        <v>125</v>
      </c>
      <c r="AG197" s="168">
        <v>1.1822564903902699</v>
      </c>
      <c r="AH197" s="168">
        <v>1.17946148088881</v>
      </c>
      <c r="AI197" s="168">
        <v>1.14384337326189</v>
      </c>
      <c r="AJ197" s="168">
        <v>1.08293369256689</v>
      </c>
      <c r="AK197" s="168">
        <v>1.0706922180088301</v>
      </c>
      <c r="AL197" s="168">
        <v>1.1100665835243999</v>
      </c>
      <c r="AM197" s="168">
        <v>1.1676181105888299</v>
      </c>
      <c r="AN197" s="168">
        <v>1.1703994438965699</v>
      </c>
      <c r="AO197" s="168">
        <v>0.99608750602694096</v>
      </c>
      <c r="AP197" s="168">
        <v>1.09253565986451</v>
      </c>
      <c r="AQ197" s="168">
        <v>1.1926597036014299</v>
      </c>
      <c r="AR197" s="168">
        <v>1.1261866619882701</v>
      </c>
      <c r="AS197" s="168">
        <v>1.1412502204474599</v>
      </c>
      <c r="AT197" s="168">
        <v>1.17585813684709</v>
      </c>
      <c r="AU197" s="168">
        <v>1.27055068027942</v>
      </c>
      <c r="AV197" s="168">
        <v>1.4559220489825599</v>
      </c>
      <c r="AW197" s="168">
        <v>1.5343380344730599</v>
      </c>
      <c r="AX197" s="168">
        <v>1.5573679988104701</v>
      </c>
      <c r="AY197" s="168">
        <v>1.7616432714310399</v>
      </c>
      <c r="AZ197" s="168">
        <v>1.41722430573005</v>
      </c>
      <c r="BA197" s="168">
        <v>1.6001785479788999</v>
      </c>
      <c r="BB197" s="168">
        <v>1.83701139253662</v>
      </c>
      <c r="BC197" s="168">
        <v>1.87053047886537</v>
      </c>
      <c r="BD197" s="168">
        <v>1.8025802013683001</v>
      </c>
    </row>
    <row r="198" spans="1:56">
      <c r="A198" s="163" t="s">
        <v>433</v>
      </c>
      <c r="B198" s="163" t="s">
        <v>434</v>
      </c>
      <c r="W198" s="161" t="s">
        <v>125</v>
      </c>
      <c r="X198" s="161" t="s">
        <v>125</v>
      </c>
      <c r="Y198" s="161" t="s">
        <v>125</v>
      </c>
      <c r="Z198" s="161" t="s">
        <v>125</v>
      </c>
      <c r="AA198" s="161" t="s">
        <v>125</v>
      </c>
      <c r="AB198" s="161" t="s">
        <v>125</v>
      </c>
      <c r="AC198" s="161" t="s">
        <v>125</v>
      </c>
      <c r="AD198" s="161" t="s">
        <v>125</v>
      </c>
      <c r="AE198" s="161" t="s">
        <v>125</v>
      </c>
      <c r="AF198" s="161" t="s">
        <v>125</v>
      </c>
      <c r="AG198" s="168">
        <v>172.25189841750799</v>
      </c>
      <c r="AH198" s="168">
        <v>165.49970381774</v>
      </c>
      <c r="AI198" s="168">
        <v>160.30609153668499</v>
      </c>
      <c r="AJ198" s="168">
        <v>156.376824027954</v>
      </c>
      <c r="AK198" s="168">
        <v>205.010381551161</v>
      </c>
      <c r="AL198" s="168">
        <v>215.61756167712099</v>
      </c>
      <c r="AM198" s="168">
        <v>220.89068516357301</v>
      </c>
      <c r="AN198" s="168">
        <v>221.62848976461001</v>
      </c>
      <c r="AO198" s="168">
        <v>225.29264900694</v>
      </c>
      <c r="AP198" s="168">
        <v>222.90612872451501</v>
      </c>
      <c r="AQ198" s="168">
        <v>222.17251754271601</v>
      </c>
      <c r="AR198" s="168">
        <v>222.873466474423</v>
      </c>
      <c r="AS198" s="168">
        <v>226.74363985904199</v>
      </c>
      <c r="AT198" s="168">
        <v>223.44059595682899</v>
      </c>
      <c r="AU198" s="168">
        <v>218.632107345028</v>
      </c>
      <c r="AV198" s="168">
        <v>217.097794178143</v>
      </c>
      <c r="AW198" s="168">
        <v>219.03103591599199</v>
      </c>
      <c r="AX198" s="168">
        <v>224.71531530044899</v>
      </c>
      <c r="AY198" s="168">
        <v>235.62027829999101</v>
      </c>
      <c r="AZ198" s="168">
        <v>230.407861437317</v>
      </c>
      <c r="BA198" s="168">
        <v>231.149167128795</v>
      </c>
      <c r="BB198" s="168">
        <v>236.28712591942201</v>
      </c>
      <c r="BC198" s="168">
        <v>236.224840861291</v>
      </c>
      <c r="BD198" s="168">
        <v>233.43724521537001</v>
      </c>
    </row>
    <row r="199" spans="1:56">
      <c r="A199" s="163" t="s">
        <v>435</v>
      </c>
      <c r="B199" s="163" t="s">
        <v>436</v>
      </c>
      <c r="W199" s="161" t="s">
        <v>125</v>
      </c>
      <c r="X199" s="161" t="s">
        <v>125</v>
      </c>
      <c r="Y199" s="161" t="s">
        <v>125</v>
      </c>
      <c r="Z199" s="161" t="s">
        <v>125</v>
      </c>
      <c r="AA199" s="161" t="s">
        <v>125</v>
      </c>
      <c r="AB199" s="161" t="s">
        <v>125</v>
      </c>
      <c r="AC199" s="161" t="s">
        <v>125</v>
      </c>
      <c r="AD199" s="161" t="s">
        <v>125</v>
      </c>
      <c r="AE199" s="161" t="s">
        <v>125</v>
      </c>
      <c r="AF199" s="161" t="s">
        <v>125</v>
      </c>
      <c r="AG199" s="168" t="s">
        <v>125</v>
      </c>
      <c r="AH199" s="168" t="s">
        <v>125</v>
      </c>
      <c r="AI199" s="168" t="s">
        <v>125</v>
      </c>
      <c r="AJ199" s="168" t="s">
        <v>125</v>
      </c>
      <c r="AK199" s="168" t="s">
        <v>125</v>
      </c>
      <c r="AL199" s="168" t="s">
        <v>125</v>
      </c>
      <c r="AM199" s="168" t="s">
        <v>125</v>
      </c>
      <c r="AN199" s="168">
        <v>2.8702409775137001</v>
      </c>
      <c r="AO199" s="168">
        <v>3.6256163848882998</v>
      </c>
      <c r="AP199" s="168">
        <v>5.0923911882385404</v>
      </c>
      <c r="AQ199" s="168">
        <v>8.8325408548158304</v>
      </c>
      <c r="AR199" s="168">
        <v>16.266358383760501</v>
      </c>
      <c r="AS199" s="168">
        <v>19.633178995191798</v>
      </c>
      <c r="AT199" s="168">
        <v>21.701308221426999</v>
      </c>
      <c r="AU199" s="168">
        <v>23.699950142585699</v>
      </c>
      <c r="AV199" s="168">
        <v>26.564512212481301</v>
      </c>
      <c r="AW199" s="168">
        <v>28.008168113442402</v>
      </c>
      <c r="AX199" s="168">
        <v>30.547602207968499</v>
      </c>
      <c r="AY199" s="168">
        <v>31.4009367205398</v>
      </c>
      <c r="AZ199" s="168">
        <v>33.197543178119602</v>
      </c>
      <c r="BA199" s="168">
        <v>35.629170929859697</v>
      </c>
      <c r="BB199" s="168">
        <v>37.271946672692401</v>
      </c>
      <c r="BC199" s="168">
        <v>39.415158909196897</v>
      </c>
      <c r="BD199" s="168">
        <v>40.847427023773697</v>
      </c>
    </row>
    <row r="200" spans="1:56">
      <c r="A200" s="163" t="s">
        <v>437</v>
      </c>
      <c r="B200" s="163" t="s">
        <v>438</v>
      </c>
      <c r="W200" s="161" t="s">
        <v>125</v>
      </c>
      <c r="X200" s="161" t="s">
        <v>125</v>
      </c>
      <c r="Y200" s="161" t="s">
        <v>125</v>
      </c>
      <c r="Z200" s="161" t="s">
        <v>125</v>
      </c>
      <c r="AA200" s="161" t="s">
        <v>125</v>
      </c>
      <c r="AB200" s="161" t="s">
        <v>125</v>
      </c>
      <c r="AC200" s="161" t="s">
        <v>125</v>
      </c>
      <c r="AD200" s="161" t="s">
        <v>125</v>
      </c>
      <c r="AE200" s="161" t="s">
        <v>125</v>
      </c>
      <c r="AF200" s="161" t="s">
        <v>125</v>
      </c>
      <c r="AG200" s="168">
        <v>3.0809209185771902</v>
      </c>
      <c r="AH200" s="168">
        <v>2.9206749696721901</v>
      </c>
      <c r="AI200" s="168">
        <v>2.9890116533083799</v>
      </c>
      <c r="AJ200" s="168">
        <v>3.0097891630825799</v>
      </c>
      <c r="AK200" s="168">
        <v>2.98165408959713</v>
      </c>
      <c r="AL200" s="168">
        <v>2.9146347936289301</v>
      </c>
      <c r="AM200" s="168">
        <v>2.8038463096228101</v>
      </c>
      <c r="AN200" s="168">
        <v>2.8065562436150602</v>
      </c>
      <c r="AO200" s="168">
        <v>2.8979011613820198</v>
      </c>
      <c r="AP200" s="168">
        <v>2.9144642584836302</v>
      </c>
      <c r="AQ200" s="168">
        <v>2.88676989017423</v>
      </c>
      <c r="AR200" s="168">
        <v>2.97745105108479</v>
      </c>
      <c r="AS200" s="168">
        <v>3.05702602323991</v>
      </c>
      <c r="AT200" s="168">
        <v>3.1758787472646701</v>
      </c>
      <c r="AU200" s="168">
        <v>3.8533653994172301</v>
      </c>
      <c r="AV200" s="168">
        <v>3.7507377164348701</v>
      </c>
      <c r="AW200" s="168">
        <v>3.6913591573548299</v>
      </c>
      <c r="AX200" s="168">
        <v>4.0206420374927498</v>
      </c>
      <c r="AY200" s="168">
        <v>5.3218868906859704</v>
      </c>
      <c r="AZ200" s="168">
        <v>6.7335203356144602</v>
      </c>
      <c r="BA200" s="168">
        <v>6.4138194562301196</v>
      </c>
      <c r="BB200" s="168">
        <v>6.6904278031947904</v>
      </c>
      <c r="BC200" s="168">
        <v>6.8902301668896504</v>
      </c>
      <c r="BD200" s="168">
        <v>7.0897020967536903</v>
      </c>
    </row>
    <row r="201" spans="1:56">
      <c r="A201" s="163" t="s">
        <v>83</v>
      </c>
      <c r="B201" s="163" t="s">
        <v>439</v>
      </c>
      <c r="W201" s="161" t="s">
        <v>125</v>
      </c>
      <c r="X201" s="161" t="s">
        <v>125</v>
      </c>
      <c r="Y201" s="161" t="s">
        <v>125</v>
      </c>
      <c r="Z201" s="161" t="s">
        <v>125</v>
      </c>
      <c r="AA201" s="161" t="s">
        <v>125</v>
      </c>
      <c r="AB201" s="161" t="s">
        <v>125</v>
      </c>
      <c r="AC201" s="161" t="s">
        <v>125</v>
      </c>
      <c r="AD201" s="161" t="s">
        <v>125</v>
      </c>
      <c r="AE201" s="161" t="s">
        <v>125</v>
      </c>
      <c r="AF201" s="161" t="s">
        <v>125</v>
      </c>
      <c r="AG201" s="168">
        <v>28.241621049894601</v>
      </c>
      <c r="AH201" s="168">
        <v>62.526295418653</v>
      </c>
      <c r="AI201" s="168">
        <v>111.275056021249</v>
      </c>
      <c r="AJ201" s="168">
        <v>137.74780092522099</v>
      </c>
      <c r="AK201" s="168">
        <v>168.67938455198799</v>
      </c>
      <c r="AL201" s="168">
        <v>220.74749050075101</v>
      </c>
      <c r="AM201" s="168">
        <v>280.915155145075</v>
      </c>
      <c r="AN201" s="168">
        <v>282.41157928339101</v>
      </c>
      <c r="AO201" s="168">
        <v>345.80413903316901</v>
      </c>
      <c r="AP201" s="168">
        <v>399.55505377669499</v>
      </c>
      <c r="AQ201" s="168">
        <v>403.49673734017</v>
      </c>
      <c r="AR201" s="168">
        <v>684.61650704484998</v>
      </c>
      <c r="AS201" s="168">
        <v>647.72178568831703</v>
      </c>
      <c r="AT201" s="168">
        <v>718.81939411134704</v>
      </c>
      <c r="AU201" s="168">
        <v>789.36954912108502</v>
      </c>
      <c r="AV201" s="168">
        <v>891.91949948256195</v>
      </c>
      <c r="AW201" s="168">
        <v>973.36273027131097</v>
      </c>
      <c r="AX201" s="168">
        <v>1011.6175181380401</v>
      </c>
      <c r="AY201" s="168">
        <v>1092.14961090102</v>
      </c>
      <c r="AZ201" s="168">
        <v>1167.4062234128701</v>
      </c>
      <c r="BA201" s="168">
        <v>1350.38729330771</v>
      </c>
      <c r="BB201" s="168">
        <v>1553.1385999981901</v>
      </c>
      <c r="BC201" s="168">
        <v>1709.0883013986299</v>
      </c>
      <c r="BD201" s="168">
        <v>1819.6061029851601</v>
      </c>
    </row>
    <row r="202" spans="1:56">
      <c r="A202" s="163" t="s">
        <v>440</v>
      </c>
      <c r="B202" s="163" t="s">
        <v>441</v>
      </c>
      <c r="W202" s="161" t="s">
        <v>125</v>
      </c>
      <c r="X202" s="161" t="s">
        <v>125</v>
      </c>
      <c r="Y202" s="161" t="s">
        <v>125</v>
      </c>
      <c r="Z202" s="161" t="s">
        <v>125</v>
      </c>
      <c r="AA202" s="161" t="s">
        <v>125</v>
      </c>
      <c r="AB202" s="161" t="s">
        <v>125</v>
      </c>
      <c r="AC202" s="161" t="s">
        <v>125</v>
      </c>
      <c r="AD202" s="161" t="s">
        <v>125</v>
      </c>
      <c r="AE202" s="161" t="s">
        <v>125</v>
      </c>
      <c r="AF202" s="161" t="s">
        <v>125</v>
      </c>
      <c r="AG202" s="168">
        <v>1.04446363152828</v>
      </c>
      <c r="AH202" s="168">
        <v>1.0556566536187499</v>
      </c>
      <c r="AI202" s="168">
        <v>1.0423998668616601</v>
      </c>
      <c r="AJ202" s="168">
        <v>1.05281086362247</v>
      </c>
      <c r="AK202" s="168">
        <v>1.0687345514728099</v>
      </c>
      <c r="AL202" s="168">
        <v>1.0813333560546201</v>
      </c>
      <c r="AM202" s="168">
        <v>1.07756400331194</v>
      </c>
      <c r="AN202" s="168">
        <v>1.07040715925188</v>
      </c>
      <c r="AO202" s="168">
        <v>1.04454731330564</v>
      </c>
      <c r="AP202" s="168">
        <v>0.98968815602215698</v>
      </c>
      <c r="AQ202" s="168">
        <v>1.00388425705389</v>
      </c>
      <c r="AR202" s="168">
        <v>0.95938813625491803</v>
      </c>
      <c r="AS202" s="168">
        <v>0.93306979201093498</v>
      </c>
      <c r="AT202" s="168">
        <v>0.89916747333399305</v>
      </c>
      <c r="AU202" s="168">
        <v>0.91237100270690996</v>
      </c>
      <c r="AV202" s="168">
        <v>0.90369679867973596</v>
      </c>
      <c r="AW202" s="168">
        <v>0.89182442063052203</v>
      </c>
      <c r="AX202" s="168">
        <v>0.91968679939516695</v>
      </c>
      <c r="AY202" s="168">
        <v>0.88860982647793896</v>
      </c>
      <c r="AZ202" s="168">
        <v>0.91287170612486501</v>
      </c>
      <c r="BA202" s="168">
        <v>0.90153905090749298</v>
      </c>
      <c r="BB202" s="168">
        <v>0.89148385512598105</v>
      </c>
      <c r="BC202" s="168">
        <v>0.88905899007754796</v>
      </c>
      <c r="BD202" s="168">
        <v>0.87688876246320102</v>
      </c>
    </row>
    <row r="203" spans="1:56">
      <c r="A203" s="163" t="s">
        <v>442</v>
      </c>
      <c r="B203" s="163" t="s">
        <v>443</v>
      </c>
      <c r="W203" s="161" t="s">
        <v>125</v>
      </c>
      <c r="X203" s="161" t="s">
        <v>125</v>
      </c>
      <c r="Y203" s="161" t="s">
        <v>125</v>
      </c>
      <c r="Z203" s="161" t="s">
        <v>125</v>
      </c>
      <c r="AA203" s="161" t="s">
        <v>125</v>
      </c>
      <c r="AB203" s="161" t="s">
        <v>125</v>
      </c>
      <c r="AC203" s="161" t="s">
        <v>125</v>
      </c>
      <c r="AD203" s="161" t="s">
        <v>125</v>
      </c>
      <c r="AE203" s="161" t="s">
        <v>125</v>
      </c>
      <c r="AF203" s="161" t="s">
        <v>125</v>
      </c>
      <c r="AG203" s="168" t="s">
        <v>125</v>
      </c>
      <c r="AH203" s="168" t="s">
        <v>125</v>
      </c>
      <c r="AI203" s="168" t="s">
        <v>125</v>
      </c>
      <c r="AJ203" s="168" t="s">
        <v>125</v>
      </c>
      <c r="AK203" s="168" t="s">
        <v>125</v>
      </c>
      <c r="AL203" s="168" t="s">
        <v>125</v>
      </c>
      <c r="AM203" s="168" t="s">
        <v>125</v>
      </c>
      <c r="AN203" s="168" t="s">
        <v>125</v>
      </c>
      <c r="AO203" s="168" t="s">
        <v>125</v>
      </c>
      <c r="AP203" s="168" t="s">
        <v>125</v>
      </c>
      <c r="AQ203" s="168" t="s">
        <v>125</v>
      </c>
      <c r="AR203" s="168" t="s">
        <v>125</v>
      </c>
      <c r="AS203" s="168" t="s">
        <v>125</v>
      </c>
      <c r="AT203" s="168" t="s">
        <v>125</v>
      </c>
      <c r="AU203" s="168" t="s">
        <v>125</v>
      </c>
      <c r="AV203" s="168" t="s">
        <v>125</v>
      </c>
      <c r="AW203" s="168" t="s">
        <v>125</v>
      </c>
      <c r="AX203" s="168" t="s">
        <v>125</v>
      </c>
      <c r="AY203" s="168" t="s">
        <v>125</v>
      </c>
      <c r="AZ203" s="168" t="s">
        <v>125</v>
      </c>
      <c r="BA203" s="168" t="s">
        <v>125</v>
      </c>
      <c r="BB203" s="168">
        <v>1.3790536991276801</v>
      </c>
      <c r="BC203" s="168" t="s">
        <v>125</v>
      </c>
      <c r="BD203" s="168" t="s">
        <v>125</v>
      </c>
    </row>
    <row r="204" spans="1:56">
      <c r="A204" s="163" t="s">
        <v>444</v>
      </c>
      <c r="B204" s="163" t="s">
        <v>445</v>
      </c>
      <c r="W204" s="161" t="s">
        <v>125</v>
      </c>
      <c r="X204" s="161" t="s">
        <v>125</v>
      </c>
      <c r="Y204" s="161" t="s">
        <v>125</v>
      </c>
      <c r="Z204" s="161" t="s">
        <v>125</v>
      </c>
      <c r="AA204" s="161" t="s">
        <v>125</v>
      </c>
      <c r="AB204" s="161" t="s">
        <v>125</v>
      </c>
      <c r="AC204" s="161" t="s">
        <v>125</v>
      </c>
      <c r="AD204" s="161" t="s">
        <v>125</v>
      </c>
      <c r="AE204" s="161" t="s">
        <v>125</v>
      </c>
      <c r="AF204" s="161" t="s">
        <v>125</v>
      </c>
      <c r="AG204" s="168">
        <v>0.22681388013270301</v>
      </c>
      <c r="AH204" s="168">
        <v>0.295505940426466</v>
      </c>
      <c r="AI204" s="168">
        <v>0.32194358099999998</v>
      </c>
      <c r="AJ204" s="168">
        <v>0.36278164899999998</v>
      </c>
      <c r="AK204" s="168">
        <v>0.402991453</v>
      </c>
      <c r="AL204" s="168">
        <v>0.43380254099999999</v>
      </c>
      <c r="AM204" s="168">
        <v>0.44359957500000002</v>
      </c>
      <c r="AN204" s="168">
        <v>0.45502572800000002</v>
      </c>
      <c r="AO204" s="168">
        <v>0.47022072799999998</v>
      </c>
      <c r="AP204" s="168">
        <v>0.50058629799999999</v>
      </c>
      <c r="AQ204" s="168">
        <v>0.52505377900000005</v>
      </c>
      <c r="AR204" s="168">
        <v>0.52121699700000002</v>
      </c>
      <c r="AS204" s="168">
        <v>0.52777770499999999</v>
      </c>
      <c r="AT204" s="168">
        <v>0.55481571500000004</v>
      </c>
      <c r="AU204" s="168">
        <v>0.57284839499999995</v>
      </c>
      <c r="AV204" s="168">
        <v>0.56595970100000004</v>
      </c>
      <c r="AW204" s="168">
        <v>0.55451587700000005</v>
      </c>
      <c r="AX204" s="168">
        <v>0.54617476799999998</v>
      </c>
      <c r="AY204" s="168">
        <v>0.53265569999999995</v>
      </c>
      <c r="AZ204" s="168">
        <v>0.50922325400000001</v>
      </c>
      <c r="BA204" s="168">
        <v>0.51012902800000004</v>
      </c>
      <c r="BB204" s="168">
        <v>0.50846162699999997</v>
      </c>
      <c r="BC204" s="168">
        <v>0.51898122899999999</v>
      </c>
      <c r="BD204" s="168">
        <v>0.51019145799999999</v>
      </c>
    </row>
    <row r="205" spans="1:56">
      <c r="A205" s="163" t="s">
        <v>446</v>
      </c>
      <c r="B205" s="163" t="s">
        <v>447</v>
      </c>
      <c r="W205" s="161" t="s">
        <v>125</v>
      </c>
      <c r="X205" s="161" t="s">
        <v>125</v>
      </c>
      <c r="Y205" s="161" t="s">
        <v>125</v>
      </c>
      <c r="Z205" s="161" t="s">
        <v>125</v>
      </c>
      <c r="AA205" s="161" t="s">
        <v>125</v>
      </c>
      <c r="AB205" s="161" t="s">
        <v>125</v>
      </c>
      <c r="AC205" s="161" t="s">
        <v>125</v>
      </c>
      <c r="AD205" s="161" t="s">
        <v>125</v>
      </c>
      <c r="AE205" s="161" t="s">
        <v>125</v>
      </c>
      <c r="AF205" s="161" t="s">
        <v>125</v>
      </c>
      <c r="AG205" s="168">
        <v>3.5648623999999997E-2</v>
      </c>
      <c r="AH205" s="168">
        <v>6.7252175999999997E-2</v>
      </c>
      <c r="AI205" s="168">
        <v>0.20263534999999999</v>
      </c>
      <c r="AJ205" s="168">
        <v>0.27131403900000001</v>
      </c>
      <c r="AK205" s="168">
        <v>0.32566900199999999</v>
      </c>
      <c r="AL205" s="168">
        <v>0.40005790200000002</v>
      </c>
      <c r="AM205" s="168">
        <v>0.43449680000000002</v>
      </c>
      <c r="AN205" s="168">
        <v>0.46165270200000003</v>
      </c>
      <c r="AO205" s="168">
        <v>0.48473253199999999</v>
      </c>
      <c r="AP205" s="168">
        <v>0.51058726099999996</v>
      </c>
      <c r="AQ205" s="168">
        <v>0.53108919600000004</v>
      </c>
      <c r="AR205" s="168">
        <v>0.564680454</v>
      </c>
      <c r="AS205" s="168">
        <v>0.58841699599999997</v>
      </c>
      <c r="AT205" s="168">
        <v>0.61481760299999999</v>
      </c>
      <c r="AU205" s="168">
        <v>0.61107071099999999</v>
      </c>
      <c r="AV205" s="168">
        <v>0.61160284099999995</v>
      </c>
      <c r="AW205" s="168">
        <v>0.60714718199999995</v>
      </c>
      <c r="AX205" s="168">
        <v>0.62983198100000004</v>
      </c>
      <c r="AY205" s="168">
        <v>0.63434725400000003</v>
      </c>
      <c r="AZ205" s="168">
        <v>0.642009198</v>
      </c>
      <c r="BA205" s="168">
        <v>0.64136281399999995</v>
      </c>
      <c r="BB205" s="168">
        <v>0.62543558399999999</v>
      </c>
      <c r="BC205" s="168">
        <v>0.61501261100000004</v>
      </c>
      <c r="BD205" s="168">
        <v>0.60497114600000002</v>
      </c>
    </row>
    <row r="206" spans="1:56">
      <c r="A206" s="163" t="s">
        <v>448</v>
      </c>
      <c r="B206" s="163" t="s">
        <v>449</v>
      </c>
      <c r="W206" s="161" t="s">
        <v>125</v>
      </c>
      <c r="X206" s="161" t="s">
        <v>125</v>
      </c>
      <c r="Y206" s="161" t="s">
        <v>125</v>
      </c>
      <c r="Z206" s="161" t="s">
        <v>125</v>
      </c>
      <c r="AA206" s="161" t="s">
        <v>125</v>
      </c>
      <c r="AB206" s="161" t="s">
        <v>125</v>
      </c>
      <c r="AC206" s="161" t="s">
        <v>125</v>
      </c>
      <c r="AD206" s="161" t="s">
        <v>125</v>
      </c>
      <c r="AE206" s="161" t="s">
        <v>125</v>
      </c>
      <c r="AF206" s="161" t="s">
        <v>125</v>
      </c>
      <c r="AG206" s="168">
        <v>2.1320923276503798</v>
      </c>
      <c r="AH206" s="168">
        <v>2.2129972418713701</v>
      </c>
      <c r="AI206" s="168">
        <v>2.44851338494944</v>
      </c>
      <c r="AJ206" s="168">
        <v>2.7165684189916202</v>
      </c>
      <c r="AK206" s="168">
        <v>2.8447396686420201</v>
      </c>
      <c r="AL206" s="168">
        <v>2.97732945041956</v>
      </c>
      <c r="AM206" s="168">
        <v>3.2792646341030398</v>
      </c>
      <c r="AN206" s="168">
        <v>3.42586222104288</v>
      </c>
      <c r="AO206" s="168">
        <v>3.5790857806588199</v>
      </c>
      <c r="AP206" s="168">
        <v>3.6458177183455001</v>
      </c>
      <c r="AQ206" s="168">
        <v>3.9463340975301899</v>
      </c>
      <c r="AR206" s="168">
        <v>4.0020481494012898</v>
      </c>
      <c r="AS206" s="168">
        <v>4.4236802209942301</v>
      </c>
      <c r="AT206" s="168">
        <v>4.4108626116665697</v>
      </c>
      <c r="AU206" s="168">
        <v>4.6008677485912397</v>
      </c>
      <c r="AV206" s="168">
        <v>4.6941911951628299</v>
      </c>
      <c r="AW206" s="168">
        <v>4.7483335686354504</v>
      </c>
      <c r="AX206" s="168">
        <v>4.8975627587489496</v>
      </c>
      <c r="AY206" s="168">
        <v>5.3532941303375203</v>
      </c>
      <c r="AZ206" s="168">
        <v>5.6967110440578903</v>
      </c>
      <c r="BA206" s="168">
        <v>5.9598271112776402</v>
      </c>
      <c r="BB206" s="168">
        <v>6.3748621240379801</v>
      </c>
      <c r="BC206" s="168">
        <v>6.6214107584880804</v>
      </c>
      <c r="BD206" s="168">
        <v>6.8964852617701604</v>
      </c>
    </row>
    <row r="207" spans="1:56">
      <c r="A207" s="163" t="s">
        <v>450</v>
      </c>
      <c r="B207" s="163" t="s">
        <v>451</v>
      </c>
      <c r="W207" s="161" t="s">
        <v>125</v>
      </c>
      <c r="X207" s="161" t="s">
        <v>125</v>
      </c>
      <c r="Y207" s="161" t="s">
        <v>125</v>
      </c>
      <c r="Z207" s="161" t="s">
        <v>125</v>
      </c>
      <c r="AA207" s="161" t="s">
        <v>125</v>
      </c>
      <c r="AB207" s="161" t="s">
        <v>125</v>
      </c>
      <c r="AC207" s="161" t="s">
        <v>125</v>
      </c>
      <c r="AD207" s="161" t="s">
        <v>125</v>
      </c>
      <c r="AE207" s="161" t="s">
        <v>125</v>
      </c>
      <c r="AF207" s="161" t="s">
        <v>125</v>
      </c>
      <c r="AG207" s="168" t="s">
        <v>125</v>
      </c>
      <c r="AH207" s="168" t="s">
        <v>125</v>
      </c>
      <c r="AI207" s="168" t="s">
        <v>125</v>
      </c>
      <c r="AJ207" s="168" t="s">
        <v>125</v>
      </c>
      <c r="AK207" s="168" t="s">
        <v>125</v>
      </c>
      <c r="AL207" s="168" t="s">
        <v>125</v>
      </c>
      <c r="AM207" s="168" t="s">
        <v>125</v>
      </c>
      <c r="AN207" s="168" t="s">
        <v>125</v>
      </c>
      <c r="AO207" s="168" t="s">
        <v>125</v>
      </c>
      <c r="AP207" s="168" t="s">
        <v>125</v>
      </c>
      <c r="AQ207" s="168" t="s">
        <v>125</v>
      </c>
      <c r="AR207" s="168" t="s">
        <v>125</v>
      </c>
      <c r="AS207" s="168" t="s">
        <v>125</v>
      </c>
      <c r="AT207" s="168" t="s">
        <v>125</v>
      </c>
      <c r="AU207" s="168" t="s">
        <v>125</v>
      </c>
      <c r="AV207" s="168" t="s">
        <v>125</v>
      </c>
      <c r="AW207" s="168" t="s">
        <v>125</v>
      </c>
      <c r="AX207" s="168" t="s">
        <v>125</v>
      </c>
      <c r="AY207" s="168" t="s">
        <v>125</v>
      </c>
      <c r="AZ207" s="168" t="s">
        <v>125</v>
      </c>
      <c r="BA207" s="168" t="s">
        <v>125</v>
      </c>
      <c r="BB207" s="168">
        <v>11427.68</v>
      </c>
      <c r="BC207" s="168" t="s">
        <v>125</v>
      </c>
      <c r="BD207" s="168" t="s">
        <v>125</v>
      </c>
    </row>
    <row r="208" spans="1:56">
      <c r="A208" s="163" t="s">
        <v>452</v>
      </c>
      <c r="B208" s="163" t="s">
        <v>453</v>
      </c>
      <c r="W208" s="161" t="s">
        <v>125</v>
      </c>
      <c r="X208" s="161" t="s">
        <v>125</v>
      </c>
      <c r="Y208" s="161" t="s">
        <v>125</v>
      </c>
      <c r="Z208" s="161" t="s">
        <v>125</v>
      </c>
      <c r="AA208" s="161" t="s">
        <v>125</v>
      </c>
      <c r="AB208" s="161" t="s">
        <v>125</v>
      </c>
      <c r="AC208" s="161" t="s">
        <v>125</v>
      </c>
      <c r="AD208" s="161" t="s">
        <v>125</v>
      </c>
      <c r="AE208" s="161" t="s">
        <v>125</v>
      </c>
      <c r="AF208" s="161" t="s">
        <v>125</v>
      </c>
      <c r="AG208" s="168">
        <v>1.27944201323489</v>
      </c>
      <c r="AH208" s="168">
        <v>1.43299659029492</v>
      </c>
      <c r="AI208" s="168">
        <v>1.6051954106790101</v>
      </c>
      <c r="AJ208" s="168">
        <v>1.77308081256189</v>
      </c>
      <c r="AK208" s="168">
        <v>1.9026861811138001</v>
      </c>
      <c r="AL208" s="168">
        <v>2.05485363098787</v>
      </c>
      <c r="AM208" s="168">
        <v>2.1812469741389799</v>
      </c>
      <c r="AN208" s="168">
        <v>2.3184023032933601</v>
      </c>
      <c r="AO208" s="168">
        <v>2.4703632493526002</v>
      </c>
      <c r="AP208" s="168">
        <v>2.60785438148319</v>
      </c>
      <c r="AQ208" s="168">
        <v>2.7745508846210898</v>
      </c>
      <c r="AR208" s="168">
        <v>2.92036438079775</v>
      </c>
      <c r="AS208" s="168">
        <v>3.18534004747083</v>
      </c>
      <c r="AT208" s="168">
        <v>3.2962616853590201</v>
      </c>
      <c r="AU208" s="168">
        <v>3.4127447035017799</v>
      </c>
      <c r="AV208" s="168">
        <v>3.48672450956854</v>
      </c>
      <c r="AW208" s="168">
        <v>3.6035467656846998</v>
      </c>
      <c r="AX208" s="168">
        <v>3.7939875586224399</v>
      </c>
      <c r="AY208" s="168">
        <v>4.0192360188674403</v>
      </c>
      <c r="AZ208" s="168">
        <v>4.3224613231062303</v>
      </c>
      <c r="BA208" s="168">
        <v>4.5976122529010999</v>
      </c>
      <c r="BB208" s="168">
        <v>4.7739382424645704</v>
      </c>
      <c r="BC208" s="168">
        <v>4.9009773619140997</v>
      </c>
      <c r="BD208" s="168">
        <v>5.1102186610187497</v>
      </c>
    </row>
    <row r="209" spans="1:56">
      <c r="A209" s="163" t="s">
        <v>454</v>
      </c>
      <c r="B209" s="163" t="s">
        <v>455</v>
      </c>
      <c r="W209" s="161" t="s">
        <v>125</v>
      </c>
      <c r="X209" s="161" t="s">
        <v>125</v>
      </c>
      <c r="Y209" s="161" t="s">
        <v>125</v>
      </c>
      <c r="Z209" s="161" t="s">
        <v>125</v>
      </c>
      <c r="AA209" s="161" t="s">
        <v>125</v>
      </c>
      <c r="AB209" s="161" t="s">
        <v>125</v>
      </c>
      <c r="AC209" s="161" t="s">
        <v>125</v>
      </c>
      <c r="AD209" s="161" t="s">
        <v>125</v>
      </c>
      <c r="AE209" s="161" t="s">
        <v>125</v>
      </c>
      <c r="AF209" s="161" t="s">
        <v>125</v>
      </c>
      <c r="AG209" s="168" t="s">
        <v>125</v>
      </c>
      <c r="AH209" s="168" t="s">
        <v>125</v>
      </c>
      <c r="AI209" s="168" t="s">
        <v>125</v>
      </c>
      <c r="AJ209" s="168" t="s">
        <v>125</v>
      </c>
      <c r="AK209" s="168" t="s">
        <v>125</v>
      </c>
      <c r="AL209" s="168" t="s">
        <v>125</v>
      </c>
      <c r="AM209" s="168" t="s">
        <v>125</v>
      </c>
      <c r="AN209" s="168" t="s">
        <v>125</v>
      </c>
      <c r="AO209" s="168" t="s">
        <v>125</v>
      </c>
      <c r="AP209" s="168" t="s">
        <v>125</v>
      </c>
      <c r="AQ209" s="168" t="s">
        <v>125</v>
      </c>
      <c r="AR209" s="168" t="s">
        <v>125</v>
      </c>
      <c r="AS209" s="168" t="s">
        <v>125</v>
      </c>
      <c r="AT209" s="168" t="s">
        <v>125</v>
      </c>
      <c r="AU209" s="168" t="s">
        <v>125</v>
      </c>
      <c r="AV209" s="168" t="s">
        <v>125</v>
      </c>
      <c r="AW209" s="168" t="s">
        <v>125</v>
      </c>
      <c r="AX209" s="168" t="s">
        <v>125</v>
      </c>
      <c r="AY209" s="168">
        <v>1.00502783986456</v>
      </c>
      <c r="AZ209" s="168">
        <v>0.83558918647870495</v>
      </c>
      <c r="BA209" s="168">
        <v>0.98143938570210199</v>
      </c>
      <c r="BB209" s="168">
        <v>1.464513</v>
      </c>
      <c r="BC209" s="168">
        <v>1.4946431703659</v>
      </c>
      <c r="BD209" s="168">
        <v>1.5463399397673101</v>
      </c>
    </row>
    <row r="210" spans="1:56">
      <c r="A210" s="163" t="s">
        <v>456</v>
      </c>
      <c r="B210" s="163" t="s">
        <v>457</v>
      </c>
      <c r="W210" s="161" t="s">
        <v>125</v>
      </c>
      <c r="X210" s="161" t="s">
        <v>125</v>
      </c>
      <c r="Y210" s="161" t="s">
        <v>125</v>
      </c>
      <c r="Z210" s="161" t="s">
        <v>125</v>
      </c>
      <c r="AA210" s="161" t="s">
        <v>125</v>
      </c>
      <c r="AB210" s="161" t="s">
        <v>125</v>
      </c>
      <c r="AC210" s="161" t="s">
        <v>125</v>
      </c>
      <c r="AD210" s="161" t="s">
        <v>125</v>
      </c>
      <c r="AE210" s="161" t="s">
        <v>125</v>
      </c>
      <c r="AF210" s="161" t="s">
        <v>125</v>
      </c>
      <c r="AG210" s="168">
        <v>0.61671697800000003</v>
      </c>
      <c r="AH210" s="168">
        <v>0.63825785300000004</v>
      </c>
      <c r="AI210" s="168">
        <v>0.665904422</v>
      </c>
      <c r="AJ210" s="168">
        <v>0.67993701799999995</v>
      </c>
      <c r="AK210" s="168">
        <v>0.69159490000000001</v>
      </c>
      <c r="AL210" s="168">
        <v>0.71088320599999999</v>
      </c>
      <c r="AM210" s="168">
        <v>0.71849119900000002</v>
      </c>
      <c r="AN210" s="168">
        <v>0.71957216599999996</v>
      </c>
      <c r="AO210" s="168">
        <v>0.71886571700000002</v>
      </c>
      <c r="AP210" s="168">
        <v>0.73268185699999999</v>
      </c>
      <c r="AQ210" s="168">
        <v>0.73323117100000001</v>
      </c>
      <c r="AR210" s="168">
        <v>0.73912031</v>
      </c>
      <c r="AS210" s="168">
        <v>0.73339855099999995</v>
      </c>
      <c r="AT210" s="168">
        <v>0.75264016199999995</v>
      </c>
      <c r="AU210" s="168">
        <v>0.75954613599999998</v>
      </c>
      <c r="AV210" s="168">
        <v>0.76491056300000004</v>
      </c>
      <c r="AW210" s="168">
        <v>0.73486857699999997</v>
      </c>
      <c r="AX210" s="168">
        <v>0.729088336</v>
      </c>
      <c r="AY210" s="168">
        <v>0.72012926099999996</v>
      </c>
      <c r="AZ210" s="168">
        <v>0.70674806999999995</v>
      </c>
      <c r="BA210" s="168">
        <v>0.717282949</v>
      </c>
      <c r="BB210" s="168">
        <v>0.70544112400000003</v>
      </c>
      <c r="BC210" s="168">
        <v>0.69854020699999997</v>
      </c>
      <c r="BD210" s="168">
        <v>0.68311015799999997</v>
      </c>
    </row>
    <row r="211" spans="1:56">
      <c r="A211" s="163" t="s">
        <v>458</v>
      </c>
      <c r="B211" s="163" t="s">
        <v>459</v>
      </c>
      <c r="W211" s="161" t="s">
        <v>125</v>
      </c>
      <c r="X211" s="161" t="s">
        <v>125</v>
      </c>
      <c r="Y211" s="161" t="s">
        <v>125</v>
      </c>
      <c r="Z211" s="161" t="s">
        <v>125</v>
      </c>
      <c r="AA211" s="161" t="s">
        <v>125</v>
      </c>
      <c r="AB211" s="161" t="s">
        <v>125</v>
      </c>
      <c r="AC211" s="161" t="s">
        <v>125</v>
      </c>
      <c r="AD211" s="161" t="s">
        <v>125</v>
      </c>
      <c r="AE211" s="161" t="s">
        <v>125</v>
      </c>
      <c r="AF211" s="161" t="s">
        <v>125</v>
      </c>
      <c r="AG211" s="168">
        <v>8.7424500342949703</v>
      </c>
      <c r="AH211" s="168">
        <v>9.3599251654664002</v>
      </c>
      <c r="AI211" s="168">
        <v>10.0117926800805</v>
      </c>
      <c r="AJ211" s="168">
        <v>10.745679331044601</v>
      </c>
      <c r="AK211" s="168">
        <v>11.549716801439301</v>
      </c>
      <c r="AL211" s="168">
        <v>12.3662881301408</v>
      </c>
      <c r="AM211" s="168">
        <v>13.458206633691001</v>
      </c>
      <c r="AN211" s="168">
        <v>14.412698892462901</v>
      </c>
      <c r="AO211" s="168">
        <v>15.571778278310701</v>
      </c>
      <c r="AP211" s="168">
        <v>15.991614854679399</v>
      </c>
      <c r="AQ211" s="168">
        <v>16.774233591668899</v>
      </c>
      <c r="AR211" s="168">
        <v>18.6393395297608</v>
      </c>
      <c r="AS211" s="168">
        <v>20.525715370648101</v>
      </c>
      <c r="AT211" s="168">
        <v>21.159759063531201</v>
      </c>
      <c r="AU211" s="168">
        <v>22.407881384905199</v>
      </c>
      <c r="AV211" s="168">
        <v>23.9735703087376</v>
      </c>
      <c r="AW211" s="168">
        <v>25.8814481197325</v>
      </c>
      <c r="AX211" s="168">
        <v>28.749241509202001</v>
      </c>
      <c r="AY211" s="168">
        <v>32.802346876963398</v>
      </c>
      <c r="AZ211" s="168">
        <v>34.4658080822879</v>
      </c>
      <c r="BA211" s="168">
        <v>36.539154410751202</v>
      </c>
      <c r="BB211" s="168">
        <v>38.653781286838701</v>
      </c>
      <c r="BC211" s="168">
        <v>41.376268726303699</v>
      </c>
      <c r="BD211" s="168">
        <v>43.4961136092967</v>
      </c>
    </row>
    <row r="212" spans="1:56">
      <c r="A212" s="163" t="s">
        <v>460</v>
      </c>
      <c r="B212" s="163" t="s">
        <v>461</v>
      </c>
      <c r="W212" s="161" t="s">
        <v>125</v>
      </c>
      <c r="X212" s="161" t="s">
        <v>125</v>
      </c>
      <c r="Y212" s="161" t="s">
        <v>125</v>
      </c>
      <c r="Z212" s="161" t="s">
        <v>125</v>
      </c>
      <c r="AA212" s="161" t="s">
        <v>125</v>
      </c>
      <c r="AB212" s="161" t="s">
        <v>125</v>
      </c>
      <c r="AC212" s="161" t="s">
        <v>125</v>
      </c>
      <c r="AD212" s="161" t="s">
        <v>125</v>
      </c>
      <c r="AE212" s="161" t="s">
        <v>125</v>
      </c>
      <c r="AF212" s="161" t="s">
        <v>125</v>
      </c>
      <c r="AG212" s="168">
        <v>1.1399990837156599</v>
      </c>
      <c r="AH212" s="168">
        <v>1.13607884989949</v>
      </c>
      <c r="AI212" s="168">
        <v>1.18780584815811</v>
      </c>
      <c r="AJ212" s="168">
        <v>1.1866447060157901</v>
      </c>
      <c r="AK212" s="168">
        <v>1.2359040079861701</v>
      </c>
      <c r="AL212" s="168">
        <v>1.21521561557202</v>
      </c>
      <c r="AM212" s="168">
        <v>1.1920434232605299</v>
      </c>
      <c r="AN212" s="168">
        <v>1.22847060706803</v>
      </c>
      <c r="AO212" s="168">
        <v>1.25498452341124</v>
      </c>
      <c r="AP212" s="168">
        <v>1.24841850519536</v>
      </c>
      <c r="AQ212" s="168">
        <v>1.65615985585184</v>
      </c>
      <c r="AR212" s="168">
        <v>1.68378972355241</v>
      </c>
      <c r="AS212" s="168">
        <v>1.70628619063328</v>
      </c>
      <c r="AT212" s="168">
        <v>1.6388939877276201</v>
      </c>
      <c r="AU212" s="168">
        <v>1.64932448126174</v>
      </c>
      <c r="AV212" s="168">
        <v>1.5682094657769701</v>
      </c>
      <c r="AW212" s="168">
        <v>1.7057977373965301</v>
      </c>
      <c r="AX212" s="168">
        <v>1.73791547006514</v>
      </c>
      <c r="AY212" s="168">
        <v>1.75837025810388</v>
      </c>
      <c r="AZ212" s="168">
        <v>1.78325192123248</v>
      </c>
      <c r="BA212" s="168">
        <v>1.7789086934343501</v>
      </c>
      <c r="BB212" s="168">
        <v>1.80297614307666</v>
      </c>
      <c r="BC212" s="168">
        <v>1.80316690830432</v>
      </c>
      <c r="BD212" s="168">
        <v>1.76866276818808</v>
      </c>
    </row>
    <row r="213" spans="1:56">
      <c r="A213" s="163" t="s">
        <v>462</v>
      </c>
      <c r="B213" s="163" t="s">
        <v>463</v>
      </c>
      <c r="W213" s="161" t="s">
        <v>125</v>
      </c>
      <c r="X213" s="161" t="s">
        <v>125</v>
      </c>
      <c r="Y213" s="161" t="s">
        <v>125</v>
      </c>
      <c r="Z213" s="161" t="s">
        <v>125</v>
      </c>
      <c r="AA213" s="161" t="s">
        <v>125</v>
      </c>
      <c r="AB213" s="161" t="s">
        <v>125</v>
      </c>
      <c r="AC213" s="161" t="s">
        <v>125</v>
      </c>
      <c r="AD213" s="161" t="s">
        <v>125</v>
      </c>
      <c r="AE213" s="161" t="s">
        <v>125</v>
      </c>
      <c r="AF213" s="161" t="s">
        <v>125</v>
      </c>
      <c r="AG213" s="168">
        <v>1.5298802067735999</v>
      </c>
      <c r="AH213" s="168">
        <v>1.5664622602635101</v>
      </c>
      <c r="AI213" s="168">
        <v>1.58536416141287</v>
      </c>
      <c r="AJ213" s="168">
        <v>1.55399150768049</v>
      </c>
      <c r="AK213" s="168">
        <v>1.57814473466106</v>
      </c>
      <c r="AL213" s="168">
        <v>1.62174197009356</v>
      </c>
      <c r="AM213" s="168">
        <v>1.52578681882184</v>
      </c>
      <c r="AN213" s="168">
        <v>1.5944411823812701</v>
      </c>
      <c r="AO213" s="168">
        <v>1.6134494163445401</v>
      </c>
      <c r="AP213" s="168">
        <v>1.6367479403906999</v>
      </c>
      <c r="AQ213" s="168">
        <v>1.7549957765624</v>
      </c>
      <c r="AR213" s="168">
        <v>1.66971592974409</v>
      </c>
      <c r="AS213" s="168">
        <v>1.6767987680846901</v>
      </c>
      <c r="AT213" s="168">
        <v>1.7008557869704299</v>
      </c>
      <c r="AU213" s="168">
        <v>1.6775845243565599</v>
      </c>
      <c r="AV213" s="168">
        <v>1.7539264132397701</v>
      </c>
      <c r="AW213" s="168">
        <v>1.7446164085781</v>
      </c>
      <c r="AX213" s="168">
        <v>1.8194569663274101</v>
      </c>
      <c r="AY213" s="168">
        <v>1.76217097520625</v>
      </c>
      <c r="AZ213" s="168">
        <v>1.7438490472949</v>
      </c>
      <c r="BA213" s="168">
        <v>1.8418710509873399</v>
      </c>
      <c r="BB213" s="168">
        <v>1.8436034569431501</v>
      </c>
      <c r="BC213" s="168">
        <v>1.8669552399597</v>
      </c>
      <c r="BD213" s="168">
        <v>1.8687118358925701</v>
      </c>
    </row>
    <row r="214" spans="1:56">
      <c r="A214" s="163" t="s">
        <v>464</v>
      </c>
      <c r="B214" s="163" t="s">
        <v>465</v>
      </c>
      <c r="W214" s="161" t="s">
        <v>125</v>
      </c>
      <c r="X214" s="161" t="s">
        <v>125</v>
      </c>
      <c r="Y214" s="161" t="s">
        <v>125</v>
      </c>
      <c r="Z214" s="161" t="s">
        <v>125</v>
      </c>
      <c r="AA214" s="161" t="s">
        <v>125</v>
      </c>
      <c r="AB214" s="161" t="s">
        <v>125</v>
      </c>
      <c r="AC214" s="161" t="s">
        <v>125</v>
      </c>
      <c r="AD214" s="161" t="s">
        <v>125</v>
      </c>
      <c r="AE214" s="161" t="s">
        <v>125</v>
      </c>
      <c r="AF214" s="161" t="s">
        <v>125</v>
      </c>
      <c r="AG214" s="168" t="s">
        <v>125</v>
      </c>
      <c r="AH214" s="168" t="s">
        <v>125</v>
      </c>
      <c r="AI214" s="168" t="s">
        <v>125</v>
      </c>
      <c r="AJ214" s="168" t="s">
        <v>125</v>
      </c>
      <c r="AK214" s="168" t="s">
        <v>125</v>
      </c>
      <c r="AL214" s="168" t="s">
        <v>125</v>
      </c>
      <c r="AM214" s="168" t="s">
        <v>125</v>
      </c>
      <c r="AN214" s="168" t="s">
        <v>125</v>
      </c>
      <c r="AO214" s="168" t="s">
        <v>125</v>
      </c>
      <c r="AP214" s="168" t="s">
        <v>125</v>
      </c>
      <c r="AQ214" s="168" t="s">
        <v>125</v>
      </c>
      <c r="AR214" s="168" t="s">
        <v>125</v>
      </c>
      <c r="AS214" s="168" t="s">
        <v>125</v>
      </c>
      <c r="AT214" s="168" t="s">
        <v>125</v>
      </c>
      <c r="AU214" s="168" t="s">
        <v>125</v>
      </c>
      <c r="AV214" s="168" t="s">
        <v>125</v>
      </c>
      <c r="AW214" s="168" t="s">
        <v>125</v>
      </c>
      <c r="AX214" s="168" t="s">
        <v>125</v>
      </c>
      <c r="AY214" s="168" t="s">
        <v>125</v>
      </c>
      <c r="AZ214" s="168" t="s">
        <v>125</v>
      </c>
      <c r="BA214" s="168" t="s">
        <v>125</v>
      </c>
      <c r="BB214" s="168" t="s">
        <v>125</v>
      </c>
      <c r="BC214" s="168" t="s">
        <v>125</v>
      </c>
      <c r="BD214" s="168" t="s">
        <v>125</v>
      </c>
    </row>
    <row r="215" spans="1:56">
      <c r="A215" s="163" t="s">
        <v>466</v>
      </c>
      <c r="B215" s="163" t="s">
        <v>467</v>
      </c>
      <c r="W215" s="161" t="s">
        <v>125</v>
      </c>
      <c r="X215" s="161" t="s">
        <v>125</v>
      </c>
      <c r="Y215" s="161" t="s">
        <v>125</v>
      </c>
      <c r="Z215" s="161" t="s">
        <v>125</v>
      </c>
      <c r="AA215" s="161" t="s">
        <v>125</v>
      </c>
      <c r="AB215" s="161" t="s">
        <v>125</v>
      </c>
      <c r="AC215" s="161" t="s">
        <v>125</v>
      </c>
      <c r="AD215" s="161" t="s">
        <v>125</v>
      </c>
      <c r="AE215" s="161" t="s">
        <v>125</v>
      </c>
      <c r="AF215" s="161" t="s">
        <v>125</v>
      </c>
      <c r="AG215" s="168">
        <v>1.3443514546281199</v>
      </c>
      <c r="AH215" s="168">
        <v>1.3863092695972801</v>
      </c>
      <c r="AI215" s="168">
        <v>1.38333683324889</v>
      </c>
      <c r="AJ215" s="168">
        <v>1.3813690658703</v>
      </c>
      <c r="AK215" s="168">
        <v>1.4206267834470401</v>
      </c>
      <c r="AL215" s="168">
        <v>1.5093472741693299</v>
      </c>
      <c r="AM215" s="168">
        <v>1.54520930523641</v>
      </c>
      <c r="AN215" s="168">
        <v>1.3962122084903601</v>
      </c>
      <c r="AO215" s="168">
        <v>1.42431226660009</v>
      </c>
      <c r="AP215" s="168">
        <v>1.40431510807057</v>
      </c>
      <c r="AQ215" s="168">
        <v>1.65377286403496</v>
      </c>
      <c r="AR215" s="168">
        <v>1.72484369241626</v>
      </c>
      <c r="AS215" s="168">
        <v>1.7159523122121101</v>
      </c>
      <c r="AT215" s="168">
        <v>1.63049838087504</v>
      </c>
      <c r="AU215" s="168">
        <v>1.6503998685329699</v>
      </c>
      <c r="AV215" s="168">
        <v>1.6469578725839</v>
      </c>
      <c r="AW215" s="168">
        <v>1.64440722245846</v>
      </c>
      <c r="AX215" s="168">
        <v>1.7363292585314101</v>
      </c>
      <c r="AY215" s="168">
        <v>1.70365015281284</v>
      </c>
      <c r="AZ215" s="168">
        <v>1.6760288256093601</v>
      </c>
      <c r="BA215" s="168">
        <v>1.7294828001958</v>
      </c>
      <c r="BB215" s="168">
        <v>1.6913008287242599</v>
      </c>
      <c r="BC215" s="168">
        <v>1.6782576761785699</v>
      </c>
      <c r="BD215" s="168">
        <v>1.67970382063962</v>
      </c>
    </row>
    <row r="216" spans="1:56">
      <c r="A216" s="163" t="s">
        <v>468</v>
      </c>
      <c r="B216" s="163" t="s">
        <v>469</v>
      </c>
      <c r="W216" s="161" t="s">
        <v>125</v>
      </c>
      <c r="X216" s="161" t="s">
        <v>125</v>
      </c>
      <c r="Y216" s="161" t="s">
        <v>125</v>
      </c>
      <c r="Z216" s="161" t="s">
        <v>125</v>
      </c>
      <c r="AA216" s="161" t="s">
        <v>125</v>
      </c>
      <c r="AB216" s="161" t="s">
        <v>125</v>
      </c>
      <c r="AC216" s="161" t="s">
        <v>125</v>
      </c>
      <c r="AD216" s="161" t="s">
        <v>125</v>
      </c>
      <c r="AE216" s="161" t="s">
        <v>125</v>
      </c>
      <c r="AF216" s="161" t="s">
        <v>125</v>
      </c>
      <c r="AG216" s="168">
        <v>4.87556121123091E-3</v>
      </c>
      <c r="AH216" s="168">
        <v>8.9074615523285303E-3</v>
      </c>
      <c r="AI216" s="168">
        <v>1.8221870362046699E-2</v>
      </c>
      <c r="AJ216" s="168">
        <v>3.5149405720074002E-2</v>
      </c>
      <c r="AK216" s="168">
        <v>8.9231255636797305E-2</v>
      </c>
      <c r="AL216" s="168">
        <v>0.17879732356417599</v>
      </c>
      <c r="AM216" s="168">
        <v>0.23276661240594601</v>
      </c>
      <c r="AN216" s="168">
        <v>0.33774628952657898</v>
      </c>
      <c r="AO216" s="168">
        <v>0.39313538928453401</v>
      </c>
      <c r="AP216" s="168">
        <v>0.448932178474795</v>
      </c>
      <c r="AQ216" s="168">
        <v>0.48220927594249202</v>
      </c>
      <c r="AR216" s="168">
        <v>0.47898472633118</v>
      </c>
      <c r="AS216" s="168">
        <v>0.50659222896147804</v>
      </c>
      <c r="AT216" s="168">
        <v>0.54469489548320005</v>
      </c>
      <c r="AU216" s="168">
        <v>0.61325848851285303</v>
      </c>
      <c r="AV216" s="168">
        <v>0.64544909899433101</v>
      </c>
      <c r="AW216" s="168">
        <v>0.67224717981481996</v>
      </c>
      <c r="AX216" s="168">
        <v>0.70488624548176504</v>
      </c>
      <c r="AY216" s="168">
        <v>0.82792284952501505</v>
      </c>
      <c r="AZ216" s="168">
        <v>0.85622725026159296</v>
      </c>
      <c r="BA216" s="168">
        <v>1.0174557897079299</v>
      </c>
      <c r="BB216" s="168">
        <v>1.2239137656696299</v>
      </c>
      <c r="BC216" s="168">
        <v>1.6785174156901399</v>
      </c>
      <c r="BD216" s="168">
        <v>2.46913607252693</v>
      </c>
    </row>
    <row r="217" spans="1:56">
      <c r="A217" s="163" t="s">
        <v>470</v>
      </c>
      <c r="B217" s="163" t="s">
        <v>471</v>
      </c>
      <c r="W217" s="161" t="s">
        <v>125</v>
      </c>
      <c r="X217" s="161" t="s">
        <v>125</v>
      </c>
      <c r="Y217" s="161" t="s">
        <v>125</v>
      </c>
      <c r="Z217" s="161" t="s">
        <v>125</v>
      </c>
      <c r="AA217" s="161" t="s">
        <v>125</v>
      </c>
      <c r="AB217" s="161" t="s">
        <v>125</v>
      </c>
      <c r="AC217" s="161" t="s">
        <v>125</v>
      </c>
      <c r="AD217" s="161" t="s">
        <v>125</v>
      </c>
      <c r="AE217" s="161" t="s">
        <v>125</v>
      </c>
      <c r="AF217" s="161" t="s">
        <v>125</v>
      </c>
      <c r="AG217" s="168">
        <v>1.3939137489266801E-3</v>
      </c>
      <c r="AH217" s="168">
        <v>1.51533809673994E-3</v>
      </c>
      <c r="AI217" s="168">
        <v>2.0097456412197499E-3</v>
      </c>
      <c r="AJ217" s="168">
        <v>5.0844638879419101E-3</v>
      </c>
      <c r="AK217" s="168">
        <v>2.68351888982639E-2</v>
      </c>
      <c r="AL217" s="168">
        <v>9.8299699625777004E-2</v>
      </c>
      <c r="AM217" s="168">
        <v>0.107248286465205</v>
      </c>
      <c r="AN217" s="168">
        <v>0.107447427453242</v>
      </c>
      <c r="AO217" s="168">
        <v>0.106390261297029</v>
      </c>
      <c r="AP217" s="168">
        <v>0.213162523137577</v>
      </c>
      <c r="AQ217" s="168">
        <v>0.32256021187400002</v>
      </c>
      <c r="AR217" s="168">
        <v>0.42624878462289101</v>
      </c>
      <c r="AS217" s="168">
        <v>0.61285664927885797</v>
      </c>
      <c r="AT217" s="168">
        <v>0.73947318201632395</v>
      </c>
      <c r="AU217" s="168">
        <v>0.80842330366619597</v>
      </c>
      <c r="AV217" s="168">
        <v>0.90459570925074395</v>
      </c>
      <c r="AW217" s="168">
        <v>1.24288060793543</v>
      </c>
      <c r="AX217" s="168">
        <v>1.2885418168215099</v>
      </c>
      <c r="AY217" s="168">
        <v>1.46001707289958</v>
      </c>
      <c r="AZ217" s="168">
        <v>1.5428043592702401</v>
      </c>
      <c r="BA217" s="168">
        <v>1.6487824850975199</v>
      </c>
      <c r="BB217" s="168">
        <v>1.8260701205072001</v>
      </c>
      <c r="BC217" s="168">
        <v>2.0040759962974799</v>
      </c>
      <c r="BD217" s="168">
        <v>1.9727116891549601</v>
      </c>
    </row>
    <row r="218" spans="1:56">
      <c r="A218" s="163" t="s">
        <v>472</v>
      </c>
      <c r="B218" s="163" t="s">
        <v>473</v>
      </c>
      <c r="W218" s="161" t="s">
        <v>125</v>
      </c>
      <c r="X218" s="161" t="s">
        <v>125</v>
      </c>
      <c r="Y218" s="161" t="s">
        <v>125</v>
      </c>
      <c r="Z218" s="161" t="s">
        <v>125</v>
      </c>
      <c r="AA218" s="161" t="s">
        <v>125</v>
      </c>
      <c r="AB218" s="161" t="s">
        <v>125</v>
      </c>
      <c r="AC218" s="161" t="s">
        <v>125</v>
      </c>
      <c r="AD218" s="161" t="s">
        <v>125</v>
      </c>
      <c r="AE218" s="161" t="s">
        <v>125</v>
      </c>
      <c r="AF218" s="161" t="s">
        <v>125</v>
      </c>
      <c r="AG218" s="168">
        <v>0.96080143444670396</v>
      </c>
      <c r="AH218" s="168">
        <v>1.01149454955505</v>
      </c>
      <c r="AI218" s="168">
        <v>1.0995877823739699</v>
      </c>
      <c r="AJ218" s="168">
        <v>1.2607990573480701</v>
      </c>
      <c r="AK218" s="168">
        <v>1.36995073518086</v>
      </c>
      <c r="AL218" s="168">
        <v>1.56538523873358</v>
      </c>
      <c r="AM218" s="168">
        <v>1.6554101277544999</v>
      </c>
      <c r="AN218" s="168">
        <v>1.81220766460425</v>
      </c>
      <c r="AO218" s="168">
        <v>1.9255194528831701</v>
      </c>
      <c r="AP218" s="168">
        <v>2.0003535130043701</v>
      </c>
      <c r="AQ218" s="168">
        <v>2.1503067817897898</v>
      </c>
      <c r="AR218" s="168">
        <v>2.2817519615065902</v>
      </c>
      <c r="AS218" s="168">
        <v>2.45271527243901</v>
      </c>
      <c r="AT218" s="168">
        <v>2.5562926436218598</v>
      </c>
      <c r="AU218" s="168">
        <v>2.6955656856168302</v>
      </c>
      <c r="AV218" s="168">
        <v>2.6788643623567401</v>
      </c>
      <c r="AW218" s="168">
        <v>3.0561675588733701</v>
      </c>
      <c r="AX218" s="168">
        <v>3.1001982562317099</v>
      </c>
      <c r="AY218" s="168">
        <v>3.4445958912247998</v>
      </c>
      <c r="AZ218" s="168">
        <v>3.6055754548951602</v>
      </c>
      <c r="BA218" s="168">
        <v>3.7391878563395</v>
      </c>
      <c r="BB218" s="168">
        <v>3.9004862770698598</v>
      </c>
      <c r="BC218" s="168">
        <v>4.1540326290428498</v>
      </c>
      <c r="BD218" s="168">
        <v>4.38551710119508</v>
      </c>
    </row>
    <row r="219" spans="1:56">
      <c r="A219" s="163" t="s">
        <v>474</v>
      </c>
      <c r="B219" s="163" t="s">
        <v>475</v>
      </c>
      <c r="W219" s="161" t="s">
        <v>125</v>
      </c>
      <c r="X219" s="161" t="s">
        <v>125</v>
      </c>
      <c r="Y219" s="161" t="s">
        <v>125</v>
      </c>
      <c r="Z219" s="161" t="s">
        <v>125</v>
      </c>
      <c r="AA219" s="161" t="s">
        <v>125</v>
      </c>
      <c r="AB219" s="161" t="s">
        <v>125</v>
      </c>
      <c r="AC219" s="161" t="s">
        <v>125</v>
      </c>
      <c r="AD219" s="161" t="s">
        <v>125</v>
      </c>
      <c r="AE219" s="161" t="s">
        <v>125</v>
      </c>
      <c r="AF219" s="161" t="s">
        <v>125</v>
      </c>
      <c r="AG219" s="168">
        <v>8.9002486459999997</v>
      </c>
      <c r="AH219" s="168">
        <v>9.3241013069999994</v>
      </c>
      <c r="AI219" s="168">
        <v>9.2087735199999994</v>
      </c>
      <c r="AJ219" s="168">
        <v>9.1937054000000007</v>
      </c>
      <c r="AK219" s="168">
        <v>9.2384367330000003</v>
      </c>
      <c r="AL219" s="168">
        <v>9.3861656470000003</v>
      </c>
      <c r="AM219" s="168">
        <v>9.2557837789999997</v>
      </c>
      <c r="AN219" s="168">
        <v>9.3039759820000008</v>
      </c>
      <c r="AO219" s="168">
        <v>9.3683992909999994</v>
      </c>
      <c r="AP219" s="168">
        <v>9.2935053560000007</v>
      </c>
      <c r="AQ219" s="168">
        <v>9.1243312989999996</v>
      </c>
      <c r="AR219" s="168">
        <v>9.3408726259999995</v>
      </c>
      <c r="AS219" s="168">
        <v>9.351670039</v>
      </c>
      <c r="AT219" s="168">
        <v>9.3331804980000008</v>
      </c>
      <c r="AU219" s="168">
        <v>9.1091957210000007</v>
      </c>
      <c r="AV219" s="168">
        <v>9.37836727</v>
      </c>
      <c r="AW219" s="168">
        <v>9.0738507140000007</v>
      </c>
      <c r="AX219" s="168">
        <v>8.8927151589999998</v>
      </c>
      <c r="AY219" s="168">
        <v>8.7732955520000004</v>
      </c>
      <c r="AZ219" s="168">
        <v>8.8816458130000004</v>
      </c>
      <c r="BA219" s="168">
        <v>8.9941127529999996</v>
      </c>
      <c r="BB219" s="168">
        <v>8.8198806709999999</v>
      </c>
      <c r="BC219" s="168">
        <v>8.8736885319999992</v>
      </c>
      <c r="BD219" s="168">
        <v>8.7188717100000002</v>
      </c>
    </row>
    <row r="220" spans="1:56">
      <c r="A220" s="163" t="s">
        <v>476</v>
      </c>
      <c r="B220" s="163" t="s">
        <v>477</v>
      </c>
      <c r="W220" s="161" t="s">
        <v>125</v>
      </c>
      <c r="X220" s="161" t="s">
        <v>125</v>
      </c>
      <c r="Y220" s="161" t="s">
        <v>125</v>
      </c>
      <c r="Z220" s="161" t="s">
        <v>125</v>
      </c>
      <c r="AA220" s="161" t="s">
        <v>125</v>
      </c>
      <c r="AB220" s="161" t="s">
        <v>125</v>
      </c>
      <c r="AC220" s="161" t="s">
        <v>125</v>
      </c>
      <c r="AD220" s="161" t="s">
        <v>125</v>
      </c>
      <c r="AE220" s="161" t="s">
        <v>125</v>
      </c>
      <c r="AF220" s="161" t="s">
        <v>125</v>
      </c>
      <c r="AG220" s="168">
        <v>1.9933973279999999</v>
      </c>
      <c r="AH220" s="168">
        <v>2.033582607</v>
      </c>
      <c r="AI220" s="168">
        <v>2.0304851130000001</v>
      </c>
      <c r="AJ220" s="168">
        <v>2.0293393879999999</v>
      </c>
      <c r="AK220" s="168">
        <v>2.0105737380000002</v>
      </c>
      <c r="AL220" s="168">
        <v>1.984020391</v>
      </c>
      <c r="AM220" s="168">
        <v>1.940353555</v>
      </c>
      <c r="AN220" s="168">
        <v>1.895384596</v>
      </c>
      <c r="AO220" s="168">
        <v>1.878406654</v>
      </c>
      <c r="AP220" s="168">
        <v>1.87220502</v>
      </c>
      <c r="AQ220" s="168">
        <v>1.849228385</v>
      </c>
      <c r="AR220" s="168">
        <v>1.8379630680000001</v>
      </c>
      <c r="AS220" s="168">
        <v>1.771117807</v>
      </c>
      <c r="AT220" s="168">
        <v>1.7757494190000001</v>
      </c>
      <c r="AU220" s="168">
        <v>1.7547548580000001</v>
      </c>
      <c r="AV220" s="168">
        <v>1.7427560689999999</v>
      </c>
      <c r="AW220" s="168">
        <v>1.656833486</v>
      </c>
      <c r="AX220" s="168">
        <v>1.6022479890000001</v>
      </c>
      <c r="AY220" s="168">
        <v>1.548663693</v>
      </c>
      <c r="AZ220" s="168">
        <v>1.5129638089999999</v>
      </c>
      <c r="BA220" s="168">
        <v>1.5092100470000001</v>
      </c>
      <c r="BB220" s="168">
        <v>1.4414172139999999</v>
      </c>
      <c r="BC220" s="168">
        <v>1.4193312629999999</v>
      </c>
      <c r="BD220" s="168">
        <v>1.3898310030000001</v>
      </c>
    </row>
    <row r="221" spans="1:56">
      <c r="A221" s="163" t="s">
        <v>478</v>
      </c>
      <c r="B221" s="163" t="s">
        <v>479</v>
      </c>
      <c r="W221" s="161" t="s">
        <v>125</v>
      </c>
      <c r="X221" s="161" t="s">
        <v>125</v>
      </c>
      <c r="Y221" s="161" t="s">
        <v>125</v>
      </c>
      <c r="Z221" s="161" t="s">
        <v>125</v>
      </c>
      <c r="AA221" s="161" t="s">
        <v>125</v>
      </c>
      <c r="AB221" s="161" t="s">
        <v>125</v>
      </c>
      <c r="AC221" s="161" t="s">
        <v>125</v>
      </c>
      <c r="AD221" s="161" t="s">
        <v>125</v>
      </c>
      <c r="AE221" s="161" t="s">
        <v>125</v>
      </c>
      <c r="AF221" s="161" t="s">
        <v>125</v>
      </c>
      <c r="AG221" s="168" t="s">
        <v>125</v>
      </c>
      <c r="AH221" s="168" t="s">
        <v>125</v>
      </c>
      <c r="AI221" s="168" t="s">
        <v>125</v>
      </c>
      <c r="AJ221" s="168" t="s">
        <v>125</v>
      </c>
      <c r="AK221" s="168" t="s">
        <v>125</v>
      </c>
      <c r="AL221" s="168" t="s">
        <v>125</v>
      </c>
      <c r="AM221" s="168" t="s">
        <v>125</v>
      </c>
      <c r="AN221" s="168" t="s">
        <v>125</v>
      </c>
      <c r="AO221" s="168" t="s">
        <v>125</v>
      </c>
      <c r="AP221" s="168" t="s">
        <v>125</v>
      </c>
      <c r="AQ221" s="168" t="s">
        <v>125</v>
      </c>
      <c r="AR221" s="168" t="s">
        <v>125</v>
      </c>
      <c r="AS221" s="168" t="s">
        <v>125</v>
      </c>
      <c r="AT221" s="168" t="s">
        <v>125</v>
      </c>
      <c r="AU221" s="168" t="s">
        <v>125</v>
      </c>
      <c r="AV221" s="168" t="s">
        <v>125</v>
      </c>
      <c r="AW221" s="168" t="s">
        <v>125</v>
      </c>
      <c r="AX221" s="168" t="s">
        <v>125</v>
      </c>
      <c r="AY221" s="168" t="s">
        <v>125</v>
      </c>
      <c r="AZ221" s="168" t="s">
        <v>125</v>
      </c>
      <c r="BA221" s="168" t="s">
        <v>125</v>
      </c>
      <c r="BB221" s="168">
        <v>21.3249</v>
      </c>
      <c r="BC221" s="168" t="s">
        <v>125</v>
      </c>
      <c r="BD221" s="168" t="s">
        <v>125</v>
      </c>
    </row>
    <row r="222" spans="1:56">
      <c r="A222" s="163" t="s">
        <v>480</v>
      </c>
      <c r="B222" s="163" t="s">
        <v>481</v>
      </c>
      <c r="W222" s="161" t="s">
        <v>125</v>
      </c>
      <c r="X222" s="161" t="s">
        <v>125</v>
      </c>
      <c r="Y222" s="161" t="s">
        <v>125</v>
      </c>
      <c r="Z222" s="161" t="s">
        <v>125</v>
      </c>
      <c r="AA222" s="161" t="s">
        <v>125</v>
      </c>
      <c r="AB222" s="161" t="s">
        <v>125</v>
      </c>
      <c r="AC222" s="161" t="s">
        <v>125</v>
      </c>
      <c r="AD222" s="161" t="s">
        <v>125</v>
      </c>
      <c r="AE222" s="161" t="s">
        <v>125</v>
      </c>
      <c r="AF222" s="161" t="s">
        <v>125</v>
      </c>
      <c r="AG222" s="168">
        <v>5.8442504412534901E-6</v>
      </c>
      <c r="AH222" s="168">
        <v>1.1295186465282099E-5</v>
      </c>
      <c r="AI222" s="168">
        <v>7.4409571440578096E-5</v>
      </c>
      <c r="AJ222" s="168">
        <v>9.5008033345216796E-4</v>
      </c>
      <c r="AK222" s="168">
        <v>2.9866313671792302E-3</v>
      </c>
      <c r="AL222" s="168">
        <v>1.3048203254566E-2</v>
      </c>
      <c r="AM222" s="168">
        <v>6.7985940370371201E-2</v>
      </c>
      <c r="AN222" s="168">
        <v>0.110443969929383</v>
      </c>
      <c r="AO222" s="168">
        <v>0.20521819103490399</v>
      </c>
      <c r="AP222" s="168">
        <v>0.25596044901418102</v>
      </c>
      <c r="AQ222" s="168">
        <v>0.30700539035269703</v>
      </c>
      <c r="AR222" s="168">
        <v>0.39079254689318499</v>
      </c>
      <c r="AS222" s="168">
        <v>0.45730650552175001</v>
      </c>
      <c r="AT222" s="168">
        <v>0.56936056799441903</v>
      </c>
      <c r="AU222" s="168">
        <v>0.651251802023188</v>
      </c>
      <c r="AV222" s="168">
        <v>0.69105817974453698</v>
      </c>
      <c r="AW222" s="168">
        <v>0.81166762574575102</v>
      </c>
      <c r="AX222" s="168">
        <v>1.0060424647483099</v>
      </c>
      <c r="AY222" s="168">
        <v>1.2646766198771899</v>
      </c>
      <c r="AZ222" s="168">
        <v>1.4085588408746901</v>
      </c>
      <c r="BA222" s="168">
        <v>1.5651431827119899</v>
      </c>
      <c r="BB222" s="168">
        <v>1.7395255482237399</v>
      </c>
      <c r="BC222" s="168">
        <v>1.91254466350068</v>
      </c>
      <c r="BD222" s="168">
        <v>1.9659162450833201</v>
      </c>
    </row>
    <row r="223" spans="1:56">
      <c r="A223" s="163" t="s">
        <v>482</v>
      </c>
      <c r="B223" s="163" t="s">
        <v>483</v>
      </c>
      <c r="W223" s="161" t="s">
        <v>125</v>
      </c>
      <c r="X223" s="161" t="s">
        <v>125</v>
      </c>
      <c r="Y223" s="161" t="s">
        <v>125</v>
      </c>
      <c r="Z223" s="161" t="s">
        <v>125</v>
      </c>
      <c r="AA223" s="161" t="s">
        <v>125</v>
      </c>
      <c r="AB223" s="161" t="s">
        <v>125</v>
      </c>
      <c r="AC223" s="161" t="s">
        <v>125</v>
      </c>
      <c r="AD223" s="161" t="s">
        <v>125</v>
      </c>
      <c r="AE223" s="161" t="s">
        <v>125</v>
      </c>
      <c r="AF223" s="161" t="s">
        <v>125</v>
      </c>
      <c r="AG223" s="168">
        <v>50.276718803670903</v>
      </c>
      <c r="AH223" s="168">
        <v>62.337389068860297</v>
      </c>
      <c r="AI223" s="168">
        <v>76.413254059613905</v>
      </c>
      <c r="AJ223" s="168">
        <v>92.894751039611705</v>
      </c>
      <c r="AK223" s="168">
        <v>119.310140651656</v>
      </c>
      <c r="AL223" s="168">
        <v>148.26634820136999</v>
      </c>
      <c r="AM223" s="168">
        <v>173.72908682483299</v>
      </c>
      <c r="AN223" s="168">
        <v>205.97101683938399</v>
      </c>
      <c r="AO223" s="168">
        <v>259.46748390264202</v>
      </c>
      <c r="AP223" s="168">
        <v>283.72189838975498</v>
      </c>
      <c r="AQ223" s="168">
        <v>298.42467150638299</v>
      </c>
      <c r="AR223" s="168">
        <v>307.21895162490699</v>
      </c>
      <c r="AS223" s="168">
        <v>324.04964088642498</v>
      </c>
      <c r="AT223" s="168">
        <v>344.54608379052098</v>
      </c>
      <c r="AU223" s="168">
        <v>358.90286114269998</v>
      </c>
      <c r="AV223" s="168">
        <v>370.09623894046899</v>
      </c>
      <c r="AW223" s="168">
        <v>378.02861244285401</v>
      </c>
      <c r="AX223" s="168">
        <v>401.29396292262902</v>
      </c>
      <c r="AY223" s="168">
        <v>433.398331394975</v>
      </c>
      <c r="AZ223" s="168">
        <v>461.82201238404201</v>
      </c>
      <c r="BA223" s="168">
        <v>487.934618494213</v>
      </c>
      <c r="BB223" s="168">
        <v>522.48323681237503</v>
      </c>
      <c r="BC223" s="168">
        <v>572.13671178577601</v>
      </c>
      <c r="BD223" s="168">
        <v>626.57734613084403</v>
      </c>
    </row>
    <row r="224" spans="1:56">
      <c r="A224" s="163" t="s">
        <v>484</v>
      </c>
      <c r="B224" s="163" t="s">
        <v>485</v>
      </c>
      <c r="W224" s="161" t="s">
        <v>125</v>
      </c>
      <c r="X224" s="161" t="s">
        <v>125</v>
      </c>
      <c r="Y224" s="161" t="s">
        <v>125</v>
      </c>
      <c r="Z224" s="161" t="s">
        <v>125</v>
      </c>
      <c r="AA224" s="161" t="s">
        <v>125</v>
      </c>
      <c r="AB224" s="161" t="s">
        <v>125</v>
      </c>
      <c r="AC224" s="161" t="s">
        <v>125</v>
      </c>
      <c r="AD224" s="161" t="s">
        <v>125</v>
      </c>
      <c r="AE224" s="161" t="s">
        <v>125</v>
      </c>
      <c r="AF224" s="161" t="s">
        <v>125</v>
      </c>
      <c r="AG224" s="168">
        <v>9.3545177612257699</v>
      </c>
      <c r="AH224" s="168">
        <v>9.5736451075930997</v>
      </c>
      <c r="AI224" s="168">
        <v>9.7805075717645504</v>
      </c>
      <c r="AJ224" s="168">
        <v>9.8671693260373505</v>
      </c>
      <c r="AK224" s="168">
        <v>10.164652974955301</v>
      </c>
      <c r="AL224" s="168">
        <v>10.5135197090733</v>
      </c>
      <c r="AM224" s="168">
        <v>10.7390095409382</v>
      </c>
      <c r="AN224" s="168">
        <v>10.987407662311499</v>
      </c>
      <c r="AO224" s="168">
        <v>11.8735825276329</v>
      </c>
      <c r="AP224" s="168">
        <v>11.2336707945722</v>
      </c>
      <c r="AQ224" s="168">
        <v>11.1319528055754</v>
      </c>
      <c r="AR224" s="168">
        <v>11.1078308629959</v>
      </c>
      <c r="AS224" s="168">
        <v>11.029087610763099</v>
      </c>
      <c r="AT224" s="168">
        <v>10.9565962010606</v>
      </c>
      <c r="AU224" s="168">
        <v>10.997616435196599</v>
      </c>
      <c r="AV224" s="168">
        <v>11.133977456057099</v>
      </c>
      <c r="AW224" s="168">
        <v>11.368245951089699</v>
      </c>
      <c r="AX224" s="168">
        <v>11.4567221469509</v>
      </c>
      <c r="AY224" s="168">
        <v>11.6789739762275</v>
      </c>
      <c r="AZ224" s="168">
        <v>11.815380897464999</v>
      </c>
      <c r="BA224" s="168">
        <v>12.1017135594391</v>
      </c>
      <c r="BB224" s="168">
        <v>12.370384501508701</v>
      </c>
      <c r="BC224" s="168">
        <v>12.186847717929201</v>
      </c>
      <c r="BD224" s="168">
        <v>12.339451788583901</v>
      </c>
    </row>
    <row r="225" spans="1:56">
      <c r="A225" s="163" t="s">
        <v>486</v>
      </c>
      <c r="B225" s="163" t="s">
        <v>570</v>
      </c>
      <c r="W225" s="161" t="s">
        <v>125</v>
      </c>
      <c r="X225" s="161" t="s">
        <v>125</v>
      </c>
      <c r="Y225" s="161" t="s">
        <v>125</v>
      </c>
      <c r="Z225" s="161" t="s">
        <v>125</v>
      </c>
      <c r="AA225" s="161" t="s">
        <v>125</v>
      </c>
      <c r="AB225" s="161" t="s">
        <v>125</v>
      </c>
      <c r="AC225" s="161" t="s">
        <v>125</v>
      </c>
      <c r="AD225" s="161" t="s">
        <v>125</v>
      </c>
      <c r="AE225" s="161" t="s">
        <v>125</v>
      </c>
      <c r="AF225" s="161" t="s">
        <v>125</v>
      </c>
      <c r="AG225" s="168" t="s">
        <v>125</v>
      </c>
      <c r="AH225" s="168" t="s">
        <v>125</v>
      </c>
      <c r="AI225" s="168" t="s">
        <v>125</v>
      </c>
      <c r="AJ225" s="168" t="s">
        <v>125</v>
      </c>
      <c r="AK225" s="168" t="s">
        <v>125</v>
      </c>
      <c r="AL225" s="168" t="s">
        <v>125</v>
      </c>
      <c r="AM225" s="168" t="s">
        <v>125</v>
      </c>
      <c r="AN225" s="168" t="s">
        <v>125</v>
      </c>
      <c r="AO225" s="168" t="s">
        <v>125</v>
      </c>
      <c r="AP225" s="168" t="s">
        <v>125</v>
      </c>
      <c r="AQ225" s="168">
        <v>0.39328008261193997</v>
      </c>
      <c r="AR225" s="168">
        <v>0.40559432848577898</v>
      </c>
      <c r="AS225" s="168">
        <v>0.42513650552467502</v>
      </c>
      <c r="AT225" s="168">
        <v>0.43586162296638198</v>
      </c>
      <c r="AU225" s="168">
        <v>0.44099961384998099</v>
      </c>
      <c r="AV225" s="168">
        <v>0.42184032920641801</v>
      </c>
      <c r="AW225" s="168">
        <v>0.40812725178332498</v>
      </c>
      <c r="AX225" s="168">
        <v>0.43019449674009003</v>
      </c>
      <c r="AY225" s="168">
        <v>0.45709283224987901</v>
      </c>
      <c r="AZ225" s="168">
        <v>0.47930299068022197</v>
      </c>
      <c r="BA225" s="168">
        <v>0.48880823186566302</v>
      </c>
      <c r="BB225" s="168">
        <v>0.51676650000000002</v>
      </c>
      <c r="BC225" s="168">
        <v>0.56297761926535705</v>
      </c>
      <c r="BD225" s="168">
        <v>0.61139304022971896</v>
      </c>
    </row>
    <row r="226" spans="1:56">
      <c r="A226" s="163" t="s">
        <v>488</v>
      </c>
      <c r="B226" s="163" t="s">
        <v>489</v>
      </c>
      <c r="W226" s="161" t="s">
        <v>125</v>
      </c>
      <c r="X226" s="161" t="s">
        <v>125</v>
      </c>
      <c r="Y226" s="161" t="s">
        <v>125</v>
      </c>
      <c r="Z226" s="161" t="s">
        <v>125</v>
      </c>
      <c r="AA226" s="161" t="s">
        <v>125</v>
      </c>
      <c r="AB226" s="161" t="s">
        <v>125</v>
      </c>
      <c r="AC226" s="161" t="s">
        <v>125</v>
      </c>
      <c r="AD226" s="161" t="s">
        <v>125</v>
      </c>
      <c r="AE226" s="161" t="s">
        <v>125</v>
      </c>
      <c r="AF226" s="161" t="s">
        <v>125</v>
      </c>
      <c r="AG226" s="168">
        <v>133.873449482637</v>
      </c>
      <c r="AH226" s="168">
        <v>133.024752703986</v>
      </c>
      <c r="AI226" s="168">
        <v>134.279832422212</v>
      </c>
      <c r="AJ226" s="168">
        <v>120.40776315256799</v>
      </c>
      <c r="AK226" s="168">
        <v>160.15540135984901</v>
      </c>
      <c r="AL226" s="168">
        <v>174.27206143623101</v>
      </c>
      <c r="AM226" s="168">
        <v>180.367558494946</v>
      </c>
      <c r="AN226" s="168">
        <v>180.944025538208</v>
      </c>
      <c r="AO226" s="168">
        <v>196.10887594772001</v>
      </c>
      <c r="AP226" s="168">
        <v>195.50370892791301</v>
      </c>
      <c r="AQ226" s="168">
        <v>182.95587956888301</v>
      </c>
      <c r="AR226" s="168">
        <v>192.701950846616</v>
      </c>
      <c r="AS226" s="168">
        <v>201.58443667006799</v>
      </c>
      <c r="AT226" s="168">
        <v>178.21960115637199</v>
      </c>
      <c r="AU226" s="168">
        <v>178.69703843235899</v>
      </c>
      <c r="AV226" s="168">
        <v>186.56660528670201</v>
      </c>
      <c r="AW226" s="168">
        <v>179.589586912778</v>
      </c>
      <c r="AX226" s="168">
        <v>179.57983595757301</v>
      </c>
      <c r="AY226" s="168">
        <v>201.82162927214901</v>
      </c>
      <c r="AZ226" s="168">
        <v>203.99584845634701</v>
      </c>
      <c r="BA226" s="168">
        <v>203.92888533410701</v>
      </c>
      <c r="BB226" s="168">
        <v>215.060278884425</v>
      </c>
      <c r="BC226" s="168">
        <v>225.10004161417001</v>
      </c>
      <c r="BD226" s="168">
        <v>226.175835752571</v>
      </c>
    </row>
    <row r="227" spans="1:56">
      <c r="A227" s="163" t="s">
        <v>490</v>
      </c>
      <c r="B227" s="163" t="s">
        <v>491</v>
      </c>
      <c r="W227" s="161" t="s">
        <v>125</v>
      </c>
      <c r="X227" s="161" t="s">
        <v>125</v>
      </c>
      <c r="Y227" s="161" t="s">
        <v>125</v>
      </c>
      <c r="Z227" s="161" t="s">
        <v>125</v>
      </c>
      <c r="AA227" s="161" t="s">
        <v>125</v>
      </c>
      <c r="AB227" s="161" t="s">
        <v>125</v>
      </c>
      <c r="AC227" s="161" t="s">
        <v>125</v>
      </c>
      <c r="AD227" s="161" t="s">
        <v>125</v>
      </c>
      <c r="AE227" s="161" t="s">
        <v>125</v>
      </c>
      <c r="AF227" s="161" t="s">
        <v>125</v>
      </c>
      <c r="AG227" s="168">
        <v>0.66800039971793201</v>
      </c>
      <c r="AH227" s="168">
        <v>0.70766411797171103</v>
      </c>
      <c r="AI227" s="168">
        <v>0.74341435989711402</v>
      </c>
      <c r="AJ227" s="168">
        <v>0.726611590885193</v>
      </c>
      <c r="AK227" s="168">
        <v>0.90478770476066905</v>
      </c>
      <c r="AL227" s="168">
        <v>0.85990341688527205</v>
      </c>
      <c r="AM227" s="168">
        <v>0.88732592793760101</v>
      </c>
      <c r="AN227" s="168">
        <v>0.86564682315000996</v>
      </c>
      <c r="AO227" s="168">
        <v>0.875562429060457</v>
      </c>
      <c r="AP227" s="168">
        <v>0.91886644550877805</v>
      </c>
      <c r="AQ227" s="168">
        <v>0.92611506497079998</v>
      </c>
      <c r="AR227" s="168">
        <v>0.93459370406880204</v>
      </c>
      <c r="AS227" s="168">
        <v>1.0013450878705299</v>
      </c>
      <c r="AT227" s="168">
        <v>1.07334706270733</v>
      </c>
      <c r="AU227" s="168">
        <v>1.1017892935034901</v>
      </c>
      <c r="AV227" s="168">
        <v>1.1273117293515</v>
      </c>
      <c r="AW227" s="168">
        <v>1.28775946489685</v>
      </c>
      <c r="AX227" s="168">
        <v>1.32686956159491</v>
      </c>
      <c r="AY227" s="168">
        <v>1.41034337036244</v>
      </c>
      <c r="AZ227" s="168">
        <v>1.3660850816693499</v>
      </c>
      <c r="BA227" s="168">
        <v>1.40032418164034</v>
      </c>
      <c r="BB227" s="168">
        <v>1.45268475139735</v>
      </c>
      <c r="BC227" s="168">
        <v>1.45999162301845</v>
      </c>
      <c r="BD227" s="168">
        <v>1.4474009074986101</v>
      </c>
    </row>
    <row r="228" spans="1:56">
      <c r="A228" s="163" t="s">
        <v>492</v>
      </c>
      <c r="B228" s="163" t="s">
        <v>493</v>
      </c>
      <c r="W228" s="161" t="s">
        <v>125</v>
      </c>
      <c r="X228" s="161" t="s">
        <v>125</v>
      </c>
      <c r="Y228" s="161" t="s">
        <v>125</v>
      </c>
      <c r="Z228" s="161" t="s">
        <v>125</v>
      </c>
      <c r="AA228" s="161" t="s">
        <v>125</v>
      </c>
      <c r="AB228" s="161" t="s">
        <v>125</v>
      </c>
      <c r="AC228" s="161" t="s">
        <v>125</v>
      </c>
      <c r="AD228" s="161" t="s">
        <v>125</v>
      </c>
      <c r="AE228" s="161" t="s">
        <v>125</v>
      </c>
      <c r="AF228" s="161" t="s">
        <v>125</v>
      </c>
      <c r="AG228" s="168">
        <v>2.0212442076918999</v>
      </c>
      <c r="AH228" s="168">
        <v>2.01588570656169</v>
      </c>
      <c r="AI228" s="168">
        <v>2.0672101005894299</v>
      </c>
      <c r="AJ228" s="168">
        <v>2.1378526819614501</v>
      </c>
      <c r="AK228" s="168">
        <v>2.41502254923771</v>
      </c>
      <c r="AL228" s="168">
        <v>2.46087136141912</v>
      </c>
      <c r="AM228" s="168">
        <v>2.5369181609481402</v>
      </c>
      <c r="AN228" s="168">
        <v>2.5187285627265599</v>
      </c>
      <c r="AO228" s="168">
        <v>2.4535125398428499</v>
      </c>
      <c r="AP228" s="168">
        <v>2.6109372688890602</v>
      </c>
      <c r="AQ228" s="168">
        <v>2.8810591575166802</v>
      </c>
      <c r="AR228" s="168">
        <v>2.89728401952366</v>
      </c>
      <c r="AS228" s="168">
        <v>2.7033449319160399</v>
      </c>
      <c r="AT228" s="168">
        <v>2.91029103354367</v>
      </c>
      <c r="AU228" s="168">
        <v>3.0123377821383799</v>
      </c>
      <c r="AV228" s="168">
        <v>3.4233979507226602</v>
      </c>
      <c r="AW228" s="168">
        <v>3.3628205484547302</v>
      </c>
      <c r="AX228" s="168">
        <v>3.6936430807653999</v>
      </c>
      <c r="AY228" s="168">
        <v>4.4847875172808003</v>
      </c>
      <c r="AZ228" s="168">
        <v>3.2207715815691902</v>
      </c>
      <c r="BA228" s="168">
        <v>3.43530675317181</v>
      </c>
      <c r="BB228" s="168">
        <v>3.9378238455174399</v>
      </c>
      <c r="BC228" s="168">
        <v>3.7727405491281298</v>
      </c>
      <c r="BD228" s="168">
        <v>3.8561379109759799</v>
      </c>
    </row>
    <row r="229" spans="1:56">
      <c r="A229" s="163" t="s">
        <v>494</v>
      </c>
      <c r="B229" s="163" t="s">
        <v>495</v>
      </c>
      <c r="W229" s="161" t="s">
        <v>125</v>
      </c>
      <c r="X229" s="161" t="s">
        <v>125</v>
      </c>
      <c r="Y229" s="161" t="s">
        <v>125</v>
      </c>
      <c r="Z229" s="161" t="s">
        <v>125</v>
      </c>
      <c r="AA229" s="161" t="s">
        <v>125</v>
      </c>
      <c r="AB229" s="161" t="s">
        <v>125</v>
      </c>
      <c r="AC229" s="161" t="s">
        <v>125</v>
      </c>
      <c r="AD229" s="161" t="s">
        <v>125</v>
      </c>
      <c r="AE229" s="161" t="s">
        <v>125</v>
      </c>
      <c r="AF229" s="161" t="s">
        <v>125</v>
      </c>
      <c r="AG229" s="168">
        <v>0.374483650323363</v>
      </c>
      <c r="AH229" s="168">
        <v>0.38793218148387498</v>
      </c>
      <c r="AI229" s="168">
        <v>0.40086997433741101</v>
      </c>
      <c r="AJ229" s="168">
        <v>0.40992089115719599</v>
      </c>
      <c r="AK229" s="168">
        <v>0.41954296152680398</v>
      </c>
      <c r="AL229" s="168">
        <v>0.43296156013646903</v>
      </c>
      <c r="AM229" s="168">
        <v>0.44372003242288099</v>
      </c>
      <c r="AN229" s="168">
        <v>0.497878482148577</v>
      </c>
      <c r="AO229" s="168">
        <v>0.50864983692704901</v>
      </c>
      <c r="AP229" s="168">
        <v>0.51834509126218398</v>
      </c>
      <c r="AQ229" s="168">
        <v>0.52346979332051302</v>
      </c>
      <c r="AR229" s="168">
        <v>0.52969010370177405</v>
      </c>
      <c r="AS229" s="168">
        <v>0.53152516413117901</v>
      </c>
      <c r="AT229" s="168">
        <v>0.53166146579711904</v>
      </c>
      <c r="AU229" s="168">
        <v>0.53796029088966602</v>
      </c>
      <c r="AV229" s="168">
        <v>0.54126706019470805</v>
      </c>
      <c r="AW229" s="168">
        <v>0.54315586796023496</v>
      </c>
      <c r="AX229" s="168">
        <v>0.54274320479691096</v>
      </c>
      <c r="AY229" s="168">
        <v>0.56341075152446196</v>
      </c>
      <c r="AZ229" s="168">
        <v>0.57293424859217601</v>
      </c>
      <c r="BA229" s="168">
        <v>0.58716993252237004</v>
      </c>
      <c r="BB229" s="168">
        <v>0.59214237578085804</v>
      </c>
      <c r="BC229" s="168">
        <v>0.610679827278516</v>
      </c>
      <c r="BD229" s="168">
        <v>0.63409557448305598</v>
      </c>
    </row>
    <row r="230" spans="1:56">
      <c r="A230" s="163" t="s">
        <v>496</v>
      </c>
      <c r="B230" s="163" t="s">
        <v>497</v>
      </c>
      <c r="W230" s="161" t="s">
        <v>125</v>
      </c>
      <c r="X230" s="161" t="s">
        <v>125</v>
      </c>
      <c r="Y230" s="161" t="s">
        <v>125</v>
      </c>
      <c r="Z230" s="161" t="s">
        <v>125</v>
      </c>
      <c r="AA230" s="161" t="s">
        <v>125</v>
      </c>
      <c r="AB230" s="161" t="s">
        <v>125</v>
      </c>
      <c r="AC230" s="161" t="s">
        <v>125</v>
      </c>
      <c r="AD230" s="161" t="s">
        <v>125</v>
      </c>
      <c r="AE230" s="161" t="s">
        <v>125</v>
      </c>
      <c r="AF230" s="161" t="s">
        <v>125</v>
      </c>
      <c r="AG230" s="168">
        <v>1.6410579999999999E-3</v>
      </c>
      <c r="AH230" s="168">
        <v>2.522729E-3</v>
      </c>
      <c r="AI230" s="168">
        <v>4.0381439999999996E-3</v>
      </c>
      <c r="AJ230" s="168">
        <v>6.6173339999999999E-3</v>
      </c>
      <c r="AK230" s="168">
        <v>1.3377023E-2</v>
      </c>
      <c r="AL230" s="168">
        <v>2.4530059999999999E-2</v>
      </c>
      <c r="AM230" s="168">
        <v>4.2638185000000002E-2</v>
      </c>
      <c r="AN230" s="168">
        <v>7.5890431999999994E-2</v>
      </c>
      <c r="AO230" s="168">
        <v>0.131106421</v>
      </c>
      <c r="AP230" s="168">
        <v>0.20202347100000001</v>
      </c>
      <c r="AQ230" s="168">
        <v>0.28246398099999998</v>
      </c>
      <c r="AR230" s="168">
        <v>0.42773619400000001</v>
      </c>
      <c r="AS230" s="168">
        <v>0.612620155</v>
      </c>
      <c r="AT230" s="168">
        <v>0.77315880400000003</v>
      </c>
      <c r="AU230" s="168">
        <v>0.81251313700000005</v>
      </c>
      <c r="AV230" s="168">
        <v>0.83063960400000003</v>
      </c>
      <c r="AW230" s="168">
        <v>0.84646088100000005</v>
      </c>
      <c r="AX230" s="168">
        <v>0.864925952</v>
      </c>
      <c r="AY230" s="168">
        <v>0.89006018399999998</v>
      </c>
      <c r="AZ230" s="168">
        <v>0.90865351599999999</v>
      </c>
      <c r="BA230" s="168">
        <v>0.94052667400000001</v>
      </c>
      <c r="BB230" s="168">
        <v>0.98693181299999999</v>
      </c>
      <c r="BC230" s="168">
        <v>1.0528225959999999</v>
      </c>
      <c r="BD230" s="168">
        <v>1.098200201</v>
      </c>
    </row>
    <row r="231" spans="1:56">
      <c r="A231" s="163" t="s">
        <v>498</v>
      </c>
      <c r="B231" s="163" t="s">
        <v>499</v>
      </c>
      <c r="W231" s="161" t="s">
        <v>125</v>
      </c>
      <c r="X231" s="161" t="s">
        <v>125</v>
      </c>
      <c r="Y231" s="161" t="s">
        <v>125</v>
      </c>
      <c r="Z231" s="161" t="s">
        <v>125</v>
      </c>
      <c r="AA231" s="161" t="s">
        <v>125</v>
      </c>
      <c r="AB231" s="161" t="s">
        <v>125</v>
      </c>
      <c r="AC231" s="161" t="s">
        <v>125</v>
      </c>
      <c r="AD231" s="161" t="s">
        <v>125</v>
      </c>
      <c r="AE231" s="161" t="s">
        <v>125</v>
      </c>
      <c r="AF231" s="161" t="s">
        <v>125</v>
      </c>
      <c r="AG231" s="168">
        <v>1.5317603213775999E-7</v>
      </c>
      <c r="AH231" s="168">
        <v>3.0057992056408798E-7</v>
      </c>
      <c r="AI231" s="168">
        <v>9.4041038666671305E-6</v>
      </c>
      <c r="AJ231" s="168">
        <v>1.13348261221755E-4</v>
      </c>
      <c r="AK231" s="168">
        <v>1.1679095177933199E-3</v>
      </c>
      <c r="AL231" s="168">
        <v>9.2177807006351992E-3</v>
      </c>
      <c r="AM231" s="168">
        <v>0.100867471908166</v>
      </c>
      <c r="AN231" s="168">
        <v>0.160405722400215</v>
      </c>
      <c r="AO231" s="168">
        <v>0.18665965901182499</v>
      </c>
      <c r="AP231" s="168">
        <v>0.226379751945501</v>
      </c>
      <c r="AQ231" s="168">
        <v>0.27327541334313898</v>
      </c>
      <c r="AR231" s="168">
        <v>0.353485192994692</v>
      </c>
      <c r="AS231" s="168">
        <v>0.43570245602129998</v>
      </c>
      <c r="AT231" s="168">
        <v>0.54316009908951701</v>
      </c>
      <c r="AU231" s="168">
        <v>0.62566684500706204</v>
      </c>
      <c r="AV231" s="168">
        <v>0.64882089995763803</v>
      </c>
      <c r="AW231" s="168">
        <v>0.70664354034868204</v>
      </c>
      <c r="AX231" s="168">
        <v>0.75211511837279899</v>
      </c>
      <c r="AY231" s="168">
        <v>1.1784540536635899</v>
      </c>
      <c r="AZ231" s="168">
        <v>1.2835616549747799</v>
      </c>
      <c r="BA231" s="168">
        <v>1.2724851626134801</v>
      </c>
      <c r="BB231" s="168">
        <v>1.43611</v>
      </c>
      <c r="BC231" s="168">
        <v>1.5281355997233199</v>
      </c>
      <c r="BD231" s="168">
        <v>1.6257782182915199</v>
      </c>
    </row>
    <row r="232" spans="1:56">
      <c r="A232" s="163" t="s">
        <v>500</v>
      </c>
      <c r="B232" s="163" t="s">
        <v>501</v>
      </c>
      <c r="W232" s="161" t="s">
        <v>125</v>
      </c>
      <c r="X232" s="161" t="s">
        <v>125</v>
      </c>
      <c r="Y232" s="161" t="s">
        <v>125</v>
      </c>
      <c r="Z232" s="161" t="s">
        <v>125</v>
      </c>
      <c r="AA232" s="161" t="s">
        <v>125</v>
      </c>
      <c r="AB232" s="161" t="s">
        <v>125</v>
      </c>
      <c r="AC232" s="161" t="s">
        <v>125</v>
      </c>
      <c r="AD232" s="161" t="s">
        <v>125</v>
      </c>
      <c r="AE232" s="161" t="s">
        <v>125</v>
      </c>
      <c r="AF232" s="161" t="s">
        <v>125</v>
      </c>
      <c r="AG232" s="168" t="s">
        <v>125</v>
      </c>
      <c r="AH232" s="168" t="s">
        <v>125</v>
      </c>
      <c r="AI232" s="168" t="s">
        <v>125</v>
      </c>
      <c r="AJ232" s="168" t="s">
        <v>125</v>
      </c>
      <c r="AK232" s="168" t="s">
        <v>125</v>
      </c>
      <c r="AL232" s="168" t="s">
        <v>125</v>
      </c>
      <c r="AM232" s="168" t="s">
        <v>125</v>
      </c>
      <c r="AN232" s="168" t="s">
        <v>125</v>
      </c>
      <c r="AO232" s="168" t="s">
        <v>125</v>
      </c>
      <c r="AP232" s="168" t="s">
        <v>125</v>
      </c>
      <c r="AQ232" s="168" t="s">
        <v>125</v>
      </c>
      <c r="AR232" s="168" t="s">
        <v>125</v>
      </c>
      <c r="AS232" s="168" t="s">
        <v>125</v>
      </c>
      <c r="AT232" s="168" t="s">
        <v>125</v>
      </c>
      <c r="AU232" s="168" t="s">
        <v>125</v>
      </c>
      <c r="AV232" s="168" t="s">
        <v>125</v>
      </c>
      <c r="AW232" s="168" t="s">
        <v>125</v>
      </c>
      <c r="AX232" s="168" t="s">
        <v>125</v>
      </c>
      <c r="AY232" s="168" t="s">
        <v>125</v>
      </c>
      <c r="AZ232" s="168" t="s">
        <v>125</v>
      </c>
      <c r="BA232" s="168" t="s">
        <v>125</v>
      </c>
      <c r="BB232" s="168">
        <v>1.10024635397759</v>
      </c>
      <c r="BC232" s="168" t="s">
        <v>125</v>
      </c>
      <c r="BD232" s="168" t="s">
        <v>125</v>
      </c>
    </row>
    <row r="233" spans="1:56">
      <c r="A233" s="163" t="s">
        <v>502</v>
      </c>
      <c r="B233" s="163" t="s">
        <v>503</v>
      </c>
      <c r="W233" s="161" t="s">
        <v>125</v>
      </c>
      <c r="X233" s="161" t="s">
        <v>125</v>
      </c>
      <c r="Y233" s="161" t="s">
        <v>125</v>
      </c>
      <c r="Z233" s="161" t="s">
        <v>125</v>
      </c>
      <c r="AA233" s="161" t="s">
        <v>125</v>
      </c>
      <c r="AB233" s="161" t="s">
        <v>125</v>
      </c>
      <c r="AC233" s="161" t="s">
        <v>125</v>
      </c>
      <c r="AD233" s="161" t="s">
        <v>125</v>
      </c>
      <c r="AE233" s="161" t="s">
        <v>125</v>
      </c>
      <c r="AF233" s="161" t="s">
        <v>125</v>
      </c>
      <c r="AG233" s="168">
        <v>0.81812058465786697</v>
      </c>
      <c r="AH233" s="168">
        <v>0.81273821451325601</v>
      </c>
      <c r="AI233" s="168">
        <v>0.85298184877924299</v>
      </c>
      <c r="AJ233" s="168">
        <v>0.85436878848819697</v>
      </c>
      <c r="AK233" s="168">
        <v>0.79754577809198801</v>
      </c>
      <c r="AL233" s="168">
        <v>0.82146635263549606</v>
      </c>
      <c r="AM233" s="168">
        <v>0.90912984715301404</v>
      </c>
      <c r="AN233" s="168">
        <v>0.88217309281835499</v>
      </c>
      <c r="AO233" s="168">
        <v>0.89662173633961595</v>
      </c>
      <c r="AP233" s="168">
        <v>0.93810852233587805</v>
      </c>
      <c r="AQ233" s="168">
        <v>1.0349174914499899</v>
      </c>
      <c r="AR233" s="168">
        <v>1.0715665793884801</v>
      </c>
      <c r="AS233" s="168">
        <v>1.09034805609952</v>
      </c>
      <c r="AT233" s="168">
        <v>1.09306999032595</v>
      </c>
      <c r="AU233" s="168">
        <v>1.1234838986853599</v>
      </c>
      <c r="AV233" s="168">
        <v>1.1048688374809701</v>
      </c>
      <c r="AW233" s="168">
        <v>1.1161365243511101</v>
      </c>
      <c r="AX233" s="168">
        <v>1.0858519740892201</v>
      </c>
      <c r="AY233" s="168">
        <v>1.10257302971061</v>
      </c>
      <c r="AZ233" s="168">
        <v>1.10169049665901</v>
      </c>
      <c r="BA233" s="168">
        <v>1.1172870378954101</v>
      </c>
      <c r="BB233" s="168">
        <v>1.1099262718756799</v>
      </c>
      <c r="BC233" s="168">
        <v>1.10035537332862</v>
      </c>
      <c r="BD233" s="168">
        <v>1.09965481535096</v>
      </c>
    </row>
    <row r="234" spans="1:56">
      <c r="A234" s="163" t="s">
        <v>85</v>
      </c>
      <c r="B234" s="163" t="s">
        <v>504</v>
      </c>
      <c r="W234" s="161" t="s">
        <v>125</v>
      </c>
      <c r="X234" s="161" t="s">
        <v>125</v>
      </c>
      <c r="Y234" s="161" t="s">
        <v>125</v>
      </c>
      <c r="Z234" s="161" t="s">
        <v>125</v>
      </c>
      <c r="AA234" s="161" t="s">
        <v>125</v>
      </c>
      <c r="AB234" s="161" t="s">
        <v>125</v>
      </c>
      <c r="AC234" s="161" t="s">
        <v>125</v>
      </c>
      <c r="AD234" s="161" t="s">
        <v>125</v>
      </c>
      <c r="AE234" s="161" t="s">
        <v>125</v>
      </c>
      <c r="AF234" s="161" t="s">
        <v>125</v>
      </c>
      <c r="AG234" s="168">
        <v>186.20183148010801</v>
      </c>
      <c r="AH234" s="168">
        <v>227.09677117863399</v>
      </c>
      <c r="AI234" s="168">
        <v>322.09956908024401</v>
      </c>
      <c r="AJ234" s="168">
        <v>409.42679200830202</v>
      </c>
      <c r="AK234" s="168">
        <v>428.34775360135899</v>
      </c>
      <c r="AL234" s="168">
        <v>458.938100814189</v>
      </c>
      <c r="AM234" s="168">
        <v>471.315063205537</v>
      </c>
      <c r="AN234" s="168">
        <v>477.72976779748399</v>
      </c>
      <c r="AO234" s="168">
        <v>514.12470025288303</v>
      </c>
      <c r="AP234" s="168">
        <v>506.31231322925902</v>
      </c>
      <c r="AQ234" s="168">
        <v>550.10115353541096</v>
      </c>
      <c r="AR234" s="168">
        <v>562.165431668564</v>
      </c>
      <c r="AS234" s="168">
        <v>536.10916270328198</v>
      </c>
      <c r="AT234" s="168">
        <v>566.63819371275599</v>
      </c>
      <c r="AU234" s="168">
        <v>637.48816826593998</v>
      </c>
      <c r="AV234" s="168">
        <v>606.921936389336</v>
      </c>
      <c r="AW234" s="168">
        <v>602.98562491181303</v>
      </c>
      <c r="AX234" s="168">
        <v>630.40158367307799</v>
      </c>
      <c r="AY234" s="168">
        <v>657.67453106983305</v>
      </c>
      <c r="AZ234" s="168">
        <v>747.72006379592904</v>
      </c>
      <c r="BA234" s="168">
        <v>809.32979546357706</v>
      </c>
      <c r="BB234" s="168">
        <v>833.54047756922103</v>
      </c>
      <c r="BC234" s="168">
        <v>1016.90002977136</v>
      </c>
      <c r="BD234" s="168">
        <v>1048.81791313243</v>
      </c>
    </row>
    <row r="235" spans="1:56">
      <c r="A235" s="163" t="s">
        <v>505</v>
      </c>
      <c r="B235" s="163" t="s">
        <v>506</v>
      </c>
      <c r="W235" s="161" t="s">
        <v>125</v>
      </c>
      <c r="X235" s="161" t="s">
        <v>125</v>
      </c>
      <c r="Y235" s="161" t="s">
        <v>125</v>
      </c>
      <c r="Z235" s="161" t="s">
        <v>125</v>
      </c>
      <c r="AA235" s="161" t="s">
        <v>125</v>
      </c>
      <c r="AB235" s="161" t="s">
        <v>125</v>
      </c>
      <c r="AC235" s="161" t="s">
        <v>125</v>
      </c>
      <c r="AD235" s="161" t="s">
        <v>125</v>
      </c>
      <c r="AE235" s="161" t="s">
        <v>125</v>
      </c>
      <c r="AF235" s="161" t="s">
        <v>125</v>
      </c>
      <c r="AG235" s="168">
        <v>4.7322004256385201E-6</v>
      </c>
      <c r="AH235" s="168">
        <v>8.9590723720008704E-6</v>
      </c>
      <c r="AI235" s="168">
        <v>1.63033458373452E-4</v>
      </c>
      <c r="AJ235" s="168">
        <v>5.46970292319208E-3</v>
      </c>
      <c r="AK235" s="168">
        <v>5.64201311278026E-2</v>
      </c>
      <c r="AL235" s="168">
        <v>0.28507398493910202</v>
      </c>
      <c r="AM235" s="168">
        <v>0.46514289176097101</v>
      </c>
      <c r="AN235" s="168">
        <v>0.53997314787467199</v>
      </c>
      <c r="AO235" s="168">
        <v>0.59834424256444396</v>
      </c>
      <c r="AP235" s="168">
        <v>0.75155696805447303</v>
      </c>
      <c r="AQ235" s="168">
        <v>0.90472910862438105</v>
      </c>
      <c r="AR235" s="168">
        <v>0.97244426138833295</v>
      </c>
      <c r="AS235" s="168">
        <v>1.0067806293099</v>
      </c>
      <c r="AT235" s="168">
        <v>1.0681973530531199</v>
      </c>
      <c r="AU235" s="168">
        <v>1.1972696899103801</v>
      </c>
      <c r="AV235" s="168">
        <v>1.44488372526051</v>
      </c>
      <c r="AW235" s="168">
        <v>1.6103528574822299</v>
      </c>
      <c r="AX235" s="168">
        <v>1.92564577071038</v>
      </c>
      <c r="AY235" s="168">
        <v>2.4286195854819299</v>
      </c>
      <c r="AZ235" s="168">
        <v>2.7251528111937402</v>
      </c>
      <c r="BA235" s="168">
        <v>3.0627985753638698</v>
      </c>
      <c r="BB235" s="168">
        <v>3.4342975633881201</v>
      </c>
      <c r="BC235" s="168">
        <v>3.6509512069307601</v>
      </c>
      <c r="BD235" s="168">
        <v>3.6395566974226599</v>
      </c>
    </row>
    <row r="236" spans="1:56">
      <c r="A236" s="163" t="s">
        <v>507</v>
      </c>
      <c r="B236" s="163" t="s">
        <v>508</v>
      </c>
      <c r="W236" s="161" t="s">
        <v>125</v>
      </c>
      <c r="X236" s="161" t="s">
        <v>125</v>
      </c>
      <c r="Y236" s="161" t="s">
        <v>125</v>
      </c>
      <c r="Z236" s="161" t="s">
        <v>125</v>
      </c>
      <c r="AA236" s="161" t="s">
        <v>125</v>
      </c>
      <c r="AB236" s="161" t="s">
        <v>125</v>
      </c>
      <c r="AC236" s="161" t="s">
        <v>125</v>
      </c>
      <c r="AD236" s="161" t="s">
        <v>125</v>
      </c>
      <c r="AE236" s="161" t="s">
        <v>125</v>
      </c>
      <c r="AF236" s="161" t="s">
        <v>125</v>
      </c>
      <c r="AG236" s="168">
        <v>1.37421565175906</v>
      </c>
      <c r="AH236" s="168">
        <v>1.3407628980527699</v>
      </c>
      <c r="AI236" s="168">
        <v>1.33455462675379</v>
      </c>
      <c r="AJ236" s="168">
        <v>1.32019286211757</v>
      </c>
      <c r="AK236" s="168">
        <v>1.28928159515591</v>
      </c>
      <c r="AL236" s="168">
        <v>1.3122858327564</v>
      </c>
      <c r="AM236" s="168">
        <v>1.36314870639948</v>
      </c>
      <c r="AN236" s="168">
        <v>1.3274552120904599</v>
      </c>
      <c r="AO236" s="168">
        <v>1.2573402674890499</v>
      </c>
      <c r="AP236" s="168">
        <v>1.3443039584674601</v>
      </c>
      <c r="AQ236" s="168">
        <v>1.4650655985223699</v>
      </c>
      <c r="AR236" s="168">
        <v>1.3986029268167</v>
      </c>
      <c r="AS236" s="168">
        <v>1.42937747693113</v>
      </c>
      <c r="AT236" s="168">
        <v>1.4584422273639801</v>
      </c>
      <c r="AU236" s="168">
        <v>1.5402098141979099</v>
      </c>
      <c r="AV236" s="168">
        <v>1.73896953256561</v>
      </c>
      <c r="AW236" s="168">
        <v>1.88883424672148</v>
      </c>
      <c r="AX236" s="168">
        <v>2.0707269805266599</v>
      </c>
      <c r="AY236" s="168">
        <v>2.40747268030412</v>
      </c>
      <c r="AZ236" s="168">
        <v>2.0269976451420999</v>
      </c>
      <c r="BA236" s="168">
        <v>2.2220109254829601</v>
      </c>
      <c r="BB236" s="168">
        <v>2.5443086344217201</v>
      </c>
      <c r="BC236" s="168">
        <v>2.6379701475055599</v>
      </c>
      <c r="BD236" s="168" t="s">
        <v>125</v>
      </c>
    </row>
    <row r="237" spans="1:56">
      <c r="A237" s="163" t="s">
        <v>509</v>
      </c>
      <c r="B237" s="163" t="s">
        <v>510</v>
      </c>
      <c r="W237" s="161" t="s">
        <v>125</v>
      </c>
      <c r="X237" s="161" t="s">
        <v>125</v>
      </c>
      <c r="Y237" s="161" t="s">
        <v>125</v>
      </c>
      <c r="Z237" s="161" t="s">
        <v>125</v>
      </c>
      <c r="AA237" s="161" t="s">
        <v>125</v>
      </c>
      <c r="AB237" s="161" t="s">
        <v>125</v>
      </c>
      <c r="AC237" s="161" t="s">
        <v>125</v>
      </c>
      <c r="AD237" s="161" t="s">
        <v>125</v>
      </c>
      <c r="AE237" s="161" t="s">
        <v>125</v>
      </c>
      <c r="AF237" s="161" t="s">
        <v>125</v>
      </c>
      <c r="AG237" s="168">
        <v>0.62445248799999997</v>
      </c>
      <c r="AH237" s="168">
        <v>0.64490830200000004</v>
      </c>
      <c r="AI237" s="168">
        <v>0.64887068699999995</v>
      </c>
      <c r="AJ237" s="168">
        <v>0.64577853600000001</v>
      </c>
      <c r="AK237" s="168">
        <v>0.63965634599999999</v>
      </c>
      <c r="AL237" s="168">
        <v>0.64165745600000001</v>
      </c>
      <c r="AM237" s="168">
        <v>0.64182914099999999</v>
      </c>
      <c r="AN237" s="168">
        <v>0.63499395300000006</v>
      </c>
      <c r="AO237" s="168">
        <v>0.64501339800000002</v>
      </c>
      <c r="AP237" s="168">
        <v>0.65264435799999998</v>
      </c>
      <c r="AQ237" s="168">
        <v>0.63524149399999996</v>
      </c>
      <c r="AR237" s="168">
        <v>0.62613289699999997</v>
      </c>
      <c r="AS237" s="168">
        <v>0.62762742800000004</v>
      </c>
      <c r="AT237" s="168">
        <v>0.64070231899999996</v>
      </c>
      <c r="AU237" s="168">
        <v>0.63279696500000004</v>
      </c>
      <c r="AV237" s="168">
        <v>0.63617311200000004</v>
      </c>
      <c r="AW237" s="168">
        <v>0.62603766699999996</v>
      </c>
      <c r="AX237" s="168">
        <v>0.64591047099999999</v>
      </c>
      <c r="AY237" s="168">
        <v>0.65084294499999995</v>
      </c>
      <c r="AZ237" s="168">
        <v>0.65343187999999996</v>
      </c>
      <c r="BA237" s="168">
        <v>0.69112619500000005</v>
      </c>
      <c r="BB237" s="168">
        <v>0.69815098099999995</v>
      </c>
      <c r="BC237" s="168">
        <v>0.70349904600000002</v>
      </c>
      <c r="BD237" s="168">
        <v>0.69515328799999998</v>
      </c>
    </row>
    <row r="238" spans="1:56">
      <c r="A238" s="163" t="s">
        <v>34</v>
      </c>
      <c r="B238" s="163" t="s">
        <v>86</v>
      </c>
      <c r="W238" s="161" t="s">
        <v>125</v>
      </c>
      <c r="X238" s="161" t="s">
        <v>125</v>
      </c>
      <c r="Y238" s="161" t="s">
        <v>125</v>
      </c>
      <c r="Z238" s="161" t="s">
        <v>125</v>
      </c>
      <c r="AA238" s="161" t="s">
        <v>125</v>
      </c>
      <c r="AB238" s="161" t="s">
        <v>125</v>
      </c>
      <c r="AC238" s="161" t="s">
        <v>125</v>
      </c>
      <c r="AD238" s="161" t="s">
        <v>125</v>
      </c>
      <c r="AE238" s="161" t="s">
        <v>125</v>
      </c>
      <c r="AF238" s="161" t="s">
        <v>125</v>
      </c>
      <c r="AG238" s="162">
        <v>1</v>
      </c>
      <c r="AH238" s="162">
        <v>1</v>
      </c>
      <c r="AI238" s="162">
        <v>1</v>
      </c>
      <c r="AJ238" s="162">
        <v>1</v>
      </c>
      <c r="AK238" s="162">
        <v>1</v>
      </c>
      <c r="AL238" s="162">
        <v>1</v>
      </c>
      <c r="AM238" s="162">
        <v>1</v>
      </c>
      <c r="AN238" s="162">
        <v>1</v>
      </c>
      <c r="AO238" s="162">
        <v>1</v>
      </c>
      <c r="AP238" s="162">
        <v>1</v>
      </c>
      <c r="AQ238" s="162">
        <v>1</v>
      </c>
      <c r="AR238" s="162">
        <v>1</v>
      </c>
      <c r="AS238" s="162">
        <v>1</v>
      </c>
      <c r="AT238" s="162">
        <v>1</v>
      </c>
      <c r="AU238" s="162">
        <v>1</v>
      </c>
      <c r="AV238" s="162">
        <v>1</v>
      </c>
      <c r="AW238" s="162">
        <v>1</v>
      </c>
      <c r="AX238" s="162">
        <v>1</v>
      </c>
      <c r="AY238" s="162">
        <v>1</v>
      </c>
      <c r="AZ238" s="162">
        <v>1</v>
      </c>
      <c r="BA238" s="162">
        <v>1</v>
      </c>
      <c r="BB238" s="162">
        <v>1</v>
      </c>
      <c r="BC238" s="162">
        <v>1</v>
      </c>
      <c r="BD238" s="162">
        <v>1</v>
      </c>
    </row>
    <row r="239" spans="1:56">
      <c r="A239" s="163" t="s">
        <v>511</v>
      </c>
      <c r="B239" s="163" t="s">
        <v>512</v>
      </c>
      <c r="W239" s="161" t="s">
        <v>125</v>
      </c>
      <c r="X239" s="161" t="s">
        <v>125</v>
      </c>
      <c r="Y239" s="161" t="s">
        <v>125</v>
      </c>
      <c r="Z239" s="161" t="s">
        <v>125</v>
      </c>
      <c r="AA239" s="161" t="s">
        <v>125</v>
      </c>
      <c r="AB239" s="161" t="s">
        <v>125</v>
      </c>
      <c r="AC239" s="161" t="s">
        <v>125</v>
      </c>
      <c r="AD239" s="161" t="s">
        <v>125</v>
      </c>
      <c r="AE239" s="161" t="s">
        <v>125</v>
      </c>
      <c r="AF239" s="161" t="s">
        <v>125</v>
      </c>
      <c r="AG239" s="168">
        <v>0.56133382812844101</v>
      </c>
      <c r="AH239" s="168">
        <v>1.0909187603067301</v>
      </c>
      <c r="AI239" s="168">
        <v>1.7025389129303701</v>
      </c>
      <c r="AJ239" s="168">
        <v>2.4587240793038698</v>
      </c>
      <c r="AK239" s="168">
        <v>3.34535806911662</v>
      </c>
      <c r="AL239" s="168">
        <v>4.6221538187776403</v>
      </c>
      <c r="AM239" s="168">
        <v>5.7390537766021303</v>
      </c>
      <c r="AN239" s="168">
        <v>7.1933666582357096</v>
      </c>
      <c r="AO239" s="168">
        <v>7.9974336526803604</v>
      </c>
      <c r="AP239" s="168">
        <v>8.2259339939902905</v>
      </c>
      <c r="AQ239" s="168">
        <v>8.3278490349057304</v>
      </c>
      <c r="AR239" s="168">
        <v>8.5342714996354694</v>
      </c>
      <c r="AS239" s="168">
        <v>9.4655268272013</v>
      </c>
      <c r="AT239" s="168">
        <v>10.8151512005469</v>
      </c>
      <c r="AU239" s="168">
        <v>11.5903108408385</v>
      </c>
      <c r="AV239" s="168">
        <v>11.3062420994505</v>
      </c>
      <c r="AW239" s="168">
        <v>11.685683873252399</v>
      </c>
      <c r="AX239" s="168">
        <v>12.455622601228001</v>
      </c>
      <c r="AY239" s="168">
        <v>13.1971991432551</v>
      </c>
      <c r="AZ239" s="168">
        <v>13.827376746209501</v>
      </c>
      <c r="BA239" s="168">
        <v>14.298169352158</v>
      </c>
      <c r="BB239" s="168">
        <v>15.2816800263708</v>
      </c>
      <c r="BC239" s="168">
        <v>16.126084045652199</v>
      </c>
      <c r="BD239" s="168">
        <v>17.095281444662</v>
      </c>
    </row>
    <row r="240" spans="1:56">
      <c r="A240" s="163" t="s">
        <v>513</v>
      </c>
      <c r="B240" s="163" t="s">
        <v>514</v>
      </c>
      <c r="W240" s="161" t="s">
        <v>125</v>
      </c>
      <c r="X240" s="161" t="s">
        <v>125</v>
      </c>
      <c r="Y240" s="161" t="s">
        <v>125</v>
      </c>
      <c r="Z240" s="161" t="s">
        <v>125</v>
      </c>
      <c r="AA240" s="161" t="s">
        <v>125</v>
      </c>
      <c r="AB240" s="161" t="s">
        <v>125</v>
      </c>
      <c r="AC240" s="161" t="s">
        <v>125</v>
      </c>
      <c r="AD240" s="161" t="s">
        <v>125</v>
      </c>
      <c r="AE240" s="161" t="s">
        <v>125</v>
      </c>
      <c r="AF240" s="161" t="s">
        <v>125</v>
      </c>
      <c r="AG240" s="168">
        <v>8.0216028697066002E-4</v>
      </c>
      <c r="AH240" s="168">
        <v>1.4806888099970501E-3</v>
      </c>
      <c r="AI240" s="168">
        <v>1.1757287035558599E-2</v>
      </c>
      <c r="AJ240" s="168">
        <v>0.13538281038366201</v>
      </c>
      <c r="AK240" s="168">
        <v>1.7744535160325801</v>
      </c>
      <c r="AL240" s="168">
        <v>8.1859238083346693</v>
      </c>
      <c r="AM240" s="168">
        <v>14.5954104959388</v>
      </c>
      <c r="AN240" s="168">
        <v>23.833311059982101</v>
      </c>
      <c r="AO240" s="168">
        <v>32.772315089581802</v>
      </c>
      <c r="AP240" s="168">
        <v>46.564937078036202</v>
      </c>
      <c r="AQ240" s="168">
        <v>67.084836933969498</v>
      </c>
      <c r="AR240" s="168">
        <v>95.218661605042797</v>
      </c>
      <c r="AS240" s="168">
        <v>136.39897205385</v>
      </c>
      <c r="AT240" s="168">
        <v>169.462903745766</v>
      </c>
      <c r="AU240" s="168">
        <v>190.87114240007199</v>
      </c>
      <c r="AV240" s="168">
        <v>224.46859730513299</v>
      </c>
      <c r="AW240" s="168">
        <v>264.59589535064498</v>
      </c>
      <c r="AX240" s="168">
        <v>319.65093534116698</v>
      </c>
      <c r="AY240" s="168">
        <v>375.89356570936297</v>
      </c>
      <c r="AZ240" s="168">
        <v>450.52068466097103</v>
      </c>
      <c r="BA240" s="168">
        <v>532.163060011879</v>
      </c>
      <c r="BB240" s="168">
        <v>600.57929999999999</v>
      </c>
      <c r="BC240" s="168">
        <v>678.64677295091997</v>
      </c>
      <c r="BD240" s="168">
        <v>761.48476676142104</v>
      </c>
    </row>
    <row r="241" spans="1:56">
      <c r="A241" s="163" t="s">
        <v>515</v>
      </c>
      <c r="B241" s="163" t="s">
        <v>516</v>
      </c>
      <c r="W241" s="161" t="s">
        <v>125</v>
      </c>
      <c r="X241" s="161" t="s">
        <v>125</v>
      </c>
      <c r="Y241" s="161" t="s">
        <v>125</v>
      </c>
      <c r="Z241" s="161" t="s">
        <v>125</v>
      </c>
      <c r="AA241" s="161" t="s">
        <v>125</v>
      </c>
      <c r="AB241" s="161" t="s">
        <v>125</v>
      </c>
      <c r="AC241" s="161" t="s">
        <v>125</v>
      </c>
      <c r="AD241" s="161" t="s">
        <v>125</v>
      </c>
      <c r="AE241" s="161" t="s">
        <v>125</v>
      </c>
      <c r="AF241" s="161" t="s">
        <v>125</v>
      </c>
      <c r="AG241" s="168">
        <v>77.184566010530602</v>
      </c>
      <c r="AH241" s="168">
        <v>82.390624219949103</v>
      </c>
      <c r="AI241" s="168">
        <v>82.791863449361102</v>
      </c>
      <c r="AJ241" s="168">
        <v>82.523957725052199</v>
      </c>
      <c r="AK241" s="168">
        <v>82.699576308288897</v>
      </c>
      <c r="AL241" s="168">
        <v>82.397843689508306</v>
      </c>
      <c r="AM241" s="168">
        <v>82.600891421380695</v>
      </c>
      <c r="AN241" s="168">
        <v>83.792181097214694</v>
      </c>
      <c r="AO241" s="168">
        <v>89.654659753906898</v>
      </c>
      <c r="AP241" s="168">
        <v>91.110507135003104</v>
      </c>
      <c r="AQ241" s="168">
        <v>91.032451740666204</v>
      </c>
      <c r="AR241" s="168">
        <v>92.306309281236395</v>
      </c>
      <c r="AS241" s="168">
        <v>93.4391790361707</v>
      </c>
      <c r="AT241" s="168">
        <v>92.330762476193598</v>
      </c>
      <c r="AU241" s="168">
        <v>91.774388067339999</v>
      </c>
      <c r="AV241" s="168">
        <v>89.297463373481307</v>
      </c>
      <c r="AW241" s="168">
        <v>89.991166249538594</v>
      </c>
      <c r="AX241" s="168">
        <v>92.460231056762595</v>
      </c>
      <c r="AY241" s="168">
        <v>97.327855208180296</v>
      </c>
      <c r="AZ241" s="168">
        <v>98.823631789350401</v>
      </c>
      <c r="BA241" s="168">
        <v>100.192232645084</v>
      </c>
      <c r="BB241" s="168">
        <v>100.51104325685201</v>
      </c>
      <c r="BC241" s="168">
        <v>100.626105507753</v>
      </c>
      <c r="BD241" s="168">
        <v>101.05544277701701</v>
      </c>
    </row>
    <row r="242" spans="1:56">
      <c r="A242" s="163" t="s">
        <v>517</v>
      </c>
      <c r="B242" s="163" t="s">
        <v>518</v>
      </c>
      <c r="W242" s="161" t="s">
        <v>125</v>
      </c>
      <c r="X242" s="161" t="s">
        <v>125</v>
      </c>
      <c r="Y242" s="161" t="s">
        <v>125</v>
      </c>
      <c r="Z242" s="161" t="s">
        <v>125</v>
      </c>
      <c r="AA242" s="161" t="s">
        <v>125</v>
      </c>
      <c r="AB242" s="161" t="s">
        <v>125</v>
      </c>
      <c r="AC242" s="161" t="s">
        <v>125</v>
      </c>
      <c r="AD242" s="161" t="s">
        <v>125</v>
      </c>
      <c r="AE242" s="161" t="s">
        <v>125</v>
      </c>
      <c r="AF242" s="161" t="s">
        <v>125</v>
      </c>
      <c r="AG242" s="168">
        <v>1.1863603616067701E-2</v>
      </c>
      <c r="AH242" s="168">
        <v>1.39444887786963E-2</v>
      </c>
      <c r="AI242" s="168">
        <v>1.7484263269341101E-2</v>
      </c>
      <c r="AJ242" s="168">
        <v>2.2482270987532499E-2</v>
      </c>
      <c r="AK242" s="168">
        <v>3.58581799172243E-2</v>
      </c>
      <c r="AL242" s="168">
        <v>5.3306371885510698E-2</v>
      </c>
      <c r="AM242" s="168">
        <v>0.112827769746965</v>
      </c>
      <c r="AN242" s="168">
        <v>0.15354912713739399</v>
      </c>
      <c r="AO242" s="168">
        <v>0.180595969772089</v>
      </c>
      <c r="AP242" s="168">
        <v>0.224690100913087</v>
      </c>
      <c r="AQ242" s="168">
        <v>0.284405398135893</v>
      </c>
      <c r="AR242" s="168">
        <v>0.300269469208647</v>
      </c>
      <c r="AS242" s="168">
        <v>0.39338217857095897</v>
      </c>
      <c r="AT242" s="168">
        <v>0.52040563119311001</v>
      </c>
      <c r="AU242" s="168">
        <v>0.67850336533445998</v>
      </c>
      <c r="AV242" s="168">
        <v>0.85203963088064005</v>
      </c>
      <c r="AW242" s="168">
        <v>0.974630120235635</v>
      </c>
      <c r="AX242" s="168">
        <v>1.09610847123355</v>
      </c>
      <c r="AY242" s="168">
        <v>1.3990621272945101</v>
      </c>
      <c r="AZ242" s="168">
        <v>1.4971052272794201</v>
      </c>
      <c r="BA242" s="168">
        <v>2.1587758951769001</v>
      </c>
      <c r="BB242" s="168">
        <v>2.7132049542905099</v>
      </c>
      <c r="BC242" s="168">
        <v>3.0414832031346499</v>
      </c>
      <c r="BD242" s="168">
        <v>4.7917340723589001</v>
      </c>
    </row>
    <row r="243" spans="1:56">
      <c r="A243" s="163" t="s">
        <v>519</v>
      </c>
      <c r="B243" s="163" t="s">
        <v>520</v>
      </c>
      <c r="W243" s="161" t="s">
        <v>125</v>
      </c>
      <c r="X243" s="161" t="s">
        <v>125</v>
      </c>
      <c r="Y243" s="161" t="s">
        <v>125</v>
      </c>
      <c r="Z243" s="161" t="s">
        <v>125</v>
      </c>
      <c r="AA243" s="161" t="s">
        <v>125</v>
      </c>
      <c r="AB243" s="161" t="s">
        <v>125</v>
      </c>
      <c r="AC243" s="161" t="s">
        <v>125</v>
      </c>
      <c r="AD243" s="161" t="s">
        <v>125</v>
      </c>
      <c r="AE243" s="161" t="s">
        <v>125</v>
      </c>
      <c r="AF243" s="161" t="s">
        <v>125</v>
      </c>
      <c r="AG243" s="168">
        <v>653.594835914545</v>
      </c>
      <c r="AH243" s="168">
        <v>1091.4511936000599</v>
      </c>
      <c r="AI243" s="168">
        <v>1415.3077513354499</v>
      </c>
      <c r="AJ243" s="168">
        <v>1623.15556527794</v>
      </c>
      <c r="AK243" s="168">
        <v>1858.7491774683699</v>
      </c>
      <c r="AL243" s="168">
        <v>2131.0304147760198</v>
      </c>
      <c r="AM243" s="168">
        <v>2274.8149604310202</v>
      </c>
      <c r="AN243" s="168">
        <v>2384.1027675178302</v>
      </c>
      <c r="AO243" s="168">
        <v>2566.9611622677999</v>
      </c>
      <c r="AP243" s="168">
        <v>2675.95280944469</v>
      </c>
      <c r="AQ243" s="168">
        <v>2919.8708843627901</v>
      </c>
      <c r="AR243" s="168">
        <v>2930.88788442036</v>
      </c>
      <c r="AS243" s="168">
        <v>3029.1899714280098</v>
      </c>
      <c r="AT243" s="168">
        <v>3174.4170708534002</v>
      </c>
      <c r="AU243" s="168">
        <v>3374.9795429856099</v>
      </c>
      <c r="AV243" s="168">
        <v>3571.0720740228498</v>
      </c>
      <c r="AW243" s="168">
        <v>3761.44379553618</v>
      </c>
      <c r="AX243" s="168">
        <v>4017.0710203110302</v>
      </c>
      <c r="AY243" s="168">
        <v>4833.4535939686602</v>
      </c>
      <c r="AZ243" s="168">
        <v>5094.6671077675901</v>
      </c>
      <c r="BA243" s="168">
        <v>5641.5265270167802</v>
      </c>
      <c r="BB243" s="168">
        <v>6709.1915778194798</v>
      </c>
      <c r="BC243" s="168">
        <v>7314.36153830685</v>
      </c>
      <c r="BD243" s="168">
        <v>7548.35111824662</v>
      </c>
    </row>
    <row r="244" spans="1:56">
      <c r="A244" s="163" t="s">
        <v>521</v>
      </c>
      <c r="B244" s="163" t="s">
        <v>522</v>
      </c>
      <c r="W244" s="161" t="s">
        <v>125</v>
      </c>
      <c r="X244" s="161" t="s">
        <v>125</v>
      </c>
      <c r="Y244" s="161" t="s">
        <v>125</v>
      </c>
      <c r="Z244" s="161" t="s">
        <v>125</v>
      </c>
      <c r="AA244" s="161" t="s">
        <v>125</v>
      </c>
      <c r="AB244" s="161" t="s">
        <v>125</v>
      </c>
      <c r="AC244" s="161" t="s">
        <v>125</v>
      </c>
      <c r="AD244" s="161" t="s">
        <v>125</v>
      </c>
      <c r="AE244" s="161" t="s">
        <v>125</v>
      </c>
      <c r="AF244" s="161" t="s">
        <v>125</v>
      </c>
      <c r="AG244" s="168" t="s">
        <v>125</v>
      </c>
      <c r="AH244" s="168" t="s">
        <v>125</v>
      </c>
      <c r="AI244" s="168" t="s">
        <v>125</v>
      </c>
      <c r="AJ244" s="168" t="s">
        <v>125</v>
      </c>
      <c r="AK244" s="168" t="s">
        <v>125</v>
      </c>
      <c r="AL244" s="168" t="s">
        <v>125</v>
      </c>
      <c r="AM244" s="168" t="s">
        <v>125</v>
      </c>
      <c r="AN244" s="168" t="s">
        <v>125</v>
      </c>
      <c r="AO244" s="168" t="s">
        <v>125</v>
      </c>
      <c r="AP244" s="168" t="s">
        <v>125</v>
      </c>
      <c r="AQ244" s="168" t="s">
        <v>125</v>
      </c>
      <c r="AR244" s="168" t="s">
        <v>125</v>
      </c>
      <c r="AS244" s="168" t="s">
        <v>125</v>
      </c>
      <c r="AT244" s="168" t="s">
        <v>125</v>
      </c>
      <c r="AU244" s="168" t="s">
        <v>125</v>
      </c>
      <c r="AV244" s="168" t="s">
        <v>125</v>
      </c>
      <c r="AW244" s="168" t="s">
        <v>125</v>
      </c>
      <c r="AX244" s="168" t="s">
        <v>125</v>
      </c>
      <c r="AY244" s="168" t="s">
        <v>125</v>
      </c>
      <c r="AZ244" s="168" t="s">
        <v>125</v>
      </c>
      <c r="BA244" s="168" t="s">
        <v>125</v>
      </c>
      <c r="BB244" s="168" t="s">
        <v>125</v>
      </c>
      <c r="BC244" s="168" t="s">
        <v>125</v>
      </c>
      <c r="BD244" s="168" t="s">
        <v>125</v>
      </c>
    </row>
    <row r="245" spans="1:56">
      <c r="A245" s="163" t="s">
        <v>523</v>
      </c>
      <c r="B245" s="163" t="s">
        <v>571</v>
      </c>
      <c r="W245" s="161" t="s">
        <v>125</v>
      </c>
      <c r="X245" s="161" t="s">
        <v>125</v>
      </c>
      <c r="Y245" s="161" t="s">
        <v>125</v>
      </c>
      <c r="Z245" s="161" t="s">
        <v>125</v>
      </c>
      <c r="AA245" s="161" t="s">
        <v>125</v>
      </c>
      <c r="AB245" s="161" t="s">
        <v>125</v>
      </c>
      <c r="AC245" s="161" t="s">
        <v>125</v>
      </c>
      <c r="AD245" s="161" t="s">
        <v>125</v>
      </c>
      <c r="AE245" s="161" t="s">
        <v>125</v>
      </c>
      <c r="AF245" s="161" t="s">
        <v>125</v>
      </c>
      <c r="AG245" s="168" t="s">
        <v>125</v>
      </c>
      <c r="AH245" s="168" t="s">
        <v>125</v>
      </c>
      <c r="AI245" s="168" t="s">
        <v>125</v>
      </c>
      <c r="AJ245" s="168" t="s">
        <v>125</v>
      </c>
      <c r="AK245" s="168">
        <v>1.8700351910934101</v>
      </c>
      <c r="AL245" s="168">
        <v>1.9726088291302699</v>
      </c>
      <c r="AM245" s="168">
        <v>1.9752031926476501</v>
      </c>
      <c r="AN245" s="168">
        <v>1.87850966045414</v>
      </c>
      <c r="AO245" s="168">
        <v>1.7661706219728699</v>
      </c>
      <c r="AP245" s="168">
        <v>1.7075303193445599</v>
      </c>
      <c r="AQ245" s="168">
        <v>1.83297433762946</v>
      </c>
      <c r="AR245" s="168">
        <v>1.8115764569353301</v>
      </c>
      <c r="AS245" s="168">
        <v>1.8139376425245799</v>
      </c>
      <c r="AT245" s="168">
        <v>1.7286069825429</v>
      </c>
      <c r="AU245" s="168">
        <v>1.6647891067953</v>
      </c>
      <c r="AV245" s="168">
        <v>1.63955015303401</v>
      </c>
      <c r="AW245" s="168">
        <v>1.6724040091607699</v>
      </c>
      <c r="AX245" s="168">
        <v>1.7348092756147999</v>
      </c>
      <c r="AY245" s="168">
        <v>1.91489586992391</v>
      </c>
      <c r="AZ245" s="168">
        <v>1.9030997729427599</v>
      </c>
      <c r="BA245" s="168">
        <v>2.1335591581683802</v>
      </c>
      <c r="BB245" s="168">
        <v>2.1888692239019698</v>
      </c>
      <c r="BC245" s="168">
        <v>2.1319383009424899</v>
      </c>
      <c r="BD245" s="168" t="s">
        <v>125</v>
      </c>
    </row>
    <row r="246" spans="1:56">
      <c r="A246" s="163" t="s">
        <v>525</v>
      </c>
      <c r="B246" s="163" t="s">
        <v>526</v>
      </c>
      <c r="W246" s="161" t="s">
        <v>125</v>
      </c>
      <c r="X246" s="161" t="s">
        <v>125</v>
      </c>
      <c r="Y246" s="161" t="s">
        <v>125</v>
      </c>
      <c r="Z246" s="161" t="s">
        <v>125</v>
      </c>
      <c r="AA246" s="161" t="s">
        <v>125</v>
      </c>
      <c r="AB246" s="161" t="s">
        <v>125</v>
      </c>
      <c r="AC246" s="161" t="s">
        <v>125</v>
      </c>
      <c r="AD246" s="161" t="s">
        <v>125</v>
      </c>
      <c r="AE246" s="161" t="s">
        <v>125</v>
      </c>
      <c r="AF246" s="161" t="s">
        <v>125</v>
      </c>
      <c r="AG246" s="168">
        <v>5.6298422364466596</v>
      </c>
      <c r="AH246" s="168">
        <v>6.1020980044902098</v>
      </c>
      <c r="AI246" s="168">
        <v>6.7518792325986103</v>
      </c>
      <c r="AJ246" s="168">
        <v>7.6749136980734596</v>
      </c>
      <c r="AK246" s="168">
        <v>9.0768683053153794</v>
      </c>
      <c r="AL246" s="168">
        <v>12.958615585413799</v>
      </c>
      <c r="AM246" s="168">
        <v>17.4056211149937</v>
      </c>
      <c r="AN246" s="168">
        <v>19.387206691430201</v>
      </c>
      <c r="AO246" s="168">
        <v>17.579051374807499</v>
      </c>
      <c r="AP246" s="168">
        <v>23.130824842153501</v>
      </c>
      <c r="AQ246" s="168">
        <v>27.897079251824099</v>
      </c>
      <c r="AR246" s="168">
        <v>28.0217333297431</v>
      </c>
      <c r="AS246" s="168">
        <v>30.001928756464601</v>
      </c>
      <c r="AT246" s="168">
        <v>32.618007771206898</v>
      </c>
      <c r="AU246" s="168">
        <v>36.228387023654399</v>
      </c>
      <c r="AV246" s="168">
        <v>41.608183436288797</v>
      </c>
      <c r="AW246" s="168">
        <v>45.852605069687399</v>
      </c>
      <c r="AX246" s="168">
        <v>58.626857433469901</v>
      </c>
      <c r="AY246" s="168">
        <v>65.824908217762598</v>
      </c>
      <c r="AZ246" s="168">
        <v>59.635966207474198</v>
      </c>
      <c r="BA246" s="168">
        <v>67.047079573747297</v>
      </c>
      <c r="BB246" s="168">
        <v>75.818135383856799</v>
      </c>
      <c r="BC246" s="168">
        <v>75.242930228379905</v>
      </c>
      <c r="BD246" s="168">
        <v>79.971820560405206</v>
      </c>
    </row>
    <row r="247" spans="1:56">
      <c r="A247" s="163" t="s">
        <v>527</v>
      </c>
      <c r="B247" s="163" t="s">
        <v>528</v>
      </c>
      <c r="W247" s="161" t="s">
        <v>125</v>
      </c>
      <c r="X247" s="161" t="s">
        <v>125</v>
      </c>
      <c r="Y247" s="161" t="s">
        <v>125</v>
      </c>
      <c r="Z247" s="161" t="s">
        <v>125</v>
      </c>
      <c r="AA247" s="161" t="s">
        <v>125</v>
      </c>
      <c r="AB247" s="161" t="s">
        <v>125</v>
      </c>
      <c r="AC247" s="161" t="s">
        <v>125</v>
      </c>
      <c r="AD247" s="161" t="s">
        <v>125</v>
      </c>
      <c r="AE247" s="161" t="s">
        <v>125</v>
      </c>
      <c r="AF247" s="161" t="s">
        <v>125</v>
      </c>
      <c r="AG247" s="168">
        <v>8.7926409387682793E-3</v>
      </c>
      <c r="AH247" s="168">
        <v>1.63941353168898E-2</v>
      </c>
      <c r="AI247" s="168">
        <v>4.2561413193446598E-2</v>
      </c>
      <c r="AJ247" s="168">
        <v>0.10129384670857</v>
      </c>
      <c r="AK247" s="168">
        <v>0.164056334507655</v>
      </c>
      <c r="AL247" s="168">
        <v>0.22184380589470401</v>
      </c>
      <c r="AM247" s="168">
        <v>0.26778366315769098</v>
      </c>
      <c r="AN247" s="168">
        <v>0.33165144128361901</v>
      </c>
      <c r="AO247" s="168">
        <v>0.39204009260026701</v>
      </c>
      <c r="AP247" s="168">
        <v>0.46905045282589303</v>
      </c>
      <c r="AQ247" s="168">
        <v>0.59967833277780402</v>
      </c>
      <c r="AR247" s="168">
        <v>0.72854936355312505</v>
      </c>
      <c r="AS247" s="168">
        <v>0.85927763548418701</v>
      </c>
      <c r="AT247" s="168">
        <v>1.0088370293495801</v>
      </c>
      <c r="AU247" s="168">
        <v>1.17826839091108</v>
      </c>
      <c r="AV247" s="168">
        <v>1.33594487629933</v>
      </c>
      <c r="AW247" s="168">
        <v>1.4681057401856601</v>
      </c>
      <c r="AX247" s="168">
        <v>1.61382558581872</v>
      </c>
      <c r="AY247" s="168">
        <v>1.77194939935852</v>
      </c>
      <c r="AZ247" s="168">
        <v>1.9537856480173299</v>
      </c>
      <c r="BA247" s="168">
        <v>2.1560301932878798</v>
      </c>
      <c r="BB247" s="168">
        <v>2.3783803331645599</v>
      </c>
      <c r="BC247" s="168">
        <v>2.4751878146620698</v>
      </c>
      <c r="BD247" s="168">
        <v>2.6119330696196799</v>
      </c>
    </row>
    <row r="248" spans="1:56">
      <c r="A248" s="163" t="s">
        <v>529</v>
      </c>
      <c r="B248" s="163" t="s">
        <v>530</v>
      </c>
      <c r="W248" s="161" t="s">
        <v>125</v>
      </c>
      <c r="X248" s="161" t="s">
        <v>125</v>
      </c>
      <c r="Y248" s="161" t="s">
        <v>125</v>
      </c>
      <c r="Z248" s="161" t="s">
        <v>125</v>
      </c>
      <c r="AA248" s="161" t="s">
        <v>125</v>
      </c>
      <c r="AB248" s="161" t="s">
        <v>125</v>
      </c>
      <c r="AC248" s="161" t="s">
        <v>125</v>
      </c>
      <c r="AD248" s="161" t="s">
        <v>125</v>
      </c>
      <c r="AE248" s="161" t="s">
        <v>125</v>
      </c>
      <c r="AF248" s="161" t="s">
        <v>125</v>
      </c>
      <c r="AG248" s="168">
        <v>0.51200964805615501</v>
      </c>
      <c r="AH248" s="168">
        <v>0.46194433596016299</v>
      </c>
      <c r="AI248" s="168">
        <v>0.38782902516498602</v>
      </c>
      <c r="AJ248" s="168">
        <v>0.36445273357857999</v>
      </c>
      <c r="AK248" s="168">
        <v>0.34295407732715899</v>
      </c>
      <c r="AL248" s="168">
        <v>0.34615412075461699</v>
      </c>
      <c r="AM248" s="168">
        <v>0.37048750827675497</v>
      </c>
      <c r="AN248" s="168">
        <v>0.35376816530379601</v>
      </c>
      <c r="AO248" s="168">
        <v>0.25530916968794398</v>
      </c>
      <c r="AP248" s="168">
        <v>0.27186868262604702</v>
      </c>
      <c r="AQ248" s="168">
        <v>0.267497642364729</v>
      </c>
      <c r="AR248" s="168">
        <v>0.26116391698366498</v>
      </c>
      <c r="AS248" s="168">
        <v>0.26418949457556801</v>
      </c>
      <c r="AT248" s="168">
        <v>0.28180989019900199</v>
      </c>
      <c r="AU248" s="168">
        <v>0.29516865978926299</v>
      </c>
      <c r="AV248" s="168">
        <v>0.30068610586197397</v>
      </c>
      <c r="AW248" s="168">
        <v>0.28583237220000801</v>
      </c>
      <c r="AX248" s="168">
        <v>0.28093458081609002</v>
      </c>
      <c r="AY248" s="168">
        <v>0.27926953361384699</v>
      </c>
      <c r="AZ248" s="168">
        <v>0.48304378266734399</v>
      </c>
      <c r="BA248" s="168">
        <v>0.49679789423529302</v>
      </c>
      <c r="BB248" s="168">
        <v>0.50442729118732099</v>
      </c>
      <c r="BC248" s="168">
        <v>0.53587208119267804</v>
      </c>
      <c r="BD248" s="168">
        <v>0.53220360840181102</v>
      </c>
    </row>
    <row r="255" spans="1:56">
      <c r="A255" s="170" t="s">
        <v>639</v>
      </c>
    </row>
    <row r="256" spans="1:56">
      <c r="A256" s="169" t="s">
        <v>640</v>
      </c>
    </row>
    <row r="257" spans="1:1">
      <c r="A257" s="169" t="s">
        <v>574</v>
      </c>
    </row>
    <row r="259" spans="1:1">
      <c r="A259" s="163" t="s">
        <v>575</v>
      </c>
    </row>
  </sheetData>
  <printOptions gridLines="1"/>
  <pageMargins left="0.7" right="0.7" top="0.75" bottom="0.75" header="0.3" footer="0.3"/>
  <pageSetup scale="21" orientation="portrait" horizontalDpi="4294967292" verticalDpi="4294967292" r:id="rId1"/>
  <headerFooter alignWithMargins="0">
    <oddHeader>&amp;CPPP Exchange Rates
2013.02.14</oddHeader>
  </headerFooter>
  <colBreaks count="1" manualBreakCount="1">
    <brk id="54"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7</vt:i4>
      </vt:variant>
      <vt:variant>
        <vt:lpstr>Plages nommées</vt:lpstr>
      </vt:variant>
      <vt:variant>
        <vt:i4>3</vt:i4>
      </vt:variant>
    </vt:vector>
  </HeadingPairs>
  <TitlesOfParts>
    <vt:vector size="10" baseType="lpstr">
      <vt:lpstr>Overview of Programs</vt:lpstr>
      <vt:lpstr>Comparisons</vt:lpstr>
      <vt:lpstr>0 - Total Costs</vt:lpstr>
      <vt:lpstr>policy template -perunit</vt:lpstr>
      <vt:lpstr>Inflation Rates</vt:lpstr>
      <vt:lpstr>Standard Exchange Rates</vt:lpstr>
      <vt:lpstr>PPP Exchange Rates</vt:lpstr>
      <vt:lpstr>Exchange_PPP</vt:lpstr>
      <vt:lpstr>Exchange_Standard</vt:lpstr>
      <vt:lpstr>inflation</vt:lpstr>
    </vt:vector>
  </TitlesOfParts>
  <Company>Massachusetts Institute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Caitlin Tulloch</dc:creator>
  <cp:lastModifiedBy>Louis-Mael Jean</cp:lastModifiedBy>
  <cp:lastPrinted>2011-02-08T20:44:00Z</cp:lastPrinted>
  <dcterms:created xsi:type="dcterms:W3CDTF">2011-02-07T18:39:12Z</dcterms:created>
  <dcterms:modified xsi:type="dcterms:W3CDTF">2023-08-24T09:19:25Z</dcterms:modified>
</cp:coreProperties>
</file>